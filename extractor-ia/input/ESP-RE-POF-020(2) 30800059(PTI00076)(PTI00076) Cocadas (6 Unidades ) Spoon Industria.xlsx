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FAS/"/>
    </mc:Choice>
  </mc:AlternateContent>
  <xr:revisionPtr revIDLastSave="6" documentId="8_{0D8EF64F-0EA1-4A98-92E2-4901634B9043}" xr6:coauthVersionLast="47" xr6:coauthVersionMax="47" xr10:uidLastSave="{B932C39D-4B80-4FBE-BB06-54BEE70365A6}"/>
  <bookViews>
    <workbookView xWindow="-120" yWindow="-120" windowWidth="29040" windowHeight="15840" xr2:uid="{0C41B30E-8CDF-4496-A1E4-896C213E847E}"/>
  </bookViews>
  <sheets>
    <sheet name="Hoja2" sheetId="16" r:id="rId1"/>
    <sheet name="Hoja1" sheetId="14" state="hidden" r:id="rId2"/>
    <sheet name="Precio" sheetId="15" state="hidden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5" l="1"/>
  <c r="D6" i="15"/>
  <c r="D66" i="14"/>
  <c r="D67" i="14"/>
  <c r="D69" i="14"/>
  <c r="D64" i="14"/>
  <c r="D62" i="14"/>
  <c r="F58" i="14"/>
  <c r="C66" i="14"/>
  <c r="D53" i="14"/>
  <c r="D78" i="14"/>
  <c r="C44" i="14"/>
  <c r="E43" i="14"/>
  <c r="A43" i="14"/>
  <c r="C43" i="14"/>
  <c r="F43" i="14"/>
  <c r="E42" i="14"/>
  <c r="A42" i="14"/>
  <c r="C42" i="14"/>
  <c r="F42" i="14"/>
  <c r="E41" i="14"/>
  <c r="A41" i="14"/>
  <c r="C41" i="14"/>
  <c r="F41" i="14"/>
  <c r="E40" i="14"/>
  <c r="A40" i="14"/>
  <c r="C40" i="14"/>
  <c r="F40" i="14"/>
  <c r="E39" i="14"/>
  <c r="A39" i="14"/>
  <c r="C39" i="14"/>
  <c r="F39" i="14"/>
  <c r="E36" i="14"/>
  <c r="F36" i="14"/>
  <c r="G36" i="14"/>
  <c r="A36" i="14"/>
  <c r="C36" i="14"/>
  <c r="E35" i="14"/>
  <c r="A35" i="14"/>
  <c r="C35" i="14"/>
  <c r="E34" i="14"/>
  <c r="A34" i="14"/>
  <c r="C34" i="14"/>
  <c r="E33" i="14"/>
  <c r="F33" i="14"/>
  <c r="G33" i="14"/>
  <c r="C33" i="14"/>
  <c r="A33" i="14"/>
  <c r="E32" i="14"/>
  <c r="A32" i="14"/>
  <c r="C32" i="14"/>
  <c r="E29" i="14"/>
  <c r="F29" i="14"/>
  <c r="D29" i="14"/>
  <c r="C29" i="14"/>
  <c r="B29" i="14"/>
  <c r="E28" i="14"/>
  <c r="D28" i="14"/>
  <c r="C28" i="14"/>
  <c r="F28" i="14"/>
  <c r="B28" i="14"/>
  <c r="E27" i="14"/>
  <c r="F27" i="14"/>
  <c r="D27" i="14"/>
  <c r="C27" i="14"/>
  <c r="B27" i="14"/>
  <c r="E26" i="14"/>
  <c r="F26" i="14"/>
  <c r="D26" i="14"/>
  <c r="C26" i="14"/>
  <c r="B26" i="14"/>
  <c r="E25" i="14"/>
  <c r="F25" i="14"/>
  <c r="D25" i="14"/>
  <c r="C25" i="14"/>
  <c r="B25" i="14"/>
  <c r="C24" i="14"/>
  <c r="E21" i="14"/>
  <c r="F21" i="14"/>
  <c r="D21" i="14"/>
  <c r="C21" i="14"/>
  <c r="B21" i="14"/>
  <c r="E20" i="14"/>
  <c r="F20" i="14"/>
  <c r="D20" i="14"/>
  <c r="C20" i="14"/>
  <c r="B20" i="14"/>
  <c r="E19" i="14"/>
  <c r="F19" i="14"/>
  <c r="D19" i="14"/>
  <c r="C19" i="14"/>
  <c r="B19" i="14"/>
  <c r="E18" i="14"/>
  <c r="D18" i="14"/>
  <c r="C18" i="14"/>
  <c r="F18" i="14"/>
  <c r="B18" i="14"/>
  <c r="E17" i="14"/>
  <c r="F17" i="14"/>
  <c r="D17" i="14"/>
  <c r="C17" i="14"/>
  <c r="B17" i="14"/>
  <c r="E14" i="14"/>
  <c r="F14" i="14"/>
  <c r="D14" i="14"/>
  <c r="C14" i="14"/>
  <c r="B14" i="14"/>
  <c r="E13" i="14"/>
  <c r="D13" i="14"/>
  <c r="C13" i="14"/>
  <c r="F13" i="14"/>
  <c r="B13" i="14"/>
  <c r="E12" i="14"/>
  <c r="D12" i="14"/>
  <c r="C12" i="14"/>
  <c r="F12" i="14"/>
  <c r="B12" i="14"/>
  <c r="E11" i="14"/>
  <c r="F11" i="14"/>
  <c r="D11" i="14"/>
  <c r="C11" i="14"/>
  <c r="B11" i="14"/>
  <c r="E10" i="14"/>
  <c r="F10" i="14"/>
  <c r="D10" i="14"/>
  <c r="C10" i="14"/>
  <c r="B10" i="14"/>
  <c r="E9" i="14"/>
  <c r="D9" i="14"/>
  <c r="C9" i="14"/>
  <c r="F9" i="14"/>
  <c r="B9" i="14"/>
  <c r="E8" i="14"/>
  <c r="D8" i="14"/>
  <c r="C8" i="14"/>
  <c r="F8" i="14"/>
  <c r="B8" i="14"/>
  <c r="H6" i="14"/>
  <c r="F24" i="14"/>
  <c r="D74" i="14"/>
  <c r="D76" i="14"/>
  <c r="C78" i="14"/>
  <c r="E66" i="14"/>
  <c r="E44" i="14"/>
  <c r="F44" i="14"/>
  <c r="F46" i="14"/>
  <c r="F34" i="14"/>
  <c r="G34" i="14"/>
  <c r="D79" i="14"/>
  <c r="E78" i="14"/>
  <c r="F32" i="14"/>
  <c r="G32" i="14"/>
  <c r="F35" i="14"/>
  <c r="G35" i="14"/>
  <c r="F49" i="14"/>
  <c r="C67" i="14"/>
  <c r="O48" i="14"/>
  <c r="H49" i="14"/>
  <c r="F47" i="14"/>
  <c r="C62" i="14"/>
  <c r="H46" i="14"/>
  <c r="F48" i="14"/>
  <c r="F57" i="14"/>
  <c r="H2" i="14"/>
  <c r="F16" i="15"/>
  <c r="F2" i="14"/>
  <c r="E6" i="15"/>
  <c r="F6" i="15"/>
  <c r="H48" i="14"/>
  <c r="F56" i="14"/>
  <c r="O47" i="14"/>
  <c r="E62" i="14"/>
  <c r="C74" i="14"/>
  <c r="E74" i="14"/>
  <c r="H47" i="14"/>
  <c r="C69" i="14"/>
  <c r="E69" i="14"/>
  <c r="C79" i="14"/>
  <c r="E79" i="14"/>
  <c r="E67" i="14"/>
  <c r="O49" i="14"/>
  <c r="O50" i="14"/>
  <c r="F11" i="15"/>
  <c r="F18" i="15"/>
  <c r="E56" i="14"/>
  <c r="C64" i="14"/>
  <c r="F59" i="14"/>
  <c r="G56" i="14"/>
  <c r="E9" i="15"/>
  <c r="F9" i="15"/>
  <c r="G2" i="14"/>
  <c r="E71" i="14"/>
  <c r="F12" i="15"/>
  <c r="F13" i="15"/>
  <c r="O51" i="14"/>
  <c r="O52" i="14"/>
  <c r="C76" i="14"/>
  <c r="E76" i="14"/>
  <c r="E64" i="14"/>
  <c r="G59" i="14"/>
  <c r="G58" i="14"/>
  <c r="G24" i="14"/>
  <c r="G17" i="14"/>
  <c r="G21" i="14"/>
  <c r="G44" i="14"/>
  <c r="G11" i="14"/>
  <c r="G26" i="14"/>
  <c r="G29" i="14"/>
  <c r="G20" i="14"/>
  <c r="G9" i="14"/>
  <c r="G42" i="14"/>
  <c r="G43" i="14"/>
  <c r="G12" i="14"/>
  <c r="G8" i="14"/>
  <c r="G18" i="14"/>
  <c r="G27" i="14"/>
  <c r="G10" i="14"/>
  <c r="G14" i="14"/>
  <c r="G19" i="14"/>
  <c r="G28" i="14"/>
  <c r="G25" i="14"/>
  <c r="G41" i="14"/>
  <c r="G40" i="14"/>
  <c r="G13" i="14"/>
  <c r="G39" i="14"/>
  <c r="G46" i="14"/>
  <c r="G49" i="14"/>
  <c r="G48" i="14"/>
  <c r="G57" i="14"/>
  <c r="G47" i="14"/>
  <c r="F15" i="15"/>
  <c r="O53" i="14"/>
  <c r="O54" i="14"/>
  <c r="O55" i="14"/>
  <c r="E2" i="14"/>
  <c r="P55" i="14"/>
  <c r="F17" i="15"/>
  <c r="F19" i="15"/>
  <c r="F20" i="15"/>
  <c r="F21" i="15"/>
  <c r="F22" i="15"/>
  <c r="G19" i="15"/>
  <c r="F23" i="15"/>
  <c r="G23" i="15"/>
  <c r="J23" i="15"/>
  <c r="F27" i="15"/>
  <c r="G16" i="15"/>
  <c r="G6" i="15"/>
  <c r="G9" i="15"/>
  <c r="G11" i="15"/>
  <c r="G18" i="15"/>
  <c r="G13" i="15"/>
  <c r="G12" i="15"/>
  <c r="G15" i="15"/>
  <c r="G17" i="15"/>
  <c r="G20" i="15"/>
  <c r="G21" i="15"/>
  <c r="G22" i="15"/>
  <c r="F28" i="15"/>
  <c r="F29" i="15"/>
  <c r="F30" i="15"/>
  <c r="F31" i="15"/>
  <c r="J31" i="15"/>
  <c r="F32" i="15"/>
  <c r="F34" i="15"/>
  <c r="F35" i="15"/>
  <c r="G29" i="15"/>
  <c r="H29" i="15"/>
</calcChain>
</file>

<file path=xl/sharedStrings.xml><?xml version="1.0" encoding="utf-8"?>
<sst xmlns="http://schemas.openxmlformats.org/spreadsheetml/2006/main" count="230" uniqueCount="152">
  <si>
    <t>0702012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</si>
  <si>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</si>
  <si>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</si>
  <si>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</si>
  <si>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</si>
  <si>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</si>
  <si>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</si>
  <si>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</si>
  <si>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</si>
  <si>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EMPAQUE</t>
  </si>
  <si>
    <t>ESPECIFICACION DE RECETA</t>
  </si>
  <si>
    <t>g</t>
  </si>
  <si>
    <t>SERVICIOS DE PASTELERIA S.A.</t>
  </si>
  <si>
    <t>CÓDIGO:</t>
  </si>
  <si>
    <t>REVISIÓN:</t>
  </si>
  <si>
    <t>FECHA DE APROBACIÓN:</t>
  </si>
  <si>
    <t>Elaborado</t>
  </si>
  <si>
    <t>Aprobado</t>
  </si>
  <si>
    <t>Medida alternativa</t>
  </si>
  <si>
    <t>1950731</t>
  </si>
  <si>
    <t>CAPSULA # 3 LOGO (100 * PAQ)</t>
  </si>
  <si>
    <t>Unidad</t>
  </si>
  <si>
    <t>Min.</t>
  </si>
  <si>
    <t>Horno:</t>
  </si>
  <si>
    <t>CANTIDAD DE PORCIONES OBTENIDAS</t>
  </si>
  <si>
    <t>Cajas</t>
  </si>
  <si>
    <t>MERMA</t>
  </si>
  <si>
    <t>PROCEDIMIENTO DE PREPARACION DE LA  RECETA</t>
  </si>
  <si>
    <t xml:space="preserve">1.- Cortar los bordes de la plancha de cocada. </t>
  </si>
  <si>
    <t>2.- Partir pedazos de 4cm X 4,5cm aproximadamente. De largo sale 9 filas y de largo y 7 filas de ancho.</t>
  </si>
  <si>
    <t>95256</t>
  </si>
  <si>
    <t>PLANCHA COCADITAS (4300g)</t>
  </si>
  <si>
    <t>Unids</t>
  </si>
  <si>
    <t>unid</t>
  </si>
  <si>
    <t>1950909</t>
  </si>
  <si>
    <t>0702077</t>
  </si>
  <si>
    <t>4.- Sellar el contenedor con la etiqueta spoon pequeña</t>
  </si>
  <si>
    <t>5.- Etiquetar con fecha de vencimiento, codigo y fecha juliano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</si>
  <si>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</si>
  <si>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</si>
  <si>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</si>
  <si>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</si>
  <si>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</si>
  <si>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</si>
  <si>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</si>
  <si>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</si>
  <si>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</si>
  <si>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</si>
  <si>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</si>
  <si>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</si>
  <si>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</si>
  <si>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</si>
  <si>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</si>
  <si>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N/A</t>
  </si>
  <si>
    <t>MODI</t>
  </si>
  <si>
    <t>MODI PREPARACION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</si>
  <si>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</si>
  <si>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</si>
  <si>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</si>
  <si>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</si>
  <si>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</si>
  <si>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</si>
  <si>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</si>
  <si>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</si>
  <si>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</si>
  <si>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</si>
  <si>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</si>
  <si>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</si>
  <si>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TRANSFERENCIA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</si>
  <si>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</si>
  <si>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</si>
  <si>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</si>
  <si>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</si>
  <si>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</si>
  <si>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</si>
  <si>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</si>
  <si>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</si>
  <si>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</si>
  <si>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</si>
  <si>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</si>
  <si>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</si>
  <si>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</si>
  <si>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</si>
  <si>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</si>
  <si>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</si>
  <si>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</si>
  <si>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</si>
  <si>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UND</t>
  </si>
  <si>
    <t>CAPSULA # 3 LOGO (UND)</t>
  </si>
  <si>
    <t>ESTRUCTURA DE COSTOS</t>
  </si>
  <si>
    <t>INDUSTRIA</t>
  </si>
  <si>
    <t>COSTO
 UNITARIO</t>
  </si>
  <si>
    <t>TOTAL
 COSTO</t>
  </si>
  <si>
    <t>% PREC. 
DEFINIDO</t>
  </si>
  <si>
    <t>CÓDIGOS</t>
  </si>
  <si>
    <t>SPOON</t>
  </si>
  <si>
    <t>EMPAQUE PLANTA</t>
  </si>
  <si>
    <t>PLANTA</t>
  </si>
  <si>
    <t xml:space="preserve">TOTAL MATERIA PRIMA </t>
  </si>
  <si>
    <t xml:space="preserve">TOTAL EMPAQUE </t>
  </si>
  <si>
    <t>Planta</t>
  </si>
  <si>
    <t xml:space="preserve">DESECHO </t>
  </si>
  <si>
    <t>GAF</t>
  </si>
  <si>
    <t>CAMIONES</t>
  </si>
  <si>
    <t>LOGISTICA</t>
  </si>
  <si>
    <t>Costo</t>
  </si>
  <si>
    <t>% Margen</t>
  </si>
  <si>
    <t>COSTO TOTAL</t>
  </si>
  <si>
    <t>MARK UP LOCAL</t>
  </si>
  <si>
    <t>PRECIO VENTA SIN IMP</t>
  </si>
  <si>
    <t>PRECIO VENTA IVI</t>
  </si>
  <si>
    <t>MARGEN SUPERMERCADO</t>
  </si>
  <si>
    <t>PRECIO IVI</t>
  </si>
  <si>
    <t xml:space="preserve">Esteban Ramírez S. / Costos </t>
  </si>
  <si>
    <t>Cocada</t>
  </si>
  <si>
    <t>PLANCHA COCADAS (4300g)</t>
  </si>
  <si>
    <t>3.- Colocar 6 unidades con el coco para arriba  en un contenedor 24oz tapa plana</t>
  </si>
  <si>
    <t>ud</t>
  </si>
  <si>
    <t>EM10068</t>
  </si>
  <si>
    <t>EM10074</t>
  </si>
  <si>
    <t>903000002</t>
  </si>
  <si>
    <t>SE00206</t>
  </si>
  <si>
    <t>EM10119</t>
  </si>
  <si>
    <t>EM10005</t>
  </si>
  <si>
    <t>Javier Tong, Chef</t>
  </si>
  <si>
    <t>Esteban Cartin, Gte Manufactura</t>
  </si>
  <si>
    <t>AREA QUE PRODUCE:</t>
  </si>
  <si>
    <t>Postres</t>
  </si>
  <si>
    <t xml:space="preserve">AREA QUE EMPACA: </t>
  </si>
  <si>
    <t># Código Netsuite</t>
  </si>
  <si>
    <t>Ensamble</t>
  </si>
  <si>
    <t>FAS</t>
  </si>
  <si>
    <t>ESTUARDO</t>
  </si>
  <si>
    <t>1 PLANCHA</t>
  </si>
  <si>
    <t>Decoración</t>
  </si>
  <si>
    <t>Empaque</t>
  </si>
  <si>
    <t>CONTENEDOR 24OZ TAPA PLANA</t>
  </si>
  <si>
    <t xml:space="preserve">ETIQ. GENERICA PEQUEÑA V-274 </t>
  </si>
  <si>
    <t>ETIQ.FECHA VENCIMIENTO VERDE</t>
  </si>
  <si>
    <t>PESO TOTAL OBTENIDO</t>
  </si>
  <si>
    <t>Tiempo de Horneo:</t>
  </si>
  <si>
    <t>TIEMPO TOTAL DE PREPARACION</t>
  </si>
  <si>
    <t>Temperatura de Horneo:</t>
  </si>
  <si>
    <t>PESO DE CADA PORCIÓN</t>
  </si>
  <si>
    <t>Otros</t>
  </si>
  <si>
    <t>CONTROL DE CAMBIOS</t>
  </si>
  <si>
    <t>ESP-RE-POF-020</t>
  </si>
  <si>
    <t>EM10002</t>
  </si>
  <si>
    <t>Etiq.Blanca 1 1/4 * 3/4</t>
  </si>
  <si>
    <t>1, Se agrega etiqueta 11/4*3/4</t>
  </si>
  <si>
    <t xml:space="preserve"> 30800059(PTI00076)(PTI00076) Cocadas (6 Unidades ) Spoon Industria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</si>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</sst>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_);_(* \(#,##0\);_(* &quot;-&quot;_);_(@_)"/>
    <numFmt numFmtId="165" formatCode="_(* #,##0.00_);_(* \(#,##0.00\);_(* &quot;-&quot;??_);_(@_)"/>
    <numFmt numFmtId="166" formatCode="&quot;$&quot;#,##0_);[Red]\(&quot;$&quot;#,##0\)"/>
    <numFmt numFmtId="167" formatCode="_(* #,##0.000_);_(* \(#,##0.000\);_(* &quot;-&quot;??_);_(@_)"/>
    <numFmt numFmtId="168" formatCode="0.0%"/>
    <numFmt numFmtId="169" formatCode="0.0"/>
    <numFmt numFmtId="170" formatCode="0.000"/>
    <numFmt numFmtId="171" formatCode="[$-409]d\-mmm\-yy;@"/>
    <numFmt numFmtId="172" formatCode="_-* #,##0.0\ _€_-;\-* #,##0.0\ _€_-;_-* &quot;-&quot;??\ _€_-;_-@_-"/>
  </numFmts>
  <fonts count="59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sz val="12"/>
      <name val="Arial"/>
      <family val="2"/>
    </font>
    <font>
      <sz val="10"/>
      <name val="Century Gothic"/>
      <family val="2"/>
    </font>
    <font>
      <b/>
      <sz val="14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6"/>
      <name val="Times New Roman"/>
      <family val="1"/>
    </font>
    <font>
      <b/>
      <sz val="12"/>
      <name val="Times New Roman"/>
      <family val="1"/>
    </font>
    <font>
      <b/>
      <sz val="8"/>
      <name val="Times New Roman"/>
      <family val="1"/>
    </font>
    <font>
      <sz val="9"/>
      <color indexed="12"/>
      <name val="Times New Roman"/>
      <family val="1"/>
    </font>
    <font>
      <b/>
      <sz val="9"/>
      <color indexed="60"/>
      <name val="Times New Roman"/>
      <family val="1"/>
    </font>
    <font>
      <b/>
      <sz val="9"/>
      <color indexed="62"/>
      <name val="Times New Roman"/>
      <family val="1"/>
    </font>
    <font>
      <b/>
      <sz val="9"/>
      <color indexed="53"/>
      <name val="Times New Roman"/>
      <family val="1"/>
    </font>
    <font>
      <sz val="9"/>
      <color indexed="19"/>
      <name val="Times New Roman"/>
      <family val="1"/>
    </font>
    <font>
      <b/>
      <sz val="9"/>
      <color indexed="19"/>
      <name val="Times New Roman"/>
      <family val="1"/>
    </font>
    <font>
      <b/>
      <sz val="8"/>
      <color indexed="17"/>
      <name val="Times New Roman"/>
      <family val="1"/>
    </font>
    <font>
      <b/>
      <sz val="8"/>
      <color indexed="12"/>
      <name val="Times New Roman"/>
      <family val="1"/>
    </font>
    <font>
      <sz val="11"/>
      <color theme="1"/>
      <name val="Calibri"/>
      <family val="2"/>
      <scheme val="minor"/>
    </font>
    <font>
      <b/>
      <sz val="9"/>
      <color rgb="FFFF0000"/>
      <name val="Times New Roman"/>
      <family val="1"/>
    </font>
    <font>
      <b/>
      <sz val="9"/>
      <color theme="6" tint="-0.249977111117893"/>
      <name val="Times New Roman"/>
      <family val="1"/>
    </font>
    <font>
      <b/>
      <sz val="14"/>
      <name val="Arial"/>
      <family val="2"/>
    </font>
    <font>
      <sz val="14"/>
      <name val="Century Gothic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name val="Arial"/>
      <family val="2"/>
    </font>
    <font>
      <sz val="14"/>
      <color theme="1"/>
      <name val="Century Gothic"/>
      <family val="2"/>
    </font>
    <font>
      <sz val="14"/>
      <color theme="1"/>
      <name val="Calibri"/>
      <family val="2"/>
      <scheme val="minor"/>
    </font>
    <font>
      <sz val="14"/>
      <color indexed="8"/>
      <name val="Century Gothic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9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" fillId="0" borderId="0"/>
    <xf numFmtId="0" fontId="6" fillId="0" borderId="0"/>
    <xf numFmtId="0" fontId="46" fillId="0" borderId="0"/>
  </cellStyleXfs>
  <cellXfs count="365">
    <xf numFmtId="0" fontId="0" fillId="0" borderId="0" xfId="0"/>
    <xf numFmtId="0" fontId="2" fillId="9" borderId="0" xfId="0" applyFont="1" applyFill="1" applyAlignment="1">
      <alignment vertical="center"/>
    </xf>
    <xf numFmtId="0" fontId="8" fillId="10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5" fontId="8" fillId="0" borderId="1" xfId="1" applyFont="1" applyBorder="1" applyAlignment="1">
      <alignment horizontal="center" vertical="center"/>
    </xf>
    <xf numFmtId="165" fontId="8" fillId="0" borderId="0" xfId="1" applyFont="1" applyAlignment="1">
      <alignment horizontal="center" vertical="center"/>
    </xf>
    <xf numFmtId="165" fontId="10" fillId="0" borderId="0" xfId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171" fontId="13" fillId="0" borderId="0" xfId="0" applyNumberFormat="1" applyFont="1" applyAlignment="1">
      <alignment horizontal="center" vertical="center" wrapText="1"/>
    </xf>
    <xf numFmtId="0" fontId="8" fillId="4" borderId="20" xfId="0" applyFont="1" applyFill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center" wrapText="1"/>
    </xf>
    <xf numFmtId="0" fontId="8" fillId="4" borderId="2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2" fontId="14" fillId="0" borderId="0" xfId="0" applyNumberFormat="1" applyFont="1" applyAlignment="1">
      <alignment horizontal="center"/>
    </xf>
    <xf numFmtId="4" fontId="14" fillId="0" borderId="0" xfId="2" applyNumberFormat="1" applyFont="1" applyAlignment="1">
      <alignment horizontal="center" vertical="center"/>
    </xf>
    <xf numFmtId="4" fontId="8" fillId="0" borderId="0" xfId="2" applyNumberFormat="1" applyFont="1" applyAlignment="1">
      <alignment horizontal="center" vertical="center"/>
    </xf>
    <xf numFmtId="10" fontId="8" fillId="0" borderId="0" xfId="4" applyNumberFormat="1" applyFont="1" applyAlignment="1">
      <alignment vertical="center"/>
    </xf>
    <xf numFmtId="49" fontId="8" fillId="0" borderId="0" xfId="0" applyNumberFormat="1" applyFont="1" applyAlignment="1">
      <alignment horizontal="center" vertical="center"/>
    </xf>
    <xf numFmtId="10" fontId="9" fillId="0" borderId="0" xfId="4" applyNumberFormat="1" applyFont="1" applyAlignment="1">
      <alignment vertical="center"/>
    </xf>
    <xf numFmtId="0" fontId="2" fillId="0" borderId="0" xfId="0" applyFont="1"/>
    <xf numFmtId="49" fontId="8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/>
    <xf numFmtId="49" fontId="15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4" fontId="8" fillId="0" borderId="0" xfId="1" applyNumberFormat="1" applyFont="1" applyAlignment="1">
      <alignment vertical="center"/>
    </xf>
    <xf numFmtId="165" fontId="16" fillId="0" borderId="0" xfId="1" applyFont="1" applyAlignment="1">
      <alignment horizontal="center" vertical="center"/>
    </xf>
    <xf numFmtId="10" fontId="9" fillId="4" borderId="23" xfId="4" applyNumberFormat="1" applyFont="1" applyFill="1" applyBorder="1" applyAlignment="1">
      <alignment vertical="center"/>
    </xf>
    <xf numFmtId="0" fontId="2" fillId="4" borderId="15" xfId="0" applyFont="1" applyFill="1" applyBorder="1" applyAlignment="1">
      <alignment vertical="center"/>
    </xf>
    <xf numFmtId="0" fontId="2" fillId="4" borderId="23" xfId="0" applyFont="1" applyFill="1" applyBorder="1" applyAlignment="1">
      <alignment vertical="center"/>
    </xf>
    <xf numFmtId="165" fontId="16" fillId="4" borderId="24" xfId="1" applyFont="1" applyFill="1" applyBorder="1" applyAlignment="1">
      <alignment horizontal="center" vertical="center"/>
    </xf>
    <xf numFmtId="165" fontId="18" fillId="0" borderId="0" xfId="1" applyFont="1" applyAlignment="1">
      <alignment horizontal="right"/>
    </xf>
    <xf numFmtId="0" fontId="2" fillId="4" borderId="24" xfId="0" applyFont="1" applyFill="1" applyBorder="1" applyAlignment="1">
      <alignment vertical="center"/>
    </xf>
    <xf numFmtId="10" fontId="9" fillId="4" borderId="24" xfId="4" applyNumberFormat="1" applyFont="1" applyFill="1" applyBorder="1" applyAlignment="1">
      <alignment vertical="center"/>
    </xf>
    <xf numFmtId="0" fontId="17" fillId="0" borderId="0" xfId="0" applyFont="1" applyAlignment="1">
      <alignment horizontal="right"/>
    </xf>
    <xf numFmtId="9" fontId="47" fillId="0" borderId="0" xfId="4" applyFont="1" applyAlignment="1">
      <alignment horizontal="center"/>
    </xf>
    <xf numFmtId="0" fontId="16" fillId="0" borderId="0" xfId="0" applyFont="1" applyAlignment="1">
      <alignment horizontal="right" vertical="center"/>
    </xf>
    <xf numFmtId="4" fontId="16" fillId="0" borderId="0" xfId="1" applyNumberFormat="1" applyFont="1" applyAlignment="1">
      <alignment vertical="center"/>
    </xf>
    <xf numFmtId="4" fontId="16" fillId="0" borderId="0" xfId="2" applyNumberFormat="1" applyFont="1" applyAlignment="1">
      <alignment horizontal="center" vertical="center"/>
    </xf>
    <xf numFmtId="0" fontId="19" fillId="0" borderId="0" xfId="0" applyFont="1" applyAlignment="1">
      <alignment horizontal="right"/>
    </xf>
    <xf numFmtId="0" fontId="20" fillId="0" borderId="0" xfId="0" applyFont="1" applyAlignment="1">
      <alignment horizontal="right"/>
    </xf>
    <xf numFmtId="0" fontId="20" fillId="0" borderId="13" xfId="0" applyFont="1" applyBorder="1" applyAlignment="1">
      <alignment horizontal="right"/>
    </xf>
    <xf numFmtId="165" fontId="21" fillId="5" borderId="9" xfId="1" applyFont="1" applyFill="1" applyBorder="1" applyAlignment="1">
      <alignment horizontal="right"/>
    </xf>
    <xf numFmtId="165" fontId="21" fillId="0" borderId="0" xfId="1" applyFont="1" applyAlignment="1">
      <alignment horizontal="right"/>
    </xf>
    <xf numFmtId="165" fontId="8" fillId="0" borderId="1" xfId="1" applyFont="1" applyBorder="1" applyAlignment="1">
      <alignment vertical="center"/>
    </xf>
    <xf numFmtId="0" fontId="22" fillId="0" borderId="0" xfId="0" applyFont="1" applyAlignment="1">
      <alignment horizontal="left" vertical="center"/>
    </xf>
    <xf numFmtId="10" fontId="23" fillId="0" borderId="0" xfId="4" applyNumberFormat="1" applyFont="1" applyAlignment="1">
      <alignment horizontal="right"/>
    </xf>
    <xf numFmtId="172" fontId="8" fillId="4" borderId="1" xfId="1" applyNumberFormat="1" applyFont="1" applyFill="1" applyBorder="1" applyAlignment="1">
      <alignment vertical="center"/>
    </xf>
    <xf numFmtId="4" fontId="2" fillId="0" borderId="0" xfId="0" applyNumberFormat="1" applyFont="1" applyAlignment="1">
      <alignment horizontal="center" vertical="center"/>
    </xf>
    <xf numFmtId="165" fontId="8" fillId="6" borderId="1" xfId="1" applyFont="1" applyFill="1" applyBorder="1" applyAlignment="1">
      <alignment vertical="center"/>
    </xf>
    <xf numFmtId="165" fontId="24" fillId="0" borderId="0" xfId="0" applyNumberFormat="1" applyFont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0" fontId="9" fillId="4" borderId="25" xfId="0" applyFont="1" applyFill="1" applyBorder="1" applyAlignment="1">
      <alignment vertical="center"/>
    </xf>
    <xf numFmtId="0" fontId="26" fillId="0" borderId="0" xfId="0" applyFont="1" applyAlignment="1">
      <alignment vertical="center"/>
    </xf>
    <xf numFmtId="2" fontId="23" fillId="0" borderId="0" xfId="1" applyNumberFormat="1" applyFont="1" applyAlignment="1">
      <alignment horizontal="center"/>
    </xf>
    <xf numFmtId="2" fontId="20" fillId="0" borderId="0" xfId="1" applyNumberFormat="1" applyFont="1" applyAlignment="1">
      <alignment horizontal="center"/>
    </xf>
    <xf numFmtId="0" fontId="2" fillId="4" borderId="25" xfId="0" applyFont="1" applyFill="1" applyBorder="1" applyAlignment="1">
      <alignment vertical="center"/>
    </xf>
    <xf numFmtId="10" fontId="2" fillId="0" borderId="0" xfId="4" applyNumberFormat="1" applyFont="1" applyAlignment="1">
      <alignment vertical="center"/>
    </xf>
    <xf numFmtId="4" fontId="2" fillId="0" borderId="0" xfId="1" applyNumberFormat="1" applyFont="1" applyAlignment="1">
      <alignment vertical="center"/>
    </xf>
    <xf numFmtId="165" fontId="21" fillId="4" borderId="15" xfId="1" applyFont="1" applyFill="1" applyBorder="1" applyAlignment="1">
      <alignment horizontal="right"/>
    </xf>
    <xf numFmtId="0" fontId="8" fillId="4" borderId="16" xfId="0" applyFont="1" applyFill="1" applyBorder="1" applyAlignment="1">
      <alignment horizontal="right" vertical="center"/>
    </xf>
    <xf numFmtId="10" fontId="27" fillId="0" borderId="0" xfId="1" applyNumberFormat="1" applyFont="1" applyAlignment="1">
      <alignment vertical="center"/>
    </xf>
    <xf numFmtId="165" fontId="28" fillId="0" borderId="0" xfId="0" applyNumberFormat="1" applyFont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165" fontId="29" fillId="0" borderId="0" xfId="1" applyFont="1" applyAlignment="1">
      <alignment vertical="center"/>
    </xf>
    <xf numFmtId="4" fontId="30" fillId="0" borderId="0" xfId="2" applyNumberFormat="1" applyFont="1" applyAlignment="1">
      <alignment horizontal="center" vertical="center" wrapText="1"/>
    </xf>
    <xf numFmtId="165" fontId="2" fillId="0" borderId="0" xfId="1" applyFont="1" applyAlignment="1">
      <alignment vertical="center"/>
    </xf>
    <xf numFmtId="9" fontId="2" fillId="0" borderId="0" xfId="1" applyNumberFormat="1" applyFont="1" applyAlignment="1">
      <alignment vertical="center"/>
    </xf>
    <xf numFmtId="0" fontId="1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5" fillId="0" borderId="0" xfId="0" applyFont="1" applyAlignment="1">
      <alignment horizontal="right" vertical="center"/>
    </xf>
    <xf numFmtId="4" fontId="15" fillId="0" borderId="0" xfId="1" applyNumberFormat="1" applyFont="1" applyAlignment="1">
      <alignment vertical="center"/>
    </xf>
    <xf numFmtId="4" fontId="8" fillId="7" borderId="9" xfId="1" applyNumberFormat="1" applyFont="1" applyFill="1" applyBorder="1" applyAlignment="1">
      <alignment horizontal="center" vertical="center"/>
    </xf>
    <xf numFmtId="0" fontId="31" fillId="0" borderId="0" xfId="0" applyFont="1" applyAlignment="1">
      <alignment vertical="center"/>
    </xf>
    <xf numFmtId="165" fontId="31" fillId="0" borderId="0" xfId="1" applyFont="1" applyAlignment="1">
      <alignment vertical="center"/>
    </xf>
    <xf numFmtId="9" fontId="31" fillId="0" borderId="0" xfId="1" applyNumberFormat="1" applyFont="1" applyAlignment="1">
      <alignment vertical="center"/>
    </xf>
    <xf numFmtId="4" fontId="8" fillId="0" borderId="0" xfId="1" applyNumberFormat="1" applyFont="1" applyAlignment="1">
      <alignment horizontal="center" vertical="center"/>
    </xf>
    <xf numFmtId="10" fontId="24" fillId="0" borderId="0" xfId="4" applyNumberFormat="1" applyFont="1" applyAlignment="1">
      <alignment vertical="center"/>
    </xf>
    <xf numFmtId="165" fontId="24" fillId="0" borderId="0" xfId="1" applyFont="1" applyAlignment="1">
      <alignment vertical="center"/>
    </xf>
    <xf numFmtId="4" fontId="2" fillId="0" borderId="0" xfId="0" applyNumberFormat="1" applyFont="1" applyAlignment="1">
      <alignment horizontal="center"/>
    </xf>
    <xf numFmtId="165" fontId="2" fillId="0" borderId="0" xfId="1" applyFont="1"/>
    <xf numFmtId="0" fontId="24" fillId="0" borderId="0" xfId="0" applyFont="1" applyAlignment="1">
      <alignment horizontal="right"/>
    </xf>
    <xf numFmtId="165" fontId="2" fillId="0" borderId="0" xfId="1" applyFont="1" applyAlignment="1">
      <alignment horizontal="center"/>
    </xf>
    <xf numFmtId="9" fontId="34" fillId="0" borderId="0" xfId="0" applyNumberFormat="1" applyFont="1" applyAlignment="1">
      <alignment horizontal="left"/>
    </xf>
    <xf numFmtId="4" fontId="8" fillId="0" borderId="0" xfId="0" applyNumberFormat="1" applyFont="1" applyAlignment="1">
      <alignment horizontal="center"/>
    </xf>
    <xf numFmtId="165" fontId="8" fillId="0" borderId="0" xfId="0" applyNumberFormat="1" applyFont="1"/>
    <xf numFmtId="0" fontId="22" fillId="0" borderId="0" xfId="0" applyFont="1"/>
    <xf numFmtId="0" fontId="36" fillId="0" borderId="26" xfId="0" applyFont="1" applyBorder="1" applyAlignment="1">
      <alignment horizontal="center" vertical="center" wrapText="1"/>
    </xf>
    <xf numFmtId="0" fontId="37" fillId="5" borderId="1" xfId="0" applyFont="1" applyFill="1" applyBorder="1" applyAlignment="1">
      <alignment horizontal="center"/>
    </xf>
    <xf numFmtId="0" fontId="37" fillId="5" borderId="1" xfId="0" applyFont="1" applyFill="1" applyBorder="1" applyAlignment="1">
      <alignment horizontal="center" wrapText="1"/>
    </xf>
    <xf numFmtId="0" fontId="21" fillId="0" borderId="0" xfId="0" applyFont="1"/>
    <xf numFmtId="0" fontId="21" fillId="0" borderId="0" xfId="0" applyFont="1" applyAlignment="1">
      <alignment horizontal="center"/>
    </xf>
    <xf numFmtId="165" fontId="21" fillId="0" borderId="0" xfId="1" applyFont="1"/>
    <xf numFmtId="4" fontId="21" fillId="0" borderId="0" xfId="1" applyNumberFormat="1" applyFont="1" applyAlignment="1">
      <alignment horizontal="right"/>
    </xf>
    <xf numFmtId="9" fontId="21" fillId="0" borderId="0" xfId="4" applyFont="1" applyAlignment="1">
      <alignment horizontal="right"/>
    </xf>
    <xf numFmtId="49" fontId="21" fillId="0" borderId="0" xfId="2" applyNumberFormat="1" applyFont="1" applyAlignment="1">
      <alignment horizontal="center"/>
    </xf>
    <xf numFmtId="0" fontId="18" fillId="0" borderId="0" xfId="0" applyFont="1"/>
    <xf numFmtId="165" fontId="38" fillId="0" borderId="0" xfId="1" applyFont="1" applyAlignment="1">
      <alignment horizontal="center"/>
    </xf>
    <xf numFmtId="0" fontId="38" fillId="0" borderId="0" xfId="0" applyFont="1"/>
    <xf numFmtId="4" fontId="38" fillId="0" borderId="0" xfId="2" applyNumberFormat="1" applyFont="1"/>
    <xf numFmtId="4" fontId="38" fillId="0" borderId="0" xfId="2" applyNumberFormat="1" applyFont="1" applyAlignment="1">
      <alignment horizontal="right"/>
    </xf>
    <xf numFmtId="9" fontId="19" fillId="0" borderId="0" xfId="4" applyFont="1"/>
    <xf numFmtId="49" fontId="38" fillId="0" borderId="0" xfId="2" applyNumberFormat="1" applyFont="1" applyAlignment="1">
      <alignment horizontal="center"/>
    </xf>
    <xf numFmtId="9" fontId="21" fillId="0" borderId="0" xfId="4" applyFont="1" applyAlignment="1">
      <alignment vertical="center"/>
    </xf>
    <xf numFmtId="165" fontId="18" fillId="0" borderId="27" xfId="1" applyFont="1" applyBorder="1" applyAlignment="1">
      <alignment horizontal="right"/>
    </xf>
    <xf numFmtId="9" fontId="19" fillId="0" borderId="0" xfId="1" applyNumberFormat="1" applyFont="1"/>
    <xf numFmtId="4" fontId="19" fillId="0" borderId="0" xfId="1" applyNumberFormat="1" applyFont="1" applyAlignment="1">
      <alignment horizontal="right"/>
    </xf>
    <xf numFmtId="10" fontId="18" fillId="0" borderId="0" xfId="4" applyNumberFormat="1" applyFont="1" applyAlignment="1">
      <alignment horizontal="right"/>
    </xf>
    <xf numFmtId="0" fontId="19" fillId="0" borderId="0" xfId="0" applyFont="1" applyAlignment="1">
      <alignment horizontal="center"/>
    </xf>
    <xf numFmtId="10" fontId="21" fillId="0" borderId="0" xfId="4" applyNumberFormat="1" applyFont="1" applyAlignment="1">
      <alignment horizontal="right"/>
    </xf>
    <xf numFmtId="168" fontId="23" fillId="0" borderId="0" xfId="1" applyNumberFormat="1" applyFont="1"/>
    <xf numFmtId="0" fontId="21" fillId="0" borderId="0" xfId="4" applyNumberFormat="1" applyFont="1" applyAlignment="1">
      <alignment vertical="center"/>
    </xf>
    <xf numFmtId="2" fontId="19" fillId="0" borderId="0" xfId="0" applyNumberFormat="1" applyFont="1" applyAlignment="1">
      <alignment horizontal="center"/>
    </xf>
    <xf numFmtId="0" fontId="39" fillId="0" borderId="0" xfId="0" applyFont="1" applyAlignment="1">
      <alignment horizontal="right"/>
    </xf>
    <xf numFmtId="10" fontId="21" fillId="0" borderId="0" xfId="4" applyNumberFormat="1" applyFont="1"/>
    <xf numFmtId="0" fontId="18" fillId="4" borderId="15" xfId="0" applyFont="1" applyFill="1" applyBorder="1"/>
    <xf numFmtId="0" fontId="18" fillId="0" borderId="28" xfId="0" applyFont="1" applyBorder="1" applyAlignment="1">
      <alignment horizontal="right"/>
    </xf>
    <xf numFmtId="10" fontId="20" fillId="0" borderId="0" xfId="4" applyNumberFormat="1" applyFont="1"/>
    <xf numFmtId="165" fontId="21" fillId="9" borderId="0" xfId="1" applyFont="1" applyFill="1" applyAlignment="1">
      <alignment horizontal="right"/>
    </xf>
    <xf numFmtId="10" fontId="21" fillId="0" borderId="0" xfId="4" applyNumberFormat="1" applyFont="1" applyAlignment="1">
      <alignment vertical="center"/>
    </xf>
    <xf numFmtId="9" fontId="19" fillId="0" borderId="0" xfId="4" applyFont="1" applyAlignment="1">
      <alignment horizontal="center"/>
    </xf>
    <xf numFmtId="2" fontId="41" fillId="0" borderId="0" xfId="0" applyNumberFormat="1" applyFont="1" applyAlignment="1">
      <alignment horizontal="center"/>
    </xf>
    <xf numFmtId="10" fontId="43" fillId="0" borderId="0" xfId="4" applyNumberFormat="1" applyFont="1" applyAlignment="1">
      <alignment horizontal="right"/>
    </xf>
    <xf numFmtId="3" fontId="21" fillId="3" borderId="9" xfId="0" applyNumberFormat="1" applyFont="1" applyFill="1" applyBorder="1" applyAlignment="1">
      <alignment horizontal="center"/>
    </xf>
    <xf numFmtId="10" fontId="20" fillId="0" borderId="0" xfId="4" applyNumberFormat="1" applyFont="1" applyAlignment="1">
      <alignment horizontal="right"/>
    </xf>
    <xf numFmtId="1" fontId="20" fillId="0" borderId="0" xfId="0" applyNumberFormat="1" applyFont="1" applyAlignment="1">
      <alignment horizontal="center"/>
    </xf>
    <xf numFmtId="165" fontId="23" fillId="0" borderId="0" xfId="0" applyNumberFormat="1" applyFont="1" applyAlignment="1">
      <alignment horizontal="right"/>
    </xf>
    <xf numFmtId="0" fontId="18" fillId="0" borderId="0" xfId="0" applyFont="1" applyAlignment="1">
      <alignment horizontal="right"/>
    </xf>
    <xf numFmtId="0" fontId="22" fillId="0" borderId="0" xfId="0" applyFont="1" applyAlignment="1">
      <alignment horizontal="right"/>
    </xf>
    <xf numFmtId="10" fontId="44" fillId="0" borderId="0" xfId="4" applyNumberFormat="1" applyFont="1"/>
    <xf numFmtId="0" fontId="45" fillId="0" borderId="0" xfId="0" applyFont="1" applyAlignment="1">
      <alignment horizontal="center"/>
    </xf>
    <xf numFmtId="10" fontId="42" fillId="11" borderId="0" xfId="4" applyNumberFormat="1" applyFont="1" applyFill="1" applyAlignment="1">
      <alignment horizontal="right"/>
    </xf>
    <xf numFmtId="165" fontId="18" fillId="11" borderId="0" xfId="1" applyFont="1" applyFill="1" applyAlignment="1">
      <alignment horizontal="right"/>
    </xf>
    <xf numFmtId="10" fontId="21" fillId="11" borderId="0" xfId="4" applyNumberFormat="1" applyFont="1" applyFill="1"/>
    <xf numFmtId="2" fontId="19" fillId="11" borderId="0" xfId="0" applyNumberFormat="1" applyFont="1" applyFill="1" applyAlignment="1">
      <alignment horizontal="center"/>
    </xf>
    <xf numFmtId="0" fontId="18" fillId="11" borderId="0" xfId="0" applyFont="1" applyFill="1"/>
    <xf numFmtId="165" fontId="18" fillId="11" borderId="0" xfId="1" applyFont="1" applyFill="1"/>
    <xf numFmtId="0" fontId="5" fillId="5" borderId="14" xfId="3" applyFont="1" applyFill="1" applyBorder="1" applyAlignment="1">
      <alignment horizontal="center" vertical="center" wrapText="1"/>
    </xf>
    <xf numFmtId="0" fontId="5" fillId="5" borderId="15" xfId="3" applyFont="1" applyFill="1" applyBorder="1" applyAlignment="1">
      <alignment horizontal="center" vertical="center" wrapText="1"/>
    </xf>
    <xf numFmtId="0" fontId="5" fillId="5" borderId="16" xfId="3" applyFont="1" applyFill="1" applyBorder="1" applyAlignment="1">
      <alignment horizontal="center" vertical="center" wrapText="1"/>
    </xf>
    <xf numFmtId="0" fontId="49" fillId="2" borderId="0" xfId="6" applyFont="1" applyFill="1" applyAlignment="1">
      <alignment horizontal="right"/>
    </xf>
    <xf numFmtId="0" fontId="49" fillId="2" borderId="0" xfId="6" applyFont="1" applyFill="1"/>
    <xf numFmtId="0" fontId="4" fillId="2" borderId="54" xfId="3" applyFont="1" applyFill="1" applyBorder="1" applyAlignment="1">
      <alignment horizontal="left"/>
    </xf>
    <xf numFmtId="0" fontId="4" fillId="2" borderId="0" xfId="3" applyFont="1" applyFill="1" applyAlignment="1">
      <alignment horizontal="left"/>
    </xf>
    <xf numFmtId="0" fontId="16" fillId="0" borderId="0" xfId="0" applyFont="1" applyAlignment="1">
      <alignment horizontal="right" vertical="center"/>
    </xf>
    <xf numFmtId="0" fontId="21" fillId="4" borderId="14" xfId="0" applyFont="1" applyFill="1" applyBorder="1" applyAlignment="1">
      <alignment horizontal="right"/>
    </xf>
    <xf numFmtId="0" fontId="21" fillId="4" borderId="15" xfId="0" applyFont="1" applyFill="1" applyBorder="1" applyAlignment="1">
      <alignment horizontal="right"/>
    </xf>
    <xf numFmtId="0" fontId="2" fillId="0" borderId="0" xfId="0" applyFont="1" applyAlignment="1">
      <alignment horizontal="right" vertical="center"/>
    </xf>
    <xf numFmtId="0" fontId="33" fillId="0" borderId="0" xfId="0" applyFont="1" applyAlignment="1">
      <alignment horizontal="right"/>
    </xf>
    <xf numFmtId="0" fontId="8" fillId="0" borderId="28" xfId="0" applyFont="1" applyBorder="1" applyAlignment="1">
      <alignment horizontal="right" vertical="center"/>
    </xf>
    <xf numFmtId="0" fontId="8" fillId="0" borderId="48" xfId="0" applyFont="1" applyBorder="1" applyAlignment="1">
      <alignment horizontal="right" vertical="center"/>
    </xf>
    <xf numFmtId="0" fontId="8" fillId="8" borderId="14" xfId="0" applyFont="1" applyFill="1" applyBorder="1" applyAlignment="1">
      <alignment horizontal="right" vertical="center"/>
    </xf>
    <xf numFmtId="0" fontId="8" fillId="8" borderId="15" xfId="0" applyFont="1" applyFill="1" applyBorder="1" applyAlignment="1">
      <alignment horizontal="right" vertical="center"/>
    </xf>
    <xf numFmtId="0" fontId="8" fillId="8" borderId="16" xfId="0" applyFont="1" applyFill="1" applyBorder="1" applyAlignment="1">
      <alignment horizontal="right" vertical="center"/>
    </xf>
    <xf numFmtId="4" fontId="30" fillId="0" borderId="0" xfId="2" applyNumberFormat="1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32" fillId="0" borderId="14" xfId="0" applyFont="1" applyBorder="1" applyAlignment="1">
      <alignment horizontal="right" vertical="center"/>
    </xf>
    <xf numFmtId="0" fontId="32" fillId="0" borderId="15" xfId="0" applyFont="1" applyBorder="1" applyAlignment="1">
      <alignment horizontal="right" vertical="center"/>
    </xf>
    <xf numFmtId="0" fontId="32" fillId="0" borderId="16" xfId="0" applyFont="1" applyBorder="1" applyAlignment="1">
      <alignment horizontal="right" vertical="center"/>
    </xf>
    <xf numFmtId="0" fontId="24" fillId="0" borderId="1" xfId="0" applyFont="1" applyBorder="1" applyAlignment="1">
      <alignment horizontal="right" vertical="center"/>
    </xf>
    <xf numFmtId="0" fontId="17" fillId="0" borderId="0" xfId="0" applyFont="1" applyAlignment="1">
      <alignment horizontal="right"/>
    </xf>
    <xf numFmtId="0" fontId="25" fillId="0" borderId="12" xfId="0" applyFont="1" applyBorder="1" applyAlignment="1">
      <alignment horizontal="right"/>
    </xf>
    <xf numFmtId="0" fontId="25" fillId="0" borderId="0" xfId="0" applyFont="1" applyAlignment="1">
      <alignment horizontal="right"/>
    </xf>
    <xf numFmtId="0" fontId="25" fillId="0" borderId="13" xfId="0" applyFont="1" applyBorder="1" applyAlignment="1">
      <alignment horizontal="right"/>
    </xf>
    <xf numFmtId="0" fontId="23" fillId="0" borderId="28" xfId="0" applyFont="1" applyBorder="1" applyAlignment="1">
      <alignment horizontal="right"/>
    </xf>
    <xf numFmtId="0" fontId="8" fillId="0" borderId="0" xfId="0" applyFont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17" fillId="0" borderId="38" xfId="0" applyFont="1" applyBorder="1" applyAlignment="1">
      <alignment horizontal="right"/>
    </xf>
    <xf numFmtId="0" fontId="17" fillId="0" borderId="39" xfId="0" applyFont="1" applyBorder="1" applyAlignment="1">
      <alignment horizontal="right"/>
    </xf>
    <xf numFmtId="0" fontId="11" fillId="0" borderId="28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right" vertical="center" wrapText="1"/>
    </xf>
    <xf numFmtId="0" fontId="36" fillId="4" borderId="14" xfId="0" applyFont="1" applyFill="1" applyBorder="1" applyAlignment="1">
      <alignment horizontal="right"/>
    </xf>
    <xf numFmtId="0" fontId="36" fillId="4" borderId="15" xfId="0" applyFont="1" applyFill="1" applyBorder="1" applyAlignment="1">
      <alignment horizontal="right"/>
    </xf>
    <xf numFmtId="0" fontId="40" fillId="0" borderId="0" xfId="0" applyFont="1" applyAlignment="1">
      <alignment horizontal="right"/>
    </xf>
    <xf numFmtId="0" fontId="48" fillId="0" borderId="0" xfId="0" applyFont="1" applyAlignment="1">
      <alignment horizontal="right"/>
    </xf>
    <xf numFmtId="0" fontId="40" fillId="11" borderId="0" xfId="0" applyFont="1" applyFill="1" applyAlignment="1">
      <alignment horizontal="right"/>
    </xf>
    <xf numFmtId="0" fontId="40" fillId="0" borderId="28" xfId="0" applyFont="1" applyBorder="1" applyAlignment="1">
      <alignment horizontal="right"/>
    </xf>
    <xf numFmtId="0" fontId="18" fillId="4" borderId="14" xfId="0" applyFont="1" applyFill="1" applyBorder="1" applyAlignment="1">
      <alignment horizontal="center"/>
    </xf>
    <xf numFmtId="0" fontId="18" fillId="4" borderId="15" xfId="0" applyFont="1" applyFill="1" applyBorder="1" applyAlignment="1">
      <alignment horizontal="center"/>
    </xf>
    <xf numFmtId="0" fontId="40" fillId="0" borderId="39" xfId="0" applyFont="1" applyBorder="1" applyAlignment="1">
      <alignment horizontal="right"/>
    </xf>
    <xf numFmtId="0" fontId="20" fillId="0" borderId="0" xfId="0" applyFont="1" applyAlignment="1">
      <alignment horizontal="right"/>
    </xf>
    <xf numFmtId="0" fontId="20" fillId="0" borderId="13" xfId="0" applyFont="1" applyBorder="1" applyAlignment="1">
      <alignment horizontal="right"/>
    </xf>
    <xf numFmtId="0" fontId="35" fillId="0" borderId="14" xfId="0" applyFont="1" applyBorder="1" applyAlignment="1">
      <alignment horizontal="center"/>
    </xf>
    <xf numFmtId="0" fontId="35" fillId="0" borderId="15" xfId="0" applyFont="1" applyBorder="1" applyAlignment="1">
      <alignment horizontal="center"/>
    </xf>
    <xf numFmtId="0" fontId="35" fillId="0" borderId="16" xfId="0" applyFont="1" applyBorder="1" applyAlignment="1">
      <alignment horizontal="center"/>
    </xf>
    <xf numFmtId="0" fontId="35" fillId="0" borderId="49" xfId="0" applyFont="1" applyBorder="1" applyAlignment="1">
      <alignment horizontal="center" vertical="center" wrapText="1"/>
    </xf>
    <xf numFmtId="0" fontId="36" fillId="0" borderId="50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right" vertical="center" wrapText="1"/>
    </xf>
    <xf numFmtId="0" fontId="50" fillId="2" borderId="38" xfId="3" applyFont="1" applyFill="1" applyBorder="1" applyAlignment="1">
      <alignment horizontal="center"/>
    </xf>
    <xf numFmtId="0" fontId="50" fillId="2" borderId="39" xfId="3" applyFont="1" applyFill="1" applyBorder="1" applyAlignment="1">
      <alignment horizontal="center"/>
    </xf>
    <xf numFmtId="0" fontId="5" fillId="2" borderId="2" xfId="3" applyFont="1" applyFill="1" applyBorder="1" applyAlignment="1">
      <alignment horizontal="center"/>
    </xf>
    <xf numFmtId="0" fontId="5" fillId="2" borderId="2" xfId="3" applyFont="1" applyFill="1" applyBorder="1" applyAlignment="1">
      <alignment horizontal="right"/>
    </xf>
    <xf numFmtId="0" fontId="50" fillId="2" borderId="4" xfId="3" applyFont="1" applyFill="1" applyBorder="1" applyAlignment="1">
      <alignment horizontal="center"/>
    </xf>
    <xf numFmtId="0" fontId="50" fillId="2" borderId="12" xfId="3" applyFont="1" applyFill="1" applyBorder="1" applyAlignment="1">
      <alignment horizontal="center"/>
    </xf>
    <xf numFmtId="0" fontId="50" fillId="2" borderId="0" xfId="3" applyFont="1" applyFill="1" applyAlignment="1">
      <alignment horizontal="center"/>
    </xf>
    <xf numFmtId="0" fontId="5" fillId="2" borderId="45" xfId="3" applyFont="1" applyFill="1" applyBorder="1" applyAlignment="1">
      <alignment horizontal="center"/>
    </xf>
    <xf numFmtId="0" fontId="5" fillId="2" borderId="51" xfId="3" applyFont="1" applyFill="1" applyBorder="1" applyAlignment="1">
      <alignment horizontal="center"/>
    </xf>
    <xf numFmtId="0" fontId="5" fillId="2" borderId="44" xfId="3" applyFont="1" applyFill="1" applyBorder="1" applyAlignment="1">
      <alignment horizontal="center"/>
    </xf>
    <xf numFmtId="0" fontId="5" fillId="2" borderId="1" xfId="3" applyFont="1" applyFill="1" applyBorder="1" applyAlignment="1">
      <alignment horizontal="right"/>
    </xf>
    <xf numFmtId="49" fontId="50" fillId="2" borderId="8" xfId="3" applyNumberFormat="1" applyFont="1" applyFill="1" applyBorder="1" applyAlignment="1">
      <alignment horizontal="center"/>
    </xf>
    <xf numFmtId="0" fontId="5" fillId="2" borderId="30" xfId="3" applyFont="1" applyFill="1" applyBorder="1" applyAlignment="1">
      <alignment horizontal="right" vertical="top" wrapText="1"/>
    </xf>
    <xf numFmtId="14" fontId="50" fillId="2" borderId="33" xfId="3" applyNumberFormat="1" applyFont="1" applyFill="1" applyBorder="1" applyAlignment="1">
      <alignment horizontal="center" vertical="center" wrapText="1"/>
    </xf>
    <xf numFmtId="0" fontId="50" fillId="2" borderId="3" xfId="3" applyFont="1" applyFill="1" applyBorder="1" applyAlignment="1">
      <alignment horizontal="right"/>
    </xf>
    <xf numFmtId="0" fontId="50" fillId="2" borderId="35" xfId="3" applyFont="1" applyFill="1" applyBorder="1" applyAlignment="1">
      <alignment horizontal="left"/>
    </xf>
    <xf numFmtId="0" fontId="50" fillId="2" borderId="36" xfId="3" applyFont="1" applyFill="1" applyBorder="1" applyAlignment="1">
      <alignment horizontal="left"/>
    </xf>
    <xf numFmtId="0" fontId="50" fillId="2" borderId="37" xfId="3" applyFont="1" applyFill="1" applyBorder="1" applyAlignment="1">
      <alignment horizontal="left"/>
    </xf>
    <xf numFmtId="0" fontId="5" fillId="2" borderId="31" xfId="3" applyFont="1" applyFill="1" applyBorder="1" applyAlignment="1">
      <alignment horizontal="right" vertical="top" wrapText="1"/>
    </xf>
    <xf numFmtId="14" fontId="50" fillId="2" borderId="34" xfId="3" applyNumberFormat="1" applyFont="1" applyFill="1" applyBorder="1" applyAlignment="1">
      <alignment horizontal="center" vertical="center" wrapText="1"/>
    </xf>
    <xf numFmtId="0" fontId="50" fillId="2" borderId="52" xfId="3" applyFont="1" applyFill="1" applyBorder="1" applyAlignment="1">
      <alignment horizontal="center"/>
    </xf>
    <xf numFmtId="0" fontId="50" fillId="2" borderId="26" xfId="3" applyFont="1" applyFill="1" applyBorder="1" applyAlignment="1">
      <alignment horizontal="center"/>
    </xf>
    <xf numFmtId="0" fontId="50" fillId="2" borderId="1" xfId="3" applyFont="1" applyFill="1" applyBorder="1" applyAlignment="1">
      <alignment horizontal="right"/>
    </xf>
    <xf numFmtId="0" fontId="50" fillId="2" borderId="18" xfId="3" applyFont="1" applyFill="1" applyBorder="1" applyAlignment="1">
      <alignment horizontal="left"/>
    </xf>
    <xf numFmtId="0" fontId="50" fillId="2" borderId="29" xfId="3" applyFont="1" applyFill="1" applyBorder="1" applyAlignment="1">
      <alignment horizontal="left"/>
    </xf>
    <xf numFmtId="0" fontId="50" fillId="2" borderId="10" xfId="3" applyFont="1" applyFill="1" applyBorder="1" applyAlignment="1">
      <alignment horizontal="left"/>
    </xf>
    <xf numFmtId="0" fontId="5" fillId="2" borderId="32" xfId="3" applyFont="1" applyFill="1" applyBorder="1" applyAlignment="1">
      <alignment horizontal="right" vertical="top" wrapText="1"/>
    </xf>
    <xf numFmtId="14" fontId="50" fillId="2" borderId="7" xfId="3" applyNumberFormat="1" applyFont="1" applyFill="1" applyBorder="1" applyAlignment="1">
      <alignment horizontal="center" vertical="center" wrapText="1"/>
    </xf>
    <xf numFmtId="0" fontId="51" fillId="2" borderId="28" xfId="6" applyFont="1" applyFill="1" applyBorder="1" applyAlignment="1">
      <alignment horizontal="center"/>
    </xf>
    <xf numFmtId="14" fontId="51" fillId="2" borderId="0" xfId="6" applyNumberFormat="1" applyFont="1" applyFill="1" applyAlignment="1">
      <alignment horizontal="center" vertical="center" wrapText="1"/>
    </xf>
    <xf numFmtId="0" fontId="5" fillId="3" borderId="42" xfId="7" applyFont="1" applyFill="1" applyBorder="1" applyAlignment="1">
      <alignment horizontal="center" vertical="center"/>
    </xf>
    <xf numFmtId="0" fontId="5" fillId="3" borderId="42" xfId="7" applyFont="1" applyFill="1" applyBorder="1" applyAlignment="1">
      <alignment horizontal="center" vertical="center" wrapText="1"/>
    </xf>
    <xf numFmtId="0" fontId="5" fillId="3" borderId="2" xfId="7" applyFont="1" applyFill="1" applyBorder="1" applyAlignment="1">
      <alignment horizontal="center" vertical="center"/>
    </xf>
    <xf numFmtId="0" fontId="5" fillId="3" borderId="4" xfId="7" applyFont="1" applyFill="1" applyBorder="1" applyAlignment="1">
      <alignment horizontal="center" vertical="center" wrapText="1"/>
    </xf>
    <xf numFmtId="0" fontId="5" fillId="3" borderId="43" xfId="7" applyFont="1" applyFill="1" applyBorder="1" applyAlignment="1">
      <alignment horizontal="center" vertical="center"/>
    </xf>
    <xf numFmtId="0" fontId="5" fillId="3" borderId="43" xfId="7" applyFont="1" applyFill="1" applyBorder="1" applyAlignment="1">
      <alignment horizontal="center" vertical="center" wrapText="1"/>
    </xf>
    <xf numFmtId="0" fontId="5" fillId="3" borderId="5" xfId="7" applyFont="1" applyFill="1" applyBorder="1" applyAlignment="1">
      <alignment horizontal="center" vertical="center"/>
    </xf>
    <xf numFmtId="1" fontId="5" fillId="3" borderId="5" xfId="7" applyNumberFormat="1" applyFont="1" applyFill="1" applyBorder="1" applyAlignment="1">
      <alignment horizontal="center"/>
    </xf>
    <xf numFmtId="1" fontId="5" fillId="3" borderId="5" xfId="7" applyNumberFormat="1" applyFont="1" applyFill="1" applyBorder="1" applyAlignment="1">
      <alignment horizontal="center" wrapText="1"/>
    </xf>
    <xf numFmtId="0" fontId="5" fillId="3" borderId="6" xfId="7" applyFont="1" applyFill="1" applyBorder="1" applyAlignment="1">
      <alignment horizontal="center"/>
    </xf>
    <xf numFmtId="0" fontId="52" fillId="0" borderId="11" xfId="7" applyFont="1" applyBorder="1" applyAlignment="1">
      <alignment horizontal="center" vertical="center"/>
    </xf>
    <xf numFmtId="0" fontId="52" fillId="0" borderId="10" xfId="7" applyFont="1" applyBorder="1" applyAlignment="1">
      <alignment horizontal="center" vertical="center"/>
    </xf>
    <xf numFmtId="0" fontId="53" fillId="0" borderId="1" xfId="7" applyFont="1" applyBorder="1" applyAlignment="1">
      <alignment vertical="center"/>
    </xf>
    <xf numFmtId="0" fontId="52" fillId="0" borderId="1" xfId="7" applyFont="1" applyBorder="1" applyAlignment="1">
      <alignment horizontal="center" vertical="center"/>
    </xf>
    <xf numFmtId="1" fontId="52" fillId="0" borderId="1" xfId="7" applyNumberFormat="1" applyFont="1" applyBorder="1" applyAlignment="1">
      <alignment horizontal="center"/>
    </xf>
    <xf numFmtId="1" fontId="52" fillId="0" borderId="1" xfId="7" applyNumberFormat="1" applyFont="1" applyBorder="1" applyAlignment="1">
      <alignment horizontal="center" wrapText="1"/>
    </xf>
    <xf numFmtId="0" fontId="54" fillId="0" borderId="8" xfId="7" applyFont="1" applyBorder="1" applyAlignment="1">
      <alignment horizontal="center"/>
    </xf>
    <xf numFmtId="0" fontId="55" fillId="0" borderId="0" xfId="0" applyFont="1" applyAlignment="1">
      <alignment horizontal="center"/>
    </xf>
    <xf numFmtId="0" fontId="55" fillId="0" borderId="0" xfId="0" applyFont="1" applyAlignment="1">
      <alignment horizontal="left"/>
    </xf>
    <xf numFmtId="16" fontId="54" fillId="2" borderId="3" xfId="0" applyNumberFormat="1" applyFont="1" applyFill="1" applyBorder="1" applyAlignment="1">
      <alignment horizontal="center"/>
    </xf>
    <xf numFmtId="1" fontId="54" fillId="2" borderId="3" xfId="0" applyNumberFormat="1" applyFont="1" applyFill="1" applyBorder="1" applyAlignment="1">
      <alignment horizontal="center"/>
    </xf>
    <xf numFmtId="1" fontId="54" fillId="2" borderId="3" xfId="0" applyNumberFormat="1" applyFont="1" applyFill="1" applyBorder="1" applyAlignment="1">
      <alignment horizontal="center" wrapText="1"/>
    </xf>
    <xf numFmtId="0" fontId="50" fillId="0" borderId="3" xfId="0" applyFont="1" applyBorder="1" applyAlignment="1">
      <alignment horizontal="center" wrapText="1"/>
    </xf>
    <xf numFmtId="12" fontId="50" fillId="0" borderId="3" xfId="0" applyNumberFormat="1" applyFont="1" applyBorder="1" applyAlignment="1">
      <alignment horizontal="center"/>
    </xf>
    <xf numFmtId="0" fontId="55" fillId="0" borderId="1" xfId="0" applyFont="1" applyBorder="1" applyAlignment="1">
      <alignment horizontal="center" vertical="top"/>
    </xf>
    <xf numFmtId="0" fontId="55" fillId="0" borderId="10" xfId="0" applyFont="1" applyBorder="1" applyAlignment="1">
      <alignment horizontal="center" vertical="top"/>
    </xf>
    <xf numFmtId="0" fontId="55" fillId="0" borderId="10" xfId="0" applyFont="1" applyBorder="1" applyAlignment="1">
      <alignment vertical="top"/>
    </xf>
    <xf numFmtId="16" fontId="54" fillId="2" borderId="1" xfId="0" applyNumberFormat="1" applyFont="1" applyFill="1" applyBorder="1" applyAlignment="1">
      <alignment horizontal="center"/>
    </xf>
    <xf numFmtId="1" fontId="54" fillId="2" borderId="1" xfId="0" applyNumberFormat="1" applyFont="1" applyFill="1" applyBorder="1" applyAlignment="1">
      <alignment horizontal="center"/>
    </xf>
    <xf numFmtId="1" fontId="54" fillId="2" borderId="1" xfId="0" applyNumberFormat="1" applyFont="1" applyFill="1" applyBorder="1" applyAlignment="1">
      <alignment horizontal="center" wrapText="1"/>
    </xf>
    <xf numFmtId="0" fontId="55" fillId="0" borderId="1" xfId="0" applyFont="1" applyBorder="1" applyAlignment="1">
      <alignment horizontal="center"/>
    </xf>
    <xf numFmtId="0" fontId="55" fillId="0" borderId="0" xfId="0" applyFont="1"/>
    <xf numFmtId="0" fontId="50" fillId="0" borderId="1" xfId="0" applyFont="1" applyBorder="1" applyAlignment="1">
      <alignment horizontal="center"/>
    </xf>
    <xf numFmtId="0" fontId="55" fillId="9" borderId="1" xfId="0" applyFont="1" applyFill="1" applyBorder="1"/>
    <xf numFmtId="1" fontId="54" fillId="0" borderId="1" xfId="7" applyNumberFormat="1" applyFont="1" applyBorder="1" applyAlignment="1">
      <alignment horizontal="center"/>
    </xf>
    <xf numFmtId="0" fontId="54" fillId="0" borderId="1" xfId="7" applyFont="1" applyBorder="1" applyAlignment="1">
      <alignment horizontal="center"/>
    </xf>
    <xf numFmtId="1" fontId="54" fillId="0" borderId="1" xfId="7" applyNumberFormat="1" applyFont="1" applyBorder="1" applyAlignment="1">
      <alignment horizontal="center" wrapText="1"/>
    </xf>
    <xf numFmtId="1" fontId="55" fillId="0" borderId="1" xfId="0" applyNumberFormat="1" applyFont="1" applyBorder="1"/>
    <xf numFmtId="0" fontId="55" fillId="0" borderId="1" xfId="0" applyFont="1" applyBorder="1"/>
    <xf numFmtId="0" fontId="50" fillId="9" borderId="1" xfId="7" applyFont="1" applyFill="1" applyBorder="1" applyAlignment="1">
      <alignment horizontal="center"/>
    </xf>
    <xf numFmtId="49" fontId="54" fillId="0" borderId="11" xfId="7" applyNumberFormat="1" applyFont="1" applyBorder="1" applyAlignment="1">
      <alignment horizontal="center"/>
    </xf>
    <xf numFmtId="49" fontId="54" fillId="0" borderId="10" xfId="7" applyNumberFormat="1" applyFont="1" applyBorder="1" applyAlignment="1">
      <alignment horizontal="center"/>
    </xf>
    <xf numFmtId="0" fontId="52" fillId="9" borderId="1" xfId="7" applyFont="1" applyFill="1" applyBorder="1" applyAlignment="1">
      <alignment horizontal="left"/>
    </xf>
    <xf numFmtId="169" fontId="54" fillId="0" borderId="1" xfId="7" applyNumberFormat="1" applyFont="1" applyBorder="1" applyAlignment="1">
      <alignment horizontal="center"/>
    </xf>
    <xf numFmtId="0" fontId="56" fillId="9" borderId="11" xfId="0" applyFont="1" applyFill="1" applyBorder="1" applyAlignment="1">
      <alignment horizontal="center"/>
    </xf>
    <xf numFmtId="0" fontId="56" fillId="9" borderId="47" xfId="0" applyFont="1" applyFill="1" applyBorder="1" applyAlignment="1">
      <alignment horizontal="center"/>
    </xf>
    <xf numFmtId="0" fontId="56" fillId="9" borderId="3" xfId="0" applyFont="1" applyFill="1" applyBorder="1"/>
    <xf numFmtId="0" fontId="50" fillId="9" borderId="10" xfId="0" applyFont="1" applyFill="1" applyBorder="1" applyAlignment="1">
      <alignment horizontal="center"/>
    </xf>
    <xf numFmtId="1" fontId="50" fillId="9" borderId="3" xfId="0" applyNumberFormat="1" applyFont="1" applyFill="1" applyBorder="1" applyAlignment="1">
      <alignment horizontal="center"/>
    </xf>
    <xf numFmtId="1" fontId="50" fillId="9" borderId="3" xfId="0" applyNumberFormat="1" applyFont="1" applyFill="1" applyBorder="1" applyAlignment="1">
      <alignment horizontal="center" wrapText="1"/>
    </xf>
    <xf numFmtId="49" fontId="50" fillId="9" borderId="3" xfId="0" applyNumberFormat="1" applyFont="1" applyFill="1" applyBorder="1" applyAlignment="1">
      <alignment horizontal="center"/>
    </xf>
    <xf numFmtId="1" fontId="50" fillId="9" borderId="1" xfId="7" applyNumberFormat="1" applyFont="1" applyFill="1" applyBorder="1" applyAlignment="1">
      <alignment horizontal="center"/>
    </xf>
    <xf numFmtId="1" fontId="50" fillId="9" borderId="1" xfId="7" applyNumberFormat="1" applyFont="1" applyFill="1" applyBorder="1" applyAlignment="1">
      <alignment horizontal="center" wrapText="1"/>
    </xf>
    <xf numFmtId="1" fontId="50" fillId="9" borderId="1" xfId="0" applyNumberFormat="1" applyFont="1" applyFill="1" applyBorder="1" applyAlignment="1">
      <alignment horizontal="center"/>
    </xf>
    <xf numFmtId="16" fontId="50" fillId="9" borderId="1" xfId="0" applyNumberFormat="1" applyFont="1" applyFill="1" applyBorder="1" applyAlignment="1">
      <alignment horizontal="center"/>
    </xf>
    <xf numFmtId="0" fontId="50" fillId="2" borderId="1" xfId="0" applyFont="1" applyFill="1" applyBorder="1" applyAlignment="1">
      <alignment horizontal="center"/>
    </xf>
    <xf numFmtId="1" fontId="50" fillId="0" borderId="3" xfId="0" applyNumberFormat="1" applyFont="1" applyBorder="1" applyAlignment="1">
      <alignment horizontal="center" wrapText="1"/>
    </xf>
    <xf numFmtId="16" fontId="50" fillId="0" borderId="1" xfId="0" applyNumberFormat="1" applyFont="1" applyBorder="1" applyAlignment="1">
      <alignment horizontal="center"/>
    </xf>
    <xf numFmtId="1" fontId="50" fillId="0" borderId="3" xfId="0" applyNumberFormat="1" applyFont="1" applyBorder="1" applyAlignment="1">
      <alignment horizontal="center"/>
    </xf>
    <xf numFmtId="1" fontId="50" fillId="0" borderId="1" xfId="0" applyNumberFormat="1" applyFont="1" applyBorder="1" applyAlignment="1">
      <alignment horizontal="center"/>
    </xf>
    <xf numFmtId="1" fontId="50" fillId="0" borderId="1" xfId="0" applyNumberFormat="1" applyFont="1" applyBorder="1" applyAlignment="1">
      <alignment horizontal="center" wrapText="1"/>
    </xf>
    <xf numFmtId="49" fontId="52" fillId="0" borderId="17" xfId="7" applyNumberFormat="1" applyFont="1" applyBorder="1" applyAlignment="1">
      <alignment horizontal="center"/>
    </xf>
    <xf numFmtId="49" fontId="52" fillId="0" borderId="29" xfId="7" applyNumberFormat="1" applyFont="1" applyBorder="1" applyAlignment="1">
      <alignment horizontal="center"/>
    </xf>
    <xf numFmtId="0" fontId="53" fillId="9" borderId="1" xfId="7" applyFont="1" applyFill="1" applyBorder="1" applyAlignment="1">
      <alignment vertical="center"/>
    </xf>
    <xf numFmtId="0" fontId="52" fillId="0" borderId="10" xfId="7" applyFont="1" applyBorder="1" applyAlignment="1">
      <alignment horizontal="center"/>
    </xf>
    <xf numFmtId="169" fontId="52" fillId="0" borderId="1" xfId="7" applyNumberFormat="1" applyFont="1" applyBorder="1" applyAlignment="1">
      <alignment horizontal="center"/>
    </xf>
    <xf numFmtId="49" fontId="54" fillId="0" borderId="1" xfId="0" applyNumberFormat="1" applyFont="1" applyBorder="1" applyAlignment="1">
      <alignment horizontal="center"/>
    </xf>
    <xf numFmtId="49" fontId="54" fillId="0" borderId="1" xfId="0" applyNumberFormat="1" applyFont="1" applyBorder="1"/>
    <xf numFmtId="0" fontId="54" fillId="0" borderId="1" xfId="0" applyFont="1" applyBorder="1" applyAlignment="1">
      <alignment horizontal="center"/>
    </xf>
    <xf numFmtId="1" fontId="54" fillId="0" borderId="1" xfId="0" applyNumberFormat="1" applyFont="1" applyBorder="1" applyAlignment="1">
      <alignment horizontal="center"/>
    </xf>
    <xf numFmtId="1" fontId="54" fillId="0" borderId="1" xfId="0" applyNumberFormat="1" applyFont="1" applyBorder="1" applyAlignment="1">
      <alignment horizontal="center" wrapText="1"/>
    </xf>
    <xf numFmtId="167" fontId="5" fillId="9" borderId="1" xfId="1" applyNumberFormat="1" applyFont="1" applyFill="1" applyBorder="1" applyAlignment="1">
      <alignment horizontal="center"/>
    </xf>
    <xf numFmtId="0" fontId="57" fillId="0" borderId="1" xfId="8" applyFont="1" applyBorder="1" applyAlignment="1">
      <alignment horizontal="center"/>
    </xf>
    <xf numFmtId="0" fontId="57" fillId="0" borderId="1" xfId="8" applyFont="1" applyBorder="1" applyAlignment="1">
      <alignment horizontal="left"/>
    </xf>
    <xf numFmtId="16" fontId="54" fillId="0" borderId="1" xfId="0" applyNumberFormat="1" applyFont="1" applyBorder="1" applyAlignment="1">
      <alignment horizontal="center"/>
    </xf>
    <xf numFmtId="0" fontId="55" fillId="0" borderId="1" xfId="0" applyFont="1" applyBorder="1" applyAlignment="1">
      <alignment horizontal="center" vertical="center"/>
    </xf>
    <xf numFmtId="0" fontId="55" fillId="0" borderId="1" xfId="0" applyFont="1" applyBorder="1" applyAlignment="1">
      <alignment horizontal="left" vertical="center"/>
    </xf>
    <xf numFmtId="12" fontId="54" fillId="0" borderId="1" xfId="7" applyNumberFormat="1" applyFont="1" applyBorder="1" applyAlignment="1">
      <alignment horizontal="center"/>
    </xf>
    <xf numFmtId="0" fontId="50" fillId="0" borderId="1" xfId="0" quotePrefix="1" applyFont="1" applyBorder="1" applyAlignment="1">
      <alignment horizontal="center"/>
    </xf>
    <xf numFmtId="0" fontId="50" fillId="0" borderId="1" xfId="0" quotePrefix="1" applyFont="1" applyBorder="1"/>
    <xf numFmtId="49" fontId="54" fillId="0" borderId="1" xfId="7" applyNumberFormat="1" applyFont="1" applyBorder="1"/>
    <xf numFmtId="49" fontId="58" fillId="2" borderId="12" xfId="7" applyNumberFormat="1" applyFont="1" applyFill="1" applyBorder="1" applyAlignment="1">
      <alignment horizontal="center" vertical="center"/>
    </xf>
    <xf numFmtId="49" fontId="58" fillId="2" borderId="0" xfId="7" applyNumberFormat="1" applyFont="1" applyFill="1" applyAlignment="1">
      <alignment horizontal="center" vertical="center"/>
    </xf>
    <xf numFmtId="0" fontId="50" fillId="2" borderId="0" xfId="7" applyFont="1" applyFill="1"/>
    <xf numFmtId="1" fontId="50" fillId="2" borderId="0" xfId="7" applyNumberFormat="1" applyFont="1" applyFill="1" applyAlignment="1">
      <alignment horizontal="center"/>
    </xf>
    <xf numFmtId="170" fontId="50" fillId="2" borderId="0" xfId="7" applyNumberFormat="1" applyFont="1" applyFill="1" applyAlignment="1">
      <alignment horizontal="center" wrapText="1"/>
    </xf>
    <xf numFmtId="0" fontId="50" fillId="2" borderId="13" xfId="7" applyFont="1" applyFill="1" applyBorder="1" applyAlignment="1">
      <alignment horizontal="center"/>
    </xf>
    <xf numFmtId="0" fontId="50" fillId="3" borderId="14" xfId="7" applyFont="1" applyFill="1" applyBorder="1" applyAlignment="1">
      <alignment horizontal="center"/>
    </xf>
    <xf numFmtId="0" fontId="50" fillId="3" borderId="15" xfId="7" applyFont="1" applyFill="1" applyBorder="1" applyAlignment="1">
      <alignment horizontal="center"/>
    </xf>
    <xf numFmtId="0" fontId="50" fillId="3" borderId="15" xfId="7" applyFont="1" applyFill="1" applyBorder="1"/>
    <xf numFmtId="0" fontId="5" fillId="3" borderId="15" xfId="7" applyFont="1" applyFill="1" applyBorder="1" applyAlignment="1">
      <alignment horizontal="center"/>
    </xf>
    <xf numFmtId="1" fontId="5" fillId="3" borderId="15" xfId="7" applyNumberFormat="1" applyFont="1" applyFill="1" applyBorder="1" applyAlignment="1">
      <alignment horizontal="center"/>
    </xf>
    <xf numFmtId="170" fontId="50" fillId="3" borderId="15" xfId="7" applyNumberFormat="1" applyFont="1" applyFill="1" applyBorder="1" applyAlignment="1">
      <alignment horizontal="center" wrapText="1"/>
    </xf>
    <xf numFmtId="0" fontId="50" fillId="3" borderId="16" xfId="7" applyFont="1" applyFill="1" applyBorder="1" applyAlignment="1">
      <alignment horizontal="center"/>
    </xf>
    <xf numFmtId="0" fontId="5" fillId="0" borderId="52" xfId="7" applyFont="1" applyBorder="1" applyAlignment="1">
      <alignment horizontal="right"/>
    </xf>
    <xf numFmtId="0" fontId="5" fillId="0" borderId="26" xfId="7" applyFont="1" applyBorder="1" applyAlignment="1">
      <alignment horizontal="right"/>
    </xf>
    <xf numFmtId="0" fontId="5" fillId="0" borderId="47" xfId="7" applyFont="1" applyBorder="1" applyAlignment="1">
      <alignment horizontal="right"/>
    </xf>
    <xf numFmtId="0" fontId="50" fillId="0" borderId="40" xfId="0" applyFont="1" applyBorder="1" applyAlignment="1">
      <alignment horizontal="center"/>
    </xf>
    <xf numFmtId="170" fontId="50" fillId="0" borderId="3" xfId="7" applyNumberFormat="1" applyFont="1" applyBorder="1" applyAlignment="1">
      <alignment horizontal="right"/>
    </xf>
    <xf numFmtId="0" fontId="50" fillId="2" borderId="40" xfId="7" applyFont="1" applyFill="1" applyBorder="1" applyAlignment="1">
      <alignment horizontal="center"/>
    </xf>
    <xf numFmtId="0" fontId="50" fillId="2" borderId="41" xfId="7" applyFont="1" applyFill="1" applyBorder="1" applyAlignment="1">
      <alignment horizontal="center"/>
    </xf>
    <xf numFmtId="0" fontId="5" fillId="0" borderId="17" xfId="7" applyFont="1" applyBorder="1" applyAlignment="1">
      <alignment horizontal="right"/>
    </xf>
    <xf numFmtId="0" fontId="5" fillId="0" borderId="29" xfId="7" applyFont="1" applyBorder="1" applyAlignment="1">
      <alignment horizontal="right"/>
    </xf>
    <xf numFmtId="0" fontId="5" fillId="0" borderId="10" xfId="7" applyFont="1" applyBorder="1" applyAlignment="1">
      <alignment horizontal="right"/>
    </xf>
    <xf numFmtId="0" fontId="50" fillId="0" borderId="1" xfId="7" applyFont="1" applyBorder="1" applyAlignment="1">
      <alignment horizontal="right"/>
    </xf>
    <xf numFmtId="170" fontId="50" fillId="0" borderId="18" xfId="7" applyNumberFormat="1" applyFont="1" applyBorder="1" applyAlignment="1">
      <alignment horizontal="center"/>
    </xf>
    <xf numFmtId="170" fontId="50" fillId="0" borderId="19" xfId="7" applyNumberFormat="1" applyFont="1" applyBorder="1" applyAlignment="1">
      <alignment horizontal="center"/>
    </xf>
    <xf numFmtId="170" fontId="50" fillId="0" borderId="18" xfId="7" applyNumberFormat="1" applyFont="1" applyBorder="1" applyAlignment="1">
      <alignment horizontal="right" wrapText="1"/>
    </xf>
    <xf numFmtId="170" fontId="50" fillId="0" borderId="10" xfId="7" applyNumberFormat="1" applyFont="1" applyBorder="1" applyAlignment="1">
      <alignment horizontal="right" wrapText="1"/>
    </xf>
    <xf numFmtId="170" fontId="50" fillId="0" borderId="18" xfId="0" applyNumberFormat="1" applyFont="1" applyBorder="1" applyAlignment="1">
      <alignment horizontal="center" wrapText="1"/>
    </xf>
    <xf numFmtId="170" fontId="50" fillId="0" borderId="19" xfId="0" applyNumberFormat="1" applyFont="1" applyBorder="1" applyAlignment="1">
      <alignment horizontal="center" wrapText="1"/>
    </xf>
    <xf numFmtId="0" fontId="5" fillId="0" borderId="43" xfId="7" applyFont="1" applyBorder="1" applyAlignment="1">
      <alignment horizontal="right"/>
    </xf>
    <xf numFmtId="0" fontId="5" fillId="0" borderId="44" xfId="7" applyFont="1" applyBorder="1" applyAlignment="1">
      <alignment horizontal="right"/>
    </xf>
    <xf numFmtId="0" fontId="5" fillId="0" borderId="5" xfId="7" applyFont="1" applyBorder="1" applyAlignment="1">
      <alignment horizontal="right"/>
    </xf>
    <xf numFmtId="1" fontId="50" fillId="0" borderId="5" xfId="0" applyNumberFormat="1" applyFont="1" applyBorder="1" applyAlignment="1">
      <alignment horizontal="center"/>
    </xf>
    <xf numFmtId="0" fontId="50" fillId="0" borderId="5" xfId="0" applyFont="1" applyBorder="1" applyAlignment="1">
      <alignment horizontal="center"/>
    </xf>
    <xf numFmtId="0" fontId="50" fillId="0" borderId="5" xfId="7" applyFont="1" applyBorder="1" applyAlignment="1">
      <alignment horizontal="right"/>
    </xf>
    <xf numFmtId="0" fontId="5" fillId="3" borderId="14" xfId="7" applyFont="1" applyFill="1" applyBorder="1" applyAlignment="1">
      <alignment horizontal="left"/>
    </xf>
    <xf numFmtId="0" fontId="5" fillId="3" borderId="15" xfId="7" applyFont="1" applyFill="1" applyBorder="1" applyAlignment="1">
      <alignment horizontal="left"/>
    </xf>
    <xf numFmtId="0" fontId="5" fillId="3" borderId="16" xfId="7" applyFont="1" applyFill="1" applyBorder="1" applyAlignment="1">
      <alignment horizontal="left"/>
    </xf>
    <xf numFmtId="0" fontId="50" fillId="0" borderId="46" xfId="0" applyFont="1" applyBorder="1" applyAlignment="1">
      <alignment horizontal="left"/>
    </xf>
    <xf numFmtId="0" fontId="50" fillId="0" borderId="47" xfId="0" applyFont="1" applyBorder="1" applyAlignment="1">
      <alignment horizontal="left"/>
    </xf>
    <xf numFmtId="0" fontId="50" fillId="0" borderId="3" xfId="0" applyFont="1" applyBorder="1" applyAlignment="1">
      <alignment horizontal="left"/>
    </xf>
    <xf numFmtId="0" fontId="50" fillId="0" borderId="7" xfId="0" applyFont="1" applyBorder="1" applyAlignment="1">
      <alignment horizontal="left"/>
    </xf>
    <xf numFmtId="0" fontId="54" fillId="0" borderId="17" xfId="0" applyFont="1" applyBorder="1" applyAlignment="1">
      <alignment horizontal="left"/>
    </xf>
    <xf numFmtId="0" fontId="54" fillId="0" borderId="29" xfId="0" applyFont="1" applyBorder="1" applyAlignment="1">
      <alignment horizontal="left"/>
    </xf>
    <xf numFmtId="0" fontId="54" fillId="0" borderId="19" xfId="0" applyFont="1" applyBorder="1" applyAlignment="1">
      <alignment horizontal="left"/>
    </xf>
    <xf numFmtId="0" fontId="5" fillId="0" borderId="52" xfId="7" applyFont="1" applyBorder="1" applyAlignment="1">
      <alignment horizontal="left" wrapText="1"/>
    </xf>
    <xf numFmtId="0" fontId="5" fillId="0" borderId="26" xfId="7" applyFont="1" applyBorder="1" applyAlignment="1">
      <alignment horizontal="left" wrapText="1"/>
    </xf>
    <xf numFmtId="0" fontId="5" fillId="0" borderId="41" xfId="7" applyFont="1" applyBorder="1" applyAlignment="1">
      <alignment horizontal="left" wrapText="1"/>
    </xf>
    <xf numFmtId="0" fontId="52" fillId="0" borderId="17" xfId="0" applyFont="1" applyBorder="1" applyAlignment="1">
      <alignment horizontal="left"/>
    </xf>
    <xf numFmtId="0" fontId="52" fillId="0" borderId="29" xfId="0" applyFont="1" applyBorder="1" applyAlignment="1">
      <alignment horizontal="left"/>
    </xf>
    <xf numFmtId="0" fontId="52" fillId="0" borderId="19" xfId="0" applyFont="1" applyBorder="1" applyAlignment="1">
      <alignment horizontal="left"/>
    </xf>
    <xf numFmtId="0" fontId="5" fillId="12" borderId="53" xfId="3" applyFont="1" applyFill="1" applyBorder="1" applyAlignment="1">
      <alignment horizontal="center"/>
    </xf>
    <xf numFmtId="0" fontId="5" fillId="12" borderId="39" xfId="3" applyFont="1" applyFill="1" applyBorder="1" applyAlignment="1">
      <alignment horizontal="center"/>
    </xf>
  </cellXfs>
  <cellStyles count="9">
    <cellStyle name="Millares" xfId="1" builtinId="3"/>
    <cellStyle name="Millares [0]" xfId="2" builtinId="6"/>
    <cellStyle name="Normal" xfId="0" builtinId="0"/>
    <cellStyle name="Normal 2" xfId="7" xr:uid="{77FCA3FB-09D0-4A1A-8BF6-A0FB5F18A9B8}"/>
    <cellStyle name="Normal 3" xfId="8" xr:uid="{5246A57B-4664-436A-A60C-53ABFB7BC1D5}"/>
    <cellStyle name="Normal_CRITERIOS DE EVALUACION PT DE GB" xfId="3" xr:uid="{15892EEB-A584-4DA5-894A-DA4E134A1B28}"/>
    <cellStyle name="Normal_CRITERIOS DE EVALUACION PT DE GB 2" xfId="6" xr:uid="{311C6071-084F-4D79-99B4-6C152EA5DDE9}"/>
    <cellStyle name="Porcentaje" xfId="4" builtinId="5"/>
    <cellStyle name="Porcentaje 2" xfId="5" xr:uid="{ADD4EEEC-23BB-4150-BC4C-48D2D90AA94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Usuarios\Base%20datos%20costos%20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 ARTIC"/>
      <sheetName val="MP PLANTA"/>
      <sheetName val="EMP PLANTA"/>
      <sheetName val="SEMIELABORADOS"/>
      <sheetName val="PROD PLANTA LOCALES"/>
      <sheetName val="MP LOCALES"/>
      <sheetName val="EMP LOCALES"/>
      <sheetName val="Base datos costos 2016"/>
      <sheetName val="calculo"/>
      <sheetName val="MUNDP LOCALES"/>
    </sheetNames>
    <sheetDataSet>
      <sheetData sheetId="0"/>
      <sheetData sheetId="1">
        <row r="2">
          <cell r="A2" t="str">
            <v>99999</v>
          </cell>
          <cell r="B2" t="str">
            <v>AGUA</v>
          </cell>
          <cell r="C2" t="str">
            <v>LITRO</v>
          </cell>
          <cell r="D2" t="e">
            <v>#N/A</v>
          </cell>
          <cell r="E2" t="str">
            <v>Mililitro</v>
          </cell>
          <cell r="F2" t="e">
            <v>#N/A</v>
          </cell>
        </row>
        <row r="3">
          <cell r="A3" t="str">
            <v>0101005</v>
          </cell>
          <cell r="B3" t="str">
            <v>AJO PELADO (PAQ=1 KILO )</v>
          </cell>
          <cell r="C3" t="str">
            <v>KILO</v>
          </cell>
          <cell r="D3">
            <v>3743.7820000000002</v>
          </cell>
          <cell r="E3" t="str">
            <v>Gramo</v>
          </cell>
          <cell r="F3">
            <v>3.7437819999999999</v>
          </cell>
        </row>
        <row r="4">
          <cell r="A4" t="str">
            <v>0101019</v>
          </cell>
          <cell r="B4" t="str">
            <v>ZANAHORIA TIRAS (PAQ=500g)</v>
          </cell>
          <cell r="C4" t="str">
            <v>KILO</v>
          </cell>
          <cell r="D4">
            <v>856</v>
          </cell>
          <cell r="E4" t="str">
            <v>Gramo</v>
          </cell>
          <cell r="F4">
            <v>0.85599999999999998</v>
          </cell>
        </row>
        <row r="5">
          <cell r="A5" t="str">
            <v>0101020</v>
          </cell>
          <cell r="B5" t="str">
            <v>BERENJENAS.</v>
          </cell>
          <cell r="C5" t="str">
            <v>KILO</v>
          </cell>
          <cell r="D5">
            <v>1300.001</v>
          </cell>
          <cell r="E5" t="str">
            <v>Gramo</v>
          </cell>
          <cell r="F5">
            <v>1.300001</v>
          </cell>
        </row>
        <row r="6">
          <cell r="A6" t="str">
            <v>0101022</v>
          </cell>
          <cell r="B6" t="str">
            <v>PAPA MINI (KILO)</v>
          </cell>
          <cell r="C6" t="str">
            <v>KILO</v>
          </cell>
          <cell r="D6">
            <v>799.96799999999996</v>
          </cell>
          <cell r="E6" t="str">
            <v>Gramo</v>
          </cell>
          <cell r="F6">
            <v>0.79996800000000001</v>
          </cell>
        </row>
        <row r="7">
          <cell r="A7" t="str">
            <v>0101025</v>
          </cell>
          <cell r="B7" t="str">
            <v>BROCOLI</v>
          </cell>
          <cell r="C7" t="str">
            <v>KILO</v>
          </cell>
          <cell r="D7">
            <v>1171.385</v>
          </cell>
          <cell r="E7" t="str">
            <v>Gramo</v>
          </cell>
          <cell r="F7">
            <v>1.1713849999999999</v>
          </cell>
        </row>
        <row r="8">
          <cell r="A8" t="str">
            <v>0101035</v>
          </cell>
          <cell r="B8" t="str">
            <v>CEBOLLA PICADA ( 1 KILO )</v>
          </cell>
          <cell r="C8" t="str">
            <v>KILO</v>
          </cell>
          <cell r="D8">
            <v>1680.0150000000001</v>
          </cell>
          <cell r="E8" t="str">
            <v>Gramo</v>
          </cell>
          <cell r="F8">
            <v>1.680015</v>
          </cell>
        </row>
        <row r="9">
          <cell r="A9" t="str">
            <v>0101040</v>
          </cell>
          <cell r="B9" t="str">
            <v>CEBOLLA EN TRENZA</v>
          </cell>
          <cell r="C9" t="str">
            <v>KILO</v>
          </cell>
          <cell r="D9">
            <v>1657</v>
          </cell>
          <cell r="E9" t="str">
            <v>Gramo</v>
          </cell>
          <cell r="F9">
            <v>1.657</v>
          </cell>
        </row>
        <row r="10">
          <cell r="A10" t="str">
            <v>0101042</v>
          </cell>
          <cell r="B10" t="str">
            <v>CEBOLLA MORADA JULIANA ( KILO )</v>
          </cell>
          <cell r="C10" t="str">
            <v>KILO</v>
          </cell>
          <cell r="D10">
            <v>2200</v>
          </cell>
          <cell r="E10" t="str">
            <v>Gramo</v>
          </cell>
          <cell r="F10">
            <v>2.2000000000000002</v>
          </cell>
        </row>
        <row r="11">
          <cell r="A11" t="str">
            <v>0101043</v>
          </cell>
          <cell r="B11" t="str">
            <v>CEBOLLA BLANCA JULIANA (PAQ=1 KILO )</v>
          </cell>
          <cell r="C11" t="str">
            <v>KILO</v>
          </cell>
          <cell r="D11">
            <v>1880</v>
          </cell>
          <cell r="E11" t="str">
            <v>Gramo</v>
          </cell>
          <cell r="F11">
            <v>1.88</v>
          </cell>
        </row>
        <row r="12">
          <cell r="A12" t="str">
            <v>0101045</v>
          </cell>
          <cell r="B12" t="str">
            <v>CEBOLLINO</v>
          </cell>
          <cell r="C12" t="str">
            <v>KILO</v>
          </cell>
          <cell r="D12">
            <v>1749.98</v>
          </cell>
          <cell r="E12" t="str">
            <v>Gramo</v>
          </cell>
          <cell r="F12">
            <v>1.7499800000000001</v>
          </cell>
        </row>
        <row r="13">
          <cell r="A13" t="str">
            <v>0101047</v>
          </cell>
          <cell r="B13" t="str">
            <v>ZACATE LIMON (KILO)</v>
          </cell>
          <cell r="C13" t="str">
            <v>KILO</v>
          </cell>
          <cell r="D13">
            <v>20596.762999999999</v>
          </cell>
          <cell r="E13" t="str">
            <v>Gramo</v>
          </cell>
          <cell r="F13">
            <v>20.596762999999999</v>
          </cell>
        </row>
        <row r="14">
          <cell r="A14" t="str">
            <v>0101051</v>
          </cell>
          <cell r="B14" t="str">
            <v>CHAYOTE PICADO (PAQ=1 KILO)</v>
          </cell>
          <cell r="C14" t="str">
            <v>KILO</v>
          </cell>
          <cell r="D14">
            <v>995</v>
          </cell>
          <cell r="E14" t="str">
            <v>Gramo</v>
          </cell>
          <cell r="F14">
            <v>0.995</v>
          </cell>
        </row>
        <row r="15">
          <cell r="A15" t="str">
            <v>0101052</v>
          </cell>
          <cell r="B15" t="str">
            <v>AYOTE PICADO ( KILO )</v>
          </cell>
          <cell r="C15" t="str">
            <v>KILO</v>
          </cell>
          <cell r="D15">
            <v>1800</v>
          </cell>
          <cell r="E15" t="str">
            <v>Gramo</v>
          </cell>
          <cell r="F15">
            <v>1.8</v>
          </cell>
        </row>
        <row r="16">
          <cell r="A16" t="str">
            <v>0101073</v>
          </cell>
          <cell r="B16" t="str">
            <v>CULANTRO DESINFECTADO (250g)</v>
          </cell>
          <cell r="C16" t="str">
            <v>KILO</v>
          </cell>
          <cell r="D16">
            <v>2600.09</v>
          </cell>
          <cell r="E16" t="str">
            <v>Gramo</v>
          </cell>
          <cell r="F16">
            <v>2.6000900000000002</v>
          </cell>
        </row>
        <row r="17">
          <cell r="A17" t="str">
            <v>0101074</v>
          </cell>
          <cell r="B17" t="str">
            <v>PEREJIL DESINFECTADO (250g)</v>
          </cell>
          <cell r="C17" t="str">
            <v>KILO</v>
          </cell>
          <cell r="D17">
            <v>8000.0010000000002</v>
          </cell>
          <cell r="E17" t="str">
            <v>Gramo</v>
          </cell>
          <cell r="F17">
            <v>8.000001000000001</v>
          </cell>
        </row>
        <row r="18">
          <cell r="A18" t="str">
            <v>0101075</v>
          </cell>
          <cell r="B18" t="str">
            <v>ESPINACA EN HOJA</v>
          </cell>
          <cell r="C18" t="str">
            <v>KILO</v>
          </cell>
          <cell r="D18">
            <v>2700</v>
          </cell>
          <cell r="E18" t="str">
            <v>Gramo</v>
          </cell>
          <cell r="F18">
            <v>2.7</v>
          </cell>
        </row>
        <row r="19">
          <cell r="A19" t="str">
            <v>0101081</v>
          </cell>
          <cell r="B19" t="str">
            <v>FRESA PICADA Kg</v>
          </cell>
          <cell r="C19" t="str">
            <v>KILO</v>
          </cell>
          <cell r="D19">
            <v>2425</v>
          </cell>
          <cell r="E19" t="str">
            <v>Gramo</v>
          </cell>
          <cell r="F19">
            <v>2.4249999999999998</v>
          </cell>
        </row>
        <row r="20">
          <cell r="A20" t="str">
            <v>0101105</v>
          </cell>
          <cell r="B20" t="str">
            <v>HONGO FRESCO ( BANDEJA=1 KILO )</v>
          </cell>
          <cell r="C20" t="str">
            <v>KILO</v>
          </cell>
          <cell r="D20">
            <v>3334.8389999999999</v>
          </cell>
          <cell r="E20" t="str">
            <v>Gramo</v>
          </cell>
          <cell r="F20">
            <v>3.3348390000000001</v>
          </cell>
        </row>
        <row r="21">
          <cell r="A21" t="str">
            <v>0101106</v>
          </cell>
          <cell r="B21" t="str">
            <v>HONGO PORCINI (454G)</v>
          </cell>
          <cell r="C21" t="str">
            <v>KILO</v>
          </cell>
          <cell r="D21">
            <v>54200.34</v>
          </cell>
          <cell r="E21" t="str">
            <v>Gramo</v>
          </cell>
          <cell r="F21">
            <v>54.200339999999997</v>
          </cell>
        </row>
        <row r="22">
          <cell r="A22" t="str">
            <v>0101110</v>
          </cell>
          <cell r="B22" t="str">
            <v>HONGO PORTOBELLO (BANDEJA=500g)</v>
          </cell>
          <cell r="C22" t="str">
            <v>KILO</v>
          </cell>
          <cell r="D22">
            <v>5002.8710000000001</v>
          </cell>
          <cell r="E22" t="str">
            <v>Gramo</v>
          </cell>
          <cell r="F22">
            <v>5.0028709999999998</v>
          </cell>
        </row>
        <row r="23">
          <cell r="A23" t="str">
            <v>0101115</v>
          </cell>
          <cell r="B23" t="str">
            <v>CHILE DULCE PICADO (PAQ=500g)</v>
          </cell>
          <cell r="C23" t="str">
            <v>KILO</v>
          </cell>
          <cell r="D23">
            <v>2050.002</v>
          </cell>
          <cell r="E23" t="str">
            <v>Gramo</v>
          </cell>
          <cell r="F23">
            <v>2.0500020000000001</v>
          </cell>
        </row>
        <row r="24">
          <cell r="A24" t="str">
            <v>0101125</v>
          </cell>
          <cell r="B24" t="str">
            <v>LECHUGA AMERICANA ENTERA ( PAQ 500g)</v>
          </cell>
          <cell r="C24" t="str">
            <v>KILO</v>
          </cell>
          <cell r="D24">
            <v>1950</v>
          </cell>
          <cell r="E24" t="str">
            <v>Gramo</v>
          </cell>
          <cell r="F24">
            <v>1.95</v>
          </cell>
        </row>
        <row r="25">
          <cell r="A25" t="str">
            <v>0101130</v>
          </cell>
          <cell r="B25" t="str">
            <v>LIMONES MAYA 10 UNID</v>
          </cell>
          <cell r="C25" t="str">
            <v>UND</v>
          </cell>
          <cell r="D25">
            <v>179.67599999999999</v>
          </cell>
          <cell r="E25" t="str">
            <v>UND</v>
          </cell>
          <cell r="F25">
            <v>179.67599999999999</v>
          </cell>
        </row>
        <row r="26">
          <cell r="A26" t="str">
            <v>0101132</v>
          </cell>
          <cell r="B26" t="str">
            <v>LIMON EN POLVO ( BULTO 25 KG )</v>
          </cell>
          <cell r="C26" t="str">
            <v>KILO</v>
          </cell>
          <cell r="D26">
            <v>3437.4409999999998</v>
          </cell>
          <cell r="E26" t="str">
            <v>Gramo</v>
          </cell>
          <cell r="F26">
            <v>3.4374409999999997</v>
          </cell>
        </row>
        <row r="27">
          <cell r="A27" t="str">
            <v>0101150</v>
          </cell>
          <cell r="B27" t="str">
            <v>APIO PICADO PAQ.500gr</v>
          </cell>
          <cell r="C27" t="str">
            <v>KILO</v>
          </cell>
          <cell r="D27">
            <v>1652.002</v>
          </cell>
          <cell r="E27" t="str">
            <v>Gramo</v>
          </cell>
          <cell r="F27">
            <v>1.652002</v>
          </cell>
        </row>
        <row r="28">
          <cell r="A28" t="str">
            <v>0101155</v>
          </cell>
          <cell r="B28" t="str">
            <v>PALMITO CRUDO  KG</v>
          </cell>
          <cell r="C28" t="str">
            <v>KILO</v>
          </cell>
          <cell r="D28">
            <v>2000</v>
          </cell>
          <cell r="E28" t="str">
            <v>Gramo</v>
          </cell>
          <cell r="F28">
            <v>2</v>
          </cell>
        </row>
        <row r="29">
          <cell r="A29" t="str">
            <v>0101166</v>
          </cell>
          <cell r="B29" t="str">
            <v>PAPA PICADA (PAQ=1 KILO)</v>
          </cell>
          <cell r="C29" t="str">
            <v>KILO</v>
          </cell>
          <cell r="D29">
            <v>1894.971</v>
          </cell>
          <cell r="E29" t="str">
            <v>Gramo</v>
          </cell>
          <cell r="F29">
            <v>1.894971</v>
          </cell>
        </row>
        <row r="30">
          <cell r="A30" t="str">
            <v>0101190</v>
          </cell>
          <cell r="B30" t="str">
            <v>PUERRO KILO</v>
          </cell>
          <cell r="C30" t="str">
            <v>KILO</v>
          </cell>
          <cell r="D30">
            <v>5000</v>
          </cell>
          <cell r="E30" t="str">
            <v>Gramo</v>
          </cell>
          <cell r="F30">
            <v>5</v>
          </cell>
        </row>
        <row r="31">
          <cell r="A31" t="str">
            <v>0101205</v>
          </cell>
          <cell r="B31" t="str">
            <v>PEJIBALLE PELADO KILO</v>
          </cell>
          <cell r="C31" t="str">
            <v>KILO</v>
          </cell>
          <cell r="D31">
            <v>2585</v>
          </cell>
          <cell r="E31" t="str">
            <v>Gramo</v>
          </cell>
          <cell r="F31">
            <v>2.585</v>
          </cell>
        </row>
        <row r="32">
          <cell r="A32" t="str">
            <v>0101210</v>
          </cell>
          <cell r="B32" t="str">
            <v>TOMATE (KILO)</v>
          </cell>
          <cell r="C32" t="str">
            <v>KILO</v>
          </cell>
          <cell r="D32">
            <v>680</v>
          </cell>
          <cell r="E32" t="str">
            <v>Gramo</v>
          </cell>
          <cell r="F32">
            <v>0.68</v>
          </cell>
        </row>
        <row r="33">
          <cell r="A33" t="str">
            <v>0101236</v>
          </cell>
          <cell r="B33" t="str">
            <v>ZANAHORIA JULIANA ( PAQ=1K )</v>
          </cell>
          <cell r="C33" t="str">
            <v>KILO</v>
          </cell>
          <cell r="D33">
            <v>1795</v>
          </cell>
          <cell r="E33" t="str">
            <v>Gramo</v>
          </cell>
          <cell r="F33">
            <v>1.7949999999999999</v>
          </cell>
        </row>
        <row r="34">
          <cell r="A34" t="str">
            <v>0101240</v>
          </cell>
          <cell r="B34" t="str">
            <v>ZANAHORIA ENTERA</v>
          </cell>
          <cell r="C34" t="str">
            <v>KILO</v>
          </cell>
          <cell r="D34">
            <v>600</v>
          </cell>
          <cell r="E34" t="str">
            <v>Gramo</v>
          </cell>
          <cell r="F34">
            <v>0.6</v>
          </cell>
        </row>
        <row r="35">
          <cell r="A35" t="str">
            <v>0101241</v>
          </cell>
          <cell r="B35" t="str">
            <v>ZANAHORIA PICADA (PAQ=1 KILO)</v>
          </cell>
          <cell r="C35" t="str">
            <v>KILO</v>
          </cell>
          <cell r="D35">
            <v>995</v>
          </cell>
          <cell r="E35" t="str">
            <v>Gramo</v>
          </cell>
          <cell r="F35">
            <v>0.995</v>
          </cell>
        </row>
        <row r="36">
          <cell r="A36" t="str">
            <v>0101242</v>
          </cell>
          <cell r="B36" t="str">
            <v>PAPA PARA TAMAL (KILO)</v>
          </cell>
          <cell r="C36" t="str">
            <v>KILO</v>
          </cell>
          <cell r="D36">
            <v>2630.7</v>
          </cell>
          <cell r="E36" t="str">
            <v>Gramo</v>
          </cell>
          <cell r="F36">
            <v>2.6307</v>
          </cell>
        </row>
        <row r="37">
          <cell r="A37" t="str">
            <v>0101248</v>
          </cell>
          <cell r="B37" t="str">
            <v>ZUQUINI GRANEL (KILO)</v>
          </cell>
          <cell r="C37" t="str">
            <v>KILO</v>
          </cell>
          <cell r="D37">
            <v>1150</v>
          </cell>
          <cell r="E37" t="str">
            <v>Gramo</v>
          </cell>
          <cell r="F37">
            <v>1.1499999999999999</v>
          </cell>
        </row>
        <row r="38">
          <cell r="A38" t="str">
            <v>0101255</v>
          </cell>
          <cell r="B38" t="str">
            <v>HIGOS EN ALMIBAR KILO</v>
          </cell>
          <cell r="C38" t="str">
            <v>KILO</v>
          </cell>
          <cell r="D38">
            <v>2500</v>
          </cell>
          <cell r="E38" t="str">
            <v>Gramo</v>
          </cell>
          <cell r="F38">
            <v>2.5</v>
          </cell>
        </row>
        <row r="39">
          <cell r="A39" t="str">
            <v>0101260</v>
          </cell>
          <cell r="B39" t="str">
            <v>ALBAHACA KILO</v>
          </cell>
          <cell r="C39" t="str">
            <v>KILO</v>
          </cell>
          <cell r="D39">
            <v>5059.2879999999996</v>
          </cell>
          <cell r="E39" t="str">
            <v>Gramo</v>
          </cell>
          <cell r="F39">
            <v>5.0592879999999996</v>
          </cell>
        </row>
        <row r="40">
          <cell r="A40" t="str">
            <v>0110060</v>
          </cell>
          <cell r="B40" t="str">
            <v>PULPA DE TAMARINDO (250g)</v>
          </cell>
          <cell r="C40" t="str">
            <v>KILO</v>
          </cell>
          <cell r="D40">
            <v>1499.9760000000001</v>
          </cell>
          <cell r="E40" t="str">
            <v>Gramo</v>
          </cell>
          <cell r="F40">
            <v>1.4999760000000002</v>
          </cell>
        </row>
        <row r="41">
          <cell r="A41" t="str">
            <v>0110070</v>
          </cell>
          <cell r="B41" t="str">
            <v>MORA KG</v>
          </cell>
          <cell r="C41" t="str">
            <v>KILO</v>
          </cell>
          <cell r="D41">
            <v>2139.4499999999998</v>
          </cell>
          <cell r="E41" t="str">
            <v>Gramo</v>
          </cell>
          <cell r="F41">
            <v>2.1394499999999996</v>
          </cell>
        </row>
        <row r="42">
          <cell r="A42" t="str">
            <v>0110071</v>
          </cell>
          <cell r="B42" t="str">
            <v>ARANDANOS CONGELADOS (PAQ=2.26 Kg)</v>
          </cell>
          <cell r="C42" t="str">
            <v>KILO</v>
          </cell>
          <cell r="D42">
            <v>3891.91</v>
          </cell>
          <cell r="E42" t="str">
            <v>Gramo</v>
          </cell>
          <cell r="F42">
            <v>3.8919099999999998</v>
          </cell>
        </row>
        <row r="43">
          <cell r="A43" t="str">
            <v>0110086</v>
          </cell>
          <cell r="B43" t="str">
            <v>TOMILLO FRESCO KILO</v>
          </cell>
          <cell r="C43" t="str">
            <v>KILO</v>
          </cell>
          <cell r="D43">
            <v>5499.9840000000004</v>
          </cell>
          <cell r="E43" t="str">
            <v>Gramo</v>
          </cell>
          <cell r="F43">
            <v>5.4999840000000004</v>
          </cell>
        </row>
        <row r="44">
          <cell r="A44" t="str">
            <v>0110090</v>
          </cell>
          <cell r="B44" t="str">
            <v>MARACUYA SEMILLAS (KILO)</v>
          </cell>
          <cell r="C44" t="str">
            <v>KILO</v>
          </cell>
          <cell r="D44">
            <v>3194.4029999999998</v>
          </cell>
          <cell r="E44" t="str">
            <v>Gramo</v>
          </cell>
          <cell r="F44">
            <v>3.1944029999999999</v>
          </cell>
        </row>
        <row r="45">
          <cell r="A45" t="str">
            <v>0210049</v>
          </cell>
          <cell r="B45" t="str">
            <v>PEPERONI (KILO)</v>
          </cell>
          <cell r="C45" t="str">
            <v>KILO</v>
          </cell>
          <cell r="D45">
            <v>8459.143</v>
          </cell>
          <cell r="E45" t="str">
            <v>Gramo</v>
          </cell>
          <cell r="F45">
            <v>8.4591429999999992</v>
          </cell>
        </row>
        <row r="46">
          <cell r="A46" t="str">
            <v>0210058</v>
          </cell>
          <cell r="B46" t="str">
            <v>CARNE OSOBUCO PICADO (KILO)</v>
          </cell>
          <cell r="C46" t="str">
            <v>KILO</v>
          </cell>
          <cell r="D46">
            <v>2195</v>
          </cell>
          <cell r="E46" t="str">
            <v>Gramo</v>
          </cell>
          <cell r="F46">
            <v>2.1949999999999998</v>
          </cell>
        </row>
        <row r="47">
          <cell r="A47" t="str">
            <v>0210060</v>
          </cell>
          <cell r="B47" t="str">
            <v>CHORIZO ( KILO )</v>
          </cell>
          <cell r="C47" t="str">
            <v>KILO</v>
          </cell>
          <cell r="D47">
            <v>2195</v>
          </cell>
          <cell r="E47" t="str">
            <v>Gramo</v>
          </cell>
          <cell r="F47">
            <v>2.1949999999999998</v>
          </cell>
        </row>
        <row r="48">
          <cell r="A48" t="str">
            <v>0210069</v>
          </cell>
          <cell r="B48" t="str">
            <v>CARNE MOLIDA RES ESPECIAL (PAQ=5 KILOS)</v>
          </cell>
          <cell r="C48" t="str">
            <v>KILO</v>
          </cell>
          <cell r="D48">
            <v>3150</v>
          </cell>
          <cell r="E48" t="str">
            <v>Gramo</v>
          </cell>
          <cell r="F48">
            <v>3.15</v>
          </cell>
        </row>
        <row r="49">
          <cell r="A49" t="str">
            <v>0210070</v>
          </cell>
          <cell r="B49" t="str">
            <v>PECHUGA FILET S/ PIEL Y S/ GRASA</v>
          </cell>
          <cell r="C49" t="str">
            <v>KILO</v>
          </cell>
          <cell r="D49">
            <v>2650.0169999999998</v>
          </cell>
          <cell r="E49" t="str">
            <v>Gramo</v>
          </cell>
          <cell r="F49">
            <v>2.6500169999999996</v>
          </cell>
        </row>
        <row r="50">
          <cell r="A50" t="str">
            <v>0210073</v>
          </cell>
          <cell r="B50" t="str">
            <v>JAMON DE COCIDO  (500G)</v>
          </cell>
          <cell r="C50" t="str">
            <v>KILO</v>
          </cell>
          <cell r="D50">
            <v>4107.0479999999998</v>
          </cell>
          <cell r="E50" t="str">
            <v>Gramo</v>
          </cell>
          <cell r="F50">
            <v>4.1070479999999998</v>
          </cell>
        </row>
        <row r="51">
          <cell r="A51" t="str">
            <v>0210091</v>
          </cell>
          <cell r="B51" t="str">
            <v>TOCINETA(PAQ=1 KILO)</v>
          </cell>
          <cell r="C51" t="str">
            <v>KILO</v>
          </cell>
          <cell r="D51">
            <v>4991</v>
          </cell>
          <cell r="E51" t="str">
            <v>Gramo</v>
          </cell>
          <cell r="F51">
            <v>4.9909999999999997</v>
          </cell>
        </row>
        <row r="52">
          <cell r="A52" t="str">
            <v>0210096</v>
          </cell>
          <cell r="B52" t="str">
            <v>POSTA DE CERDO KILO</v>
          </cell>
          <cell r="C52" t="str">
            <v>KILO</v>
          </cell>
          <cell r="D52">
            <v>2993.1</v>
          </cell>
          <cell r="E52" t="str">
            <v>Gramo</v>
          </cell>
          <cell r="F52">
            <v>2.9931000000000001</v>
          </cell>
        </row>
        <row r="53">
          <cell r="A53" t="str">
            <v>0210117</v>
          </cell>
          <cell r="B53" t="str">
            <v>RECORTE FILET Nº1358</v>
          </cell>
          <cell r="C53" t="str">
            <v>KILO</v>
          </cell>
          <cell r="D53">
            <v>1980.002</v>
          </cell>
          <cell r="E53" t="str">
            <v>Gramo</v>
          </cell>
          <cell r="F53">
            <v>1.980002</v>
          </cell>
        </row>
        <row r="54">
          <cell r="A54" t="str">
            <v>210892</v>
          </cell>
          <cell r="B54" t="str">
            <v>MANO DE PIEDRA (KILO)</v>
          </cell>
          <cell r="C54" t="str">
            <v>KILO</v>
          </cell>
          <cell r="D54">
            <v>3950</v>
          </cell>
          <cell r="E54" t="str">
            <v>Gramo</v>
          </cell>
          <cell r="F54">
            <v>3.95</v>
          </cell>
        </row>
        <row r="55">
          <cell r="A55" t="str">
            <v>210893</v>
          </cell>
          <cell r="B55" t="str">
            <v>ROAST BEEF CASTILLO (PAQ. 3 KILOS)</v>
          </cell>
          <cell r="C55" t="str">
            <v>KILO</v>
          </cell>
          <cell r="D55">
            <v>8595</v>
          </cell>
          <cell r="E55" t="str">
            <v>Gramo</v>
          </cell>
          <cell r="F55">
            <v>8.5950000000000006</v>
          </cell>
        </row>
        <row r="56">
          <cell r="A56" t="str">
            <v>210894</v>
          </cell>
          <cell r="B56" t="str">
            <v>TORTA DESAYUNO CERDO</v>
          </cell>
          <cell r="C56" t="str">
            <v>KILO</v>
          </cell>
          <cell r="D56">
            <v>5874.86</v>
          </cell>
          <cell r="E56" t="str">
            <v>Gramo</v>
          </cell>
          <cell r="F56">
            <v>5.87486</v>
          </cell>
        </row>
        <row r="57">
          <cell r="A57" t="str">
            <v>0212254</v>
          </cell>
          <cell r="B57" t="str">
            <v>MANTECA DE CERDO(PAQ=1 KILO)</v>
          </cell>
          <cell r="C57" t="str">
            <v>KILO</v>
          </cell>
          <cell r="D57">
            <v>1545.001</v>
          </cell>
          <cell r="E57" t="str">
            <v>Gramo</v>
          </cell>
          <cell r="F57">
            <v>1.5450010000000001</v>
          </cell>
        </row>
        <row r="58">
          <cell r="A58" t="str">
            <v>0212274</v>
          </cell>
          <cell r="B58" t="str">
            <v>PECHUGA DE PAVO 250 GR</v>
          </cell>
          <cell r="C58" t="str">
            <v>KILO</v>
          </cell>
          <cell r="D58">
            <v>674.5</v>
          </cell>
          <cell r="E58" t="str">
            <v>Gramo</v>
          </cell>
          <cell r="F58">
            <v>0.67449999999999999</v>
          </cell>
        </row>
        <row r="59">
          <cell r="A59" t="str">
            <v>0310087</v>
          </cell>
          <cell r="B59" t="str">
            <v>LECHE CONDENSADA MI SABOR (PAQ=20KG)</v>
          </cell>
          <cell r="C59" t="str">
            <v>PAQ</v>
          </cell>
          <cell r="D59">
            <v>27167.185000000001</v>
          </cell>
          <cell r="E59" t="str">
            <v>Gramo</v>
          </cell>
          <cell r="F59">
            <v>1.3583592500000001</v>
          </cell>
        </row>
        <row r="60">
          <cell r="A60" t="str">
            <v>0310092</v>
          </cell>
          <cell r="B60" t="str">
            <v>RIZOS FLOREADOS CHOC. BLANCO (CAJA=4 KILOS)</v>
          </cell>
          <cell r="C60" t="str">
            <v>KILO</v>
          </cell>
          <cell r="D60">
            <v>9725</v>
          </cell>
          <cell r="E60" t="str">
            <v>Gramo</v>
          </cell>
          <cell r="F60">
            <v>9.7249999999999996</v>
          </cell>
        </row>
        <row r="61">
          <cell r="A61" t="str">
            <v>0310093</v>
          </cell>
          <cell r="B61" t="str">
            <v>RIZOS FLOREADOS CHOC. OSCURO (CAJA=4 KILOS)</v>
          </cell>
          <cell r="C61" t="str">
            <v>KILO</v>
          </cell>
          <cell r="D61">
            <v>8683.65</v>
          </cell>
          <cell r="E61" t="str">
            <v>Gramo</v>
          </cell>
          <cell r="F61">
            <v>8.6836500000000001</v>
          </cell>
        </row>
        <row r="62">
          <cell r="A62" t="str">
            <v>0310094</v>
          </cell>
          <cell r="B62" t="str">
            <v>BARRA CHOCOLATE COOKIES AND CREAM (BARRA=184g)</v>
          </cell>
          <cell r="C62" t="str">
            <v>KILO</v>
          </cell>
          <cell r="D62">
            <v>6728.2439999999997</v>
          </cell>
          <cell r="E62" t="str">
            <v>Gramo</v>
          </cell>
          <cell r="F62">
            <v>6.7282440000000001</v>
          </cell>
        </row>
        <row r="63">
          <cell r="A63" t="str">
            <v>0310096</v>
          </cell>
          <cell r="B63" t="str">
            <v>CREMA LUSTRE NATA (4KILO)</v>
          </cell>
          <cell r="C63" t="str">
            <v>KILO</v>
          </cell>
          <cell r="D63">
            <v>1818.5</v>
          </cell>
          <cell r="E63" t="str">
            <v>Gramo</v>
          </cell>
          <cell r="F63">
            <v>1.8185</v>
          </cell>
        </row>
        <row r="64">
          <cell r="A64" t="str">
            <v>0310099</v>
          </cell>
          <cell r="B64" t="str">
            <v>CREMA DULCE (3.6 KILOS)</v>
          </cell>
          <cell r="C64" t="str">
            <v>LITRO</v>
          </cell>
          <cell r="D64">
            <v>1723.807</v>
          </cell>
          <cell r="E64" t="str">
            <v>Mililitro</v>
          </cell>
          <cell r="F64">
            <v>1.7238070000000001</v>
          </cell>
        </row>
        <row r="65">
          <cell r="A65" t="str">
            <v>0310107</v>
          </cell>
          <cell r="B65" t="str">
            <v>LACTOCREMA GRANEL ( 25KG )</v>
          </cell>
          <cell r="C65" t="str">
            <v>KILO</v>
          </cell>
          <cell r="D65">
            <v>3043.268</v>
          </cell>
          <cell r="E65" t="str">
            <v>Gramo</v>
          </cell>
          <cell r="F65">
            <v>3.0432679999999999</v>
          </cell>
        </row>
        <row r="66">
          <cell r="A66" t="str">
            <v>0310108</v>
          </cell>
          <cell r="B66" t="str">
            <v>LECHE HOMOGENIZADA TB 3.5%  (1  Litro)</v>
          </cell>
          <cell r="C66" t="str">
            <v>LITRO</v>
          </cell>
          <cell r="D66">
            <v>647.96699999999998</v>
          </cell>
          <cell r="E66" t="str">
            <v>Mililitro</v>
          </cell>
          <cell r="F66">
            <v>0.64796699999999996</v>
          </cell>
        </row>
        <row r="67">
          <cell r="A67" t="str">
            <v>0310112</v>
          </cell>
          <cell r="B67" t="str">
            <v>QUESO PRADO RICO REBANADO ( 2.3 KG )</v>
          </cell>
          <cell r="C67" t="str">
            <v>KILO</v>
          </cell>
          <cell r="D67">
            <v>5162.3999999999996</v>
          </cell>
          <cell r="E67" t="str">
            <v>Gramo</v>
          </cell>
          <cell r="F67">
            <v>5.1623999999999999</v>
          </cell>
        </row>
        <row r="68">
          <cell r="A68" t="str">
            <v>0310115</v>
          </cell>
          <cell r="B68" t="str">
            <v>QUESO CHEDDAR BLOCK (2 kg)</v>
          </cell>
          <cell r="C68" t="str">
            <v>KILO</v>
          </cell>
          <cell r="D68">
            <v>8854.5010000000002</v>
          </cell>
          <cell r="E68" t="str">
            <v>Gramo</v>
          </cell>
          <cell r="F68">
            <v>8.8545010000000008</v>
          </cell>
        </row>
        <row r="69">
          <cell r="A69" t="str">
            <v>0310116</v>
          </cell>
          <cell r="B69" t="str">
            <v>QUESO PARMERSANO (KILO)</v>
          </cell>
          <cell r="C69" t="str">
            <v>KILO</v>
          </cell>
          <cell r="D69">
            <v>9871.2819999999992</v>
          </cell>
          <cell r="E69" t="str">
            <v>Gramo</v>
          </cell>
          <cell r="F69">
            <v>9.871281999999999</v>
          </cell>
        </row>
        <row r="70">
          <cell r="A70" t="str">
            <v>0310120</v>
          </cell>
          <cell r="B70" t="str">
            <v>QUESO RICOTTA (500 g)</v>
          </cell>
          <cell r="C70" t="str">
            <v>KILO</v>
          </cell>
          <cell r="D70">
            <v>4848.4369999999999</v>
          </cell>
          <cell r="E70" t="str">
            <v>Gramo</v>
          </cell>
          <cell r="F70">
            <v>4.8484369999999997</v>
          </cell>
        </row>
        <row r="71">
          <cell r="A71" t="str">
            <v>0310122</v>
          </cell>
          <cell r="B71" t="str">
            <v>YOGURTH IN LINE NAT ( 500 GR )</v>
          </cell>
          <cell r="C71" t="str">
            <v>KILO</v>
          </cell>
          <cell r="D71">
            <v>1866.454</v>
          </cell>
          <cell r="E71" t="str">
            <v>Gramo</v>
          </cell>
          <cell r="F71">
            <v>1.8664540000000001</v>
          </cell>
        </row>
        <row r="72">
          <cell r="A72" t="str">
            <v>0310143</v>
          </cell>
          <cell r="B72" t="str">
            <v>DULCE DE LECHE SUAVE F2 ( 5 KG )</v>
          </cell>
          <cell r="C72" t="str">
            <v>KILO</v>
          </cell>
          <cell r="D72">
            <v>1359.981</v>
          </cell>
          <cell r="E72" t="str">
            <v>Gramo</v>
          </cell>
          <cell r="F72">
            <v>1.3599809999999999</v>
          </cell>
        </row>
        <row r="73">
          <cell r="A73" t="str">
            <v>0310145</v>
          </cell>
          <cell r="B73" t="str">
            <v>LECHE POLVO INDUSTRIAL ( 25 KG )</v>
          </cell>
          <cell r="C73" t="str">
            <v>KILO</v>
          </cell>
          <cell r="D73">
            <v>2636.6610000000001</v>
          </cell>
          <cell r="E73" t="str">
            <v>Gramo</v>
          </cell>
          <cell r="F73">
            <v>2.6366610000000001</v>
          </cell>
        </row>
        <row r="74">
          <cell r="A74" t="str">
            <v>0310146</v>
          </cell>
          <cell r="B74" t="str">
            <v>QUESO CREMA ( 3.6 Kg )</v>
          </cell>
          <cell r="C74" t="str">
            <v>KILO</v>
          </cell>
          <cell r="D74">
            <v>2900.4119999999998</v>
          </cell>
          <cell r="E74" t="str">
            <v>Gramo</v>
          </cell>
          <cell r="F74">
            <v>2.9004119999999998</v>
          </cell>
        </row>
        <row r="75">
          <cell r="A75" t="str">
            <v>0310147</v>
          </cell>
          <cell r="B75" t="str">
            <v>CREMA BETTERCREAM DOBLE CHOCO 4K</v>
          </cell>
          <cell r="C75" t="str">
            <v>KILO</v>
          </cell>
          <cell r="D75">
            <v>2066.261</v>
          </cell>
          <cell r="E75" t="str">
            <v>Gramo</v>
          </cell>
          <cell r="F75">
            <v>2.0662609999999999</v>
          </cell>
        </row>
        <row r="76">
          <cell r="A76" t="str">
            <v>0310148</v>
          </cell>
          <cell r="B76" t="str">
            <v>BETTERCREME SUPREMO 4K</v>
          </cell>
          <cell r="C76" t="str">
            <v>KILO</v>
          </cell>
          <cell r="D76">
            <v>1768.75</v>
          </cell>
          <cell r="E76" t="str">
            <v>Gramo</v>
          </cell>
          <cell r="F76">
            <v>1.76875</v>
          </cell>
        </row>
        <row r="77">
          <cell r="A77" t="str">
            <v>0310151</v>
          </cell>
          <cell r="B77" t="str">
            <v>CREMA BETTER DULCE LECHE RICHS  ( 4 KILO )</v>
          </cell>
          <cell r="C77" t="str">
            <v>KILO</v>
          </cell>
          <cell r="D77">
            <v>2135.5</v>
          </cell>
          <cell r="E77" t="str">
            <v>Gramo</v>
          </cell>
          <cell r="F77">
            <v>2.1355</v>
          </cell>
        </row>
        <row r="78">
          <cell r="A78" t="str">
            <v>0310156</v>
          </cell>
          <cell r="B78" t="str">
            <v>BETTERCREAM CHOCOLATE (CAJA=4 Kg)</v>
          </cell>
          <cell r="C78" t="str">
            <v>KILO</v>
          </cell>
          <cell r="D78">
            <v>1918.0050000000001</v>
          </cell>
          <cell r="E78" t="str">
            <v>Gramo</v>
          </cell>
          <cell r="F78">
            <v>1.9180050000000002</v>
          </cell>
        </row>
        <row r="79">
          <cell r="A79" t="str">
            <v>0310194</v>
          </cell>
          <cell r="B79" t="str">
            <v>MERENGUE HY VOL ( 2.05 KG )</v>
          </cell>
          <cell r="C79" t="str">
            <v>KILO</v>
          </cell>
          <cell r="D79">
            <v>9031.2199999999993</v>
          </cell>
          <cell r="E79" t="str">
            <v>Gramo</v>
          </cell>
          <cell r="F79">
            <v>9.0312199999999994</v>
          </cell>
        </row>
        <row r="80">
          <cell r="A80" t="str">
            <v>310202</v>
          </cell>
          <cell r="B80" t="str">
            <v>QUESO MONTERREY JACK (KILO)</v>
          </cell>
          <cell r="C80" t="str">
            <v>KILO</v>
          </cell>
          <cell r="D80">
            <v>6479.5680000000002</v>
          </cell>
          <cell r="E80" t="str">
            <v>Gramo</v>
          </cell>
          <cell r="F80">
            <v>6.4795680000000004</v>
          </cell>
        </row>
        <row r="81">
          <cell r="A81" t="str">
            <v>310203</v>
          </cell>
          <cell r="B81" t="str">
            <v>QUESO CHEDDAR BLANCO (KILO)</v>
          </cell>
          <cell r="C81" t="str">
            <v>KILO</v>
          </cell>
          <cell r="D81">
            <v>8864.7129999999997</v>
          </cell>
          <cell r="E81" t="str">
            <v>Gramo</v>
          </cell>
          <cell r="F81">
            <v>8.8647130000000001</v>
          </cell>
        </row>
        <row r="82">
          <cell r="A82" t="str">
            <v>310204</v>
          </cell>
          <cell r="B82" t="str">
            <v>QUESO GOUDA BARRA</v>
          </cell>
          <cell r="C82" t="str">
            <v>KILO</v>
          </cell>
          <cell r="D82">
            <v>6639.44</v>
          </cell>
          <cell r="E82" t="str">
            <v>Gramo</v>
          </cell>
          <cell r="F82">
            <v>6.6394399999999996</v>
          </cell>
        </row>
        <row r="83">
          <cell r="A83" t="str">
            <v>310205</v>
          </cell>
          <cell r="B83" t="str">
            <v>QUESO FETA (200 GRMS)</v>
          </cell>
          <cell r="C83" t="str">
            <v>KILO</v>
          </cell>
          <cell r="D83">
            <v>13482.45</v>
          </cell>
          <cell r="E83" t="str">
            <v>Gramo</v>
          </cell>
          <cell r="F83">
            <v>13.48245</v>
          </cell>
        </row>
        <row r="84">
          <cell r="A84" t="str">
            <v>310207</v>
          </cell>
          <cell r="B84" t="str">
            <v>LECHE EN POLVO DESCREMADA ( 1.5 k)</v>
          </cell>
          <cell r="C84" t="str">
            <v>KILO</v>
          </cell>
          <cell r="D84">
            <v>6405.616</v>
          </cell>
          <cell r="E84" t="str">
            <v>Gramo</v>
          </cell>
          <cell r="F84">
            <v>6.4056160000000002</v>
          </cell>
        </row>
        <row r="85">
          <cell r="A85" t="str">
            <v>310216</v>
          </cell>
          <cell r="B85" t="str">
            <v>QUESO CABRA BIA MONTE KILO</v>
          </cell>
          <cell r="C85" t="str">
            <v>KILO</v>
          </cell>
          <cell r="D85">
            <v>3560</v>
          </cell>
          <cell r="E85" t="str">
            <v>Gramo</v>
          </cell>
          <cell r="F85">
            <v>3.56</v>
          </cell>
        </row>
        <row r="86">
          <cell r="A86" t="str">
            <v>310217</v>
          </cell>
          <cell r="B86" t="str">
            <v>QUESO AZUL EN TROZOS</v>
          </cell>
          <cell r="C86" t="str">
            <v>KILO</v>
          </cell>
          <cell r="D86">
            <v>4132.9560000000001</v>
          </cell>
          <cell r="E86" t="str">
            <v>Gramo</v>
          </cell>
          <cell r="F86">
            <v>4.1329560000000001</v>
          </cell>
        </row>
        <row r="87">
          <cell r="A87" t="str">
            <v>310218</v>
          </cell>
          <cell r="B87" t="str">
            <v>LA LECHERA TRES LECHES (1 LITRO)</v>
          </cell>
          <cell r="C87" t="str">
            <v>LITRO</v>
          </cell>
          <cell r="D87">
            <v>2233.25</v>
          </cell>
          <cell r="E87" t="str">
            <v>Mililitro</v>
          </cell>
          <cell r="F87">
            <v>2.23325</v>
          </cell>
        </row>
        <row r="88">
          <cell r="A88" t="str">
            <v>310219</v>
          </cell>
          <cell r="B88" t="str">
            <v>DOCELLO MOUSSE CHOCOLATE</v>
          </cell>
          <cell r="C88" t="str">
            <v>KILO</v>
          </cell>
          <cell r="D88">
            <v>10522.987999999999</v>
          </cell>
          <cell r="E88" t="str">
            <v>Gramo</v>
          </cell>
          <cell r="F88">
            <v>10.522988</v>
          </cell>
        </row>
        <row r="89">
          <cell r="A89" t="str">
            <v>310220</v>
          </cell>
          <cell r="B89" t="str">
            <v>DOCELLO TIRAMISU 400G</v>
          </cell>
          <cell r="C89" t="str">
            <v>KILO</v>
          </cell>
          <cell r="D89">
            <v>10252.477999999999</v>
          </cell>
          <cell r="E89" t="str">
            <v>Gramo</v>
          </cell>
          <cell r="F89">
            <v>10.252478</v>
          </cell>
        </row>
        <row r="90">
          <cell r="A90" t="str">
            <v>0312250</v>
          </cell>
          <cell r="B90" t="str">
            <v>MEZCLA BEBIDA MARACUYA (946ML)</v>
          </cell>
          <cell r="C90" t="str">
            <v>LITRO</v>
          </cell>
          <cell r="D90">
            <v>3229.4760000000001</v>
          </cell>
          <cell r="E90" t="str">
            <v>Mililitro</v>
          </cell>
          <cell r="F90">
            <v>3.229476</v>
          </cell>
        </row>
        <row r="91">
          <cell r="A91" t="str">
            <v>0312278</v>
          </cell>
          <cell r="B91" t="str">
            <v>LECHE ESTANDAR DE 10 LITROS</v>
          </cell>
          <cell r="C91" t="str">
            <v>LITRO</v>
          </cell>
          <cell r="D91">
            <v>473.80099999999999</v>
          </cell>
          <cell r="E91" t="str">
            <v>Mililitro</v>
          </cell>
          <cell r="F91">
            <v>0.47380099999999997</v>
          </cell>
        </row>
        <row r="92">
          <cell r="A92" t="str">
            <v>0312302</v>
          </cell>
          <cell r="B92" t="str">
            <v>HOJA DE LAUREL TONES (57g)</v>
          </cell>
          <cell r="C92" t="str">
            <v>KILO</v>
          </cell>
          <cell r="D92">
            <v>82003.491999999998</v>
          </cell>
          <cell r="E92" t="str">
            <v>Gramo</v>
          </cell>
          <cell r="F92">
            <v>82.003491999999994</v>
          </cell>
        </row>
        <row r="93">
          <cell r="A93" t="str">
            <v>0312303</v>
          </cell>
          <cell r="B93" t="str">
            <v>QUESO AZUL DANES ( 2.74 KG )</v>
          </cell>
          <cell r="C93" t="str">
            <v>KILO</v>
          </cell>
          <cell r="D93">
            <v>21214.100999999999</v>
          </cell>
          <cell r="E93" t="str">
            <v>Gramo</v>
          </cell>
          <cell r="F93">
            <v>21.214100999999999</v>
          </cell>
        </row>
        <row r="94">
          <cell r="A94" t="str">
            <v>0410110</v>
          </cell>
          <cell r="B94" t="str">
            <v>RELLENO  MELOC. BUCCA ( KILO )</v>
          </cell>
          <cell r="C94" t="str">
            <v>KILO</v>
          </cell>
          <cell r="D94">
            <v>2033</v>
          </cell>
          <cell r="E94" t="str">
            <v>Gramo</v>
          </cell>
          <cell r="F94">
            <v>2.0329999999999999</v>
          </cell>
        </row>
        <row r="95">
          <cell r="A95" t="str">
            <v>0410118</v>
          </cell>
          <cell r="B95" t="str">
            <v>BRILLO GLIT (CUBETA=5 KILOS)</v>
          </cell>
          <cell r="C95" t="str">
            <v>KILO</v>
          </cell>
          <cell r="D95">
            <v>1763.056</v>
          </cell>
          <cell r="E95" t="str">
            <v>Gramo</v>
          </cell>
          <cell r="F95">
            <v>1.763056</v>
          </cell>
        </row>
        <row r="96">
          <cell r="A96" t="str">
            <v>0410125</v>
          </cell>
          <cell r="B96" t="str">
            <v>RELLENO DE FRUTAS EXOTICAS ( KILO )</v>
          </cell>
          <cell r="C96" t="str">
            <v>KILO</v>
          </cell>
          <cell r="D96">
            <v>2271.9989999999998</v>
          </cell>
          <cell r="E96" t="str">
            <v>Gramo</v>
          </cell>
          <cell r="F96">
            <v>2.2719989999999997</v>
          </cell>
        </row>
        <row r="97">
          <cell r="A97" t="str">
            <v>0410127</v>
          </cell>
          <cell r="B97" t="str">
            <v>CREMA PASTELERA ( KILO )</v>
          </cell>
          <cell r="C97" t="str">
            <v>KILO</v>
          </cell>
          <cell r="D97">
            <v>1946.8520000000001</v>
          </cell>
          <cell r="E97" t="str">
            <v>Gramo</v>
          </cell>
          <cell r="F97">
            <v>1.946852</v>
          </cell>
        </row>
        <row r="98">
          <cell r="A98" t="str">
            <v>0410133</v>
          </cell>
          <cell r="B98" t="str">
            <v>RELLENO ORANGE FRUIT -O (12 L)</v>
          </cell>
          <cell r="C98" t="str">
            <v>KILO</v>
          </cell>
          <cell r="D98">
            <v>3771.3969999999999</v>
          </cell>
          <cell r="E98" t="str">
            <v>Gramo</v>
          </cell>
          <cell r="F98">
            <v>3.7713969999999999</v>
          </cell>
        </row>
        <row r="99">
          <cell r="A99" t="str">
            <v>0410137</v>
          </cell>
          <cell r="B99" t="str">
            <v>JALEA FRESA ( 5 KG )</v>
          </cell>
          <cell r="C99" t="str">
            <v>KILO</v>
          </cell>
          <cell r="D99">
            <v>1468.2</v>
          </cell>
          <cell r="E99" t="str">
            <v>Gramo</v>
          </cell>
          <cell r="F99">
            <v>1.4681999999999999</v>
          </cell>
        </row>
        <row r="100">
          <cell r="A100" t="str">
            <v>0410139</v>
          </cell>
          <cell r="B100" t="str">
            <v>MIRROIR PASTRY GLAZE BRILLO</v>
          </cell>
          <cell r="C100" t="str">
            <v>KILO</v>
          </cell>
          <cell r="D100">
            <v>3715.7139999999999</v>
          </cell>
          <cell r="E100" t="str">
            <v>Gramo</v>
          </cell>
          <cell r="F100">
            <v>3.7157139999999997</v>
          </cell>
        </row>
        <row r="101">
          <cell r="A101" t="str">
            <v>0410144</v>
          </cell>
          <cell r="B101" t="str">
            <v>RELLENO LIMON (KILO)</v>
          </cell>
          <cell r="C101" t="str">
            <v>KILO</v>
          </cell>
          <cell r="D101">
            <v>2336.91</v>
          </cell>
          <cell r="E101" t="str">
            <v>Gramo</v>
          </cell>
          <cell r="F101">
            <v>2.33691</v>
          </cell>
        </row>
        <row r="102">
          <cell r="A102" t="str">
            <v>0410151</v>
          </cell>
          <cell r="B102" t="str">
            <v>RELLENO FUDGE  (KILO)</v>
          </cell>
          <cell r="C102" t="str">
            <v>KILO</v>
          </cell>
          <cell r="D102">
            <v>3401.4740000000002</v>
          </cell>
          <cell r="E102" t="str">
            <v>Gramo</v>
          </cell>
          <cell r="F102">
            <v>3.4014740000000003</v>
          </cell>
        </row>
        <row r="103">
          <cell r="A103" t="str">
            <v>0410152</v>
          </cell>
          <cell r="B103" t="str">
            <v>RELLENO MELOCOTON (KILO)</v>
          </cell>
          <cell r="C103" t="str">
            <v>KILO</v>
          </cell>
          <cell r="D103">
            <v>2391.4319999999998</v>
          </cell>
          <cell r="E103" t="str">
            <v>Gramo</v>
          </cell>
          <cell r="F103">
            <v>2.391432</v>
          </cell>
        </row>
        <row r="104">
          <cell r="A104" t="str">
            <v>0410153</v>
          </cell>
          <cell r="B104" t="str">
            <v>TOOPING DE MELOCOTON KILO</v>
          </cell>
          <cell r="C104" t="str">
            <v>KILO</v>
          </cell>
          <cell r="D104">
            <v>1970.001</v>
          </cell>
          <cell r="E104" t="str">
            <v>Gramo</v>
          </cell>
          <cell r="F104">
            <v>1.9700009999999999</v>
          </cell>
        </row>
        <row r="105">
          <cell r="A105" t="str">
            <v>0410154</v>
          </cell>
          <cell r="B105" t="str">
            <v>RELLENO CARAMELO KILO</v>
          </cell>
          <cell r="C105" t="str">
            <v>KILO</v>
          </cell>
          <cell r="D105">
            <v>3165.7829999999999</v>
          </cell>
          <cell r="E105" t="str">
            <v>Gramo</v>
          </cell>
          <cell r="F105">
            <v>3.1657829999999998</v>
          </cell>
        </row>
        <row r="106">
          <cell r="A106" t="str">
            <v>0410172</v>
          </cell>
          <cell r="B106" t="str">
            <v>RELLENO DE FRESA (KILO)</v>
          </cell>
          <cell r="C106" t="str">
            <v>KILO</v>
          </cell>
          <cell r="D106">
            <v>2397</v>
          </cell>
          <cell r="E106" t="str">
            <v>Gramo</v>
          </cell>
          <cell r="F106">
            <v>2.3969999999999998</v>
          </cell>
        </row>
        <row r="107">
          <cell r="A107" t="str">
            <v>0410173</v>
          </cell>
          <cell r="B107" t="str">
            <v>TOPPING FRESA (KILO)</v>
          </cell>
          <cell r="C107" t="str">
            <v>KILO</v>
          </cell>
          <cell r="D107">
            <v>1860</v>
          </cell>
          <cell r="E107" t="str">
            <v>Gramo</v>
          </cell>
          <cell r="F107">
            <v>1.86</v>
          </cell>
        </row>
        <row r="108">
          <cell r="A108" t="str">
            <v>0410174</v>
          </cell>
          <cell r="B108" t="str">
            <v>RELLENO PIÑA COLADA</v>
          </cell>
          <cell r="C108" t="str">
            <v>KILO</v>
          </cell>
          <cell r="D108">
            <v>1912</v>
          </cell>
          <cell r="E108" t="str">
            <v>Gramo</v>
          </cell>
          <cell r="F108">
            <v>1.9119999999999999</v>
          </cell>
        </row>
        <row r="109">
          <cell r="A109" t="str">
            <v>0410179</v>
          </cell>
          <cell r="B109" t="str">
            <v>RELLENO MARACUYA (KILO)</v>
          </cell>
          <cell r="C109" t="str">
            <v>KILO</v>
          </cell>
          <cell r="D109">
            <v>2862</v>
          </cell>
          <cell r="E109" t="str">
            <v>Gramo</v>
          </cell>
          <cell r="F109">
            <v>2.8620000000000001</v>
          </cell>
        </row>
        <row r="110">
          <cell r="A110" t="str">
            <v>410187</v>
          </cell>
          <cell r="B110" t="str">
            <v>RELLENO  MANGO</v>
          </cell>
          <cell r="C110" t="str">
            <v>KILO</v>
          </cell>
          <cell r="D110">
            <v>2295</v>
          </cell>
          <cell r="E110" t="str">
            <v>Gramo</v>
          </cell>
          <cell r="F110">
            <v>2.2949999999999999</v>
          </cell>
        </row>
        <row r="111">
          <cell r="A111" t="str">
            <v>0410187</v>
          </cell>
          <cell r="B111" t="str">
            <v>RELLENO SALTY CARAMEL</v>
          </cell>
          <cell r="C111" t="str">
            <v>KILO</v>
          </cell>
          <cell r="D111">
            <v>3149.5189999999998</v>
          </cell>
          <cell r="E111" t="str">
            <v>Gramo</v>
          </cell>
          <cell r="F111">
            <v>3.1495189999999997</v>
          </cell>
        </row>
        <row r="112">
          <cell r="A112" t="str">
            <v>0410188</v>
          </cell>
          <cell r="B112" t="str">
            <v>RELLENO DE MANZANA KILO</v>
          </cell>
          <cell r="C112" t="str">
            <v>KILO</v>
          </cell>
          <cell r="D112">
            <v>4114</v>
          </cell>
          <cell r="E112" t="str">
            <v>Gramo</v>
          </cell>
          <cell r="F112">
            <v>4.1139999999999999</v>
          </cell>
        </row>
        <row r="113">
          <cell r="A113" t="str">
            <v>410189</v>
          </cell>
          <cell r="B113" t="str">
            <v>SMUCKERS MERMELADA DE NARANJA (340 gr)</v>
          </cell>
          <cell r="C113" t="str">
            <v>KILO</v>
          </cell>
          <cell r="D113">
            <v>5414.7060000000001</v>
          </cell>
          <cell r="E113" t="str">
            <v>Gramo</v>
          </cell>
          <cell r="F113">
            <v>5.4147059999999998</v>
          </cell>
        </row>
        <row r="114">
          <cell r="A114" t="str">
            <v>410190</v>
          </cell>
          <cell r="B114" t="str">
            <v>MERMELADA NARANJA (4.75 KG)</v>
          </cell>
          <cell r="C114" t="str">
            <v>KILO</v>
          </cell>
          <cell r="D114">
            <v>2470.7139999999999</v>
          </cell>
          <cell r="E114" t="str">
            <v>Gramo</v>
          </cell>
          <cell r="F114">
            <v>2.4707140000000001</v>
          </cell>
        </row>
        <row r="115">
          <cell r="A115" t="str">
            <v>0412304</v>
          </cell>
          <cell r="B115" t="str">
            <v>CHERRY FILLING ( 9 KG )</v>
          </cell>
          <cell r="C115" t="str">
            <v>KILO</v>
          </cell>
          <cell r="D115">
            <v>2714.0839999999998</v>
          </cell>
          <cell r="E115" t="str">
            <v>Gramo</v>
          </cell>
          <cell r="F115">
            <v>2.7140839999999997</v>
          </cell>
        </row>
        <row r="116">
          <cell r="A116" t="str">
            <v>0412306</v>
          </cell>
          <cell r="B116" t="str">
            <v>CREMA PRESTIGE GRAND (4 LITROS)</v>
          </cell>
          <cell r="C116" t="str">
            <v>LITRO</v>
          </cell>
          <cell r="D116">
            <v>1611.0050000000001</v>
          </cell>
          <cell r="E116" t="str">
            <v>Mililitro</v>
          </cell>
          <cell r="F116">
            <v>1.611005</v>
          </cell>
        </row>
        <row r="117">
          <cell r="A117" t="str">
            <v>0510103</v>
          </cell>
          <cell r="B117" t="str">
            <v>PREMEZCLA CHOCOMIX (BULTO=10 KILO)</v>
          </cell>
          <cell r="C117" t="str">
            <v>KILO</v>
          </cell>
          <cell r="D117">
            <v>1270</v>
          </cell>
          <cell r="E117" t="str">
            <v>Gramo</v>
          </cell>
          <cell r="F117">
            <v>1.27</v>
          </cell>
        </row>
        <row r="118">
          <cell r="A118" t="str">
            <v>0510107</v>
          </cell>
          <cell r="B118" t="str">
            <v>HARINA HARISOL WINTER (25k)</v>
          </cell>
          <cell r="C118" t="str">
            <v>KILO</v>
          </cell>
          <cell r="D118">
            <v>394.38799999999998</v>
          </cell>
          <cell r="E118" t="str">
            <v>Gramo</v>
          </cell>
          <cell r="F118">
            <v>0.39438799999999996</v>
          </cell>
        </row>
        <row r="119">
          <cell r="A119" t="str">
            <v>0510110</v>
          </cell>
          <cell r="B119" t="str">
            <v>AJONJOLI NEGRO ( 1 kilo )</v>
          </cell>
          <cell r="C119" t="str">
            <v>KILO</v>
          </cell>
          <cell r="D119">
            <v>6232.3969999999999</v>
          </cell>
          <cell r="E119" t="str">
            <v>Gramo</v>
          </cell>
          <cell r="F119">
            <v>6.2323969999999997</v>
          </cell>
        </row>
        <row r="120">
          <cell r="A120" t="str">
            <v>0510143</v>
          </cell>
          <cell r="B120" t="str">
            <v>GLUCOSA (5 KILO)</v>
          </cell>
          <cell r="C120" t="str">
            <v>LITRO</v>
          </cell>
          <cell r="D120">
            <v>4439.45</v>
          </cell>
          <cell r="E120" t="str">
            <v>Mililitro</v>
          </cell>
          <cell r="F120">
            <v>4.4394499999999999</v>
          </cell>
        </row>
        <row r="121">
          <cell r="A121" t="str">
            <v>0510146</v>
          </cell>
          <cell r="B121" t="str">
            <v>AJONJOLI (1 KILO)</v>
          </cell>
          <cell r="C121" t="str">
            <v>KILO</v>
          </cell>
          <cell r="D121">
            <v>1790.7149999999999</v>
          </cell>
          <cell r="E121" t="str">
            <v>Gramo</v>
          </cell>
          <cell r="F121">
            <v>1.7907149999999998</v>
          </cell>
        </row>
        <row r="122">
          <cell r="A122" t="str">
            <v>0510148</v>
          </cell>
          <cell r="B122" t="str">
            <v>ALMENDRA FILETEADA (11,34KG * CAJA)</v>
          </cell>
          <cell r="C122" t="str">
            <v>KILO</v>
          </cell>
          <cell r="D122">
            <v>5781.6049999999996</v>
          </cell>
          <cell r="E122" t="str">
            <v>Gramo</v>
          </cell>
          <cell r="F122">
            <v>5.7816049999999999</v>
          </cell>
        </row>
        <row r="123">
          <cell r="A123" t="str">
            <v>0510149</v>
          </cell>
          <cell r="B123" t="str">
            <v>ALMENDRA ENTERA (CAJAS DE 11.34 KG)</v>
          </cell>
          <cell r="C123" t="str">
            <v>KILO</v>
          </cell>
          <cell r="D123">
            <v>5671.585</v>
          </cell>
          <cell r="E123" t="str">
            <v>Gramo</v>
          </cell>
          <cell r="F123">
            <v>5.6715850000000003</v>
          </cell>
        </row>
        <row r="124">
          <cell r="A124" t="str">
            <v>0510155</v>
          </cell>
          <cell r="B124" t="str">
            <v>AZUCAR GLASS MOLIDA ( 4 KG )</v>
          </cell>
          <cell r="C124" t="str">
            <v>KILO</v>
          </cell>
          <cell r="D124">
            <v>1429.17</v>
          </cell>
          <cell r="E124" t="str">
            <v>Gramo</v>
          </cell>
          <cell r="F124">
            <v>1.4291700000000001</v>
          </cell>
        </row>
        <row r="125">
          <cell r="A125" t="str">
            <v>0510156</v>
          </cell>
          <cell r="B125" t="str">
            <v>AZUCAR MOLIDA ( 1 KG )</v>
          </cell>
          <cell r="C125" t="str">
            <v>KILO</v>
          </cell>
          <cell r="D125">
            <v>1300</v>
          </cell>
          <cell r="E125" t="str">
            <v>Gramo</v>
          </cell>
          <cell r="F125">
            <v>1.3</v>
          </cell>
        </row>
        <row r="126">
          <cell r="A126" t="str">
            <v>0510157</v>
          </cell>
          <cell r="B126" t="str">
            <v>AZUCAR MORENO ( 1 KG )</v>
          </cell>
          <cell r="C126" t="str">
            <v>KILO</v>
          </cell>
          <cell r="D126">
            <v>894.00300000000004</v>
          </cell>
          <cell r="E126" t="str">
            <v>Gramo</v>
          </cell>
          <cell r="F126">
            <v>0.89400299999999999</v>
          </cell>
        </row>
        <row r="127">
          <cell r="A127" t="str">
            <v>0510160</v>
          </cell>
          <cell r="B127" t="str">
            <v>BICARBONATO (454g)</v>
          </cell>
          <cell r="C127" t="str">
            <v>KILO</v>
          </cell>
          <cell r="D127">
            <v>1995.597</v>
          </cell>
          <cell r="E127" t="str">
            <v>Gramo</v>
          </cell>
          <cell r="F127">
            <v>1.9955970000000001</v>
          </cell>
        </row>
        <row r="128">
          <cell r="A128" t="str">
            <v>0510161</v>
          </cell>
          <cell r="B128" t="str">
            <v>BROWNIE MIX MOIST (22.73 KG)</v>
          </cell>
          <cell r="C128" t="str">
            <v>KILO</v>
          </cell>
          <cell r="D128">
            <v>2243.7269999999999</v>
          </cell>
          <cell r="E128" t="str">
            <v>Gramo</v>
          </cell>
          <cell r="F128">
            <v>2.2437269999999998</v>
          </cell>
        </row>
        <row r="129">
          <cell r="A129" t="str">
            <v>0510171</v>
          </cell>
          <cell r="B129" t="str">
            <v>CEREZAS CONFITADAS</v>
          </cell>
          <cell r="C129" t="str">
            <v>KILO</v>
          </cell>
          <cell r="D129">
            <v>2730</v>
          </cell>
          <cell r="E129" t="str">
            <v>Gramo</v>
          </cell>
          <cell r="F129">
            <v>2.73</v>
          </cell>
        </row>
        <row r="130">
          <cell r="A130" t="str">
            <v>0510174</v>
          </cell>
          <cell r="B130" t="str">
            <v>COCO RALLADO KILO</v>
          </cell>
          <cell r="C130" t="str">
            <v>KILO</v>
          </cell>
          <cell r="D130">
            <v>2770.261</v>
          </cell>
          <cell r="E130" t="str">
            <v>Gramo</v>
          </cell>
          <cell r="F130">
            <v>2.7702610000000001</v>
          </cell>
        </row>
        <row r="131">
          <cell r="A131" t="str">
            <v>0510184</v>
          </cell>
          <cell r="B131" t="str">
            <v>FRIJOL NEGRO ( 900 GR )</v>
          </cell>
          <cell r="C131" t="str">
            <v>KILO</v>
          </cell>
          <cell r="D131">
            <v>1171.1990000000001</v>
          </cell>
          <cell r="E131" t="str">
            <v>Gramo</v>
          </cell>
          <cell r="F131">
            <v>1.1711990000000001</v>
          </cell>
        </row>
        <row r="132">
          <cell r="A132" t="str">
            <v>0510185</v>
          </cell>
          <cell r="B132" t="str">
            <v>FRUTA CONFITADA ( 15 KG )</v>
          </cell>
          <cell r="C132" t="str">
            <v>KILO</v>
          </cell>
          <cell r="D132">
            <v>1645</v>
          </cell>
          <cell r="E132" t="str">
            <v>Gramo</v>
          </cell>
          <cell r="F132">
            <v>1.645</v>
          </cell>
        </row>
        <row r="133">
          <cell r="A133" t="str">
            <v>0510186</v>
          </cell>
          <cell r="B133" t="str">
            <v>GELATINA PURA  1 kg</v>
          </cell>
          <cell r="C133" t="str">
            <v>KILO</v>
          </cell>
          <cell r="D133">
            <v>9071</v>
          </cell>
          <cell r="E133" t="str">
            <v>Gramo</v>
          </cell>
          <cell r="F133">
            <v>9.0709999999999997</v>
          </cell>
        </row>
        <row r="134">
          <cell r="A134" t="str">
            <v>0510188</v>
          </cell>
          <cell r="B134" t="str">
            <v>HARINA ESTANDAR  ( 25 KG )</v>
          </cell>
          <cell r="C134" t="str">
            <v>KILO</v>
          </cell>
          <cell r="D134">
            <v>447.99900000000002</v>
          </cell>
          <cell r="E134" t="str">
            <v>Gramo</v>
          </cell>
          <cell r="F134">
            <v>0.44799900000000004</v>
          </cell>
        </row>
        <row r="135">
          <cell r="A135" t="str">
            <v>0510189</v>
          </cell>
          <cell r="B135" t="str">
            <v>HARINA GOLD MEDAL 2.268 KILOS</v>
          </cell>
          <cell r="C135" t="str">
            <v>KILO</v>
          </cell>
          <cell r="D135">
            <v>558.13499999999999</v>
          </cell>
          <cell r="E135" t="str">
            <v>Gramo</v>
          </cell>
          <cell r="F135">
            <v>0.55813499999999994</v>
          </cell>
        </row>
        <row r="136">
          <cell r="A136" t="str">
            <v>0510192</v>
          </cell>
          <cell r="B136" t="str">
            <v>LEVADURA (500GRM)</v>
          </cell>
          <cell r="C136" t="str">
            <v>KILO</v>
          </cell>
          <cell r="D136">
            <v>3931.6959999999999</v>
          </cell>
          <cell r="E136" t="str">
            <v>Gramo</v>
          </cell>
          <cell r="F136">
            <v>3.9316960000000001</v>
          </cell>
        </row>
        <row r="137">
          <cell r="A137" t="str">
            <v>0510194</v>
          </cell>
          <cell r="B137" t="str">
            <v>MACADAMIA #8 (PAQ=800g)</v>
          </cell>
          <cell r="C137" t="str">
            <v>PAQ</v>
          </cell>
          <cell r="D137">
            <v>7560</v>
          </cell>
          <cell r="E137" t="str">
            <v>Gramo</v>
          </cell>
          <cell r="F137">
            <v>9.4499999999999993</v>
          </cell>
        </row>
        <row r="138">
          <cell r="A138" t="str">
            <v>0510197</v>
          </cell>
          <cell r="B138" t="str">
            <v>MASECA GRANEL 20 KILOS</v>
          </cell>
          <cell r="C138" t="str">
            <v>KILO</v>
          </cell>
          <cell r="D138">
            <v>537.41099999999994</v>
          </cell>
          <cell r="E138" t="str">
            <v>Gramo</v>
          </cell>
          <cell r="F138">
            <v>0.53741099999999997</v>
          </cell>
        </row>
        <row r="139">
          <cell r="A139" t="str">
            <v>0510198</v>
          </cell>
          <cell r="B139" t="str">
            <v>MANI SIMPLE KG</v>
          </cell>
          <cell r="C139" t="str">
            <v>KILO</v>
          </cell>
          <cell r="D139">
            <v>2280.3969999999999</v>
          </cell>
          <cell r="E139" t="str">
            <v>Gramo</v>
          </cell>
          <cell r="F139">
            <v>2.2803969999999998</v>
          </cell>
        </row>
        <row r="140">
          <cell r="A140" t="str">
            <v>0510200</v>
          </cell>
          <cell r="B140" t="str">
            <v>PASAS ( CAJAS 13.6KG)</v>
          </cell>
          <cell r="C140" t="str">
            <v>KILO</v>
          </cell>
          <cell r="D140">
            <v>2884.88</v>
          </cell>
          <cell r="E140" t="str">
            <v>Gramo</v>
          </cell>
          <cell r="F140">
            <v>2.8848799999999999</v>
          </cell>
        </row>
        <row r="141">
          <cell r="A141" t="str">
            <v>0510202</v>
          </cell>
          <cell r="B141" t="str">
            <v>POLVO HORNEAR FLEISHMAN (2.5 KG)</v>
          </cell>
          <cell r="C141" t="str">
            <v>KILO</v>
          </cell>
          <cell r="D141">
            <v>895.2</v>
          </cell>
          <cell r="E141" t="str">
            <v>Gramo</v>
          </cell>
          <cell r="F141">
            <v>0.8952</v>
          </cell>
        </row>
        <row r="142">
          <cell r="A142" t="str">
            <v>0510204</v>
          </cell>
          <cell r="B142" t="str">
            <v>SAL REFINADA ( 500 GRS )</v>
          </cell>
          <cell r="C142" t="str">
            <v>KILO</v>
          </cell>
          <cell r="D142">
            <v>335.43</v>
          </cell>
          <cell r="E142" t="str">
            <v>Gramo</v>
          </cell>
          <cell r="F142">
            <v>0.33543000000000001</v>
          </cell>
        </row>
        <row r="143">
          <cell r="A143" t="str">
            <v>0510210</v>
          </cell>
          <cell r="B143" t="str">
            <v>AZUCAR EDULCURANTE ( KG )</v>
          </cell>
          <cell r="C143" t="str">
            <v>KILO</v>
          </cell>
          <cell r="D143">
            <v>5968.05</v>
          </cell>
          <cell r="E143" t="str">
            <v>Gramo</v>
          </cell>
          <cell r="F143">
            <v>5.9680499999999999</v>
          </cell>
        </row>
        <row r="144">
          <cell r="A144" t="str">
            <v>0510215</v>
          </cell>
          <cell r="B144" t="str">
            <v>ALMIDON MODIFICADO ( 25 KG )</v>
          </cell>
          <cell r="C144" t="str">
            <v>KILO</v>
          </cell>
          <cell r="D144">
            <v>1683.318</v>
          </cell>
          <cell r="E144" t="str">
            <v>Gramo</v>
          </cell>
          <cell r="F144">
            <v>1.6833180000000001</v>
          </cell>
        </row>
        <row r="145">
          <cell r="A145" t="str">
            <v>0510229</v>
          </cell>
          <cell r="B145" t="str">
            <v>HARINA NACARINA SACOS (50 KILOS)</v>
          </cell>
          <cell r="C145" t="str">
            <v>UND</v>
          </cell>
          <cell r="D145">
            <v>24266</v>
          </cell>
          <cell r="E145" t="str">
            <v>Gramo</v>
          </cell>
          <cell r="F145">
            <v>0.48531999999999997</v>
          </cell>
        </row>
        <row r="146">
          <cell r="A146" t="str">
            <v>0510240</v>
          </cell>
          <cell r="B146" t="str">
            <v>PREMEZCLA PILLS. CHOCOLATE (22.68 KG)</v>
          </cell>
          <cell r="C146" t="str">
            <v>KILO</v>
          </cell>
          <cell r="D146">
            <v>1566.27</v>
          </cell>
          <cell r="E146" t="str">
            <v>Gramo</v>
          </cell>
          <cell r="F146">
            <v>1.5662700000000001</v>
          </cell>
        </row>
        <row r="147">
          <cell r="A147" t="str">
            <v>0510249</v>
          </cell>
          <cell r="B147" t="str">
            <v>SEMILLA DE MARAÑON ( KILO )</v>
          </cell>
          <cell r="C147" t="str">
            <v>KILO</v>
          </cell>
          <cell r="D147">
            <v>8467.0660000000007</v>
          </cell>
          <cell r="E147" t="str">
            <v>Gramo</v>
          </cell>
          <cell r="F147">
            <v>8.4670660000000009</v>
          </cell>
        </row>
        <row r="148">
          <cell r="A148" t="str">
            <v>0510257</v>
          </cell>
          <cell r="B148" t="str">
            <v>SABORIZANTE DE COCO (KILO)</v>
          </cell>
          <cell r="C148" t="str">
            <v>KILO</v>
          </cell>
          <cell r="D148">
            <v>5455.9430000000002</v>
          </cell>
          <cell r="E148" t="str">
            <v>Gramo</v>
          </cell>
          <cell r="F148">
            <v>5.4559430000000004</v>
          </cell>
        </row>
        <row r="149">
          <cell r="A149" t="str">
            <v>0510258</v>
          </cell>
          <cell r="B149" t="str">
            <v>PREMEZCLA MOIST R PUDIN CAKE (24.71)NAC</v>
          </cell>
          <cell r="C149" t="str">
            <v>KILO</v>
          </cell>
          <cell r="D149">
            <v>1006.6660000000001</v>
          </cell>
          <cell r="E149" t="str">
            <v>Gramo</v>
          </cell>
          <cell r="F149">
            <v>1.0066660000000001</v>
          </cell>
        </row>
        <row r="150">
          <cell r="A150" t="str">
            <v>0510259</v>
          </cell>
          <cell r="B150" t="str">
            <v>SABORIZANTE FRESA BOSQUE (LITRO)</v>
          </cell>
          <cell r="C150" t="str">
            <v>LITRO</v>
          </cell>
          <cell r="D150">
            <v>8780.1260000000002</v>
          </cell>
          <cell r="E150" t="str">
            <v>Mililitro</v>
          </cell>
          <cell r="F150">
            <v>8.780126000000001</v>
          </cell>
        </row>
        <row r="151">
          <cell r="A151" t="str">
            <v>0510261</v>
          </cell>
          <cell r="B151" t="str">
            <v>SABORIZANTE MELO (KILO)</v>
          </cell>
          <cell r="C151" t="str">
            <v>KILO</v>
          </cell>
          <cell r="D151">
            <v>8294.9339999999993</v>
          </cell>
          <cell r="E151" t="str">
            <v>Gramo</v>
          </cell>
          <cell r="F151">
            <v>8.2949339999999996</v>
          </cell>
        </row>
        <row r="152">
          <cell r="A152" t="str">
            <v>0510262</v>
          </cell>
          <cell r="B152" t="str">
            <v>PECANA ENTERA (CAJA 13.6 K)</v>
          </cell>
          <cell r="C152" t="str">
            <v>KILO</v>
          </cell>
          <cell r="D152">
            <v>11935.353999999999</v>
          </cell>
          <cell r="E152" t="str">
            <v>Gramo</v>
          </cell>
          <cell r="F152">
            <v>11.935354</v>
          </cell>
        </row>
        <row r="153">
          <cell r="A153" t="str">
            <v>0510268</v>
          </cell>
          <cell r="B153" t="str">
            <v>FRIJOL TIERNO (PAQ=1KILO)</v>
          </cell>
          <cell r="C153" t="str">
            <v>KILO</v>
          </cell>
          <cell r="D153">
            <v>1700</v>
          </cell>
          <cell r="E153" t="str">
            <v>Gramo</v>
          </cell>
          <cell r="F153">
            <v>1.7</v>
          </cell>
        </row>
        <row r="154">
          <cell r="A154" t="str">
            <v>0510274</v>
          </cell>
          <cell r="B154" t="str">
            <v>MACADAMIA ENTERA (PAQ=1 KILO)</v>
          </cell>
          <cell r="C154" t="str">
            <v>KILO</v>
          </cell>
          <cell r="D154">
            <v>15094.946</v>
          </cell>
          <cell r="E154" t="str">
            <v>Gramo</v>
          </cell>
          <cell r="F154">
            <v>15.094946</v>
          </cell>
        </row>
        <row r="155">
          <cell r="A155" t="str">
            <v>0510275</v>
          </cell>
          <cell r="B155" t="str">
            <v>AVELLANA BLANQUEADA (CAJA =25K )</v>
          </cell>
          <cell r="C155" t="str">
            <v>KILO</v>
          </cell>
          <cell r="D155">
            <v>11728.659</v>
          </cell>
          <cell r="E155" t="str">
            <v>Gramo</v>
          </cell>
          <cell r="F155">
            <v>11.728659</v>
          </cell>
        </row>
        <row r="156">
          <cell r="A156" t="str">
            <v>0510276</v>
          </cell>
          <cell r="B156" t="str">
            <v>NUEZ DE BRASIL ( CAJA=20K)</v>
          </cell>
          <cell r="C156" t="str">
            <v>KILO</v>
          </cell>
          <cell r="D156">
            <v>10071.687</v>
          </cell>
          <cell r="E156" t="str">
            <v>Gramo</v>
          </cell>
          <cell r="F156">
            <v>10.071687000000001</v>
          </cell>
        </row>
        <row r="157">
          <cell r="A157" t="str">
            <v>0510277</v>
          </cell>
          <cell r="B157" t="str">
            <v>AJONJOLI NEGRO (PAQ=300g)</v>
          </cell>
          <cell r="C157" t="str">
            <v>KILO</v>
          </cell>
          <cell r="D157">
            <v>4518.6670000000004</v>
          </cell>
          <cell r="E157" t="str">
            <v>Gramo</v>
          </cell>
          <cell r="F157">
            <v>4.5186670000000007</v>
          </cell>
        </row>
        <row r="158">
          <cell r="A158" t="str">
            <v>0510278</v>
          </cell>
          <cell r="B158" t="str">
            <v>POPPY COOK PALOMITAS (TARRO = 850g )</v>
          </cell>
          <cell r="C158" t="str">
            <v>UND</v>
          </cell>
          <cell r="D158">
            <v>5794.4210000000003</v>
          </cell>
          <cell r="E158" t="str">
            <v>Gramo</v>
          </cell>
          <cell r="F158">
            <v>6.8169658823529415</v>
          </cell>
        </row>
        <row r="159">
          <cell r="A159" t="str">
            <v>0510280</v>
          </cell>
          <cell r="B159" t="str">
            <v>EMULCON TM</v>
          </cell>
          <cell r="C159" t="str">
            <v>KILO</v>
          </cell>
          <cell r="D159">
            <v>3687.1379999999999</v>
          </cell>
          <cell r="E159" t="str">
            <v>Gramo</v>
          </cell>
          <cell r="F159">
            <v>3.687138</v>
          </cell>
        </row>
        <row r="160">
          <cell r="A160" t="str">
            <v>0510285</v>
          </cell>
          <cell r="B160" t="str">
            <v>PREMEZCLA P/QUEQUE YOGURT (PAQ=22.67 KG)</v>
          </cell>
          <cell r="C160" t="str">
            <v>KILO</v>
          </cell>
          <cell r="D160">
            <v>1699.97</v>
          </cell>
          <cell r="E160" t="str">
            <v>Gramo</v>
          </cell>
          <cell r="F160">
            <v>1.69997</v>
          </cell>
        </row>
        <row r="161">
          <cell r="A161" t="str">
            <v>0510287</v>
          </cell>
          <cell r="B161" t="str">
            <v>PREMEZCLA TEGRAL CHIFFON (PAQ=10 Kg )</v>
          </cell>
          <cell r="C161" t="str">
            <v>KILO</v>
          </cell>
          <cell r="D161">
            <v>1730</v>
          </cell>
          <cell r="E161" t="str">
            <v>Gramo</v>
          </cell>
          <cell r="F161">
            <v>1.73</v>
          </cell>
        </row>
        <row r="162">
          <cell r="A162" t="str">
            <v>0510294</v>
          </cell>
          <cell r="B162" t="str">
            <v>ANTIOXIDANTE ESPECIAL (KILO)</v>
          </cell>
          <cell r="C162" t="str">
            <v>KILO</v>
          </cell>
          <cell r="D162">
            <v>5545.7430000000004</v>
          </cell>
          <cell r="E162" t="str">
            <v>Gramo</v>
          </cell>
          <cell r="F162">
            <v>5.5457430000000008</v>
          </cell>
        </row>
        <row r="163">
          <cell r="A163" t="str">
            <v>0510295</v>
          </cell>
          <cell r="B163" t="str">
            <v>PREMEZCLA TEGRAL BIZCOCHUELO CARAMELO (KILO)</v>
          </cell>
          <cell r="C163" t="str">
            <v>KILO</v>
          </cell>
          <cell r="D163">
            <v>1010</v>
          </cell>
          <cell r="E163" t="str">
            <v>Gramo</v>
          </cell>
          <cell r="F163">
            <v>1.01</v>
          </cell>
        </row>
        <row r="164">
          <cell r="A164" t="str">
            <v>510296</v>
          </cell>
          <cell r="B164" t="str">
            <v>AZUCAR C/CARAMELO DM 1/500 GRMS.</v>
          </cell>
          <cell r="C164" t="str">
            <v>KILO</v>
          </cell>
          <cell r="D164">
            <v>1372</v>
          </cell>
          <cell r="E164" t="str">
            <v>Gramo</v>
          </cell>
          <cell r="F164">
            <v>1.3720000000000001</v>
          </cell>
        </row>
        <row r="165">
          <cell r="A165" t="str">
            <v>0510298</v>
          </cell>
          <cell r="B165" t="str">
            <v>PREMEZCLA TEGRAL BIZCOCHUELO MELOCOTON (KILO)</v>
          </cell>
          <cell r="C165" t="str">
            <v>KILO</v>
          </cell>
          <cell r="D165">
            <v>1010</v>
          </cell>
          <cell r="E165" t="str">
            <v>Gramo</v>
          </cell>
          <cell r="F165">
            <v>1.01</v>
          </cell>
        </row>
        <row r="166">
          <cell r="A166" t="str">
            <v>510301</v>
          </cell>
          <cell r="B166" t="str">
            <v>AZUCAR BLANCO (INDUSTRIAL)</v>
          </cell>
          <cell r="C166" t="str">
            <v>KILO</v>
          </cell>
          <cell r="D166">
            <v>378.959</v>
          </cell>
          <cell r="E166" t="str">
            <v>Gramo</v>
          </cell>
          <cell r="F166">
            <v>0.37895899999999999</v>
          </cell>
        </row>
        <row r="167">
          <cell r="A167" t="str">
            <v>510302</v>
          </cell>
          <cell r="B167" t="str">
            <v>AZUCAR REFINO INDUSTRIAL</v>
          </cell>
          <cell r="C167" t="str">
            <v>KILO</v>
          </cell>
          <cell r="D167">
            <v>428.25900000000001</v>
          </cell>
          <cell r="E167" t="str">
            <v>Gramo</v>
          </cell>
          <cell r="F167">
            <v>0.428259</v>
          </cell>
        </row>
        <row r="168">
          <cell r="A168" t="str">
            <v>510303</v>
          </cell>
          <cell r="B168" t="str">
            <v>AJONJOLI BLANCO (PAQ=200GRM)</v>
          </cell>
          <cell r="C168" t="str">
            <v>KILO</v>
          </cell>
          <cell r="D168">
            <v>3370.4450000000002</v>
          </cell>
          <cell r="E168" t="str">
            <v>Gramo</v>
          </cell>
          <cell r="F168">
            <v>3.3704450000000001</v>
          </cell>
        </row>
        <row r="169">
          <cell r="A169" t="str">
            <v>0510304</v>
          </cell>
          <cell r="B169" t="str">
            <v>PREMEZCLA PASTEL SUPER ESPONJA</v>
          </cell>
          <cell r="C169" t="str">
            <v>KILO</v>
          </cell>
          <cell r="D169">
            <v>1682.2619999999999</v>
          </cell>
          <cell r="E169" t="str">
            <v>Gramo</v>
          </cell>
          <cell r="F169">
            <v>1.6822619999999999</v>
          </cell>
        </row>
        <row r="170">
          <cell r="A170" t="str">
            <v>510404</v>
          </cell>
          <cell r="B170" t="str">
            <v>ARROZ 96% EL ARMENIO ( BULTO =12 PAQ=1.8K)</v>
          </cell>
          <cell r="C170" t="str">
            <v>KILO</v>
          </cell>
          <cell r="D170">
            <v>797.79600000000005</v>
          </cell>
          <cell r="E170" t="str">
            <v>Gramo</v>
          </cell>
          <cell r="F170">
            <v>0.79779600000000006</v>
          </cell>
        </row>
        <row r="171">
          <cell r="A171" t="str">
            <v>510405</v>
          </cell>
          <cell r="B171" t="str">
            <v>ARROZ PRECOCIDO EL ARMENIO (BULTO= 30K)</v>
          </cell>
          <cell r="C171" t="str">
            <v>KILO</v>
          </cell>
          <cell r="D171">
            <v>709.5</v>
          </cell>
          <cell r="E171" t="str">
            <v>Gramo</v>
          </cell>
          <cell r="F171">
            <v>0.70950000000000002</v>
          </cell>
        </row>
        <row r="172">
          <cell r="A172" t="str">
            <v>510406</v>
          </cell>
          <cell r="B172" t="str">
            <v>QUINOA BLANCA ROLAND (PAQ=2.27 K)</v>
          </cell>
          <cell r="C172" t="str">
            <v>KILO</v>
          </cell>
          <cell r="D172">
            <v>5749.1610000000001</v>
          </cell>
          <cell r="E172" t="str">
            <v>Gramo</v>
          </cell>
          <cell r="F172">
            <v>5.749161</v>
          </cell>
        </row>
        <row r="173">
          <cell r="A173" t="str">
            <v>510410</v>
          </cell>
          <cell r="B173" t="str">
            <v>SABORIZANTE AMARETO</v>
          </cell>
          <cell r="C173" t="str">
            <v>KILO</v>
          </cell>
          <cell r="D173">
            <v>8185.35</v>
          </cell>
          <cell r="E173" t="str">
            <v>Gramo</v>
          </cell>
          <cell r="F173">
            <v>8.1853499999999997</v>
          </cell>
        </row>
        <row r="174">
          <cell r="A174" t="str">
            <v>510413</v>
          </cell>
          <cell r="B174" t="str">
            <v>PRESERVANTE ESTERLAC EFF20 (CAJA= 25K)</v>
          </cell>
          <cell r="C174" t="str">
            <v>KILO</v>
          </cell>
          <cell r="D174">
            <v>2364.4</v>
          </cell>
          <cell r="E174" t="str">
            <v>Gramo</v>
          </cell>
          <cell r="F174">
            <v>2.3644000000000003</v>
          </cell>
        </row>
        <row r="175">
          <cell r="A175" t="str">
            <v>510415</v>
          </cell>
          <cell r="B175" t="str">
            <v>PREMEZCLA VAINILLA PASTELERO REAL 20K</v>
          </cell>
          <cell r="C175" t="str">
            <v>KILO</v>
          </cell>
          <cell r="D175">
            <v>923.17899999999997</v>
          </cell>
          <cell r="E175" t="str">
            <v>Gramo</v>
          </cell>
          <cell r="F175">
            <v>0.92317899999999997</v>
          </cell>
        </row>
        <row r="176">
          <cell r="A176" t="str">
            <v>510416</v>
          </cell>
          <cell r="B176" t="str">
            <v>PREMEZCLA CHOCOLATE PASTELERO REAL 20K</v>
          </cell>
          <cell r="C176" t="str">
            <v>KILO</v>
          </cell>
          <cell r="D176">
            <v>1238.8610000000001</v>
          </cell>
          <cell r="E176" t="str">
            <v>Gramo</v>
          </cell>
          <cell r="F176">
            <v>1.2388610000000002</v>
          </cell>
        </row>
        <row r="177">
          <cell r="A177" t="str">
            <v>0512255</v>
          </cell>
          <cell r="B177" t="str">
            <v>COCOA DUTCH PROCESS (25 KG)</v>
          </cell>
          <cell r="C177" t="str">
            <v>KILO</v>
          </cell>
          <cell r="D177">
            <v>4856.0249999999996</v>
          </cell>
          <cell r="E177" t="str">
            <v>Gramo</v>
          </cell>
          <cell r="F177">
            <v>4.8560249999999998</v>
          </cell>
        </row>
        <row r="178">
          <cell r="A178" t="str">
            <v>0512256</v>
          </cell>
          <cell r="B178" t="str">
            <v>PREMEZCLA OTENTIC ORIGIN (PAQ=1 KILO)</v>
          </cell>
          <cell r="C178" t="str">
            <v>KILO</v>
          </cell>
          <cell r="D178">
            <v>6870</v>
          </cell>
          <cell r="E178" t="str">
            <v>Gramo</v>
          </cell>
          <cell r="F178">
            <v>6.87</v>
          </cell>
        </row>
        <row r="179">
          <cell r="A179" t="str">
            <v>0512261</v>
          </cell>
          <cell r="B179" t="str">
            <v>ACIDO SORBICO (KG)</v>
          </cell>
          <cell r="C179" t="str">
            <v>KILO</v>
          </cell>
          <cell r="D179">
            <v>8428.7659999999996</v>
          </cell>
          <cell r="E179" t="str">
            <v>Gramo</v>
          </cell>
          <cell r="F179">
            <v>8.4287659999999995</v>
          </cell>
        </row>
        <row r="180">
          <cell r="A180" t="str">
            <v>0512262</v>
          </cell>
          <cell r="B180" t="str">
            <v>PROPIONATO DE CALCIO</v>
          </cell>
          <cell r="C180" t="str">
            <v>KILO</v>
          </cell>
          <cell r="D180">
            <v>2042.42</v>
          </cell>
          <cell r="E180" t="str">
            <v>Gramo</v>
          </cell>
          <cell r="F180">
            <v>2.0424199999999999</v>
          </cell>
        </row>
        <row r="181">
          <cell r="A181" t="str">
            <v>0512299</v>
          </cell>
          <cell r="B181" t="str">
            <v>AVENA HOJUELAS (360 GR)</v>
          </cell>
          <cell r="C181" t="str">
            <v>UND</v>
          </cell>
          <cell r="D181">
            <v>648.99599999999998</v>
          </cell>
          <cell r="E181" t="str">
            <v>Gramo</v>
          </cell>
          <cell r="F181">
            <v>1.8027666666666666</v>
          </cell>
        </row>
        <row r="182">
          <cell r="A182" t="str">
            <v>0512310</v>
          </cell>
          <cell r="B182" t="str">
            <v>OREGANO TONES  ( 141 GRS )</v>
          </cell>
          <cell r="C182" t="str">
            <v>KILO</v>
          </cell>
          <cell r="D182">
            <v>37022.451999999997</v>
          </cell>
          <cell r="E182" t="str">
            <v>Gramo</v>
          </cell>
          <cell r="F182">
            <v>37.022451999999994</v>
          </cell>
        </row>
        <row r="183">
          <cell r="A183" t="str">
            <v>0512316</v>
          </cell>
          <cell r="B183" t="str">
            <v>CAFÉ INSTANTANEO ( 500 GRS )</v>
          </cell>
          <cell r="C183" t="str">
            <v>KILO</v>
          </cell>
          <cell r="D183">
            <v>16485.353999999999</v>
          </cell>
          <cell r="E183" t="str">
            <v>Gramo</v>
          </cell>
          <cell r="F183">
            <v>16.485354000000001</v>
          </cell>
        </row>
        <row r="184">
          <cell r="A184" t="str">
            <v>0512319</v>
          </cell>
          <cell r="B184" t="str">
            <v>PASTA AJO (KILO)</v>
          </cell>
          <cell r="C184" t="str">
            <v>KILO</v>
          </cell>
          <cell r="D184">
            <v>4294</v>
          </cell>
          <cell r="E184" t="str">
            <v>Gramo</v>
          </cell>
          <cell r="F184">
            <v>4.2939999999999996</v>
          </cell>
        </row>
        <row r="185">
          <cell r="A185" t="str">
            <v>0610205</v>
          </cell>
          <cell r="B185" t="str">
            <v>TOMILLO (199 GRAMOS)</v>
          </cell>
          <cell r="C185" t="str">
            <v>KILO</v>
          </cell>
          <cell r="D185">
            <v>46830.985999999997</v>
          </cell>
          <cell r="E185" t="str">
            <v>Gramo</v>
          </cell>
          <cell r="F185">
            <v>46.830985999999996</v>
          </cell>
        </row>
        <row r="186">
          <cell r="A186" t="str">
            <v>0610208</v>
          </cell>
          <cell r="B186" t="str">
            <v>ACHIOTE KG</v>
          </cell>
          <cell r="C186" t="str">
            <v>KILO</v>
          </cell>
          <cell r="D186">
            <v>3705.0920000000001</v>
          </cell>
          <cell r="E186" t="str">
            <v>Gramo</v>
          </cell>
          <cell r="F186">
            <v>3.7050920000000001</v>
          </cell>
        </row>
        <row r="187">
          <cell r="A187" t="str">
            <v>0610212</v>
          </cell>
          <cell r="B187" t="str">
            <v>JENGIBRE ENTERO</v>
          </cell>
          <cell r="C187" t="str">
            <v>KILO</v>
          </cell>
          <cell r="D187">
            <v>1675.48</v>
          </cell>
          <cell r="E187" t="str">
            <v>Gramo</v>
          </cell>
          <cell r="F187">
            <v>1.6754800000000001</v>
          </cell>
        </row>
        <row r="188">
          <cell r="A188" t="str">
            <v>0610213</v>
          </cell>
          <cell r="B188" t="str">
            <v>CANELA ASTILLA ( .500 KG )</v>
          </cell>
          <cell r="C188" t="str">
            <v>KILO</v>
          </cell>
          <cell r="D188">
            <v>6524.1319999999996</v>
          </cell>
          <cell r="E188" t="str">
            <v>Gramo</v>
          </cell>
          <cell r="F188">
            <v>6.5241319999999998</v>
          </cell>
        </row>
        <row r="189">
          <cell r="A189" t="str">
            <v>0610215</v>
          </cell>
          <cell r="B189" t="str">
            <v>PIMIENTO ROJO QUEBRADO TONES 341g</v>
          </cell>
          <cell r="C189" t="str">
            <v>KILO</v>
          </cell>
          <cell r="D189">
            <v>15896.911</v>
          </cell>
          <cell r="E189" t="str">
            <v>Gramo</v>
          </cell>
          <cell r="F189">
            <v>15.896910999999999</v>
          </cell>
        </row>
        <row r="190">
          <cell r="A190" t="str">
            <v>0610216</v>
          </cell>
          <cell r="B190" t="str">
            <v>CLAVO DE OLOR MOLIDO</v>
          </cell>
          <cell r="C190" t="str">
            <v>KILO</v>
          </cell>
          <cell r="D190">
            <v>27745.042000000001</v>
          </cell>
          <cell r="E190" t="str">
            <v>Gramo</v>
          </cell>
          <cell r="F190">
            <v>27.745042000000002</v>
          </cell>
        </row>
        <row r="191">
          <cell r="A191" t="str">
            <v>0610217</v>
          </cell>
          <cell r="B191" t="str">
            <v>ENELDO TONES 155g</v>
          </cell>
          <cell r="C191" t="str">
            <v>KILO</v>
          </cell>
          <cell r="D191">
            <v>48581.56</v>
          </cell>
          <cell r="E191" t="str">
            <v>Gramo</v>
          </cell>
          <cell r="F191">
            <v>48.581559999999996</v>
          </cell>
        </row>
        <row r="192">
          <cell r="A192" t="str">
            <v>0610218</v>
          </cell>
          <cell r="B192" t="str">
            <v>COMINO TONES ( 454G)</v>
          </cell>
          <cell r="C192" t="str">
            <v>KILO</v>
          </cell>
          <cell r="D192">
            <v>12784.166999999999</v>
          </cell>
          <cell r="E192" t="str">
            <v>Gramo</v>
          </cell>
          <cell r="F192">
            <v>12.784167</v>
          </cell>
        </row>
        <row r="193">
          <cell r="A193" t="str">
            <v>0610220</v>
          </cell>
          <cell r="B193" t="str">
            <v>CONSOME CONCEN. DE POLLO (1000g)</v>
          </cell>
          <cell r="C193" t="str">
            <v>GRAMO</v>
          </cell>
          <cell r="D193">
            <v>1.6040000000000001</v>
          </cell>
          <cell r="E193" t="str">
            <v>Gramo</v>
          </cell>
          <cell r="F193">
            <v>1.6040000000000001</v>
          </cell>
        </row>
        <row r="194">
          <cell r="A194" t="str">
            <v>0610221</v>
          </cell>
          <cell r="B194" t="str">
            <v>CONSOME CONCEN. DE RES (2000g)</v>
          </cell>
          <cell r="C194" t="str">
            <v>GRAMO</v>
          </cell>
          <cell r="D194">
            <v>2.758</v>
          </cell>
          <cell r="E194" t="str">
            <v>Gramo</v>
          </cell>
          <cell r="F194">
            <v>2.758</v>
          </cell>
        </row>
        <row r="195">
          <cell r="A195" t="str">
            <v>0610223</v>
          </cell>
          <cell r="B195" t="str">
            <v>CREMA DE HONGOS (CAJA=12 paq)</v>
          </cell>
          <cell r="C195" t="str">
            <v>UND</v>
          </cell>
          <cell r="D195">
            <v>476.83199999999999</v>
          </cell>
          <cell r="E195" t="str">
            <v>Gramo</v>
          </cell>
          <cell r="F195">
            <v>7.3358769230769232</v>
          </cell>
        </row>
        <row r="196">
          <cell r="A196" t="str">
            <v>0610233</v>
          </cell>
          <cell r="B196" t="str">
            <v>PEREJIL SECO ( 57 gr )</v>
          </cell>
          <cell r="C196" t="str">
            <v>GRAMO</v>
          </cell>
          <cell r="D196">
            <v>64.42</v>
          </cell>
          <cell r="E196" t="str">
            <v>Gramo</v>
          </cell>
          <cell r="F196">
            <v>64.42</v>
          </cell>
        </row>
        <row r="197">
          <cell r="A197" t="str">
            <v>0610236</v>
          </cell>
          <cell r="B197" t="str">
            <v>PIMIENTA NEGRA MOLIDA ( 1000 g )</v>
          </cell>
          <cell r="C197" t="str">
            <v>GRAMO</v>
          </cell>
          <cell r="D197">
            <v>10.519</v>
          </cell>
          <cell r="E197" t="str">
            <v>Gramo</v>
          </cell>
          <cell r="F197">
            <v>10.519</v>
          </cell>
        </row>
        <row r="198">
          <cell r="A198" t="str">
            <v>0610239</v>
          </cell>
          <cell r="B198" t="str">
            <v>TARRAGON ( 114 gr )</v>
          </cell>
          <cell r="C198" t="str">
            <v>GRAMO</v>
          </cell>
          <cell r="D198">
            <v>72.998999999999995</v>
          </cell>
          <cell r="E198" t="str">
            <v>Gramo</v>
          </cell>
          <cell r="F198">
            <v>72.998999999999995</v>
          </cell>
        </row>
        <row r="199">
          <cell r="A199" t="str">
            <v>0610241</v>
          </cell>
          <cell r="B199" t="str">
            <v>ROMERO TONES ( 170 GR )</v>
          </cell>
          <cell r="C199" t="str">
            <v>GRAMO</v>
          </cell>
          <cell r="D199">
            <v>29.093</v>
          </cell>
          <cell r="E199" t="str">
            <v>Gramo</v>
          </cell>
          <cell r="F199">
            <v>29.093</v>
          </cell>
        </row>
        <row r="200">
          <cell r="A200" t="str">
            <v>0610244</v>
          </cell>
          <cell r="B200" t="str">
            <v>JENGIBRE MOLIDO (453G)</v>
          </cell>
          <cell r="C200" t="str">
            <v>KILO</v>
          </cell>
          <cell r="D200">
            <v>8193.1470000000008</v>
          </cell>
          <cell r="E200" t="str">
            <v>Gramo</v>
          </cell>
          <cell r="F200">
            <v>8.1931470000000015</v>
          </cell>
        </row>
        <row r="201">
          <cell r="A201" t="str">
            <v>0610250</v>
          </cell>
          <cell r="B201" t="str">
            <v>HOJUELA PURE PAPA (15 KILOS)</v>
          </cell>
          <cell r="C201" t="str">
            <v>KILO</v>
          </cell>
          <cell r="D201">
            <v>1620.5989999999999</v>
          </cell>
          <cell r="E201" t="str">
            <v>Gramo</v>
          </cell>
          <cell r="F201">
            <v>1.6205989999999999</v>
          </cell>
        </row>
        <row r="202">
          <cell r="A202" t="str">
            <v>0610252</v>
          </cell>
          <cell r="B202" t="str">
            <v>SOPA FRIJOL (CAJA=12 UND)</v>
          </cell>
          <cell r="C202" t="str">
            <v>UND</v>
          </cell>
          <cell r="D202">
            <v>337.5</v>
          </cell>
          <cell r="E202" t="str">
            <v>Gramo</v>
          </cell>
          <cell r="F202">
            <v>5.625</v>
          </cell>
        </row>
        <row r="203">
          <cell r="A203" t="str">
            <v>0610253</v>
          </cell>
          <cell r="B203" t="str">
            <v>SOPA OLLA CARNE MAGGI (CAJA=12 PAQ)</v>
          </cell>
          <cell r="C203" t="str">
            <v>PAQ</v>
          </cell>
          <cell r="D203">
            <v>282.66699999999997</v>
          </cell>
          <cell r="E203" t="str">
            <v>Gramo</v>
          </cell>
          <cell r="F203">
            <v>7.0666749999999992</v>
          </cell>
        </row>
        <row r="204">
          <cell r="A204" t="str">
            <v>0610254</v>
          </cell>
          <cell r="B204" t="str">
            <v>PIMIENTA BLANCA MOLIDA (1 KILO)</v>
          </cell>
          <cell r="C204" t="str">
            <v>KILO</v>
          </cell>
          <cell r="D204">
            <v>12350.736999999999</v>
          </cell>
          <cell r="E204" t="str">
            <v>Gramo</v>
          </cell>
          <cell r="F204">
            <v>12.350736999999999</v>
          </cell>
        </row>
        <row r="205">
          <cell r="A205" t="str">
            <v>0610255</v>
          </cell>
          <cell r="B205" t="str">
            <v>CURRY POLVO TONE'S (454g)</v>
          </cell>
          <cell r="C205" t="str">
            <v>KILO</v>
          </cell>
          <cell r="D205">
            <v>12008.927</v>
          </cell>
          <cell r="E205" t="str">
            <v>Gramo</v>
          </cell>
          <cell r="F205">
            <v>12.008927</v>
          </cell>
        </row>
        <row r="206">
          <cell r="A206" t="str">
            <v>0610256</v>
          </cell>
          <cell r="B206" t="str">
            <v>NUEZ MOSCADA MOLIDA (3KILOS)</v>
          </cell>
          <cell r="C206" t="str">
            <v>KILO</v>
          </cell>
          <cell r="D206">
            <v>15851.794</v>
          </cell>
          <cell r="E206" t="str">
            <v>Gramo</v>
          </cell>
          <cell r="F206">
            <v>15.851794</v>
          </cell>
        </row>
        <row r="207">
          <cell r="A207" t="str">
            <v>0610258</v>
          </cell>
          <cell r="B207" t="str">
            <v>ADEREZO MAYONESA LIMON SIN GRASA (400g)</v>
          </cell>
          <cell r="C207" t="str">
            <v>KILO</v>
          </cell>
          <cell r="D207">
            <v>2452.482</v>
          </cell>
          <cell r="E207" t="str">
            <v>Gramo</v>
          </cell>
          <cell r="F207">
            <v>2.4524819999999998</v>
          </cell>
        </row>
        <row r="208">
          <cell r="A208" t="str">
            <v>0610261</v>
          </cell>
          <cell r="B208" t="str">
            <v>SEMILLA AMAPOLA (567 G)</v>
          </cell>
          <cell r="C208" t="str">
            <v>KILO</v>
          </cell>
          <cell r="D208">
            <v>6319.06</v>
          </cell>
          <cell r="E208" t="str">
            <v>Gramo</v>
          </cell>
          <cell r="F208">
            <v>6.3190600000000003</v>
          </cell>
        </row>
        <row r="209">
          <cell r="A209" t="str">
            <v>0610265</v>
          </cell>
          <cell r="B209" t="str">
            <v>CANELA MOLIDA TONE´S CHEF (511g)</v>
          </cell>
          <cell r="C209" t="str">
            <v>KILO</v>
          </cell>
          <cell r="D209">
            <v>9443.8510000000006</v>
          </cell>
          <cell r="E209" t="str">
            <v>Gramo</v>
          </cell>
          <cell r="F209">
            <v>9.4438510000000004</v>
          </cell>
        </row>
        <row r="210">
          <cell r="A210" t="str">
            <v>0610266</v>
          </cell>
          <cell r="B210" t="str">
            <v>PAPRIKA TONES (511 GRAMOS)</v>
          </cell>
          <cell r="C210" t="str">
            <v>KILO</v>
          </cell>
          <cell r="D210">
            <v>9558.4130000000005</v>
          </cell>
          <cell r="E210" t="str">
            <v>Gramo</v>
          </cell>
          <cell r="F210">
            <v>9.5584129999999998</v>
          </cell>
        </row>
        <row r="211">
          <cell r="A211" t="str">
            <v>0710247</v>
          </cell>
          <cell r="B211" t="str">
            <v>GALLETA OREO (PAQ=1.13 k)</v>
          </cell>
          <cell r="C211" t="str">
            <v>KILO</v>
          </cell>
          <cell r="D211">
            <v>5211.5050000000001</v>
          </cell>
          <cell r="E211" t="str">
            <v>Gramo</v>
          </cell>
          <cell r="F211">
            <v>5.2115049999999998</v>
          </cell>
        </row>
        <row r="212">
          <cell r="A212" t="str">
            <v>0710261</v>
          </cell>
          <cell r="B212" t="str">
            <v>PAN CUADRADO BLANCO (PAQ=22 REBANADAS )</v>
          </cell>
          <cell r="C212" t="str">
            <v>PAQ</v>
          </cell>
          <cell r="D212">
            <v>1000.001</v>
          </cell>
          <cell r="E212" t="str">
            <v>UND</v>
          </cell>
          <cell r="F212">
            <v>45.454590909090911</v>
          </cell>
        </row>
        <row r="213">
          <cell r="A213" t="str">
            <v>0710262</v>
          </cell>
          <cell r="B213" t="str">
            <v>PAN MOLIDO KILO (5 kilos)</v>
          </cell>
          <cell r="C213" t="str">
            <v>KILO</v>
          </cell>
          <cell r="D213">
            <v>1141.144</v>
          </cell>
          <cell r="E213" t="str">
            <v>Gramo</v>
          </cell>
          <cell r="F213">
            <v>1.1411439999999999</v>
          </cell>
        </row>
        <row r="214">
          <cell r="A214" t="str">
            <v>0710266</v>
          </cell>
          <cell r="B214" t="str">
            <v>TORTILLAS  (PAQ=20 UND)</v>
          </cell>
          <cell r="C214" t="str">
            <v>UND</v>
          </cell>
          <cell r="D214">
            <v>30.4</v>
          </cell>
          <cell r="E214" t="str">
            <v>UND</v>
          </cell>
          <cell r="F214">
            <v>30.4</v>
          </cell>
        </row>
        <row r="215">
          <cell r="A215" t="str">
            <v>0710282</v>
          </cell>
          <cell r="B215" t="str">
            <v>GALLETA POZUELO ENTERA (1/2KILO)</v>
          </cell>
          <cell r="C215" t="str">
            <v>KILO</v>
          </cell>
          <cell r="D215">
            <v>1684.232</v>
          </cell>
          <cell r="E215" t="str">
            <v>Gramo</v>
          </cell>
          <cell r="F215">
            <v>1.684232</v>
          </cell>
        </row>
        <row r="216">
          <cell r="A216" t="str">
            <v>0710285</v>
          </cell>
          <cell r="B216" t="str">
            <v>TORTILLA HARINA 10.25</v>
          </cell>
          <cell r="C216" t="str">
            <v>UND</v>
          </cell>
          <cell r="D216" t="e">
            <v>#N/A</v>
          </cell>
          <cell r="E216" t="str">
            <v>UND</v>
          </cell>
          <cell r="F216" t="e">
            <v>#N/A</v>
          </cell>
        </row>
        <row r="217">
          <cell r="A217" t="str">
            <v>0710295</v>
          </cell>
          <cell r="B217" t="str">
            <v>BARQUILLO VETEADO CHOCOLATE (CAJA=420 UND)</v>
          </cell>
          <cell r="C217" t="str">
            <v>UND</v>
          </cell>
          <cell r="D217">
            <v>37.472000000000001</v>
          </cell>
          <cell r="E217" t="str">
            <v>UND</v>
          </cell>
          <cell r="F217">
            <v>37.472000000000001</v>
          </cell>
        </row>
        <row r="218">
          <cell r="A218" t="str">
            <v>710301</v>
          </cell>
          <cell r="B218" t="str">
            <v>PAN SEMOLA RECTANGULAR (PAQ= 12 UND.)</v>
          </cell>
          <cell r="C218" t="str">
            <v>UND</v>
          </cell>
          <cell r="D218">
            <v>215.899</v>
          </cell>
          <cell r="E218" t="str">
            <v>UND</v>
          </cell>
          <cell r="F218">
            <v>215.899</v>
          </cell>
        </row>
        <row r="219">
          <cell r="A219" t="str">
            <v>710302</v>
          </cell>
          <cell r="B219" t="str">
            <v>PAN SEMOLA CUADRADO BLANCO (PAQ.= 12 UND)</v>
          </cell>
          <cell r="C219" t="str">
            <v>UND</v>
          </cell>
          <cell r="D219">
            <v>230</v>
          </cell>
          <cell r="E219" t="str">
            <v>UND</v>
          </cell>
          <cell r="F219">
            <v>230</v>
          </cell>
        </row>
        <row r="220">
          <cell r="A220" t="str">
            <v>710304</v>
          </cell>
          <cell r="B220" t="str">
            <v>TORTILLA MISION INTEGRAL (PAQ. 6 UND)</v>
          </cell>
          <cell r="C220" t="str">
            <v>UND</v>
          </cell>
          <cell r="D220">
            <v>156.261</v>
          </cell>
          <cell r="E220" t="str">
            <v>UND</v>
          </cell>
          <cell r="F220">
            <v>156.261</v>
          </cell>
        </row>
        <row r="221">
          <cell r="A221" t="str">
            <v>710305</v>
          </cell>
          <cell r="B221" t="str">
            <v>GALLETA DE CHOCOLATE (KILO)</v>
          </cell>
          <cell r="C221" t="str">
            <v>KILO</v>
          </cell>
          <cell r="D221">
            <v>1727.7370000000001</v>
          </cell>
          <cell r="E221" t="str">
            <v>Gramo</v>
          </cell>
          <cell r="F221">
            <v>1.7277370000000001</v>
          </cell>
        </row>
        <row r="222">
          <cell r="A222" t="str">
            <v>0712395</v>
          </cell>
          <cell r="B222" t="str">
            <v>GALLETAS DEDOS DE SEÑORA (PAQ)</v>
          </cell>
          <cell r="C222" t="str">
            <v>PAQ</v>
          </cell>
          <cell r="D222">
            <v>1246.556</v>
          </cell>
          <cell r="E222" t="str">
            <v>UND</v>
          </cell>
          <cell r="F222">
            <v>51.939833333333333</v>
          </cell>
        </row>
        <row r="223">
          <cell r="A223" t="str">
            <v>0712433</v>
          </cell>
          <cell r="B223" t="str">
            <v>EMPANIZADOR PANKO (3 Kg)</v>
          </cell>
          <cell r="C223" t="str">
            <v>KILO</v>
          </cell>
          <cell r="D223">
            <v>3260.6</v>
          </cell>
          <cell r="E223" t="str">
            <v>Gramo</v>
          </cell>
          <cell r="F223">
            <v>3.2605999999999997</v>
          </cell>
        </row>
        <row r="224">
          <cell r="A224" t="str">
            <v>0806049</v>
          </cell>
          <cell r="B224" t="str">
            <v>QUINS-MINI HEARTS 17402 (CAJA=9.08 Kg)</v>
          </cell>
          <cell r="C224" t="str">
            <v>KILO</v>
          </cell>
          <cell r="D224">
            <v>6536.68</v>
          </cell>
          <cell r="E224" t="str">
            <v>Gramo</v>
          </cell>
          <cell r="F224">
            <v>6.5366800000000005</v>
          </cell>
        </row>
        <row r="225">
          <cell r="A225" t="str">
            <v>0807003</v>
          </cell>
          <cell r="B225" t="str">
            <v>COLORANTE/PASTA 4 ONZ</v>
          </cell>
          <cell r="C225" t="str">
            <v>UND</v>
          </cell>
          <cell r="D225">
            <v>2418.181</v>
          </cell>
          <cell r="E225" t="str">
            <v>Gramo</v>
          </cell>
          <cell r="F225">
            <v>20.151508333333332</v>
          </cell>
        </row>
        <row r="226">
          <cell r="A226" t="str">
            <v>0807007</v>
          </cell>
          <cell r="B226" t="str">
            <v>LAMINA DE AZUCAR DE FONDANT (CAJA=24 UND)</v>
          </cell>
          <cell r="C226" t="str">
            <v>UND</v>
          </cell>
          <cell r="D226">
            <v>1124.3009999999999</v>
          </cell>
          <cell r="E226" t="str">
            <v>UND</v>
          </cell>
          <cell r="F226">
            <v>1124.3009999999999</v>
          </cell>
        </row>
        <row r="227">
          <cell r="A227" t="str">
            <v>0810268</v>
          </cell>
          <cell r="B227" t="str">
            <v>CONCENTRADO DE PIÑA COLADA</v>
          </cell>
          <cell r="C227" t="str">
            <v>GALON</v>
          </cell>
          <cell r="D227">
            <v>2975.9879999999998</v>
          </cell>
          <cell r="E227" t="str">
            <v>Mililitro</v>
          </cell>
          <cell r="F227">
            <v>0.78625838837516504</v>
          </cell>
        </row>
        <row r="228">
          <cell r="A228" t="str">
            <v>0810269</v>
          </cell>
          <cell r="B228" t="str">
            <v>JUGO DE PIÑA (LITRO)</v>
          </cell>
          <cell r="C228" t="str">
            <v>LITRO</v>
          </cell>
          <cell r="D228">
            <v>671.50900000000001</v>
          </cell>
          <cell r="E228" t="str">
            <v>Mililitro</v>
          </cell>
          <cell r="F228">
            <v>0.67150900000000002</v>
          </cell>
        </row>
        <row r="229">
          <cell r="A229" t="str">
            <v>0810288</v>
          </cell>
          <cell r="B229" t="str">
            <v>JUGO DE NARANJA TB LITRO</v>
          </cell>
          <cell r="C229" t="str">
            <v>LITRO</v>
          </cell>
          <cell r="D229">
            <v>638.57000000000005</v>
          </cell>
          <cell r="E229" t="str">
            <v>Mililitro</v>
          </cell>
          <cell r="F229">
            <v>0.63857000000000008</v>
          </cell>
        </row>
        <row r="230">
          <cell r="A230" t="str">
            <v>0810299</v>
          </cell>
          <cell r="B230" t="str">
            <v>SIROPE KARO DARK (3.785)</v>
          </cell>
          <cell r="C230" t="str">
            <v>LITRO</v>
          </cell>
          <cell r="D230">
            <v>2377.6840000000002</v>
          </cell>
          <cell r="E230" t="str">
            <v>Mililitro</v>
          </cell>
          <cell r="F230">
            <v>2.3776840000000004</v>
          </cell>
        </row>
        <row r="231">
          <cell r="A231" t="str">
            <v>0810306</v>
          </cell>
          <cell r="B231" t="str">
            <v>MIEL ABEJA BOTELLA</v>
          </cell>
          <cell r="C231" t="str">
            <v>UND</v>
          </cell>
          <cell r="D231">
            <v>4299</v>
          </cell>
          <cell r="E231" t="str">
            <v>Mililitro</v>
          </cell>
          <cell r="F231">
            <v>4.4781250000000004</v>
          </cell>
        </row>
        <row r="232">
          <cell r="A232" t="str">
            <v>0810308</v>
          </cell>
          <cell r="B232" t="str">
            <v>SIROPE CHOCO. LIQUIDO ( 680 gr )</v>
          </cell>
          <cell r="C232" t="str">
            <v>LITRO</v>
          </cell>
          <cell r="D232">
            <v>2186.2199999999998</v>
          </cell>
          <cell r="E232" t="str">
            <v>Mililitro</v>
          </cell>
          <cell r="F232">
            <v>2.1862199999999996</v>
          </cell>
        </row>
        <row r="233">
          <cell r="A233" t="str">
            <v>812390</v>
          </cell>
          <cell r="B233" t="str">
            <v>SIROPE DE MAIZ (LIGHT)</v>
          </cell>
          <cell r="C233" t="str">
            <v>GALON</v>
          </cell>
          <cell r="D233">
            <v>11559.638999999999</v>
          </cell>
          <cell r="E233" t="str">
            <v>Mililitro</v>
          </cell>
          <cell r="F233">
            <v>3.0540657859973579</v>
          </cell>
        </row>
        <row r="234">
          <cell r="A234" t="str">
            <v>0910307</v>
          </cell>
          <cell r="B234" t="str">
            <v>ACEITE  LIBRE DE TRANS INOLASA(17 LITROS)</v>
          </cell>
          <cell r="C234" t="str">
            <v>LITRO</v>
          </cell>
          <cell r="D234">
            <v>913.97699999999998</v>
          </cell>
          <cell r="E234" t="str">
            <v>Mililitro</v>
          </cell>
          <cell r="F234">
            <v>0.91397699999999993</v>
          </cell>
        </row>
        <row r="235">
          <cell r="A235" t="str">
            <v>0910310</v>
          </cell>
          <cell r="B235" t="str">
            <v>ACEITE DE SESAMO ( 1750 ml )</v>
          </cell>
          <cell r="C235" t="str">
            <v>LITRO</v>
          </cell>
          <cell r="D235">
            <v>5715.5780000000004</v>
          </cell>
          <cell r="E235" t="str">
            <v>Mililitro</v>
          </cell>
          <cell r="F235">
            <v>5.7155780000000007</v>
          </cell>
        </row>
        <row r="236">
          <cell r="A236" t="str">
            <v>0910311</v>
          </cell>
          <cell r="B236" t="str">
            <v>ACEITE DE OLIVA PLAST .5 LIT</v>
          </cell>
          <cell r="C236" t="str">
            <v>LITRO</v>
          </cell>
          <cell r="D236">
            <v>2374.8290000000002</v>
          </cell>
          <cell r="E236" t="str">
            <v>Mililitro</v>
          </cell>
          <cell r="F236">
            <v>2.3748290000000001</v>
          </cell>
        </row>
        <row r="237">
          <cell r="A237" t="str">
            <v>0910313</v>
          </cell>
          <cell r="B237" t="str">
            <v>ACEITE CAPULLO RBD ( 17  LTS )</v>
          </cell>
          <cell r="C237" t="str">
            <v>LITRO</v>
          </cell>
          <cell r="D237">
            <v>804.62199999999996</v>
          </cell>
          <cell r="E237" t="str">
            <v>Mililitro</v>
          </cell>
          <cell r="F237">
            <v>0.80462199999999995</v>
          </cell>
        </row>
        <row r="238">
          <cell r="A238" t="str">
            <v>0910316</v>
          </cell>
          <cell r="B238" t="str">
            <v>SALSA CHINA GALON</v>
          </cell>
          <cell r="C238" t="str">
            <v>KILO</v>
          </cell>
          <cell r="D238">
            <v>698.36</v>
          </cell>
          <cell r="E238" t="str">
            <v>Gramo</v>
          </cell>
          <cell r="F238">
            <v>0.69835999999999998</v>
          </cell>
        </row>
        <row r="239">
          <cell r="A239" t="str">
            <v>0910318</v>
          </cell>
          <cell r="B239" t="str">
            <v>SALSA INGLESA CRIOLLA (3.785 L)</v>
          </cell>
          <cell r="C239" t="str">
            <v>LITRO</v>
          </cell>
          <cell r="D239">
            <v>1714.433</v>
          </cell>
          <cell r="E239" t="str">
            <v>Mililitro</v>
          </cell>
          <cell r="F239">
            <v>1.7144330000000001</v>
          </cell>
        </row>
        <row r="240">
          <cell r="A240" t="str">
            <v>0910322</v>
          </cell>
          <cell r="B240" t="str">
            <v>VINAGRE BLANCO (3.785 L)</v>
          </cell>
          <cell r="C240" t="str">
            <v>LITRO</v>
          </cell>
          <cell r="D240">
            <v>853.24099999999999</v>
          </cell>
          <cell r="E240" t="str">
            <v>Mililitro</v>
          </cell>
          <cell r="F240">
            <v>0.85324100000000003</v>
          </cell>
        </row>
        <row r="241">
          <cell r="A241" t="str">
            <v>0910324</v>
          </cell>
          <cell r="B241" t="str">
            <v>VINAGRE DE MANZANA 16 onz</v>
          </cell>
          <cell r="C241" t="str">
            <v>UND</v>
          </cell>
          <cell r="D241">
            <v>1305</v>
          </cell>
          <cell r="E241" t="str">
            <v>Mililitro</v>
          </cell>
          <cell r="F241">
            <v>0</v>
          </cell>
        </row>
        <row r="242">
          <cell r="A242" t="str">
            <v>0910327</v>
          </cell>
          <cell r="B242" t="str">
            <v>SALSA LEA &amp; PERRINS GALON</v>
          </cell>
          <cell r="C242" t="str">
            <v>LITRO</v>
          </cell>
          <cell r="D242">
            <v>1975.8389999999999</v>
          </cell>
          <cell r="E242" t="str">
            <v>Mililitro</v>
          </cell>
          <cell r="F242">
            <v>1.9758389999999999</v>
          </cell>
        </row>
        <row r="243">
          <cell r="A243" t="str">
            <v>0910329</v>
          </cell>
          <cell r="B243" t="str">
            <v>VINAGRE BALSAMICO TINTO ( 250 ML )</v>
          </cell>
          <cell r="C243" t="str">
            <v>LITRO</v>
          </cell>
          <cell r="D243">
            <v>6568.2529999999997</v>
          </cell>
          <cell r="E243" t="str">
            <v>Mililitro</v>
          </cell>
          <cell r="F243">
            <v>6.5682529999999995</v>
          </cell>
        </row>
        <row r="244">
          <cell r="A244" t="str">
            <v>0910332</v>
          </cell>
          <cell r="B244" t="str">
            <v>VAINILLA CLARA ( 3.785 L )</v>
          </cell>
          <cell r="C244" t="str">
            <v>LITRO</v>
          </cell>
          <cell r="D244">
            <v>932.59799999999996</v>
          </cell>
          <cell r="E244" t="str">
            <v>Mililitro</v>
          </cell>
          <cell r="F244">
            <v>0.93259799999999993</v>
          </cell>
        </row>
        <row r="245">
          <cell r="A245" t="str">
            <v>0910339</v>
          </cell>
          <cell r="B245" t="str">
            <v>VINAGRE VINO DE ARROZ (1GALON)</v>
          </cell>
          <cell r="C245" t="str">
            <v>GALON</v>
          </cell>
          <cell r="D245">
            <v>7343.4440000000004</v>
          </cell>
          <cell r="E245" t="str">
            <v>Mililitro</v>
          </cell>
          <cell r="F245">
            <v>1.9401437252311757</v>
          </cell>
        </row>
        <row r="246">
          <cell r="A246" t="str">
            <v>0910341</v>
          </cell>
          <cell r="B246" t="str">
            <v>SALSA INGLESA LIZANO (GALON)</v>
          </cell>
          <cell r="C246" t="str">
            <v>GALON</v>
          </cell>
          <cell r="D246">
            <v>6842.826</v>
          </cell>
          <cell r="E246" t="str">
            <v>Mililitro</v>
          </cell>
          <cell r="F246">
            <v>1.8078800528401586</v>
          </cell>
        </row>
        <row r="247">
          <cell r="A247" t="str">
            <v>0910343</v>
          </cell>
          <cell r="B247" t="str">
            <v>SALSA TOMATE BANQUETE (PAQ=2 Kg)</v>
          </cell>
          <cell r="C247" t="str">
            <v>KILO</v>
          </cell>
          <cell r="D247">
            <v>683.00099999999998</v>
          </cell>
          <cell r="E247" t="str">
            <v>Gramo</v>
          </cell>
          <cell r="F247">
            <v>0.68300099999999997</v>
          </cell>
        </row>
        <row r="248">
          <cell r="A248" t="str">
            <v>0910351</v>
          </cell>
          <cell r="B248" t="str">
            <v>SALSA CHILE AJI (BOLSA=1 KILO)</v>
          </cell>
          <cell r="C248" t="str">
            <v>KILO</v>
          </cell>
          <cell r="D248">
            <v>5901.7420000000002</v>
          </cell>
          <cell r="E248" t="str">
            <v>Gramo</v>
          </cell>
          <cell r="F248">
            <v>5.9017420000000005</v>
          </cell>
        </row>
        <row r="249">
          <cell r="A249" t="str">
            <v>910355</v>
          </cell>
          <cell r="B249" t="str">
            <v>ACEITE CLOVER GIRASOL 1/3 L</v>
          </cell>
          <cell r="C249" t="str">
            <v>LITRO</v>
          </cell>
          <cell r="D249" t="e">
            <v>#N/A</v>
          </cell>
          <cell r="E249" t="str">
            <v>Mililitro</v>
          </cell>
          <cell r="F249" t="e">
            <v>#N/A</v>
          </cell>
        </row>
        <row r="250">
          <cell r="A250" t="str">
            <v>0912262</v>
          </cell>
          <cell r="B250" t="str">
            <v>SALSA OSTION (2.268g)</v>
          </cell>
          <cell r="C250" t="str">
            <v>KILO</v>
          </cell>
          <cell r="D250">
            <v>2094.1060000000002</v>
          </cell>
          <cell r="E250" t="str">
            <v>Gramo</v>
          </cell>
          <cell r="F250">
            <v>2.094106</v>
          </cell>
        </row>
        <row r="251">
          <cell r="A251" t="str">
            <v>1010009</v>
          </cell>
          <cell r="B251" t="str">
            <v>CHILE CHIPOTLE COSTEÑA (2.9 Kg)</v>
          </cell>
          <cell r="C251" t="str">
            <v>KILO</v>
          </cell>
          <cell r="D251">
            <v>10089</v>
          </cell>
          <cell r="E251" t="str">
            <v>Gramo</v>
          </cell>
          <cell r="F251">
            <v>3.4789655172413791</v>
          </cell>
        </row>
        <row r="252">
          <cell r="A252" t="str">
            <v>1010331</v>
          </cell>
          <cell r="B252" t="str">
            <v>BRANDY NAPOLEON 700ML</v>
          </cell>
          <cell r="C252" t="str">
            <v>LITRO</v>
          </cell>
          <cell r="D252">
            <v>8402.2800000000007</v>
          </cell>
          <cell r="E252" t="str">
            <v>Mililitro</v>
          </cell>
          <cell r="F252">
            <v>8.4022800000000011</v>
          </cell>
        </row>
        <row r="253">
          <cell r="A253" t="str">
            <v>1010337</v>
          </cell>
          <cell r="B253" t="str">
            <v>RON CORTEZ LITRO</v>
          </cell>
          <cell r="C253" t="str">
            <v>BOTE</v>
          </cell>
          <cell r="D253">
            <v>5661.384</v>
          </cell>
          <cell r="E253" t="str">
            <v>Mililitro</v>
          </cell>
          <cell r="F253">
            <v>5.661384</v>
          </cell>
        </row>
        <row r="254">
          <cell r="A254" t="str">
            <v>1010339</v>
          </cell>
          <cell r="B254" t="str">
            <v>TRIPLE SEC ( LITRO)</v>
          </cell>
          <cell r="C254" t="str">
            <v>LITRO</v>
          </cell>
          <cell r="D254">
            <v>4370.88</v>
          </cell>
          <cell r="E254" t="str">
            <v>Mililitro</v>
          </cell>
          <cell r="F254">
            <v>4.3708800000000005</v>
          </cell>
        </row>
        <row r="255">
          <cell r="A255" t="str">
            <v>1010340</v>
          </cell>
          <cell r="B255" t="str">
            <v>VINO BLANCO UNDURRAGA 750 ml</v>
          </cell>
          <cell r="C255" t="str">
            <v>LITRO</v>
          </cell>
          <cell r="D255">
            <v>6113.0969999999998</v>
          </cell>
          <cell r="E255" t="str">
            <v>Mililitro</v>
          </cell>
          <cell r="F255">
            <v>6.1130969999999998</v>
          </cell>
        </row>
        <row r="256">
          <cell r="A256" t="str">
            <v>1010341</v>
          </cell>
          <cell r="B256" t="str">
            <v>LICOR DE CAFÉ DON PANCHO (LITRO)</v>
          </cell>
          <cell r="C256" t="str">
            <v>LITRO</v>
          </cell>
          <cell r="D256">
            <v>6872.6859999999997</v>
          </cell>
          <cell r="E256" t="str">
            <v>Mililitro</v>
          </cell>
          <cell r="F256">
            <v>6.8726859999999999</v>
          </cell>
        </row>
        <row r="257">
          <cell r="A257" t="str">
            <v>1012301</v>
          </cell>
          <cell r="B257" t="str">
            <v>VINO TINTO PETER VELA CABERNET SAUV. (BOTELLA=5 LTS)</v>
          </cell>
          <cell r="C257" t="str">
            <v>LITRO</v>
          </cell>
          <cell r="D257">
            <v>3060.8290000000002</v>
          </cell>
          <cell r="E257" t="str">
            <v>Mililitro</v>
          </cell>
          <cell r="F257">
            <v>3.060829</v>
          </cell>
        </row>
        <row r="258">
          <cell r="A258" t="str">
            <v>1012341</v>
          </cell>
          <cell r="B258" t="str">
            <v>BAILEYS (BOTELLA=1 LITRO)</v>
          </cell>
          <cell r="C258" t="str">
            <v>BOTE</v>
          </cell>
          <cell r="D258">
            <v>11416.06</v>
          </cell>
          <cell r="E258" t="str">
            <v>Mililitro</v>
          </cell>
          <cell r="F258">
            <v>11.41606</v>
          </cell>
        </row>
        <row r="259">
          <cell r="A259" t="str">
            <v>1012387</v>
          </cell>
          <cell r="B259" t="str">
            <v>RON ABUELO RESERVA LITRO</v>
          </cell>
          <cell r="C259" t="str">
            <v>LITRO</v>
          </cell>
          <cell r="D259">
            <v>5899.7049999999999</v>
          </cell>
          <cell r="E259" t="str">
            <v>Mililitro</v>
          </cell>
          <cell r="F259">
            <v>5.899705</v>
          </cell>
        </row>
        <row r="260">
          <cell r="A260" t="str">
            <v>1012431</v>
          </cell>
          <cell r="B260" t="str">
            <v>VINO BLANCO PETER VELA CABERNET SAUV. (BOTELLA=5 LTS)</v>
          </cell>
          <cell r="C260" t="str">
            <v>LITRO</v>
          </cell>
          <cell r="D260">
            <v>3060.69</v>
          </cell>
          <cell r="E260" t="str">
            <v>Mililitro</v>
          </cell>
          <cell r="F260">
            <v>3.0606900000000001</v>
          </cell>
        </row>
        <row r="261">
          <cell r="A261" t="str">
            <v>1110340</v>
          </cell>
          <cell r="B261" t="str">
            <v>LENTEJAS ( KILO )</v>
          </cell>
          <cell r="C261" t="str">
            <v>KILO</v>
          </cell>
          <cell r="D261">
            <v>1251.6010000000001</v>
          </cell>
          <cell r="E261" t="str">
            <v>Gramo</v>
          </cell>
          <cell r="F261">
            <v>1.2516010000000002</v>
          </cell>
        </row>
        <row r="262">
          <cell r="A262" t="str">
            <v>1110341</v>
          </cell>
          <cell r="B262" t="str">
            <v>MAÍZ DULCE GALON (1.850K= DRENADO )</v>
          </cell>
          <cell r="C262" t="str">
            <v>KILO</v>
          </cell>
          <cell r="D262">
            <v>1292.2809999999999</v>
          </cell>
          <cell r="E262" t="str">
            <v>Gramo</v>
          </cell>
          <cell r="F262">
            <v>1.292281</v>
          </cell>
        </row>
        <row r="263">
          <cell r="A263" t="str">
            <v>1110346</v>
          </cell>
          <cell r="B263" t="str">
            <v>ANCHOAS FILET (396g)</v>
          </cell>
          <cell r="C263" t="str">
            <v>KILO</v>
          </cell>
          <cell r="D263">
            <v>16645.379000000001</v>
          </cell>
          <cell r="E263" t="str">
            <v>Gramo</v>
          </cell>
          <cell r="F263">
            <v>16.645379000000002</v>
          </cell>
        </row>
        <row r="264">
          <cell r="A264" t="str">
            <v>1110347</v>
          </cell>
          <cell r="B264" t="str">
            <v>MANTEQUILLA MANI (2.27 Kg)</v>
          </cell>
          <cell r="C264" t="str">
            <v>KILO</v>
          </cell>
          <cell r="D264">
            <v>5853.9380000000001</v>
          </cell>
          <cell r="E264" t="str">
            <v>Gramo</v>
          </cell>
          <cell r="F264">
            <v>5.8539380000000003</v>
          </cell>
        </row>
        <row r="265">
          <cell r="A265" t="str">
            <v>1110354</v>
          </cell>
          <cell r="B265" t="str">
            <v>ALCAPARRAS 907 GRS (32onzas)</v>
          </cell>
          <cell r="C265" t="str">
            <v>KILO</v>
          </cell>
          <cell r="D265">
            <v>3991.723</v>
          </cell>
          <cell r="E265" t="str">
            <v>Gramo</v>
          </cell>
          <cell r="F265">
            <v>6.1411123076923078</v>
          </cell>
        </row>
        <row r="266">
          <cell r="A266" t="str">
            <v>1110361</v>
          </cell>
          <cell r="B266" t="str">
            <v>ESPARRAGOS ENTEROS (425 g)</v>
          </cell>
          <cell r="C266" t="str">
            <v>KILO</v>
          </cell>
          <cell r="D266">
            <v>3438.2710000000002</v>
          </cell>
          <cell r="E266" t="str">
            <v>Gramo</v>
          </cell>
          <cell r="F266">
            <v>3.4382710000000003</v>
          </cell>
        </row>
        <row r="267">
          <cell r="A267" t="str">
            <v>1110363</v>
          </cell>
          <cell r="B267" t="str">
            <v>CEREZAS CON TALLO (1/2 GALON) **</v>
          </cell>
          <cell r="C267" t="str">
            <v>TOPPER</v>
          </cell>
          <cell r="D267">
            <v>4640.5020000000004</v>
          </cell>
          <cell r="E267" t="str">
            <v>Gramo</v>
          </cell>
          <cell r="F267">
            <v>2.9235162600000004</v>
          </cell>
        </row>
        <row r="268">
          <cell r="A268" t="str">
            <v>1110370</v>
          </cell>
          <cell r="B268" t="str">
            <v>LECHE CONDENSADA NESTLE CHILE 4.5 KILOS</v>
          </cell>
          <cell r="C268" t="str">
            <v>KILO</v>
          </cell>
          <cell r="D268">
            <v>1688.486204</v>
          </cell>
          <cell r="E268" t="str">
            <v>Gramo</v>
          </cell>
          <cell r="F268">
            <v>1.6884862039999999</v>
          </cell>
        </row>
        <row r="269">
          <cell r="A269" t="str">
            <v>1110377</v>
          </cell>
          <cell r="B269" t="str">
            <v>MOSTAZA FRENCH (2.98 KILOS)</v>
          </cell>
          <cell r="C269" t="str">
            <v>KILO</v>
          </cell>
          <cell r="D269">
            <v>1403.02</v>
          </cell>
          <cell r="E269" t="str">
            <v>Gramo</v>
          </cell>
          <cell r="F269">
            <v>1.4030199999999999</v>
          </cell>
        </row>
        <row r="270">
          <cell r="A270" t="str">
            <v>1110378</v>
          </cell>
          <cell r="B270" t="str">
            <v>TOMATE LICUADO LATA ( 4.1 KILOS )</v>
          </cell>
          <cell r="C270" t="str">
            <v>KILO</v>
          </cell>
          <cell r="D270">
            <v>1369.61</v>
          </cell>
          <cell r="E270" t="str">
            <v>Gramo</v>
          </cell>
          <cell r="F270">
            <v>1.36961</v>
          </cell>
        </row>
        <row r="271">
          <cell r="A271" t="str">
            <v>1110379</v>
          </cell>
          <cell r="B271" t="str">
            <v>PASTA DE TOMATE (3.15 KILO)</v>
          </cell>
          <cell r="C271" t="str">
            <v>KILO</v>
          </cell>
          <cell r="D271">
            <v>1485.704</v>
          </cell>
          <cell r="E271" t="str">
            <v>Gramo</v>
          </cell>
          <cell r="F271">
            <v>1.4857039999999999</v>
          </cell>
        </row>
        <row r="272">
          <cell r="A272" t="str">
            <v>1110380</v>
          </cell>
          <cell r="B272" t="str">
            <v>PEPINILLOS REBANADOS (GALON)</v>
          </cell>
          <cell r="C272" t="str">
            <v>KILO</v>
          </cell>
          <cell r="D272">
            <v>1022.98</v>
          </cell>
          <cell r="E272" t="str">
            <v>Gramo</v>
          </cell>
          <cell r="F272">
            <v>1.02298</v>
          </cell>
        </row>
        <row r="273">
          <cell r="A273" t="str">
            <v>1110386</v>
          </cell>
          <cell r="B273" t="str">
            <v>TABASCO (BOTELLA=62 g )</v>
          </cell>
          <cell r="C273" t="str">
            <v>KILO</v>
          </cell>
          <cell r="D273">
            <v>6616.0219999999999</v>
          </cell>
          <cell r="E273" t="str">
            <v>Gramo</v>
          </cell>
          <cell r="F273">
            <v>6.6160220000000001</v>
          </cell>
        </row>
        <row r="274">
          <cell r="A274" t="str">
            <v>1110388</v>
          </cell>
          <cell r="B274" t="str">
            <v>MOSTAZA DIJON EXTRA FUERTE ( 370 gr )</v>
          </cell>
          <cell r="C274" t="str">
            <v>KILO</v>
          </cell>
          <cell r="D274">
            <v>5257.3990000000003</v>
          </cell>
          <cell r="E274" t="str">
            <v>Gramo</v>
          </cell>
          <cell r="F274">
            <v>5.2573990000000004</v>
          </cell>
        </row>
        <row r="275">
          <cell r="A275" t="str">
            <v>1110389</v>
          </cell>
          <cell r="B275" t="str">
            <v>MOSTAZA DIJON GRANULADA ( 350 g )</v>
          </cell>
          <cell r="C275" t="str">
            <v>KILO</v>
          </cell>
          <cell r="D275">
            <v>5572.6509999999998</v>
          </cell>
          <cell r="E275" t="str">
            <v>Gramo</v>
          </cell>
          <cell r="F275">
            <v>5.5726509999999996</v>
          </cell>
        </row>
        <row r="276">
          <cell r="A276" t="str">
            <v>1110391</v>
          </cell>
          <cell r="B276" t="str">
            <v>CHILE MORRON ( 3 KG )</v>
          </cell>
          <cell r="C276" t="str">
            <v>KILO</v>
          </cell>
          <cell r="D276">
            <v>2118.393</v>
          </cell>
          <cell r="E276" t="str">
            <v>Gramo</v>
          </cell>
          <cell r="F276">
            <v>3.8516236363636365</v>
          </cell>
        </row>
        <row r="277">
          <cell r="A277" t="str">
            <v>1110393</v>
          </cell>
          <cell r="B277" t="str">
            <v>PIÑA EN RODAJAS (TARRO=3 KILOS)</v>
          </cell>
          <cell r="C277" t="str">
            <v>KILO</v>
          </cell>
          <cell r="D277">
            <v>1913.2570785674106</v>
          </cell>
          <cell r="E277" t="str">
            <v>Gramo</v>
          </cell>
          <cell r="F277">
            <v>1.9132570785674106</v>
          </cell>
        </row>
        <row r="278">
          <cell r="A278" t="str">
            <v>1110408</v>
          </cell>
          <cell r="B278" t="str">
            <v>GUISANTES LAMB WESTON (KILO)</v>
          </cell>
          <cell r="C278" t="str">
            <v>KILO</v>
          </cell>
          <cell r="D278">
            <v>1339.001</v>
          </cell>
          <cell r="E278" t="str">
            <v>Gramo</v>
          </cell>
          <cell r="F278">
            <v>1.3390009999999999</v>
          </cell>
        </row>
        <row r="279">
          <cell r="A279" t="str">
            <v>1110414</v>
          </cell>
          <cell r="B279" t="str">
            <v>LECHE EVAPORADA (LITRO)</v>
          </cell>
          <cell r="C279" t="str">
            <v>LITRO</v>
          </cell>
          <cell r="D279">
            <v>1374.4969039999999</v>
          </cell>
          <cell r="E279" t="str">
            <v>Mililitro</v>
          </cell>
          <cell r="F279">
            <v>1.3744969039999999</v>
          </cell>
        </row>
        <row r="280">
          <cell r="A280" t="str">
            <v>1110415</v>
          </cell>
          <cell r="B280" t="str">
            <v>PETI PIOS CON ZANAHORIA (1KILO)</v>
          </cell>
          <cell r="C280" t="str">
            <v>KILO</v>
          </cell>
          <cell r="D280">
            <v>1215.028</v>
          </cell>
          <cell r="E280" t="str">
            <v>Gramo</v>
          </cell>
          <cell r="F280">
            <v>1.215028</v>
          </cell>
        </row>
        <row r="281">
          <cell r="A281" t="str">
            <v>1110419</v>
          </cell>
          <cell r="B281" t="str">
            <v>ANCHOAS FILETAEADAS EN ACEITE (720g)</v>
          </cell>
          <cell r="C281" t="str">
            <v>KILO</v>
          </cell>
          <cell r="D281">
            <v>16914.723000000002</v>
          </cell>
          <cell r="E281" t="str">
            <v>Gramo</v>
          </cell>
          <cell r="F281">
            <v>16.914723000000002</v>
          </cell>
        </row>
        <row r="282">
          <cell r="A282" t="str">
            <v>1110420</v>
          </cell>
          <cell r="B282" t="str">
            <v>LECHE CONDENSADA COCINADA HAPPY DAY (1 KILO)</v>
          </cell>
          <cell r="C282" t="str">
            <v>KILO</v>
          </cell>
          <cell r="D282">
            <v>1770.83</v>
          </cell>
          <cell r="E282" t="str">
            <v>Gramo</v>
          </cell>
          <cell r="F282">
            <v>1.7708299999999999</v>
          </cell>
        </row>
        <row r="283">
          <cell r="A283" t="str">
            <v>1112431</v>
          </cell>
          <cell r="B283" t="str">
            <v>MANJAR DE LECHE CONDENSADA ( 4.5 KG )</v>
          </cell>
          <cell r="C283" t="str">
            <v>KILO</v>
          </cell>
          <cell r="D283">
            <v>1978.960853</v>
          </cell>
          <cell r="E283" t="str">
            <v>Gramo</v>
          </cell>
          <cell r="F283">
            <v>1.978960853</v>
          </cell>
        </row>
        <row r="284">
          <cell r="A284" t="str">
            <v>1112441</v>
          </cell>
          <cell r="B284" t="str">
            <v>ACEITUNA C/PIMENTO (1.7 K)</v>
          </cell>
          <cell r="C284" t="str">
            <v>KILO</v>
          </cell>
          <cell r="D284">
            <v>2924.69</v>
          </cell>
          <cell r="E284" t="str">
            <v>Gramo</v>
          </cell>
          <cell r="F284">
            <v>2.92469</v>
          </cell>
        </row>
        <row r="285">
          <cell r="A285" t="str">
            <v>1112442</v>
          </cell>
          <cell r="B285" t="str">
            <v>ANCHOAS FILET ACEITA OLIVA ROLAND 56 GR</v>
          </cell>
          <cell r="C285" t="str">
            <v>KILO</v>
          </cell>
          <cell r="D285">
            <v>20487.172999999999</v>
          </cell>
          <cell r="E285" t="str">
            <v>Gramo</v>
          </cell>
          <cell r="F285">
            <v>20.487172999999999</v>
          </cell>
        </row>
        <row r="286">
          <cell r="A286" t="str">
            <v>1112445</v>
          </cell>
          <cell r="B286" t="str">
            <v>CEREZAS ROJAS C/TALLO (GALON)**</v>
          </cell>
          <cell r="C286" t="str">
            <v>GALON</v>
          </cell>
          <cell r="D286">
            <v>7253</v>
          </cell>
          <cell r="E286" t="str">
            <v>Gramo</v>
          </cell>
          <cell r="F286">
            <v>3.0220833333333332</v>
          </cell>
        </row>
        <row r="287">
          <cell r="A287" t="str">
            <v>1200001</v>
          </cell>
          <cell r="B287" t="str">
            <v>CHOCOLATE CUADRITO ANGEL (CAJA=200 UND)</v>
          </cell>
          <cell r="C287" t="str">
            <v>CAJA</v>
          </cell>
          <cell r="D287">
            <v>11000</v>
          </cell>
          <cell r="E287" t="str">
            <v>UND</v>
          </cell>
          <cell r="F287">
            <v>55</v>
          </cell>
        </row>
        <row r="288">
          <cell r="A288" t="str">
            <v>1210386</v>
          </cell>
          <cell r="B288" t="str">
            <v>COBERTURA CHOCOLATE LECHE ( 5KG )</v>
          </cell>
          <cell r="C288" t="str">
            <v>KILO</v>
          </cell>
          <cell r="D288">
            <v>4468</v>
          </cell>
          <cell r="E288" t="str">
            <v>Gramo</v>
          </cell>
          <cell r="F288">
            <v>4.468</v>
          </cell>
        </row>
        <row r="289">
          <cell r="A289" t="str">
            <v>1210387</v>
          </cell>
          <cell r="B289" t="str">
            <v>COBERTURA DE CHOCOLATE BLANCO ( PAQ=5 K )</v>
          </cell>
          <cell r="C289" t="str">
            <v>KILO</v>
          </cell>
          <cell r="D289">
            <v>2869.8009999999999</v>
          </cell>
          <cell r="E289" t="str">
            <v>Gramo</v>
          </cell>
          <cell r="F289">
            <v>2.8698009999999998</v>
          </cell>
        </row>
        <row r="290">
          <cell r="A290" t="str">
            <v>1210392</v>
          </cell>
          <cell r="B290" t="str">
            <v>CHOCOLATE OSCURO (BELCOLADE 2.5 KILO)</v>
          </cell>
          <cell r="C290" t="str">
            <v>KILO</v>
          </cell>
          <cell r="D290">
            <v>6408</v>
          </cell>
          <cell r="E290" t="str">
            <v>Gramo</v>
          </cell>
          <cell r="F290">
            <v>6.4080000000000004</v>
          </cell>
        </row>
        <row r="291">
          <cell r="A291" t="str">
            <v>1210393</v>
          </cell>
          <cell r="B291" t="str">
            <v>MARGARINA MULTIUSO ( 25 kg )</v>
          </cell>
          <cell r="C291" t="str">
            <v>KILO</v>
          </cell>
          <cell r="D291">
            <v>1077.76</v>
          </cell>
          <cell r="E291" t="str">
            <v>Gramo</v>
          </cell>
          <cell r="F291">
            <v>1.0777600000000001</v>
          </cell>
        </row>
        <row r="292">
          <cell r="A292" t="str">
            <v>1210394</v>
          </cell>
          <cell r="B292" t="str">
            <v>CHOCOLATE BLANCO (BELCOLADE=2.5KILO)</v>
          </cell>
          <cell r="C292" t="str">
            <v>KILO</v>
          </cell>
          <cell r="D292">
            <v>7467.0169999999998</v>
          </cell>
          <cell r="E292" t="str">
            <v>Gramo</v>
          </cell>
          <cell r="F292">
            <v>7.4670170000000002</v>
          </cell>
        </row>
        <row r="293">
          <cell r="A293" t="str">
            <v>1210396</v>
          </cell>
          <cell r="B293" t="str">
            <v>CHOCOLATE DE LECHE ( BELCOLADE=2.5 KILO )</v>
          </cell>
          <cell r="C293" t="str">
            <v>KILO</v>
          </cell>
          <cell r="D293">
            <v>6822.4809999999998</v>
          </cell>
          <cell r="E293" t="str">
            <v>Gramo</v>
          </cell>
          <cell r="F293">
            <v>6.8224809999999998</v>
          </cell>
        </row>
        <row r="294">
          <cell r="A294" t="str">
            <v>1210397</v>
          </cell>
          <cell r="B294" t="str">
            <v>COBERTURA  DE CHOCOLATE 118  5kg</v>
          </cell>
          <cell r="C294" t="str">
            <v>KILO</v>
          </cell>
          <cell r="D294">
            <v>4019.03</v>
          </cell>
          <cell r="E294" t="str">
            <v>Gramo</v>
          </cell>
          <cell r="F294">
            <v>4.0190299999999999</v>
          </cell>
        </row>
        <row r="295">
          <cell r="A295" t="str">
            <v>1210400</v>
          </cell>
          <cell r="B295" t="str">
            <v>HUEVOS EN CARTON (30UNID)</v>
          </cell>
          <cell r="C295" t="str">
            <v>UND</v>
          </cell>
          <cell r="D295">
            <v>75.978999999999999</v>
          </cell>
          <cell r="E295" t="str">
            <v>UND</v>
          </cell>
          <cell r="F295">
            <v>75.978999999999999</v>
          </cell>
        </row>
        <row r="296">
          <cell r="A296" t="str">
            <v>1210401</v>
          </cell>
          <cell r="B296" t="str">
            <v>MANTECA MAX PAN (25 kg)</v>
          </cell>
          <cell r="C296" t="str">
            <v>KILO</v>
          </cell>
          <cell r="D296">
            <v>812.80200000000002</v>
          </cell>
          <cell r="E296" t="str">
            <v>Gramo</v>
          </cell>
          <cell r="F296">
            <v>0.81280200000000002</v>
          </cell>
        </row>
        <row r="297">
          <cell r="A297" t="str">
            <v>1210405</v>
          </cell>
          <cell r="B297" t="str">
            <v>PASTA P/LASAG/(PAQ 5 de 1/2KG)</v>
          </cell>
          <cell r="C297" t="str">
            <v>KILO</v>
          </cell>
          <cell r="D297">
            <v>2305.0010000000002</v>
          </cell>
          <cell r="E297" t="str">
            <v>Gramo</v>
          </cell>
          <cell r="F297">
            <v>2.3050010000000003</v>
          </cell>
        </row>
        <row r="298">
          <cell r="A298" t="str">
            <v>1210408</v>
          </cell>
          <cell r="B298" t="str">
            <v>TAPA  DE DULCE(ATADO=2 UND)</v>
          </cell>
          <cell r="C298" t="str">
            <v>UND</v>
          </cell>
          <cell r="D298">
            <v>900</v>
          </cell>
          <cell r="E298" t="str">
            <v>UND</v>
          </cell>
          <cell r="F298">
            <v>900</v>
          </cell>
        </row>
        <row r="299">
          <cell r="A299" t="str">
            <v>1210412</v>
          </cell>
          <cell r="B299" t="str">
            <v>HIELO EN CUBITOS (PAQ=10 KILOS)</v>
          </cell>
          <cell r="C299" t="str">
            <v>PAQ</v>
          </cell>
          <cell r="D299">
            <v>1530.001</v>
          </cell>
          <cell r="E299" t="str">
            <v>Gramo</v>
          </cell>
          <cell r="F299">
            <v>0.1530001</v>
          </cell>
        </row>
        <row r="300">
          <cell r="A300" t="str">
            <v>1210413</v>
          </cell>
          <cell r="B300" t="str">
            <v>PASTA WANTAN (PAQ=465g)</v>
          </cell>
          <cell r="C300" t="str">
            <v>KILO</v>
          </cell>
          <cell r="D300">
            <v>2902.279</v>
          </cell>
          <cell r="E300" t="str">
            <v>Gramo</v>
          </cell>
          <cell r="F300">
            <v>2.9022790000000001</v>
          </cell>
        </row>
        <row r="301">
          <cell r="A301" t="str">
            <v>1210415</v>
          </cell>
          <cell r="B301" t="str">
            <v>PABILO ROLLO</v>
          </cell>
          <cell r="C301" t="str">
            <v>UND</v>
          </cell>
          <cell r="D301">
            <v>5454.4219999999996</v>
          </cell>
          <cell r="E301" t="str">
            <v>Centimetro</v>
          </cell>
          <cell r="F301">
            <v>0.38960157142857138</v>
          </cell>
        </row>
        <row r="302">
          <cell r="A302" t="str">
            <v>1210421</v>
          </cell>
          <cell r="B302" t="str">
            <v>CHOCOLATE HERSHEYS SEMISWEET (2,5k)</v>
          </cell>
          <cell r="C302" t="str">
            <v>GRAMO</v>
          </cell>
          <cell r="D302">
            <v>4.7779999999999996</v>
          </cell>
          <cell r="E302" t="str">
            <v>Gramo</v>
          </cell>
          <cell r="F302">
            <v>4.7779999999999996</v>
          </cell>
        </row>
        <row r="303">
          <cell r="A303" t="str">
            <v>1210425</v>
          </cell>
          <cell r="B303" t="str">
            <v>FRIJOLES MOLIDOS (BOLSA=2.95 Kg)</v>
          </cell>
          <cell r="C303" t="str">
            <v>KILO</v>
          </cell>
          <cell r="D303">
            <v>1060.3309999999999</v>
          </cell>
          <cell r="E303" t="str">
            <v>Gramo</v>
          </cell>
          <cell r="F303">
            <v>1.0603309999999999</v>
          </cell>
        </row>
        <row r="304">
          <cell r="A304" t="str">
            <v>1210430</v>
          </cell>
          <cell r="B304" t="str">
            <v>FIDEOS ARROZ (400 G)</v>
          </cell>
          <cell r="C304" t="str">
            <v>KILO</v>
          </cell>
          <cell r="D304">
            <v>3181.8780000000002</v>
          </cell>
          <cell r="E304" t="str">
            <v>Gramo</v>
          </cell>
          <cell r="F304">
            <v>3.1818780000000002</v>
          </cell>
        </row>
        <row r="305">
          <cell r="A305" t="str">
            <v>1210439</v>
          </cell>
          <cell r="B305" t="str">
            <v>PASTA LASAÑA PRECOCIDA ESPINACA ( 1k )</v>
          </cell>
          <cell r="C305" t="str">
            <v>KILO</v>
          </cell>
          <cell r="D305">
            <v>3400</v>
          </cell>
          <cell r="E305" t="str">
            <v>Gramo</v>
          </cell>
          <cell r="F305">
            <v>3.4</v>
          </cell>
        </row>
        <row r="306">
          <cell r="A306" t="str">
            <v>1210443</v>
          </cell>
          <cell r="B306" t="str">
            <v>YEMA DE HUEVO PASTEURIZADA (CAJA=2 Kg)</v>
          </cell>
          <cell r="C306" t="str">
            <v>KILO</v>
          </cell>
          <cell r="D306">
            <v>2200</v>
          </cell>
          <cell r="E306" t="str">
            <v>Gramo</v>
          </cell>
          <cell r="F306">
            <v>2.2000000000000002</v>
          </cell>
        </row>
        <row r="307">
          <cell r="A307" t="str">
            <v>1210445</v>
          </cell>
          <cell r="B307" t="str">
            <v>CLARAS HUEVO DESHIDRATADAS (22.730 Kg )</v>
          </cell>
          <cell r="C307" t="str">
            <v>KILO</v>
          </cell>
          <cell r="D307">
            <v>14515.096</v>
          </cell>
          <cell r="E307" t="str">
            <v>Gramo</v>
          </cell>
          <cell r="F307">
            <v>14.515096</v>
          </cell>
        </row>
        <row r="308">
          <cell r="A308" t="str">
            <v>1210448</v>
          </cell>
          <cell r="B308" t="str">
            <v>CLARAS HUEVO PASTEURIZADO INNOVO (2 KG)</v>
          </cell>
          <cell r="C308" t="str">
            <v>KILO</v>
          </cell>
          <cell r="D308">
            <v>3766.6669999999999</v>
          </cell>
          <cell r="E308" t="str">
            <v>Gramo</v>
          </cell>
          <cell r="F308">
            <v>3.766667</v>
          </cell>
        </row>
        <row r="309">
          <cell r="A309" t="str">
            <v>1210450</v>
          </cell>
          <cell r="B309" t="str">
            <v>PASTA WAN TAN 340G</v>
          </cell>
          <cell r="C309" t="str">
            <v>KILO</v>
          </cell>
          <cell r="D309">
            <v>4932.1180000000004</v>
          </cell>
          <cell r="E309" t="str">
            <v>Gramo</v>
          </cell>
          <cell r="F309">
            <v>4.932118</v>
          </cell>
        </row>
        <row r="310">
          <cell r="A310" t="str">
            <v>1210458</v>
          </cell>
          <cell r="B310" t="str">
            <v>CHOCOLATE OLAS OSCURAS (CAJA=200g)</v>
          </cell>
          <cell r="C310" t="str">
            <v>KILO</v>
          </cell>
          <cell r="D310">
            <v>16409.091</v>
          </cell>
          <cell r="E310" t="str">
            <v>Gramo</v>
          </cell>
          <cell r="F310">
            <v>16.409091</v>
          </cell>
        </row>
        <row r="311">
          <cell r="A311" t="str">
            <v>1210459</v>
          </cell>
          <cell r="B311" t="str">
            <v>CHOCOLATE OLAS BLANCAS (CAJA=200g)</v>
          </cell>
          <cell r="C311" t="str">
            <v>KILO</v>
          </cell>
          <cell r="D311">
            <v>19281.043000000001</v>
          </cell>
          <cell r="E311" t="str">
            <v>Gramo</v>
          </cell>
          <cell r="F311">
            <v>19.281043</v>
          </cell>
        </row>
        <row r="312">
          <cell r="A312" t="str">
            <v>1210461</v>
          </cell>
          <cell r="B312" t="str">
            <v>CHOCOLATE TULIPAN MARMOL (CAJA=150 UND)</v>
          </cell>
          <cell r="C312" t="str">
            <v>UND</v>
          </cell>
          <cell r="D312">
            <v>120</v>
          </cell>
          <cell r="E312" t="str">
            <v>UND</v>
          </cell>
          <cell r="F312">
            <v>120</v>
          </cell>
        </row>
        <row r="313">
          <cell r="A313" t="str">
            <v>1210462</v>
          </cell>
          <cell r="B313" t="str">
            <v>MONEDAS MARMOLEADAS (240UND)</v>
          </cell>
          <cell r="C313" t="str">
            <v>UND</v>
          </cell>
          <cell r="D313">
            <v>42.000999999999998</v>
          </cell>
          <cell r="E313" t="str">
            <v>UND</v>
          </cell>
          <cell r="F313">
            <v>42.000999999999998</v>
          </cell>
        </row>
        <row r="314">
          <cell r="A314" t="str">
            <v>1210464</v>
          </cell>
          <cell r="B314" t="str">
            <v>CHOCOLATE TRIANGULO OLEAJE ESPECIAL (CAJA=200 UND)</v>
          </cell>
          <cell r="C314" t="str">
            <v>UND</v>
          </cell>
          <cell r="D314">
            <v>115</v>
          </cell>
          <cell r="E314" t="str">
            <v>UND</v>
          </cell>
          <cell r="F314">
            <v>115</v>
          </cell>
        </row>
        <row r="315">
          <cell r="A315" t="str">
            <v>1210466</v>
          </cell>
          <cell r="B315" t="str">
            <v>CHOCOLATE TULIPAN MARMOL ESPECIAL (CAJA=150 UND)</v>
          </cell>
          <cell r="C315" t="str">
            <v>UND</v>
          </cell>
          <cell r="D315">
            <v>75</v>
          </cell>
          <cell r="E315" t="str">
            <v>UND</v>
          </cell>
          <cell r="F315">
            <v>75</v>
          </cell>
        </row>
        <row r="316">
          <cell r="A316" t="str">
            <v>1210467</v>
          </cell>
          <cell r="B316" t="str">
            <v>HUEVO DESHIDRATADO DANTEX 7 (CAJA=22.67 Kg)</v>
          </cell>
          <cell r="C316" t="str">
            <v>KILO</v>
          </cell>
          <cell r="D316">
            <v>5202.7669999999998</v>
          </cell>
          <cell r="E316" t="str">
            <v>Gramo</v>
          </cell>
          <cell r="F316">
            <v>5.2027669999999997</v>
          </cell>
        </row>
        <row r="317">
          <cell r="A317" t="str">
            <v>1210472</v>
          </cell>
          <cell r="B317" t="str">
            <v>TABLETA CHOCOLATE CRUNCH (44g)</v>
          </cell>
          <cell r="C317" t="str">
            <v>KILO</v>
          </cell>
          <cell r="D317">
            <v>13110</v>
          </cell>
          <cell r="E317" t="str">
            <v>Gramo</v>
          </cell>
          <cell r="F317">
            <v>13.11</v>
          </cell>
        </row>
        <row r="318">
          <cell r="A318" t="str">
            <v>1210473</v>
          </cell>
          <cell r="B318" t="str">
            <v>CHOCOLATE HOJAS OTOÑO (CAJA=150 UND)</v>
          </cell>
          <cell r="C318" t="str">
            <v>UND</v>
          </cell>
          <cell r="D318">
            <v>70</v>
          </cell>
          <cell r="E318" t="str">
            <v>UND</v>
          </cell>
          <cell r="F318">
            <v>70</v>
          </cell>
        </row>
        <row r="319">
          <cell r="A319" t="str">
            <v>1210476</v>
          </cell>
          <cell r="B319" t="str">
            <v>PRETZEL MINI SNYDERS ( BOLSA 252G)</v>
          </cell>
          <cell r="C319" t="str">
            <v>KILO</v>
          </cell>
          <cell r="D319">
            <v>9000.1450000000004</v>
          </cell>
          <cell r="E319" t="str">
            <v>Gramo</v>
          </cell>
          <cell r="F319">
            <v>9.0001449999999998</v>
          </cell>
        </row>
        <row r="320">
          <cell r="A320" t="str">
            <v>1210481</v>
          </cell>
          <cell r="B320" t="str">
            <v>MANTECA REFINADA IMP. (SHORTENING)</v>
          </cell>
          <cell r="C320" t="str">
            <v>KILO</v>
          </cell>
          <cell r="D320">
            <v>3441.1759999999999</v>
          </cell>
          <cell r="E320" t="str">
            <v>Gramo</v>
          </cell>
          <cell r="F320">
            <v>3.441176</v>
          </cell>
        </row>
        <row r="321">
          <cell r="A321" t="str">
            <v>1210482</v>
          </cell>
          <cell r="B321" t="str">
            <v>HUEVO PASTEURIZADO INNOVO 1/10K</v>
          </cell>
          <cell r="C321" t="str">
            <v>KILO</v>
          </cell>
          <cell r="D321">
            <v>1360.0160000000001</v>
          </cell>
          <cell r="E321" t="str">
            <v>Gramo</v>
          </cell>
          <cell r="F321">
            <v>1.3600160000000001</v>
          </cell>
        </row>
        <row r="322">
          <cell r="A322" t="str">
            <v>1210487</v>
          </cell>
          <cell r="B322" t="str">
            <v>FRIJOLES NEGROS ARMENIO (PAQ= .900GR= BULTO 15 PAQ)</v>
          </cell>
          <cell r="C322" t="str">
            <v>KILO</v>
          </cell>
          <cell r="D322">
            <v>1047.797</v>
          </cell>
          <cell r="E322" t="str">
            <v>Gramo</v>
          </cell>
          <cell r="F322">
            <v>1.0477970000000001</v>
          </cell>
        </row>
        <row r="323">
          <cell r="A323" t="str">
            <v>1210492</v>
          </cell>
          <cell r="B323" t="str">
            <v>CHANTILLY TOP CREAM CHOCOLATE 2K</v>
          </cell>
          <cell r="C323" t="str">
            <v>KILO</v>
          </cell>
          <cell r="D323">
            <v>1788.75</v>
          </cell>
          <cell r="E323" t="str">
            <v>Gramo</v>
          </cell>
          <cell r="F323">
            <v>1.7887500000000001</v>
          </cell>
        </row>
        <row r="324">
          <cell r="A324" t="str">
            <v>1210493</v>
          </cell>
          <cell r="B324" t="str">
            <v>CHANTILLY TOP CREAM BASE 1K</v>
          </cell>
          <cell r="C324" t="str">
            <v>KILO</v>
          </cell>
          <cell r="D324">
            <v>2008.5</v>
          </cell>
          <cell r="E324" t="str">
            <v>Gramo</v>
          </cell>
          <cell r="F324">
            <v>2.0085000000000002</v>
          </cell>
        </row>
        <row r="325">
          <cell r="A325" t="str">
            <v>1212310</v>
          </cell>
          <cell r="B325" t="str">
            <v>FIBRA CITRICA F1 200 FG</v>
          </cell>
          <cell r="C325" t="str">
            <v>KILO</v>
          </cell>
          <cell r="D325">
            <v>7339.9279999999999</v>
          </cell>
          <cell r="E325" t="str">
            <v>Gramo</v>
          </cell>
          <cell r="F325">
            <v>7.3399279999999996</v>
          </cell>
        </row>
        <row r="326">
          <cell r="A326" t="str">
            <v>1212383</v>
          </cell>
          <cell r="B326" t="str">
            <v>COLORANTE ROJO ( 50 ml )</v>
          </cell>
          <cell r="C326" t="str">
            <v>LITRO</v>
          </cell>
          <cell r="D326">
            <v>26101.288</v>
          </cell>
          <cell r="E326" t="str">
            <v>Mililitro</v>
          </cell>
          <cell r="F326">
            <v>26.101288</v>
          </cell>
        </row>
        <row r="327">
          <cell r="A327" t="str">
            <v>1212410</v>
          </cell>
          <cell r="B327" t="str">
            <v>PRESERVANTE 1047S(PAQ=5 KILO)</v>
          </cell>
          <cell r="C327" t="str">
            <v>KILO</v>
          </cell>
          <cell r="D327">
            <v>4791.7780000000002</v>
          </cell>
          <cell r="E327" t="str">
            <v>Gramo</v>
          </cell>
          <cell r="F327">
            <v>4.7917779999999999</v>
          </cell>
        </row>
        <row r="328">
          <cell r="A328" t="str">
            <v>1212412</v>
          </cell>
          <cell r="B328" t="str">
            <v>PRESERVANTE 1017 (PAQ=5 KILO)</v>
          </cell>
          <cell r="C328" t="str">
            <v>KILO</v>
          </cell>
          <cell r="D328">
            <v>6276.5140000000001</v>
          </cell>
          <cell r="E328" t="str">
            <v>Gramo</v>
          </cell>
          <cell r="F328">
            <v>6.2765139999999997</v>
          </cell>
        </row>
        <row r="329">
          <cell r="A329" t="str">
            <v>1212437</v>
          </cell>
          <cell r="B329" t="str">
            <v>PRESERVANTE MIXTO (BALDE = 17k)</v>
          </cell>
          <cell r="C329" t="str">
            <v>KILO</v>
          </cell>
          <cell r="D329">
            <v>2889.9960000000001</v>
          </cell>
          <cell r="E329" t="str">
            <v>Gramo</v>
          </cell>
          <cell r="F329">
            <v>2.889996</v>
          </cell>
        </row>
        <row r="330">
          <cell r="A330" t="str">
            <v>1212439</v>
          </cell>
          <cell r="B330" t="str">
            <v>PRESERVANTE OPTIFORM PD4-25K</v>
          </cell>
          <cell r="C330" t="str">
            <v>KILO</v>
          </cell>
          <cell r="D330">
            <v>2533.424</v>
          </cell>
          <cell r="E330" t="str">
            <v>Gramo</v>
          </cell>
          <cell r="F330">
            <v>2.5334240000000001</v>
          </cell>
        </row>
        <row r="331">
          <cell r="A331" t="str">
            <v>1310444</v>
          </cell>
          <cell r="B331" t="str">
            <v>VAINILLA LIGHT AND FLUFFY ( 15.88 KG )( 35 LBS )</v>
          </cell>
          <cell r="C331" t="str">
            <v>KILO</v>
          </cell>
          <cell r="D331">
            <v>40508.512000000002</v>
          </cell>
          <cell r="E331" t="str">
            <v>Gramo</v>
          </cell>
          <cell r="F331">
            <v>40.508512000000003</v>
          </cell>
        </row>
        <row r="332">
          <cell r="A332" t="str">
            <v>1522523</v>
          </cell>
          <cell r="B332" t="str">
            <v>CONSERVA CHIVERRE ( CUBETA=25K)</v>
          </cell>
          <cell r="C332" t="str">
            <v>KILO</v>
          </cell>
          <cell r="D332">
            <v>2200</v>
          </cell>
          <cell r="E332" t="str">
            <v>Gramo</v>
          </cell>
          <cell r="F332">
            <v>2.2000000000000002</v>
          </cell>
        </row>
        <row r="333">
          <cell r="A333" t="str">
            <v>1590921</v>
          </cell>
          <cell r="B333" t="str">
            <v>SIROPE MAPLE AUNT JEMINA (340 GRAMOS)</v>
          </cell>
          <cell r="C333" t="str">
            <v>UND</v>
          </cell>
          <cell r="D333">
            <v>2444</v>
          </cell>
          <cell r="E333" t="str">
            <v>Gramo</v>
          </cell>
          <cell r="F333">
            <v>7.1882352941176473</v>
          </cell>
        </row>
        <row r="334">
          <cell r="A334" t="str">
            <v>1730473</v>
          </cell>
          <cell r="B334" t="str">
            <v>ACEITE EXTRA VIRGEN FILIPPO (250ml)</v>
          </cell>
          <cell r="C334" t="str">
            <v>LITRO</v>
          </cell>
          <cell r="D334">
            <v>6369.0950000000003</v>
          </cell>
          <cell r="E334" t="str">
            <v>Mililitro</v>
          </cell>
          <cell r="F334">
            <v>6.3690950000000006</v>
          </cell>
        </row>
        <row r="335">
          <cell r="A335" t="str">
            <v>1730478</v>
          </cell>
          <cell r="B335" t="str">
            <v>ALCACHOFAS EN CORAZON (1.55k)</v>
          </cell>
          <cell r="C335" t="str">
            <v>KILO</v>
          </cell>
          <cell r="D335">
            <v>5045.6170000000002</v>
          </cell>
          <cell r="E335" t="str">
            <v>Gramo</v>
          </cell>
          <cell r="F335">
            <v>5.045617</v>
          </cell>
        </row>
        <row r="336">
          <cell r="A336" t="str">
            <v>1730482</v>
          </cell>
          <cell r="B336" t="str">
            <v>HARINA NACARINA ( 2.5 kg )</v>
          </cell>
          <cell r="C336" t="str">
            <v>KILO</v>
          </cell>
          <cell r="D336">
            <v>611.6</v>
          </cell>
          <cell r="E336" t="str">
            <v>Gramo</v>
          </cell>
          <cell r="F336">
            <v>0.61160000000000003</v>
          </cell>
        </row>
        <row r="337">
          <cell r="A337" t="str">
            <v>1730576</v>
          </cell>
          <cell r="B337" t="str">
            <v>CARNE QUITITEÑA</v>
          </cell>
          <cell r="C337" t="str">
            <v>KILO</v>
          </cell>
          <cell r="D337">
            <v>3500</v>
          </cell>
          <cell r="E337" t="str">
            <v>Gramo</v>
          </cell>
          <cell r="F337">
            <v>3.5</v>
          </cell>
        </row>
        <row r="338">
          <cell r="A338" t="str">
            <v>1730580</v>
          </cell>
          <cell r="B338" t="str">
            <v>COSTILLA DE CERDO (PAQ=1 KILO)</v>
          </cell>
          <cell r="C338" t="str">
            <v>KILO</v>
          </cell>
          <cell r="D338">
            <v>3895</v>
          </cell>
          <cell r="E338" t="str">
            <v>Gramo</v>
          </cell>
          <cell r="F338">
            <v>3.895</v>
          </cell>
        </row>
        <row r="339">
          <cell r="A339" t="str">
            <v>1730607</v>
          </cell>
          <cell r="B339" t="str">
            <v>QUESO PROCESADO REBANADO</v>
          </cell>
          <cell r="C339" t="str">
            <v>KILO</v>
          </cell>
          <cell r="D339">
            <v>8780</v>
          </cell>
          <cell r="E339" t="str">
            <v>Gramo</v>
          </cell>
          <cell r="F339">
            <v>8.7799999999999994</v>
          </cell>
        </row>
        <row r="340">
          <cell r="A340" t="str">
            <v>1730610</v>
          </cell>
          <cell r="B340" t="str">
            <v>NATILLA (GALON=3.785 Lts)</v>
          </cell>
          <cell r="C340" t="str">
            <v>LITRO</v>
          </cell>
          <cell r="D340">
            <v>1497.1869999999999</v>
          </cell>
          <cell r="E340" t="str">
            <v>Mililitro</v>
          </cell>
          <cell r="F340">
            <v>1.4971869999999998</v>
          </cell>
        </row>
        <row r="341">
          <cell r="A341" t="str">
            <v>1730619</v>
          </cell>
          <cell r="B341" t="str">
            <v>PLATANO MADURO UNIDAD</v>
          </cell>
          <cell r="C341" t="str">
            <v>UND</v>
          </cell>
          <cell r="D341">
            <v>250</v>
          </cell>
          <cell r="E341" t="str">
            <v>UND</v>
          </cell>
          <cell r="F341">
            <v>250</v>
          </cell>
        </row>
        <row r="342">
          <cell r="A342" t="str">
            <v>1730643</v>
          </cell>
          <cell r="B342" t="str">
            <v>QUESO TURRIALBA (3KILO)</v>
          </cell>
          <cell r="C342" t="str">
            <v>KILO</v>
          </cell>
          <cell r="D342">
            <v>2979.5920000000001</v>
          </cell>
          <cell r="E342" t="str">
            <v>Gramo</v>
          </cell>
          <cell r="F342">
            <v>2.9795920000000002</v>
          </cell>
        </row>
        <row r="343">
          <cell r="A343" t="str">
            <v>1730645</v>
          </cell>
          <cell r="B343" t="str">
            <v>QUESO MOZARELLA RAYADO (1KILO)</v>
          </cell>
          <cell r="C343" t="str">
            <v>KILO</v>
          </cell>
          <cell r="D343">
            <v>4621.2539999999999</v>
          </cell>
          <cell r="E343" t="str">
            <v>Gramo</v>
          </cell>
          <cell r="F343">
            <v>4.6212539999999995</v>
          </cell>
        </row>
        <row r="344">
          <cell r="A344" t="str">
            <v>1730647</v>
          </cell>
          <cell r="B344" t="str">
            <v>PECHUGA DESHUESADA FILET CON LOMITO (KILO)</v>
          </cell>
          <cell r="C344" t="str">
            <v>KILO</v>
          </cell>
          <cell r="D344">
            <v>2380</v>
          </cell>
          <cell r="E344" t="str">
            <v>Gramo</v>
          </cell>
          <cell r="F344">
            <v>2.38</v>
          </cell>
        </row>
        <row r="345">
          <cell r="A345" t="str">
            <v>1730660</v>
          </cell>
          <cell r="B345" t="str">
            <v>QUESO CREMA PANADERO (CAJA =5 KILOS )</v>
          </cell>
          <cell r="C345" t="str">
            <v>KILO</v>
          </cell>
          <cell r="D345">
            <v>2589.5740000000001</v>
          </cell>
          <cell r="E345" t="str">
            <v>Gramo</v>
          </cell>
          <cell r="F345">
            <v>2.5895740000000003</v>
          </cell>
        </row>
        <row r="346">
          <cell r="A346" t="str">
            <v>5105009</v>
          </cell>
          <cell r="B346" t="str">
            <v>PASA GOLDEN (CAJA=13.6 K)</v>
          </cell>
          <cell r="C346" t="str">
            <v>KILO</v>
          </cell>
          <cell r="D346">
            <v>3277.788</v>
          </cell>
          <cell r="E346" t="str">
            <v>Gramo</v>
          </cell>
          <cell r="F346">
            <v>3.2777880000000001</v>
          </cell>
        </row>
        <row r="347">
          <cell r="A347" t="str">
            <v>10300001</v>
          </cell>
          <cell r="B347" t="str">
            <v>JARRETE PICADO KILO</v>
          </cell>
          <cell r="C347" t="str">
            <v>KILO</v>
          </cell>
          <cell r="D347">
            <v>859</v>
          </cell>
          <cell r="E347" t="str">
            <v>Gramo</v>
          </cell>
          <cell r="F347">
            <v>0.85899999999999999</v>
          </cell>
        </row>
        <row r="348">
          <cell r="A348" t="str">
            <v>10300003</v>
          </cell>
          <cell r="B348" t="str">
            <v>JAMON COCIDO EN TROZOS (PAQ=500G)</v>
          </cell>
          <cell r="C348" t="str">
            <v>PAQ</v>
          </cell>
          <cell r="D348">
            <v>2050</v>
          </cell>
          <cell r="E348" t="str">
            <v>Gramo</v>
          </cell>
          <cell r="F348">
            <v>4.0999999999999996</v>
          </cell>
        </row>
        <row r="349">
          <cell r="A349" t="str">
            <v>1110406</v>
          </cell>
          <cell r="B349" t="str">
            <v>ATUN LOMO TROZOS ACEITE (LATA=1 KILO)</v>
          </cell>
          <cell r="C349" t="str">
            <v>KILO</v>
          </cell>
          <cell r="D349">
            <v>3475.6759999999999</v>
          </cell>
          <cell r="E349" t="str">
            <v>Gramo</v>
          </cell>
          <cell r="F349">
            <v>3.475676</v>
          </cell>
        </row>
        <row r="350">
          <cell r="A350"/>
          <cell r="B350"/>
          <cell r="C350"/>
          <cell r="D350"/>
          <cell r="E350"/>
          <cell r="F350"/>
        </row>
      </sheetData>
      <sheetData sheetId="2">
        <row r="2">
          <cell r="A2" t="str">
            <v>0702006</v>
          </cell>
          <cell r="B2" t="str">
            <v>ETIQ.FECHA VENCIMIENTO AMARILLO</v>
          </cell>
          <cell r="C2" t="str">
            <v>ROLLO</v>
          </cell>
          <cell r="D2">
            <v>202.95699999999999</v>
          </cell>
          <cell r="E2" t="str">
            <v>UND</v>
          </cell>
          <cell r="F2">
            <v>0.22550777777777778</v>
          </cell>
        </row>
        <row r="3">
          <cell r="A3" t="str">
            <v>0702007</v>
          </cell>
          <cell r="B3" t="str">
            <v>ETIQ.FECHA VENCIMIENTO BLANCO</v>
          </cell>
          <cell r="C3" t="str">
            <v>ROLLO</v>
          </cell>
          <cell r="D3">
            <v>205.90199999999999</v>
          </cell>
          <cell r="E3" t="str">
            <v>UND</v>
          </cell>
          <cell r="F3">
            <v>0.22877999999999998</v>
          </cell>
        </row>
        <row r="4">
          <cell r="A4" t="str">
            <v>0702008</v>
          </cell>
          <cell r="B4" t="str">
            <v>ETIQ.FECHA VENCIMIENTO CELESTE</v>
          </cell>
          <cell r="C4" t="str">
            <v>ROLLO</v>
          </cell>
          <cell r="D4">
            <v>196.625</v>
          </cell>
          <cell r="E4" t="str">
            <v>UND</v>
          </cell>
          <cell r="F4">
            <v>0.21847222222222223</v>
          </cell>
        </row>
        <row r="5">
          <cell r="A5" t="str">
            <v>0702009</v>
          </cell>
          <cell r="B5" t="str">
            <v>ETIQ.FECHA VENCIMIENTO NARANJA</v>
          </cell>
          <cell r="C5" t="str">
            <v>ROLLO</v>
          </cell>
          <cell r="D5">
            <v>259.42899999999997</v>
          </cell>
          <cell r="E5" t="str">
            <v>UND</v>
          </cell>
          <cell r="F5">
            <v>0.28825444444444442</v>
          </cell>
        </row>
        <row r="6">
          <cell r="A6" t="str">
            <v>0702010</v>
          </cell>
          <cell r="B6" t="str">
            <v>ETIQ.FECHA VENCIMIENTO ROJO***CAFE</v>
          </cell>
          <cell r="C6" t="str">
            <v>ROLLO</v>
          </cell>
          <cell r="D6">
            <v>193.44300000000001</v>
          </cell>
          <cell r="E6" t="str">
            <v>UND</v>
          </cell>
          <cell r="F6">
            <v>0.21493666666666669</v>
          </cell>
        </row>
        <row r="7">
          <cell r="A7" t="str">
            <v>0702011</v>
          </cell>
          <cell r="B7" t="str">
            <v>ETIQ.FECHA VENCIMIENTO ROSADO</v>
          </cell>
          <cell r="C7" t="str">
            <v>ROLLO</v>
          </cell>
          <cell r="D7">
            <v>193.173</v>
          </cell>
          <cell r="E7" t="str">
            <v>UND</v>
          </cell>
          <cell r="F7">
            <v>0.21463666666666667</v>
          </cell>
        </row>
        <row r="8">
          <cell r="A8" t="str">
            <v>0702012</v>
          </cell>
          <cell r="B8" t="str">
            <v>ETIQ.FECHA VENCIMIENTO VERDE</v>
          </cell>
          <cell r="C8" t="str">
            <v>ROLLO</v>
          </cell>
          <cell r="D8">
            <v>190.66900000000001</v>
          </cell>
          <cell r="E8" t="str">
            <v>UND</v>
          </cell>
          <cell r="F8">
            <v>0.21185444444444446</v>
          </cell>
        </row>
        <row r="9">
          <cell r="A9" t="str">
            <v>0702030</v>
          </cell>
          <cell r="B9" t="str">
            <v>ETIQ.PRODUCCION BLANCO</v>
          </cell>
          <cell r="C9" t="str">
            <v>ROLLO</v>
          </cell>
          <cell r="D9">
            <v>165</v>
          </cell>
          <cell r="E9" t="str">
            <v>UND</v>
          </cell>
          <cell r="F9">
            <v>0.18333333333333332</v>
          </cell>
        </row>
        <row r="10">
          <cell r="A10" t="str">
            <v>0702036</v>
          </cell>
          <cell r="B10" t="str">
            <v>ETIQUETA NEGRA ( CINTILLO ) OVALADA LOCALES</v>
          </cell>
          <cell r="C10" t="str">
            <v>UND</v>
          </cell>
          <cell r="D10">
            <v>4.306</v>
          </cell>
          <cell r="E10" t="str">
            <v>UND</v>
          </cell>
          <cell r="F10">
            <v>4.306</v>
          </cell>
        </row>
        <row r="11">
          <cell r="A11" t="str">
            <v>0702053</v>
          </cell>
          <cell r="B11" t="str">
            <v>STICKER REDONDO AMARILLO</v>
          </cell>
          <cell r="C11" t="str">
            <v>ROLLO</v>
          </cell>
          <cell r="D11">
            <v>210.43799999999999</v>
          </cell>
          <cell r="E11" t="str">
            <v>UND</v>
          </cell>
          <cell r="F11">
            <v>0.23382</v>
          </cell>
        </row>
        <row r="12">
          <cell r="A12" t="str">
            <v>0702056</v>
          </cell>
          <cell r="B12" t="str">
            <v>STICKER REDONDO CELESTE</v>
          </cell>
          <cell r="C12" t="str">
            <v>ROLLO</v>
          </cell>
          <cell r="D12">
            <v>275</v>
          </cell>
          <cell r="E12" t="str">
            <v>UND</v>
          </cell>
          <cell r="F12">
            <v>0.30555555555555558</v>
          </cell>
        </row>
        <row r="13">
          <cell r="A13" t="str">
            <v>0702057</v>
          </cell>
          <cell r="B13" t="str">
            <v>STICKER REDONDO NARANJA</v>
          </cell>
          <cell r="C13" t="str">
            <v>ROLLO</v>
          </cell>
          <cell r="D13">
            <v>210.196</v>
          </cell>
          <cell r="E13" t="str">
            <v>UND</v>
          </cell>
          <cell r="F13">
            <v>0.2335511111111111</v>
          </cell>
        </row>
        <row r="14">
          <cell r="A14" t="str">
            <v>0702058</v>
          </cell>
          <cell r="B14" t="str">
            <v>STICKER REDONDO ROJO</v>
          </cell>
          <cell r="C14" t="str">
            <v>ROLLO</v>
          </cell>
          <cell r="D14">
            <v>651.91899999999998</v>
          </cell>
          <cell r="E14" t="str">
            <v>UND</v>
          </cell>
          <cell r="F14">
            <v>0.72435444444444441</v>
          </cell>
        </row>
        <row r="15">
          <cell r="A15" t="str">
            <v>0702060</v>
          </cell>
          <cell r="B15" t="str">
            <v>STICKER REDONDO VERDE</v>
          </cell>
          <cell r="C15" t="str">
            <v>ROLLO</v>
          </cell>
          <cell r="D15">
            <v>321.64</v>
          </cell>
          <cell r="E15" t="str">
            <v>UND</v>
          </cell>
          <cell r="F15">
            <v>0.35737777777777774</v>
          </cell>
        </row>
        <row r="16">
          <cell r="A16" t="str">
            <v>0702061</v>
          </cell>
          <cell r="B16" t="str">
            <v>CINTILLO PEQUEÑO SPOON CHOCOLATE ( ROLLO=1000UND)</v>
          </cell>
          <cell r="C16" t="str">
            <v>UND</v>
          </cell>
          <cell r="D16">
            <v>1.0449999999999999</v>
          </cell>
          <cell r="E16" t="str">
            <v>UND</v>
          </cell>
          <cell r="F16">
            <v>1.0449999999999999</v>
          </cell>
        </row>
        <row r="17">
          <cell r="A17" t="str">
            <v>0702067</v>
          </cell>
          <cell r="B17" t="str">
            <v>ETIQ.BLANCA 1 13/16 * 1 7/8</v>
          </cell>
          <cell r="C17" t="str">
            <v>UND</v>
          </cell>
          <cell r="D17">
            <v>2.0470000000000002</v>
          </cell>
          <cell r="E17" t="str">
            <v>UND</v>
          </cell>
          <cell r="F17">
            <v>2.0470000000000002</v>
          </cell>
        </row>
        <row r="18">
          <cell r="A18" t="str">
            <v>0702069</v>
          </cell>
          <cell r="B18" t="str">
            <v>ETIQ.BLANCA 1 1/4 * 3/4</v>
          </cell>
          <cell r="C18" t="str">
            <v>UND</v>
          </cell>
          <cell r="D18">
            <v>0.61599999999999999</v>
          </cell>
          <cell r="E18" t="str">
            <v>UND</v>
          </cell>
          <cell r="F18">
            <v>0.61599999999999999</v>
          </cell>
        </row>
        <row r="19">
          <cell r="A19" t="str">
            <v>0702072</v>
          </cell>
          <cell r="B19" t="str">
            <v>ETIQ.BLANCA 3X3</v>
          </cell>
          <cell r="C19" t="str">
            <v>UND</v>
          </cell>
          <cell r="D19">
            <v>6.7149999999999999</v>
          </cell>
          <cell r="E19" t="str">
            <v>UND</v>
          </cell>
          <cell r="F19">
            <v>6.7149999999999999</v>
          </cell>
        </row>
        <row r="20">
          <cell r="A20" t="str">
            <v>0702073</v>
          </cell>
          <cell r="B20" t="str">
            <v>CINTA BORDADA LOGO SPOON T-75/02</v>
          </cell>
          <cell r="C20" t="str">
            <v>UND</v>
          </cell>
          <cell r="D20">
            <v>170</v>
          </cell>
          <cell r="E20" t="str">
            <v>UND</v>
          </cell>
          <cell r="F20">
            <v>170</v>
          </cell>
        </row>
        <row r="21">
          <cell r="A21" t="str">
            <v>0702077</v>
          </cell>
          <cell r="B21" t="str">
            <v>ETIQ. GENERICA PEQUEÑA V-274</v>
          </cell>
          <cell r="C21" t="str">
            <v>UND</v>
          </cell>
          <cell r="D21">
            <v>12.87</v>
          </cell>
          <cell r="E21" t="str">
            <v>UND</v>
          </cell>
          <cell r="F21">
            <v>12.87</v>
          </cell>
        </row>
        <row r="22">
          <cell r="A22" t="str">
            <v>0702087</v>
          </cell>
          <cell r="B22" t="str">
            <v>ET. ROJA BUCCA.</v>
          </cell>
          <cell r="C22" t="str">
            <v>UND</v>
          </cell>
          <cell r="D22">
            <v>5</v>
          </cell>
          <cell r="E22" t="str">
            <v>UND</v>
          </cell>
          <cell r="F22">
            <v>5</v>
          </cell>
        </row>
        <row r="23">
          <cell r="A23" t="str">
            <v>0702099</v>
          </cell>
          <cell r="B23" t="str">
            <v>ET. CINTA GENERICA P/ TORTA SPOON.</v>
          </cell>
          <cell r="C23" t="str">
            <v>UND</v>
          </cell>
          <cell r="D23">
            <v>25.504000000000001</v>
          </cell>
          <cell r="E23" t="str">
            <v>UND</v>
          </cell>
          <cell r="F23">
            <v>25.504000000000001</v>
          </cell>
        </row>
        <row r="24">
          <cell r="A24" t="str">
            <v>0702119</v>
          </cell>
          <cell r="B24" t="str">
            <v>STICKER REDONDO CAFE</v>
          </cell>
          <cell r="C24" t="str">
            <v>UND</v>
          </cell>
          <cell r="D24">
            <v>600.49</v>
          </cell>
          <cell r="E24" t="str">
            <v>UND</v>
          </cell>
          <cell r="F24">
            <v>0</v>
          </cell>
        </row>
        <row r="25">
          <cell r="A25" t="str">
            <v>0702123</v>
          </cell>
          <cell r="B25" t="str">
            <v>ETIQUETA BLANCA 2 5/8X1 15/16 PRE BLANCA</v>
          </cell>
          <cell r="C25" t="str">
            <v>UND</v>
          </cell>
          <cell r="D25">
            <v>2.2759999999999998</v>
          </cell>
          <cell r="E25" t="str">
            <v>UND</v>
          </cell>
          <cell r="F25">
            <v>2.2759999999999998</v>
          </cell>
        </row>
        <row r="26">
          <cell r="A26" t="str">
            <v>0702136</v>
          </cell>
          <cell r="B26" t="str">
            <v>ET. STARBUCKS ALFAJOR</v>
          </cell>
          <cell r="C26" t="str">
            <v>UND</v>
          </cell>
          <cell r="D26">
            <v>25.007999999999999</v>
          </cell>
          <cell r="E26" t="str">
            <v>UND</v>
          </cell>
          <cell r="F26">
            <v>25.007999999999999</v>
          </cell>
        </row>
        <row r="27">
          <cell r="A27" t="str">
            <v>0702137</v>
          </cell>
          <cell r="B27" t="str">
            <v>ET. STARBUCKS TROCITOS CHEDDAR</v>
          </cell>
          <cell r="C27" t="str">
            <v>UND</v>
          </cell>
          <cell r="D27">
            <v>25.001000000000001</v>
          </cell>
          <cell r="E27" t="str">
            <v>UND</v>
          </cell>
          <cell r="F27">
            <v>25.001000000000001</v>
          </cell>
        </row>
        <row r="28">
          <cell r="A28" t="str">
            <v>0702138</v>
          </cell>
          <cell r="B28" t="str">
            <v>ET STARBUCKS CROCANTINI TOMATE</v>
          </cell>
          <cell r="C28" t="str">
            <v>UND</v>
          </cell>
          <cell r="D28">
            <v>29.545999999999999</v>
          </cell>
          <cell r="E28" t="str">
            <v>UND</v>
          </cell>
          <cell r="F28">
            <v>29.545999999999999</v>
          </cell>
        </row>
        <row r="29">
          <cell r="A29" t="str">
            <v>0702139</v>
          </cell>
          <cell r="B29" t="str">
            <v>ET STARBUCKS CROCANTINI PARMESANO</v>
          </cell>
          <cell r="C29" t="str">
            <v>UND</v>
          </cell>
          <cell r="D29">
            <v>20.943999999999999</v>
          </cell>
          <cell r="E29" t="str">
            <v>UND</v>
          </cell>
          <cell r="F29">
            <v>20.943999999999999</v>
          </cell>
        </row>
        <row r="30">
          <cell r="A30" t="str">
            <v>0702141</v>
          </cell>
          <cell r="B30" t="str">
            <v>ET STARBUCKS NUECES</v>
          </cell>
          <cell r="C30" t="str">
            <v>UND</v>
          </cell>
          <cell r="D30">
            <v>45.820999999999998</v>
          </cell>
          <cell r="E30" t="str">
            <v>UND</v>
          </cell>
          <cell r="F30">
            <v>45.820999999999998</v>
          </cell>
        </row>
        <row r="31">
          <cell r="A31" t="str">
            <v>0702142</v>
          </cell>
          <cell r="B31" t="str">
            <v>ET STARBUCKS POP CORN</v>
          </cell>
          <cell r="C31" t="str">
            <v>UND</v>
          </cell>
          <cell r="D31">
            <v>21.530999999999999</v>
          </cell>
          <cell r="E31" t="str">
            <v>UND</v>
          </cell>
          <cell r="F31">
            <v>21.530999999999999</v>
          </cell>
        </row>
        <row r="32">
          <cell r="A32" t="str">
            <v>0702143</v>
          </cell>
          <cell r="B32" t="str">
            <v>ET STARBUCKS CHOCOLATE</v>
          </cell>
          <cell r="C32" t="str">
            <v>UND</v>
          </cell>
          <cell r="D32">
            <v>45.701000000000001</v>
          </cell>
          <cell r="E32" t="str">
            <v>UND</v>
          </cell>
          <cell r="F32">
            <v>45.701000000000001</v>
          </cell>
        </row>
        <row r="33">
          <cell r="A33" t="str">
            <v>0702144</v>
          </cell>
          <cell r="B33" t="str">
            <v>ET STARBUCKS BARRA MACADAMIA</v>
          </cell>
          <cell r="C33" t="str">
            <v>UND</v>
          </cell>
          <cell r="D33">
            <v>47</v>
          </cell>
          <cell r="E33" t="str">
            <v>UND</v>
          </cell>
          <cell r="F33">
            <v>47</v>
          </cell>
        </row>
        <row r="34">
          <cell r="A34" t="str">
            <v>702167</v>
          </cell>
          <cell r="B34" t="str">
            <v>ETIQUETAS STARBUCKS ( BACON &amp; GOUDA)</v>
          </cell>
          <cell r="C34" t="str">
            <v>UND</v>
          </cell>
          <cell r="D34">
            <v>38.865000000000002</v>
          </cell>
          <cell r="E34" t="str">
            <v>UND</v>
          </cell>
          <cell r="F34">
            <v>38.865000000000002</v>
          </cell>
        </row>
        <row r="35">
          <cell r="A35" t="str">
            <v>702168</v>
          </cell>
          <cell r="B35" t="str">
            <v>ETIQUETA STARBUCK SAUSAGE &amp; CHEDDAR</v>
          </cell>
          <cell r="C35" t="str">
            <v>UND</v>
          </cell>
          <cell r="D35">
            <v>19.774000000000001</v>
          </cell>
          <cell r="E35" t="str">
            <v>UND</v>
          </cell>
          <cell r="F35">
            <v>19.774000000000001</v>
          </cell>
        </row>
        <row r="36">
          <cell r="A36" t="str">
            <v>702169</v>
          </cell>
          <cell r="B36" t="str">
            <v>ETIQUETA STARBUCKS VEGGIE &amp; MONTERREY JACK</v>
          </cell>
          <cell r="C36" t="str">
            <v>UND</v>
          </cell>
          <cell r="D36">
            <v>19.815000000000001</v>
          </cell>
          <cell r="E36" t="str">
            <v>UND</v>
          </cell>
          <cell r="F36">
            <v>19.815000000000001</v>
          </cell>
        </row>
        <row r="37">
          <cell r="A37" t="str">
            <v>702170</v>
          </cell>
          <cell r="B37" t="str">
            <v>ETIQUETAS STARBUCKS PREMIUM CLUB SANDWICH</v>
          </cell>
          <cell r="C37" t="str">
            <v>UND</v>
          </cell>
          <cell r="D37">
            <v>19.760000000000002</v>
          </cell>
          <cell r="E37" t="str">
            <v>UND</v>
          </cell>
          <cell r="F37">
            <v>19.760000000000002</v>
          </cell>
        </row>
        <row r="38">
          <cell r="A38" t="str">
            <v>702171</v>
          </cell>
          <cell r="B38" t="str">
            <v xml:space="preserve"> ETIQUETA STARBUCKS CAPRESSE</v>
          </cell>
          <cell r="C38" t="str">
            <v>UND</v>
          </cell>
          <cell r="D38">
            <v>19.925999999999998</v>
          </cell>
          <cell r="E38" t="str">
            <v>UND</v>
          </cell>
          <cell r="F38">
            <v>19.925999999999998</v>
          </cell>
        </row>
        <row r="39">
          <cell r="A39" t="str">
            <v>702172</v>
          </cell>
          <cell r="B39" t="str">
            <v>ETIQUETAS STARBUCKS PHILLY STEAK</v>
          </cell>
          <cell r="C39" t="str">
            <v>UND</v>
          </cell>
          <cell r="D39">
            <v>19.702999999999999</v>
          </cell>
          <cell r="E39" t="str">
            <v>UND</v>
          </cell>
          <cell r="F39">
            <v>19.702999999999999</v>
          </cell>
        </row>
        <row r="40">
          <cell r="A40" t="str">
            <v>702173</v>
          </cell>
          <cell r="B40" t="str">
            <v>ETIQUETAS DE PAPEL MUFFINS SCATOLA ROSSA</v>
          </cell>
          <cell r="C40" t="str">
            <v>UND</v>
          </cell>
          <cell r="D40">
            <v>1</v>
          </cell>
          <cell r="E40" t="str">
            <v>UND</v>
          </cell>
          <cell r="F40">
            <v>1</v>
          </cell>
        </row>
        <row r="41">
          <cell r="A41" t="str">
            <v>702174</v>
          </cell>
          <cell r="B41" t="str">
            <v>ETIQUETA SELLO DE SEGURIDAD (ROLLO=1000 UND)</v>
          </cell>
          <cell r="C41" t="str">
            <v>ROLLO</v>
          </cell>
          <cell r="D41">
            <v>5866.5159999999996</v>
          </cell>
          <cell r="E41" t="str">
            <v>UND</v>
          </cell>
          <cell r="F41">
            <v>5.8665159999999998</v>
          </cell>
        </row>
        <row r="42">
          <cell r="A42" t="str">
            <v>702175</v>
          </cell>
          <cell r="B42" t="str">
            <v>ETIQUETA IMP. SPOON GRANDE V-272</v>
          </cell>
          <cell r="C42" t="str">
            <v>UND</v>
          </cell>
          <cell r="D42">
            <v>49.741999999999997</v>
          </cell>
          <cell r="E42" t="str">
            <v>UND</v>
          </cell>
          <cell r="F42">
            <v>49.741999999999997</v>
          </cell>
        </row>
        <row r="43">
          <cell r="A43" t="str">
            <v>702178</v>
          </cell>
          <cell r="B43" t="str">
            <v>ETIQUETA MOUSSE CARMEL CAKE PECANAS (PEQUEÑA)</v>
          </cell>
          <cell r="C43" t="str">
            <v>UND</v>
          </cell>
          <cell r="D43">
            <v>1</v>
          </cell>
          <cell r="E43" t="str">
            <v>UND</v>
          </cell>
          <cell r="F43">
            <v>1</v>
          </cell>
        </row>
        <row r="44">
          <cell r="A44" t="str">
            <v>702179</v>
          </cell>
          <cell r="B44" t="str">
            <v>ETIQUETA TRUFA CHOCOLATE (GRANDE)</v>
          </cell>
          <cell r="C44" t="str">
            <v>UND</v>
          </cell>
          <cell r="D44">
            <v>1</v>
          </cell>
          <cell r="E44" t="str">
            <v>UND</v>
          </cell>
          <cell r="F44">
            <v>1</v>
          </cell>
        </row>
        <row r="45">
          <cell r="A45" t="str">
            <v>702181</v>
          </cell>
          <cell r="B45" t="str">
            <v>ETIQUETA MOUSSE CARAMEL CAKE PECANAS (GRANDE)</v>
          </cell>
          <cell r="C45" t="str">
            <v>UND</v>
          </cell>
          <cell r="D45">
            <v>1</v>
          </cell>
          <cell r="E45" t="str">
            <v>UND</v>
          </cell>
          <cell r="F45">
            <v>1</v>
          </cell>
        </row>
        <row r="46">
          <cell r="A46" t="str">
            <v>702182</v>
          </cell>
          <cell r="B46" t="str">
            <v>ETIQUETA IMP. SPOON MEDIANA V-273</v>
          </cell>
          <cell r="C46" t="str">
            <v>UND</v>
          </cell>
          <cell r="D46">
            <v>34.210999999999999</v>
          </cell>
          <cell r="E46" t="str">
            <v>UND</v>
          </cell>
          <cell r="F46">
            <v>34.210999999999999</v>
          </cell>
        </row>
        <row r="47">
          <cell r="A47" t="str">
            <v>0703207</v>
          </cell>
          <cell r="B47" t="str">
            <v>ROLLO PLASTICO PVC 14X500MTS</v>
          </cell>
          <cell r="C47" t="str">
            <v>UND</v>
          </cell>
          <cell r="D47">
            <v>43890</v>
          </cell>
          <cell r="E47" t="str">
            <v>Centimetros</v>
          </cell>
          <cell r="F47">
            <v>0.87780000000000002</v>
          </cell>
        </row>
        <row r="48">
          <cell r="A48" t="str">
            <v>0906036</v>
          </cell>
          <cell r="B48" t="str">
            <v>PAPEL MANTEQUILLA</v>
          </cell>
          <cell r="C48" t="str">
            <v>ROLLO</v>
          </cell>
          <cell r="D48">
            <v>30494.162</v>
          </cell>
          <cell r="E48" t="str">
            <v>UND</v>
          </cell>
          <cell r="F48">
            <v>30.494161999999999</v>
          </cell>
        </row>
        <row r="49">
          <cell r="A49" t="str">
            <v>1840639</v>
          </cell>
          <cell r="B49" t="str">
            <v>BOLSAS TRANSP GRANDE (KILO)</v>
          </cell>
          <cell r="C49" t="str">
            <v>KILO</v>
          </cell>
          <cell r="D49">
            <v>1250</v>
          </cell>
          <cell r="E49" t="str">
            <v>UND</v>
          </cell>
          <cell r="F49">
            <v>83.333333333333329</v>
          </cell>
        </row>
        <row r="50">
          <cell r="A50" t="str">
            <v>1942315</v>
          </cell>
          <cell r="B50" t="str">
            <v>QUEQUERA 10" MEDIA  (25.5 * 12cm CAJA 70)</v>
          </cell>
          <cell r="C50" t="str">
            <v>UND</v>
          </cell>
          <cell r="D50">
            <v>311.99400000000003</v>
          </cell>
          <cell r="E50" t="str">
            <v>UND</v>
          </cell>
          <cell r="F50">
            <v>311.99400000000003</v>
          </cell>
        </row>
        <row r="51">
          <cell r="A51" t="str">
            <v>1942318</v>
          </cell>
          <cell r="B51" t="str">
            <v>QUEQUERA 10" BAJA (25.5 * 10 CAJA 70)</v>
          </cell>
          <cell r="C51" t="str">
            <v>UND</v>
          </cell>
          <cell r="D51">
            <v>395.62299999999999</v>
          </cell>
          <cell r="E51" t="str">
            <v>UND</v>
          </cell>
          <cell r="F51">
            <v>395.62299999999999</v>
          </cell>
        </row>
        <row r="52">
          <cell r="A52" t="str">
            <v>1950375</v>
          </cell>
          <cell r="B52" t="str">
            <v>TAPA P/CONTENEDOR DOBLE USO 8/12 onz</v>
          </cell>
          <cell r="C52" t="str">
            <v>UND</v>
          </cell>
          <cell r="D52">
            <v>25.631</v>
          </cell>
          <cell r="E52" t="str">
            <v>UND</v>
          </cell>
          <cell r="F52">
            <v>25.631</v>
          </cell>
        </row>
        <row r="53">
          <cell r="A53" t="str">
            <v>1950377</v>
          </cell>
          <cell r="B53" t="str">
            <v>COMBO PACK DOBLE USO 8 onz (CAJA=200 UND)</v>
          </cell>
          <cell r="C53" t="str">
            <v>UND</v>
          </cell>
          <cell r="D53">
            <v>55.243000000000002</v>
          </cell>
          <cell r="E53" t="str">
            <v>UND</v>
          </cell>
          <cell r="F53">
            <v>55.243000000000002</v>
          </cell>
        </row>
        <row r="54">
          <cell r="A54" t="str">
            <v>1950379</v>
          </cell>
          <cell r="B54" t="str">
            <v>BASE CARTON #2 LAVAZZA (PAQ=100 UND)</v>
          </cell>
          <cell r="C54" t="str">
            <v>UND</v>
          </cell>
          <cell r="D54">
            <v>28.384</v>
          </cell>
          <cell r="E54" t="str">
            <v>UND</v>
          </cell>
          <cell r="F54">
            <v>28.384</v>
          </cell>
        </row>
        <row r="55">
          <cell r="A55" t="str">
            <v>1950386</v>
          </cell>
          <cell r="B55" t="str">
            <v>BOLSA TRANS. 125X140 (KILO)</v>
          </cell>
          <cell r="C55" t="str">
            <v>KILO</v>
          </cell>
          <cell r="D55">
            <v>3683.56</v>
          </cell>
          <cell r="E55" t="str">
            <v>UND</v>
          </cell>
          <cell r="F55">
            <v>0</v>
          </cell>
        </row>
        <row r="56">
          <cell r="A56" t="str">
            <v>1950387</v>
          </cell>
          <cell r="B56" t="str">
            <v>CONO P/AGUA (CAJA=5000 UND)</v>
          </cell>
          <cell r="C56" t="str">
            <v>UND</v>
          </cell>
          <cell r="D56">
            <v>6.7779999999999996</v>
          </cell>
          <cell r="E56" t="str">
            <v>UND</v>
          </cell>
          <cell r="F56">
            <v>6.7779999999999996</v>
          </cell>
        </row>
        <row r="57">
          <cell r="A57" t="str">
            <v>1950388</v>
          </cell>
          <cell r="B57" t="str">
            <v>BANDEJA EMPANADA X 3 (UND)</v>
          </cell>
          <cell r="C57" t="str">
            <v>UND</v>
          </cell>
          <cell r="D57">
            <v>52</v>
          </cell>
          <cell r="E57" t="str">
            <v>UND</v>
          </cell>
          <cell r="F57">
            <v>52</v>
          </cell>
        </row>
        <row r="58">
          <cell r="A58" t="str">
            <v>1950401</v>
          </cell>
          <cell r="B58" t="str">
            <v>CONTENEDOR CUADRADO 9X9X5(840UND)</v>
          </cell>
          <cell r="C58" t="str">
            <v>CAJA</v>
          </cell>
          <cell r="D58">
            <v>41199.995999999999</v>
          </cell>
          <cell r="E58" t="str">
            <v>UND</v>
          </cell>
          <cell r="F58">
            <v>49.047614285714282</v>
          </cell>
        </row>
        <row r="59">
          <cell r="A59" t="str">
            <v>1950406</v>
          </cell>
          <cell r="B59" t="str">
            <v>TAPA SUFFLE PLAST. 1.5/2.5 oz (PAQ=100 UND)</v>
          </cell>
          <cell r="C59" t="str">
            <v>UND</v>
          </cell>
          <cell r="D59">
            <v>7.7370000000000001</v>
          </cell>
          <cell r="E59" t="str">
            <v>UND</v>
          </cell>
          <cell r="F59">
            <v>7.7370000000000001</v>
          </cell>
        </row>
        <row r="60">
          <cell r="A60" t="str">
            <v>1950409</v>
          </cell>
          <cell r="B60" t="str">
            <v>TAPA P/FONDO CAJA BLANCA (PAQ=500 UND)</v>
          </cell>
          <cell r="C60" t="str">
            <v>UND</v>
          </cell>
          <cell r="D60">
            <v>49.914000000000001</v>
          </cell>
          <cell r="E60" t="str">
            <v>UND</v>
          </cell>
          <cell r="F60">
            <v>49.914000000000001</v>
          </cell>
        </row>
        <row r="61">
          <cell r="A61" t="str">
            <v>1950413</v>
          </cell>
          <cell r="B61" t="str">
            <v>BANDA PVC 450x50 (UND)</v>
          </cell>
          <cell r="C61" t="str">
            <v>UND</v>
          </cell>
          <cell r="D61">
            <v>14.465999999999999</v>
          </cell>
          <cell r="E61" t="str">
            <v>UND</v>
          </cell>
          <cell r="F61">
            <v>14.465999999999999</v>
          </cell>
        </row>
        <row r="62">
          <cell r="A62" t="str">
            <v>1950414</v>
          </cell>
          <cell r="B62" t="str">
            <v>BANDA 240x40 (UND)</v>
          </cell>
          <cell r="C62" t="str">
            <v>UND</v>
          </cell>
          <cell r="D62">
            <v>10.645</v>
          </cell>
          <cell r="E62" t="str">
            <v>UND</v>
          </cell>
          <cell r="F62">
            <v>10.645</v>
          </cell>
        </row>
        <row r="63">
          <cell r="A63" t="str">
            <v>1950427</v>
          </cell>
          <cell r="B63" t="str">
            <v>CONCHA POLO80 C/TAPA (UND)</v>
          </cell>
          <cell r="C63" t="str">
            <v>UND</v>
          </cell>
          <cell r="D63">
            <v>80</v>
          </cell>
          <cell r="E63" t="str">
            <v>UND</v>
          </cell>
          <cell r="F63">
            <v>80</v>
          </cell>
        </row>
        <row r="64">
          <cell r="A64" t="str">
            <v>1950671</v>
          </cell>
          <cell r="B64" t="str">
            <v>BANDEJA MUFFIN LBH 6166 (350UND)</v>
          </cell>
          <cell r="C64" t="str">
            <v>UND</v>
          </cell>
          <cell r="D64">
            <v>102.857</v>
          </cell>
          <cell r="E64" t="str">
            <v>UND</v>
          </cell>
          <cell r="F64">
            <v>102.857</v>
          </cell>
        </row>
        <row r="65">
          <cell r="A65" t="str">
            <v>1950672</v>
          </cell>
          <cell r="B65" t="str">
            <v>CONT. 48 ON TRANSPA. TAPA PLANA (PAQ=100 UND)</v>
          </cell>
          <cell r="C65" t="str">
            <v>UND</v>
          </cell>
          <cell r="D65">
            <v>201.988</v>
          </cell>
          <cell r="E65" t="str">
            <v>UND</v>
          </cell>
          <cell r="F65">
            <v>201.988</v>
          </cell>
        </row>
        <row r="66">
          <cell r="A66" t="str">
            <v>1950674</v>
          </cell>
          <cell r="B66" t="str">
            <v>CONTENEDOR INLINE SL65 (300 UND)</v>
          </cell>
          <cell r="C66" t="str">
            <v>UND</v>
          </cell>
          <cell r="D66">
            <v>127.584</v>
          </cell>
          <cell r="E66" t="str">
            <v>UND</v>
          </cell>
          <cell r="F66">
            <v>127.584</v>
          </cell>
        </row>
        <row r="67">
          <cell r="A67" t="str">
            <v>1950682</v>
          </cell>
          <cell r="B67" t="str">
            <v>CONTEN. LBH 692 PRALINE (200 unds)</v>
          </cell>
          <cell r="C67" t="str">
            <v>UND</v>
          </cell>
          <cell r="D67">
            <v>206.16</v>
          </cell>
          <cell r="E67" t="str">
            <v>UND</v>
          </cell>
          <cell r="F67">
            <v>206.16</v>
          </cell>
        </row>
        <row r="68">
          <cell r="A68" t="str">
            <v>1950685</v>
          </cell>
          <cell r="B68" t="str">
            <v>BANDEJA PLAST HORNABLE (240 UNI)</v>
          </cell>
          <cell r="C68" t="str">
            <v>UND</v>
          </cell>
          <cell r="D68">
            <v>172.529</v>
          </cell>
          <cell r="E68" t="str">
            <v>UND</v>
          </cell>
          <cell r="F68">
            <v>172.529</v>
          </cell>
        </row>
        <row r="69">
          <cell r="A69" t="str">
            <v>1950692</v>
          </cell>
          <cell r="B69" t="str">
            <v>ORLA CARTON 10" DORADA  (100 * PAQ)</v>
          </cell>
          <cell r="C69" t="str">
            <v>UND</v>
          </cell>
          <cell r="D69">
            <v>99.497</v>
          </cell>
          <cell r="E69" t="str">
            <v>UND</v>
          </cell>
          <cell r="F69">
            <v>99.497</v>
          </cell>
        </row>
        <row r="70">
          <cell r="A70" t="str">
            <v>1950693</v>
          </cell>
          <cell r="B70" t="str">
            <v>ORLA CARTON 9" DORADA (100 * PAQ )</v>
          </cell>
          <cell r="C70" t="str">
            <v>UND</v>
          </cell>
          <cell r="D70">
            <v>92.992999999999995</v>
          </cell>
          <cell r="E70" t="str">
            <v>UND</v>
          </cell>
          <cell r="F70">
            <v>92.992999999999995</v>
          </cell>
        </row>
        <row r="71">
          <cell r="A71" t="str">
            <v>1950699</v>
          </cell>
          <cell r="B71" t="str">
            <v>BASE PARA ROSQUETE (100*PAQ)</v>
          </cell>
          <cell r="C71" t="str">
            <v>UND</v>
          </cell>
          <cell r="D71">
            <v>116.337</v>
          </cell>
          <cell r="E71" t="str">
            <v>UND</v>
          </cell>
          <cell r="F71">
            <v>116.337</v>
          </cell>
        </row>
        <row r="72">
          <cell r="A72" t="str">
            <v>1950702</v>
          </cell>
          <cell r="B72" t="str">
            <v>BOLSA 12x18 TRANSP (KILO)</v>
          </cell>
          <cell r="C72" t="str">
            <v>KILO</v>
          </cell>
          <cell r="D72">
            <v>1350</v>
          </cell>
          <cell r="E72" t="str">
            <v>UND</v>
          </cell>
          <cell r="F72">
            <v>10.8</v>
          </cell>
        </row>
        <row r="73">
          <cell r="A73" t="str">
            <v>1950704</v>
          </cell>
          <cell r="B73" t="str">
            <v>BOLSA 5x8 TRANSP (KILO)</v>
          </cell>
          <cell r="C73" t="str">
            <v>KILO</v>
          </cell>
          <cell r="D73">
            <v>1350</v>
          </cell>
          <cell r="E73" t="str">
            <v>UND</v>
          </cell>
          <cell r="F73">
            <v>2.7</v>
          </cell>
        </row>
        <row r="74">
          <cell r="A74" t="str">
            <v>1950705</v>
          </cell>
          <cell r="B74" t="str">
            <v>BOLSA 8x12 TRANSP (KILO)</v>
          </cell>
          <cell r="C74" t="str">
            <v>KILO</v>
          </cell>
          <cell r="D74">
            <v>1350</v>
          </cell>
          <cell r="E74" t="str">
            <v>UND</v>
          </cell>
          <cell r="F74">
            <v>6.75</v>
          </cell>
        </row>
        <row r="75">
          <cell r="A75" t="str">
            <v>1950708</v>
          </cell>
          <cell r="B75" t="str">
            <v>BOLSA 17x25 TRANSP (KILO)</v>
          </cell>
          <cell r="C75" t="str">
            <v>KILO</v>
          </cell>
          <cell r="D75">
            <v>1350</v>
          </cell>
          <cell r="E75" t="str">
            <v>UND</v>
          </cell>
          <cell r="F75">
            <v>32.142857142857146</v>
          </cell>
        </row>
        <row r="76">
          <cell r="A76" t="str">
            <v>1950711</v>
          </cell>
          <cell r="B76" t="str">
            <v>BURBUJA # 5 (125XPAQ)</v>
          </cell>
          <cell r="C76" t="str">
            <v>UND</v>
          </cell>
          <cell r="D76">
            <v>54.371000000000002</v>
          </cell>
          <cell r="E76" t="str">
            <v>UND</v>
          </cell>
          <cell r="F76">
            <v>54.371000000000002</v>
          </cell>
        </row>
        <row r="77">
          <cell r="A77" t="str">
            <v>1950715</v>
          </cell>
          <cell r="B77" t="str">
            <v>CAPSULA # 2 BLANCA (100 * PAQ)</v>
          </cell>
          <cell r="C77" t="str">
            <v>UND</v>
          </cell>
          <cell r="D77">
            <v>2.66</v>
          </cell>
          <cell r="E77" t="str">
            <v>UND</v>
          </cell>
          <cell r="F77">
            <v>2.66</v>
          </cell>
        </row>
        <row r="78">
          <cell r="A78" t="str">
            <v>1950716</v>
          </cell>
          <cell r="B78" t="str">
            <v>BANDEJA  94121 24 OZ (CAJA 200 UND)</v>
          </cell>
          <cell r="C78" t="str">
            <v>UND</v>
          </cell>
          <cell r="D78">
            <v>109.575</v>
          </cell>
          <cell r="E78" t="str">
            <v>UND</v>
          </cell>
          <cell r="F78">
            <v>109.575</v>
          </cell>
        </row>
        <row r="79">
          <cell r="A79" t="str">
            <v>1950717</v>
          </cell>
          <cell r="B79" t="str">
            <v>CAJA BLANCA GRANDE ( 100 X PAQ)</v>
          </cell>
          <cell r="C79" t="str">
            <v>UND</v>
          </cell>
          <cell r="D79">
            <v>81.06</v>
          </cell>
          <cell r="E79" t="str">
            <v>UND</v>
          </cell>
          <cell r="F79">
            <v>81.06</v>
          </cell>
        </row>
        <row r="80">
          <cell r="A80" t="str">
            <v>1950725</v>
          </cell>
          <cell r="B80" t="str">
            <v>CAJA TROQUELADA # 25 ( 25*PAQ )</v>
          </cell>
          <cell r="C80" t="str">
            <v>UND</v>
          </cell>
          <cell r="D80">
            <v>1841.68</v>
          </cell>
          <cell r="E80" t="str">
            <v>UND</v>
          </cell>
          <cell r="F80">
            <v>1841.68</v>
          </cell>
        </row>
        <row r="81">
          <cell r="A81" t="str">
            <v>1950728</v>
          </cell>
          <cell r="B81" t="str">
            <v>CAJA TROQUELADA # 50 ( 20*PAQ )</v>
          </cell>
          <cell r="C81" t="str">
            <v>UND</v>
          </cell>
          <cell r="D81">
            <v>783</v>
          </cell>
          <cell r="E81" t="str">
            <v>UND</v>
          </cell>
          <cell r="F81">
            <v>783</v>
          </cell>
        </row>
        <row r="82">
          <cell r="A82" t="str">
            <v>1950729</v>
          </cell>
          <cell r="B82" t="str">
            <v>CAJA BLANCA  MEDIANAS (100 X PAQ)</v>
          </cell>
          <cell r="C82" t="str">
            <v>UND</v>
          </cell>
          <cell r="D82">
            <v>36</v>
          </cell>
          <cell r="E82" t="str">
            <v>UND</v>
          </cell>
          <cell r="F82">
            <v>36</v>
          </cell>
        </row>
        <row r="83">
          <cell r="A83" t="str">
            <v>1950730</v>
          </cell>
          <cell r="B83" t="str">
            <v>CAJA BLANCA  PEQUEÑAS (100 X PAQ)</v>
          </cell>
          <cell r="C83" t="str">
            <v>UND</v>
          </cell>
          <cell r="D83">
            <v>22.919</v>
          </cell>
          <cell r="E83" t="str">
            <v>UND</v>
          </cell>
          <cell r="F83">
            <v>22.919</v>
          </cell>
        </row>
        <row r="84">
          <cell r="A84" t="str">
            <v>1950733</v>
          </cell>
          <cell r="B84" t="str">
            <v>CAPSULA # 10 BLANCA (100 * PAQ)</v>
          </cell>
          <cell r="C84" t="str">
            <v>UND</v>
          </cell>
          <cell r="D84">
            <v>5.78</v>
          </cell>
          <cell r="E84" t="str">
            <v>UND</v>
          </cell>
          <cell r="F84">
            <v>5.78</v>
          </cell>
        </row>
        <row r="85">
          <cell r="A85" t="str">
            <v>1950735</v>
          </cell>
          <cell r="B85" t="str">
            <v>CAPSULA # 5 LOGO (100 * PAQ)</v>
          </cell>
          <cell r="C85" t="str">
            <v>UND</v>
          </cell>
          <cell r="D85">
            <v>8.4</v>
          </cell>
          <cell r="E85" t="str">
            <v>UND</v>
          </cell>
          <cell r="F85">
            <v>8.4</v>
          </cell>
        </row>
        <row r="86">
          <cell r="A86" t="str">
            <v>1950736</v>
          </cell>
          <cell r="B86" t="str">
            <v>CAPSULA # 5 BLANCA (100 * PAQ)</v>
          </cell>
          <cell r="C86" t="str">
            <v>UND</v>
          </cell>
          <cell r="D86">
            <v>7.75</v>
          </cell>
          <cell r="E86" t="str">
            <v>UND</v>
          </cell>
          <cell r="F86">
            <v>7.75</v>
          </cell>
        </row>
        <row r="87">
          <cell r="A87" t="str">
            <v>1950742</v>
          </cell>
          <cell r="B87" t="str">
            <v>VASO SOUFLE 5.5 OZ (PAQ * 250)</v>
          </cell>
          <cell r="C87" t="str">
            <v>UND</v>
          </cell>
          <cell r="D87">
            <v>10.826000000000001</v>
          </cell>
          <cell r="E87" t="str">
            <v>UND</v>
          </cell>
          <cell r="F87">
            <v>10.826000000000001</v>
          </cell>
        </row>
        <row r="88">
          <cell r="A88" t="str">
            <v>1950743</v>
          </cell>
          <cell r="B88" t="str">
            <v>CONTEN. 8B20 CAMPERO (PAQ=50 UND)</v>
          </cell>
          <cell r="C88" t="str">
            <v>UND</v>
          </cell>
          <cell r="D88">
            <v>24</v>
          </cell>
          <cell r="E88" t="str">
            <v>UND</v>
          </cell>
          <cell r="F88">
            <v>24</v>
          </cell>
        </row>
        <row r="89">
          <cell r="A89" t="str">
            <v>1950746</v>
          </cell>
          <cell r="B89" t="str">
            <v>CONTEN. PLAST RED.TRANSP. 16 OZ  (PAQ=500)</v>
          </cell>
          <cell r="C89" t="str">
            <v>UND</v>
          </cell>
          <cell r="D89">
            <v>41.201999999999998</v>
          </cell>
          <cell r="E89" t="str">
            <v>UND</v>
          </cell>
          <cell r="F89">
            <v>41.201999999999998</v>
          </cell>
        </row>
        <row r="90">
          <cell r="A90" t="str">
            <v>1950752</v>
          </cell>
          <cell r="B90" t="str">
            <v>CAJA BLANCA MINI (PAQ=100 UND)</v>
          </cell>
          <cell r="C90" t="str">
            <v>UND</v>
          </cell>
          <cell r="D90">
            <v>22.161999999999999</v>
          </cell>
          <cell r="E90" t="str">
            <v>UND</v>
          </cell>
          <cell r="F90">
            <v>22.161999999999999</v>
          </cell>
        </row>
        <row r="91">
          <cell r="A91" t="str">
            <v>1950756</v>
          </cell>
          <cell r="B91" t="str">
            <v>BANDEJA ALUM DESE #4040 (6 PORC)</v>
          </cell>
          <cell r="C91" t="str">
            <v>UND</v>
          </cell>
          <cell r="D91">
            <v>178.08</v>
          </cell>
          <cell r="E91" t="str">
            <v>UND</v>
          </cell>
          <cell r="F91">
            <v>178.08</v>
          </cell>
        </row>
        <row r="92">
          <cell r="A92" t="str">
            <v>1950765</v>
          </cell>
          <cell r="B92" t="str">
            <v>PLAST. AUTOAD 18 * 2000</v>
          </cell>
          <cell r="C92" t="str">
            <v>CAJA</v>
          </cell>
          <cell r="D92">
            <v>9524.0349999999999</v>
          </cell>
          <cell r="E92" t="str">
            <v>Centimetros</v>
          </cell>
          <cell r="F92">
            <v>0.47620174999999998</v>
          </cell>
        </row>
        <row r="93">
          <cell r="A93" t="str">
            <v>1950767</v>
          </cell>
          <cell r="B93" t="str">
            <v>PAPEL ALUMINIO 12 * 1000</v>
          </cell>
          <cell r="C93" t="str">
            <v>CAJA</v>
          </cell>
          <cell r="D93">
            <v>13787.079</v>
          </cell>
          <cell r="E93" t="str">
            <v>Centimetros</v>
          </cell>
          <cell r="F93">
            <v>1.3787079</v>
          </cell>
        </row>
        <row r="94">
          <cell r="A94" t="str">
            <v>1950769</v>
          </cell>
          <cell r="B94" t="str">
            <v>ORLA N°3 PLATEADA (100 UND)</v>
          </cell>
          <cell r="C94" t="str">
            <v>UND</v>
          </cell>
          <cell r="D94">
            <v>25.997</v>
          </cell>
          <cell r="E94" t="str">
            <v>UND</v>
          </cell>
          <cell r="F94">
            <v>25.997</v>
          </cell>
        </row>
        <row r="95">
          <cell r="A95" t="str">
            <v>1950771</v>
          </cell>
          <cell r="B95" t="str">
            <v>PAPEL ENCERADO 10X10 (CAJA)</v>
          </cell>
          <cell r="C95" t="str">
            <v>PAQ</v>
          </cell>
          <cell r="D95">
            <v>2783</v>
          </cell>
          <cell r="E95" t="str">
            <v>UND</v>
          </cell>
          <cell r="F95">
            <v>5.5659999999999998</v>
          </cell>
        </row>
        <row r="96">
          <cell r="A96" t="str">
            <v>1950772</v>
          </cell>
          <cell r="B96" t="str">
            <v>PAPEL ENCERADO 12 X 10 (CAJA)</v>
          </cell>
          <cell r="C96" t="str">
            <v>PAQ</v>
          </cell>
          <cell r="D96">
            <v>3535.223</v>
          </cell>
          <cell r="E96" t="str">
            <v>UND</v>
          </cell>
          <cell r="F96">
            <v>7.0704459999999996</v>
          </cell>
        </row>
        <row r="97">
          <cell r="A97" t="str">
            <v>1950779</v>
          </cell>
          <cell r="B97" t="str">
            <v>QUEQUERA  9" BAJA. (70 * CAJA)</v>
          </cell>
          <cell r="C97" t="str">
            <v>UND</v>
          </cell>
          <cell r="D97">
            <v>270.87900000000002</v>
          </cell>
          <cell r="E97" t="str">
            <v>UND</v>
          </cell>
          <cell r="F97">
            <v>270.87900000000002</v>
          </cell>
        </row>
        <row r="98">
          <cell r="A98" t="str">
            <v>1950780</v>
          </cell>
          <cell r="B98" t="str">
            <v>QUEQUERA 9"ALTA. (23 * 12cm 70 CAJA)</v>
          </cell>
          <cell r="C98" t="str">
            <v>UND</v>
          </cell>
          <cell r="D98">
            <v>385.01299999999998</v>
          </cell>
          <cell r="E98" t="str">
            <v>UND</v>
          </cell>
          <cell r="F98">
            <v>385.01299999999998</v>
          </cell>
        </row>
        <row r="99">
          <cell r="A99" t="str">
            <v>1950782</v>
          </cell>
          <cell r="B99" t="str">
            <v>QUEQUERAS 10"  BAJA (25.5*7cm 100 CAJA.)</v>
          </cell>
          <cell r="C99" t="str">
            <v>UND</v>
          </cell>
          <cell r="D99">
            <v>541.38</v>
          </cell>
          <cell r="E99" t="str">
            <v>UND</v>
          </cell>
          <cell r="F99">
            <v>541.38</v>
          </cell>
        </row>
        <row r="100">
          <cell r="A100" t="str">
            <v>1950788</v>
          </cell>
          <cell r="B100" t="str">
            <v>TAPA 20DLCR P/CONTE.8B20 CAMPERO (PAQ=100UND )</v>
          </cell>
          <cell r="C100" t="str">
            <v>UND</v>
          </cell>
          <cell r="D100">
            <v>35.450000000000003</v>
          </cell>
          <cell r="E100" t="str">
            <v>UND</v>
          </cell>
          <cell r="F100">
            <v>35.450000000000003</v>
          </cell>
        </row>
        <row r="101">
          <cell r="A101" t="str">
            <v>1950791</v>
          </cell>
          <cell r="B101" t="str">
            <v>TAPA PLAST. SUFLE 5.5 oz (PAQ=250 UND)</v>
          </cell>
          <cell r="C101" t="str">
            <v>UND</v>
          </cell>
          <cell r="D101">
            <v>7.7149999999999999</v>
          </cell>
          <cell r="E101" t="str">
            <v>UND</v>
          </cell>
          <cell r="F101">
            <v>7.7149999999999999</v>
          </cell>
        </row>
        <row r="102">
          <cell r="A102" t="str">
            <v>1950795</v>
          </cell>
          <cell r="B102" t="str">
            <v>BOLSA AL VACIO 6X8 100 PAQ</v>
          </cell>
          <cell r="C102" t="str">
            <v>UND</v>
          </cell>
          <cell r="D102">
            <v>17.401</v>
          </cell>
          <cell r="E102" t="str">
            <v>UND</v>
          </cell>
          <cell r="F102">
            <v>17.401</v>
          </cell>
        </row>
        <row r="103">
          <cell r="A103" t="str">
            <v>1950807</v>
          </cell>
          <cell r="B103" t="str">
            <v>ORLA 5" DORADA (PAQ= 100 UND)</v>
          </cell>
          <cell r="C103" t="str">
            <v>UND</v>
          </cell>
          <cell r="D103">
            <v>95.801000000000002</v>
          </cell>
          <cell r="E103" t="str">
            <v>UND</v>
          </cell>
          <cell r="F103">
            <v>95.801000000000002</v>
          </cell>
        </row>
        <row r="104">
          <cell r="A104" t="str">
            <v>1950808</v>
          </cell>
          <cell r="B104" t="str">
            <v>ORLA CARTON  8" DORADA (100 * PAQ )</v>
          </cell>
          <cell r="C104" t="str">
            <v>UND</v>
          </cell>
          <cell r="D104">
            <v>69</v>
          </cell>
          <cell r="E104" t="str">
            <v>UND</v>
          </cell>
          <cell r="F104">
            <v>69</v>
          </cell>
        </row>
        <row r="105">
          <cell r="A105" t="str">
            <v>1950810</v>
          </cell>
          <cell r="B105" t="str">
            <v>CAJA TROQUELADA # 15 ( 25 * PAQ )</v>
          </cell>
          <cell r="C105" t="str">
            <v>UND</v>
          </cell>
          <cell r="D105">
            <v>1302.367</v>
          </cell>
          <cell r="E105" t="str">
            <v>UND</v>
          </cell>
          <cell r="F105">
            <v>1302.367</v>
          </cell>
        </row>
        <row r="106">
          <cell r="A106" t="str">
            <v>1950811</v>
          </cell>
          <cell r="B106" t="str">
            <v>BASE CARTON 15 PORCIONES ( 25 * PAQ.)</v>
          </cell>
          <cell r="C106" t="str">
            <v>UND</v>
          </cell>
          <cell r="D106">
            <v>145</v>
          </cell>
          <cell r="E106" t="str">
            <v>UND</v>
          </cell>
          <cell r="F106">
            <v>145</v>
          </cell>
        </row>
        <row r="107">
          <cell r="A107" t="str">
            <v>1950812</v>
          </cell>
          <cell r="B107" t="str">
            <v>BASE CARTON 30 PORCIONES ( 25 * PAQ )</v>
          </cell>
          <cell r="C107" t="str">
            <v>UND</v>
          </cell>
          <cell r="D107">
            <v>176</v>
          </cell>
          <cell r="E107" t="str">
            <v>UND</v>
          </cell>
          <cell r="F107">
            <v>176</v>
          </cell>
        </row>
        <row r="108">
          <cell r="A108" t="str">
            <v>1950818</v>
          </cell>
          <cell r="B108" t="str">
            <v>QUEQUERA RECT. T41 ( 50 UNI )</v>
          </cell>
          <cell r="C108" t="str">
            <v>UND</v>
          </cell>
          <cell r="D108">
            <v>767.19899999999996</v>
          </cell>
          <cell r="E108" t="str">
            <v>UND</v>
          </cell>
          <cell r="F108">
            <v>767.19899999999996</v>
          </cell>
        </row>
        <row r="109">
          <cell r="A109" t="str">
            <v>1950829</v>
          </cell>
          <cell r="B109" t="str">
            <v xml:space="preserve">BASE CARTON 30 PORC DELGADA </v>
          </cell>
          <cell r="C109" t="str">
            <v>UND</v>
          </cell>
          <cell r="D109">
            <v>188.82499999999999</v>
          </cell>
          <cell r="E109" t="str">
            <v>UND</v>
          </cell>
          <cell r="F109">
            <v>18.8825</v>
          </cell>
        </row>
        <row r="110">
          <cell r="A110" t="str">
            <v>1950837</v>
          </cell>
          <cell r="B110" t="str">
            <v>FONDO P/CAJA BLANCA ( UND)</v>
          </cell>
          <cell r="C110" t="str">
            <v>UND</v>
          </cell>
          <cell r="D110">
            <v>48.207999999999998</v>
          </cell>
          <cell r="E110" t="str">
            <v>UND</v>
          </cell>
          <cell r="F110">
            <v>48.207999999999998</v>
          </cell>
        </row>
        <row r="111">
          <cell r="A111" t="str">
            <v>1950853</v>
          </cell>
          <cell r="B111" t="str">
            <v>VASO 9oz P/SUNDAE TS9(PAQ=50 UND)</v>
          </cell>
          <cell r="C111" t="str">
            <v>UND</v>
          </cell>
          <cell r="D111">
            <v>41.5</v>
          </cell>
          <cell r="E111" t="str">
            <v>UND</v>
          </cell>
          <cell r="F111">
            <v>41.5</v>
          </cell>
        </row>
        <row r="112">
          <cell r="A112" t="str">
            <v>1950854</v>
          </cell>
          <cell r="B112" t="str">
            <v>TAPA VASO 9oz P/SUNDAE (PAQ=50 UND)</v>
          </cell>
          <cell r="C112" t="str">
            <v>UND</v>
          </cell>
          <cell r="D112">
            <v>19.748999999999999</v>
          </cell>
          <cell r="E112" t="str">
            <v>UND</v>
          </cell>
          <cell r="F112">
            <v>19.748999999999999</v>
          </cell>
        </row>
        <row r="113">
          <cell r="A113" t="str">
            <v>1950865</v>
          </cell>
          <cell r="B113" t="str">
            <v>QUEQUERA 8 ALTA (100U)</v>
          </cell>
          <cell r="C113" t="str">
            <v>UND</v>
          </cell>
          <cell r="D113">
            <v>242</v>
          </cell>
          <cell r="E113" t="str">
            <v>UND</v>
          </cell>
          <cell r="F113">
            <v>242</v>
          </cell>
        </row>
        <row r="114">
          <cell r="A114" t="str">
            <v>1950873</v>
          </cell>
          <cell r="B114" t="str">
            <v>BOLSA CELOFAN TRANSP. (30X45 cm)</v>
          </cell>
          <cell r="C114" t="str">
            <v>KILO</v>
          </cell>
          <cell r="D114">
            <v>4135</v>
          </cell>
          <cell r="E114" t="str">
            <v>UND</v>
          </cell>
          <cell r="F114">
            <v>41.35</v>
          </cell>
        </row>
        <row r="115">
          <cell r="A115" t="str">
            <v>1950879</v>
          </cell>
          <cell r="B115" t="str">
            <v>BANDEJA PLASTICA 3 DIV. (250 UND)</v>
          </cell>
          <cell r="C115" t="str">
            <v>UND</v>
          </cell>
          <cell r="D115">
            <v>106.91800000000001</v>
          </cell>
          <cell r="E115" t="str">
            <v>UND</v>
          </cell>
          <cell r="F115">
            <v>106.91800000000001</v>
          </cell>
        </row>
        <row r="116">
          <cell r="A116" t="str">
            <v>1950880</v>
          </cell>
          <cell r="B116" t="str">
            <v>TAPA BANDEJA PLASTICA 3 DIV. (250 UND)</v>
          </cell>
          <cell r="C116" t="str">
            <v>UND</v>
          </cell>
          <cell r="D116">
            <v>87.055000000000007</v>
          </cell>
          <cell r="E116" t="str">
            <v>UND</v>
          </cell>
          <cell r="F116">
            <v>87.055000000000007</v>
          </cell>
        </row>
        <row r="117">
          <cell r="A117" t="str">
            <v>1950895</v>
          </cell>
          <cell r="B117" t="str">
            <v>BOLSA CELOFAN 6 X 9 (KILO)</v>
          </cell>
          <cell r="C117" t="str">
            <v>KILO</v>
          </cell>
          <cell r="D117">
            <v>4134.9430000000002</v>
          </cell>
          <cell r="E117" t="str">
            <v>UND</v>
          </cell>
          <cell r="F117">
            <v>12.380068862275449</v>
          </cell>
        </row>
        <row r="118">
          <cell r="A118" t="str">
            <v>1950896</v>
          </cell>
          <cell r="B118" t="str">
            <v>BANDEJA 17-1 NEGRA EST.(500U)</v>
          </cell>
          <cell r="C118" t="str">
            <v>UND</v>
          </cell>
          <cell r="D118">
            <v>25.364999999999998</v>
          </cell>
          <cell r="E118" t="str">
            <v>UND</v>
          </cell>
          <cell r="F118">
            <v>25.364999999999998</v>
          </cell>
        </row>
        <row r="119">
          <cell r="A119" t="str">
            <v>1950904</v>
          </cell>
          <cell r="B119" t="str">
            <v>BOLSA TRANSPARENTE  6 X 10 (KILO)</v>
          </cell>
          <cell r="C119" t="str">
            <v>KILO</v>
          </cell>
          <cell r="D119">
            <v>1350.1179999999999</v>
          </cell>
          <cell r="E119" t="str">
            <v>UND</v>
          </cell>
          <cell r="F119">
            <v>4.0422694610778445</v>
          </cell>
        </row>
        <row r="120">
          <cell r="A120" t="str">
            <v>1950907</v>
          </cell>
          <cell r="B120" t="str">
            <v>CAJA QQ SECO (750UND)</v>
          </cell>
          <cell r="C120" t="str">
            <v>UND</v>
          </cell>
          <cell r="D120">
            <v>68.084000000000003</v>
          </cell>
          <cell r="E120" t="str">
            <v>UND</v>
          </cell>
          <cell r="F120">
            <v>68.084000000000003</v>
          </cell>
        </row>
        <row r="121">
          <cell r="A121" t="str">
            <v>1950909</v>
          </cell>
          <cell r="B121" t="str">
            <v>CONT.24 ONZ.TAPA PLANA (PAQ=100)</v>
          </cell>
          <cell r="C121" t="str">
            <v>UND</v>
          </cell>
          <cell r="D121">
            <v>168.37100000000001</v>
          </cell>
          <cell r="E121" t="str">
            <v>UND</v>
          </cell>
          <cell r="F121">
            <v>168.37100000000001</v>
          </cell>
        </row>
        <row r="122">
          <cell r="A122" t="str">
            <v>1950912</v>
          </cell>
          <cell r="B122" t="str">
            <v>BANDEJA TRANSPARENTE DELI 12ON (252 und)</v>
          </cell>
          <cell r="C122" t="str">
            <v>UND</v>
          </cell>
          <cell r="D122">
            <v>22.966999999999999</v>
          </cell>
          <cell r="E122" t="str">
            <v>UND</v>
          </cell>
          <cell r="F122">
            <v>22.966999999999999</v>
          </cell>
        </row>
        <row r="123">
          <cell r="A123" t="str">
            <v>1950920</v>
          </cell>
          <cell r="B123" t="str">
            <v>SUFLE PLASTICO TRASLUCIDO 1 ONZ (PAQ=100 UND)</v>
          </cell>
          <cell r="C123" t="str">
            <v>UND</v>
          </cell>
          <cell r="D123">
            <v>6.8479999999999999</v>
          </cell>
          <cell r="E123" t="str">
            <v>UND</v>
          </cell>
          <cell r="F123">
            <v>6.8479999999999999</v>
          </cell>
        </row>
        <row r="124">
          <cell r="A124" t="str">
            <v>1950921</v>
          </cell>
          <cell r="B124" t="str">
            <v>TAPA SUFLE PLAST .5/.75/1 OZ (PAQ=100 UND)</v>
          </cell>
          <cell r="C124" t="str">
            <v>UND</v>
          </cell>
          <cell r="D124">
            <v>5.0579999999999998</v>
          </cell>
          <cell r="E124" t="str">
            <v>UND</v>
          </cell>
          <cell r="F124">
            <v>5.0579999999999998</v>
          </cell>
        </row>
        <row r="125">
          <cell r="A125" t="str">
            <v>1950922</v>
          </cell>
          <cell r="B125" t="str">
            <v>CAJA TORTA CHILENA GRANDE</v>
          </cell>
          <cell r="C125" t="str">
            <v>UND</v>
          </cell>
          <cell r="D125">
            <v>262.95499999999998</v>
          </cell>
          <cell r="E125" t="str">
            <v>UND</v>
          </cell>
          <cell r="F125">
            <v>262.95499999999998</v>
          </cell>
        </row>
        <row r="126">
          <cell r="A126" t="str">
            <v>1950923</v>
          </cell>
          <cell r="B126" t="str">
            <v>CAJA P/ALFAJORES (CAJA=375 UND)</v>
          </cell>
          <cell r="C126" t="str">
            <v>UND</v>
          </cell>
          <cell r="D126">
            <v>339.47899999999998</v>
          </cell>
          <cell r="E126" t="str">
            <v>UND</v>
          </cell>
          <cell r="F126">
            <v>339.47899999999998</v>
          </cell>
        </row>
        <row r="127">
          <cell r="A127" t="str">
            <v>1950924</v>
          </cell>
          <cell r="B127" t="str">
            <v>BANDEJA P/CAJA DE CHILENA/ALFAJOR(UND)</v>
          </cell>
          <cell r="C127" t="str">
            <v>UND</v>
          </cell>
          <cell r="D127">
            <v>54.728999999999999</v>
          </cell>
          <cell r="E127" t="str">
            <v>UND</v>
          </cell>
          <cell r="F127">
            <v>54.728999999999999</v>
          </cell>
        </row>
        <row r="128">
          <cell r="A128" t="str">
            <v>1950928</v>
          </cell>
          <cell r="B128" t="str">
            <v>BOLSA TRANSPARENTE 56X96X1.80</v>
          </cell>
          <cell r="C128" t="str">
            <v>KILO</v>
          </cell>
          <cell r="D128">
            <v>1400</v>
          </cell>
          <cell r="E128" t="str">
            <v>UND</v>
          </cell>
          <cell r="F128">
            <v>50</v>
          </cell>
        </row>
        <row r="129">
          <cell r="A129" t="str">
            <v>1950929</v>
          </cell>
          <cell r="B129" t="str">
            <v>BOLSA CELOFAN 10X20 (KILO)</v>
          </cell>
          <cell r="C129" t="str">
            <v>KILO</v>
          </cell>
          <cell r="D129">
            <v>3872.431</v>
          </cell>
          <cell r="E129" t="str">
            <v>UND</v>
          </cell>
          <cell r="F129">
            <v>0</v>
          </cell>
        </row>
        <row r="130">
          <cell r="A130" t="str">
            <v>1950934</v>
          </cell>
          <cell r="B130" t="str">
            <v>CINTA BORDADA LOGO (ROLLO=20M)</v>
          </cell>
          <cell r="C130" t="str">
            <v>ROLLO</v>
          </cell>
          <cell r="D130">
            <v>6310.201</v>
          </cell>
          <cell r="E130" t="str">
            <v>Centimetros</v>
          </cell>
          <cell r="F130">
            <v>3.1551005000000001</v>
          </cell>
        </row>
        <row r="131">
          <cell r="A131" t="str">
            <v>1950942</v>
          </cell>
          <cell r="B131" t="str">
            <v>ORLA #4 DORADA REDONDA(UND)</v>
          </cell>
          <cell r="C131" t="str">
            <v>UND</v>
          </cell>
          <cell r="D131">
            <v>29.498999999999999</v>
          </cell>
          <cell r="E131" t="str">
            <v>UND</v>
          </cell>
          <cell r="F131">
            <v>29.498999999999999</v>
          </cell>
        </row>
        <row r="132">
          <cell r="A132" t="str">
            <v>1950945</v>
          </cell>
          <cell r="B132" t="str">
            <v>TAPA PLASTICA P/CONT DELI. 8/12/16 ONZ (CAJA=1008 UND)</v>
          </cell>
          <cell r="C132" t="str">
            <v>UND</v>
          </cell>
          <cell r="D132">
            <v>30.794</v>
          </cell>
          <cell r="E132" t="str">
            <v>UND</v>
          </cell>
          <cell r="F132">
            <v>30.794</v>
          </cell>
        </row>
        <row r="133">
          <cell r="A133" t="str">
            <v>1950952</v>
          </cell>
          <cell r="B133" t="str">
            <v>QUEQUERA 9 ALTA PREMIUM (CAJA=150 UND)</v>
          </cell>
          <cell r="C133" t="str">
            <v>UND</v>
          </cell>
          <cell r="D133">
            <v>413.55200000000002</v>
          </cell>
          <cell r="E133" t="str">
            <v>UND</v>
          </cell>
          <cell r="F133">
            <v>413.55200000000002</v>
          </cell>
        </row>
        <row r="134">
          <cell r="A134" t="str">
            <v>1950953</v>
          </cell>
          <cell r="B134" t="str">
            <v>QUEQUERA 10 ALTA PREMIUM (CAJA=90 UND)</v>
          </cell>
          <cell r="C134" t="str">
            <v>UND</v>
          </cell>
          <cell r="D134">
            <v>430.745</v>
          </cell>
          <cell r="E134" t="str">
            <v>UND</v>
          </cell>
          <cell r="F134">
            <v>430.745</v>
          </cell>
        </row>
        <row r="135">
          <cell r="A135" t="str">
            <v>1950957</v>
          </cell>
          <cell r="B135" t="str">
            <v>ORLA #1 P/LATA NAVIDEÑA (UND)</v>
          </cell>
          <cell r="C135" t="str">
            <v>UND</v>
          </cell>
          <cell r="D135">
            <v>48.494999999999997</v>
          </cell>
          <cell r="E135" t="str">
            <v>UND</v>
          </cell>
          <cell r="F135">
            <v>48.494999999999997</v>
          </cell>
        </row>
        <row r="136">
          <cell r="A136" t="str">
            <v>1950958</v>
          </cell>
          <cell r="B136" t="str">
            <v>ORLA #2 P/LATA NAVIDEÑA (UND)</v>
          </cell>
          <cell r="C136" t="str">
            <v>UND</v>
          </cell>
          <cell r="D136">
            <v>71.403999999999996</v>
          </cell>
          <cell r="E136" t="str">
            <v>UND</v>
          </cell>
          <cell r="F136">
            <v>71.403999999999996</v>
          </cell>
        </row>
        <row r="137">
          <cell r="A137" t="str">
            <v>1950965</v>
          </cell>
          <cell r="B137" t="str">
            <v>BURBUJA TRIANGULAR G630 (CAJA=300 UND)</v>
          </cell>
          <cell r="C137" t="str">
            <v>UND</v>
          </cell>
          <cell r="D137">
            <v>61.478000000000002</v>
          </cell>
          <cell r="E137" t="str">
            <v>UND</v>
          </cell>
          <cell r="F137">
            <v>61.478000000000002</v>
          </cell>
        </row>
        <row r="138">
          <cell r="A138" t="str">
            <v>1952320</v>
          </cell>
          <cell r="B138" t="str">
            <v>QUEQUERA PLASTICA 12 CENT. (CAJA=250UND)</v>
          </cell>
          <cell r="C138" t="str">
            <v>UND</v>
          </cell>
          <cell r="D138">
            <v>56.188000000000002</v>
          </cell>
          <cell r="E138" t="str">
            <v>UND</v>
          </cell>
          <cell r="F138">
            <v>56.188000000000002</v>
          </cell>
        </row>
        <row r="139">
          <cell r="A139" t="str">
            <v>1952378</v>
          </cell>
          <cell r="B139" t="str">
            <v>CONTEN. TAPA PLANA ( 480 UND )</v>
          </cell>
          <cell r="C139" t="str">
            <v>UND</v>
          </cell>
          <cell r="D139">
            <v>56</v>
          </cell>
          <cell r="E139" t="str">
            <v>UND</v>
          </cell>
          <cell r="F139">
            <v>56</v>
          </cell>
        </row>
        <row r="140">
          <cell r="A140" t="str">
            <v>1952388</v>
          </cell>
          <cell r="B140" t="str">
            <v>BOLSA AL VACIO 7X9  ( PAQ=100 UND )</v>
          </cell>
          <cell r="C140" t="str">
            <v>UND</v>
          </cell>
          <cell r="D140">
            <v>23.4</v>
          </cell>
          <cell r="E140" t="str">
            <v>UND</v>
          </cell>
          <cell r="F140">
            <v>23.4</v>
          </cell>
        </row>
        <row r="141">
          <cell r="A141" t="str">
            <v>1952389</v>
          </cell>
          <cell r="B141" t="str">
            <v>BOLSA AL VACIO 6X6 100 PAQ</v>
          </cell>
          <cell r="C141" t="str">
            <v>UND</v>
          </cell>
          <cell r="D141">
            <v>16</v>
          </cell>
          <cell r="E141" t="str">
            <v>UND</v>
          </cell>
          <cell r="F141">
            <v>16</v>
          </cell>
        </row>
        <row r="142">
          <cell r="A142" t="str">
            <v>1952392</v>
          </cell>
          <cell r="B142" t="str">
            <v>BOLSA AL VACIO 10X15 100 UND</v>
          </cell>
          <cell r="C142" t="str">
            <v>UND</v>
          </cell>
          <cell r="D142">
            <v>78</v>
          </cell>
          <cell r="E142" t="str">
            <v>UND</v>
          </cell>
          <cell r="F142">
            <v>78</v>
          </cell>
        </row>
        <row r="143">
          <cell r="A143" t="str">
            <v>1952393</v>
          </cell>
          <cell r="B143" t="str">
            <v>BOLSA AL VACIO 8*10 ( 100 * PAQ )</v>
          </cell>
          <cell r="C143" t="str">
            <v>UND</v>
          </cell>
          <cell r="D143">
            <v>30.834</v>
          </cell>
          <cell r="E143" t="str">
            <v>UND</v>
          </cell>
          <cell r="F143">
            <v>30.834</v>
          </cell>
        </row>
        <row r="144">
          <cell r="A144" t="str">
            <v>1952398</v>
          </cell>
          <cell r="B144" t="str">
            <v>BASE 75 PORCIONES ( PAQ )</v>
          </cell>
          <cell r="C144" t="str">
            <v>PAQ</v>
          </cell>
          <cell r="D144">
            <v>6400</v>
          </cell>
          <cell r="E144" t="str">
            <v>UND</v>
          </cell>
          <cell r="F144">
            <v>640</v>
          </cell>
        </row>
        <row r="145">
          <cell r="A145" t="str">
            <v>1952400</v>
          </cell>
          <cell r="B145" t="str">
            <v>BOLSA BUCCA PALMERITAS (10*20CM)( KILO )</v>
          </cell>
          <cell r="C145" t="str">
            <v>KILO</v>
          </cell>
          <cell r="D145">
            <v>3899.605</v>
          </cell>
          <cell r="E145" t="str">
            <v>UND</v>
          </cell>
          <cell r="F145">
            <v>3.8996050000000002</v>
          </cell>
        </row>
        <row r="146">
          <cell r="A146" t="str">
            <v>1952402</v>
          </cell>
          <cell r="B146" t="str">
            <v>BOLSA BUCCA CLASSICA (10*13.5cm) ( KILO )</v>
          </cell>
          <cell r="C146" t="str">
            <v>KILO</v>
          </cell>
          <cell r="D146">
            <v>3845.4989999999998</v>
          </cell>
          <cell r="E146" t="str">
            <v>UND</v>
          </cell>
          <cell r="F146">
            <v>10.119734210526316</v>
          </cell>
        </row>
        <row r="147">
          <cell r="A147" t="str">
            <v>1952409</v>
          </cell>
          <cell r="B147" t="str">
            <v>BANDEJA  ALUMINIO A-42 (4PORC) ( 500 UND )</v>
          </cell>
          <cell r="C147" t="str">
            <v>UND</v>
          </cell>
          <cell r="D147">
            <v>80.251999999999995</v>
          </cell>
          <cell r="E147" t="str">
            <v>UND</v>
          </cell>
          <cell r="F147">
            <v>80.251999999999995</v>
          </cell>
        </row>
        <row r="148">
          <cell r="A148" t="str">
            <v>1952410</v>
          </cell>
          <cell r="B148" t="str">
            <v>TAPA CONTEN. ALUMINIO A-42 (4 PORC) ( 250 UND )</v>
          </cell>
          <cell r="C148" t="str">
            <v>UND</v>
          </cell>
          <cell r="D148">
            <v>62.628</v>
          </cell>
          <cell r="E148" t="str">
            <v>UND</v>
          </cell>
          <cell r="F148">
            <v>62.628</v>
          </cell>
        </row>
        <row r="149">
          <cell r="A149" t="str">
            <v>1952420</v>
          </cell>
          <cell r="B149" t="str">
            <v>TAPA CONTE PLAST RED. 8-16 ONZ  (CAJA=500 UND)</v>
          </cell>
          <cell r="C149" t="str">
            <v>UND</v>
          </cell>
          <cell r="D149">
            <v>27.731999999999999</v>
          </cell>
          <cell r="E149" t="str">
            <v>UND</v>
          </cell>
          <cell r="F149">
            <v>27.731999999999999</v>
          </cell>
        </row>
        <row r="150">
          <cell r="A150" t="str">
            <v>1952425</v>
          </cell>
          <cell r="B150" t="str">
            <v>CAJA # 1 CARTULINA C/TAPA PEQ. ( PAQ 100 )</v>
          </cell>
          <cell r="C150" t="str">
            <v>UND</v>
          </cell>
          <cell r="D150">
            <v>212.67500000000001</v>
          </cell>
          <cell r="E150" t="str">
            <v>UND</v>
          </cell>
          <cell r="F150">
            <v>212.67500000000001</v>
          </cell>
        </row>
        <row r="151">
          <cell r="A151" t="str">
            <v>1952432</v>
          </cell>
          <cell r="B151" t="str">
            <v>TAPA BAND ALUM. DESE 4040 (6 PORC) (CAJA=250 UND)</v>
          </cell>
          <cell r="C151" t="str">
            <v>UND</v>
          </cell>
          <cell r="D151">
            <v>71.456000000000003</v>
          </cell>
          <cell r="E151" t="str">
            <v>UND</v>
          </cell>
          <cell r="F151">
            <v>71.456000000000003</v>
          </cell>
        </row>
        <row r="152">
          <cell r="A152" t="str">
            <v>1952436</v>
          </cell>
          <cell r="B152" t="str">
            <v>CAJA P/CHOCO ALFAJOR ( 22.7x16.7x2.8 ) ( UND )</v>
          </cell>
          <cell r="C152" t="str">
            <v>UND</v>
          </cell>
          <cell r="D152">
            <v>191.886</v>
          </cell>
          <cell r="E152" t="str">
            <v>UND</v>
          </cell>
          <cell r="F152">
            <v>191.886</v>
          </cell>
        </row>
        <row r="153">
          <cell r="A153" t="str">
            <v>1952441</v>
          </cell>
          <cell r="B153" t="str">
            <v>BOLSA AL VACIO 3 X 8 (UND)</v>
          </cell>
          <cell r="C153" t="str">
            <v>UND</v>
          </cell>
          <cell r="D153">
            <v>19</v>
          </cell>
          <cell r="E153" t="str">
            <v>UND</v>
          </cell>
          <cell r="F153">
            <v>19</v>
          </cell>
        </row>
        <row r="154">
          <cell r="A154" t="str">
            <v>1952804</v>
          </cell>
          <cell r="B154" t="str">
            <v>BANDEJA BLANCA POSTRES SCATOLA ROSA</v>
          </cell>
          <cell r="C154" t="str">
            <v>UND</v>
          </cell>
          <cell r="D154">
            <v>1</v>
          </cell>
          <cell r="E154" t="str">
            <v>UND</v>
          </cell>
          <cell r="F154">
            <v>1</v>
          </cell>
        </row>
        <row r="155">
          <cell r="A155" t="str">
            <v>1952834</v>
          </cell>
          <cell r="B155" t="str">
            <v>COMBO PACK DOBLE USO C/TAPA 16 onz (PAQ=100)</v>
          </cell>
          <cell r="C155" t="str">
            <v>UND</v>
          </cell>
          <cell r="D155">
            <v>62.920999999999999</v>
          </cell>
          <cell r="E155" t="str">
            <v>UND</v>
          </cell>
          <cell r="F155">
            <v>62.920999999999999</v>
          </cell>
        </row>
        <row r="156">
          <cell r="A156" t="str">
            <v>1952839</v>
          </cell>
          <cell r="B156" t="str">
            <v>LAMINAS ACETATO</v>
          </cell>
          <cell r="C156" t="str">
            <v>UND</v>
          </cell>
          <cell r="D156">
            <v>81.039000000000001</v>
          </cell>
          <cell r="E156" t="str">
            <v>UND</v>
          </cell>
          <cell r="F156">
            <v>81.039000000000001</v>
          </cell>
        </row>
        <row r="157">
          <cell r="A157" t="str">
            <v>1952846</v>
          </cell>
          <cell r="B157" t="str">
            <v>BANDEJA DELI MW1000 (700 UND)</v>
          </cell>
          <cell r="C157" t="str">
            <v>UND</v>
          </cell>
          <cell r="D157">
            <v>50</v>
          </cell>
          <cell r="E157" t="str">
            <v>UND</v>
          </cell>
          <cell r="F157">
            <v>50</v>
          </cell>
        </row>
        <row r="158">
          <cell r="A158" t="str">
            <v>1952847</v>
          </cell>
          <cell r="B158" t="str">
            <v>BANDEJA DELI MW1500 (CAJA =700 UND)</v>
          </cell>
          <cell r="C158" t="str">
            <v>UND</v>
          </cell>
          <cell r="D158">
            <v>43.762</v>
          </cell>
          <cell r="E158" t="str">
            <v>UND</v>
          </cell>
          <cell r="F158">
            <v>43.762</v>
          </cell>
        </row>
        <row r="159">
          <cell r="A159" t="str">
            <v>1952851</v>
          </cell>
          <cell r="B159" t="str">
            <v>CONTENEDOR CUADRADO 9X9X5(600 UND)</v>
          </cell>
          <cell r="C159" t="str">
            <v>CAJA</v>
          </cell>
          <cell r="D159">
            <v>28828.284</v>
          </cell>
          <cell r="E159" t="str">
            <v>UND</v>
          </cell>
          <cell r="F159">
            <v>48.047139999999999</v>
          </cell>
        </row>
        <row r="160">
          <cell r="A160" t="str">
            <v>1952855</v>
          </cell>
          <cell r="B160" t="str">
            <v>BOLSA TRANSPARENTE BOOP 35 MICRAS 115X24X190MM</v>
          </cell>
          <cell r="C160" t="str">
            <v>KILO</v>
          </cell>
          <cell r="D160">
            <v>3723.92</v>
          </cell>
          <cell r="E160" t="str">
            <v>UND</v>
          </cell>
          <cell r="F160">
            <v>8.6768255743510885</v>
          </cell>
        </row>
        <row r="161">
          <cell r="A161" t="str">
            <v>1952856</v>
          </cell>
          <cell r="B161" t="str">
            <v>BOLSA TRANSPARENTE BOPP 35 MICRAS 76X24X298MM</v>
          </cell>
          <cell r="C161" t="str">
            <v>KILO</v>
          </cell>
          <cell r="D161">
            <v>3856.58</v>
          </cell>
          <cell r="E161" t="str">
            <v>UND</v>
          </cell>
          <cell r="F161">
            <v>10.220166953756459</v>
          </cell>
        </row>
        <row r="162">
          <cell r="A162" t="str">
            <v>1952857</v>
          </cell>
          <cell r="B162" t="str">
            <v>BOLSA TRANSPARENTE BOPP 35 MICRAS 100X200MM</v>
          </cell>
          <cell r="C162" t="str">
            <v>KILO</v>
          </cell>
          <cell r="D162">
            <v>3724.9929999999999</v>
          </cell>
          <cell r="E162" t="str">
            <v>UND</v>
          </cell>
          <cell r="F162">
            <v>0</v>
          </cell>
        </row>
        <row r="163">
          <cell r="A163" t="str">
            <v>1952858</v>
          </cell>
          <cell r="B163" t="str">
            <v>CAJA WRAP</v>
          </cell>
          <cell r="C163" t="str">
            <v>UND</v>
          </cell>
          <cell r="D163">
            <v>60</v>
          </cell>
          <cell r="E163" t="str">
            <v>UND</v>
          </cell>
          <cell r="F163">
            <v>60</v>
          </cell>
        </row>
        <row r="164">
          <cell r="A164" t="str">
            <v>1952859</v>
          </cell>
          <cell r="B164" t="str">
            <v>BOLSAS CELOFAN SCATOLA ROSSA</v>
          </cell>
          <cell r="C164" t="str">
            <v>KILO</v>
          </cell>
          <cell r="D164">
            <v>196.54499999999999</v>
          </cell>
          <cell r="E164" t="str">
            <v>UND</v>
          </cell>
          <cell r="F164">
            <v>196.54499999999999</v>
          </cell>
        </row>
        <row r="165">
          <cell r="A165" t="str">
            <v>1952862</v>
          </cell>
          <cell r="B165" t="str">
            <v>CAJAS MASTER MUFFINS  SCATOLA ROSSA</v>
          </cell>
          <cell r="C165" t="str">
            <v>UND</v>
          </cell>
          <cell r="D165">
            <v>1</v>
          </cell>
          <cell r="E165" t="str">
            <v>UND</v>
          </cell>
          <cell r="F165">
            <v>1</v>
          </cell>
        </row>
        <row r="166">
          <cell r="A166" t="str">
            <v>1952863</v>
          </cell>
          <cell r="B166" t="str">
            <v>MOLDE REDONDO ALUMINIO SCATOLA ROSSA</v>
          </cell>
          <cell r="C166" t="str">
            <v>UND</v>
          </cell>
          <cell r="D166">
            <v>1</v>
          </cell>
          <cell r="E166" t="str">
            <v>UND</v>
          </cell>
          <cell r="F166">
            <v>1</v>
          </cell>
        </row>
        <row r="167">
          <cell r="A167" t="str">
            <v>1952864</v>
          </cell>
          <cell r="B167" t="str">
            <v>CAJA MASTER QUEQUES SCATOLA ROSSA</v>
          </cell>
          <cell r="C167" t="str">
            <v>UND</v>
          </cell>
          <cell r="D167">
            <v>1</v>
          </cell>
          <cell r="E167" t="str">
            <v>UND</v>
          </cell>
          <cell r="F167">
            <v>1</v>
          </cell>
        </row>
        <row r="168">
          <cell r="A168" t="str">
            <v>1952865</v>
          </cell>
          <cell r="B168" t="str">
            <v>CAJA IMPRESA QUEQUE ZANAHORIA SCATOLO ROSSA</v>
          </cell>
          <cell r="C168" t="str">
            <v>UND</v>
          </cell>
          <cell r="D168">
            <v>1</v>
          </cell>
          <cell r="E168" t="str">
            <v>UND</v>
          </cell>
          <cell r="F168">
            <v>1</v>
          </cell>
        </row>
        <row r="169">
          <cell r="A169" t="str">
            <v>1952867</v>
          </cell>
          <cell r="B169" t="str">
            <v>CAJA IMPRESA TORTA ESPINACA SCATOLA ROSSA</v>
          </cell>
          <cell r="C169" t="str">
            <v>UND</v>
          </cell>
          <cell r="D169">
            <v>1</v>
          </cell>
          <cell r="E169" t="str">
            <v>UND</v>
          </cell>
          <cell r="F169">
            <v>1</v>
          </cell>
        </row>
        <row r="170">
          <cell r="A170" t="str">
            <v>1952873</v>
          </cell>
          <cell r="B170" t="str">
            <v>CONTENEDOR CUADRADO POTE (CAJA=600UND)</v>
          </cell>
          <cell r="C170" t="str">
            <v>UND</v>
          </cell>
          <cell r="D170">
            <v>52.966999999999999</v>
          </cell>
          <cell r="E170" t="str">
            <v>UND</v>
          </cell>
          <cell r="F170">
            <v>52.966999999999999</v>
          </cell>
        </row>
        <row r="171">
          <cell r="A171" t="str">
            <v>1952874</v>
          </cell>
          <cell r="B171" t="str">
            <v>ORLA #8 BUCCA (PAQ= 100 UND)</v>
          </cell>
          <cell r="C171" t="str">
            <v>UND</v>
          </cell>
          <cell r="D171">
            <v>67.994</v>
          </cell>
          <cell r="E171" t="str">
            <v>UND</v>
          </cell>
          <cell r="F171">
            <v>67.994</v>
          </cell>
        </row>
        <row r="172">
          <cell r="A172" t="str">
            <v>1952875</v>
          </cell>
          <cell r="B172" t="str">
            <v>ORLA # 10 BUCCA (PAQ= 100 UND)</v>
          </cell>
          <cell r="C172" t="str">
            <v>UND</v>
          </cell>
          <cell r="D172">
            <v>77.037999999999997</v>
          </cell>
          <cell r="E172" t="str">
            <v>UND</v>
          </cell>
          <cell r="F172">
            <v>77.037999999999997</v>
          </cell>
        </row>
        <row r="173">
          <cell r="A173" t="str">
            <v>1952881</v>
          </cell>
          <cell r="B173" t="str">
            <v>MOLDE Y TAPA ALUMINIO #7</v>
          </cell>
          <cell r="C173" t="str">
            <v>UND</v>
          </cell>
          <cell r="D173">
            <v>40.273000000000003</v>
          </cell>
          <cell r="E173" t="str">
            <v>UND</v>
          </cell>
          <cell r="F173">
            <v>40.273000000000003</v>
          </cell>
        </row>
        <row r="174">
          <cell r="A174" t="str">
            <v>1952891</v>
          </cell>
          <cell r="B174" t="str">
            <v>SELLO SEGURIDAD SCATOLA ROSSA</v>
          </cell>
          <cell r="C174" t="str">
            <v>UND</v>
          </cell>
          <cell r="D174">
            <v>1</v>
          </cell>
          <cell r="E174" t="str">
            <v>UND</v>
          </cell>
          <cell r="F174">
            <v>1</v>
          </cell>
        </row>
        <row r="175">
          <cell r="A175" t="str">
            <v>1952897</v>
          </cell>
          <cell r="B175" t="str">
            <v>QUEQUERA 10" MEDIA LOGO  (25 * 12= CAJA 56)</v>
          </cell>
          <cell r="C175" t="str">
            <v>UND</v>
          </cell>
          <cell r="D175">
            <v>463.87599999999998</v>
          </cell>
          <cell r="E175" t="str">
            <v>UND</v>
          </cell>
          <cell r="F175">
            <v>463.87599999999998</v>
          </cell>
        </row>
        <row r="176">
          <cell r="A176" t="str">
            <v>1952898</v>
          </cell>
          <cell r="B176" t="str">
            <v>QUEQUERA CHILENA 29 x 10 (CAJA 70 UND)</v>
          </cell>
          <cell r="C176" t="str">
            <v>UND</v>
          </cell>
          <cell r="D176">
            <v>475</v>
          </cell>
          <cell r="E176" t="str">
            <v>UND</v>
          </cell>
          <cell r="F176">
            <v>475</v>
          </cell>
        </row>
        <row r="177">
          <cell r="A177" t="str">
            <v>1952902</v>
          </cell>
          <cell r="B177" t="str">
            <v xml:space="preserve"> FONDA PECANA SCATOLA ROSSA</v>
          </cell>
          <cell r="C177" t="str">
            <v>UND</v>
          </cell>
          <cell r="D177">
            <v>1</v>
          </cell>
          <cell r="E177" t="str">
            <v>UND</v>
          </cell>
          <cell r="F177">
            <v>1</v>
          </cell>
        </row>
        <row r="178">
          <cell r="A178" t="str">
            <v>1952903</v>
          </cell>
          <cell r="B178" t="str">
            <v>FONDA CHESSE CAKE SCATOLA ROSSA</v>
          </cell>
          <cell r="C178" t="str">
            <v>UND</v>
          </cell>
          <cell r="D178">
            <v>1</v>
          </cell>
          <cell r="E178" t="str">
            <v>UND</v>
          </cell>
          <cell r="F178">
            <v>1</v>
          </cell>
        </row>
        <row r="179">
          <cell r="A179" t="str">
            <v>1952904</v>
          </cell>
          <cell r="B179" t="str">
            <v>CAJA BLANCA SOUFFLE 5.5</v>
          </cell>
          <cell r="C179" t="str">
            <v>UND</v>
          </cell>
          <cell r="D179">
            <v>629</v>
          </cell>
          <cell r="E179" t="str">
            <v>UND</v>
          </cell>
          <cell r="F179">
            <v>629</v>
          </cell>
        </row>
        <row r="180">
          <cell r="A180" t="str">
            <v>1952911</v>
          </cell>
          <cell r="B180" t="str">
            <v>QUEQUERA RECTANGULAR P4533 ( CAJA = 25 UND)</v>
          </cell>
          <cell r="C180" t="str">
            <v>CAJA</v>
          </cell>
          <cell r="D180">
            <v>36270</v>
          </cell>
          <cell r="E180" t="str">
            <v>UND</v>
          </cell>
          <cell r="F180">
            <v>1450.8</v>
          </cell>
        </row>
        <row r="181">
          <cell r="A181" t="str">
            <v>2172411</v>
          </cell>
          <cell r="B181" t="str">
            <v>ET. TORTA BUCCA GENERICA</v>
          </cell>
          <cell r="C181" t="str">
            <v>UND</v>
          </cell>
          <cell r="D181">
            <v>25.797999999999998</v>
          </cell>
          <cell r="E181" t="str">
            <v>UND</v>
          </cell>
          <cell r="F181">
            <v>25.797999999999998</v>
          </cell>
        </row>
        <row r="182">
          <cell r="A182" t="str">
            <v>51500001</v>
          </cell>
          <cell r="B182" t="str">
            <v>VASO SUNDAE E-5 (CAJA= 1200 UND)</v>
          </cell>
          <cell r="C182" t="str">
            <v>UND</v>
          </cell>
          <cell r="D182">
            <v>33.75</v>
          </cell>
          <cell r="E182" t="str">
            <v>UND</v>
          </cell>
          <cell r="F182">
            <v>33.75</v>
          </cell>
        </row>
        <row r="183">
          <cell r="A183" t="str">
            <v>51500002</v>
          </cell>
          <cell r="B183" t="str">
            <v>TAPA VASO SUNDAE E-90 (CAJA=1000 UND)</v>
          </cell>
          <cell r="C183" t="str">
            <v>UND</v>
          </cell>
          <cell r="D183">
            <v>19.605</v>
          </cell>
          <cell r="E183" t="str">
            <v>UND</v>
          </cell>
          <cell r="F183">
            <v>19.605</v>
          </cell>
        </row>
      </sheetData>
      <sheetData sheetId="3">
        <row r="1">
          <cell r="A1" t="str">
            <v>Codigo</v>
          </cell>
          <cell r="B1" t="str">
            <v>Descripcion</v>
          </cell>
          <cell r="C1" t="str">
            <v>Und Medida
Sistema</v>
          </cell>
          <cell r="D1" t="str">
            <v>Und
Minima</v>
          </cell>
          <cell r="E1" t="str">
            <v xml:space="preserve">Costo MP
 </v>
          </cell>
          <cell r="F1" t="str">
            <v>Costo MP
Unidad Minima</v>
          </cell>
          <cell r="G1" t="str">
            <v xml:space="preserve">Costo Empaque
 </v>
          </cell>
          <cell r="H1" t="str">
            <v xml:space="preserve">Costo Empaque
Und Minima
 </v>
          </cell>
          <cell r="I1" t="str">
            <v>Costo
MO</v>
          </cell>
          <cell r="J1" t="str">
            <v xml:space="preserve">Costo MO
Und Minima
 </v>
          </cell>
        </row>
        <row r="2">
          <cell r="A2" t="str">
            <v>95001</v>
          </cell>
          <cell r="B2" t="str">
            <v>PASTA DE HOJALDRE (33644g)</v>
          </cell>
          <cell r="C2" t="str">
            <v>KILO</v>
          </cell>
          <cell r="D2" t="str">
            <v>GRAMO</v>
          </cell>
          <cell r="E2">
            <v>584.85363651792932</v>
          </cell>
          <cell r="F2">
            <v>0.58485363651792932</v>
          </cell>
          <cell r="G2">
            <v>3.2665845367991899</v>
          </cell>
          <cell r="H2">
            <v>3.2665845367991901E-3</v>
          </cell>
          <cell r="I2">
            <v>98.116434338150142</v>
          </cell>
          <cell r="J2">
            <v>9.8116434338150149E-2</v>
          </cell>
        </row>
        <row r="3">
          <cell r="A3" t="str">
            <v>95012</v>
          </cell>
          <cell r="B3" t="str">
            <v>SUSPIRO SPOON GDE (60g)</v>
          </cell>
          <cell r="C3" t="str">
            <v>UND</v>
          </cell>
          <cell r="D3" t="str">
            <v>UND</v>
          </cell>
          <cell r="E3">
            <v>125.40374695736389</v>
          </cell>
          <cell r="F3">
            <v>125.40374695736389</v>
          </cell>
          <cell r="G3">
            <v>3.7092284052239948</v>
          </cell>
          <cell r="H3">
            <v>3.7092284052239948</v>
          </cell>
          <cell r="I3">
            <v>22.87877714318601</v>
          </cell>
          <cell r="J3">
            <v>22.87877714318601</v>
          </cell>
        </row>
        <row r="4">
          <cell r="A4" t="str">
            <v>95013</v>
          </cell>
          <cell r="B4" t="str">
            <v>PASTA DE ALFAJOR (23.3 Kg)</v>
          </cell>
          <cell r="C4" t="str">
            <v>KILO</v>
          </cell>
          <cell r="D4" t="str">
            <v>GRAMO</v>
          </cell>
          <cell r="E4">
            <v>948.40396783549795</v>
          </cell>
          <cell r="F4">
            <v>0.94840396783549796</v>
          </cell>
          <cell r="G4">
            <v>2.792724716553288</v>
          </cell>
          <cell r="H4">
            <v>2.792724716553288E-3</v>
          </cell>
          <cell r="I4">
            <v>23.809523809523807</v>
          </cell>
          <cell r="J4">
            <v>2.3809523809523808E-2</v>
          </cell>
        </row>
        <row r="5">
          <cell r="A5" t="str">
            <v>95017</v>
          </cell>
          <cell r="B5" t="str">
            <v>PLATANOS MADUROS FRITOS (23.950g)</v>
          </cell>
          <cell r="C5" t="str">
            <v>KILO</v>
          </cell>
          <cell r="D5" t="str">
            <v>GRAMO</v>
          </cell>
          <cell r="E5">
            <v>1277.9170454545454</v>
          </cell>
          <cell r="F5">
            <v>1.2779170454545454</v>
          </cell>
          <cell r="G5">
            <v>0</v>
          </cell>
          <cell r="H5">
            <v>0</v>
          </cell>
          <cell r="I5">
            <v>53.030303030303031</v>
          </cell>
          <cell r="J5">
            <v>5.3030303030303032E-2</v>
          </cell>
        </row>
        <row r="6">
          <cell r="A6" t="str">
            <v>95018</v>
          </cell>
          <cell r="B6" t="str">
            <v>ALMIBAR P/PLATANOS MADUROS (15000g)</v>
          </cell>
          <cell r="C6" t="str">
            <v>KILO</v>
          </cell>
          <cell r="D6" t="str">
            <v>GRAMO</v>
          </cell>
          <cell r="E6">
            <v>299.02126133333331</v>
          </cell>
          <cell r="F6">
            <v>0.29902126133333329</v>
          </cell>
          <cell r="G6">
            <v>0</v>
          </cell>
          <cell r="H6">
            <v>0</v>
          </cell>
          <cell r="I6">
            <v>11.2</v>
          </cell>
          <cell r="J6">
            <v>1.12E-2</v>
          </cell>
        </row>
        <row r="7">
          <cell r="A7" t="str">
            <v>95020</v>
          </cell>
          <cell r="B7" t="str">
            <v>PECANA TRITURADA TOSTADA (970g)</v>
          </cell>
          <cell r="C7" t="str">
            <v>KILO</v>
          </cell>
          <cell r="D7" t="str">
            <v>GRAMO</v>
          </cell>
          <cell r="E7">
            <v>10555.97319587629</v>
          </cell>
          <cell r="F7">
            <v>10.555973195876289</v>
          </cell>
          <cell r="G7">
            <v>0</v>
          </cell>
          <cell r="H7">
            <v>0</v>
          </cell>
          <cell r="I7">
            <v>144.32989690721649</v>
          </cell>
          <cell r="J7">
            <v>0.14432989690721648</v>
          </cell>
        </row>
        <row r="8">
          <cell r="A8" t="str">
            <v>95036</v>
          </cell>
          <cell r="B8" t="str">
            <v>ALMENDRAS TOSTADAS (5.730 Kg)</v>
          </cell>
          <cell r="C8" t="str">
            <v>KILO</v>
          </cell>
          <cell r="D8" t="str">
            <v>GRAMO</v>
          </cell>
          <cell r="E8">
            <v>6903.6744677137876</v>
          </cell>
          <cell r="F8">
            <v>6.9036744677137873</v>
          </cell>
          <cell r="G8">
            <v>2.2603369206903237</v>
          </cell>
          <cell r="H8">
            <v>2.2603369206903238E-3</v>
          </cell>
          <cell r="I8">
            <v>143.97905759162305</v>
          </cell>
          <cell r="J8">
            <v>0.14397905759162305</v>
          </cell>
        </row>
        <row r="9">
          <cell r="A9" t="str">
            <v>95038</v>
          </cell>
          <cell r="B9" t="str">
            <v>SIROPE DULCE LECHE P/MARMOLEAR (5350g)</v>
          </cell>
          <cell r="C9" t="str">
            <v>KILO</v>
          </cell>
          <cell r="D9" t="str">
            <v>GRAMO</v>
          </cell>
          <cell r="E9">
            <v>2109.7364485981311</v>
          </cell>
          <cell r="F9">
            <v>2.1097364485981309</v>
          </cell>
          <cell r="G9">
            <v>2.8935507995846312</v>
          </cell>
          <cell r="H9">
            <v>2.8935507995846311E-3</v>
          </cell>
          <cell r="I9">
            <v>31.401869158878508</v>
          </cell>
          <cell r="J9">
            <v>3.1401869158878506E-2</v>
          </cell>
        </row>
        <row r="10">
          <cell r="A10" t="str">
            <v>95080</v>
          </cell>
          <cell r="B10" t="str">
            <v>ROSQUETE VAINILLA BUCCA PLANCHA 750G</v>
          </cell>
          <cell r="C10" t="str">
            <v>UND</v>
          </cell>
          <cell r="D10" t="str">
            <v>UND</v>
          </cell>
          <cell r="E10">
            <v>793.83436830892322</v>
          </cell>
          <cell r="F10">
            <v>793.83436830892322</v>
          </cell>
          <cell r="G10">
            <v>15.868516243916272</v>
          </cell>
          <cell r="H10">
            <v>15.868516243916272</v>
          </cell>
          <cell r="I10">
            <v>31.608908872505264</v>
          </cell>
          <cell r="J10">
            <v>31.608908872505264</v>
          </cell>
        </row>
        <row r="11">
          <cell r="A11" t="str">
            <v>95088</v>
          </cell>
          <cell r="B11" t="str">
            <v>BATIDO CHOCOLATE PILLSBURY (43860g)</v>
          </cell>
          <cell r="C11" t="str">
            <v>KILO</v>
          </cell>
          <cell r="D11" t="str">
            <v>GRAMO</v>
          </cell>
          <cell r="E11">
            <v>1238.6712159554729</v>
          </cell>
          <cell r="F11">
            <v>1.2386712159554729</v>
          </cell>
          <cell r="G11">
            <v>3.0026979415142683</v>
          </cell>
          <cell r="H11">
            <v>3.0026979415142684E-3</v>
          </cell>
          <cell r="I11">
            <v>20.408163265306122</v>
          </cell>
          <cell r="J11">
            <v>2.0408163265306121E-2</v>
          </cell>
        </row>
        <row r="12">
          <cell r="A12" t="str">
            <v>95091</v>
          </cell>
          <cell r="B12" t="str">
            <v>BATIDO VAINILLA PURATOS BUCCA (21750g)</v>
          </cell>
          <cell r="C12" t="str">
            <v>KILO</v>
          </cell>
          <cell r="D12" t="str">
            <v>GRAMO</v>
          </cell>
          <cell r="E12">
            <v>990.29529845433274</v>
          </cell>
          <cell r="F12">
            <v>0.99029529845433273</v>
          </cell>
          <cell r="G12">
            <v>2.1484353072376492</v>
          </cell>
          <cell r="H12">
            <v>2.1484353072376491E-3</v>
          </cell>
          <cell r="I12">
            <v>15.456674473067917</v>
          </cell>
          <cell r="J12">
            <v>1.5456674473067917E-2</v>
          </cell>
        </row>
        <row r="13">
          <cell r="A13" t="str">
            <v>95092</v>
          </cell>
          <cell r="B13" t="str">
            <v>ALFAJOR GDE CUBIERTO CHOCOLATE BLANCO (UND)</v>
          </cell>
          <cell r="C13" t="str">
            <v>UND</v>
          </cell>
          <cell r="D13" t="str">
            <v>UND</v>
          </cell>
          <cell r="E13">
            <v>138.68354001378788</v>
          </cell>
          <cell r="F13">
            <v>138.68354001378788</v>
          </cell>
          <cell r="G13">
            <v>0.15639258412698412</v>
          </cell>
          <cell r="H13">
            <v>0.15639258412698412</v>
          </cell>
          <cell r="I13">
            <v>41.408333333333331</v>
          </cell>
          <cell r="J13">
            <v>41.408333333333331</v>
          </cell>
        </row>
        <row r="14">
          <cell r="A14" t="str">
            <v>95096</v>
          </cell>
          <cell r="B14" t="str">
            <v>PASTA GALLETAS JENGIBRE (10900g)</v>
          </cell>
          <cell r="C14" t="str">
            <v>KILO</v>
          </cell>
          <cell r="D14" t="str">
            <v>GRAMO</v>
          </cell>
          <cell r="E14">
            <v>998.83764201834867</v>
          </cell>
          <cell r="F14">
            <v>0.99883764201834868</v>
          </cell>
          <cell r="G14">
            <v>5.9416335226445307</v>
          </cell>
          <cell r="H14">
            <v>5.9416335226445309E-3</v>
          </cell>
          <cell r="I14">
            <v>77.064220183486242</v>
          </cell>
          <cell r="J14">
            <v>7.7064220183486243E-2</v>
          </cell>
        </row>
        <row r="15">
          <cell r="A15" t="str">
            <v>95097</v>
          </cell>
          <cell r="B15" t="str">
            <v>GALLETA JENGIBRE (UND)</v>
          </cell>
          <cell r="C15" t="str">
            <v>UND</v>
          </cell>
          <cell r="D15" t="str">
            <v>UND</v>
          </cell>
          <cell r="E15">
            <v>18.916968418067277</v>
          </cell>
          <cell r="F15">
            <v>18.916968418067277</v>
          </cell>
          <cell r="G15">
            <v>0.10813773011213046</v>
          </cell>
          <cell r="H15">
            <v>0.10813773011213046</v>
          </cell>
          <cell r="I15">
            <v>8.8692354740061159</v>
          </cell>
          <cell r="J15">
            <v>8.8692354740061159</v>
          </cell>
        </row>
        <row r="16">
          <cell r="A16" t="str">
            <v>95099</v>
          </cell>
          <cell r="B16" t="str">
            <v>ROSQUETE YOGURT CAKE (440g)</v>
          </cell>
          <cell r="C16" t="str">
            <v>UND</v>
          </cell>
          <cell r="D16" t="str">
            <v>UND</v>
          </cell>
          <cell r="E16">
            <v>624.04126441192318</v>
          </cell>
          <cell r="F16">
            <v>624.04126441192318</v>
          </cell>
          <cell r="G16">
            <v>8.519507902226259</v>
          </cell>
          <cell r="H16">
            <v>8.519507902226259</v>
          </cell>
          <cell r="I16">
            <v>60.922495231367009</v>
          </cell>
          <cell r="J16">
            <v>60.922495231367009</v>
          </cell>
        </row>
        <row r="17">
          <cell r="A17" t="str">
            <v>95102</v>
          </cell>
          <cell r="B17" t="str">
            <v>RELLENO LECHE CONDENSADA Y PECANAS (8400g)</v>
          </cell>
          <cell r="C17" t="str">
            <v>Kilo</v>
          </cell>
          <cell r="D17" t="str">
            <v>Gramo</v>
          </cell>
          <cell r="E17">
            <v>5705.5955833264607</v>
          </cell>
          <cell r="F17">
            <v>5.7055955833264607</v>
          </cell>
          <cell r="G17">
            <v>12.253708147321428</v>
          </cell>
          <cell r="H17">
            <v>1.2253708147321428E-2</v>
          </cell>
          <cell r="I17">
            <v>84.126984126984127</v>
          </cell>
          <cell r="J17">
            <v>8.4126984126984133E-2</v>
          </cell>
        </row>
        <row r="18">
          <cell r="A18" t="str">
            <v>95104</v>
          </cell>
          <cell r="B18" t="str">
            <v>GALLETA ESCANEADA (UND)</v>
          </cell>
          <cell r="C18" t="str">
            <v>UND</v>
          </cell>
          <cell r="D18" t="str">
            <v>UND</v>
          </cell>
          <cell r="E18">
            <v>74.196802467691271</v>
          </cell>
          <cell r="F18">
            <v>74.196802467691271</v>
          </cell>
          <cell r="G18">
            <v>9.6055885256837899E-3</v>
          </cell>
          <cell r="H18">
            <v>9.6055885256837899E-3</v>
          </cell>
          <cell r="I18">
            <v>30.465559362428621</v>
          </cell>
          <cell r="J18">
            <v>30.465559362428621</v>
          </cell>
        </row>
        <row r="19">
          <cell r="A19" t="str">
            <v>95105</v>
          </cell>
          <cell r="B19" t="str">
            <v>EMPAQUE RELLENO JAMON C/PETIT POIS (2000g)</v>
          </cell>
          <cell r="C19" t="str">
            <v>KILO</v>
          </cell>
          <cell r="D19" t="str">
            <v>GRAMO</v>
          </cell>
          <cell r="E19">
            <v>2345.896137785714</v>
          </cell>
          <cell r="F19">
            <v>2.3458961377857142</v>
          </cell>
          <cell r="G19">
            <v>40.402178888888884</v>
          </cell>
          <cell r="H19">
            <v>4.0402178888888883E-2</v>
          </cell>
          <cell r="I19">
            <v>560</v>
          </cell>
          <cell r="J19">
            <v>0.56000000000000005</v>
          </cell>
        </row>
        <row r="20">
          <cell r="A20" t="str">
            <v>95106</v>
          </cell>
          <cell r="B20" t="str">
            <v>RELLENO PEJIBAYE EMPACADO (2000g)</v>
          </cell>
          <cell r="C20" t="str">
            <v>KILO</v>
          </cell>
          <cell r="D20" t="str">
            <v>GRAMO</v>
          </cell>
          <cell r="E20">
            <v>3470.3377217307698</v>
          </cell>
          <cell r="F20">
            <v>3.4703377217307696</v>
          </cell>
          <cell r="G20">
            <v>6.3159331681681685</v>
          </cell>
          <cell r="H20">
            <v>6.3159331681681688E-3</v>
          </cell>
          <cell r="I20">
            <v>173.29729729729729</v>
          </cell>
          <cell r="J20">
            <v>0.17329729729729729</v>
          </cell>
        </row>
        <row r="21">
          <cell r="A21" t="str">
            <v>95107</v>
          </cell>
          <cell r="B21" t="str">
            <v>SOMBRERO PEJIBAYE PEQ (UND)</v>
          </cell>
          <cell r="C21" t="str">
            <v>UND</v>
          </cell>
          <cell r="D21" t="str">
            <v>UND</v>
          </cell>
          <cell r="E21">
            <v>119.45119486074059</v>
          </cell>
          <cell r="F21">
            <v>119.45119486074059</v>
          </cell>
          <cell r="G21">
            <v>0.66688817480409712</v>
          </cell>
          <cell r="H21">
            <v>0.66688817480409712</v>
          </cell>
          <cell r="I21">
            <v>35.30201818587868</v>
          </cell>
          <cell r="J21">
            <v>35.30201818587868</v>
          </cell>
        </row>
        <row r="22">
          <cell r="A22" t="str">
            <v>95108</v>
          </cell>
          <cell r="B22" t="str">
            <v>LENTEJAS COCIDAS (600g)</v>
          </cell>
          <cell r="C22" t="str">
            <v>KILO</v>
          </cell>
          <cell r="D22" t="str">
            <v>GRAMO</v>
          </cell>
          <cell r="E22">
            <v>666.50514499999986</v>
          </cell>
          <cell r="F22">
            <v>0.66650514499999991</v>
          </cell>
          <cell r="G22">
            <v>0</v>
          </cell>
          <cell r="H22">
            <v>0</v>
          </cell>
          <cell r="I22">
            <v>560</v>
          </cell>
          <cell r="J22">
            <v>0.56000000000000005</v>
          </cell>
        </row>
        <row r="23">
          <cell r="A23" t="str">
            <v>95110</v>
          </cell>
          <cell r="B23" t="str">
            <v>ADEREZO PESTO-ALBAHACA SPOON (10000g)</v>
          </cell>
          <cell r="C23" t="str">
            <v>KILO</v>
          </cell>
          <cell r="D23" t="str">
            <v>GRAMO</v>
          </cell>
          <cell r="E23">
            <v>2467.9194567499999</v>
          </cell>
          <cell r="F23">
            <v>2.4679194567499998</v>
          </cell>
          <cell r="G23">
            <v>1.5184587222651222</v>
          </cell>
          <cell r="H23">
            <v>1.5184587222651222E-3</v>
          </cell>
          <cell r="I23">
            <v>88.351351351351354</v>
          </cell>
          <cell r="J23">
            <v>8.8351351351351359E-2</v>
          </cell>
        </row>
        <row r="24">
          <cell r="A24" t="str">
            <v>95113</v>
          </cell>
          <cell r="B24" t="str">
            <v>ROSQUETE CHOCOLATE SPOON (530g)</v>
          </cell>
          <cell r="C24" t="str">
            <v>UND</v>
          </cell>
          <cell r="D24" t="str">
            <v>UND</v>
          </cell>
          <cell r="E24">
            <v>683.6534171611188</v>
          </cell>
          <cell r="F24">
            <v>683.6534171611188</v>
          </cell>
          <cell r="G24">
            <v>10.058780857638652</v>
          </cell>
          <cell r="H24">
            <v>10.058780857638652</v>
          </cell>
          <cell r="I24">
            <v>25.201607762170244</v>
          </cell>
          <cell r="J24">
            <v>25.201607762170244</v>
          </cell>
        </row>
        <row r="25">
          <cell r="A25" t="str">
            <v>95116</v>
          </cell>
          <cell r="B25" t="str">
            <v>MEZCLA P/CUATRO LECHES (2000g)</v>
          </cell>
          <cell r="C25" t="str">
            <v>KILO</v>
          </cell>
          <cell r="D25" t="str">
            <v>GRAMO</v>
          </cell>
          <cell r="E25">
            <v>970.90652724668178</v>
          </cell>
          <cell r="F25">
            <v>0.97090652724668181</v>
          </cell>
          <cell r="G25">
            <v>4.6256774435915551</v>
          </cell>
          <cell r="H25">
            <v>4.6256774435915549E-3</v>
          </cell>
          <cell r="I25">
            <v>70.847709087107518</v>
          </cell>
          <cell r="J25">
            <v>7.0847709087107524E-2</v>
          </cell>
        </row>
        <row r="26">
          <cell r="A26" t="str">
            <v>95149</v>
          </cell>
          <cell r="B26" t="str">
            <v>COCCION FRIJOLES MOLIDOS (14.450g)</v>
          </cell>
          <cell r="C26" t="str">
            <v>KILO</v>
          </cell>
          <cell r="D26" t="str">
            <v>GRAMO</v>
          </cell>
          <cell r="E26">
            <v>1225.7643839241489</v>
          </cell>
          <cell r="F26">
            <v>1.225764383924149</v>
          </cell>
          <cell r="G26">
            <v>2.686637232010189</v>
          </cell>
          <cell r="H26">
            <v>2.6866372320101888E-3</v>
          </cell>
          <cell r="I26">
            <v>97.290030425245874</v>
          </cell>
          <cell r="J26">
            <v>9.729003042524588E-2</v>
          </cell>
        </row>
        <row r="27">
          <cell r="A27" t="str">
            <v>95156</v>
          </cell>
          <cell r="B27" t="str">
            <v>CROUTONS (880g)</v>
          </cell>
          <cell r="C27" t="str">
            <v>KILO</v>
          </cell>
          <cell r="D27" t="str">
            <v>GRAMO</v>
          </cell>
          <cell r="E27">
            <v>4731.0572499999998</v>
          </cell>
          <cell r="F27">
            <v>4.7310572500000001</v>
          </cell>
          <cell r="G27">
            <v>0</v>
          </cell>
          <cell r="H27">
            <v>0</v>
          </cell>
          <cell r="I27">
            <v>550</v>
          </cell>
          <cell r="J27">
            <v>0.55000000000000004</v>
          </cell>
        </row>
        <row r="28">
          <cell r="A28" t="str">
            <v>95157</v>
          </cell>
          <cell r="B28" t="str">
            <v>COCCION CHAOMING (8750g)</v>
          </cell>
          <cell r="C28" t="str">
            <v>KILO</v>
          </cell>
          <cell r="D28" t="str">
            <v>GRAMO</v>
          </cell>
          <cell r="E28">
            <v>3307.9748571428568</v>
          </cell>
          <cell r="F28">
            <v>3.3079748571428569</v>
          </cell>
          <cell r="G28">
            <v>0</v>
          </cell>
          <cell r="H28">
            <v>0</v>
          </cell>
          <cell r="I28">
            <v>282.85714285714289</v>
          </cell>
          <cell r="J28">
            <v>0.28285714285714286</v>
          </cell>
        </row>
        <row r="29">
          <cell r="A29" t="str">
            <v>95167</v>
          </cell>
          <cell r="B29" t="str">
            <v>COCCION POLLO RECORTE (31600g)</v>
          </cell>
          <cell r="C29" t="str">
            <v>KILO</v>
          </cell>
          <cell r="D29" t="str">
            <v>GRAMO</v>
          </cell>
          <cell r="E29">
            <v>3244.1848639240507</v>
          </cell>
          <cell r="F29">
            <v>3.2441848639240507</v>
          </cell>
          <cell r="G29">
            <v>0</v>
          </cell>
          <cell r="H29">
            <v>0</v>
          </cell>
          <cell r="I29">
            <v>71.360759493670898</v>
          </cell>
          <cell r="J29">
            <v>7.1360759493670892E-2</v>
          </cell>
        </row>
        <row r="30">
          <cell r="A30" t="str">
            <v>95176</v>
          </cell>
          <cell r="B30" t="str">
            <v>ROSQUETE CHOCOLATE SPOON RECT (1200g)</v>
          </cell>
          <cell r="C30" t="str">
            <v>UND</v>
          </cell>
          <cell r="D30" t="str">
            <v>UND</v>
          </cell>
          <cell r="E30">
            <v>1496.6373347037395</v>
          </cell>
          <cell r="F30">
            <v>1496.6373347037395</v>
          </cell>
          <cell r="G30">
            <v>25.691514518346043</v>
          </cell>
          <cell r="H30">
            <v>25.691514518346043</v>
          </cell>
          <cell r="I30">
            <v>51.291275167785237</v>
          </cell>
          <cell r="J30">
            <v>51.291275167785237</v>
          </cell>
        </row>
        <row r="31">
          <cell r="A31" t="str">
            <v>95183</v>
          </cell>
          <cell r="B31" t="str">
            <v>ROSQUETE CHOCOLATE SPOON RECT (1500g)</v>
          </cell>
          <cell r="C31" t="str">
            <v>UND</v>
          </cell>
          <cell r="D31" t="str">
            <v>UND</v>
          </cell>
          <cell r="E31">
            <v>1943.6565082377754</v>
          </cell>
          <cell r="F31">
            <v>1943.6565082377754</v>
          </cell>
          <cell r="G31">
            <v>21.370011419239368</v>
          </cell>
          <cell r="H31">
            <v>21.370011419239368</v>
          </cell>
          <cell r="I31">
            <v>53.007094918504308</v>
          </cell>
          <cell r="J31">
            <v>53.007094918504308</v>
          </cell>
        </row>
        <row r="32">
          <cell r="A32" t="str">
            <v>95187</v>
          </cell>
          <cell r="B32" t="str">
            <v>ROSQUETE MELOCOTON RECT.PURATOS (1300g)</v>
          </cell>
          <cell r="C32" t="str">
            <v>UND</v>
          </cell>
          <cell r="D32" t="str">
            <v>UND</v>
          </cell>
          <cell r="E32">
            <v>1590.1842931379088</v>
          </cell>
          <cell r="F32">
            <v>1590.1842931379088</v>
          </cell>
          <cell r="G32">
            <v>24.830699493135057</v>
          </cell>
          <cell r="H32">
            <v>24.830699493135057</v>
          </cell>
          <cell r="I32">
            <v>60.604335884602811</v>
          </cell>
          <cell r="J32">
            <v>60.604335884602811</v>
          </cell>
        </row>
        <row r="33">
          <cell r="A33" t="str">
            <v>95189</v>
          </cell>
          <cell r="B33" t="str">
            <v>ROSQUETE CHOCOLATE SPOON RECT (2500g)</v>
          </cell>
          <cell r="C33" t="str">
            <v>UND</v>
          </cell>
          <cell r="D33" t="str">
            <v>UND</v>
          </cell>
          <cell r="E33">
            <v>3092.0935811590193</v>
          </cell>
          <cell r="F33">
            <v>3092.0935811590193</v>
          </cell>
          <cell r="G33">
            <v>31.741932866544996</v>
          </cell>
          <cell r="H33">
            <v>31.741932866544996</v>
          </cell>
          <cell r="I33">
            <v>78.296009667028514</v>
          </cell>
          <cell r="J33">
            <v>78.296009667028514</v>
          </cell>
        </row>
        <row r="34">
          <cell r="A34" t="str">
            <v>95202</v>
          </cell>
          <cell r="B34" t="str">
            <v>ROSQUETE YOGURT MINI 250g</v>
          </cell>
          <cell r="C34" t="str">
            <v>UND</v>
          </cell>
          <cell r="D34" t="str">
            <v>UND</v>
          </cell>
          <cell r="E34">
            <v>358.74181159635668</v>
          </cell>
          <cell r="F34">
            <v>358.74181159635668</v>
          </cell>
          <cell r="G34">
            <v>0.84393350665814415</v>
          </cell>
          <cell r="H34">
            <v>0.84393350665814415</v>
          </cell>
          <cell r="I34">
            <v>30.948545861297539</v>
          </cell>
          <cell r="J34">
            <v>30.948545861297539</v>
          </cell>
        </row>
        <row r="35">
          <cell r="A35" t="str">
            <v>95211</v>
          </cell>
          <cell r="B35" t="str">
            <v>PASTA GALLETA DE LUNA (20 Kg)</v>
          </cell>
          <cell r="C35" t="str">
            <v>Kilo</v>
          </cell>
          <cell r="D35" t="str">
            <v>Gramo</v>
          </cell>
          <cell r="E35">
            <v>1113.9966444499998</v>
          </cell>
          <cell r="F35">
            <v>1.1139966444499998</v>
          </cell>
          <cell r="G35">
            <v>13.720065523809527</v>
          </cell>
          <cell r="H35">
            <v>1.3720065523809527E-2</v>
          </cell>
          <cell r="I35">
            <v>50.875</v>
          </cell>
          <cell r="J35">
            <v>5.0874999999999997E-2</v>
          </cell>
        </row>
        <row r="36">
          <cell r="A36" t="str">
            <v>95212</v>
          </cell>
          <cell r="B36" t="str">
            <v>PASTA VAINILLA P/GALLETA FIGURA (9100g)</v>
          </cell>
          <cell r="C36" t="str">
            <v>KILO</v>
          </cell>
          <cell r="D36" t="str">
            <v>GRAMO</v>
          </cell>
          <cell r="E36">
            <v>2120.5222677290203</v>
          </cell>
          <cell r="F36">
            <v>2.1205222677290205</v>
          </cell>
          <cell r="G36">
            <v>10.596546310832027</v>
          </cell>
          <cell r="H36">
            <v>1.0596546310832027E-2</v>
          </cell>
          <cell r="I36">
            <v>133.09284607530222</v>
          </cell>
          <cell r="J36">
            <v>0.13309284607530222</v>
          </cell>
        </row>
        <row r="37">
          <cell r="A37" t="str">
            <v>95214</v>
          </cell>
          <cell r="B37" t="str">
            <v>RELLENO P/TORTA CHOCOFRESA (23500g)</v>
          </cell>
          <cell r="C37" t="str">
            <v>KILO</v>
          </cell>
          <cell r="D37" t="str">
            <v>GRAMO</v>
          </cell>
          <cell r="E37">
            <v>1872.9511215744681</v>
          </cell>
          <cell r="F37">
            <v>1.8729511215744681</v>
          </cell>
          <cell r="G37">
            <v>5.335342806484296</v>
          </cell>
          <cell r="H37">
            <v>5.3353428064842959E-3</v>
          </cell>
          <cell r="I37">
            <v>42.127659574468083</v>
          </cell>
          <cell r="J37">
            <v>4.2127659574468082E-2</v>
          </cell>
        </row>
        <row r="38">
          <cell r="A38" t="str">
            <v>95218</v>
          </cell>
          <cell r="B38" t="str">
            <v>GALLETA P/ ALFAJOR PEQUEÑO (UND)</v>
          </cell>
          <cell r="C38" t="str">
            <v>UND</v>
          </cell>
          <cell r="D38" t="str">
            <v>UND</v>
          </cell>
          <cell r="E38">
            <v>9.3388131113481965</v>
          </cell>
          <cell r="F38">
            <v>9.3388131113481965</v>
          </cell>
          <cell r="G38">
            <v>0</v>
          </cell>
          <cell r="H38">
            <v>0</v>
          </cell>
          <cell r="I38">
            <v>4.1694385216773275</v>
          </cell>
          <cell r="J38">
            <v>4.1694385216773275</v>
          </cell>
        </row>
        <row r="39">
          <cell r="A39" t="str">
            <v>95219</v>
          </cell>
          <cell r="B39" t="str">
            <v>PASTA CROISSANT (9460g)</v>
          </cell>
          <cell r="C39" t="str">
            <v>KILO</v>
          </cell>
          <cell r="D39" t="str">
            <v>GRAMO</v>
          </cell>
          <cell r="E39">
            <v>1010.9775121975808</v>
          </cell>
          <cell r="F39">
            <v>1.0109775121975808</v>
          </cell>
          <cell r="G39">
            <v>3.2625391385048648</v>
          </cell>
          <cell r="H39">
            <v>3.2625391385048648E-3</v>
          </cell>
          <cell r="I39">
            <v>94.254032258064512</v>
          </cell>
          <cell r="J39">
            <v>9.4254032258064516E-2</v>
          </cell>
        </row>
        <row r="40">
          <cell r="A40" t="str">
            <v>95227</v>
          </cell>
          <cell r="B40" t="str">
            <v>EMPANADA DE POLLO GRANDE (UND)</v>
          </cell>
          <cell r="C40" t="str">
            <v>UND</v>
          </cell>
          <cell r="D40" t="str">
            <v>UND</v>
          </cell>
          <cell r="E40">
            <v>151.65326877623079</v>
          </cell>
          <cell r="F40">
            <v>151.65326877623079</v>
          </cell>
          <cell r="G40">
            <v>0.54627869180329502</v>
          </cell>
          <cell r="H40">
            <v>0.54627869180329502</v>
          </cell>
          <cell r="I40">
            <v>33.70166083016521</v>
          </cell>
          <cell r="J40">
            <v>33.70166083016521</v>
          </cell>
        </row>
        <row r="41">
          <cell r="A41" t="str">
            <v>95241</v>
          </cell>
          <cell r="B41" t="str">
            <v>COSTILLAS SIN RELLENO (UND)</v>
          </cell>
          <cell r="C41" t="str">
            <v>UND</v>
          </cell>
          <cell r="D41" t="str">
            <v>UND</v>
          </cell>
          <cell r="E41">
            <v>19.567969144266296</v>
          </cell>
          <cell r="F41">
            <v>19.567969144266296</v>
          </cell>
          <cell r="G41">
            <v>0.1047391636438969</v>
          </cell>
          <cell r="H41">
            <v>0.1047391636438969</v>
          </cell>
          <cell r="I41">
            <v>8.4185917284465823</v>
          </cell>
          <cell r="J41">
            <v>8.4185917284465823</v>
          </cell>
        </row>
        <row r="42">
          <cell r="A42" t="str">
            <v>95250</v>
          </cell>
          <cell r="B42" t="str">
            <v>ROSQUETE P/ARROLLADO (1200g)</v>
          </cell>
          <cell r="C42" t="str">
            <v>UND</v>
          </cell>
          <cell r="D42" t="str">
            <v>UND</v>
          </cell>
          <cell r="E42">
            <v>1297.2533308306129</v>
          </cell>
          <cell r="F42">
            <v>1297.2533308306129</v>
          </cell>
          <cell r="G42">
            <v>70.788359435540642</v>
          </cell>
          <cell r="H42">
            <v>70.788359435540642</v>
          </cell>
          <cell r="I42">
            <v>158.6154586129754</v>
          </cell>
          <cell r="J42">
            <v>158.6154586129754</v>
          </cell>
        </row>
        <row r="43">
          <cell r="A43" t="str">
            <v>95256</v>
          </cell>
          <cell r="B43" t="str">
            <v>PLANCHA COCADAS (4300g)</v>
          </cell>
          <cell r="C43" t="str">
            <v>UND</v>
          </cell>
          <cell r="D43" t="str">
            <v>UND</v>
          </cell>
          <cell r="E43">
            <v>7933.5487464300013</v>
          </cell>
          <cell r="F43">
            <v>7933.5487464300013</v>
          </cell>
          <cell r="G43">
            <v>28.963056999999999</v>
          </cell>
          <cell r="H43">
            <v>28.963056999999999</v>
          </cell>
          <cell r="I43">
            <v>165</v>
          </cell>
          <cell r="J43">
            <v>165</v>
          </cell>
        </row>
        <row r="44">
          <cell r="A44" t="str">
            <v>95267</v>
          </cell>
          <cell r="B44" t="str">
            <v>COCCION FIDEO THAI (660g)</v>
          </cell>
          <cell r="C44" t="str">
            <v>KILO</v>
          </cell>
          <cell r="D44" t="str">
            <v>GRAMO</v>
          </cell>
          <cell r="E44">
            <v>2022.7958909090908</v>
          </cell>
          <cell r="F44">
            <v>2.0227958909090908</v>
          </cell>
          <cell r="G44">
            <v>0</v>
          </cell>
          <cell r="H44">
            <v>0</v>
          </cell>
          <cell r="I44">
            <v>250</v>
          </cell>
          <cell r="J44">
            <v>0.25</v>
          </cell>
        </row>
        <row r="45">
          <cell r="A45" t="str">
            <v>95289</v>
          </cell>
          <cell r="B45" t="str">
            <v>COCCION ARROZ BLANCO (12680g)</v>
          </cell>
          <cell r="C45" t="str">
            <v>KILO</v>
          </cell>
          <cell r="D45" t="str">
            <v>GRAMO</v>
          </cell>
          <cell r="E45">
            <v>509.90339415287065</v>
          </cell>
          <cell r="F45">
            <v>0.50990339415287067</v>
          </cell>
          <cell r="G45">
            <v>19.238843783022187</v>
          </cell>
          <cell r="H45">
            <v>1.9238843783022187E-2</v>
          </cell>
          <cell r="I45">
            <v>38.746037337090527</v>
          </cell>
          <cell r="J45">
            <v>3.8746037337090526E-2</v>
          </cell>
        </row>
        <row r="46">
          <cell r="A46" t="str">
            <v>95290</v>
          </cell>
          <cell r="B46" t="str">
            <v>COCCION ARROZ CON POLLO (20800g)</v>
          </cell>
          <cell r="C46" t="str">
            <v>KILO</v>
          </cell>
          <cell r="D46" t="str">
            <v>GRAMO</v>
          </cell>
          <cell r="E46">
            <v>1753.4719664914771</v>
          </cell>
          <cell r="F46">
            <v>1.7534719664914771</v>
          </cell>
          <cell r="G46">
            <v>14.051182974025975</v>
          </cell>
          <cell r="H46">
            <v>1.4051182974025975E-2</v>
          </cell>
          <cell r="I46">
            <v>83.890625</v>
          </cell>
          <cell r="J46">
            <v>8.3890624999999996E-2</v>
          </cell>
        </row>
        <row r="47">
          <cell r="A47" t="str">
            <v>95291</v>
          </cell>
          <cell r="B47" t="str">
            <v>COCCION ARROZ PRECOCIDO P/GALLO PINTO (13830g)</v>
          </cell>
          <cell r="C47" t="str">
            <v>KILO</v>
          </cell>
          <cell r="D47" t="str">
            <v>GRAMO</v>
          </cell>
          <cell r="E47">
            <v>684.79922046276204</v>
          </cell>
          <cell r="F47">
            <v>0.68479922046276198</v>
          </cell>
          <cell r="G47">
            <v>8.0169969631236455</v>
          </cell>
          <cell r="H47">
            <v>8.0169969631236453E-3</v>
          </cell>
          <cell r="I47">
            <v>60.737527114967456</v>
          </cell>
          <cell r="J47">
            <v>6.0737527114967459E-2</v>
          </cell>
        </row>
        <row r="48">
          <cell r="A48" t="str">
            <v>95292</v>
          </cell>
          <cell r="B48" t="str">
            <v>ADEREZO CESAR (1850g)</v>
          </cell>
          <cell r="C48" t="str">
            <v>KILO</v>
          </cell>
          <cell r="D48" t="str">
            <v>GRAMO</v>
          </cell>
          <cell r="E48">
            <v>2949.6608915924162</v>
          </cell>
          <cell r="F48">
            <v>2.9496608915924161</v>
          </cell>
          <cell r="G48">
            <v>0.1303708382200382</v>
          </cell>
          <cell r="H48">
            <v>1.3037083822003821E-4</v>
          </cell>
          <cell r="I48">
            <v>178.08059338927262</v>
          </cell>
          <cell r="J48">
            <v>0.17808059338927262</v>
          </cell>
        </row>
        <row r="49">
          <cell r="A49" t="str">
            <v>95296</v>
          </cell>
          <cell r="B49" t="str">
            <v>ADEREZO THAI (4332g)</v>
          </cell>
          <cell r="C49" t="str">
            <v>KILO</v>
          </cell>
          <cell r="D49" t="str">
            <v>GRAMO</v>
          </cell>
          <cell r="E49">
            <v>2694.1769570637116</v>
          </cell>
          <cell r="F49">
            <v>2.6941769570637115</v>
          </cell>
          <cell r="G49">
            <v>0</v>
          </cell>
          <cell r="H49">
            <v>0</v>
          </cell>
          <cell r="I49">
            <v>103.41643582640812</v>
          </cell>
          <cell r="J49">
            <v>0.10341643582640812</v>
          </cell>
        </row>
        <row r="50">
          <cell r="A50" t="str">
            <v>95298</v>
          </cell>
          <cell r="B50" t="str">
            <v>COCCION FRIJOLES ARREGLADOS C/CALDO (3100g)</v>
          </cell>
          <cell r="C50" t="str">
            <v>KILO</v>
          </cell>
          <cell r="D50" t="str">
            <v>GRAMO</v>
          </cell>
          <cell r="E50">
            <v>647.65550580645174</v>
          </cell>
          <cell r="F50">
            <v>0.6476555058064517</v>
          </cell>
          <cell r="G50">
            <v>12.197808870967741</v>
          </cell>
          <cell r="H50">
            <v>1.2197808870967742E-2</v>
          </cell>
          <cell r="I50">
            <v>88.709677419354847</v>
          </cell>
          <cell r="J50">
            <v>8.8709677419354843E-2</v>
          </cell>
        </row>
        <row r="51">
          <cell r="A51" t="str">
            <v>95299</v>
          </cell>
          <cell r="B51" t="str">
            <v>COCCION FRIJOLES P/GALLO PINTO (19820g)</v>
          </cell>
          <cell r="C51" t="str">
            <v>KILO</v>
          </cell>
          <cell r="D51" t="str">
            <v>GRAMO</v>
          </cell>
          <cell r="E51">
            <v>569.29152371342082</v>
          </cell>
          <cell r="F51">
            <v>0.56929152371342084</v>
          </cell>
          <cell r="G51">
            <v>3.8406655398587279</v>
          </cell>
          <cell r="H51">
            <v>3.8406655398587281E-3</v>
          </cell>
          <cell r="I51">
            <v>28.254288597376387</v>
          </cell>
          <cell r="J51">
            <v>2.8254288597376387E-2</v>
          </cell>
        </row>
        <row r="52">
          <cell r="A52" t="str">
            <v>95301</v>
          </cell>
          <cell r="B52" t="str">
            <v>MEZCLA GALLO PINTO SPOON (28900g)</v>
          </cell>
          <cell r="C52" t="str">
            <v>KILO</v>
          </cell>
          <cell r="D52" t="str">
            <v>GRAMO</v>
          </cell>
          <cell r="E52">
            <v>1082.8636379845727</v>
          </cell>
          <cell r="F52">
            <v>1.0828636379845726</v>
          </cell>
          <cell r="G52">
            <v>18.813585167644479</v>
          </cell>
          <cell r="H52">
            <v>1.8813585167644479E-2</v>
          </cell>
          <cell r="I52">
            <v>131.96794124853756</v>
          </cell>
          <cell r="J52">
            <v>0.13196794124853756</v>
          </cell>
        </row>
        <row r="53">
          <cell r="A53" t="str">
            <v>95307</v>
          </cell>
          <cell r="B53" t="str">
            <v>COCCION POLLO DESMENUZADO MARMITA (32000g)</v>
          </cell>
          <cell r="C53" t="str">
            <v>KILO</v>
          </cell>
          <cell r="D53" t="str">
            <v>GRAMO</v>
          </cell>
          <cell r="E53">
            <v>3656.2497406250004</v>
          </cell>
          <cell r="F53">
            <v>3.6562497406250003</v>
          </cell>
          <cell r="G53">
            <v>0</v>
          </cell>
          <cell r="H53">
            <v>0</v>
          </cell>
          <cell r="I53">
            <v>154.6875</v>
          </cell>
          <cell r="J53">
            <v>0.15468750000000001</v>
          </cell>
        </row>
        <row r="54">
          <cell r="A54" t="str">
            <v>95308</v>
          </cell>
          <cell r="B54" t="str">
            <v>COCCION PALMITO PICADO (9100g)</v>
          </cell>
          <cell r="C54" t="str">
            <v>KILO</v>
          </cell>
          <cell r="D54" t="str">
            <v>GRAMO</v>
          </cell>
          <cell r="E54">
            <v>2396.9071813186811</v>
          </cell>
          <cell r="F54">
            <v>2.3969071813186811</v>
          </cell>
          <cell r="G54">
            <v>46.169972527472524</v>
          </cell>
          <cell r="H54">
            <v>4.6169972527472521E-2</v>
          </cell>
          <cell r="I54">
            <v>60.439560439560438</v>
          </cell>
          <cell r="J54">
            <v>6.043956043956044E-2</v>
          </cell>
        </row>
        <row r="55">
          <cell r="A55" t="str">
            <v>95318</v>
          </cell>
          <cell r="B55" t="str">
            <v>SALSA ESPINACA Y ALBAHACA (10 Kg)</v>
          </cell>
          <cell r="C55" t="str">
            <v>KILO</v>
          </cell>
          <cell r="D55" t="str">
            <v>GRAMO</v>
          </cell>
          <cell r="E55">
            <v>2783.2200599999996</v>
          </cell>
          <cell r="F55">
            <v>2.7832200599999997</v>
          </cell>
          <cell r="G55">
            <v>0.50049999999999983</v>
          </cell>
          <cell r="H55">
            <v>5.0049999999999986E-4</v>
          </cell>
          <cell r="I55">
            <v>140</v>
          </cell>
          <cell r="J55">
            <v>0.14000000000000001</v>
          </cell>
        </row>
        <row r="56">
          <cell r="A56" t="str">
            <v>95320</v>
          </cell>
          <cell r="B56" t="str">
            <v>SALSA ARREGLADO (3780g)</v>
          </cell>
          <cell r="C56" t="str">
            <v>KILO</v>
          </cell>
          <cell r="D56" t="str">
            <v>GRAMO</v>
          </cell>
          <cell r="E56">
            <v>906.01051455026459</v>
          </cell>
          <cell r="F56">
            <v>0.9060105145502646</v>
          </cell>
          <cell r="G56">
            <v>12.618432539682539</v>
          </cell>
          <cell r="H56">
            <v>1.2618432539682539E-2</v>
          </cell>
          <cell r="I56">
            <v>72.751322751322746</v>
          </cell>
          <cell r="J56">
            <v>7.2751322751322747E-2</v>
          </cell>
        </row>
        <row r="57">
          <cell r="A57" t="str">
            <v>95328</v>
          </cell>
          <cell r="B57" t="str">
            <v>CORTE GALLETAS MEDIA LUNA (UND)</v>
          </cell>
          <cell r="C57" t="str">
            <v>UND</v>
          </cell>
          <cell r="D57" t="str">
            <v>UND</v>
          </cell>
          <cell r="E57">
            <v>4.8172827868108099</v>
          </cell>
          <cell r="F57">
            <v>4.8172827868108099</v>
          </cell>
          <cell r="G57">
            <v>5.9330013075933087E-2</v>
          </cell>
          <cell r="H57">
            <v>5.9330013075933087E-2</v>
          </cell>
          <cell r="I57">
            <v>1.2902702702702702</v>
          </cell>
          <cell r="J57">
            <v>1.2902702702702702</v>
          </cell>
        </row>
        <row r="58">
          <cell r="A58" t="str">
            <v>95330</v>
          </cell>
          <cell r="B58" t="str">
            <v>SUSPIRO PEQUEÑO 45g (UND)</v>
          </cell>
          <cell r="C58" t="str">
            <v>UND</v>
          </cell>
          <cell r="D58" t="str">
            <v>UND</v>
          </cell>
          <cell r="E58">
            <v>100.81477696572391</v>
          </cell>
          <cell r="F58">
            <v>100.81477696572391</v>
          </cell>
          <cell r="G58">
            <v>2.9908003519121009</v>
          </cell>
          <cell r="H58">
            <v>2.9908003519121009</v>
          </cell>
          <cell r="I58">
            <v>18.392742409227967</v>
          </cell>
          <cell r="J58">
            <v>18.392742409227967</v>
          </cell>
        </row>
        <row r="59">
          <cell r="A59" t="str">
            <v>95355</v>
          </cell>
          <cell r="B59" t="str">
            <v>ROSQUETE TRES LECHES CAMPERO (750g)</v>
          </cell>
          <cell r="C59" t="str">
            <v>Und</v>
          </cell>
          <cell r="D59" t="str">
            <v>Und</v>
          </cell>
          <cell r="E59">
            <v>767.32043160682326</v>
          </cell>
          <cell r="F59">
            <v>767.32043160682326</v>
          </cell>
          <cell r="G59">
            <v>7.0299872128901688</v>
          </cell>
          <cell r="H59">
            <v>7.0299872128901688</v>
          </cell>
          <cell r="I59">
            <v>47.41185682326622</v>
          </cell>
          <cell r="J59">
            <v>47.41185682326622</v>
          </cell>
        </row>
        <row r="60">
          <cell r="A60" t="str">
            <v>95357</v>
          </cell>
          <cell r="B60" t="str">
            <v>ROSQUETE P/TRES LECHES (230g)</v>
          </cell>
          <cell r="C60" t="str">
            <v>UND</v>
          </cell>
          <cell r="D60" t="str">
            <v>UND</v>
          </cell>
          <cell r="E60">
            <v>232.32987603822951</v>
          </cell>
          <cell r="F60">
            <v>232.32987603822951</v>
          </cell>
          <cell r="G60">
            <v>0.89962719305584204</v>
          </cell>
          <cell r="H60">
            <v>0.89962719305584204</v>
          </cell>
          <cell r="I60">
            <v>21.708266077648457</v>
          </cell>
          <cell r="J60">
            <v>21.708266077648457</v>
          </cell>
        </row>
        <row r="61">
          <cell r="A61" t="str">
            <v>95361</v>
          </cell>
          <cell r="B61" t="str">
            <v>BASE PREMEZCLA P/BROWNIE (4.9 Kg)</v>
          </cell>
          <cell r="C61" t="str">
            <v>TANDA</v>
          </cell>
          <cell r="D61" t="str">
            <v>GRAMO</v>
          </cell>
          <cell r="E61">
            <v>4703.7801359999994</v>
          </cell>
          <cell r="F61">
            <v>0.9875666882217089</v>
          </cell>
          <cell r="G61">
            <v>64.769083809523821</v>
          </cell>
          <cell r="H61">
            <v>1.3598379972606304E-2</v>
          </cell>
          <cell r="I61">
            <v>137.5</v>
          </cell>
          <cell r="J61">
            <v>2.8868360277136258E-2</v>
          </cell>
        </row>
        <row r="62">
          <cell r="A62" t="str">
            <v>95362</v>
          </cell>
          <cell r="B62" t="str">
            <v>BASE PREMEZCLA ARROLLADO SPOON (1.498g)</v>
          </cell>
          <cell r="C62" t="str">
            <v>TANDA</v>
          </cell>
          <cell r="D62" t="str">
            <v>GRAMO</v>
          </cell>
          <cell r="E62">
            <v>601.8134419999999</v>
          </cell>
          <cell r="F62">
            <v>0.60181344199999987</v>
          </cell>
          <cell r="G62">
            <v>27.00001</v>
          </cell>
          <cell r="H62">
            <v>2.7000009999999998E-2</v>
          </cell>
          <cell r="I62">
            <v>55</v>
          </cell>
          <cell r="J62">
            <v>5.5E-2</v>
          </cell>
        </row>
        <row r="63">
          <cell r="A63" t="str">
            <v>95364</v>
          </cell>
          <cell r="B63" t="str">
            <v>BASE PREMEZCLA P/ROSQUETE TRES LECHES (9636g)</v>
          </cell>
          <cell r="C63" t="str">
            <v>TANDA</v>
          </cell>
          <cell r="D63" t="str">
            <v>GRAMO</v>
          </cell>
          <cell r="E63">
            <v>5709.5266739999988</v>
          </cell>
          <cell r="F63">
            <v>0.59252041033623903</v>
          </cell>
          <cell r="G63">
            <v>64.73816761904763</v>
          </cell>
          <cell r="H63">
            <v>6.7183652572693677E-3</v>
          </cell>
          <cell r="I63">
            <v>110</v>
          </cell>
          <cell r="J63">
            <v>1.1415525114155251E-2</v>
          </cell>
        </row>
        <row r="64">
          <cell r="A64" t="str">
            <v>95368</v>
          </cell>
          <cell r="B64" t="str">
            <v>BASE PREMEZCLA ROSQUETE KALUA (4488g)</v>
          </cell>
          <cell r="C64" t="str">
            <v>TANDA</v>
          </cell>
          <cell r="D64" t="str">
            <v>GRAMO</v>
          </cell>
          <cell r="E64">
            <v>13725.715515</v>
          </cell>
          <cell r="F64">
            <v>3.0583145086898393</v>
          </cell>
          <cell r="G64">
            <v>51.520357777777782</v>
          </cell>
          <cell r="H64">
            <v>1.1479580610021788E-2</v>
          </cell>
          <cell r="I64">
            <v>224</v>
          </cell>
          <cell r="J64">
            <v>4.9910873440285206E-2</v>
          </cell>
        </row>
        <row r="65">
          <cell r="A65" t="str">
            <v>95373</v>
          </cell>
          <cell r="B65" t="str">
            <v>BASE PREMEZCLA PASTA FIGURA VAINILLA (9234g)</v>
          </cell>
          <cell r="C65" t="str">
            <v>TANDA</v>
          </cell>
          <cell r="D65" t="str">
            <v>GRAMO</v>
          </cell>
          <cell r="E65">
            <v>15091.605450999999</v>
          </cell>
          <cell r="F65">
            <v>1.6343519006930907</v>
          </cell>
          <cell r="G65">
            <v>43.385354920634924</v>
          </cell>
          <cell r="H65">
            <v>4.6984356639197446E-3</v>
          </cell>
          <cell r="I65">
            <v>168</v>
          </cell>
          <cell r="J65">
            <v>1.8193632228719947E-2</v>
          </cell>
        </row>
        <row r="66">
          <cell r="A66" t="str">
            <v>95374</v>
          </cell>
          <cell r="B66" t="str">
            <v>BASE PREMEZCLA PALITOS QUESO SPOON (4780g)</v>
          </cell>
          <cell r="C66" t="str">
            <v>TANDA</v>
          </cell>
          <cell r="D66" t="str">
            <v>GRAMO</v>
          </cell>
          <cell r="E66">
            <v>4768.5162400000008</v>
          </cell>
          <cell r="F66">
            <v>0.99759753974895415</v>
          </cell>
          <cell r="G66">
            <v>22.268273333333333</v>
          </cell>
          <cell r="H66">
            <v>4.6586345885634584E-3</v>
          </cell>
          <cell r="I66">
            <v>168</v>
          </cell>
          <cell r="J66">
            <v>3.5146443514644354E-2</v>
          </cell>
        </row>
        <row r="67">
          <cell r="A67" t="str">
            <v>95376</v>
          </cell>
          <cell r="B67" t="str">
            <v>BASE PREMEZCLA CANASTA/TARTALETA (6307g)</v>
          </cell>
          <cell r="C67" t="str">
            <v>TANDA</v>
          </cell>
          <cell r="D67" t="str">
            <v>GRAMO</v>
          </cell>
          <cell r="E67">
            <v>8572.8293130000002</v>
          </cell>
          <cell r="F67">
            <v>1.3592562728714128</v>
          </cell>
          <cell r="G67">
            <v>32.365582698412702</v>
          </cell>
          <cell r="H67">
            <v>5.1316921988921356E-3</v>
          </cell>
          <cell r="I67">
            <v>82.5</v>
          </cell>
          <cell r="J67">
            <v>1.308070397970509E-2</v>
          </cell>
        </row>
        <row r="68">
          <cell r="A68" t="str">
            <v>95381</v>
          </cell>
          <cell r="B68" t="str">
            <v>BASE PREMEZCLA P/GALLETAS CHOCO BLANCO (7839g)</v>
          </cell>
          <cell r="C68" t="str">
            <v>TANDA</v>
          </cell>
          <cell r="D68" t="str">
            <v>GRAMO</v>
          </cell>
          <cell r="E68">
            <v>7288.0499508051289</v>
          </cell>
          <cell r="F68">
            <v>0.92971679433666654</v>
          </cell>
          <cell r="G68">
            <v>21.822757777777777</v>
          </cell>
          <cell r="H68">
            <v>2.7838701081487152E-3</v>
          </cell>
          <cell r="I68">
            <v>280</v>
          </cell>
          <cell r="J68">
            <v>3.5718841688990942E-2</v>
          </cell>
        </row>
        <row r="69">
          <cell r="A69" t="str">
            <v>95386</v>
          </cell>
          <cell r="B69" t="str">
            <v>BASE PREMEZCLA GALLETAS MEDIA LUNA (18320g)</v>
          </cell>
          <cell r="C69" t="str">
            <v>TANDA</v>
          </cell>
          <cell r="D69" t="str">
            <v>Gramo</v>
          </cell>
          <cell r="E69">
            <v>18952.719329999996</v>
          </cell>
          <cell r="F69">
            <v>1.0345370813318775</v>
          </cell>
          <cell r="G69">
            <v>75.538167619047627</v>
          </cell>
          <cell r="H69">
            <v>4.1232624246205036E-3</v>
          </cell>
          <cell r="I69">
            <v>192.5</v>
          </cell>
          <cell r="J69">
            <v>1.050764192139738E-2</v>
          </cell>
        </row>
        <row r="70">
          <cell r="A70" t="str">
            <v>95387</v>
          </cell>
          <cell r="B70" t="str">
            <v>BASE PREMEZCLA PASTA CROISSANTS (7368g)</v>
          </cell>
          <cell r="C70" t="str">
            <v>TANDA</v>
          </cell>
          <cell r="D70" t="str">
            <v>GRAMO</v>
          </cell>
          <cell r="E70">
            <v>8617.5619360000019</v>
          </cell>
          <cell r="F70">
            <v>1.1695930966340937</v>
          </cell>
          <cell r="G70">
            <v>32.364388253968258</v>
          </cell>
          <cell r="H70">
            <v>4.392560837943575E-3</v>
          </cell>
          <cell r="I70">
            <v>110</v>
          </cell>
          <cell r="J70">
            <v>1.4929424538545059E-2</v>
          </cell>
        </row>
        <row r="71">
          <cell r="A71" t="str">
            <v>95389</v>
          </cell>
          <cell r="B71" t="str">
            <v>PASTA PALITOS QUESO BUCCA (7900g)</v>
          </cell>
          <cell r="C71" t="str">
            <v>KILO</v>
          </cell>
          <cell r="D71" t="str">
            <v>GRAMO</v>
          </cell>
          <cell r="E71">
            <v>3149.363518734177</v>
          </cell>
          <cell r="F71">
            <v>3.1493635187341771</v>
          </cell>
          <cell r="G71">
            <v>3.1325364275668068</v>
          </cell>
          <cell r="H71">
            <v>3.132536427566807E-3</v>
          </cell>
          <cell r="I71">
            <v>106.32911392405063</v>
          </cell>
          <cell r="J71">
            <v>0.10632911392405063</v>
          </cell>
        </row>
        <row r="72">
          <cell r="A72" t="str">
            <v>95453</v>
          </cell>
          <cell r="B72" t="str">
            <v>COCCION SALSA BLANCA SPOON (59450g)</v>
          </cell>
          <cell r="C72" t="str">
            <v>KILO</v>
          </cell>
          <cell r="D72" t="str">
            <v>GRAMO</v>
          </cell>
          <cell r="E72">
            <v>1571.1600631712397</v>
          </cell>
          <cell r="F72">
            <v>1.5711600631712397</v>
          </cell>
          <cell r="G72">
            <v>0</v>
          </cell>
          <cell r="H72">
            <v>0</v>
          </cell>
          <cell r="I72">
            <v>17.929910350448246</v>
          </cell>
          <cell r="J72">
            <v>1.7929910350448247E-2</v>
          </cell>
        </row>
        <row r="73">
          <cell r="A73" t="str">
            <v>95456</v>
          </cell>
          <cell r="B73" t="str">
            <v>RELLENO QUESO P/CHESSE CAKE LIMON IND (9040g)</v>
          </cell>
          <cell r="C73" t="str">
            <v>KILO</v>
          </cell>
          <cell r="D73" t="str">
            <v>GRAMO</v>
          </cell>
          <cell r="E73">
            <v>1906.379476806102</v>
          </cell>
          <cell r="F73">
            <v>1.906379476806102</v>
          </cell>
          <cell r="G73">
            <v>4.8684593023255807E-3</v>
          </cell>
          <cell r="H73">
            <v>4.8684593023255809E-6</v>
          </cell>
          <cell r="I73">
            <v>103.36444046909165</v>
          </cell>
          <cell r="J73">
            <v>0.10336444046909164</v>
          </cell>
        </row>
        <row r="74">
          <cell r="A74" t="str">
            <v>95460</v>
          </cell>
          <cell r="B74" t="str">
            <v>EMPAQUE CARNE MECHADA (1000g)</v>
          </cell>
          <cell r="C74" t="str">
            <v>KILO</v>
          </cell>
          <cell r="D74" t="str">
            <v>GRAMO</v>
          </cell>
          <cell r="E74">
            <v>6309.2999666666665</v>
          </cell>
          <cell r="F74">
            <v>6.309299966666666</v>
          </cell>
          <cell r="G74">
            <v>44.379882456140351</v>
          </cell>
          <cell r="H74">
            <v>4.437988245614035E-2</v>
          </cell>
          <cell r="I74">
            <v>221.36695906432749</v>
          </cell>
          <cell r="J74">
            <v>0.22136695906432749</v>
          </cell>
        </row>
        <row r="75">
          <cell r="A75" t="str">
            <v>95464</v>
          </cell>
          <cell r="B75" t="str">
            <v>FRIJOLES TIERNOS P/CHIFRIJO (12.900g)</v>
          </cell>
          <cell r="C75" t="str">
            <v>KILO</v>
          </cell>
          <cell r="D75" t="str">
            <v>GRAMO</v>
          </cell>
          <cell r="E75">
            <v>2590.2078588744589</v>
          </cell>
          <cell r="F75">
            <v>2.590207858874459</v>
          </cell>
          <cell r="G75">
            <v>19.771527272727273</v>
          </cell>
          <cell r="H75">
            <v>1.9771527272727272E-2</v>
          </cell>
          <cell r="I75">
            <v>190.47619047619045</v>
          </cell>
          <cell r="J75">
            <v>0.19047619047619047</v>
          </cell>
        </row>
        <row r="76">
          <cell r="A76" t="str">
            <v>95469</v>
          </cell>
          <cell r="B76" t="str">
            <v>PALITOS QUESO SPOON (7280g)</v>
          </cell>
          <cell r="C76" t="str">
            <v>KILO</v>
          </cell>
          <cell r="D76" t="str">
            <v>GRAMO</v>
          </cell>
          <cell r="E76">
            <v>3535.1172097809231</v>
          </cell>
          <cell r="F76">
            <v>3.5351172097809229</v>
          </cell>
          <cell r="G76">
            <v>3.0228780616802218</v>
          </cell>
          <cell r="H76">
            <v>3.0228780616802218E-3</v>
          </cell>
          <cell r="I76">
            <v>258.76075407832263</v>
          </cell>
          <cell r="J76">
            <v>0.25876075407832261</v>
          </cell>
        </row>
        <row r="77">
          <cell r="A77" t="str">
            <v>95471</v>
          </cell>
          <cell r="B77" t="str">
            <v>CORTE GALLETA GDE P/TORTA CHILENA (UND)</v>
          </cell>
          <cell r="C77" t="str">
            <v>UND</v>
          </cell>
          <cell r="D77" t="str">
            <v>UND</v>
          </cell>
          <cell r="E77">
            <v>117.43575905671182</v>
          </cell>
          <cell r="F77">
            <v>117.43575905671182</v>
          </cell>
          <cell r="G77">
            <v>0.9310591617952928</v>
          </cell>
          <cell r="H77">
            <v>0.9310591617952928</v>
          </cell>
          <cell r="I77">
            <v>23.308078817733989</v>
          </cell>
          <cell r="J77">
            <v>23.308078817733989</v>
          </cell>
        </row>
        <row r="78">
          <cell r="A78" t="str">
            <v>95478</v>
          </cell>
          <cell r="B78" t="str">
            <v>TRIANGULO PALMITO (UND)</v>
          </cell>
          <cell r="C78" t="str">
            <v>UND</v>
          </cell>
          <cell r="D78" t="str">
            <v>UND</v>
          </cell>
          <cell r="E78">
            <v>62.391946592877211</v>
          </cell>
          <cell r="F78">
            <v>62.391946592877211</v>
          </cell>
          <cell r="G78">
            <v>1.8165973221979714</v>
          </cell>
          <cell r="H78">
            <v>1.8165973221979714</v>
          </cell>
          <cell r="I78">
            <v>28.884304007653984</v>
          </cell>
          <cell r="J78">
            <v>28.884304007653984</v>
          </cell>
        </row>
        <row r="79">
          <cell r="A79" t="str">
            <v>95485</v>
          </cell>
          <cell r="B79" t="str">
            <v>ALMIBAR (31.300g)</v>
          </cell>
          <cell r="C79" t="str">
            <v>KILO</v>
          </cell>
          <cell r="D79" t="str">
            <v>GRAMO</v>
          </cell>
          <cell r="E79">
            <v>284.48865127795523</v>
          </cell>
          <cell r="F79">
            <v>0.28448865127795525</v>
          </cell>
          <cell r="G79">
            <v>5.4044722044728424</v>
          </cell>
          <cell r="H79">
            <v>5.4044722044728427E-3</v>
          </cell>
          <cell r="I79">
            <v>26.837060702875398</v>
          </cell>
          <cell r="J79">
            <v>2.68370607028754E-2</v>
          </cell>
        </row>
        <row r="80">
          <cell r="A80" t="str">
            <v>95508</v>
          </cell>
          <cell r="B80" t="str">
            <v>COCCION SALSA HONGOS (16565g)</v>
          </cell>
          <cell r="C80" t="str">
            <v>KILO</v>
          </cell>
          <cell r="D80" t="str">
            <v>GRAMO</v>
          </cell>
          <cell r="E80">
            <v>2085.8923648665045</v>
          </cell>
          <cell r="F80">
            <v>2.0858923648665044</v>
          </cell>
          <cell r="G80">
            <v>0</v>
          </cell>
          <cell r="H80">
            <v>0</v>
          </cell>
          <cell r="I80">
            <v>83.434466019417485</v>
          </cell>
          <cell r="J80">
            <v>8.343446601941748E-2</v>
          </cell>
        </row>
        <row r="81">
          <cell r="A81" t="str">
            <v>95515</v>
          </cell>
          <cell r="B81" t="str">
            <v>PASTA CHILENA (11500g)</v>
          </cell>
          <cell r="C81" t="str">
            <v>KILO</v>
          </cell>
          <cell r="D81" t="str">
            <v>GRAMO</v>
          </cell>
          <cell r="E81">
            <v>812.38193146551714</v>
          </cell>
          <cell r="F81">
            <v>0.81238193146551718</v>
          </cell>
          <cell r="G81">
            <v>6.5109032293377114</v>
          </cell>
          <cell r="H81">
            <v>6.5109032293377113E-3</v>
          </cell>
          <cell r="I81">
            <v>53.103448275862064</v>
          </cell>
          <cell r="J81">
            <v>5.3103448275862067E-2</v>
          </cell>
        </row>
        <row r="82">
          <cell r="A82" t="str">
            <v>95518</v>
          </cell>
          <cell r="B82" t="str">
            <v>ROSQUETE CHOCOLATE BUCCA (1200g)</v>
          </cell>
          <cell r="C82" t="str">
            <v>UND</v>
          </cell>
          <cell r="D82" t="str">
            <v>UND</v>
          </cell>
          <cell r="E82">
            <v>1371.4088438210294</v>
          </cell>
          <cell r="F82">
            <v>1371.4088438210294</v>
          </cell>
          <cell r="G82">
            <v>22.694913484807593</v>
          </cell>
          <cell r="H82">
            <v>22.694913484807593</v>
          </cell>
          <cell r="I82">
            <v>85.973154362416096</v>
          </cell>
          <cell r="J82">
            <v>85.973154362416096</v>
          </cell>
        </row>
        <row r="83">
          <cell r="A83" t="str">
            <v>95525</v>
          </cell>
          <cell r="B83" t="str">
            <v>ROSQUETE ZANAHORIA PLANCHA (600g)</v>
          </cell>
          <cell r="C83" t="str">
            <v>UND</v>
          </cell>
          <cell r="D83" t="str">
            <v>UND</v>
          </cell>
          <cell r="E83">
            <v>1093.4703973114886</v>
          </cell>
          <cell r="F83">
            <v>1093.4703973114886</v>
          </cell>
          <cell r="G83">
            <v>26.890359737753734</v>
          </cell>
          <cell r="H83">
            <v>26.890359737753734</v>
          </cell>
          <cell r="I83">
            <v>119.92408474799313</v>
          </cell>
          <cell r="J83">
            <v>119.92408474799313</v>
          </cell>
        </row>
        <row r="84">
          <cell r="A84" t="str">
            <v>95536</v>
          </cell>
          <cell r="B84" t="str">
            <v>ROSQUETE PLANCHA RECT. KALUA (1400g)</v>
          </cell>
          <cell r="C84" t="str">
            <v>UND</v>
          </cell>
          <cell r="D84" t="str">
            <v>UND</v>
          </cell>
          <cell r="E84">
            <v>3652.8303693632033</v>
          </cell>
          <cell r="F84">
            <v>3652.8303693632033</v>
          </cell>
          <cell r="G84">
            <v>39.588047787151226</v>
          </cell>
          <cell r="H84">
            <v>39.588047787151226</v>
          </cell>
          <cell r="I84">
            <v>206.49054558740966</v>
          </cell>
          <cell r="J84">
            <v>206.49054558740966</v>
          </cell>
        </row>
        <row r="85">
          <cell r="A85" t="str">
            <v>95539</v>
          </cell>
          <cell r="B85" t="str">
            <v>ROSQUETE ZANAHORIA C/PIÑA (450g)</v>
          </cell>
          <cell r="C85" t="str">
            <v>UND</v>
          </cell>
          <cell r="D85" t="str">
            <v>UND</v>
          </cell>
          <cell r="E85">
            <v>768.32905857936305</v>
          </cell>
          <cell r="F85">
            <v>768.32905857936305</v>
          </cell>
          <cell r="G85">
            <v>11.782994976749775</v>
          </cell>
          <cell r="H85">
            <v>11.782994976749775</v>
          </cell>
          <cell r="I85">
            <v>96.580617261110319</v>
          </cell>
          <cell r="J85">
            <v>96.580617261110319</v>
          </cell>
        </row>
        <row r="86">
          <cell r="A86" t="str">
            <v>95555</v>
          </cell>
          <cell r="B86" t="str">
            <v>BASE PREMEZCLA CHILENA (11.637g)</v>
          </cell>
          <cell r="C86" t="str">
            <v>TANDA</v>
          </cell>
          <cell r="D86" t="str">
            <v>GRAMO</v>
          </cell>
          <cell r="E86">
            <v>9424.6852049999998</v>
          </cell>
          <cell r="F86">
            <v>0.80988959396751736</v>
          </cell>
          <cell r="G86">
            <v>64.728212063492066</v>
          </cell>
          <cell r="H86">
            <v>5.5622765372082212E-3</v>
          </cell>
          <cell r="I86">
            <v>112</v>
          </cell>
          <cell r="J86">
            <v>9.6244736615966314E-3</v>
          </cell>
        </row>
        <row r="87">
          <cell r="A87" t="str">
            <v>95559</v>
          </cell>
          <cell r="B87" t="str">
            <v>PASTA FROLA (6400g)</v>
          </cell>
          <cell r="C87" t="str">
            <v>KILO</v>
          </cell>
          <cell r="D87" t="str">
            <v>GRAMO</v>
          </cell>
          <cell r="E87">
            <v>840.04416647851303</v>
          </cell>
          <cell r="F87">
            <v>0.84004416647851299</v>
          </cell>
          <cell r="G87">
            <v>14.636299569575705</v>
          </cell>
          <cell r="H87">
            <v>1.4636299569575704E-2</v>
          </cell>
          <cell r="I87">
            <v>86.927071573718678</v>
          </cell>
          <cell r="J87">
            <v>8.6927071573718678E-2</v>
          </cell>
        </row>
        <row r="88">
          <cell r="A88" t="str">
            <v>95574</v>
          </cell>
          <cell r="B88" t="str">
            <v>BASE PREMEZCLA CHOCOLATE CIABATTA (6006g)</v>
          </cell>
          <cell r="C88" t="str">
            <v>TANDA</v>
          </cell>
          <cell r="D88" t="str">
            <v>GRAMO</v>
          </cell>
          <cell r="E88">
            <v>7257.1164360000002</v>
          </cell>
          <cell r="F88">
            <v>1.208311094905095</v>
          </cell>
          <cell r="G88">
            <v>32.363238730158727</v>
          </cell>
          <cell r="H88">
            <v>5.3884846370560648E-3</v>
          </cell>
          <cell r="I88">
            <v>112</v>
          </cell>
          <cell r="J88">
            <v>1.8648018648018648E-2</v>
          </cell>
        </row>
        <row r="89">
          <cell r="A89" t="str">
            <v>95575</v>
          </cell>
          <cell r="B89" t="str">
            <v>COCO TOSTADO (5 Kg)</v>
          </cell>
          <cell r="C89" t="str">
            <v>KILO</v>
          </cell>
          <cell r="D89" t="str">
            <v>GRAMO</v>
          </cell>
          <cell r="E89">
            <v>2865.7082474226804</v>
          </cell>
          <cell r="F89">
            <v>2.8657082474226803</v>
          </cell>
          <cell r="G89">
            <v>0</v>
          </cell>
          <cell r="H89">
            <v>0</v>
          </cell>
          <cell r="I89">
            <v>57.731958762886599</v>
          </cell>
          <cell r="J89">
            <v>5.7731958762886601E-2</v>
          </cell>
        </row>
        <row r="90">
          <cell r="A90" t="str">
            <v>95591</v>
          </cell>
          <cell r="B90" t="str">
            <v>PECANA ENTERA TOSTADA (480g)</v>
          </cell>
          <cell r="C90" t="str">
            <v>KILO</v>
          </cell>
          <cell r="D90" t="str">
            <v>GRAMO</v>
          </cell>
          <cell r="E90">
            <v>10754.737500000001</v>
          </cell>
          <cell r="F90">
            <v>10.754737500000001</v>
          </cell>
          <cell r="G90">
            <v>26.431246874999999</v>
          </cell>
          <cell r="H90">
            <v>2.6431246874999998E-2</v>
          </cell>
          <cell r="I90">
            <v>116.66666666666667</v>
          </cell>
          <cell r="J90">
            <v>0.11666666666666667</v>
          </cell>
        </row>
        <row r="91">
          <cell r="A91" t="str">
            <v>95610</v>
          </cell>
          <cell r="B91" t="str">
            <v>BASE PREMEZCLA ZANAHORIA/PIÑA (5588g)</v>
          </cell>
          <cell r="C91" t="str">
            <v>TANDA</v>
          </cell>
          <cell r="D91" t="str">
            <v>GRAMO</v>
          </cell>
          <cell r="E91">
            <v>5156.7229370000005</v>
          </cell>
          <cell r="F91">
            <v>0.92282085486757348</v>
          </cell>
          <cell r="G91">
            <v>11.021531111111111</v>
          </cell>
          <cell r="H91">
            <v>1.9723570349160901E-3</v>
          </cell>
          <cell r="I91">
            <v>168</v>
          </cell>
          <cell r="J91">
            <v>3.0064423765211165E-2</v>
          </cell>
        </row>
        <row r="92">
          <cell r="A92" t="str">
            <v>95613</v>
          </cell>
          <cell r="B92" t="str">
            <v>BASE PREMEZCLA P/PASTA ALFAJOR  (23.360g)</v>
          </cell>
          <cell r="C92" t="str">
            <v>TANDA</v>
          </cell>
          <cell r="D92" t="str">
            <v>GRAMO</v>
          </cell>
          <cell r="E92">
            <v>21504.613643000001</v>
          </cell>
          <cell r="F92">
            <v>0.92057421416952057</v>
          </cell>
          <cell r="G92">
            <v>64.511940952380954</v>
          </cell>
          <cell r="H92">
            <v>2.7616413078930201E-3</v>
          </cell>
          <cell r="I92">
            <v>220</v>
          </cell>
          <cell r="J92">
            <v>9.4178082191780817E-3</v>
          </cell>
        </row>
        <row r="93">
          <cell r="A93" t="str">
            <v>95614</v>
          </cell>
          <cell r="B93" t="str">
            <v>BASE PREMEZCLA PASTA HOJALDRE (24.230 Kg)</v>
          </cell>
          <cell r="C93" t="str">
            <v>TANDA</v>
          </cell>
          <cell r="D93" t="str">
            <v>GRAMO</v>
          </cell>
          <cell r="E93">
            <v>18452.244969999996</v>
          </cell>
          <cell r="F93">
            <v>0.7615453970284769</v>
          </cell>
          <cell r="G93">
            <v>86.369083809523815</v>
          </cell>
          <cell r="H93">
            <v>3.5645515398070086E-3</v>
          </cell>
          <cell r="I93">
            <v>220</v>
          </cell>
          <cell r="J93">
            <v>9.0796533223276923E-3</v>
          </cell>
        </row>
        <row r="94">
          <cell r="A94" t="str">
            <v>95615</v>
          </cell>
          <cell r="B94" t="str">
            <v>BASE PREMEZCLA PASTA FROLA (10780g)</v>
          </cell>
          <cell r="C94" t="str">
            <v>TANDA</v>
          </cell>
          <cell r="D94" t="str">
            <v>GRAMO</v>
          </cell>
          <cell r="E94">
            <v>9735.8883400000013</v>
          </cell>
          <cell r="F94">
            <v>0.90314363079777382</v>
          </cell>
          <cell r="G94">
            <v>43.169083809523819</v>
          </cell>
          <cell r="H94">
            <v>4.0045532290838423E-3</v>
          </cell>
          <cell r="I94">
            <v>165</v>
          </cell>
          <cell r="J94">
            <v>1.5306122448979591E-2</v>
          </cell>
        </row>
        <row r="95">
          <cell r="A95" t="str">
            <v>95617</v>
          </cell>
          <cell r="B95" t="str">
            <v>ROSQUETE CHOCOLATE SPOON (480g)</v>
          </cell>
          <cell r="C95" t="str">
            <v>UND</v>
          </cell>
          <cell r="D95" t="str">
            <v>UND</v>
          </cell>
          <cell r="E95">
            <v>594.55641314299407</v>
          </cell>
          <cell r="F95">
            <v>594.55641314299407</v>
          </cell>
          <cell r="G95">
            <v>8.8747244644544399</v>
          </cell>
          <cell r="H95">
            <v>8.8747244644544399</v>
          </cell>
          <cell r="I95">
            <v>10.186722525631257</v>
          </cell>
          <cell r="J95">
            <v>8.8747244644544399</v>
          </cell>
        </row>
        <row r="96">
          <cell r="A96" t="str">
            <v>95621</v>
          </cell>
          <cell r="B96" t="str">
            <v>COCCION ARROZ P/ARROZ CON PALMITO (12900g)</v>
          </cell>
          <cell r="C96" t="str">
            <v>KILO</v>
          </cell>
          <cell r="D96" t="str">
            <v>GRAMO</v>
          </cell>
          <cell r="E96">
            <v>555.27255142460046</v>
          </cell>
          <cell r="F96">
            <v>0.55527255142460041</v>
          </cell>
          <cell r="G96">
            <v>9.0680071230020829</v>
          </cell>
          <cell r="H96">
            <v>9.0680071230020837E-3</v>
          </cell>
          <cell r="I96">
            <v>30.576789437109102</v>
          </cell>
          <cell r="J96">
            <v>3.0576789437109102E-2</v>
          </cell>
        </row>
        <row r="97">
          <cell r="A97" t="str">
            <v>95627</v>
          </cell>
          <cell r="B97" t="str">
            <v>MAYONESA CHIPOTLE (1630g)</v>
          </cell>
          <cell r="C97" t="str">
            <v>KILO</v>
          </cell>
          <cell r="D97" t="str">
            <v>GRAMO</v>
          </cell>
          <cell r="E97">
            <v>1253.9992172776592</v>
          </cell>
          <cell r="F97">
            <v>1.2539992172776593</v>
          </cell>
          <cell r="G97">
            <v>0</v>
          </cell>
          <cell r="H97">
            <v>0</v>
          </cell>
          <cell r="I97">
            <v>63.937562058905606</v>
          </cell>
          <cell r="J97">
            <v>6.3937562058905606E-2</v>
          </cell>
        </row>
        <row r="98">
          <cell r="A98" t="str">
            <v>95630</v>
          </cell>
          <cell r="B98" t="str">
            <v>ENSAMBLE PECHUGA RELLENAS (4220g)</v>
          </cell>
          <cell r="C98" t="str">
            <v>KILO</v>
          </cell>
          <cell r="D98" t="str">
            <v>GRAMO</v>
          </cell>
          <cell r="E98">
            <v>5854.0162985454544</v>
          </cell>
          <cell r="F98">
            <v>5.8540162985454547</v>
          </cell>
          <cell r="G98">
            <v>3.8195159090909088</v>
          </cell>
          <cell r="H98">
            <v>3.8195159090909088E-3</v>
          </cell>
          <cell r="I98">
            <v>200</v>
          </cell>
          <cell r="J98">
            <v>0.2</v>
          </cell>
        </row>
        <row r="99">
          <cell r="A99" t="str">
            <v>95634</v>
          </cell>
          <cell r="B99" t="str">
            <v>ADOBO PECHUGA PARRILLA  (41940g)</v>
          </cell>
          <cell r="C99" t="str">
            <v>KILO</v>
          </cell>
          <cell r="D99" t="str">
            <v>GRAMO</v>
          </cell>
          <cell r="E99">
            <v>2768.6223719033878</v>
          </cell>
          <cell r="F99">
            <v>2.7686223719033878</v>
          </cell>
          <cell r="G99">
            <v>3.0528611621086759</v>
          </cell>
          <cell r="H99">
            <v>3.0528611621086759E-3</v>
          </cell>
          <cell r="I99">
            <v>19.670489497150761</v>
          </cell>
          <cell r="J99">
            <v>1.9670489497150761E-2</v>
          </cell>
        </row>
        <row r="100">
          <cell r="A100" t="str">
            <v>95643</v>
          </cell>
          <cell r="B100" t="str">
            <v>QUESO PARMESANO RALLADO (7400g)</v>
          </cell>
          <cell r="C100" t="str">
            <v>KILO</v>
          </cell>
          <cell r="D100" t="str">
            <v>GRAMO</v>
          </cell>
          <cell r="E100">
            <v>9225.5450000000001</v>
          </cell>
          <cell r="F100">
            <v>9.2255450000000003</v>
          </cell>
          <cell r="G100">
            <v>7.3218353400585752</v>
          </cell>
          <cell r="H100">
            <v>7.3218353400585755E-3</v>
          </cell>
          <cell r="I100">
            <v>125.28473804100229</v>
          </cell>
          <cell r="J100">
            <v>0.12528473804100229</v>
          </cell>
        </row>
        <row r="101">
          <cell r="A101" t="str">
            <v>95645</v>
          </cell>
          <cell r="B101" t="str">
            <v>ADEREZO VINAGRETA ALBAHACA (8425g)</v>
          </cell>
          <cell r="C101" t="str">
            <v>KILO</v>
          </cell>
          <cell r="D101" t="str">
            <v>GRAMO</v>
          </cell>
          <cell r="E101">
            <v>2618.0027715133533</v>
          </cell>
          <cell r="F101">
            <v>2.6180027715133534</v>
          </cell>
          <cell r="G101">
            <v>1.6148845697329375</v>
          </cell>
          <cell r="H101">
            <v>1.6148845697329375E-3</v>
          </cell>
          <cell r="I101">
            <v>104.45103857566767</v>
          </cell>
          <cell r="J101">
            <v>0.10445103857566766</v>
          </cell>
        </row>
        <row r="102">
          <cell r="A102" t="str">
            <v>95647</v>
          </cell>
          <cell r="B102" t="str">
            <v>ADEREZO ALBAHACA ECONOMICO (3200g)</v>
          </cell>
          <cell r="C102" t="str">
            <v>KILO</v>
          </cell>
          <cell r="D102" t="str">
            <v>GRAMO</v>
          </cell>
          <cell r="E102">
            <v>1409.4139578205657</v>
          </cell>
          <cell r="F102">
            <v>1.4094139578205656</v>
          </cell>
          <cell r="G102">
            <v>17.647261779348639</v>
          </cell>
          <cell r="H102">
            <v>1.7647261779348639E-2</v>
          </cell>
          <cell r="I102">
            <v>160.61555153707053</v>
          </cell>
          <cell r="J102">
            <v>0.16061555153707052</v>
          </cell>
        </row>
        <row r="103">
          <cell r="A103" t="str">
            <v>95648</v>
          </cell>
          <cell r="B103" t="str">
            <v>ADEREZO GRILL (11.880g)</v>
          </cell>
          <cell r="C103" t="str">
            <v>KILO</v>
          </cell>
          <cell r="D103" t="str">
            <v>GRAMO</v>
          </cell>
          <cell r="E103">
            <v>1739.1296426850838</v>
          </cell>
          <cell r="F103">
            <v>1.7391296426850837</v>
          </cell>
          <cell r="G103">
            <v>0</v>
          </cell>
          <cell r="H103">
            <v>0</v>
          </cell>
          <cell r="I103">
            <v>76.76410146400913</v>
          </cell>
          <cell r="J103">
            <v>7.6764101464009124E-2</v>
          </cell>
        </row>
        <row r="104">
          <cell r="A104" t="str">
            <v>95653</v>
          </cell>
          <cell r="B104" t="str">
            <v>RELLENO CARNE P/ LASAGÑA (21000g)</v>
          </cell>
          <cell r="C104" t="str">
            <v>KILO</v>
          </cell>
          <cell r="D104" t="str">
            <v>GRAMO</v>
          </cell>
          <cell r="E104">
            <v>2559.1263787931034</v>
          </cell>
          <cell r="F104">
            <v>2.5591263787931036</v>
          </cell>
          <cell r="G104">
            <v>0</v>
          </cell>
          <cell r="H104">
            <v>0</v>
          </cell>
          <cell r="I104">
            <v>82.974137931034491</v>
          </cell>
          <cell r="J104">
            <v>8.2974137931034489E-2</v>
          </cell>
        </row>
        <row r="105">
          <cell r="A105" t="str">
            <v>95658</v>
          </cell>
          <cell r="B105" t="str">
            <v>RELLENO POLLO CREPA (22110g)</v>
          </cell>
          <cell r="C105" t="str">
            <v>KILO</v>
          </cell>
          <cell r="D105" t="str">
            <v>GRAMO</v>
          </cell>
          <cell r="E105">
            <v>2660.688358043979</v>
          </cell>
          <cell r="F105">
            <v>2.6606883580439789</v>
          </cell>
          <cell r="G105">
            <v>0</v>
          </cell>
          <cell r="H105">
            <v>0</v>
          </cell>
          <cell r="I105">
            <v>145.58224975687065</v>
          </cell>
          <cell r="J105">
            <v>0.14558224975687065</v>
          </cell>
        </row>
        <row r="106">
          <cell r="A106" t="str">
            <v>95661</v>
          </cell>
          <cell r="B106" t="str">
            <v>ESPINACA SALTEADA (770g)</v>
          </cell>
          <cell r="C106" t="str">
            <v>KILO</v>
          </cell>
          <cell r="D106" t="str">
            <v>GRAMO</v>
          </cell>
          <cell r="E106">
            <v>4063.1987740259738</v>
          </cell>
          <cell r="F106">
            <v>4.0631987740259738</v>
          </cell>
          <cell r="G106">
            <v>0</v>
          </cell>
          <cell r="H106">
            <v>0</v>
          </cell>
          <cell r="I106">
            <v>428.57142857142856</v>
          </cell>
          <cell r="J106">
            <v>0.42857142857142855</v>
          </cell>
        </row>
        <row r="107">
          <cell r="A107" t="str">
            <v>95662</v>
          </cell>
          <cell r="B107" t="str">
            <v>HONGOS SALTEADOS P/LASAGÑA (2050g)</v>
          </cell>
          <cell r="C107" t="str">
            <v>KILO</v>
          </cell>
          <cell r="D107" t="str">
            <v>GRAMO</v>
          </cell>
          <cell r="E107">
            <v>4049.814453658536</v>
          </cell>
          <cell r="F107">
            <v>4.0498144536585361</v>
          </cell>
          <cell r="G107">
            <v>23.942232493224932</v>
          </cell>
          <cell r="H107">
            <v>2.394223249322493E-2</v>
          </cell>
          <cell r="I107">
            <v>214.63414634146341</v>
          </cell>
          <cell r="J107">
            <v>0.21463414634146341</v>
          </cell>
        </row>
        <row r="108">
          <cell r="A108" t="str">
            <v>95663</v>
          </cell>
          <cell r="B108" t="str">
            <v>COCCION RELLENO JAMON C/PETIT POIS (900g)</v>
          </cell>
          <cell r="C108" t="str">
            <v>KILO</v>
          </cell>
          <cell r="D108" t="str">
            <v>GRAMO</v>
          </cell>
          <cell r="E108">
            <v>2345.896137785714</v>
          </cell>
          <cell r="F108">
            <v>2.3458961377857142</v>
          </cell>
          <cell r="G108">
            <v>0</v>
          </cell>
          <cell r="H108">
            <v>0</v>
          </cell>
          <cell r="I108">
            <v>504</v>
          </cell>
          <cell r="J108">
            <v>0.504</v>
          </cell>
        </row>
        <row r="109">
          <cell r="A109" t="str">
            <v>95664</v>
          </cell>
          <cell r="B109" t="str">
            <v>RELLENO P/ PIE LIMON (8320g)</v>
          </cell>
          <cell r="C109" t="str">
            <v>KILO</v>
          </cell>
          <cell r="D109" t="str">
            <v>GRAMO</v>
          </cell>
          <cell r="E109">
            <v>1710.6626765571432</v>
          </cell>
          <cell r="F109">
            <v>1.7106626765571431</v>
          </cell>
          <cell r="G109">
            <v>0</v>
          </cell>
          <cell r="H109">
            <v>0</v>
          </cell>
          <cell r="I109">
            <v>20.952380952380953</v>
          </cell>
          <cell r="J109">
            <v>2.0952380952380951E-2</v>
          </cell>
        </row>
        <row r="110">
          <cell r="A110" t="str">
            <v>95666</v>
          </cell>
          <cell r="B110" t="str">
            <v>RELLENO PALMITO PASTEL EMPACADO (28 Kg)</v>
          </cell>
          <cell r="C110" t="str">
            <v>KILO</v>
          </cell>
          <cell r="D110" t="str">
            <v>GRAMO</v>
          </cell>
          <cell r="E110">
            <v>1760.9872389770026</v>
          </cell>
          <cell r="F110">
            <v>1.7609872389770025</v>
          </cell>
          <cell r="G110">
            <v>39.074754143683727</v>
          </cell>
          <cell r="H110">
            <v>3.9074754143683728E-2</v>
          </cell>
          <cell r="I110">
            <v>109.84800422944751</v>
          </cell>
          <cell r="J110">
            <v>0.10984800422944752</v>
          </cell>
        </row>
        <row r="111">
          <cell r="A111" t="str">
            <v>95667</v>
          </cell>
          <cell r="B111" t="str">
            <v>RELLENO PALMITO P/TRIANGULO EMPACADO (9200g)</v>
          </cell>
          <cell r="C111" t="str">
            <v>KILO</v>
          </cell>
          <cell r="D111" t="str">
            <v>GRAMO</v>
          </cell>
          <cell r="E111">
            <v>2038.0660999328061</v>
          </cell>
          <cell r="F111">
            <v>2.0380660999328062</v>
          </cell>
          <cell r="G111">
            <v>4.5172418518518525</v>
          </cell>
          <cell r="H111">
            <v>4.517241851851852E-3</v>
          </cell>
          <cell r="I111">
            <v>146.00579710144928</v>
          </cell>
          <cell r="J111">
            <v>0.14600579710144929</v>
          </cell>
        </row>
        <row r="112">
          <cell r="A112" t="str">
            <v>95668</v>
          </cell>
          <cell r="B112" t="str">
            <v>RELLENO POLLO EMPANADA EMPACADO (38.600g)</v>
          </cell>
          <cell r="C112" t="str">
            <v>KILO</v>
          </cell>
          <cell r="D112" t="str">
            <v>GRAMO</v>
          </cell>
          <cell r="E112">
            <v>2115.6424392621952</v>
          </cell>
          <cell r="F112">
            <v>2.1156424392621953</v>
          </cell>
          <cell r="G112">
            <v>6.4920155758807594</v>
          </cell>
          <cell r="H112">
            <v>6.4920155758807592E-3</v>
          </cell>
          <cell r="I112">
            <v>121.37784552845528</v>
          </cell>
          <cell r="J112">
            <v>0.12137784552845528</v>
          </cell>
        </row>
        <row r="113">
          <cell r="A113" t="str">
            <v>95669</v>
          </cell>
          <cell r="B113" t="str">
            <v>RELLENO POLLO LAPIZ (KILO)</v>
          </cell>
          <cell r="C113" t="str">
            <v>KILO</v>
          </cell>
          <cell r="D113" t="str">
            <v>GRAMO</v>
          </cell>
          <cell r="E113">
            <v>2513.4827373616895</v>
          </cell>
          <cell r="F113">
            <v>2.5134827373616897</v>
          </cell>
          <cell r="G113">
            <v>6.0606404585955271</v>
          </cell>
          <cell r="H113">
            <v>6.060640458595527E-3</v>
          </cell>
          <cell r="I113">
            <v>183.62216169213232</v>
          </cell>
          <cell r="J113">
            <v>0.18362216169213233</v>
          </cell>
        </row>
        <row r="114">
          <cell r="A114" t="str">
            <v>95670</v>
          </cell>
          <cell r="B114" t="str">
            <v>RELLENO POLLO PASTEL (22.7 k)</v>
          </cell>
          <cell r="C114" t="str">
            <v>KILO</v>
          </cell>
          <cell r="D114" t="str">
            <v>GRAMO</v>
          </cell>
          <cell r="E114">
            <v>2703.686224716992</v>
          </cell>
          <cell r="F114">
            <v>2.7036862247169919</v>
          </cell>
          <cell r="G114">
            <v>4.0075103703703707</v>
          </cell>
          <cell r="H114">
            <v>4.0075103703703704E-3</v>
          </cell>
          <cell r="I114">
            <v>179.98153288568301</v>
          </cell>
          <cell r="J114">
            <v>0.179981532885683</v>
          </cell>
        </row>
        <row r="115">
          <cell r="A115" t="str">
            <v>95673</v>
          </cell>
          <cell r="B115" t="str">
            <v>RELLENO ESPINACA- RICOTTA-TURRIALBA (4000g)</v>
          </cell>
          <cell r="C115" t="str">
            <v>KILO</v>
          </cell>
          <cell r="D115" t="str">
            <v>GRAMO</v>
          </cell>
          <cell r="E115">
            <v>3841.6118822489179</v>
          </cell>
          <cell r="F115">
            <v>3.8416118822489178</v>
          </cell>
          <cell r="G115">
            <v>5.5763980555555559</v>
          </cell>
          <cell r="H115">
            <v>5.5763980555555556E-3</v>
          </cell>
          <cell r="I115">
            <v>495.47619047619048</v>
          </cell>
          <cell r="J115">
            <v>0.49547619047619046</v>
          </cell>
        </row>
        <row r="116">
          <cell r="A116" t="str">
            <v>95674</v>
          </cell>
          <cell r="B116" t="str">
            <v>RELLENO TOPPING FRESA P/CHESSE CAKE (5.550g)</v>
          </cell>
          <cell r="C116" t="str">
            <v>KILO</v>
          </cell>
          <cell r="D116" t="str">
            <v>GRAMO</v>
          </cell>
          <cell r="E116">
            <v>1729.6271186440677</v>
          </cell>
          <cell r="F116">
            <v>1.7296271186440677</v>
          </cell>
          <cell r="G116">
            <v>0</v>
          </cell>
          <cell r="H116">
            <v>0</v>
          </cell>
          <cell r="I116">
            <v>46.610169491525426</v>
          </cell>
          <cell r="J116">
            <v>4.6610169491525424E-2</v>
          </cell>
        </row>
        <row r="117">
          <cell r="A117" t="str">
            <v>95684</v>
          </cell>
          <cell r="B117" t="str">
            <v>COCCION SALSA P/ PECHUGA RELLENAS (11310g)</v>
          </cell>
          <cell r="C117" t="str">
            <v>KILO</v>
          </cell>
          <cell r="D117" t="str">
            <v>GRAMO</v>
          </cell>
          <cell r="E117">
            <v>2155.207538893691</v>
          </cell>
          <cell r="F117">
            <v>2.1552075388936909</v>
          </cell>
          <cell r="G117">
            <v>0</v>
          </cell>
          <cell r="H117">
            <v>0</v>
          </cell>
          <cell r="I117">
            <v>95.073465859982718</v>
          </cell>
          <cell r="J117">
            <v>9.507346585998272E-2</v>
          </cell>
        </row>
        <row r="118">
          <cell r="A118" t="str">
            <v>95686</v>
          </cell>
          <cell r="B118" t="str">
            <v>BORONA P/DECORAR (1.2 Kg)</v>
          </cell>
          <cell r="C118" t="str">
            <v>KILO</v>
          </cell>
          <cell r="D118" t="str">
            <v>GRAMO</v>
          </cell>
          <cell r="E118">
            <v>772.08662258648451</v>
          </cell>
          <cell r="F118">
            <v>0.77208662258648453</v>
          </cell>
          <cell r="G118">
            <v>14.38705991552634</v>
          </cell>
          <cell r="H118">
            <v>1.4387059915526339E-2</v>
          </cell>
          <cell r="I118">
            <v>351.50525510854789</v>
          </cell>
          <cell r="J118">
            <v>0.35150525510854791</v>
          </cell>
        </row>
        <row r="119">
          <cell r="A119" t="str">
            <v>95688</v>
          </cell>
          <cell r="B119" t="str">
            <v>BASE GALLETA P/CHESSE CAKE (9 Kg)</v>
          </cell>
          <cell r="C119" t="str">
            <v>KILO</v>
          </cell>
          <cell r="D119" t="str">
            <v>GRAMO</v>
          </cell>
          <cell r="E119">
            <v>2063.2433992014589</v>
          </cell>
          <cell r="F119">
            <v>2.0632433992014589</v>
          </cell>
          <cell r="G119">
            <v>0</v>
          </cell>
          <cell r="H119">
            <v>0</v>
          </cell>
          <cell r="I119">
            <v>100</v>
          </cell>
          <cell r="J119">
            <v>0.1</v>
          </cell>
        </row>
        <row r="120">
          <cell r="A120" t="str">
            <v>95689</v>
          </cell>
          <cell r="B120" t="str">
            <v>GANACHE CHOCOLATE BLANCO (39295g)</v>
          </cell>
          <cell r="C120" t="str">
            <v>KILO</v>
          </cell>
          <cell r="D120" t="str">
            <v>GRAMO</v>
          </cell>
          <cell r="E120">
            <v>2295.4103798822898</v>
          </cell>
          <cell r="F120">
            <v>2.29541037988229</v>
          </cell>
          <cell r="G120">
            <v>0</v>
          </cell>
          <cell r="H120">
            <v>0</v>
          </cell>
          <cell r="I120">
            <v>36.784376672017125</v>
          </cell>
          <cell r="J120">
            <v>3.6784376672017123E-2</v>
          </cell>
        </row>
        <row r="121">
          <cell r="A121" t="str">
            <v>95690</v>
          </cell>
          <cell r="B121" t="str">
            <v>GANACHE C/COBERTURA CHOCOC.OSCURO (38.800g)</v>
          </cell>
          <cell r="C121" t="str">
            <v>KILO</v>
          </cell>
          <cell r="D121" t="str">
            <v>GRAMO</v>
          </cell>
          <cell r="E121">
            <v>3339.2113022113017</v>
          </cell>
          <cell r="F121">
            <v>3.3392113022113019</v>
          </cell>
          <cell r="G121">
            <v>0</v>
          </cell>
          <cell r="H121">
            <v>0</v>
          </cell>
          <cell r="I121">
            <v>41.277641277641273</v>
          </cell>
          <cell r="J121">
            <v>4.1277641277641275E-2</v>
          </cell>
        </row>
        <row r="122">
          <cell r="A122" t="str">
            <v>95691</v>
          </cell>
          <cell r="B122" t="str">
            <v>GLACE COLORES (4200g)</v>
          </cell>
          <cell r="C122" t="str">
            <v>KILO</v>
          </cell>
          <cell r="D122" t="str">
            <v>GRAMO</v>
          </cell>
          <cell r="E122">
            <v>2087.7863897360139</v>
          </cell>
          <cell r="F122">
            <v>2.087786389736014</v>
          </cell>
          <cell r="G122">
            <v>4.8027942628418954</v>
          </cell>
          <cell r="H122">
            <v>4.8027942628418949E-3</v>
          </cell>
          <cell r="I122">
            <v>489.65977318212146</v>
          </cell>
          <cell r="J122">
            <v>0.48965977318212145</v>
          </cell>
        </row>
        <row r="123">
          <cell r="A123" t="str">
            <v>95692</v>
          </cell>
          <cell r="B123" t="str">
            <v>JUGO DE LIMON (7.9 Litros)</v>
          </cell>
          <cell r="C123" t="str">
            <v>LITRO</v>
          </cell>
          <cell r="D123" t="str">
            <v>Mililitro</v>
          </cell>
          <cell r="E123">
            <v>420.62845454545459</v>
          </cell>
          <cell r="F123">
            <v>0.42062845454545461</v>
          </cell>
          <cell r="G123">
            <v>2.2753401010101006</v>
          </cell>
          <cell r="H123">
            <v>2.2753401010101007E-3</v>
          </cell>
          <cell r="I123">
            <v>15.272727272727273</v>
          </cell>
          <cell r="J123">
            <v>1.5272727272727273E-2</v>
          </cell>
        </row>
        <row r="124">
          <cell r="A124" t="str">
            <v>95695</v>
          </cell>
          <cell r="B124" t="str">
            <v>MERENGUE DESHIDRATADO RICH (4450g)</v>
          </cell>
          <cell r="C124" t="str">
            <v>KILO</v>
          </cell>
          <cell r="D124" t="str">
            <v>GRAMO</v>
          </cell>
          <cell r="E124">
            <v>1851.745370786517</v>
          </cell>
          <cell r="F124">
            <v>1.851745370786517</v>
          </cell>
          <cell r="G124">
            <v>0</v>
          </cell>
          <cell r="H124">
            <v>0</v>
          </cell>
          <cell r="I124">
            <v>100.67415730337079</v>
          </cell>
          <cell r="J124">
            <v>0.10067415730337079</v>
          </cell>
        </row>
        <row r="125">
          <cell r="A125" t="str">
            <v>95700</v>
          </cell>
          <cell r="B125" t="str">
            <v>MOUSSE CHOCOLATE P/TORTA TRICOLOR (4.020g)</v>
          </cell>
          <cell r="C125" t="str">
            <v>KILO</v>
          </cell>
          <cell r="D125" t="str">
            <v>GRAMO</v>
          </cell>
          <cell r="E125">
            <v>1523.5163862821087</v>
          </cell>
          <cell r="F125">
            <v>1.5235163862821086</v>
          </cell>
          <cell r="G125">
            <v>0</v>
          </cell>
          <cell r="H125">
            <v>0</v>
          </cell>
          <cell r="I125">
            <v>119.93252621015097</v>
          </cell>
          <cell r="J125">
            <v>0.11993252621015096</v>
          </cell>
        </row>
        <row r="126">
          <cell r="A126" t="str">
            <v>95708</v>
          </cell>
          <cell r="B126" t="str">
            <v>RELLENO QUESO P/TORTA ZANAHORIA (11100g)</v>
          </cell>
          <cell r="C126" t="str">
            <v>KILO</v>
          </cell>
          <cell r="D126" t="str">
            <v>GRAMO</v>
          </cell>
          <cell r="E126">
            <v>2622.3874716756759</v>
          </cell>
          <cell r="F126">
            <v>2.6223874716756761</v>
          </cell>
          <cell r="G126">
            <v>0</v>
          </cell>
          <cell r="H126">
            <v>0</v>
          </cell>
          <cell r="I126">
            <v>29.72972972972973</v>
          </cell>
          <cell r="J126">
            <v>2.9729729729729731E-2</v>
          </cell>
        </row>
        <row r="127">
          <cell r="A127" t="str">
            <v>95709</v>
          </cell>
          <cell r="B127" t="str">
            <v>PASTA TARTALETA/CANASTA (6700GR)</v>
          </cell>
          <cell r="C127" t="str">
            <v>KILO</v>
          </cell>
          <cell r="D127" t="str">
            <v>GRAMO</v>
          </cell>
          <cell r="E127">
            <v>1321.0764681203009</v>
          </cell>
          <cell r="F127">
            <v>1.3210764681203009</v>
          </cell>
          <cell r="G127">
            <v>9.8510435851533611</v>
          </cell>
          <cell r="H127">
            <v>9.8510435851533618E-3</v>
          </cell>
          <cell r="I127">
            <v>78.571428571428569</v>
          </cell>
          <cell r="J127">
            <v>7.857142857142857E-2</v>
          </cell>
        </row>
        <row r="128">
          <cell r="A128" t="str">
            <v>95715</v>
          </cell>
          <cell r="B128" t="str">
            <v>CREMA CHANTILLY CHOCOLATE BUCCA (23.3 Kg)</v>
          </cell>
          <cell r="C128" t="str">
            <v>KILO</v>
          </cell>
          <cell r="D128" t="str">
            <v>GRAMO</v>
          </cell>
          <cell r="E128">
            <v>1582.5535660944206</v>
          </cell>
          <cell r="F128">
            <v>1.5825535660944205</v>
          </cell>
          <cell r="G128">
            <v>4.2961373390557937E-2</v>
          </cell>
          <cell r="H128">
            <v>4.2961373390557938E-5</v>
          </cell>
          <cell r="I128">
            <v>24.0343347639485</v>
          </cell>
          <cell r="J128">
            <v>2.4034334763948499E-2</v>
          </cell>
        </row>
        <row r="129">
          <cell r="A129" t="str">
            <v>95716</v>
          </cell>
          <cell r="B129" t="str">
            <v>CREMA CHANTILLY FIGURITAS (6000g)</v>
          </cell>
          <cell r="C129" t="str">
            <v>KILO</v>
          </cell>
          <cell r="D129" t="str">
            <v>GRAMO</v>
          </cell>
          <cell r="E129">
            <v>1668.6120000000001</v>
          </cell>
          <cell r="F129">
            <v>1.668612</v>
          </cell>
          <cell r="G129">
            <v>0</v>
          </cell>
          <cell r="H129">
            <v>0</v>
          </cell>
          <cell r="I129">
            <v>46.666666666666671</v>
          </cell>
          <cell r="J129">
            <v>4.6666666666666669E-2</v>
          </cell>
        </row>
        <row r="130">
          <cell r="A130" t="str">
            <v>95717</v>
          </cell>
          <cell r="B130" t="str">
            <v>CREMA CHANTILLY BLANCA SPOON-IND (20800g)</v>
          </cell>
          <cell r="C130" t="str">
            <v>KILO</v>
          </cell>
          <cell r="D130" t="str">
            <v>GRAMO</v>
          </cell>
          <cell r="E130">
            <v>1578.4318454326924</v>
          </cell>
          <cell r="F130">
            <v>1.5784318454326924</v>
          </cell>
          <cell r="G130">
            <v>4.8124999999999994E-2</v>
          </cell>
          <cell r="H130">
            <v>4.8124999999999997E-5</v>
          </cell>
          <cell r="I130">
            <v>26.442307692307693</v>
          </cell>
          <cell r="J130">
            <v>2.6442307692307692E-2</v>
          </cell>
        </row>
        <row r="131">
          <cell r="A131" t="str">
            <v>95718</v>
          </cell>
          <cell r="B131" t="str">
            <v>CREMA CHANTILLY CHOCO (SPOON-IND)(24875g)</v>
          </cell>
          <cell r="C131" t="str">
            <v>KILO</v>
          </cell>
          <cell r="D131" t="str">
            <v>GRAMO</v>
          </cell>
          <cell r="E131">
            <v>1776.2515933668342</v>
          </cell>
          <cell r="F131">
            <v>1.7762515933668341</v>
          </cell>
          <cell r="G131">
            <v>0</v>
          </cell>
          <cell r="H131">
            <v>0</v>
          </cell>
          <cell r="I131">
            <v>13.266331658291458</v>
          </cell>
          <cell r="J131">
            <v>1.3266331658291457E-2</v>
          </cell>
        </row>
        <row r="132">
          <cell r="A132" t="str">
            <v>95719</v>
          </cell>
          <cell r="B132" t="str">
            <v>CREMA CHANTILLY CAFE (21 Kg)</v>
          </cell>
          <cell r="C132" t="str">
            <v>KILO</v>
          </cell>
          <cell r="D132" t="str">
            <v>GRAMO</v>
          </cell>
          <cell r="E132">
            <v>1592.5735355450238</v>
          </cell>
          <cell r="F132">
            <v>1.5925735355450237</v>
          </cell>
          <cell r="G132">
            <v>0</v>
          </cell>
          <cell r="H132">
            <v>0</v>
          </cell>
          <cell r="I132">
            <v>26.540284360189574</v>
          </cell>
          <cell r="J132">
            <v>2.6540284360189573E-2</v>
          </cell>
        </row>
        <row r="133">
          <cell r="A133" t="str">
            <v>95720</v>
          </cell>
          <cell r="B133" t="str">
            <v>MEZCLA ENGRASE MOLDES (29800g)</v>
          </cell>
          <cell r="C133" t="str">
            <v>KILO</v>
          </cell>
          <cell r="D133" t="str">
            <v>GRAMO</v>
          </cell>
          <cell r="E133">
            <v>868.45385906040258</v>
          </cell>
          <cell r="F133">
            <v>0.86845385906040262</v>
          </cell>
          <cell r="G133">
            <v>11.341300671140942</v>
          </cell>
          <cell r="H133">
            <v>1.1341300671140942E-2</v>
          </cell>
          <cell r="I133">
            <v>55.369127516778526</v>
          </cell>
          <cell r="J133">
            <v>5.5369127516778527E-2</v>
          </cell>
        </row>
        <row r="134">
          <cell r="A134" t="str">
            <v>95721</v>
          </cell>
          <cell r="B134" t="str">
            <v>BASE PREMEZCLA P/SUSPIRO (4055g)</v>
          </cell>
          <cell r="C134" t="str">
            <v>TANDA</v>
          </cell>
          <cell r="D134" t="str">
            <v>GRAMO</v>
          </cell>
          <cell r="E134">
            <v>10200.690200000001</v>
          </cell>
          <cell r="F134">
            <v>2.5155832799013567</v>
          </cell>
          <cell r="G134">
            <v>11.020357777777779</v>
          </cell>
          <cell r="H134">
            <v>2.7177207836689959E-3</v>
          </cell>
          <cell r="I134">
            <v>112</v>
          </cell>
          <cell r="J134">
            <v>2.7620221948212082E-2</v>
          </cell>
        </row>
        <row r="135">
          <cell r="A135" t="str">
            <v>95722</v>
          </cell>
          <cell r="B135" t="str">
            <v>ROSQUETE VAINILLA PURATOS (350g)</v>
          </cell>
          <cell r="C135" t="str">
            <v>UND</v>
          </cell>
          <cell r="D135" t="str">
            <v>UND</v>
          </cell>
          <cell r="E135">
            <v>352.8318835193088</v>
          </cell>
          <cell r="F135">
            <v>352.8318835193088</v>
          </cell>
          <cell r="G135">
            <v>7.645747840647199</v>
          </cell>
          <cell r="H135">
            <v>7.645747840647199</v>
          </cell>
          <cell r="I135">
            <v>15.083449363446784</v>
          </cell>
          <cell r="J135">
            <v>15.083449363446784</v>
          </cell>
        </row>
        <row r="136">
          <cell r="A136" t="str">
            <v>95723</v>
          </cell>
          <cell r="B136" t="str">
            <v>ROSQUETE CHOCOLATE BUCCA  (425g)</v>
          </cell>
          <cell r="C136" t="str">
            <v>UND</v>
          </cell>
          <cell r="D136" t="str">
            <v>UND</v>
          </cell>
          <cell r="E136">
            <v>474.88237784340049</v>
          </cell>
          <cell r="F136">
            <v>474.88237784340049</v>
          </cell>
          <cell r="G136">
            <v>9.1301279333483265</v>
          </cell>
          <cell r="H136">
            <v>9.1301279333483265</v>
          </cell>
          <cell r="I136">
            <v>46.30613969674372</v>
          </cell>
          <cell r="J136">
            <v>46.30613969674372</v>
          </cell>
        </row>
        <row r="137">
          <cell r="A137" t="str">
            <v>95732</v>
          </cell>
          <cell r="B137" t="str">
            <v>PLANCHA ROSQUETE ZANAHORIA (900g)</v>
          </cell>
          <cell r="C137" t="str">
            <v>UND</v>
          </cell>
          <cell r="D137" t="str">
            <v>UND</v>
          </cell>
          <cell r="E137">
            <v>1631.6073961350182</v>
          </cell>
          <cell r="F137">
            <v>1631.6073961350182</v>
          </cell>
          <cell r="G137">
            <v>33.643738712590341</v>
          </cell>
          <cell r="H137">
            <v>33.643738712590341</v>
          </cell>
          <cell r="I137">
            <v>179.32800631662062</v>
          </cell>
          <cell r="J137">
            <v>179.32800631662062</v>
          </cell>
        </row>
        <row r="138">
          <cell r="A138" t="str">
            <v>95736</v>
          </cell>
          <cell r="B138" t="str">
            <v>SALSA FRESA (1980g)</v>
          </cell>
          <cell r="C138" t="str">
            <v>KILO</v>
          </cell>
          <cell r="D138" t="str">
            <v>GRAMO</v>
          </cell>
          <cell r="E138">
            <v>2524.4494736842103</v>
          </cell>
          <cell r="F138">
            <v>2.5244494736842102</v>
          </cell>
          <cell r="G138">
            <v>2.8421052631578951</v>
          </cell>
          <cell r="H138">
            <v>2.8421052631578949E-3</v>
          </cell>
          <cell r="I138">
            <v>57.89473684210526</v>
          </cell>
          <cell r="J138">
            <v>5.7894736842105263E-2</v>
          </cell>
        </row>
        <row r="139">
          <cell r="A139" t="str">
            <v>95739</v>
          </cell>
          <cell r="B139" t="str">
            <v>COCCION PAPA P/PURE (1000g)</v>
          </cell>
          <cell r="C139" t="str">
            <v>KILO</v>
          </cell>
          <cell r="D139" t="str">
            <v>GRAMO</v>
          </cell>
          <cell r="E139">
            <v>1505.085</v>
          </cell>
          <cell r="F139">
            <v>1.505085</v>
          </cell>
          <cell r="G139">
            <v>10.958269000000001</v>
          </cell>
          <cell r="H139">
            <v>1.0958269000000001E-2</v>
          </cell>
          <cell r="I139">
            <v>110</v>
          </cell>
          <cell r="J139">
            <v>0.11</v>
          </cell>
        </row>
        <row r="140">
          <cell r="A140" t="str">
            <v>95742</v>
          </cell>
          <cell r="B140" t="str">
            <v>ADEREZO ALCAPARRAS Y ANCHOAS (1280g)</v>
          </cell>
          <cell r="C140" t="str">
            <v>KILO</v>
          </cell>
          <cell r="D140" t="str">
            <v>GRAMO</v>
          </cell>
          <cell r="E140">
            <v>3186.3497932995865</v>
          </cell>
          <cell r="F140">
            <v>3.1863497932995863</v>
          </cell>
          <cell r="G140">
            <v>10.480755004741077</v>
          </cell>
          <cell r="H140">
            <v>1.0480755004741077E-2</v>
          </cell>
          <cell r="I140">
            <v>220.34519033879377</v>
          </cell>
          <cell r="J140">
            <v>0.22034519033879377</v>
          </cell>
        </row>
        <row r="141">
          <cell r="A141" t="str">
            <v>95743</v>
          </cell>
          <cell r="B141" t="str">
            <v>ADEREZO TEJANO (700g)</v>
          </cell>
          <cell r="C141" t="str">
            <v>KILO</v>
          </cell>
          <cell r="D141" t="str">
            <v>GRAMO</v>
          </cell>
          <cell r="E141">
            <v>1519.4840372487097</v>
          </cell>
          <cell r="F141">
            <v>1.5194840372487097</v>
          </cell>
          <cell r="G141">
            <v>0</v>
          </cell>
          <cell r="H141">
            <v>0</v>
          </cell>
          <cell r="I141">
            <v>380.61649851794556</v>
          </cell>
          <cell r="J141">
            <v>0.38061649851794555</v>
          </cell>
        </row>
        <row r="142">
          <cell r="A142" t="str">
            <v>95745</v>
          </cell>
          <cell r="B142" t="str">
            <v>CARNE MECHADA ARREGLADA (3170g)</v>
          </cell>
          <cell r="C142" t="str">
            <v>KILO</v>
          </cell>
          <cell r="D142" t="str">
            <v>GRAMO</v>
          </cell>
          <cell r="E142">
            <v>4022.521239392076</v>
          </cell>
          <cell r="F142">
            <v>4.0225212393920762</v>
          </cell>
          <cell r="G142">
            <v>42.743247032468886</v>
          </cell>
          <cell r="H142">
            <v>4.2743247032468887E-2</v>
          </cell>
          <cell r="I142">
            <v>256.04155281028466</v>
          </cell>
          <cell r="J142">
            <v>0.25604155281028468</v>
          </cell>
        </row>
        <row r="143">
          <cell r="A143" t="str">
            <v>95776</v>
          </cell>
          <cell r="B143" t="str">
            <v>BASE PREMEZCLA VAINILLA PURATOS (12522g)</v>
          </cell>
          <cell r="C143" t="str">
            <v>KILO</v>
          </cell>
          <cell r="D143" t="str">
            <v>GRAMO</v>
          </cell>
          <cell r="E143">
            <v>13543.394102</v>
          </cell>
          <cell r="F143">
            <v>1.0815679685353778</v>
          </cell>
          <cell r="G143">
            <v>45.869093809523811</v>
          </cell>
          <cell r="H143">
            <v>3.6630804831116284E-3</v>
          </cell>
          <cell r="I143">
            <v>110</v>
          </cell>
          <cell r="J143">
            <v>8.7845392109886598E-3</v>
          </cell>
        </row>
        <row r="144">
          <cell r="A144" t="str">
            <v>95781</v>
          </cell>
          <cell r="B144" t="str">
            <v>BASE PREMEZCLA GALLETA JENGIBRE (10081g)</v>
          </cell>
          <cell r="C144" t="str">
            <v>TANDA</v>
          </cell>
          <cell r="D144" t="str">
            <v>GRAMO</v>
          </cell>
          <cell r="E144">
            <v>8815.3442730000006</v>
          </cell>
          <cell r="F144">
            <v>0.87445137119333405</v>
          </cell>
          <cell r="G144">
            <v>53.963805396825393</v>
          </cell>
          <cell r="H144">
            <v>5.3530210690234496E-3</v>
          </cell>
          <cell r="I144">
            <v>280</v>
          </cell>
          <cell r="J144">
            <v>2.7775022319214363E-2</v>
          </cell>
        </row>
        <row r="145">
          <cell r="A145" t="str">
            <v>95784</v>
          </cell>
          <cell r="B145" t="str">
            <v>EMPAQUE SALSA ROJA SPOON (2000g)</v>
          </cell>
          <cell r="C145" t="str">
            <v>KILO</v>
          </cell>
          <cell r="D145" t="str">
            <v>GRAMO</v>
          </cell>
          <cell r="E145">
            <v>1108.6450457952756</v>
          </cell>
          <cell r="F145">
            <v>1.1086450457952757</v>
          </cell>
          <cell r="G145">
            <v>10.458209017206181</v>
          </cell>
          <cell r="H145">
            <v>1.0458209017206182E-2</v>
          </cell>
          <cell r="I145">
            <v>59.029002624671918</v>
          </cell>
          <cell r="J145">
            <v>5.9029002624671915E-2</v>
          </cell>
        </row>
        <row r="146">
          <cell r="A146" t="str">
            <v>95785</v>
          </cell>
          <cell r="B146" t="str">
            <v>COCCION BERENJENA EMPARRILLADA (2880g)</v>
          </cell>
          <cell r="C146" t="str">
            <v>KILO</v>
          </cell>
          <cell r="D146" t="str">
            <v>GRAMO</v>
          </cell>
          <cell r="E146">
            <v>2635.993496521739</v>
          </cell>
          <cell r="F146">
            <v>2.6359934965217389</v>
          </cell>
          <cell r="G146">
            <v>0</v>
          </cell>
          <cell r="H146">
            <v>0</v>
          </cell>
          <cell r="I146">
            <v>486.95652173913044</v>
          </cell>
          <cell r="J146">
            <v>0.48695652173913045</v>
          </cell>
        </row>
        <row r="147">
          <cell r="A147" t="str">
            <v>95786</v>
          </cell>
          <cell r="B147" t="str">
            <v>COCCION ZUCCINI EMPARRILLADO (1600g)</v>
          </cell>
          <cell r="C147" t="str">
            <v>KILO</v>
          </cell>
          <cell r="D147" t="str">
            <v>GRAMO</v>
          </cell>
          <cell r="E147">
            <v>5064.2918999999993</v>
          </cell>
          <cell r="F147">
            <v>5.0642918999999988</v>
          </cell>
          <cell r="G147">
            <v>0</v>
          </cell>
          <cell r="H147">
            <v>0</v>
          </cell>
          <cell r="I147">
            <v>687.5</v>
          </cell>
          <cell r="J147">
            <v>0.6875</v>
          </cell>
        </row>
        <row r="148">
          <cell r="A148" t="str">
            <v>95789</v>
          </cell>
          <cell r="B148" t="str">
            <v>CREMA CON MANJAR (21000g)</v>
          </cell>
          <cell r="C148" t="str">
            <v>KILO</v>
          </cell>
          <cell r="D148" t="str">
            <v>GRAMO</v>
          </cell>
          <cell r="E148">
            <v>1874.0260666666668</v>
          </cell>
          <cell r="F148">
            <v>1.8740260666666668</v>
          </cell>
          <cell r="G148">
            <v>4.7666666666666663E-2</v>
          </cell>
          <cell r="H148">
            <v>4.7666666666666662E-5</v>
          </cell>
          <cell r="I148">
            <v>26.666666666666668</v>
          </cell>
          <cell r="J148">
            <v>2.6666666666666668E-2</v>
          </cell>
        </row>
        <row r="149">
          <cell r="A149" t="str">
            <v>95790</v>
          </cell>
          <cell r="B149" t="str">
            <v>CALDO P/SOPA NEGRA (1.780g)</v>
          </cell>
          <cell r="C149" t="str">
            <v>KILO</v>
          </cell>
          <cell r="D149" t="str">
            <v>GRAMO</v>
          </cell>
          <cell r="E149">
            <v>752.71955666666668</v>
          </cell>
          <cell r="F149">
            <v>0.75271955666666668</v>
          </cell>
          <cell r="G149">
            <v>0</v>
          </cell>
          <cell r="H149">
            <v>0</v>
          </cell>
          <cell r="I149">
            <v>137.5</v>
          </cell>
          <cell r="J149">
            <v>0.13750000000000001</v>
          </cell>
        </row>
        <row r="150">
          <cell r="A150" t="str">
            <v>95793</v>
          </cell>
          <cell r="B150" t="str">
            <v>ALMIBAR DE CAFE (12.1 Kg)</v>
          </cell>
          <cell r="C150" t="str">
            <v>KILO</v>
          </cell>
          <cell r="D150" t="str">
            <v>GRAMO</v>
          </cell>
          <cell r="E150">
            <v>408.48461283764158</v>
          </cell>
          <cell r="F150">
            <v>0.40848461283764159</v>
          </cell>
          <cell r="G150">
            <v>7.6222862358408356</v>
          </cell>
          <cell r="H150">
            <v>7.6222862358408354E-3</v>
          </cell>
          <cell r="I150">
            <v>49.755762680537586</v>
          </cell>
          <cell r="J150">
            <v>4.9755762680537587E-2</v>
          </cell>
        </row>
        <row r="151">
          <cell r="A151" t="str">
            <v>95795</v>
          </cell>
          <cell r="B151" t="str">
            <v>BASE PREMEZCLA P/ PAN BLANCO (8156g)</v>
          </cell>
          <cell r="C151" t="str">
            <v>TANDA</v>
          </cell>
          <cell r="D151" t="str">
            <v>GRAMO</v>
          </cell>
          <cell r="E151">
            <v>10933.471006</v>
          </cell>
          <cell r="F151">
            <v>0.67926633983598406</v>
          </cell>
          <cell r="G151">
            <v>45.865592698412698</v>
          </cell>
          <cell r="H151">
            <v>2.8495025284799142E-3</v>
          </cell>
          <cell r="I151">
            <v>110</v>
          </cell>
          <cell r="J151">
            <v>6.8339960238568585E-3</v>
          </cell>
        </row>
        <row r="152">
          <cell r="A152" t="str">
            <v>95797</v>
          </cell>
          <cell r="B152" t="str">
            <v>BOLLETA PAN BLANCO 140G (UND)</v>
          </cell>
          <cell r="C152" t="str">
            <v>UND</v>
          </cell>
          <cell r="D152" t="str">
            <v>UND</v>
          </cell>
          <cell r="E152">
            <v>71.121492454165036</v>
          </cell>
          <cell r="F152">
            <v>71.121492454165036</v>
          </cell>
          <cell r="G152">
            <v>0.27852989712318466</v>
          </cell>
          <cell r="H152">
            <v>0.27852989712318466</v>
          </cell>
          <cell r="I152">
            <v>18.51807179710579</v>
          </cell>
          <cell r="J152">
            <v>18.51807179710579</v>
          </cell>
        </row>
        <row r="153">
          <cell r="A153" t="str">
            <v>95803</v>
          </cell>
          <cell r="B153" t="str">
            <v>GALLETA P/ALFAJOR MEDIANO (UND)</v>
          </cell>
          <cell r="C153" t="str">
            <v>UND</v>
          </cell>
          <cell r="D153" t="str">
            <v>UND</v>
          </cell>
          <cell r="E153">
            <v>14.642681142857146</v>
          </cell>
          <cell r="F153">
            <v>14.642681142857146</v>
          </cell>
          <cell r="G153">
            <v>7.4189052360338056E-2</v>
          </cell>
          <cell r="H153">
            <v>7.4189052360338056E-2</v>
          </cell>
          <cell r="I153">
            <v>16.863636363636363</v>
          </cell>
          <cell r="J153">
            <v>16.863636363636363</v>
          </cell>
        </row>
        <row r="154">
          <cell r="A154" t="str">
            <v>95805</v>
          </cell>
          <cell r="B154" t="str">
            <v>ROSQUETE CHOCOLATE SPOON RED  (440g)</v>
          </cell>
          <cell r="C154" t="str">
            <v>UND</v>
          </cell>
          <cell r="D154" t="str">
            <v>UND</v>
          </cell>
          <cell r="E154">
            <v>558.9814924235036</v>
          </cell>
          <cell r="F154">
            <v>558.9814924235036</v>
          </cell>
          <cell r="G154">
            <v>8.3304650306402905</v>
          </cell>
          <cell r="H154">
            <v>8.3304650306402905</v>
          </cell>
          <cell r="I154">
            <v>20.892096973017395</v>
          </cell>
          <cell r="J154">
            <v>20.892096973017395</v>
          </cell>
        </row>
        <row r="155">
          <cell r="A155" t="str">
            <v>95812</v>
          </cell>
          <cell r="B155" t="str">
            <v>TOCINETA FRITA (265g)</v>
          </cell>
          <cell r="C155" t="str">
            <v>KILO</v>
          </cell>
          <cell r="D155" t="str">
            <v>GRAMO</v>
          </cell>
          <cell r="E155">
            <v>10598.679245283018</v>
          </cell>
          <cell r="F155">
            <v>10.598679245283018</v>
          </cell>
          <cell r="G155">
            <v>0</v>
          </cell>
          <cell r="H155">
            <v>0</v>
          </cell>
          <cell r="I155">
            <v>1056.6037735849056</v>
          </cell>
          <cell r="J155">
            <v>1.0566037735849056</v>
          </cell>
        </row>
        <row r="156">
          <cell r="A156" t="str">
            <v>95817</v>
          </cell>
          <cell r="B156" t="str">
            <v>MEZCLA TRES LECHES PASTEURIZADA (36130 ml)</v>
          </cell>
          <cell r="C156" t="str">
            <v>LITRO</v>
          </cell>
          <cell r="D156" t="str">
            <v>Mililitro</v>
          </cell>
          <cell r="E156">
            <v>1262.4053961958332</v>
          </cell>
          <cell r="F156">
            <v>1.2624053961958333</v>
          </cell>
          <cell r="G156">
            <v>0</v>
          </cell>
          <cell r="H156">
            <v>0</v>
          </cell>
          <cell r="I156">
            <v>11.203703703703704</v>
          </cell>
          <cell r="J156">
            <v>1.1203703703703704E-2</v>
          </cell>
        </row>
        <row r="157">
          <cell r="A157" t="str">
            <v>95820</v>
          </cell>
          <cell r="B157" t="str">
            <v>CALDO P/SOPA POLLO (1150g)</v>
          </cell>
          <cell r="C157" t="str">
            <v>KILO</v>
          </cell>
          <cell r="D157" t="str">
            <v>GRAMO</v>
          </cell>
          <cell r="E157">
            <v>545.74586700000009</v>
          </cell>
          <cell r="F157">
            <v>0.54574586700000005</v>
          </cell>
          <cell r="G157">
            <v>12.604402499999999</v>
          </cell>
          <cell r="H157">
            <v>1.2604402499999999E-2</v>
          </cell>
          <cell r="I157">
            <v>275</v>
          </cell>
          <cell r="J157">
            <v>0.27500000000000002</v>
          </cell>
        </row>
        <row r="158">
          <cell r="A158" t="str">
            <v>95821</v>
          </cell>
          <cell r="B158" t="str">
            <v>COCCION CREMA BROCOLI (4000g)</v>
          </cell>
          <cell r="C158" t="str">
            <v>KILO</v>
          </cell>
          <cell r="D158" t="str">
            <v>GRAMO</v>
          </cell>
          <cell r="E158">
            <v>1126.8274617431762</v>
          </cell>
          <cell r="F158">
            <v>1.1268274617431762</v>
          </cell>
          <cell r="G158">
            <v>0</v>
          </cell>
          <cell r="H158">
            <v>0</v>
          </cell>
          <cell r="I158">
            <v>66.532258064516128</v>
          </cell>
          <cell r="J158">
            <v>6.6532258064516125E-2</v>
          </cell>
        </row>
        <row r="159">
          <cell r="A159" t="str">
            <v>95822</v>
          </cell>
          <cell r="B159" t="str">
            <v>CALDO P/SOPA AZTECA (37010g)</v>
          </cell>
          <cell r="C159" t="str">
            <v>KILO</v>
          </cell>
          <cell r="D159" t="str">
            <v>GRAMO</v>
          </cell>
          <cell r="E159">
            <v>890.86645346260389</v>
          </cell>
          <cell r="F159">
            <v>0.89086645346260385</v>
          </cell>
          <cell r="G159">
            <v>0</v>
          </cell>
          <cell r="H159">
            <v>0</v>
          </cell>
          <cell r="I159">
            <v>45.706371191135737</v>
          </cell>
          <cell r="J159">
            <v>4.5706371191135735E-2</v>
          </cell>
        </row>
        <row r="160">
          <cell r="A160" t="str">
            <v>95827</v>
          </cell>
          <cell r="B160" t="str">
            <v>TEMPERADO CHOCOLATE LECHE BELCOLADE (4900g)</v>
          </cell>
          <cell r="C160" t="str">
            <v>KILO</v>
          </cell>
          <cell r="D160" t="str">
            <v>GRAMO</v>
          </cell>
          <cell r="E160">
            <v>6636.7346938775509</v>
          </cell>
          <cell r="F160">
            <v>6.6367346938775507</v>
          </cell>
          <cell r="G160">
            <v>1.8918510204081629</v>
          </cell>
          <cell r="H160">
            <v>1.891851020408163E-3</v>
          </cell>
          <cell r="I160">
            <v>57.142857142857139</v>
          </cell>
          <cell r="J160">
            <v>5.7142857142857141E-2</v>
          </cell>
        </row>
        <row r="161">
          <cell r="A161" t="str">
            <v>95828</v>
          </cell>
          <cell r="B161" t="str">
            <v>TEMPERADO CHOCOLATE BLANCO (3200g)</v>
          </cell>
          <cell r="C161" t="str">
            <v>KILO</v>
          </cell>
          <cell r="D161" t="str">
            <v>GRAMO</v>
          </cell>
          <cell r="E161">
            <v>4534.6199374999997</v>
          </cell>
          <cell r="F161">
            <v>4.5346199374999996</v>
          </cell>
          <cell r="G161">
            <v>2.9559371874999996</v>
          </cell>
          <cell r="H161">
            <v>2.9559371874999995E-3</v>
          </cell>
          <cell r="I161">
            <v>87.5</v>
          </cell>
          <cell r="J161">
            <v>8.7499999999999994E-2</v>
          </cell>
        </row>
        <row r="162">
          <cell r="A162" t="str">
            <v>95829</v>
          </cell>
          <cell r="B162" t="str">
            <v>GLACE BLANCO PURO (7495g)</v>
          </cell>
          <cell r="C162" t="str">
            <v>KILO</v>
          </cell>
          <cell r="D162" t="str">
            <v>GRAMO</v>
          </cell>
          <cell r="E162">
            <v>1609.9631754503</v>
          </cell>
          <cell r="F162">
            <v>1.6099631754503001</v>
          </cell>
          <cell r="G162">
            <v>4.8027942628418954</v>
          </cell>
          <cell r="H162">
            <v>4.8027942628418949E-3</v>
          </cell>
          <cell r="I162">
            <v>89.659773182121413</v>
          </cell>
          <cell r="J162">
            <v>8.9659773182121413E-2</v>
          </cell>
        </row>
        <row r="163">
          <cell r="A163" t="str">
            <v>95831</v>
          </cell>
          <cell r="B163" t="str">
            <v>BASE PREMEZCLA RELLENO CHOCOFRESA (5400g)</v>
          </cell>
          <cell r="C163" t="str">
            <v>TANDA</v>
          </cell>
          <cell r="D163" t="str">
            <v>GRAMO</v>
          </cell>
          <cell r="E163">
            <v>16091.9946</v>
          </cell>
          <cell r="F163">
            <v>2.9799989999999998</v>
          </cell>
          <cell r="G163">
            <v>73.961945952380958</v>
          </cell>
          <cell r="H163">
            <v>1.3696656657848326E-2</v>
          </cell>
          <cell r="I163">
            <v>55</v>
          </cell>
          <cell r="J163">
            <v>1.0185185185185186E-2</v>
          </cell>
        </row>
        <row r="164">
          <cell r="A164" t="str">
            <v>95832</v>
          </cell>
          <cell r="B164" t="str">
            <v>GALLETAS P/CAFE (UND)</v>
          </cell>
          <cell r="C164" t="str">
            <v>UND</v>
          </cell>
          <cell r="D164" t="str">
            <v>UND</v>
          </cell>
          <cell r="E164">
            <v>17.543326118605066</v>
          </cell>
          <cell r="F164">
            <v>19.72</v>
          </cell>
          <cell r="G164">
            <v>8.5832025117739422E-2</v>
          </cell>
          <cell r="H164">
            <v>0.1</v>
          </cell>
          <cell r="I164">
            <v>4.4380520532099474</v>
          </cell>
          <cell r="J164">
            <v>4.4380520532099474</v>
          </cell>
        </row>
        <row r="165">
          <cell r="A165" t="str">
            <v>95834</v>
          </cell>
          <cell r="B165" t="str">
            <v>FLAN CARAMELO MINI P/FLAN TRES LECHES (UND=500g)</v>
          </cell>
          <cell r="C165" t="str">
            <v>UND</v>
          </cell>
          <cell r="D165" t="str">
            <v>UND</v>
          </cell>
          <cell r="E165">
            <v>871.41789396866682</v>
          </cell>
          <cell r="F165">
            <v>871.41789396866682</v>
          </cell>
          <cell r="G165">
            <v>24.008873999999999</v>
          </cell>
          <cell r="H165">
            <v>24.008873999999999</v>
          </cell>
          <cell r="I165">
            <v>77.400000000000006</v>
          </cell>
          <cell r="J165">
            <v>77.400000000000006</v>
          </cell>
        </row>
        <row r="166">
          <cell r="A166" t="str">
            <v>95846</v>
          </cell>
          <cell r="B166" t="str">
            <v>COCCION SALSA ROJA SPOON (31750g)</v>
          </cell>
          <cell r="C166" t="str">
            <v>KILO</v>
          </cell>
          <cell r="D166" t="str">
            <v>GRAMO</v>
          </cell>
          <cell r="E166">
            <v>1109.7791323464567</v>
          </cell>
          <cell r="F166">
            <v>1.1097791323464568</v>
          </cell>
          <cell r="G166">
            <v>1.1959131968503938</v>
          </cell>
          <cell r="H166">
            <v>1.1959131968503937E-3</v>
          </cell>
          <cell r="I166">
            <v>34.645669291338585</v>
          </cell>
          <cell r="J166">
            <v>3.4645669291338582E-2</v>
          </cell>
        </row>
        <row r="167">
          <cell r="A167" t="str">
            <v>95854</v>
          </cell>
          <cell r="B167" t="str">
            <v>COCCION CREMA DE AYOTE (30800g)</v>
          </cell>
          <cell r="C167" t="str">
            <v>KILO</v>
          </cell>
          <cell r="D167" t="str">
            <v>GRAMO</v>
          </cell>
          <cell r="E167">
            <v>973.63387899999998</v>
          </cell>
          <cell r="F167">
            <v>0.97363387899999998</v>
          </cell>
          <cell r="G167">
            <v>0.11219635918148582</v>
          </cell>
          <cell r="H167">
            <v>1.1219635918148582E-4</v>
          </cell>
          <cell r="I167">
            <v>50.449216132922416</v>
          </cell>
          <cell r="J167">
            <v>5.0449216132922414E-2</v>
          </cell>
        </row>
        <row r="168">
          <cell r="A168" t="str">
            <v>95858</v>
          </cell>
          <cell r="B168" t="str">
            <v>COCCION PECHUGA PARRILLA (UND)</v>
          </cell>
          <cell r="C168" t="str">
            <v>UND</v>
          </cell>
          <cell r="D168" t="str">
            <v>UND</v>
          </cell>
          <cell r="E168">
            <v>440.72822681667395</v>
          </cell>
          <cell r="F168">
            <v>440.72822681667395</v>
          </cell>
          <cell r="G168">
            <v>1.5807835482255743</v>
          </cell>
          <cell r="H168">
            <v>1.5807835482255743</v>
          </cell>
          <cell r="I168">
            <v>9.8454027664768109</v>
          </cell>
          <cell r="J168">
            <v>9.8454027664768109</v>
          </cell>
        </row>
        <row r="169">
          <cell r="A169" t="str">
            <v>95863</v>
          </cell>
          <cell r="B169" t="str">
            <v>BASE PREMEZCLA PURE DE PAPA (4000g)</v>
          </cell>
          <cell r="C169" t="str">
            <v>TANDA</v>
          </cell>
          <cell r="D169" t="str">
            <v>GRAMO</v>
          </cell>
          <cell r="E169">
            <v>6221.9480000000003</v>
          </cell>
          <cell r="F169">
            <v>1.5554870000000001</v>
          </cell>
          <cell r="G169">
            <v>32.142857142857146</v>
          </cell>
          <cell r="H169">
            <v>8.0357142857142867E-3</v>
          </cell>
          <cell r="I169">
            <v>56</v>
          </cell>
          <cell r="J169">
            <v>1.4E-2</v>
          </cell>
        </row>
        <row r="170">
          <cell r="A170" t="str">
            <v>95874</v>
          </cell>
          <cell r="B170" t="str">
            <v>SALSA TAMARINDO (2905g)</v>
          </cell>
          <cell r="C170" t="str">
            <v>KILO</v>
          </cell>
          <cell r="D170" t="str">
            <v>GRAMO</v>
          </cell>
          <cell r="E170">
            <v>673.94177435714289</v>
          </cell>
          <cell r="F170">
            <v>0.67394177435714286</v>
          </cell>
          <cell r="G170">
            <v>2.6672902380952381</v>
          </cell>
          <cell r="H170">
            <v>2.6672902380952381E-3</v>
          </cell>
          <cell r="I170">
            <v>65.476190476190482</v>
          </cell>
          <cell r="J170">
            <v>6.5476190476190479E-2</v>
          </cell>
        </row>
        <row r="171">
          <cell r="A171" t="str">
            <v>95878</v>
          </cell>
          <cell r="B171" t="str">
            <v>SALSA LIMON Y ALCAPARRAS (1200g)</v>
          </cell>
          <cell r="C171" t="str">
            <v>KILO</v>
          </cell>
          <cell r="D171" t="str">
            <v>GRAMO</v>
          </cell>
          <cell r="E171">
            <v>1960.6105894221296</v>
          </cell>
          <cell r="F171">
            <v>1.9606105894221295</v>
          </cell>
          <cell r="G171">
            <v>9.8570690296466451E-2</v>
          </cell>
          <cell r="H171">
            <v>9.8570690296466445E-5</v>
          </cell>
          <cell r="I171">
            <v>119.79520840170659</v>
          </cell>
          <cell r="J171">
            <v>0.11979520840170658</v>
          </cell>
        </row>
        <row r="172">
          <cell r="A172" t="str">
            <v>95879</v>
          </cell>
          <cell r="B172" t="str">
            <v>RELLENO CARNE SOMBRERO PERUANO (2057g)</v>
          </cell>
          <cell r="C172" t="str">
            <v>KILO</v>
          </cell>
          <cell r="D172" t="str">
            <v>GRAMO</v>
          </cell>
          <cell r="E172">
            <v>2820.5823037963492</v>
          </cell>
          <cell r="F172">
            <v>2.8205823037963493</v>
          </cell>
          <cell r="G172">
            <v>0</v>
          </cell>
          <cell r="H172">
            <v>0</v>
          </cell>
          <cell r="I172">
            <v>401.06951871657753</v>
          </cell>
          <cell r="J172">
            <v>0.40106951871657753</v>
          </cell>
        </row>
        <row r="173">
          <cell r="A173" t="str">
            <v>95882</v>
          </cell>
          <cell r="B173" t="str">
            <v>BATIDO GENOVESA (22320g)</v>
          </cell>
          <cell r="C173" t="str">
            <v>KILO</v>
          </cell>
          <cell r="D173" t="str">
            <v>GRAMO</v>
          </cell>
          <cell r="E173">
            <v>1132.0095804101459</v>
          </cell>
          <cell r="F173">
            <v>1.1320095804101458</v>
          </cell>
          <cell r="G173">
            <v>0</v>
          </cell>
          <cell r="H173">
            <v>0</v>
          </cell>
          <cell r="I173">
            <v>19.78773160640403</v>
          </cell>
          <cell r="J173">
            <v>1.9787731606404031E-2</v>
          </cell>
        </row>
        <row r="174">
          <cell r="A174" t="str">
            <v>95883</v>
          </cell>
          <cell r="B174" t="str">
            <v>BASE GALLETA P/BARRA PECANAS (400g)</v>
          </cell>
          <cell r="C174" t="str">
            <v>UND</v>
          </cell>
          <cell r="D174" t="str">
            <v>UND</v>
          </cell>
          <cell r="E174">
            <v>829.59735667114091</v>
          </cell>
          <cell r="F174">
            <v>829.59735667114091</v>
          </cell>
          <cell r="G174">
            <v>14.519826875838925</v>
          </cell>
          <cell r="H174">
            <v>14.519826875838925</v>
          </cell>
          <cell r="I174">
            <v>113.1275167785235</v>
          </cell>
          <cell r="J174">
            <v>113.1275167785235</v>
          </cell>
        </row>
        <row r="175">
          <cell r="A175" t="str">
            <v>95884</v>
          </cell>
          <cell r="B175" t="str">
            <v>RELLENO PECANAS P/BARRAS (3975g)</v>
          </cell>
          <cell r="C175" t="str">
            <v>KILO</v>
          </cell>
          <cell r="D175" t="str">
            <v>GRAMO</v>
          </cell>
          <cell r="E175">
            <v>1745.5228490566042</v>
          </cell>
          <cell r="F175">
            <v>1.7455228490566042</v>
          </cell>
          <cell r="G175">
            <v>0</v>
          </cell>
          <cell r="H175">
            <v>0</v>
          </cell>
          <cell r="I175">
            <v>140.88050314465409</v>
          </cell>
          <cell r="J175">
            <v>0.14088050314465408</v>
          </cell>
        </row>
        <row r="176">
          <cell r="A176" t="str">
            <v>95885</v>
          </cell>
          <cell r="B176" t="str">
            <v>PLANCHA BARRA DE PECANAS (1425g)</v>
          </cell>
          <cell r="C176" t="str">
            <v>UND</v>
          </cell>
          <cell r="D176" t="str">
            <v>UND</v>
          </cell>
          <cell r="E176">
            <v>4546.1427989352915</v>
          </cell>
          <cell r="F176">
            <v>4546.1427989352915</v>
          </cell>
          <cell r="G176">
            <v>14.519826875838925</v>
          </cell>
          <cell r="H176">
            <v>14.519826875838925</v>
          </cell>
          <cell r="I176">
            <v>335.01430923135365</v>
          </cell>
          <cell r="J176">
            <v>335.01430923135365</v>
          </cell>
        </row>
        <row r="177">
          <cell r="A177" t="str">
            <v>95890</v>
          </cell>
          <cell r="B177" t="str">
            <v>REBANADA CROSTINIS PARMESANO (UND)</v>
          </cell>
          <cell r="C177" t="str">
            <v>UND</v>
          </cell>
          <cell r="D177" t="str">
            <v>UND</v>
          </cell>
          <cell r="E177">
            <v>46.419747183579176</v>
          </cell>
          <cell r="F177">
            <v>46.419747183579176</v>
          </cell>
          <cell r="G177">
            <v>0.12270622458169364</v>
          </cell>
          <cell r="H177">
            <v>0.12270622458169364</v>
          </cell>
          <cell r="I177">
            <v>26.868729026942543</v>
          </cell>
          <cell r="J177">
            <v>26.868729026942543</v>
          </cell>
        </row>
        <row r="178">
          <cell r="A178" t="str">
            <v>95892</v>
          </cell>
          <cell r="B178" t="str">
            <v>REBANADA CROSTINIS TOMATE (UND)</v>
          </cell>
          <cell r="C178" t="str">
            <v>UND</v>
          </cell>
          <cell r="D178" t="str">
            <v>UND</v>
          </cell>
          <cell r="E178">
            <v>46.975118392240581</v>
          </cell>
          <cell r="F178">
            <v>46.975118392240581</v>
          </cell>
          <cell r="G178">
            <v>0.11339934089754986</v>
          </cell>
          <cell r="H178">
            <v>0.11339934089754986</v>
          </cell>
          <cell r="I178">
            <v>27.088700707050897</v>
          </cell>
          <cell r="J178">
            <v>27.088700707050897</v>
          </cell>
        </row>
        <row r="179">
          <cell r="A179" t="str">
            <v>95893</v>
          </cell>
          <cell r="B179" t="str">
            <v>GALLETA CHOCOLATE BLANCO/MACADAMIA (UND)</v>
          </cell>
          <cell r="C179" t="str">
            <v>UND</v>
          </cell>
          <cell r="D179" t="str">
            <v>UND</v>
          </cell>
          <cell r="E179">
            <v>243.35316090966765</v>
          </cell>
          <cell r="F179">
            <v>243.35316090966765</v>
          </cell>
          <cell r="G179">
            <v>0.34567573662551443</v>
          </cell>
          <cell r="H179">
            <v>0.34567573662551443</v>
          </cell>
          <cell r="I179">
            <v>20.657777777777778</v>
          </cell>
          <cell r="J179">
            <v>20.657777777777778</v>
          </cell>
        </row>
        <row r="180">
          <cell r="A180" t="str">
            <v>95894</v>
          </cell>
          <cell r="B180" t="str">
            <v>BASE PREMEZCLA GALLETA CHOCOLATE CHIPS (663g)</v>
          </cell>
          <cell r="C180" t="str">
            <v>TANDA</v>
          </cell>
          <cell r="D180" t="str">
            <v>GRAMO</v>
          </cell>
          <cell r="E180">
            <v>4845.6445659999999</v>
          </cell>
          <cell r="F180">
            <v>0.70206383164300201</v>
          </cell>
          <cell r="G180">
            <v>17.771546111111114</v>
          </cell>
          <cell r="H180">
            <v>2.5748400624617668E-3</v>
          </cell>
          <cell r="I180">
            <v>112</v>
          </cell>
          <cell r="J180">
            <v>1.6227180527383367E-2</v>
          </cell>
        </row>
        <row r="181">
          <cell r="A181" t="str">
            <v>95920</v>
          </cell>
          <cell r="B181" t="str">
            <v>CREMA CHOCOLATE CON AGUA (900g)</v>
          </cell>
          <cell r="C181" t="str">
            <v>Kilo</v>
          </cell>
          <cell r="D181" t="str">
            <v>Gramo</v>
          </cell>
          <cell r="E181">
            <v>1350.8181999999999</v>
          </cell>
          <cell r="F181">
            <v>1.3508182</v>
          </cell>
          <cell r="G181">
            <v>7.6890899999999993</v>
          </cell>
          <cell r="H181">
            <v>7.6890899999999991E-3</v>
          </cell>
          <cell r="I181">
            <v>50.909090909090914</v>
          </cell>
          <cell r="J181">
            <v>5.0909090909090911E-2</v>
          </cell>
        </row>
        <row r="182">
          <cell r="A182" t="str">
            <v>95930</v>
          </cell>
          <cell r="B182" t="str">
            <v>TIQUEÑOS DE QUESO (UND)</v>
          </cell>
          <cell r="C182" t="str">
            <v>UND</v>
          </cell>
          <cell r="D182" t="str">
            <v>UND</v>
          </cell>
          <cell r="E182">
            <v>69.895097488372087</v>
          </cell>
          <cell r="F182">
            <v>69.895097488372087</v>
          </cell>
          <cell r="G182">
            <v>1.0934808139534881E-2</v>
          </cell>
          <cell r="H182">
            <v>1.0934808139534881E-2</v>
          </cell>
          <cell r="I182">
            <v>7.7703488372093021</v>
          </cell>
          <cell r="J182">
            <v>7.7703488372093021</v>
          </cell>
        </row>
        <row r="183">
          <cell r="A183" t="str">
            <v>95966</v>
          </cell>
          <cell r="B183" t="str">
            <v>COCCION HONGOS SALTEADOS  (2790g)</v>
          </cell>
          <cell r="C183" t="str">
            <v>KILO</v>
          </cell>
          <cell r="D183" t="str">
            <v>GRAMO</v>
          </cell>
          <cell r="E183">
            <v>3629.3204697024025</v>
          </cell>
          <cell r="F183">
            <v>3.6293204697024026</v>
          </cell>
          <cell r="G183">
            <v>0</v>
          </cell>
          <cell r="H183">
            <v>0</v>
          </cell>
          <cell r="I183">
            <v>197.20329867335963</v>
          </cell>
          <cell r="J183">
            <v>0.19720329867335962</v>
          </cell>
        </row>
        <row r="184">
          <cell r="A184" t="str">
            <v>95968</v>
          </cell>
          <cell r="B184" t="str">
            <v>ADEREZO MOSTAZA MIEL (4450g)</v>
          </cell>
          <cell r="C184" t="str">
            <v>KILO</v>
          </cell>
          <cell r="D184" t="str">
            <v>GRAMO</v>
          </cell>
          <cell r="E184">
            <v>2339.5513111855466</v>
          </cell>
          <cell r="F184">
            <v>2.3395513111855468</v>
          </cell>
          <cell r="G184">
            <v>11.950525782111065</v>
          </cell>
          <cell r="H184">
            <v>1.1950525782111065E-2</v>
          </cell>
          <cell r="I184">
            <v>89.434579176999804</v>
          </cell>
          <cell r="J184">
            <v>8.9434579176999804E-2</v>
          </cell>
        </row>
        <row r="185">
          <cell r="A185" t="str">
            <v>95990</v>
          </cell>
          <cell r="B185" t="str">
            <v>TARTALETA OVALADA DULCE (UND)</v>
          </cell>
          <cell r="C185" t="str">
            <v>UND</v>
          </cell>
          <cell r="D185" t="str">
            <v>UND</v>
          </cell>
          <cell r="E185">
            <v>52.843058724812039</v>
          </cell>
          <cell r="F185">
            <v>52.843058724812039</v>
          </cell>
          <cell r="G185">
            <v>0.39404174340613446</v>
          </cell>
          <cell r="H185">
            <v>0.39404174340613446</v>
          </cell>
          <cell r="I185">
            <v>17.809523809523807</v>
          </cell>
          <cell r="J185">
            <v>17.809523809523807</v>
          </cell>
        </row>
        <row r="186">
          <cell r="A186" t="str">
            <v>96022</v>
          </cell>
          <cell r="B186" t="str">
            <v>RELLENO JAMON-QUESO CREMA P/EMPANADA (420g)</v>
          </cell>
          <cell r="C186" t="str">
            <v>Kilo</v>
          </cell>
          <cell r="D186" t="str">
            <v>Gramo</v>
          </cell>
          <cell r="E186">
            <v>3527.5846928571427</v>
          </cell>
          <cell r="F186">
            <v>3.5275846928571428</v>
          </cell>
          <cell r="G186">
            <v>20.062483333333333</v>
          </cell>
          <cell r="H186">
            <v>2.0062483333333332E-2</v>
          </cell>
          <cell r="I186">
            <v>261.90476190476193</v>
          </cell>
          <cell r="J186">
            <v>0.26190476190476192</v>
          </cell>
        </row>
        <row r="187">
          <cell r="A187" t="str">
            <v>96032</v>
          </cell>
          <cell r="B187" t="str">
            <v>CARAMELO AZUCAR P/FLAN (900g)</v>
          </cell>
          <cell r="C187" t="str">
            <v>KILO</v>
          </cell>
          <cell r="D187" t="str">
            <v>GRAMO</v>
          </cell>
          <cell r="E187">
            <v>401.04444444444442</v>
          </cell>
          <cell r="F187">
            <v>0.40104444444444443</v>
          </cell>
          <cell r="G187">
            <v>0</v>
          </cell>
          <cell r="H187">
            <v>0</v>
          </cell>
          <cell r="I187">
            <v>373.33333333333337</v>
          </cell>
          <cell r="J187">
            <v>0.37333333333333335</v>
          </cell>
        </row>
        <row r="188">
          <cell r="A188" t="str">
            <v>96037</v>
          </cell>
          <cell r="B188" t="str">
            <v>RELLENO CEBOLLA Y QUESO P/EMPANADA (1000g)</v>
          </cell>
          <cell r="C188" t="str">
            <v>KILO</v>
          </cell>
          <cell r="D188" t="str">
            <v>GRAMO</v>
          </cell>
          <cell r="E188">
            <v>3182.9953504999999</v>
          </cell>
          <cell r="F188">
            <v>3.1829953504999997</v>
          </cell>
          <cell r="G188">
            <v>23.595589314028313</v>
          </cell>
          <cell r="H188">
            <v>2.3595589314028314E-2</v>
          </cell>
          <cell r="I188">
            <v>337.89189189189187</v>
          </cell>
          <cell r="J188">
            <v>0.33789189189189189</v>
          </cell>
        </row>
        <row r="189">
          <cell r="A189" t="str">
            <v>96038</v>
          </cell>
          <cell r="B189" t="str">
            <v>EMPANADA CEBOLLA Y QUESO LAVAZZA (UND)</v>
          </cell>
          <cell r="C189" t="str">
            <v>UND</v>
          </cell>
          <cell r="D189" t="str">
            <v>UND</v>
          </cell>
          <cell r="E189">
            <v>154.8772280327008</v>
          </cell>
          <cell r="F189">
            <v>154.8772280327008</v>
          </cell>
          <cell r="G189">
            <v>2.1859325422494185</v>
          </cell>
          <cell r="H189">
            <v>2.1859325422494185</v>
          </cell>
          <cell r="I189">
            <v>62.028973598034135</v>
          </cell>
          <cell r="J189">
            <v>62.028973598034135</v>
          </cell>
        </row>
        <row r="190">
          <cell r="A190" t="str">
            <v>96039</v>
          </cell>
          <cell r="B190" t="str">
            <v>EMPANADA JAMON Y PETTI POIS FAS (UND)</v>
          </cell>
          <cell r="C190" t="str">
            <v>UND</v>
          </cell>
          <cell r="D190" t="str">
            <v>UND</v>
          </cell>
          <cell r="E190">
            <v>127.0016258582545</v>
          </cell>
          <cell r="F190">
            <v>127.0016258582545</v>
          </cell>
          <cell r="G190">
            <v>0.73652764234903134</v>
          </cell>
          <cell r="H190">
            <v>0.73652764234903134</v>
          </cell>
          <cell r="I190">
            <v>67.901510178238496</v>
          </cell>
          <cell r="J190">
            <v>67.901510178238496</v>
          </cell>
        </row>
        <row r="191">
          <cell r="A191" t="str">
            <v>96055</v>
          </cell>
          <cell r="B191" t="str">
            <v>EMPANADA CARNE MECHADA IND (UND)</v>
          </cell>
          <cell r="C191" t="str">
            <v>UND</v>
          </cell>
          <cell r="D191" t="str">
            <v>UND</v>
          </cell>
          <cell r="E191">
            <v>244.93062478975185</v>
          </cell>
          <cell r="F191">
            <v>244.93062478975185</v>
          </cell>
          <cell r="G191">
            <v>2.8525404214828645</v>
          </cell>
          <cell r="H191">
            <v>2.8525404214828645</v>
          </cell>
          <cell r="I191">
            <v>44.052602441043518</v>
          </cell>
          <cell r="J191">
            <v>44.052602441043518</v>
          </cell>
        </row>
        <row r="192">
          <cell r="A192" t="str">
            <v>96058</v>
          </cell>
          <cell r="B192" t="str">
            <v>BASE PREMEZCLA YOGURT CAKE  (1804g)</v>
          </cell>
          <cell r="C192" t="str">
            <v>TANDA</v>
          </cell>
          <cell r="D192" t="str">
            <v>GRAMO</v>
          </cell>
          <cell r="E192">
            <v>3078.0217600000001</v>
          </cell>
          <cell r="F192">
            <v>1.7062204878048781</v>
          </cell>
          <cell r="G192">
            <v>11.020357777777779</v>
          </cell>
          <cell r="H192">
            <v>6.1088457748213849E-3</v>
          </cell>
          <cell r="I192">
            <v>112</v>
          </cell>
          <cell r="J192">
            <v>6.2084257206208429E-2</v>
          </cell>
        </row>
        <row r="193">
          <cell r="A193" t="str">
            <v>96059</v>
          </cell>
          <cell r="B193" t="str">
            <v>ROSQUETE YOGURT CAKE (400g)</v>
          </cell>
          <cell r="C193" t="str">
            <v>UND</v>
          </cell>
          <cell r="D193" t="str">
            <v>UND</v>
          </cell>
          <cell r="E193">
            <v>566.44048035760045</v>
          </cell>
          <cell r="F193">
            <v>566.44048035760045</v>
          </cell>
          <cell r="G193">
            <v>7.6925275956760082</v>
          </cell>
          <cell r="H193">
            <v>7.6925275956760082</v>
          </cell>
          <cell r="I193">
            <v>45.229776115579696</v>
          </cell>
          <cell r="J193">
            <v>45.229776115579696</v>
          </cell>
        </row>
        <row r="194">
          <cell r="A194" t="str">
            <v>96076</v>
          </cell>
          <cell r="B194" t="str">
            <v>RELLENO CARNE MECHA-COMINO-ROMERO (1000g)</v>
          </cell>
          <cell r="C194" t="str">
            <v>Kilo</v>
          </cell>
          <cell r="D194" t="str">
            <v>Gramo</v>
          </cell>
          <cell r="E194">
            <v>3486.6073803027475</v>
          </cell>
          <cell r="F194">
            <v>3.4866073803027473</v>
          </cell>
          <cell r="G194">
            <v>33.528991908140348</v>
          </cell>
          <cell r="H194">
            <v>3.3528991908140349E-2</v>
          </cell>
          <cell r="I194">
            <v>230.83623001068085</v>
          </cell>
          <cell r="J194">
            <v>0.23083623001068085</v>
          </cell>
        </row>
        <row r="195">
          <cell r="A195" t="str">
            <v>96098</v>
          </cell>
          <cell r="B195" t="str">
            <v>ADEREZO PEPINILLOS Y ANCHOAS (390g)</v>
          </cell>
          <cell r="C195" t="str">
            <v>KILO</v>
          </cell>
          <cell r="D195" t="str">
            <v>GRAMO</v>
          </cell>
          <cell r="E195">
            <v>2774.9748658519438</v>
          </cell>
          <cell r="F195">
            <v>2.7749748658519438</v>
          </cell>
          <cell r="G195">
            <v>22.677630516055928</v>
          </cell>
          <cell r="H195">
            <v>2.2677630516055928E-2</v>
          </cell>
          <cell r="I195">
            <v>727.77511757705349</v>
          </cell>
          <cell r="J195">
            <v>0.72777511757705349</v>
          </cell>
        </row>
        <row r="196">
          <cell r="A196" t="str">
            <v>96100</v>
          </cell>
          <cell r="B196" t="str">
            <v>COCCION QUINUA BLANCA (600g)</v>
          </cell>
          <cell r="C196" t="str">
            <v>KILO</v>
          </cell>
          <cell r="D196" t="str">
            <v>GRAMO</v>
          </cell>
          <cell r="E196">
            <v>2098.3056844444445</v>
          </cell>
          <cell r="F196">
            <v>2.0983056844444445</v>
          </cell>
          <cell r="G196">
            <v>0</v>
          </cell>
          <cell r="H196">
            <v>0</v>
          </cell>
          <cell r="I196">
            <v>183.33333333333331</v>
          </cell>
          <cell r="J196">
            <v>0.18333333333333332</v>
          </cell>
        </row>
        <row r="197">
          <cell r="A197" t="str">
            <v>96108</v>
          </cell>
          <cell r="B197" t="str">
            <v>CEBOLLA CARAMELIZADA (1516g)</v>
          </cell>
          <cell r="C197" t="str">
            <v>KILO</v>
          </cell>
          <cell r="D197" t="str">
            <v>GRAMO</v>
          </cell>
          <cell r="E197">
            <v>3038.1794284166672</v>
          </cell>
          <cell r="F197">
            <v>3.038179428416667</v>
          </cell>
          <cell r="G197">
            <v>0</v>
          </cell>
          <cell r="H197">
            <v>0</v>
          </cell>
          <cell r="I197">
            <v>160.41666666666669</v>
          </cell>
          <cell r="J197">
            <v>0.16041666666666668</v>
          </cell>
        </row>
        <row r="198">
          <cell r="A198" t="str">
            <v>96136</v>
          </cell>
          <cell r="B198" t="str">
            <v>MERENGUE P/SUSPIROS (5040g)</v>
          </cell>
          <cell r="C198" t="str">
            <v>KILO</v>
          </cell>
          <cell r="D198" t="str">
            <v>GRAMO</v>
          </cell>
          <cell r="E198">
            <v>1988.6052257444767</v>
          </cell>
          <cell r="F198">
            <v>1.9886052257444766</v>
          </cell>
          <cell r="G198">
            <v>2.1172637421282956</v>
          </cell>
          <cell r="H198">
            <v>2.1172637421282958E-3</v>
          </cell>
          <cell r="I198">
            <v>150.62439961575407</v>
          </cell>
          <cell r="J198">
            <v>0.15062439961575408</v>
          </cell>
        </row>
        <row r="199">
          <cell r="A199" t="str">
            <v>96170</v>
          </cell>
          <cell r="B199" t="str">
            <v>EMPANADA CARNE PERUANA GRANDE (UND)</v>
          </cell>
          <cell r="C199" t="str">
            <v>UND</v>
          </cell>
          <cell r="D199" t="str">
            <v>UND</v>
          </cell>
          <cell r="E199">
            <v>184.75896482753404</v>
          </cell>
          <cell r="F199">
            <v>184.75896482753404</v>
          </cell>
          <cell r="G199">
            <v>1.8487279947561979</v>
          </cell>
          <cell r="H199">
            <v>1.8487279947561979</v>
          </cell>
          <cell r="I199">
            <v>58.297288149715087</v>
          </cell>
          <cell r="J199">
            <v>58.297288149715087</v>
          </cell>
        </row>
        <row r="200">
          <cell r="A200" t="str">
            <v>96170</v>
          </cell>
          <cell r="B200" t="str">
            <v>EMPANADA CARNE PERUANA GRANDE (UND)</v>
          </cell>
          <cell r="C200" t="str">
            <v>UND</v>
          </cell>
          <cell r="D200" t="str">
            <v>UND</v>
          </cell>
          <cell r="E200">
            <v>184.75896482753404</v>
          </cell>
          <cell r="F200">
            <v>184.75896482753404</v>
          </cell>
          <cell r="G200">
            <v>1.8487279947561979</v>
          </cell>
          <cell r="H200">
            <v>1.8487279947561979</v>
          </cell>
          <cell r="I200">
            <v>58.297288149715087</v>
          </cell>
          <cell r="J200">
            <v>58.297288149715087</v>
          </cell>
        </row>
        <row r="201">
          <cell r="A201" t="str">
            <v>96180</v>
          </cell>
          <cell r="B201" t="str">
            <v>RELLENO DELIZZIA (7.150 Kg)</v>
          </cell>
          <cell r="C201" t="str">
            <v>KILO</v>
          </cell>
          <cell r="D201" t="str">
            <v>GRAMO</v>
          </cell>
          <cell r="E201">
            <v>1901.6339954888927</v>
          </cell>
          <cell r="F201">
            <v>1.9016339954888926</v>
          </cell>
          <cell r="G201">
            <v>1.5039062499999999E-2</v>
          </cell>
          <cell r="H201">
            <v>1.5039062499999999E-5</v>
          </cell>
          <cell r="I201">
            <v>77.01322115384616</v>
          </cell>
          <cell r="J201">
            <v>7.7013221153846165E-2</v>
          </cell>
        </row>
        <row r="202">
          <cell r="A202" t="str">
            <v>96192</v>
          </cell>
          <cell r="B202" t="str">
            <v>ACEITE DE AJO Y PEREJIL (1000g)</v>
          </cell>
          <cell r="C202" t="str">
            <v>KILO</v>
          </cell>
          <cell r="D202" t="str">
            <v>GRAMO</v>
          </cell>
          <cell r="E202">
            <v>1720.8381377272729</v>
          </cell>
          <cell r="F202">
            <v>1.7208381377272728</v>
          </cell>
          <cell r="G202">
            <v>12.925640710606059</v>
          </cell>
          <cell r="H202">
            <v>1.2925640710606059E-2</v>
          </cell>
          <cell r="I202">
            <v>221.60363636363635</v>
          </cell>
          <cell r="J202">
            <v>0.22160363636363636</v>
          </cell>
        </row>
        <row r="203">
          <cell r="A203" t="str">
            <v>96197</v>
          </cell>
          <cell r="B203" t="str">
            <v>MEZCLA DE YEMA PARA PINTAR (1430g)</v>
          </cell>
          <cell r="C203" t="str">
            <v>KILO</v>
          </cell>
          <cell r="D203" t="str">
            <v>GRAMO</v>
          </cell>
          <cell r="E203">
            <v>2409.9551000000001</v>
          </cell>
          <cell r="F203">
            <v>2.4099551000000003</v>
          </cell>
          <cell r="G203">
            <v>0</v>
          </cell>
          <cell r="H203">
            <v>0</v>
          </cell>
          <cell r="I203">
            <v>56</v>
          </cell>
          <cell r="J203">
            <v>5.6000000000000001E-2</v>
          </cell>
        </row>
        <row r="204">
          <cell r="A204" t="str">
            <v>96199</v>
          </cell>
          <cell r="B204" t="str">
            <v>COBERTURA CHOCOLATE LECHE RALLADO (4700g)</v>
          </cell>
          <cell r="C204" t="str">
            <v>KILO</v>
          </cell>
          <cell r="D204" t="str">
            <v>GRAMO</v>
          </cell>
          <cell r="E204">
            <v>4752.793617021277</v>
          </cell>
          <cell r="F204">
            <v>4.7527936170212772</v>
          </cell>
          <cell r="G204">
            <v>0.21297872340425528</v>
          </cell>
          <cell r="H204">
            <v>2.1297872340425529E-4</v>
          </cell>
          <cell r="I204">
            <v>83.404255319148945</v>
          </cell>
          <cell r="J204">
            <v>8.340425531914894E-2</v>
          </cell>
        </row>
        <row r="205">
          <cell r="A205" t="str">
            <v>96223</v>
          </cell>
          <cell r="B205" t="str">
            <v>GANACHE DE DULCE LECHE (4800g)</v>
          </cell>
          <cell r="C205" t="str">
            <v>KILO</v>
          </cell>
          <cell r="D205" t="str">
            <v>GRAMO</v>
          </cell>
          <cell r="E205">
            <v>2483.106770833333</v>
          </cell>
          <cell r="F205">
            <v>2.483106770833333</v>
          </cell>
          <cell r="G205">
            <v>0</v>
          </cell>
          <cell r="H205">
            <v>0</v>
          </cell>
          <cell r="I205">
            <v>116.66666666666667</v>
          </cell>
          <cell r="J205">
            <v>0.11666666666666667</v>
          </cell>
        </row>
        <row r="206">
          <cell r="A206" t="str">
            <v>96242</v>
          </cell>
          <cell r="B206" t="str">
            <v>PURE PAPA (2000g)</v>
          </cell>
          <cell r="C206" t="str">
            <v>KILO</v>
          </cell>
          <cell r="D206" t="str">
            <v>GRAMO</v>
          </cell>
          <cell r="E206">
            <v>1389.1041269999998</v>
          </cell>
          <cell r="F206">
            <v>1.3891041269999997</v>
          </cell>
          <cell r="G206">
            <v>11.336887714285714</v>
          </cell>
          <cell r="H206">
            <v>1.1336887714285714E-2</v>
          </cell>
          <cell r="I206">
            <v>165.7</v>
          </cell>
          <cell r="J206">
            <v>0.16569999999999999</v>
          </cell>
        </row>
        <row r="207">
          <cell r="A207" t="str">
            <v>96251</v>
          </cell>
          <cell r="B207" t="str">
            <v>GALLETA P/TORTA CHILENA FAS (210g)</v>
          </cell>
          <cell r="C207" t="str">
            <v>UND</v>
          </cell>
          <cell r="D207" t="str">
            <v>UND</v>
          </cell>
          <cell r="E207">
            <v>226.41733244134201</v>
          </cell>
          <cell r="F207">
            <v>226.41733244134201</v>
          </cell>
          <cell r="G207">
            <v>0.65629030839002267</v>
          </cell>
          <cell r="H207">
            <v>0.65629030839002267</v>
          </cell>
          <cell r="I207">
            <v>27.595238095238095</v>
          </cell>
          <cell r="J207">
            <v>27.595238095238095</v>
          </cell>
        </row>
        <row r="208">
          <cell r="A208" t="str">
            <v>96252</v>
          </cell>
          <cell r="B208" t="str">
            <v>RELLENO CHEESE CAKE INDUSTRIA (8700g)</v>
          </cell>
          <cell r="C208" t="str">
            <v>KILO</v>
          </cell>
          <cell r="D208" t="str">
            <v>GRAMO</v>
          </cell>
          <cell r="E208">
            <v>1829.8089595444446</v>
          </cell>
          <cell r="F208">
            <v>1.8298089595444447</v>
          </cell>
          <cell r="G208">
            <v>1.2833333333333334E-2</v>
          </cell>
          <cell r="H208">
            <v>1.2833333333333333E-5</v>
          </cell>
          <cell r="I208">
            <v>100.51282051282051</v>
          </cell>
          <cell r="J208">
            <v>0.10051282051282051</v>
          </cell>
        </row>
        <row r="209">
          <cell r="A209" t="str">
            <v>96263</v>
          </cell>
          <cell r="B209" t="str">
            <v>QUESO PARMESANO LAMINADO (8580g)</v>
          </cell>
          <cell r="C209" t="str">
            <v>KILO</v>
          </cell>
          <cell r="D209" t="str">
            <v>GRAMO</v>
          </cell>
          <cell r="E209">
            <v>9408.3355186480203</v>
          </cell>
          <cell r="F209">
            <v>9.4083355186480198</v>
          </cell>
          <cell r="G209">
            <v>3.0547558275058275</v>
          </cell>
          <cell r="H209">
            <v>3.0547558275058275E-3</v>
          </cell>
          <cell r="I209">
            <v>32.051282051282051</v>
          </cell>
          <cell r="J209">
            <v>3.2051282051282048E-2</v>
          </cell>
        </row>
        <row r="210">
          <cell r="A210" t="str">
            <v>96266</v>
          </cell>
          <cell r="B210" t="str">
            <v>LAMINA AZUCAR ESCANEADA (UND)</v>
          </cell>
          <cell r="C210" t="str">
            <v>UND</v>
          </cell>
          <cell r="D210" t="str">
            <v>UND</v>
          </cell>
          <cell r="E210">
            <v>1387.384</v>
          </cell>
          <cell r="F210">
            <v>1387.384</v>
          </cell>
          <cell r="G210">
            <v>0</v>
          </cell>
          <cell r="H210">
            <v>0</v>
          </cell>
          <cell r="I210">
            <v>275</v>
          </cell>
          <cell r="J210">
            <v>275</v>
          </cell>
        </row>
        <row r="211">
          <cell r="A211" t="str">
            <v>96267</v>
          </cell>
          <cell r="B211" t="str">
            <v>ROSQUETE CHOCOLATE BUCCA (320g)</v>
          </cell>
          <cell r="C211" t="str">
            <v>UND</v>
          </cell>
          <cell r="D211" t="str">
            <v>UND</v>
          </cell>
          <cell r="E211">
            <v>355.25335753863862</v>
          </cell>
          <cell r="F211">
            <v>355.25335753863862</v>
          </cell>
          <cell r="G211">
            <v>8.2092643814880741</v>
          </cell>
          <cell r="H211">
            <v>8.2092643814880741</v>
          </cell>
          <cell r="I211">
            <v>35.876510067114097</v>
          </cell>
          <cell r="J211">
            <v>35.876510067114097</v>
          </cell>
        </row>
        <row r="212">
          <cell r="A212" t="str">
            <v>96270</v>
          </cell>
          <cell r="B212" t="str">
            <v>ROSQUETE MELOCOTON PURATOS (360g)</v>
          </cell>
          <cell r="C212" t="str">
            <v>UND</v>
          </cell>
          <cell r="D212" t="str">
            <v>UND</v>
          </cell>
          <cell r="E212">
            <v>447.66176290350978</v>
          </cell>
          <cell r="F212">
            <v>447.66176290350978</v>
          </cell>
          <cell r="G212">
            <v>8.3417280087138295</v>
          </cell>
          <cell r="H212">
            <v>8.3417280087138295</v>
          </cell>
          <cell r="I212">
            <v>18.709296952359995</v>
          </cell>
          <cell r="J212">
            <v>18.709296952359995</v>
          </cell>
        </row>
        <row r="213">
          <cell r="A213" t="str">
            <v>96271</v>
          </cell>
          <cell r="B213" t="str">
            <v>CORTE  P/GALLETA ESC (UND)</v>
          </cell>
          <cell r="C213" t="str">
            <v>UND</v>
          </cell>
          <cell r="D213" t="str">
            <v>UND</v>
          </cell>
          <cell r="E213">
            <v>21.349894497743044</v>
          </cell>
          <cell r="F213">
            <v>21.349894497743044</v>
          </cell>
          <cell r="G213">
            <v>0</v>
          </cell>
          <cell r="H213">
            <v>0</v>
          </cell>
          <cell r="I213">
            <v>10.686239816064377</v>
          </cell>
          <cell r="J213">
            <v>10.686239816064377</v>
          </cell>
        </row>
        <row r="214">
          <cell r="A214" t="str">
            <v>96272</v>
          </cell>
          <cell r="B214" t="str">
            <v>EMPANADA POLLO C/AJONJOLI (UND)</v>
          </cell>
          <cell r="C214" t="str">
            <v>UND</v>
          </cell>
          <cell r="D214" t="str">
            <v>UND</v>
          </cell>
          <cell r="E214">
            <v>185.40642008823716</v>
          </cell>
          <cell r="F214">
            <v>185.40642008823716</v>
          </cell>
          <cell r="G214">
            <v>1.7940720010640245</v>
          </cell>
          <cell r="H214">
            <v>1.7940720010640245</v>
          </cell>
          <cell r="I214">
            <v>45.17753744451764</v>
          </cell>
          <cell r="J214">
            <v>45.17753744451764</v>
          </cell>
        </row>
        <row r="215">
          <cell r="A215" t="str">
            <v>96275</v>
          </cell>
          <cell r="B215" t="str">
            <v>GALLETA CHOCOLATE CHIPS STARBUCKS (UND)</v>
          </cell>
          <cell r="C215" t="str">
            <v>UND</v>
          </cell>
          <cell r="D215" t="str">
            <v>UND</v>
          </cell>
          <cell r="E215">
            <v>142.47345146308726</v>
          </cell>
          <cell r="F215">
            <v>142.47345146308726</v>
          </cell>
          <cell r="G215">
            <v>0.13315657482254814</v>
          </cell>
          <cell r="H215">
            <v>0.13315657482254814</v>
          </cell>
          <cell r="I215">
            <v>9.8643519761372112</v>
          </cell>
          <cell r="J215">
            <v>9.8643519761372112</v>
          </cell>
        </row>
        <row r="216">
          <cell r="A216" t="str">
            <v>96276</v>
          </cell>
          <cell r="B216" t="str">
            <v>ROSQUETE CARAMELO PURATOS (335g)</v>
          </cell>
          <cell r="C216" t="str">
            <v>UND</v>
          </cell>
          <cell r="D216" t="str">
            <v>UND</v>
          </cell>
          <cell r="E216">
            <v>446.846888464561</v>
          </cell>
          <cell r="F216">
            <v>446.846888464561</v>
          </cell>
          <cell r="G216">
            <v>7.6483473744357671</v>
          </cell>
          <cell r="H216">
            <v>7.6483473744357671</v>
          </cell>
          <cell r="I216">
            <v>5.5005424229143616</v>
          </cell>
          <cell r="J216">
            <v>5.5005424229143616</v>
          </cell>
        </row>
        <row r="217">
          <cell r="A217" t="str">
            <v>96277</v>
          </cell>
          <cell r="B217" t="str">
            <v>ARREGLADOS GRANDE (UND)</v>
          </cell>
          <cell r="C217" t="str">
            <v>UND</v>
          </cell>
          <cell r="D217" t="str">
            <v>UND</v>
          </cell>
          <cell r="E217">
            <v>63.791154345074041</v>
          </cell>
          <cell r="F217">
            <v>63.791154345074041</v>
          </cell>
          <cell r="G217">
            <v>0.33880285996871001</v>
          </cell>
          <cell r="H217">
            <v>0.33880285996871001</v>
          </cell>
          <cell r="I217">
            <v>13.452585776402852</v>
          </cell>
          <cell r="J217">
            <v>13.452585776402852</v>
          </cell>
        </row>
        <row r="218">
          <cell r="A218" t="str">
            <v>96280</v>
          </cell>
          <cell r="B218" t="str">
            <v>OREJITAS DULCES (5409g)</v>
          </cell>
          <cell r="C218" t="str">
            <v>KILO</v>
          </cell>
          <cell r="D218" t="str">
            <v>GRAMO</v>
          </cell>
          <cell r="E218">
            <v>935.32970759169018</v>
          </cell>
          <cell r="F218">
            <v>0.93532970759169021</v>
          </cell>
          <cell r="G218">
            <v>4.3075589700960348</v>
          </cell>
          <cell r="H218">
            <v>4.3075589700960351E-3</v>
          </cell>
          <cell r="I218">
            <v>625.67426218810954</v>
          </cell>
          <cell r="J218">
            <v>0.62567426218810951</v>
          </cell>
        </row>
        <row r="219">
          <cell r="A219" t="str">
            <v>96284</v>
          </cell>
          <cell r="B219" t="str">
            <v>CROISSANT SPOON 110g (UND)</v>
          </cell>
          <cell r="C219" t="str">
            <v>UND</v>
          </cell>
          <cell r="D219" t="str">
            <v>UND</v>
          </cell>
          <cell r="E219">
            <v>123.89697454065589</v>
          </cell>
          <cell r="F219">
            <v>123.89697454065589</v>
          </cell>
          <cell r="G219">
            <v>0.39982959433249193</v>
          </cell>
          <cell r="H219">
            <v>0.39982959433249193</v>
          </cell>
          <cell r="I219">
            <v>46.883423180592985</v>
          </cell>
          <cell r="J219">
            <v>46.883423180592985</v>
          </cell>
        </row>
        <row r="220">
          <cell r="A220" t="str">
            <v>96292</v>
          </cell>
          <cell r="B220" t="str">
            <v>ROSQUETE TRES LECHES RED. (150g)</v>
          </cell>
          <cell r="C220" t="str">
            <v>UND</v>
          </cell>
          <cell r="D220" t="str">
            <v>UND</v>
          </cell>
          <cell r="E220">
            <v>161.62757625425056</v>
          </cell>
          <cell r="F220">
            <v>161.62757625425056</v>
          </cell>
          <cell r="G220">
            <v>1.7718978079258554</v>
          </cell>
          <cell r="H220">
            <v>1.7718978079258554</v>
          </cell>
          <cell r="I220">
            <v>29.720637583892618</v>
          </cell>
          <cell r="J220">
            <v>29.720637583892618</v>
          </cell>
        </row>
        <row r="221">
          <cell r="A221" t="str">
            <v>96293</v>
          </cell>
          <cell r="B221" t="str">
            <v>BATIDO P/ROSQUETE TRES LECHES (16700g)</v>
          </cell>
          <cell r="C221" t="str">
            <v>KILO</v>
          </cell>
          <cell r="D221" t="str">
            <v>GRAMO</v>
          </cell>
          <cell r="E221">
            <v>974.43102043715862</v>
          </cell>
          <cell r="F221">
            <v>0.97443102043715857</v>
          </cell>
          <cell r="G221">
            <v>3.5376047879260999</v>
          </cell>
          <cell r="H221">
            <v>3.5376047879261E-3</v>
          </cell>
          <cell r="I221">
            <v>24.043715846994537</v>
          </cell>
          <cell r="J221">
            <v>2.4043715846994537E-2</v>
          </cell>
        </row>
        <row r="222">
          <cell r="A222" t="str">
            <v>96296</v>
          </cell>
          <cell r="B222" t="str">
            <v>BATIDO P/ROSQUETE CHOCOLATE BUCCA (11475g)</v>
          </cell>
          <cell r="C222" t="str">
            <v>KILO</v>
          </cell>
          <cell r="D222" t="str">
            <v>GRAMO</v>
          </cell>
          <cell r="E222">
            <v>1057.7837416993466</v>
          </cell>
          <cell r="F222">
            <v>1.0577837416993465</v>
          </cell>
          <cell r="G222">
            <v>2.8203258152643773</v>
          </cell>
          <cell r="H222">
            <v>2.8203258152643771E-3</v>
          </cell>
          <cell r="I222">
            <v>48.104575163398692</v>
          </cell>
          <cell r="J222">
            <v>4.8104575163398694E-2</v>
          </cell>
        </row>
        <row r="223">
          <cell r="A223" t="str">
            <v>96299</v>
          </cell>
          <cell r="B223" t="str">
            <v>CROISSANT C/JAMON STB (UND)</v>
          </cell>
          <cell r="C223" t="str">
            <v>UND</v>
          </cell>
          <cell r="D223" t="str">
            <v>UND</v>
          </cell>
          <cell r="E223">
            <v>307.09518973819553</v>
          </cell>
          <cell r="F223">
            <v>307.09518973819553</v>
          </cell>
          <cell r="G223">
            <v>0.73358858788922221</v>
          </cell>
          <cell r="H223">
            <v>0.73358858788922221</v>
          </cell>
          <cell r="I223">
            <v>50.787974886339036</v>
          </cell>
          <cell r="J223">
            <v>50.787974886339036</v>
          </cell>
        </row>
        <row r="224">
          <cell r="A224" t="str">
            <v>96305</v>
          </cell>
          <cell r="B224" t="str">
            <v>BATIDO P/BROWNIE SPOON (6000g)</v>
          </cell>
          <cell r="C224" t="str">
            <v>KILO</v>
          </cell>
          <cell r="D224" t="str">
            <v>GRAMO</v>
          </cell>
          <cell r="E224">
            <v>1517.20092525</v>
          </cell>
          <cell r="F224">
            <v>1.5172009252500001</v>
          </cell>
          <cell r="G224">
            <v>16.075130953749998</v>
          </cell>
          <cell r="H224">
            <v>8.9306283076388878E-3</v>
          </cell>
          <cell r="I224">
            <v>67.12062499999999</v>
          </cell>
          <cell r="J224">
            <v>3.7289236111111103E-2</v>
          </cell>
        </row>
        <row r="225">
          <cell r="A225" t="str">
            <v>96306</v>
          </cell>
          <cell r="B225" t="str">
            <v>BATIDO P/COCADA SPOON (21647g)</v>
          </cell>
          <cell r="C225" t="str">
            <v>KILO</v>
          </cell>
          <cell r="D225" t="str">
            <v>GRAMO</v>
          </cell>
          <cell r="E225">
            <v>1832.4797084720931</v>
          </cell>
          <cell r="F225">
            <v>1.8324797084720932</v>
          </cell>
          <cell r="G225">
            <v>0</v>
          </cell>
          <cell r="H225">
            <v>0</v>
          </cell>
          <cell r="I225">
            <v>25.581395348837209</v>
          </cell>
          <cell r="J225">
            <v>2.5581395348837209E-2</v>
          </cell>
        </row>
        <row r="226">
          <cell r="A226" t="str">
            <v>96311</v>
          </cell>
          <cell r="B226" t="str">
            <v>ROSQUETE CHOCOLATE RED. (700g)</v>
          </cell>
          <cell r="C226" t="str">
            <v>UND</v>
          </cell>
          <cell r="D226" t="str">
            <v>UND</v>
          </cell>
          <cell r="E226">
            <v>852.46206408625835</v>
          </cell>
          <cell r="F226">
            <v>852.46206408625835</v>
          </cell>
          <cell r="G226">
            <v>15.921994095213645</v>
          </cell>
          <cell r="H226">
            <v>15.921994095213645</v>
          </cell>
          <cell r="I226">
            <v>29.022774782704367</v>
          </cell>
          <cell r="J226">
            <v>29.022774782704367</v>
          </cell>
        </row>
        <row r="227">
          <cell r="A227" t="str">
            <v>96322</v>
          </cell>
          <cell r="B227" t="str">
            <v>BATIDO P/ROSQUETE CARAMELO (18150g)</v>
          </cell>
          <cell r="C227" t="str">
            <v>KILO</v>
          </cell>
          <cell r="D227" t="str">
            <v>GRAMO</v>
          </cell>
          <cell r="E227">
            <v>1190.2698842975205</v>
          </cell>
          <cell r="F227">
            <v>1.1902698842975206</v>
          </cell>
          <cell r="G227">
            <v>0</v>
          </cell>
          <cell r="H227">
            <v>0</v>
          </cell>
          <cell r="I227">
            <v>15.426997245179065</v>
          </cell>
          <cell r="J227">
            <v>1.5426997245179064E-2</v>
          </cell>
        </row>
        <row r="228">
          <cell r="A228" t="str">
            <v>96324</v>
          </cell>
          <cell r="B228" t="str">
            <v>ROSQUETE CARAMELO PURATOS (1060g)</v>
          </cell>
          <cell r="C228" t="str">
            <v>UND</v>
          </cell>
          <cell r="D228" t="str">
            <v>UND</v>
          </cell>
          <cell r="E228">
            <v>1440.5810135573906</v>
          </cell>
          <cell r="F228">
            <v>1440.5810135573906</v>
          </cell>
          <cell r="G228">
            <v>19.769060411482837</v>
          </cell>
          <cell r="H228">
            <v>19.769060411482837</v>
          </cell>
          <cell r="I228">
            <v>43.943276172306241</v>
          </cell>
          <cell r="J228">
            <v>43.943276172306241</v>
          </cell>
        </row>
        <row r="229">
          <cell r="A229" t="str">
            <v>96328</v>
          </cell>
          <cell r="B229" t="str">
            <v>ROSQUETE MELOCOTON RECT.PURATOS (3400g)</v>
          </cell>
          <cell r="C229" t="str">
            <v>UND</v>
          </cell>
          <cell r="D229" t="str">
            <v>UND</v>
          </cell>
          <cell r="E229">
            <v>4595.986369707296</v>
          </cell>
          <cell r="F229">
            <v>4595.986369707296</v>
          </cell>
          <cell r="G229">
            <v>29.641797018394229</v>
          </cell>
          <cell r="H229">
            <v>29.641797018394229</v>
          </cell>
          <cell r="I229">
            <v>140.25143489451781</v>
          </cell>
          <cell r="J229">
            <v>140.25143489451781</v>
          </cell>
        </row>
        <row r="230">
          <cell r="A230" t="str">
            <v>96329</v>
          </cell>
          <cell r="B230" t="str">
            <v>PRALINE (1380g)</v>
          </cell>
          <cell r="C230" t="str">
            <v>KILO</v>
          </cell>
          <cell r="D230" t="str">
            <v>GRAMO</v>
          </cell>
          <cell r="E230">
            <v>5776.4652173913037</v>
          </cell>
          <cell r="F230">
            <v>5.776465217391304</v>
          </cell>
          <cell r="G230">
            <v>7.8260869565217401</v>
          </cell>
          <cell r="H230">
            <v>7.8260869565217397E-3</v>
          </cell>
          <cell r="I230">
            <v>405.79710144927537</v>
          </cell>
          <cell r="J230">
            <v>0.40579710144927539</v>
          </cell>
        </row>
        <row r="231">
          <cell r="A231" t="str">
            <v>96331</v>
          </cell>
          <cell r="B231" t="str">
            <v>BOLLETA BLANCA P/CROCANTINI (80g)</v>
          </cell>
          <cell r="C231" t="str">
            <v>UND</v>
          </cell>
          <cell r="D231" t="str">
            <v>UND</v>
          </cell>
          <cell r="E231">
            <v>45.417622234316674</v>
          </cell>
          <cell r="F231">
            <v>45.417622234316674</v>
          </cell>
          <cell r="G231">
            <v>0.39930195657604239</v>
          </cell>
          <cell r="H231">
            <v>0.39930195657604239</v>
          </cell>
          <cell r="I231">
            <v>23.408856882257645</v>
          </cell>
          <cell r="J231">
            <v>23.408856882257645</v>
          </cell>
        </row>
        <row r="232">
          <cell r="A232" t="str">
            <v>96340</v>
          </cell>
          <cell r="B232" t="str">
            <v>CREMA MOKA C/BAILEYS (1200g)</v>
          </cell>
          <cell r="C232" t="str">
            <v>KILO</v>
          </cell>
          <cell r="D232" t="str">
            <v>GRAMO</v>
          </cell>
          <cell r="E232">
            <v>4033.7853397038107</v>
          </cell>
          <cell r="F232">
            <v>4.0337853397038108</v>
          </cell>
          <cell r="G232">
            <v>0.93512481943999726</v>
          </cell>
          <cell r="H232">
            <v>9.3512481943999726E-4</v>
          </cell>
          <cell r="I232">
            <v>249.85910983029137</v>
          </cell>
          <cell r="J232">
            <v>0.24985910983029139</v>
          </cell>
        </row>
        <row r="233">
          <cell r="A233" t="str">
            <v>96341</v>
          </cell>
          <cell r="B233" t="str">
            <v>PECANA CUBIERTA C/COCOLATE BLANCO (500g)</v>
          </cell>
          <cell r="C233" t="str">
            <v>KILO</v>
          </cell>
          <cell r="D233" t="str">
            <v>GRAMO</v>
          </cell>
          <cell r="E233">
            <v>6432.4953750000004</v>
          </cell>
          <cell r="F233">
            <v>6.4324953750000002</v>
          </cell>
          <cell r="G233">
            <v>32.96543615625</v>
          </cell>
          <cell r="H233">
            <v>3.296543615625E-2</v>
          </cell>
          <cell r="I233">
            <v>600.16666666666663</v>
          </cell>
          <cell r="J233">
            <v>0.60016666666666663</v>
          </cell>
        </row>
        <row r="234">
          <cell r="A234" t="str">
            <v>96342</v>
          </cell>
          <cell r="B234" t="str">
            <v>MEZCLA DE TRES LECHES C/BAILEYS (3600g)</v>
          </cell>
          <cell r="C234" t="str">
            <v>LITRO</v>
          </cell>
          <cell r="D234" t="str">
            <v>GRAMO</v>
          </cell>
          <cell r="E234">
            <v>6479.2919439704865</v>
          </cell>
          <cell r="F234">
            <v>6.4792919439704866</v>
          </cell>
          <cell r="G234">
            <v>2.6780055555555555</v>
          </cell>
          <cell r="H234">
            <v>2.6780055555555553E-3</v>
          </cell>
          <cell r="I234">
            <v>35.223765432098766</v>
          </cell>
          <cell r="J234">
            <v>3.5223765432098764E-2</v>
          </cell>
        </row>
        <row r="235">
          <cell r="A235" t="str">
            <v>96343</v>
          </cell>
          <cell r="B235" t="str">
            <v>GANACHE BAILEYS (700g)</v>
          </cell>
          <cell r="C235" t="str">
            <v>KILO</v>
          </cell>
          <cell r="D235" t="str">
            <v>GRAMO</v>
          </cell>
          <cell r="E235">
            <v>4033.9998857142855</v>
          </cell>
          <cell r="F235">
            <v>4.0339998857142856</v>
          </cell>
          <cell r="G235">
            <v>13.772599999999999</v>
          </cell>
          <cell r="H235">
            <v>1.3772599999999999E-2</v>
          </cell>
          <cell r="I235">
            <v>392.85714285714283</v>
          </cell>
          <cell r="J235">
            <v>0.39285714285714285</v>
          </cell>
        </row>
        <row r="236">
          <cell r="A236" t="str">
            <v>96344</v>
          </cell>
          <cell r="B236" t="str">
            <v>CREMA DULCE LECHE (24500g)</v>
          </cell>
          <cell r="C236" t="str">
            <v>KILO</v>
          </cell>
          <cell r="D236" t="str">
            <v>GRAMO</v>
          </cell>
          <cell r="E236">
            <v>1870.7287253877548</v>
          </cell>
          <cell r="F236">
            <v>1.8707287253877549</v>
          </cell>
          <cell r="G236">
            <v>0</v>
          </cell>
          <cell r="H236">
            <v>0</v>
          </cell>
          <cell r="I236">
            <v>11.224489795918366</v>
          </cell>
          <cell r="J236">
            <v>1.1224489795918367E-2</v>
          </cell>
        </row>
        <row r="237">
          <cell r="A237" t="str">
            <v>96349</v>
          </cell>
          <cell r="B237" t="str">
            <v>BATIDO P/ROSQUETE ZANAHORIA (10200g)</v>
          </cell>
          <cell r="C237" t="str">
            <v>KILO</v>
          </cell>
          <cell r="D237" t="str">
            <v>GRAMO</v>
          </cell>
          <cell r="E237">
            <v>1637.0907680285959</v>
          </cell>
          <cell r="F237">
            <v>1.637090768028596</v>
          </cell>
          <cell r="G237">
            <v>0.92457834152809126</v>
          </cell>
          <cell r="H237">
            <v>9.245783415280913E-4</v>
          </cell>
          <cell r="I237">
            <v>95.821209739325496</v>
          </cell>
          <cell r="J237">
            <v>9.5821209739325494E-2</v>
          </cell>
        </row>
        <row r="238">
          <cell r="A238" t="str">
            <v>96352</v>
          </cell>
          <cell r="B238" t="str">
            <v>GALLETA P/TORTA CHILENA BUCCA</v>
          </cell>
          <cell r="C238" t="str">
            <v>UND</v>
          </cell>
          <cell r="D238" t="str">
            <v>UND</v>
          </cell>
          <cell r="E238">
            <v>59.974259271360751</v>
          </cell>
          <cell r="F238">
            <v>59.974259271360751</v>
          </cell>
          <cell r="G238">
            <v>0.46606528812537668</v>
          </cell>
          <cell r="H238">
            <v>0.46606528812537668</v>
          </cell>
          <cell r="I238">
            <v>15.320253164556961</v>
          </cell>
          <cell r="J238">
            <v>15.320253164556961</v>
          </cell>
        </row>
        <row r="239">
          <cell r="A239" t="str">
            <v>96356</v>
          </cell>
          <cell r="B239" t="str">
            <v>ROSQUETE VAINILLA PURATOS  (1000g)</v>
          </cell>
          <cell r="C239" t="str">
            <v>UND</v>
          </cell>
          <cell r="D239" t="str">
            <v>UND</v>
          </cell>
          <cell r="E239">
            <v>1023.982802590923</v>
          </cell>
          <cell r="F239">
            <v>1023.982802590923</v>
          </cell>
          <cell r="G239">
            <v>24.187790337380832</v>
          </cell>
          <cell r="H239">
            <v>24.187790337380832</v>
          </cell>
          <cell r="I239">
            <v>34.421435367327526</v>
          </cell>
          <cell r="J239">
            <v>34.421435367327526</v>
          </cell>
        </row>
        <row r="240">
          <cell r="A240" t="str">
            <v>96357</v>
          </cell>
          <cell r="B240" t="str">
            <v>ROSQUETE CHOCOLATE SPOON  (280g)</v>
          </cell>
          <cell r="C240" t="str">
            <v>UND</v>
          </cell>
          <cell r="D240" t="str">
            <v>UND</v>
          </cell>
          <cell r="E240">
            <v>346.31448108981016</v>
          </cell>
          <cell r="F240">
            <v>346.31448108981016</v>
          </cell>
          <cell r="G240">
            <v>5.1702547117871935</v>
          </cell>
          <cell r="H240">
            <v>5.1702547117871935</v>
          </cell>
          <cell r="I240">
            <v>14.846672462552155</v>
          </cell>
          <cell r="J240">
            <v>14.846672462552155</v>
          </cell>
        </row>
        <row r="241">
          <cell r="A241" t="str">
            <v>96360</v>
          </cell>
          <cell r="B241" t="str">
            <v>COCCION PALMITO P/ENSALADA (1900g)</v>
          </cell>
          <cell r="C241" t="str">
            <v>KILO</v>
          </cell>
          <cell r="D241" t="str">
            <v>GRAMO</v>
          </cell>
          <cell r="E241">
            <v>2347.4006557894736</v>
          </cell>
          <cell r="F241">
            <v>2.3474006557894738</v>
          </cell>
          <cell r="G241">
            <v>44.225973684210523</v>
          </cell>
          <cell r="H241">
            <v>4.4225973684210523E-2</v>
          </cell>
          <cell r="I241">
            <v>86.842105263157904</v>
          </cell>
          <cell r="J241">
            <v>8.6842105263157901E-2</v>
          </cell>
        </row>
        <row r="242">
          <cell r="A242" t="str">
            <v>96361</v>
          </cell>
          <cell r="B242" t="str">
            <v>BATIDO YOGURT CAKE (10500g)</v>
          </cell>
          <cell r="C242" t="str">
            <v>KILO</v>
          </cell>
          <cell r="D242" t="str">
            <v>GRAMO</v>
          </cell>
          <cell r="E242">
            <v>1356.717147051859</v>
          </cell>
          <cell r="F242">
            <v>1.3567171470518591</v>
          </cell>
          <cell r="G242">
            <v>3.1315248243744573</v>
          </cell>
          <cell r="H242">
            <v>3.1315248243744573E-3</v>
          </cell>
          <cell r="I242">
            <v>47.738574473123371</v>
          </cell>
          <cell r="J242">
            <v>4.7738574473123373E-2</v>
          </cell>
        </row>
        <row r="243">
          <cell r="A243" t="str">
            <v>96362</v>
          </cell>
          <cell r="B243" t="str">
            <v>ADEREZO CULANTRO RANCH (500g)</v>
          </cell>
          <cell r="C243" t="str">
            <v>KILO</v>
          </cell>
          <cell r="D243" t="str">
            <v>GRAMO</v>
          </cell>
          <cell r="E243">
            <v>1313.3792668857036</v>
          </cell>
          <cell r="F243">
            <v>1.3133792668857036</v>
          </cell>
          <cell r="G243">
            <v>64.31460317543943</v>
          </cell>
          <cell r="H243">
            <v>6.4314603175439425E-2</v>
          </cell>
          <cell r="I243">
            <v>604.54374873079269</v>
          </cell>
          <cell r="J243">
            <v>0.60454374873079264</v>
          </cell>
        </row>
        <row r="244">
          <cell r="A244" t="str">
            <v>96367</v>
          </cell>
          <cell r="B244" t="str">
            <v>ADEREZO PESTO ALBAHACA (300g)</v>
          </cell>
          <cell r="C244" t="str">
            <v>KILO</v>
          </cell>
          <cell r="D244" t="str">
            <v>GRAMO</v>
          </cell>
          <cell r="E244">
            <v>3256.399145833333</v>
          </cell>
          <cell r="F244">
            <v>3.256399145833333</v>
          </cell>
          <cell r="G244">
            <v>54.084525925925938</v>
          </cell>
          <cell r="H244">
            <v>5.4084525925925934E-2</v>
          </cell>
          <cell r="I244">
            <v>566.93693693693706</v>
          </cell>
          <cell r="J244">
            <v>0.56693693693693703</v>
          </cell>
        </row>
        <row r="245">
          <cell r="A245" t="str">
            <v>96368</v>
          </cell>
          <cell r="B245" t="str">
            <v>COCCION CARNE PHILLY (500g)</v>
          </cell>
          <cell r="C245" t="str">
            <v>KILO</v>
          </cell>
          <cell r="D245" t="str">
            <v>GRAMO</v>
          </cell>
          <cell r="E245">
            <v>11091.887170000002</v>
          </cell>
          <cell r="F245">
            <v>11.091887170000001</v>
          </cell>
          <cell r="G245">
            <v>49.338826999999995</v>
          </cell>
          <cell r="H245">
            <v>4.9338826999999995E-2</v>
          </cell>
          <cell r="I245">
            <v>560</v>
          </cell>
          <cell r="J245">
            <v>0.56000000000000005</v>
          </cell>
        </row>
        <row r="246">
          <cell r="A246" t="str">
            <v>96369</v>
          </cell>
          <cell r="B246" t="str">
            <v>COCCION CEBOLLA PHILLY (200g)</v>
          </cell>
          <cell r="C246" t="str">
            <v>KILO</v>
          </cell>
          <cell r="D246" t="str">
            <v>GRAMO</v>
          </cell>
          <cell r="E246">
            <v>7895.8827233333341</v>
          </cell>
          <cell r="F246">
            <v>7.895882723333334</v>
          </cell>
          <cell r="G246">
            <v>123.34706749999999</v>
          </cell>
          <cell r="H246">
            <v>0.12334706749999999</v>
          </cell>
          <cell r="I246">
            <v>1400</v>
          </cell>
          <cell r="J246">
            <v>1.4</v>
          </cell>
        </row>
        <row r="247">
          <cell r="A247" t="str">
            <v>96370</v>
          </cell>
          <cell r="B247" t="str">
            <v>MEZCLA CLARAS P/TORTA (1700g)</v>
          </cell>
          <cell r="C247" t="str">
            <v>KILO</v>
          </cell>
          <cell r="D247" t="str">
            <v>GRAMO</v>
          </cell>
          <cell r="E247">
            <v>2967.8659223529412</v>
          </cell>
          <cell r="F247">
            <v>2.9678659223529413</v>
          </cell>
          <cell r="G247">
            <v>0</v>
          </cell>
          <cell r="H247">
            <v>0</v>
          </cell>
          <cell r="I247">
            <v>98.823529411764696</v>
          </cell>
          <cell r="J247">
            <v>9.8823529411764699E-2</v>
          </cell>
        </row>
        <row r="248">
          <cell r="A248" t="str">
            <v>96371</v>
          </cell>
          <cell r="B248" t="str">
            <v>MEZCLA DE HUEVOS ENTEROS P/TORTA (750g)</v>
          </cell>
          <cell r="C248" t="str">
            <v>KILO</v>
          </cell>
          <cell r="D248" t="str">
            <v>GRAMO</v>
          </cell>
          <cell r="E248">
            <v>1409.0171506666668</v>
          </cell>
          <cell r="F248">
            <v>1.4090171506666669</v>
          </cell>
          <cell r="G248">
            <v>0</v>
          </cell>
          <cell r="H248">
            <v>0</v>
          </cell>
          <cell r="I248">
            <v>224</v>
          </cell>
          <cell r="J248">
            <v>0.224</v>
          </cell>
        </row>
        <row r="249">
          <cell r="A249" t="str">
            <v>96372</v>
          </cell>
          <cell r="B249" t="str">
            <v>QUESO CHEDDAR BLANCO LAMINADO Y EMPACADO (1000g)</v>
          </cell>
          <cell r="C249" t="str">
            <v>KILO</v>
          </cell>
          <cell r="D249" t="str">
            <v>GRAMO</v>
          </cell>
          <cell r="E249">
            <v>9278.7842700000001</v>
          </cell>
          <cell r="F249">
            <v>9.2787842700000009</v>
          </cell>
          <cell r="G249">
            <v>52.097924444444445</v>
          </cell>
          <cell r="H249">
            <v>5.2097924444444443E-2</v>
          </cell>
          <cell r="I249">
            <v>224</v>
          </cell>
          <cell r="J249">
            <v>0.224</v>
          </cell>
        </row>
        <row r="250">
          <cell r="A250" t="str">
            <v>96373</v>
          </cell>
          <cell r="B250" t="str">
            <v>QUESO CHEDDAR LAMINADO Y EMPACADO (1000g)</v>
          </cell>
          <cell r="C250" t="str">
            <v>KILO</v>
          </cell>
          <cell r="D250" t="str">
            <v>GRAMO</v>
          </cell>
          <cell r="E250">
            <v>9065.4797699999999</v>
          </cell>
          <cell r="F250">
            <v>9.0654797699999996</v>
          </cell>
          <cell r="G250">
            <v>52.097924444444445</v>
          </cell>
          <cell r="H250">
            <v>5.2097924444444443E-2</v>
          </cell>
          <cell r="I250">
            <v>224</v>
          </cell>
          <cell r="J250">
            <v>0.224</v>
          </cell>
        </row>
        <row r="251">
          <cell r="A251" t="str">
            <v>96374</v>
          </cell>
          <cell r="B251" t="str">
            <v>QUESO GOUDA BLANCO LAMINADO Y EMPACADO (1000g)</v>
          </cell>
          <cell r="C251" t="str">
            <v>KILO</v>
          </cell>
          <cell r="D251" t="str">
            <v>GRAMO</v>
          </cell>
          <cell r="E251">
            <v>6766.1310899999999</v>
          </cell>
          <cell r="F251">
            <v>6.76613109</v>
          </cell>
          <cell r="G251">
            <v>52.103924444444445</v>
          </cell>
          <cell r="H251">
            <v>5.2103924444444442E-2</v>
          </cell>
          <cell r="I251">
            <v>224</v>
          </cell>
          <cell r="J251">
            <v>0.224</v>
          </cell>
        </row>
        <row r="252">
          <cell r="A252" t="str">
            <v>96375</v>
          </cell>
          <cell r="B252" t="str">
            <v>QUESO MONTERREY JACK LAMINADO Y EMPACADO (1000g)</v>
          </cell>
          <cell r="C252" t="str">
            <v>KILO</v>
          </cell>
          <cell r="D252" t="str">
            <v>GRAMO</v>
          </cell>
          <cell r="E252">
            <v>6933.1377600000005</v>
          </cell>
          <cell r="F252">
            <v>6.9331377600000001</v>
          </cell>
          <cell r="G252">
            <v>52.223357777777778</v>
          </cell>
          <cell r="H252">
            <v>5.2223357777777778E-2</v>
          </cell>
          <cell r="I252">
            <v>224</v>
          </cell>
          <cell r="J252">
            <v>0.224</v>
          </cell>
        </row>
        <row r="253">
          <cell r="A253" t="str">
            <v>96376</v>
          </cell>
          <cell r="B253" t="str">
            <v>SALCHICHA AMERICANA HORNEADA (300g)</v>
          </cell>
          <cell r="C253" t="str">
            <v>UND</v>
          </cell>
          <cell r="D253" t="str">
            <v>UND</v>
          </cell>
          <cell r="E253">
            <v>263.25</v>
          </cell>
          <cell r="F253">
            <v>263.25</v>
          </cell>
          <cell r="G253">
            <v>0</v>
          </cell>
          <cell r="H253">
            <v>0</v>
          </cell>
          <cell r="I253">
            <v>16.8</v>
          </cell>
          <cell r="J253">
            <v>16.8</v>
          </cell>
        </row>
        <row r="254">
          <cell r="A254" t="str">
            <v>96376</v>
          </cell>
          <cell r="B254" t="str">
            <v>SALCHICHA AMERICANA HORNEADA (300g)</v>
          </cell>
          <cell r="C254" t="str">
            <v>KILO</v>
          </cell>
          <cell r="D254" t="str">
            <v>GRAMO</v>
          </cell>
          <cell r="E254">
            <v>263.25</v>
          </cell>
          <cell r="F254">
            <v>0.26324999999999998</v>
          </cell>
          <cell r="G254">
            <v>0</v>
          </cell>
          <cell r="H254">
            <v>0</v>
          </cell>
          <cell r="I254">
            <v>16.8</v>
          </cell>
          <cell r="J254">
            <v>1.6800000000000002E-2</v>
          </cell>
        </row>
        <row r="255">
          <cell r="A255" t="str">
            <v>96377</v>
          </cell>
          <cell r="B255" t="str">
            <v>SALSA CEBOLLA PHILLY (500g)</v>
          </cell>
          <cell r="C255" t="str">
            <v>KILO</v>
          </cell>
          <cell r="D255" t="str">
            <v>GRAMO</v>
          </cell>
          <cell r="E255">
            <v>2593.4490490000003</v>
          </cell>
          <cell r="F255">
            <v>2.5934490490000002</v>
          </cell>
          <cell r="G255">
            <v>0</v>
          </cell>
          <cell r="H255">
            <v>0</v>
          </cell>
          <cell r="I255">
            <v>560</v>
          </cell>
          <cell r="J255">
            <v>0.56000000000000005</v>
          </cell>
        </row>
        <row r="256">
          <cell r="A256" t="str">
            <v>96378</v>
          </cell>
          <cell r="B256" t="str">
            <v>TOCINETA TOSTADA (150g)</v>
          </cell>
          <cell r="C256" t="str">
            <v>KILO</v>
          </cell>
          <cell r="D256" t="str">
            <v>GRAMO</v>
          </cell>
          <cell r="E256">
            <v>10946.533333333331</v>
          </cell>
          <cell r="F256">
            <v>10.946533333333331</v>
          </cell>
          <cell r="G256">
            <v>0</v>
          </cell>
          <cell r="H256">
            <v>0</v>
          </cell>
          <cell r="I256">
            <v>1120</v>
          </cell>
          <cell r="J256">
            <v>1.1200000000000001</v>
          </cell>
        </row>
        <row r="257">
          <cell r="A257" t="str">
            <v>96379</v>
          </cell>
          <cell r="B257" t="str">
            <v>TORTA DE CLARAS (110g)</v>
          </cell>
          <cell r="C257" t="str">
            <v>UND</v>
          </cell>
          <cell r="D257" t="str">
            <v>UND</v>
          </cell>
          <cell r="E257">
            <v>508.87973196778529</v>
          </cell>
          <cell r="F257">
            <v>508.87973196778529</v>
          </cell>
          <cell r="G257">
            <v>0</v>
          </cell>
          <cell r="H257">
            <v>0</v>
          </cell>
          <cell r="I257">
            <v>33.881879194630869</v>
          </cell>
          <cell r="J257">
            <v>33.881879194630869</v>
          </cell>
        </row>
        <row r="258">
          <cell r="A258" t="str">
            <v>96380</v>
          </cell>
          <cell r="B258" t="str">
            <v>TORTA DE HUEVO (75g)</v>
          </cell>
          <cell r="C258" t="str">
            <v>UND</v>
          </cell>
          <cell r="D258" t="str">
            <v>UND</v>
          </cell>
          <cell r="E258">
            <v>107.84754888389264</v>
          </cell>
          <cell r="F258">
            <v>107.84754888389264</v>
          </cell>
          <cell r="G258">
            <v>2.838254697986577E-2</v>
          </cell>
          <cell r="H258">
            <v>2.838254697986577E-2</v>
          </cell>
          <cell r="I258">
            <v>39.340939597315433</v>
          </cell>
          <cell r="J258">
            <v>39.340939597315433</v>
          </cell>
        </row>
        <row r="259">
          <cell r="A259" t="str">
            <v>96381</v>
          </cell>
          <cell r="B259" t="str">
            <v>TORTA HUEVOS Y VEGETALES (75g)</v>
          </cell>
          <cell r="C259" t="str">
            <v>UND</v>
          </cell>
          <cell r="D259" t="str">
            <v>UND</v>
          </cell>
          <cell r="E259">
            <v>113.89141737722596</v>
          </cell>
          <cell r="F259">
            <v>113.89141737722596</v>
          </cell>
          <cell r="G259">
            <v>2.838254697986577E-2</v>
          </cell>
          <cell r="H259">
            <v>2.838254697986577E-2</v>
          </cell>
          <cell r="I259">
            <v>37.100939597315438</v>
          </cell>
          <cell r="J259">
            <v>37.100939597315438</v>
          </cell>
        </row>
        <row r="260">
          <cell r="A260" t="str">
            <v>96388</v>
          </cell>
          <cell r="B260" t="str">
            <v>BASE DE GALLETA DE CHOCOLATE (1000g)</v>
          </cell>
          <cell r="C260" t="str">
            <v>KILO</v>
          </cell>
          <cell r="D260" t="str">
            <v>GRAMO</v>
          </cell>
          <cell r="E260">
            <v>1553.7802000000001</v>
          </cell>
          <cell r="F260">
            <v>1.5537802000000001</v>
          </cell>
          <cell r="G260">
            <v>0</v>
          </cell>
          <cell r="H260">
            <v>0</v>
          </cell>
          <cell r="I260">
            <v>220</v>
          </cell>
          <cell r="J260">
            <v>0.22</v>
          </cell>
        </row>
        <row r="261">
          <cell r="A261" t="str">
            <v>96392</v>
          </cell>
          <cell r="B261" t="str">
            <v>BASTONES QUESO TURRIALBA P/TIQUEÑOS</v>
          </cell>
          <cell r="C261" t="str">
            <v>KILO</v>
          </cell>
          <cell r="D261" t="str">
            <v>GRAMO</v>
          </cell>
          <cell r="E261">
            <v>3036.3153488372091</v>
          </cell>
          <cell r="F261">
            <v>3.036315348837209</v>
          </cell>
          <cell r="G261">
            <v>1.0934808139534882</v>
          </cell>
          <cell r="H261">
            <v>1.0934808139534881E-3</v>
          </cell>
          <cell r="I261">
            <v>89.534883720930225</v>
          </cell>
          <cell r="J261">
            <v>8.9534883720930228E-2</v>
          </cell>
        </row>
        <row r="262">
          <cell r="A262" t="str">
            <v>96393</v>
          </cell>
          <cell r="B262" t="str">
            <v>BATIDO P/PAN BLANCO (24650g)</v>
          </cell>
          <cell r="C262" t="str">
            <v>KILO</v>
          </cell>
          <cell r="D262" t="str">
            <v>GRAMO</v>
          </cell>
          <cell r="E262">
            <v>496.04960787018251</v>
          </cell>
          <cell r="F262">
            <v>0.49604960787018249</v>
          </cell>
          <cell r="G262">
            <v>1.8606731317814482</v>
          </cell>
          <cell r="H262">
            <v>1.8606731317814481E-3</v>
          </cell>
          <cell r="I262">
            <v>20.081135902636916</v>
          </cell>
          <cell r="J262">
            <v>2.0081135902636917E-2</v>
          </cell>
        </row>
        <row r="263">
          <cell r="A263" t="str">
            <v>96395</v>
          </cell>
          <cell r="B263" t="str">
            <v>PRALINE C/CHOCOLATE BLANCO (2600g)</v>
          </cell>
          <cell r="C263" t="str">
            <v>KILO</v>
          </cell>
          <cell r="D263" t="str">
            <v>GRAMO</v>
          </cell>
          <cell r="E263">
            <v>4516.5968076923073</v>
          </cell>
          <cell r="F263">
            <v>4.5165968076923075</v>
          </cell>
          <cell r="G263">
            <v>8.6926923076923082</v>
          </cell>
          <cell r="H263">
            <v>8.6926923076923075E-3</v>
          </cell>
          <cell r="I263">
            <v>430.76923076923077</v>
          </cell>
          <cell r="J263">
            <v>0.43076923076923079</v>
          </cell>
        </row>
        <row r="264">
          <cell r="A264" t="str">
            <v>96396</v>
          </cell>
          <cell r="B264" t="str">
            <v>CREMA CHANTILLY BEIDGE (10400g)</v>
          </cell>
          <cell r="C264" t="str">
            <v>KILO</v>
          </cell>
          <cell r="D264" t="str">
            <v>GRAMO</v>
          </cell>
          <cell r="E264">
            <v>1565.0805096153845</v>
          </cell>
          <cell r="F264">
            <v>1.5650805096153844</v>
          </cell>
          <cell r="G264">
            <v>9.6249999999999988E-2</v>
          </cell>
          <cell r="H264">
            <v>9.6249999999999995E-5</v>
          </cell>
          <cell r="I264">
            <v>26.923076923076923</v>
          </cell>
          <cell r="J264">
            <v>2.6923076923076925E-2</v>
          </cell>
        </row>
        <row r="265">
          <cell r="A265" t="str">
            <v>96398</v>
          </cell>
          <cell r="B265" t="str">
            <v>ALMIBAR CON LICOR DE CAFE (3000g)</v>
          </cell>
          <cell r="C265" t="str">
            <v>KILO</v>
          </cell>
          <cell r="D265" t="str">
            <v>GRAMO</v>
          </cell>
          <cell r="E265">
            <v>4242.1413380324821</v>
          </cell>
          <cell r="F265">
            <v>4.2421413380324822</v>
          </cell>
          <cell r="G265">
            <v>5.1454490111229436</v>
          </cell>
          <cell r="H265">
            <v>5.1454490111229436E-3</v>
          </cell>
          <cell r="I265">
            <v>11.182108626198085</v>
          </cell>
          <cell r="J265">
            <v>1.1182108626198084E-2</v>
          </cell>
        </row>
        <row r="266">
          <cell r="A266" t="str">
            <v>96399</v>
          </cell>
          <cell r="B266" t="str">
            <v>BATIDO P/TORTA KALUA (7684g)</v>
          </cell>
          <cell r="C266" t="str">
            <v>KILO</v>
          </cell>
          <cell r="D266" t="str">
            <v>GRAMO</v>
          </cell>
          <cell r="E266">
            <v>2598.1708149431574</v>
          </cell>
          <cell r="F266">
            <v>2.5981708149431575</v>
          </cell>
          <cell r="G266">
            <v>7.0082209161000613</v>
          </cell>
          <cell r="H266">
            <v>7.0082209161000612E-3</v>
          </cell>
          <cell r="I266">
            <v>111.33659065921081</v>
          </cell>
          <cell r="J266">
            <v>0.11133659065921081</v>
          </cell>
        </row>
        <row r="267">
          <cell r="A267" t="str">
            <v>96409</v>
          </cell>
          <cell r="B267" t="str">
            <v>BASE PREMEZCLA CHOCOLATE PILLSBURY (6012g)</v>
          </cell>
          <cell r="C267" t="str">
            <v>TANDA</v>
          </cell>
          <cell r="D267" t="str">
            <v>GRAMO</v>
          </cell>
          <cell r="E267">
            <v>8989.293107999998</v>
          </cell>
          <cell r="F267">
            <v>1.4952250678642711</v>
          </cell>
          <cell r="G267">
            <v>32.369083809523815</v>
          </cell>
          <cell r="H267">
            <v>5.3840791433007011E-3</v>
          </cell>
          <cell r="I267">
            <v>110</v>
          </cell>
          <cell r="J267">
            <v>1.8296739853626082E-2</v>
          </cell>
        </row>
        <row r="268">
          <cell r="A268" t="str">
            <v>96451</v>
          </cell>
          <cell r="B268" t="str">
            <v>MEZCLA TRES LECHES C/AGUA (2000g)</v>
          </cell>
          <cell r="C268" t="str">
            <v>Kilo</v>
          </cell>
          <cell r="D268" t="str">
            <v>Gramo</v>
          </cell>
          <cell r="E268">
            <v>866.54019873768948</v>
          </cell>
          <cell r="F268">
            <v>0.8665401987376895</v>
          </cell>
          <cell r="G268">
            <v>0</v>
          </cell>
          <cell r="H268">
            <v>0</v>
          </cell>
          <cell r="I268">
            <v>67.934680321062828</v>
          </cell>
          <cell r="J268">
            <v>6.7934680321062826E-2</v>
          </cell>
        </row>
        <row r="269">
          <cell r="A269" t="str">
            <v>96464</v>
          </cell>
          <cell r="B269" t="str">
            <v>EMPAQUE SALSA BLANCA SPOON  (5000g)</v>
          </cell>
          <cell r="C269" t="str">
            <v>KILO</v>
          </cell>
          <cell r="D269" t="str">
            <v>GRAMO</v>
          </cell>
          <cell r="E269">
            <v>1571.1600631712397</v>
          </cell>
          <cell r="F269">
            <v>1.5711600631712397</v>
          </cell>
          <cell r="G269">
            <v>7.751116539682541</v>
          </cell>
          <cell r="H269">
            <v>7.7511165396825406E-3</v>
          </cell>
          <cell r="I269">
            <v>37.179910350448246</v>
          </cell>
          <cell r="J269">
            <v>3.7179910350448243E-2</v>
          </cell>
        </row>
        <row r="270">
          <cell r="A270" t="str">
            <v>96465</v>
          </cell>
          <cell r="B270" t="str">
            <v>POLLO RECORTE EMPACADO (5000g)</v>
          </cell>
          <cell r="C270" t="str">
            <v>KILO</v>
          </cell>
          <cell r="D270" t="str">
            <v>GRAMO</v>
          </cell>
          <cell r="E270">
            <v>3244.1848639240507</v>
          </cell>
          <cell r="F270">
            <v>3.2441848639240507</v>
          </cell>
          <cell r="G270">
            <v>7.6104167619047631</v>
          </cell>
          <cell r="H270">
            <v>7.6104167619047633E-3</v>
          </cell>
          <cell r="I270">
            <v>79.610759493670884</v>
          </cell>
          <cell r="J270">
            <v>7.9610759493670885E-2</v>
          </cell>
        </row>
        <row r="271">
          <cell r="A271" t="str">
            <v>96466</v>
          </cell>
          <cell r="B271" t="str">
            <v>POLLO DESMENUZADO MARMITA EMPACADO (5000g)</v>
          </cell>
          <cell r="C271" t="str">
            <v>KILO</v>
          </cell>
          <cell r="D271" t="str">
            <v>GRAMO</v>
          </cell>
          <cell r="E271">
            <v>3656.2497406250004</v>
          </cell>
          <cell r="F271">
            <v>3.6562497406250003</v>
          </cell>
          <cell r="G271">
            <v>7.6104167619047631</v>
          </cell>
          <cell r="H271">
            <v>7.6104167619047633E-3</v>
          </cell>
          <cell r="I271">
            <v>165.6875</v>
          </cell>
          <cell r="J271">
            <v>0.16568749999999999</v>
          </cell>
        </row>
        <row r="272">
          <cell r="A272" t="str">
            <v>96467</v>
          </cell>
          <cell r="B272" t="str">
            <v>ARROZ PRECOCIDO P/GALLO PINTO EMPACADO (5000g)</v>
          </cell>
          <cell r="C272" t="str">
            <v>KILO</v>
          </cell>
          <cell r="D272" t="str">
            <v>GRAMO</v>
          </cell>
          <cell r="E272">
            <v>684.71402472885029</v>
          </cell>
          <cell r="F272">
            <v>0.68471402472885035</v>
          </cell>
          <cell r="G272">
            <v>16.192352665013946</v>
          </cell>
          <cell r="H272">
            <v>1.6192352665013947E-2</v>
          </cell>
          <cell r="I272">
            <v>80.337527114967457</v>
          </cell>
          <cell r="J272">
            <v>8.0337527114967458E-2</v>
          </cell>
        </row>
        <row r="273">
          <cell r="A273" t="str">
            <v>96468</v>
          </cell>
          <cell r="B273" t="str">
            <v>FRIJOLES P/GALLO PINTO EMPACADOS (4000g)</v>
          </cell>
          <cell r="C273" t="str">
            <v>KILO</v>
          </cell>
          <cell r="D273" t="str">
            <v>GRAMO</v>
          </cell>
          <cell r="E273">
            <v>569.29152371342082</v>
          </cell>
          <cell r="F273">
            <v>0.56929152371342084</v>
          </cell>
          <cell r="G273">
            <v>7.8970049843031731</v>
          </cell>
          <cell r="H273">
            <v>7.8970049843031728E-3</v>
          </cell>
          <cell r="I273">
            <v>49.254288597376387</v>
          </cell>
          <cell r="J273">
            <v>4.9254288597376385E-2</v>
          </cell>
        </row>
        <row r="274">
          <cell r="A274" t="str">
            <v>96475</v>
          </cell>
          <cell r="B274" t="str">
            <v>COCCION CREMA TOMATE (18500g)</v>
          </cell>
          <cell r="C274" t="str">
            <v>KILO</v>
          </cell>
          <cell r="D274" t="str">
            <v>GRAMO</v>
          </cell>
          <cell r="E274">
            <v>1090.2296858739235</v>
          </cell>
          <cell r="F274">
            <v>1.0902296858739235</v>
          </cell>
          <cell r="G274">
            <v>0</v>
          </cell>
          <cell r="H274">
            <v>0</v>
          </cell>
          <cell r="I274">
            <v>29.198841698841701</v>
          </cell>
          <cell r="J274">
            <v>2.9198841698841699E-2</v>
          </cell>
        </row>
        <row r="275">
          <cell r="A275" t="str">
            <v>96476</v>
          </cell>
          <cell r="B275" t="str">
            <v>BASE PREMEZCLA P/EMPANADA STB (9456g)</v>
          </cell>
          <cell r="C275" t="str">
            <v>TANDA</v>
          </cell>
          <cell r="D275" t="str">
            <v>GRAMO</v>
          </cell>
          <cell r="E275">
            <v>3544.9617000000003</v>
          </cell>
          <cell r="F275">
            <v>0.37489019670050766</v>
          </cell>
          <cell r="G275">
            <v>35.065582698412705</v>
          </cell>
          <cell r="H275">
            <v>3.7082892024548121E-3</v>
          </cell>
          <cell r="I275">
            <v>168</v>
          </cell>
          <cell r="J275">
            <v>1.7766497461928935E-2</v>
          </cell>
        </row>
        <row r="276">
          <cell r="A276" t="str">
            <v>96477</v>
          </cell>
          <cell r="B276" t="str">
            <v>PASTA P/EMPANADA STB (16000g)</v>
          </cell>
          <cell r="C276" t="str">
            <v>KILO</v>
          </cell>
          <cell r="D276" t="str">
            <v>GRAMO</v>
          </cell>
          <cell r="E276">
            <v>798.93995025000004</v>
          </cell>
          <cell r="F276">
            <v>0.79893995025000009</v>
          </cell>
          <cell r="G276">
            <v>2.1776800595238095</v>
          </cell>
          <cell r="H276">
            <v>2.1776800595238095E-3</v>
          </cell>
          <cell r="I276">
            <v>44.875</v>
          </cell>
          <cell r="J276">
            <v>4.4874999999999998E-2</v>
          </cell>
        </row>
        <row r="277">
          <cell r="A277" t="str">
            <v>96478</v>
          </cell>
          <cell r="B277" t="str">
            <v>RECTANGULOS DE PASTA P/EMPANADA STB (UND)</v>
          </cell>
          <cell r="C277" t="str">
            <v>UND</v>
          </cell>
          <cell r="D277" t="str">
            <v>UND</v>
          </cell>
          <cell r="E277">
            <v>48.379197015000003</v>
          </cell>
          <cell r="F277">
            <v>48.379197015000003</v>
          </cell>
          <cell r="G277">
            <v>0.13066080357142856</v>
          </cell>
          <cell r="H277">
            <v>0.13066080357142856</v>
          </cell>
          <cell r="I277">
            <v>6.03</v>
          </cell>
          <cell r="J277">
            <v>6.03</v>
          </cell>
        </row>
        <row r="278">
          <cell r="A278" t="str">
            <v>96479</v>
          </cell>
          <cell r="B278" t="str">
            <v>RUEDA P/EMPANADA STB (UND)</v>
          </cell>
          <cell r="C278" t="str">
            <v>UND</v>
          </cell>
          <cell r="D278" t="str">
            <v>UND</v>
          </cell>
          <cell r="E278">
            <v>48.379249015000006</v>
          </cell>
          <cell r="F278">
            <v>48.379249015000006</v>
          </cell>
          <cell r="G278">
            <v>0.13066080357142856</v>
          </cell>
          <cell r="H278">
            <v>0.13066080357142856</v>
          </cell>
          <cell r="I278">
            <v>6.09</v>
          </cell>
          <cell r="J278">
            <v>6.09</v>
          </cell>
        </row>
        <row r="279">
          <cell r="A279" t="str">
            <v>96480</v>
          </cell>
          <cell r="B279" t="str">
            <v>RELLENO POLLO Y HONGOS STB EMPACADO (4000g)</v>
          </cell>
          <cell r="C279" t="str">
            <v>KILO</v>
          </cell>
          <cell r="D279" t="str">
            <v>GRAMO</v>
          </cell>
          <cell r="E279">
            <v>3397.7394979447758</v>
          </cell>
          <cell r="F279">
            <v>3.3977394979447757</v>
          </cell>
          <cell r="G279">
            <v>6.8891455555555563</v>
          </cell>
          <cell r="H279">
            <v>6.8891455555555566E-3</v>
          </cell>
          <cell r="I279">
            <v>241.83476259980947</v>
          </cell>
          <cell r="J279">
            <v>0.24183476259980946</v>
          </cell>
        </row>
        <row r="280">
          <cell r="A280" t="str">
            <v>96481</v>
          </cell>
          <cell r="B280" t="str">
            <v>RELLENO CAPRESSE STB EMPACADO (4000g)</v>
          </cell>
          <cell r="C280" t="str">
            <v>KILO</v>
          </cell>
          <cell r="D280" t="str">
            <v>GRAMO</v>
          </cell>
          <cell r="E280">
            <v>2734.9109968887979</v>
          </cell>
          <cell r="F280">
            <v>2.7349109968887979</v>
          </cell>
          <cell r="G280">
            <v>0.63700000000000001</v>
          </cell>
          <cell r="H280">
            <v>6.3699999999999998E-4</v>
          </cell>
          <cell r="I280">
            <v>165.82375204924509</v>
          </cell>
          <cell r="J280">
            <v>0.1658237520492451</v>
          </cell>
        </row>
        <row r="281">
          <cell r="A281" t="str">
            <v>96482</v>
          </cell>
          <cell r="B281" t="str">
            <v>RELLENO JAMON Y QUESO STB (4000g)</v>
          </cell>
          <cell r="C281" t="str">
            <v>KILO</v>
          </cell>
          <cell r="D281" t="str">
            <v>GRAMO</v>
          </cell>
          <cell r="E281">
            <v>2451.1142236052137</v>
          </cell>
          <cell r="F281">
            <v>2.4511142236052139</v>
          </cell>
          <cell r="G281">
            <v>6.7954622222222225</v>
          </cell>
          <cell r="H281">
            <v>6.7954622222222228E-3</v>
          </cell>
          <cell r="I281">
            <v>474.39387384356604</v>
          </cell>
          <cell r="J281">
            <v>0.47439387384356602</v>
          </cell>
        </row>
        <row r="282">
          <cell r="A282" t="str">
            <v>96483</v>
          </cell>
          <cell r="B282" t="str">
            <v>EMPANADA CAPRESSE STB (UND)</v>
          </cell>
          <cell r="C282" t="str">
            <v>UND</v>
          </cell>
          <cell r="D282" t="str">
            <v>UND</v>
          </cell>
          <cell r="E282">
            <v>191.24963460943991</v>
          </cell>
          <cell r="F282">
            <v>191.24963460943991</v>
          </cell>
          <cell r="G282">
            <v>0.16251080357142855</v>
          </cell>
          <cell r="H282">
            <v>0.16251080357142855</v>
          </cell>
          <cell r="I282">
            <v>35.08618760246226</v>
          </cell>
          <cell r="J282">
            <v>35.08618760246226</v>
          </cell>
        </row>
        <row r="283">
          <cell r="A283" t="str">
            <v>96484</v>
          </cell>
          <cell r="B283" t="str">
            <v>EMPANADA JAMON Y QUESO (UND)</v>
          </cell>
          <cell r="C283" t="str">
            <v>UND</v>
          </cell>
          <cell r="D283" t="str">
            <v>UND</v>
          </cell>
          <cell r="E283">
            <v>175.16650794651071</v>
          </cell>
          <cell r="F283">
            <v>175.16650794651071</v>
          </cell>
          <cell r="G283">
            <v>8.8327253432539674</v>
          </cell>
          <cell r="H283">
            <v>8.8327253432539674</v>
          </cell>
          <cell r="I283">
            <v>440.56969369217825</v>
          </cell>
          <cell r="J283">
            <v>440.56969369217825</v>
          </cell>
        </row>
        <row r="284">
          <cell r="A284" t="str">
            <v>96485</v>
          </cell>
          <cell r="B284" t="str">
            <v>EMPANADA POLLO Y HONGOS STB (UND)</v>
          </cell>
          <cell r="C284" t="str">
            <v>UND</v>
          </cell>
          <cell r="D284" t="str">
            <v>UND</v>
          </cell>
          <cell r="E284">
            <v>236.16168907253365</v>
          </cell>
          <cell r="F284">
            <v>236.16168907253365</v>
          </cell>
          <cell r="G284">
            <v>0.4704339146825397</v>
          </cell>
          <cell r="H284">
            <v>0.4704339146825397</v>
          </cell>
          <cell r="I284">
            <v>45.275087651085606</v>
          </cell>
          <cell r="J284">
            <v>45.275087651085606</v>
          </cell>
        </row>
        <row r="285">
          <cell r="A285" t="str">
            <v>96486</v>
          </cell>
          <cell r="B285" t="str">
            <v>RELLENO CARNE CON ACEITUNAS EMPACADO (2000g)</v>
          </cell>
          <cell r="C285" t="str">
            <v>KILO</v>
          </cell>
          <cell r="D285" t="str">
            <v>GRAMO</v>
          </cell>
          <cell r="E285">
            <v>3198.589746943192</v>
          </cell>
          <cell r="F285">
            <v>3.1985897469431919</v>
          </cell>
          <cell r="G285">
            <v>28.689440516707077</v>
          </cell>
          <cell r="H285">
            <v>2.8689440516707077E-2</v>
          </cell>
          <cell r="I285">
            <v>402.68474645994223</v>
          </cell>
          <cell r="J285">
            <v>0.40268474645994223</v>
          </cell>
        </row>
        <row r="286">
          <cell r="A286" t="str">
            <v>96487</v>
          </cell>
          <cell r="B286" t="str">
            <v>EMPANADA CARNE C/ACEITUNAS STB (UND)</v>
          </cell>
          <cell r="C286" t="str">
            <v>UND</v>
          </cell>
          <cell r="D286" t="str">
            <v>UND</v>
          </cell>
          <cell r="E286">
            <v>210.53312495933415</v>
          </cell>
          <cell r="F286">
            <v>210.53312495933415</v>
          </cell>
          <cell r="G286">
            <v>0.4490505549242424</v>
          </cell>
          <cell r="H286">
            <v>0.4490505549242424</v>
          </cell>
          <cell r="I286">
            <v>44.986999262860877</v>
          </cell>
          <cell r="J286">
            <v>44.986999262860877</v>
          </cell>
        </row>
        <row r="287">
          <cell r="A287" t="str">
            <v>1522355</v>
          </cell>
          <cell r="B287" t="str">
            <v>EMPAQUE MAYONESA (2000g)</v>
          </cell>
          <cell r="C287" t="str">
            <v>KILO</v>
          </cell>
          <cell r="D287" t="str">
            <v>GRAMO</v>
          </cell>
          <cell r="E287">
            <v>914.49014602822695</v>
          </cell>
          <cell r="F287">
            <v>0.91449014602822698</v>
          </cell>
          <cell r="G287">
            <v>5.5167612657726437</v>
          </cell>
          <cell r="H287">
            <v>5.5167612657726437E-3</v>
          </cell>
          <cell r="I287">
            <v>47.903698188136005</v>
          </cell>
          <cell r="J287">
            <v>4.7903698188136008E-2</v>
          </cell>
        </row>
        <row r="288">
          <cell r="A288" t="str">
            <v>96488</v>
          </cell>
          <cell r="B288" t="str">
            <v>ROSQUETE CUADRADO TRES LECHES (330g)</v>
          </cell>
          <cell r="C288" t="str">
            <v>UND</v>
          </cell>
          <cell r="D288" t="str">
            <v>UND</v>
          </cell>
          <cell r="E288">
            <v>329.13105196412442</v>
          </cell>
          <cell r="F288">
            <v>329.13105196412442</v>
          </cell>
          <cell r="G288">
            <v>1.2382540299524487</v>
          </cell>
          <cell r="H288">
            <v>1.2382540299524487</v>
          </cell>
          <cell r="I288">
            <v>28.483709579011595</v>
          </cell>
          <cell r="J288">
            <v>28.483709579011595</v>
          </cell>
        </row>
        <row r="289">
          <cell r="A289" t="str">
            <v>95356</v>
          </cell>
          <cell r="B289" t="str">
            <v>ROSQUETE TRES LECHES (1000g)</v>
          </cell>
          <cell r="C289" t="str">
            <v>UND</v>
          </cell>
          <cell r="D289" t="str">
            <v>UND</v>
          </cell>
          <cell r="E289">
            <v>875.20064786705029</v>
          </cell>
          <cell r="F289">
            <v>875.20064786705029</v>
          </cell>
          <cell r="G289">
            <v>11.131434946060155</v>
          </cell>
          <cell r="H289">
            <v>11.131434946060155</v>
          </cell>
          <cell r="I289">
            <v>48.803930968360504</v>
          </cell>
          <cell r="J289">
            <v>48.803930968360504</v>
          </cell>
        </row>
        <row r="290">
          <cell r="A290" t="str">
            <v>96389</v>
          </cell>
          <cell r="B290" t="str">
            <v>MOUSSE P/POSTRE COOKIES AND CREAM (1800g)</v>
          </cell>
          <cell r="C290" t="str">
            <v>KILO</v>
          </cell>
          <cell r="D290" t="str">
            <v>GRAMO</v>
          </cell>
          <cell r="E290">
            <v>3412.0520363595087</v>
          </cell>
          <cell r="F290">
            <v>3.4120520363595088</v>
          </cell>
          <cell r="G290">
            <v>9.090277777777777E-3</v>
          </cell>
          <cell r="H290">
            <v>9.0902777777777772E-6</v>
          </cell>
          <cell r="I290">
            <v>157.77243589743591</v>
          </cell>
          <cell r="J290">
            <v>0.15777243589743592</v>
          </cell>
        </row>
        <row r="291">
          <cell r="A291" t="str">
            <v>96390</v>
          </cell>
          <cell r="B291" t="str">
            <v>BASE CHOCOLATE Y ALMENDRAS P/MINI POSTRE (1000g)</v>
          </cell>
          <cell r="C291" t="str">
            <v>KILO</v>
          </cell>
          <cell r="D291" t="str">
            <v>GRAMO</v>
          </cell>
          <cell r="E291">
            <v>4564.1309955584647</v>
          </cell>
          <cell r="F291">
            <v>4.5641309955584646</v>
          </cell>
          <cell r="G291">
            <v>0.4859724379484196</v>
          </cell>
          <cell r="H291">
            <v>4.859724379484196E-4</v>
          </cell>
          <cell r="I291">
            <v>195.95549738219896</v>
          </cell>
          <cell r="J291">
            <v>0.19595549738219895</v>
          </cell>
        </row>
        <row r="292">
          <cell r="A292" t="str">
            <v>96391</v>
          </cell>
          <cell r="B292" t="str">
            <v>MOUSSE CHOCOLATE DARK C/COBERTURA (6000g)</v>
          </cell>
          <cell r="C292" t="str">
            <v>KILO</v>
          </cell>
          <cell r="D292" t="str">
            <v>GRAMO</v>
          </cell>
          <cell r="E292">
            <v>3291.487916666666</v>
          </cell>
          <cell r="F292">
            <v>3.2914879166666662</v>
          </cell>
          <cell r="G292">
            <v>6.3433650000000004</v>
          </cell>
          <cell r="H292">
            <v>6.3433650000000001E-3</v>
          </cell>
          <cell r="I292">
            <v>140</v>
          </cell>
          <cell r="J292">
            <v>0.14000000000000001</v>
          </cell>
        </row>
        <row r="293">
          <cell r="A293" t="str">
            <v>95584</v>
          </cell>
          <cell r="B293" t="str">
            <v>RELLENO QUESO P/CHESSE CAKE HORNEADO (12800g)</v>
          </cell>
          <cell r="C293" t="str">
            <v>KILO</v>
          </cell>
          <cell r="D293" t="str">
            <v>GRAMO</v>
          </cell>
          <cell r="E293">
            <v>2306.3680384765626</v>
          </cell>
          <cell r="F293">
            <v>2.3063680384765624</v>
          </cell>
          <cell r="G293">
            <v>0</v>
          </cell>
          <cell r="H293">
            <v>0</v>
          </cell>
          <cell r="I293">
            <v>25.78125</v>
          </cell>
          <cell r="J293">
            <v>2.5781249999999999E-2</v>
          </cell>
        </row>
        <row r="294">
          <cell r="A294" t="str">
            <v>95702</v>
          </cell>
          <cell r="B294" t="str">
            <v>RELLENO QUESO BASE P/CHESSE CAKE SPOON (7.8 Kg)</v>
          </cell>
          <cell r="C294" t="str">
            <v>KILO</v>
          </cell>
          <cell r="D294" t="str">
            <v>GRAMO</v>
          </cell>
          <cell r="E294">
            <v>1798.4060811282054</v>
          </cell>
          <cell r="F294">
            <v>1.7984060811282054</v>
          </cell>
          <cell r="G294">
            <v>0</v>
          </cell>
          <cell r="H294">
            <v>0</v>
          </cell>
          <cell r="I294">
            <v>105.76923076923077</v>
          </cell>
          <cell r="J294">
            <v>0.10576923076923077</v>
          </cell>
        </row>
        <row r="295">
          <cell r="A295" t="str">
            <v>95833</v>
          </cell>
          <cell r="B295" t="str">
            <v>ROSQUETE MELOCOTON PURATOS (300g)</v>
          </cell>
          <cell r="C295" t="str">
            <v>UND</v>
          </cell>
          <cell r="D295" t="str">
            <v>UND</v>
          </cell>
          <cell r="E295">
            <v>354.48884494634626</v>
          </cell>
          <cell r="F295">
            <v>354.48884494634626</v>
          </cell>
          <cell r="G295">
            <v>9.2045736593345016</v>
          </cell>
          <cell r="H295">
            <v>9.2045736593345016</v>
          </cell>
          <cell r="I295">
            <v>18.692332962886429</v>
          </cell>
          <cell r="J295">
            <v>18.692332962886429</v>
          </cell>
        </row>
        <row r="296">
          <cell r="A296" t="str">
            <v>95857</v>
          </cell>
          <cell r="B296" t="str">
            <v>ROSQUETE CHOCOLATE SPOON RED. (320g)</v>
          </cell>
          <cell r="C296" t="str">
            <v>UND</v>
          </cell>
          <cell r="D296" t="str">
            <v>UND</v>
          </cell>
          <cell r="E296">
            <v>395.76817663200347</v>
          </cell>
          <cell r="F296">
            <v>395.76817663200347</v>
          </cell>
          <cell r="G296">
            <v>5.8299605890354398</v>
          </cell>
          <cell r="H296">
            <v>5.8299605890354398</v>
          </cell>
          <cell r="I296">
            <v>16.8969495634217</v>
          </cell>
          <cell r="J296">
            <v>16.8969495634217</v>
          </cell>
        </row>
        <row r="297">
          <cell r="A297" t="str">
            <v>96273</v>
          </cell>
          <cell r="B297" t="str">
            <v>CORTE GALLETA PEQ P/TORTA CHILENA (UND)</v>
          </cell>
          <cell r="C297" t="str">
            <v>UND</v>
          </cell>
          <cell r="D297" t="str">
            <v>UND</v>
          </cell>
          <cell r="E297">
            <v>91.259726746921174</v>
          </cell>
          <cell r="F297">
            <v>91.259726746921174</v>
          </cell>
          <cell r="G297">
            <v>0.71619935522714828</v>
          </cell>
          <cell r="H297">
            <v>0.71619935522714828</v>
          </cell>
          <cell r="I297">
            <v>21.555665024630542</v>
          </cell>
          <cell r="J297">
            <v>21.555665024630542</v>
          </cell>
        </row>
        <row r="298">
          <cell r="A298" t="str">
            <v>95228</v>
          </cell>
          <cell r="B298" t="str">
            <v>EMPANADA DE POLLO PEQUEÑA  (UND)</v>
          </cell>
          <cell r="C298" t="str">
            <v>UND</v>
          </cell>
          <cell r="D298" t="str">
            <v>UND</v>
          </cell>
          <cell r="E298">
            <v>50.301003641910235</v>
          </cell>
          <cell r="F298">
            <v>50.301003641910235</v>
          </cell>
          <cell r="G298">
            <v>0.18561604071370563</v>
          </cell>
          <cell r="H298">
            <v>0.18561604071370563</v>
          </cell>
          <cell r="I298">
            <v>26.038033000308769</v>
          </cell>
          <cell r="J298">
            <v>26.038033000308769</v>
          </cell>
        </row>
        <row r="299">
          <cell r="A299" t="str">
            <v>96259</v>
          </cell>
          <cell r="B299" t="str">
            <v>EMPAQUE RELLENO QUESOS P/EMPANADA (2000g)</v>
          </cell>
          <cell r="C299" t="str">
            <v>KILO</v>
          </cell>
          <cell r="D299" t="str">
            <v>GRAMO</v>
          </cell>
          <cell r="E299">
            <v>4518.1805009999998</v>
          </cell>
          <cell r="F299">
            <v>4.5181805009999998</v>
          </cell>
          <cell r="G299">
            <v>9.6424850232310089</v>
          </cell>
          <cell r="H299">
            <v>9.6424850232310084E-3</v>
          </cell>
          <cell r="I299">
            <v>128.79271070615033</v>
          </cell>
          <cell r="J299">
            <v>0.12879271070615034</v>
          </cell>
        </row>
        <row r="300">
          <cell r="A300" t="str">
            <v>96262</v>
          </cell>
          <cell r="B300" t="str">
            <v>EMPANADITA TRES QUESOS (UND)</v>
          </cell>
          <cell r="C300" t="str">
            <v>UND</v>
          </cell>
          <cell r="D300" t="str">
            <v>UND</v>
          </cell>
          <cell r="E300">
            <v>108.39975543294742</v>
          </cell>
          <cell r="F300">
            <v>108.39975543294742</v>
          </cell>
          <cell r="G300">
            <v>0.55893450174345605</v>
          </cell>
          <cell r="H300">
            <v>0.55893450174345605</v>
          </cell>
          <cell r="I300">
            <v>32.685771306900534</v>
          </cell>
          <cell r="J300">
            <v>32.685771306900534</v>
          </cell>
        </row>
        <row r="301">
          <cell r="A301" t="str">
            <v>95152</v>
          </cell>
          <cell r="B301" t="str">
            <v>EMPAQUE RELLENO JAMON P/ ARROLLADO (2000g)</v>
          </cell>
          <cell r="C301" t="str">
            <v>KILO</v>
          </cell>
          <cell r="D301" t="str">
            <v>GRAMO</v>
          </cell>
          <cell r="E301">
            <v>3053.0307908769746</v>
          </cell>
          <cell r="F301">
            <v>3.0530307908769747</v>
          </cell>
          <cell r="G301">
            <v>6.1319432886334617</v>
          </cell>
          <cell r="H301">
            <v>6.1319432886334617E-3</v>
          </cell>
          <cell r="I301">
            <v>74.597701149425291</v>
          </cell>
          <cell r="J301">
            <v>7.4597701149425294E-2</v>
          </cell>
        </row>
        <row r="302">
          <cell r="A302" t="str">
            <v>95230</v>
          </cell>
          <cell r="B302" t="str">
            <v>ARROLLADO DE JAMON (UND)</v>
          </cell>
          <cell r="C302" t="str">
            <v>UND</v>
          </cell>
          <cell r="D302" t="str">
            <v>UND</v>
          </cell>
          <cell r="E302">
            <v>122.67460640985297</v>
          </cell>
          <cell r="F302">
            <v>122.67460640985297</v>
          </cell>
          <cell r="G302">
            <v>1.2535177289265251</v>
          </cell>
          <cell r="H302">
            <v>1.2535177289265251</v>
          </cell>
          <cell r="I302">
            <v>33.979038314581437</v>
          </cell>
          <cell r="J302">
            <v>33.979038314581437</v>
          </cell>
        </row>
        <row r="303">
          <cell r="A303" t="str">
            <v>95475</v>
          </cell>
          <cell r="B303" t="str">
            <v>PAÑUELO ESPINACA C/RICOTTA (UND)</v>
          </cell>
          <cell r="C303" t="str">
            <v>UND</v>
          </cell>
          <cell r="D303" t="str">
            <v>UND</v>
          </cell>
          <cell r="E303">
            <v>137.21388281956311</v>
          </cell>
          <cell r="F303">
            <v>137.21388281956311</v>
          </cell>
          <cell r="G303">
            <v>0.72944441322726261</v>
          </cell>
          <cell r="H303">
            <v>0.72944441322726261</v>
          </cell>
          <cell r="I303">
            <v>36.400315884852304</v>
          </cell>
          <cell r="J303">
            <v>36.400315884852304</v>
          </cell>
        </row>
        <row r="304">
          <cell r="A304" t="str">
            <v>95446</v>
          </cell>
          <cell r="B304" t="str">
            <v>CANASTITA DULCE S/RELLENO (UND)</v>
          </cell>
          <cell r="C304" t="str">
            <v>UND</v>
          </cell>
          <cell r="D304" t="str">
            <v>UND</v>
          </cell>
          <cell r="E304">
            <v>23.819677581492538</v>
          </cell>
          <cell r="F304">
            <v>23.819677581492538</v>
          </cell>
          <cell r="G304">
            <v>0.23133632153518124</v>
          </cell>
          <cell r="H304">
            <v>0.23133632153518124</v>
          </cell>
          <cell r="I304">
            <v>13.292338308457712</v>
          </cell>
          <cell r="J304">
            <v>13.292338308457712</v>
          </cell>
        </row>
        <row r="305">
          <cell r="A305" t="str">
            <v>95253</v>
          </cell>
          <cell r="B305" t="str">
            <v>PLANCHA BROWNIE (1950g)</v>
          </cell>
          <cell r="C305" t="str">
            <v>UND</v>
          </cell>
          <cell r="D305" t="str">
            <v>UND</v>
          </cell>
          <cell r="E305">
            <v>3135.9559502500001</v>
          </cell>
          <cell r="F305">
            <v>3135.9559502500001</v>
          </cell>
          <cell r="G305">
            <v>32.342785115277778</v>
          </cell>
          <cell r="H305">
            <v>32.342785115277778</v>
          </cell>
          <cell r="I305">
            <v>184.57847222222222</v>
          </cell>
          <cell r="J305">
            <v>184.57847222222222</v>
          </cell>
        </row>
        <row r="306">
          <cell r="A306" t="str">
            <v>95519</v>
          </cell>
          <cell r="B306" t="str">
            <v>ROSQUETE VAINILLA BUCCA (1200g)</v>
          </cell>
          <cell r="C306" t="str">
            <v>UND</v>
          </cell>
          <cell r="D306" t="str">
            <v>UND</v>
          </cell>
          <cell r="E306">
            <v>1223.9160074044096</v>
          </cell>
          <cell r="F306">
            <v>1223.9160074044096</v>
          </cell>
          <cell r="G306">
            <v>24.193430851167854</v>
          </cell>
          <cell r="H306">
            <v>24.193430851167854</v>
          </cell>
          <cell r="I306">
            <v>40.990017742806444</v>
          </cell>
          <cell r="J306">
            <v>40.990017742806444</v>
          </cell>
        </row>
        <row r="307">
          <cell r="A307" t="str">
            <v>96235</v>
          </cell>
          <cell r="B307" t="str">
            <v>CANASTA REDONDA (30g)</v>
          </cell>
          <cell r="C307" t="str">
            <v>UND</v>
          </cell>
          <cell r="D307" t="str">
            <v>UND</v>
          </cell>
          <cell r="E307">
            <v>55.485211661052638</v>
          </cell>
          <cell r="F307">
            <v>55.485211661052638</v>
          </cell>
          <cell r="G307">
            <v>0.41374383057644121</v>
          </cell>
          <cell r="H307">
            <v>0.41374383057644121</v>
          </cell>
          <cell r="I307">
            <v>20.223076923076921</v>
          </cell>
          <cell r="J307">
            <v>20.223076923076921</v>
          </cell>
        </row>
        <row r="308">
          <cell r="A308" t="str">
            <v>96285</v>
          </cell>
          <cell r="B308" t="str">
            <v>ROSQUETE CHOCOLATE (50g)</v>
          </cell>
          <cell r="C308" t="str">
            <v>UND</v>
          </cell>
          <cell r="D308" t="str">
            <v>UND</v>
          </cell>
          <cell r="E308">
            <v>64.920020827704391</v>
          </cell>
          <cell r="F308">
            <v>64.920020827704391</v>
          </cell>
          <cell r="G308">
            <v>1.6945652336553261</v>
          </cell>
          <cell r="H308">
            <v>1.6945652336553261</v>
          </cell>
          <cell r="I308">
            <v>8.6622596368573692</v>
          </cell>
          <cell r="J308">
            <v>8.6622596368573692</v>
          </cell>
        </row>
        <row r="309">
          <cell r="A309" t="str">
            <v>95372</v>
          </cell>
          <cell r="B309" t="str">
            <v>BASE PREMEZCLA TURRON ALMENDRA (3047g)</v>
          </cell>
          <cell r="C309" t="str">
            <v>TANDA</v>
          </cell>
          <cell r="D309" t="str">
            <v>GRAMO</v>
          </cell>
          <cell r="E309">
            <v>1537.6218530000001</v>
          </cell>
          <cell r="F309">
            <v>0.50463467443386945</v>
          </cell>
          <cell r="G309">
            <v>21.822725555555557</v>
          </cell>
          <cell r="H309">
            <v>7.1620366116033991E-3</v>
          </cell>
          <cell r="I309">
            <v>110</v>
          </cell>
          <cell r="J309">
            <v>3.6101083032490974E-2</v>
          </cell>
        </row>
        <row r="310">
          <cell r="A310" t="str">
            <v>96358</v>
          </cell>
          <cell r="B310" t="str">
            <v>BATIDO P/TURRON ALMENDRAS (5760g)</v>
          </cell>
          <cell r="C310" t="str">
            <v>KILO</v>
          </cell>
          <cell r="D310" t="str">
            <v>GRAMO</v>
          </cell>
          <cell r="E310">
            <v>2349.0428222222222</v>
          </cell>
          <cell r="F310">
            <v>2.3490428222222222</v>
          </cell>
          <cell r="G310">
            <v>3.7886732253086417</v>
          </cell>
          <cell r="H310">
            <v>3.7886732253086417E-3</v>
          </cell>
          <cell r="I310">
            <v>76.736111111111114</v>
          </cell>
          <cell r="J310">
            <v>7.6736111111111116E-2</v>
          </cell>
        </row>
        <row r="311">
          <cell r="A311" t="str">
            <v>95103</v>
          </cell>
          <cell r="B311" t="str">
            <v>MEDIA LUNA CUBIERTA CHOCOLATE LECHE (UND)</v>
          </cell>
          <cell r="C311" t="str">
            <v>UND</v>
          </cell>
          <cell r="D311" t="str">
            <v>UND</v>
          </cell>
          <cell r="E311">
            <v>25.479206085055701</v>
          </cell>
          <cell r="F311">
            <v>25.479206085055701</v>
          </cell>
          <cell r="G311">
            <v>0.23606913072852082</v>
          </cell>
          <cell r="H311">
            <v>0.23606913072852082</v>
          </cell>
          <cell r="I311">
            <v>4.1430462944096549</v>
          </cell>
          <cell r="J311">
            <v>4.1430462944096549</v>
          </cell>
        </row>
        <row r="312">
          <cell r="A312" t="str">
            <v>95369</v>
          </cell>
          <cell r="B312" t="str">
            <v>BASE PREMEZCLA QUEQUE SECO (3320g)</v>
          </cell>
          <cell r="C312" t="str">
            <v>TANDA</v>
          </cell>
          <cell r="D312" t="str">
            <v>GRAMO</v>
          </cell>
          <cell r="E312">
            <v>5261.1257500000002</v>
          </cell>
          <cell r="F312">
            <v>1.5846764307228915</v>
          </cell>
          <cell r="G312">
            <v>21.822757777777777</v>
          </cell>
          <cell r="H312">
            <v>6.5731198125836676E-3</v>
          </cell>
          <cell r="I312">
            <v>84</v>
          </cell>
          <cell r="J312">
            <v>2.5301204819277109E-2</v>
          </cell>
        </row>
        <row r="313">
          <cell r="A313" t="str">
            <v>95345</v>
          </cell>
          <cell r="B313" t="str">
            <v>ROSQUETE QQ SECO C/PASAS (750g)</v>
          </cell>
          <cell r="C313" t="str">
            <v>UND</v>
          </cell>
          <cell r="D313" t="str">
            <v>UND</v>
          </cell>
          <cell r="E313">
            <v>1347.2006525167783</v>
          </cell>
          <cell r="F313">
            <v>1347.2006525167783</v>
          </cell>
          <cell r="G313">
            <v>9.9081243153297116</v>
          </cell>
          <cell r="H313">
            <v>9.9081243153297116</v>
          </cell>
          <cell r="I313">
            <v>170.27037392138064</v>
          </cell>
          <cell r="J313">
            <v>170.27037392138064</v>
          </cell>
        </row>
        <row r="314">
          <cell r="A314" t="str">
            <v>95112</v>
          </cell>
          <cell r="B314" t="str">
            <v>ROSQUETE VAINILLA PERSONAL BUCCA (200g)</v>
          </cell>
          <cell r="C314" t="str">
            <v>UND</v>
          </cell>
          <cell r="D314" t="str">
            <v>UND</v>
          </cell>
          <cell r="E314">
            <v>203.19643881318322</v>
          </cell>
          <cell r="F314">
            <v>203.19643881318322</v>
          </cell>
          <cell r="G314">
            <v>4.392269724166896</v>
          </cell>
          <cell r="H314">
            <v>4.392269724166896</v>
          </cell>
          <cell r="I314">
            <v>10.814359975068081</v>
          </cell>
          <cell r="J314">
            <v>10.814359975068081</v>
          </cell>
        </row>
        <row r="315">
          <cell r="A315" t="str">
            <v>96185</v>
          </cell>
          <cell r="B315" t="str">
            <v>BASE PREMEZCLA SOUFLE (6.035 Kg)</v>
          </cell>
          <cell r="C315" t="str">
            <v>TANDA</v>
          </cell>
          <cell r="D315" t="str">
            <v>GRAMO</v>
          </cell>
          <cell r="E315">
            <v>10445.845386000001</v>
          </cell>
          <cell r="F315">
            <v>1.7311642999668546</v>
          </cell>
          <cell r="G315">
            <v>11.022725555555557</v>
          </cell>
          <cell r="H315">
            <v>1.8267692336021804E-3</v>
          </cell>
          <cell r="I315">
            <v>165</v>
          </cell>
          <cell r="J315">
            <v>2.7345044746436859E-2</v>
          </cell>
        </row>
        <row r="316">
          <cell r="A316" t="str">
            <v>96332</v>
          </cell>
          <cell r="B316" t="str">
            <v>BATIDO P/ROSQUETE SOUFFLE (11100g)</v>
          </cell>
          <cell r="C316" t="str">
            <v>KILO</v>
          </cell>
          <cell r="D316" t="str">
            <v>GRAMO</v>
          </cell>
          <cell r="E316">
            <v>1603.841223963964</v>
          </cell>
          <cell r="F316">
            <v>1.6038412239639641</v>
          </cell>
          <cell r="G316">
            <v>0.99303833833833832</v>
          </cell>
          <cell r="H316">
            <v>9.9303833833833837E-4</v>
          </cell>
          <cell r="I316">
            <v>49.549549549549553</v>
          </cell>
          <cell r="J316">
            <v>4.954954954954955E-2</v>
          </cell>
        </row>
        <row r="317">
          <cell r="A317"/>
          <cell r="C317"/>
          <cell r="D317"/>
          <cell r="E317"/>
          <cell r="F317"/>
          <cell r="G317"/>
          <cell r="H317"/>
          <cell r="I317"/>
          <cell r="J317"/>
        </row>
        <row r="318">
          <cell r="A318"/>
          <cell r="C318"/>
          <cell r="D318"/>
          <cell r="E318"/>
          <cell r="F318"/>
          <cell r="G318"/>
          <cell r="H318"/>
          <cell r="I318"/>
          <cell r="J318"/>
        </row>
        <row r="319">
          <cell r="A319"/>
          <cell r="C319"/>
          <cell r="D319"/>
          <cell r="E319"/>
          <cell r="F319"/>
          <cell r="G319"/>
          <cell r="H319"/>
          <cell r="I319"/>
          <cell r="J319"/>
        </row>
        <row r="320">
          <cell r="A320"/>
          <cell r="C320"/>
          <cell r="D320"/>
          <cell r="E320"/>
          <cell r="F320"/>
          <cell r="G320"/>
          <cell r="H320"/>
          <cell r="I320"/>
          <cell r="J320"/>
        </row>
        <row r="321">
          <cell r="A321"/>
          <cell r="C321"/>
          <cell r="D321"/>
          <cell r="E321"/>
          <cell r="F321"/>
          <cell r="G321"/>
          <cell r="H321"/>
          <cell r="I321"/>
          <cell r="J321"/>
        </row>
        <row r="322">
          <cell r="A322"/>
          <cell r="C322"/>
          <cell r="D322"/>
          <cell r="E322"/>
          <cell r="F322"/>
          <cell r="G322"/>
          <cell r="H322"/>
          <cell r="I322"/>
          <cell r="J322"/>
        </row>
        <row r="323">
          <cell r="A323"/>
          <cell r="C323"/>
          <cell r="D323"/>
          <cell r="E323"/>
          <cell r="F323"/>
          <cell r="G323"/>
          <cell r="H323"/>
          <cell r="I323"/>
          <cell r="J323"/>
        </row>
        <row r="324">
          <cell r="A324"/>
          <cell r="C324"/>
          <cell r="D324"/>
          <cell r="E324"/>
          <cell r="F324"/>
          <cell r="G324"/>
          <cell r="H324"/>
          <cell r="I324"/>
          <cell r="J324"/>
        </row>
        <row r="325">
          <cell r="A325"/>
          <cell r="C325"/>
          <cell r="D325"/>
          <cell r="E325"/>
          <cell r="F325"/>
          <cell r="G325"/>
          <cell r="H325"/>
          <cell r="I325"/>
          <cell r="J325"/>
        </row>
        <row r="326">
          <cell r="A326"/>
          <cell r="C326"/>
          <cell r="D326"/>
          <cell r="E326"/>
          <cell r="F326"/>
          <cell r="G326"/>
          <cell r="H326"/>
          <cell r="I326"/>
          <cell r="J326"/>
        </row>
        <row r="327">
          <cell r="A327"/>
          <cell r="C327"/>
          <cell r="D327"/>
          <cell r="E327"/>
          <cell r="F327"/>
          <cell r="G327"/>
          <cell r="H327"/>
          <cell r="I327"/>
          <cell r="J327"/>
        </row>
        <row r="328">
          <cell r="A328"/>
          <cell r="C328"/>
          <cell r="D328"/>
          <cell r="E328"/>
          <cell r="F328"/>
          <cell r="G328"/>
          <cell r="H328"/>
          <cell r="I328"/>
          <cell r="J328"/>
        </row>
        <row r="329">
          <cell r="A329"/>
          <cell r="C329"/>
          <cell r="D329"/>
          <cell r="E329"/>
          <cell r="F329"/>
          <cell r="G329"/>
          <cell r="H329"/>
          <cell r="I329"/>
          <cell r="J329"/>
        </row>
        <row r="330">
          <cell r="A330"/>
          <cell r="C330"/>
          <cell r="D330"/>
          <cell r="E330"/>
          <cell r="F330"/>
          <cell r="G330"/>
          <cell r="H330"/>
          <cell r="I330"/>
          <cell r="J330"/>
        </row>
        <row r="331">
          <cell r="A331"/>
          <cell r="C331"/>
          <cell r="D331"/>
          <cell r="E331"/>
          <cell r="F331"/>
          <cell r="G331"/>
          <cell r="H331"/>
          <cell r="I331"/>
          <cell r="J331"/>
        </row>
        <row r="332">
          <cell r="A332"/>
          <cell r="C332"/>
          <cell r="D332"/>
          <cell r="E332"/>
          <cell r="F332"/>
          <cell r="G332"/>
          <cell r="H332"/>
          <cell r="I332"/>
          <cell r="J332"/>
        </row>
        <row r="333">
          <cell r="A333"/>
          <cell r="C333"/>
          <cell r="D333"/>
          <cell r="E333"/>
          <cell r="F333"/>
          <cell r="G333"/>
          <cell r="H333"/>
          <cell r="I333"/>
          <cell r="J333"/>
        </row>
        <row r="334">
          <cell r="A334"/>
          <cell r="C334"/>
          <cell r="D334"/>
          <cell r="E334"/>
          <cell r="F334"/>
          <cell r="G334"/>
          <cell r="H334"/>
          <cell r="I334"/>
          <cell r="J334"/>
        </row>
        <row r="335">
          <cell r="A335"/>
          <cell r="C335"/>
          <cell r="D335"/>
          <cell r="E335"/>
          <cell r="F335"/>
          <cell r="G335"/>
          <cell r="H335"/>
          <cell r="I335"/>
          <cell r="J335"/>
        </row>
        <row r="336">
          <cell r="A336"/>
          <cell r="C336"/>
          <cell r="D336"/>
          <cell r="E336"/>
          <cell r="F336"/>
          <cell r="G336"/>
          <cell r="H336"/>
          <cell r="I336"/>
          <cell r="J336"/>
        </row>
        <row r="337">
          <cell r="A337"/>
          <cell r="C337"/>
          <cell r="D337"/>
          <cell r="E337"/>
          <cell r="F337"/>
          <cell r="G337"/>
          <cell r="H337"/>
          <cell r="I337"/>
          <cell r="J337"/>
        </row>
        <row r="338">
          <cell r="A338"/>
          <cell r="C338"/>
          <cell r="D338"/>
          <cell r="E338"/>
          <cell r="F338"/>
          <cell r="G338"/>
          <cell r="H338"/>
          <cell r="I338"/>
          <cell r="J338"/>
        </row>
        <row r="339">
          <cell r="A339"/>
          <cell r="C339"/>
          <cell r="D339"/>
          <cell r="E339"/>
          <cell r="F339"/>
          <cell r="G339"/>
          <cell r="H339"/>
          <cell r="I339"/>
          <cell r="J339"/>
        </row>
        <row r="340">
          <cell r="A340"/>
          <cell r="C340"/>
          <cell r="D340"/>
          <cell r="E340"/>
          <cell r="F340"/>
          <cell r="G340"/>
          <cell r="H340"/>
          <cell r="I340"/>
          <cell r="J340"/>
        </row>
        <row r="341">
          <cell r="A341"/>
          <cell r="C341"/>
          <cell r="D341"/>
          <cell r="E341"/>
          <cell r="F341"/>
          <cell r="G341"/>
          <cell r="H341"/>
          <cell r="I341"/>
          <cell r="J341"/>
        </row>
        <row r="342">
          <cell r="A342"/>
          <cell r="C342"/>
          <cell r="D342"/>
          <cell r="E342"/>
          <cell r="F342"/>
          <cell r="G342"/>
          <cell r="H342"/>
          <cell r="I342"/>
          <cell r="J342"/>
        </row>
        <row r="343">
          <cell r="A343"/>
          <cell r="C343"/>
          <cell r="D343"/>
          <cell r="E343"/>
          <cell r="F343"/>
          <cell r="G343"/>
          <cell r="H343"/>
          <cell r="I343"/>
          <cell r="J343"/>
        </row>
        <row r="344">
          <cell r="A344"/>
          <cell r="C344"/>
          <cell r="D344"/>
          <cell r="E344"/>
          <cell r="F344"/>
          <cell r="G344"/>
          <cell r="H344"/>
          <cell r="I344"/>
          <cell r="J344"/>
        </row>
        <row r="345">
          <cell r="A345"/>
          <cell r="C345"/>
          <cell r="D345"/>
          <cell r="E345"/>
          <cell r="F345"/>
          <cell r="G345"/>
          <cell r="H345"/>
          <cell r="I345"/>
          <cell r="J345"/>
        </row>
        <row r="346">
          <cell r="A346"/>
          <cell r="C346"/>
          <cell r="D346"/>
          <cell r="E346"/>
          <cell r="F346"/>
          <cell r="G346"/>
          <cell r="H346"/>
          <cell r="I346"/>
          <cell r="J346"/>
        </row>
        <row r="347">
          <cell r="A347"/>
          <cell r="C347"/>
          <cell r="D347"/>
          <cell r="E347"/>
          <cell r="F347"/>
          <cell r="G347"/>
          <cell r="H347"/>
          <cell r="I347"/>
          <cell r="J347"/>
        </row>
        <row r="348">
          <cell r="A348"/>
          <cell r="C348"/>
          <cell r="D348"/>
          <cell r="E348"/>
          <cell r="F348"/>
          <cell r="G348"/>
          <cell r="H348"/>
          <cell r="I348"/>
          <cell r="J348"/>
        </row>
        <row r="349">
          <cell r="A349"/>
          <cell r="C349"/>
          <cell r="D349"/>
          <cell r="E349"/>
          <cell r="F349"/>
          <cell r="G349"/>
          <cell r="H349"/>
          <cell r="I349"/>
          <cell r="J349"/>
        </row>
        <row r="350">
          <cell r="A350"/>
          <cell r="C350"/>
          <cell r="D350"/>
          <cell r="E350"/>
          <cell r="F350"/>
          <cell r="G350"/>
          <cell r="H350"/>
          <cell r="I350"/>
          <cell r="J350"/>
        </row>
        <row r="351">
          <cell r="A351"/>
          <cell r="C351"/>
          <cell r="D351"/>
          <cell r="E351"/>
          <cell r="F351"/>
          <cell r="G351"/>
          <cell r="H351"/>
          <cell r="I351"/>
          <cell r="J351"/>
        </row>
        <row r="352">
          <cell r="A352"/>
          <cell r="C352"/>
          <cell r="D352"/>
          <cell r="E352"/>
          <cell r="F352"/>
          <cell r="G352"/>
          <cell r="H352"/>
          <cell r="I352"/>
          <cell r="J352"/>
        </row>
        <row r="353">
          <cell r="A353"/>
          <cell r="C353"/>
          <cell r="D353"/>
          <cell r="E353"/>
          <cell r="F353"/>
          <cell r="G353"/>
          <cell r="H353"/>
          <cell r="I353"/>
          <cell r="J353"/>
        </row>
        <row r="354">
          <cell r="A354"/>
          <cell r="C354"/>
          <cell r="D354"/>
          <cell r="E354"/>
          <cell r="F354"/>
          <cell r="G354"/>
          <cell r="H354"/>
          <cell r="I354"/>
          <cell r="J354"/>
        </row>
        <row r="355">
          <cell r="A355"/>
          <cell r="C355"/>
          <cell r="D355"/>
          <cell r="E355"/>
          <cell r="F355"/>
          <cell r="G355"/>
          <cell r="H355"/>
          <cell r="I355"/>
          <cell r="J355"/>
        </row>
        <row r="356">
          <cell r="A356"/>
          <cell r="C356"/>
          <cell r="D356"/>
          <cell r="E356"/>
          <cell r="F356"/>
          <cell r="G356"/>
          <cell r="H356"/>
          <cell r="I356"/>
          <cell r="J356"/>
        </row>
        <row r="357">
          <cell r="A357"/>
          <cell r="C357"/>
          <cell r="D357"/>
          <cell r="E357"/>
          <cell r="F357"/>
          <cell r="G357"/>
          <cell r="H357"/>
          <cell r="I357"/>
          <cell r="J357"/>
        </row>
        <row r="358">
          <cell r="A358"/>
          <cell r="C358"/>
          <cell r="D358"/>
          <cell r="E358"/>
          <cell r="F358"/>
          <cell r="G358"/>
          <cell r="H358"/>
          <cell r="I358"/>
          <cell r="J358"/>
        </row>
        <row r="359">
          <cell r="A359"/>
          <cell r="C359"/>
          <cell r="D359"/>
          <cell r="E359"/>
          <cell r="F359"/>
          <cell r="G359"/>
          <cell r="H359"/>
          <cell r="I359"/>
          <cell r="J359"/>
        </row>
        <row r="360">
          <cell r="A360"/>
          <cell r="C360"/>
          <cell r="D360"/>
          <cell r="E360"/>
          <cell r="F360"/>
          <cell r="G360"/>
          <cell r="H360"/>
          <cell r="I360"/>
          <cell r="J360"/>
        </row>
        <row r="361">
          <cell r="A361"/>
          <cell r="C361"/>
          <cell r="D361"/>
          <cell r="E361"/>
          <cell r="F361"/>
          <cell r="G361"/>
          <cell r="H361"/>
          <cell r="I361"/>
          <cell r="J361"/>
        </row>
        <row r="362">
          <cell r="A362"/>
          <cell r="C362"/>
          <cell r="D362"/>
          <cell r="E362"/>
          <cell r="F362"/>
          <cell r="G362"/>
          <cell r="H362"/>
          <cell r="I362"/>
          <cell r="J362"/>
        </row>
        <row r="363">
          <cell r="A363"/>
          <cell r="C363"/>
          <cell r="D363"/>
          <cell r="E363"/>
          <cell r="F363"/>
          <cell r="G363"/>
          <cell r="H363"/>
          <cell r="I363"/>
          <cell r="J363"/>
        </row>
        <row r="364">
          <cell r="A364"/>
          <cell r="C364"/>
          <cell r="D364"/>
          <cell r="E364"/>
          <cell r="F364"/>
          <cell r="G364"/>
          <cell r="H364"/>
          <cell r="I364"/>
          <cell r="J364"/>
        </row>
        <row r="365">
          <cell r="A365"/>
          <cell r="C365"/>
          <cell r="D365"/>
          <cell r="E365"/>
          <cell r="F365"/>
          <cell r="G365"/>
          <cell r="H365"/>
          <cell r="I365"/>
          <cell r="J365"/>
        </row>
        <row r="366">
          <cell r="A366"/>
          <cell r="C366"/>
          <cell r="D366"/>
          <cell r="E366"/>
          <cell r="F366"/>
          <cell r="G366"/>
          <cell r="H366"/>
          <cell r="I366"/>
          <cell r="J366"/>
        </row>
        <row r="367">
          <cell r="A367"/>
          <cell r="C367"/>
          <cell r="D367"/>
          <cell r="E367"/>
          <cell r="F367"/>
          <cell r="G367"/>
          <cell r="H367"/>
          <cell r="I367"/>
          <cell r="J367"/>
        </row>
        <row r="368">
          <cell r="A368"/>
          <cell r="C368"/>
          <cell r="D368"/>
          <cell r="E368"/>
          <cell r="F368"/>
          <cell r="G368"/>
          <cell r="H368"/>
          <cell r="I368"/>
          <cell r="J368"/>
        </row>
        <row r="369">
          <cell r="A369"/>
          <cell r="C369"/>
          <cell r="D369"/>
          <cell r="E369"/>
          <cell r="F369"/>
          <cell r="G369"/>
          <cell r="H369"/>
          <cell r="I369"/>
          <cell r="J369"/>
        </row>
        <row r="370">
          <cell r="A370"/>
          <cell r="C370"/>
          <cell r="D370"/>
          <cell r="E370"/>
          <cell r="F370"/>
          <cell r="G370"/>
          <cell r="H370"/>
          <cell r="I370"/>
          <cell r="J370"/>
        </row>
        <row r="371">
          <cell r="A371"/>
          <cell r="C371"/>
          <cell r="D371"/>
          <cell r="E371"/>
          <cell r="F371"/>
          <cell r="G371"/>
          <cell r="H371"/>
          <cell r="I371"/>
          <cell r="J371"/>
        </row>
        <row r="372">
          <cell r="A372"/>
          <cell r="C372"/>
          <cell r="D372"/>
          <cell r="E372"/>
          <cell r="F372"/>
          <cell r="G372"/>
          <cell r="H372"/>
          <cell r="I372"/>
          <cell r="J372"/>
        </row>
        <row r="373">
          <cell r="A373"/>
          <cell r="C373"/>
          <cell r="D373"/>
          <cell r="E373"/>
          <cell r="F373"/>
          <cell r="G373"/>
          <cell r="H373"/>
          <cell r="I373"/>
          <cell r="J373"/>
        </row>
        <row r="374">
          <cell r="A374"/>
          <cell r="C374"/>
          <cell r="D374"/>
          <cell r="E374"/>
          <cell r="F374"/>
          <cell r="G374"/>
          <cell r="H374"/>
          <cell r="I374"/>
          <cell r="J374"/>
        </row>
        <row r="375">
          <cell r="A375"/>
          <cell r="C375"/>
          <cell r="D375"/>
          <cell r="E375"/>
          <cell r="F375"/>
          <cell r="G375"/>
          <cell r="H375"/>
          <cell r="I375"/>
          <cell r="J375"/>
        </row>
        <row r="376">
          <cell r="A376"/>
          <cell r="C376"/>
          <cell r="D376"/>
          <cell r="E376"/>
          <cell r="F376"/>
          <cell r="G376"/>
          <cell r="H376"/>
          <cell r="I376"/>
          <cell r="J376"/>
        </row>
        <row r="377">
          <cell r="A377"/>
          <cell r="C377"/>
          <cell r="D377"/>
          <cell r="E377"/>
          <cell r="F377"/>
          <cell r="G377"/>
          <cell r="H377"/>
          <cell r="I377"/>
          <cell r="J377"/>
        </row>
        <row r="378">
          <cell r="A378"/>
          <cell r="C378"/>
          <cell r="D378"/>
          <cell r="E378"/>
          <cell r="F378"/>
          <cell r="G378"/>
          <cell r="H378"/>
          <cell r="I378"/>
          <cell r="J378"/>
        </row>
        <row r="379">
          <cell r="A379"/>
          <cell r="C379"/>
          <cell r="D379"/>
          <cell r="E379"/>
          <cell r="F379"/>
          <cell r="G379"/>
          <cell r="H379"/>
          <cell r="I379"/>
          <cell r="J379"/>
        </row>
        <row r="380">
          <cell r="A380"/>
          <cell r="C380"/>
          <cell r="D380"/>
          <cell r="E380"/>
          <cell r="F380"/>
          <cell r="G380"/>
          <cell r="H380"/>
          <cell r="I380"/>
          <cell r="J380"/>
        </row>
        <row r="381">
          <cell r="A381"/>
          <cell r="C381"/>
          <cell r="D381"/>
          <cell r="E381"/>
          <cell r="F381"/>
          <cell r="G381"/>
          <cell r="H381"/>
          <cell r="I381"/>
          <cell r="J381"/>
        </row>
        <row r="382">
          <cell r="A382"/>
          <cell r="C382"/>
          <cell r="D382"/>
          <cell r="E382"/>
          <cell r="F382"/>
          <cell r="G382"/>
          <cell r="H382"/>
          <cell r="I382"/>
          <cell r="J382"/>
        </row>
        <row r="383">
          <cell r="A383"/>
          <cell r="C383"/>
          <cell r="D383"/>
          <cell r="E383"/>
          <cell r="F383"/>
          <cell r="G383"/>
          <cell r="H383"/>
          <cell r="I383"/>
          <cell r="J383"/>
        </row>
        <row r="384">
          <cell r="A384"/>
          <cell r="C384"/>
          <cell r="D384"/>
          <cell r="E384"/>
          <cell r="F384"/>
          <cell r="G384"/>
          <cell r="H384"/>
          <cell r="I384"/>
          <cell r="J384"/>
        </row>
        <row r="385">
          <cell r="A385"/>
          <cell r="C385"/>
          <cell r="D385"/>
          <cell r="E385"/>
          <cell r="F385"/>
          <cell r="G385"/>
          <cell r="H385"/>
          <cell r="I385"/>
          <cell r="J385"/>
        </row>
        <row r="386">
          <cell r="A386"/>
          <cell r="C386"/>
          <cell r="D386"/>
          <cell r="E386"/>
          <cell r="F386"/>
          <cell r="G386"/>
          <cell r="H386"/>
          <cell r="I386"/>
          <cell r="J386"/>
        </row>
        <row r="387">
          <cell r="A387"/>
          <cell r="C387"/>
          <cell r="D387"/>
          <cell r="E387"/>
          <cell r="F387"/>
          <cell r="G387"/>
          <cell r="H387"/>
          <cell r="I387"/>
          <cell r="J387"/>
        </row>
        <row r="388">
          <cell r="A388"/>
          <cell r="C388"/>
          <cell r="D388"/>
          <cell r="E388"/>
          <cell r="F388"/>
          <cell r="G388"/>
          <cell r="H388"/>
          <cell r="I388"/>
          <cell r="J388"/>
        </row>
        <row r="389">
          <cell r="A389"/>
          <cell r="C389"/>
          <cell r="D389"/>
          <cell r="E389"/>
          <cell r="F389"/>
          <cell r="G389"/>
          <cell r="H389"/>
          <cell r="I389"/>
          <cell r="J389"/>
        </row>
        <row r="390">
          <cell r="A390"/>
          <cell r="C390"/>
          <cell r="D390"/>
          <cell r="E390"/>
          <cell r="F390"/>
          <cell r="G390"/>
          <cell r="H390"/>
          <cell r="I390"/>
          <cell r="J390"/>
        </row>
        <row r="391">
          <cell r="A391"/>
          <cell r="C391"/>
          <cell r="D391"/>
          <cell r="E391"/>
          <cell r="F391"/>
          <cell r="G391"/>
          <cell r="H391"/>
          <cell r="I391"/>
          <cell r="J391"/>
        </row>
        <row r="392">
          <cell r="A392"/>
          <cell r="C392"/>
          <cell r="D392"/>
          <cell r="E392"/>
          <cell r="F392"/>
          <cell r="G392"/>
          <cell r="H392"/>
          <cell r="I392"/>
          <cell r="J392"/>
        </row>
        <row r="393">
          <cell r="A393"/>
          <cell r="C393"/>
          <cell r="D393"/>
          <cell r="E393"/>
          <cell r="F393"/>
          <cell r="G393"/>
          <cell r="H393"/>
          <cell r="I393"/>
          <cell r="J393"/>
        </row>
        <row r="394">
          <cell r="A394"/>
          <cell r="C394"/>
          <cell r="D394"/>
          <cell r="E394"/>
          <cell r="F394"/>
          <cell r="G394"/>
          <cell r="H394"/>
          <cell r="I394"/>
          <cell r="J394"/>
        </row>
        <row r="395">
          <cell r="A395"/>
          <cell r="C395"/>
          <cell r="D395"/>
          <cell r="E395"/>
          <cell r="F395"/>
          <cell r="G395"/>
          <cell r="H395"/>
          <cell r="I395"/>
          <cell r="J395"/>
        </row>
        <row r="396">
          <cell r="A396"/>
          <cell r="C396"/>
          <cell r="D396"/>
          <cell r="E396"/>
          <cell r="F396"/>
          <cell r="G396"/>
          <cell r="H396"/>
          <cell r="I396"/>
          <cell r="J396"/>
        </row>
        <row r="397">
          <cell r="A397"/>
          <cell r="C397"/>
          <cell r="D397"/>
          <cell r="E397"/>
          <cell r="F397"/>
          <cell r="G397"/>
          <cell r="H397"/>
          <cell r="I397"/>
          <cell r="J397"/>
        </row>
        <row r="398">
          <cell r="A398"/>
          <cell r="C398"/>
          <cell r="D398"/>
          <cell r="E398"/>
          <cell r="F398"/>
          <cell r="G398"/>
          <cell r="H398"/>
          <cell r="I398"/>
          <cell r="J398"/>
        </row>
        <row r="399">
          <cell r="A399"/>
          <cell r="C399"/>
          <cell r="D399"/>
          <cell r="E399"/>
          <cell r="F399"/>
          <cell r="G399"/>
          <cell r="H399"/>
          <cell r="I399"/>
          <cell r="J399"/>
        </row>
        <row r="400">
          <cell r="A400"/>
          <cell r="C400"/>
          <cell r="D400"/>
          <cell r="E400"/>
          <cell r="F400"/>
          <cell r="G400"/>
          <cell r="H400"/>
          <cell r="I400"/>
          <cell r="J400"/>
        </row>
        <row r="401">
          <cell r="A401"/>
          <cell r="C401"/>
          <cell r="D401"/>
          <cell r="E401"/>
          <cell r="F401"/>
          <cell r="G401"/>
          <cell r="H401"/>
          <cell r="I401"/>
          <cell r="J401"/>
        </row>
        <row r="402">
          <cell r="A402"/>
          <cell r="C402"/>
          <cell r="D402"/>
          <cell r="E402"/>
          <cell r="F402"/>
          <cell r="G402"/>
          <cell r="H402"/>
          <cell r="I402"/>
          <cell r="J402"/>
        </row>
        <row r="403">
          <cell r="A403"/>
          <cell r="C403"/>
          <cell r="D403"/>
          <cell r="E403"/>
          <cell r="F403"/>
          <cell r="G403"/>
          <cell r="H403"/>
          <cell r="I403"/>
          <cell r="J403"/>
        </row>
        <row r="404">
          <cell r="A404"/>
          <cell r="C404"/>
          <cell r="D404"/>
          <cell r="E404"/>
          <cell r="F404"/>
          <cell r="G404"/>
          <cell r="H404"/>
          <cell r="I404"/>
          <cell r="J404"/>
        </row>
        <row r="405">
          <cell r="A405"/>
          <cell r="C405"/>
          <cell r="D405"/>
          <cell r="E405"/>
          <cell r="F405"/>
          <cell r="G405"/>
          <cell r="H405"/>
          <cell r="I405"/>
          <cell r="J405"/>
        </row>
        <row r="406">
          <cell r="A406"/>
          <cell r="C406"/>
          <cell r="D406"/>
          <cell r="E406"/>
          <cell r="F406"/>
          <cell r="G406"/>
          <cell r="H406"/>
          <cell r="I406"/>
          <cell r="J406"/>
        </row>
        <row r="407">
          <cell r="A407"/>
          <cell r="C407"/>
          <cell r="D407"/>
          <cell r="E407"/>
          <cell r="F407"/>
          <cell r="G407"/>
          <cell r="H407"/>
          <cell r="I407"/>
          <cell r="J407"/>
        </row>
        <row r="408">
          <cell r="A408"/>
          <cell r="C408"/>
          <cell r="D408"/>
          <cell r="E408"/>
          <cell r="F408"/>
          <cell r="G408"/>
          <cell r="H408"/>
          <cell r="I408"/>
          <cell r="J408"/>
        </row>
        <row r="409">
          <cell r="A409"/>
          <cell r="C409"/>
          <cell r="D409"/>
          <cell r="E409"/>
          <cell r="F409"/>
          <cell r="G409"/>
          <cell r="H409"/>
          <cell r="I409"/>
          <cell r="J409"/>
        </row>
        <row r="410">
          <cell r="A410"/>
          <cell r="C410"/>
          <cell r="D410"/>
          <cell r="E410"/>
          <cell r="F410"/>
          <cell r="G410"/>
          <cell r="H410"/>
          <cell r="I410"/>
          <cell r="J410"/>
        </row>
        <row r="411">
          <cell r="A411"/>
          <cell r="C411"/>
          <cell r="D411"/>
          <cell r="E411"/>
          <cell r="F411"/>
          <cell r="G411"/>
          <cell r="H411"/>
          <cell r="I411"/>
          <cell r="J411"/>
        </row>
        <row r="412">
          <cell r="A412"/>
          <cell r="C412"/>
          <cell r="D412"/>
          <cell r="E412"/>
          <cell r="F412"/>
          <cell r="G412"/>
          <cell r="H412"/>
          <cell r="I412"/>
          <cell r="J412"/>
        </row>
        <row r="413">
          <cell r="A413"/>
          <cell r="C413"/>
          <cell r="D413"/>
          <cell r="E413"/>
          <cell r="F413"/>
          <cell r="G413"/>
          <cell r="H413"/>
          <cell r="I413"/>
          <cell r="J413"/>
        </row>
        <row r="414">
          <cell r="A414"/>
          <cell r="C414"/>
          <cell r="D414"/>
          <cell r="E414"/>
          <cell r="F414"/>
          <cell r="G414"/>
          <cell r="H414"/>
          <cell r="I414"/>
          <cell r="J414"/>
        </row>
        <row r="415">
          <cell r="A415"/>
          <cell r="C415"/>
          <cell r="D415"/>
          <cell r="E415"/>
          <cell r="F415"/>
          <cell r="G415"/>
          <cell r="H415"/>
          <cell r="I415"/>
          <cell r="J415"/>
        </row>
        <row r="416">
          <cell r="A416"/>
          <cell r="C416"/>
          <cell r="D416"/>
          <cell r="E416"/>
          <cell r="F416"/>
          <cell r="G416"/>
          <cell r="H416"/>
          <cell r="I416"/>
          <cell r="J416"/>
        </row>
        <row r="417">
          <cell r="A417"/>
          <cell r="C417"/>
          <cell r="D417"/>
          <cell r="E417"/>
          <cell r="F417"/>
          <cell r="G417"/>
          <cell r="H417"/>
          <cell r="I417"/>
          <cell r="J417"/>
        </row>
        <row r="418">
          <cell r="A418"/>
          <cell r="C418"/>
          <cell r="D418"/>
          <cell r="E418"/>
          <cell r="F418"/>
          <cell r="G418"/>
          <cell r="H418"/>
          <cell r="I418"/>
          <cell r="J418"/>
        </row>
        <row r="419">
          <cell r="A419"/>
          <cell r="C419"/>
          <cell r="D419"/>
          <cell r="E419"/>
          <cell r="F419"/>
          <cell r="G419"/>
          <cell r="H419"/>
          <cell r="I419"/>
          <cell r="J419"/>
        </row>
        <row r="420">
          <cell r="A420"/>
          <cell r="C420"/>
          <cell r="D420"/>
          <cell r="E420"/>
          <cell r="F420"/>
          <cell r="G420"/>
          <cell r="H420"/>
          <cell r="I420"/>
          <cell r="J420"/>
        </row>
        <row r="421">
          <cell r="A421"/>
          <cell r="C421"/>
          <cell r="D421"/>
          <cell r="E421"/>
          <cell r="F421"/>
          <cell r="G421"/>
          <cell r="H421"/>
          <cell r="I421"/>
          <cell r="J421"/>
        </row>
        <row r="422">
          <cell r="A422"/>
          <cell r="C422"/>
          <cell r="D422"/>
          <cell r="E422"/>
          <cell r="F422"/>
          <cell r="G422"/>
          <cell r="H422"/>
          <cell r="I422"/>
          <cell r="J422"/>
        </row>
        <row r="423">
          <cell r="A423"/>
          <cell r="C423"/>
          <cell r="D423"/>
          <cell r="E423"/>
          <cell r="F423"/>
          <cell r="G423"/>
          <cell r="H423"/>
          <cell r="I423"/>
          <cell r="J423"/>
        </row>
        <row r="424">
          <cell r="A424"/>
          <cell r="C424"/>
          <cell r="D424"/>
          <cell r="E424"/>
          <cell r="F424"/>
          <cell r="G424"/>
          <cell r="H424"/>
          <cell r="I424"/>
          <cell r="J424"/>
        </row>
        <row r="425">
          <cell r="A425"/>
          <cell r="C425"/>
          <cell r="D425"/>
          <cell r="E425"/>
          <cell r="F425"/>
          <cell r="G425"/>
          <cell r="H425"/>
          <cell r="I425"/>
          <cell r="J425"/>
        </row>
        <row r="426">
          <cell r="A426"/>
          <cell r="C426"/>
          <cell r="D426"/>
          <cell r="E426"/>
          <cell r="F426"/>
          <cell r="G426"/>
          <cell r="H426"/>
          <cell r="I426"/>
          <cell r="J426"/>
        </row>
        <row r="427">
          <cell r="A427"/>
          <cell r="C427"/>
          <cell r="D427"/>
          <cell r="E427"/>
          <cell r="F427"/>
          <cell r="G427"/>
          <cell r="H427"/>
          <cell r="I427"/>
          <cell r="J427"/>
        </row>
        <row r="428">
          <cell r="A428"/>
          <cell r="C428"/>
          <cell r="D428"/>
          <cell r="E428"/>
          <cell r="F428"/>
          <cell r="G428"/>
          <cell r="H428"/>
          <cell r="I428"/>
          <cell r="J428"/>
        </row>
        <row r="429">
          <cell r="A429"/>
          <cell r="C429"/>
          <cell r="D429"/>
          <cell r="E429"/>
          <cell r="F429"/>
          <cell r="G429"/>
          <cell r="H429"/>
          <cell r="I429"/>
          <cell r="J429"/>
        </row>
        <row r="430">
          <cell r="A430"/>
          <cell r="C430"/>
          <cell r="D430"/>
          <cell r="E430"/>
          <cell r="F430"/>
          <cell r="G430"/>
          <cell r="H430"/>
          <cell r="I430"/>
          <cell r="J430"/>
        </row>
        <row r="431">
          <cell r="A431"/>
          <cell r="C431"/>
          <cell r="D431"/>
          <cell r="E431"/>
          <cell r="F431"/>
          <cell r="G431"/>
          <cell r="H431"/>
          <cell r="I431"/>
          <cell r="J431"/>
        </row>
        <row r="432">
          <cell r="A432"/>
          <cell r="C432"/>
          <cell r="D432"/>
          <cell r="E432"/>
          <cell r="F432"/>
          <cell r="G432"/>
          <cell r="H432"/>
          <cell r="I432"/>
          <cell r="J432"/>
        </row>
        <row r="433">
          <cell r="A433"/>
          <cell r="C433"/>
          <cell r="D433"/>
          <cell r="E433"/>
          <cell r="F433"/>
          <cell r="G433"/>
          <cell r="H433"/>
          <cell r="I433"/>
          <cell r="J433"/>
        </row>
        <row r="434">
          <cell r="A434"/>
          <cell r="C434"/>
          <cell r="D434"/>
          <cell r="E434"/>
          <cell r="F434"/>
          <cell r="G434"/>
          <cell r="H434"/>
          <cell r="I434"/>
          <cell r="J434"/>
        </row>
        <row r="435">
          <cell r="A435"/>
          <cell r="C435"/>
          <cell r="D435"/>
          <cell r="E435"/>
          <cell r="F435"/>
          <cell r="G435"/>
          <cell r="H435"/>
          <cell r="I435"/>
          <cell r="J435"/>
        </row>
        <row r="436">
          <cell r="A436"/>
          <cell r="C436"/>
          <cell r="D436"/>
          <cell r="E436"/>
          <cell r="F436"/>
          <cell r="G436"/>
          <cell r="H436"/>
          <cell r="I436"/>
          <cell r="J436"/>
        </row>
        <row r="437">
          <cell r="A437"/>
          <cell r="C437"/>
          <cell r="D437"/>
          <cell r="E437"/>
          <cell r="F437"/>
          <cell r="G437"/>
          <cell r="H437"/>
          <cell r="I437"/>
          <cell r="J437"/>
        </row>
        <row r="438">
          <cell r="A438"/>
          <cell r="C438"/>
          <cell r="D438"/>
          <cell r="E438"/>
          <cell r="F438"/>
          <cell r="G438"/>
          <cell r="H438"/>
          <cell r="I438"/>
          <cell r="J438"/>
        </row>
        <row r="439">
          <cell r="A439"/>
          <cell r="C439"/>
          <cell r="D439"/>
          <cell r="E439"/>
          <cell r="F439"/>
          <cell r="G439"/>
          <cell r="H439"/>
          <cell r="I439"/>
          <cell r="J439"/>
        </row>
        <row r="440">
          <cell r="A440"/>
          <cell r="C440"/>
          <cell r="D440"/>
          <cell r="E440"/>
          <cell r="F440"/>
          <cell r="G440"/>
          <cell r="H440"/>
          <cell r="I440"/>
          <cell r="J440"/>
        </row>
        <row r="441">
          <cell r="A441"/>
          <cell r="C441"/>
          <cell r="D441"/>
          <cell r="E441"/>
          <cell r="F441"/>
          <cell r="G441"/>
          <cell r="H441"/>
          <cell r="I441"/>
          <cell r="J441"/>
        </row>
        <row r="442">
          <cell r="A442"/>
          <cell r="C442"/>
          <cell r="D442"/>
          <cell r="E442"/>
          <cell r="F442"/>
          <cell r="G442"/>
          <cell r="H442"/>
          <cell r="I442"/>
          <cell r="J442"/>
        </row>
        <row r="443">
          <cell r="A443"/>
          <cell r="C443"/>
          <cell r="D443"/>
          <cell r="E443"/>
          <cell r="F443"/>
          <cell r="G443"/>
          <cell r="H443"/>
          <cell r="I443"/>
          <cell r="J443"/>
        </row>
        <row r="444">
          <cell r="A444"/>
          <cell r="C444"/>
          <cell r="D444"/>
          <cell r="E444"/>
          <cell r="F444"/>
          <cell r="G444"/>
          <cell r="H444"/>
          <cell r="I444"/>
          <cell r="J444"/>
        </row>
        <row r="445">
          <cell r="A445"/>
          <cell r="C445"/>
          <cell r="D445"/>
          <cell r="E445"/>
          <cell r="F445"/>
          <cell r="G445"/>
          <cell r="H445"/>
          <cell r="I445"/>
          <cell r="J445"/>
        </row>
        <row r="446">
          <cell r="A446"/>
          <cell r="C446"/>
          <cell r="D446"/>
          <cell r="E446"/>
          <cell r="F446"/>
          <cell r="G446"/>
          <cell r="H446"/>
          <cell r="I446"/>
          <cell r="J446"/>
        </row>
        <row r="447">
          <cell r="A447"/>
          <cell r="C447"/>
          <cell r="D447"/>
          <cell r="E447"/>
          <cell r="F447"/>
          <cell r="G447"/>
          <cell r="H447"/>
          <cell r="I447"/>
          <cell r="J447"/>
        </row>
        <row r="448">
          <cell r="A448"/>
          <cell r="C448"/>
          <cell r="D448"/>
          <cell r="E448"/>
          <cell r="F448"/>
          <cell r="G448"/>
          <cell r="H448"/>
          <cell r="I448"/>
          <cell r="J448"/>
        </row>
        <row r="449">
          <cell r="A449"/>
          <cell r="C449"/>
          <cell r="D449"/>
          <cell r="E449"/>
          <cell r="F449"/>
          <cell r="G449"/>
          <cell r="H449"/>
          <cell r="I449"/>
          <cell r="J449"/>
        </row>
        <row r="450">
          <cell r="A450"/>
          <cell r="C450"/>
          <cell r="D450"/>
          <cell r="E450"/>
          <cell r="F450"/>
          <cell r="G450"/>
          <cell r="H450"/>
          <cell r="I450"/>
          <cell r="J450"/>
        </row>
        <row r="451">
          <cell r="A451"/>
          <cell r="C451"/>
          <cell r="D451"/>
          <cell r="E451"/>
          <cell r="F451"/>
          <cell r="G451"/>
          <cell r="H451"/>
          <cell r="I451"/>
          <cell r="J451"/>
        </row>
        <row r="452">
          <cell r="A452"/>
          <cell r="C452"/>
          <cell r="D452"/>
          <cell r="E452"/>
          <cell r="F452"/>
          <cell r="G452"/>
          <cell r="H452"/>
          <cell r="I452"/>
          <cell r="J452"/>
        </row>
        <row r="453">
          <cell r="A453"/>
          <cell r="C453"/>
          <cell r="D453"/>
          <cell r="E453"/>
          <cell r="F453"/>
          <cell r="G453"/>
          <cell r="H453"/>
          <cell r="I453"/>
          <cell r="J453"/>
        </row>
        <row r="454">
          <cell r="A454"/>
          <cell r="C454"/>
          <cell r="D454"/>
          <cell r="E454"/>
          <cell r="F454"/>
          <cell r="G454"/>
          <cell r="H454"/>
          <cell r="I454"/>
          <cell r="J454"/>
        </row>
        <row r="455">
          <cell r="A455"/>
          <cell r="C455"/>
          <cell r="D455"/>
          <cell r="E455"/>
          <cell r="F455"/>
          <cell r="G455"/>
          <cell r="H455"/>
          <cell r="I455"/>
          <cell r="J455"/>
        </row>
        <row r="456">
          <cell r="A456"/>
          <cell r="C456"/>
          <cell r="D456"/>
          <cell r="E456"/>
          <cell r="F456"/>
          <cell r="G456"/>
          <cell r="H456"/>
          <cell r="I456"/>
          <cell r="J456"/>
        </row>
        <row r="457">
          <cell r="A457"/>
          <cell r="C457"/>
          <cell r="D457"/>
          <cell r="E457"/>
          <cell r="F457"/>
          <cell r="G457"/>
          <cell r="H457"/>
          <cell r="I457"/>
          <cell r="J457"/>
        </row>
        <row r="458">
          <cell r="A458"/>
          <cell r="C458"/>
          <cell r="D458"/>
          <cell r="E458"/>
          <cell r="F458"/>
          <cell r="G458"/>
          <cell r="H458"/>
          <cell r="I458"/>
          <cell r="J458"/>
        </row>
        <row r="459">
          <cell r="A459"/>
          <cell r="C459"/>
          <cell r="D459"/>
          <cell r="E459"/>
          <cell r="F459"/>
          <cell r="G459"/>
          <cell r="H459"/>
          <cell r="I459"/>
          <cell r="J459"/>
        </row>
        <row r="460">
          <cell r="A460"/>
          <cell r="C460"/>
          <cell r="D460"/>
          <cell r="E460"/>
          <cell r="F460"/>
          <cell r="G460"/>
          <cell r="H460"/>
          <cell r="I460"/>
          <cell r="J460"/>
        </row>
        <row r="461">
          <cell r="A461"/>
          <cell r="C461"/>
          <cell r="D461"/>
          <cell r="E461"/>
          <cell r="F461"/>
          <cell r="G461"/>
          <cell r="H461"/>
          <cell r="I461"/>
          <cell r="J461"/>
        </row>
        <row r="462">
          <cell r="A462"/>
          <cell r="C462"/>
          <cell r="D462"/>
          <cell r="E462"/>
          <cell r="F462"/>
          <cell r="G462"/>
          <cell r="H462"/>
          <cell r="I462"/>
          <cell r="J462"/>
        </row>
        <row r="463">
          <cell r="A463"/>
          <cell r="C463"/>
          <cell r="D463"/>
          <cell r="E463"/>
          <cell r="F463"/>
          <cell r="G463"/>
          <cell r="H463"/>
          <cell r="I463"/>
          <cell r="J463"/>
        </row>
        <row r="464">
          <cell r="A464"/>
          <cell r="C464"/>
          <cell r="D464"/>
          <cell r="E464"/>
          <cell r="F464"/>
          <cell r="G464"/>
          <cell r="H464"/>
          <cell r="I464"/>
          <cell r="J464"/>
        </row>
        <row r="465">
          <cell r="A465"/>
          <cell r="C465"/>
          <cell r="D465"/>
          <cell r="E465"/>
          <cell r="F465"/>
          <cell r="G465"/>
          <cell r="H465"/>
          <cell r="I465"/>
          <cell r="J465"/>
        </row>
        <row r="466">
          <cell r="A466"/>
          <cell r="C466"/>
          <cell r="D466"/>
          <cell r="E466"/>
          <cell r="F466"/>
          <cell r="G466"/>
          <cell r="H466"/>
          <cell r="I466"/>
          <cell r="J466"/>
        </row>
        <row r="467">
          <cell r="A467"/>
          <cell r="C467"/>
          <cell r="D467"/>
          <cell r="E467"/>
          <cell r="F467"/>
          <cell r="G467"/>
          <cell r="H467"/>
          <cell r="I467"/>
          <cell r="J467"/>
        </row>
        <row r="468">
          <cell r="A468"/>
          <cell r="C468"/>
          <cell r="D468"/>
          <cell r="E468"/>
          <cell r="F468"/>
          <cell r="G468"/>
          <cell r="H468"/>
          <cell r="I468"/>
          <cell r="J468"/>
        </row>
        <row r="469">
          <cell r="A469"/>
          <cell r="C469"/>
          <cell r="D469"/>
          <cell r="E469"/>
          <cell r="F469"/>
          <cell r="G469"/>
          <cell r="H469"/>
          <cell r="I469"/>
          <cell r="J469"/>
        </row>
        <row r="470">
          <cell r="A470"/>
          <cell r="C470"/>
          <cell r="D470"/>
          <cell r="E470"/>
          <cell r="F470"/>
          <cell r="G470"/>
          <cell r="H470"/>
          <cell r="I470"/>
          <cell r="J470"/>
        </row>
        <row r="471">
          <cell r="A471"/>
          <cell r="C471"/>
          <cell r="D471"/>
          <cell r="E471"/>
          <cell r="F471"/>
          <cell r="G471"/>
          <cell r="H471"/>
          <cell r="I471"/>
          <cell r="J471"/>
        </row>
        <row r="472">
          <cell r="A472"/>
          <cell r="C472"/>
          <cell r="D472"/>
          <cell r="E472"/>
          <cell r="F472"/>
          <cell r="G472"/>
          <cell r="H472"/>
          <cell r="I472"/>
          <cell r="J472"/>
        </row>
        <row r="473">
          <cell r="A473"/>
          <cell r="C473"/>
          <cell r="D473"/>
          <cell r="E473"/>
          <cell r="F473"/>
          <cell r="G473"/>
          <cell r="H473"/>
          <cell r="I473"/>
          <cell r="J473"/>
        </row>
        <row r="474">
          <cell r="A474"/>
          <cell r="C474"/>
          <cell r="D474"/>
          <cell r="E474"/>
          <cell r="F474"/>
          <cell r="G474"/>
          <cell r="H474"/>
          <cell r="I474"/>
          <cell r="J474"/>
        </row>
        <row r="475">
          <cell r="A475"/>
          <cell r="C475"/>
          <cell r="D475"/>
          <cell r="E475"/>
          <cell r="F475"/>
          <cell r="G475"/>
          <cell r="H475"/>
          <cell r="I475"/>
          <cell r="J475"/>
        </row>
        <row r="476">
          <cell r="A476"/>
          <cell r="C476"/>
          <cell r="D476"/>
          <cell r="E476"/>
          <cell r="F476"/>
          <cell r="G476"/>
          <cell r="H476"/>
          <cell r="I476"/>
          <cell r="J476"/>
        </row>
        <row r="477">
          <cell r="A477"/>
          <cell r="C477"/>
          <cell r="D477"/>
          <cell r="E477"/>
          <cell r="F477"/>
          <cell r="G477"/>
          <cell r="H477"/>
          <cell r="I477"/>
          <cell r="J477"/>
        </row>
        <row r="478">
          <cell r="A478"/>
          <cell r="C478"/>
          <cell r="D478"/>
          <cell r="E478"/>
          <cell r="F478"/>
          <cell r="G478"/>
          <cell r="H478"/>
          <cell r="I478"/>
          <cell r="J478"/>
        </row>
        <row r="479">
          <cell r="A479"/>
          <cell r="C479"/>
          <cell r="D479"/>
          <cell r="E479"/>
          <cell r="F479"/>
          <cell r="G479"/>
          <cell r="H479"/>
          <cell r="I479"/>
          <cell r="J479"/>
        </row>
        <row r="480">
          <cell r="A480"/>
          <cell r="C480"/>
          <cell r="D480"/>
          <cell r="E480"/>
          <cell r="F480"/>
          <cell r="G480"/>
          <cell r="H480"/>
          <cell r="I480"/>
          <cell r="J480"/>
        </row>
        <row r="481">
          <cell r="A481"/>
          <cell r="C481"/>
          <cell r="D481"/>
          <cell r="E481"/>
          <cell r="F481"/>
          <cell r="G481"/>
          <cell r="H481"/>
          <cell r="I481"/>
          <cell r="J481"/>
        </row>
        <row r="482">
          <cell r="A482"/>
          <cell r="C482"/>
          <cell r="D482"/>
          <cell r="E482"/>
          <cell r="F482"/>
          <cell r="G482"/>
          <cell r="H482"/>
          <cell r="I482"/>
          <cell r="J482"/>
        </row>
        <row r="483">
          <cell r="A483"/>
          <cell r="C483"/>
          <cell r="D483"/>
          <cell r="E483"/>
          <cell r="F483"/>
          <cell r="G483"/>
          <cell r="H483"/>
          <cell r="I483"/>
          <cell r="J483"/>
        </row>
        <row r="484">
          <cell r="A484"/>
          <cell r="C484"/>
          <cell r="D484"/>
          <cell r="E484"/>
          <cell r="F484"/>
          <cell r="G484"/>
          <cell r="H484"/>
          <cell r="I484"/>
          <cell r="J484"/>
        </row>
        <row r="485">
          <cell r="A485"/>
          <cell r="C485"/>
          <cell r="D485"/>
          <cell r="E485"/>
          <cell r="F485"/>
          <cell r="G485"/>
          <cell r="H485"/>
          <cell r="I485"/>
          <cell r="J485"/>
        </row>
        <row r="486">
          <cell r="A486"/>
          <cell r="C486"/>
          <cell r="D486"/>
          <cell r="E486"/>
          <cell r="F486"/>
          <cell r="G486"/>
          <cell r="H486"/>
          <cell r="I486"/>
          <cell r="J486"/>
        </row>
        <row r="487">
          <cell r="A487"/>
          <cell r="C487"/>
          <cell r="D487"/>
          <cell r="E487"/>
          <cell r="F487"/>
          <cell r="G487"/>
          <cell r="H487"/>
          <cell r="I487"/>
          <cell r="J487"/>
        </row>
        <row r="488">
          <cell r="A488"/>
          <cell r="C488"/>
          <cell r="D488"/>
          <cell r="E488"/>
          <cell r="F488"/>
          <cell r="G488"/>
          <cell r="H488"/>
          <cell r="I488"/>
          <cell r="J488"/>
        </row>
        <row r="489">
          <cell r="A489"/>
          <cell r="C489"/>
          <cell r="D489"/>
          <cell r="E489"/>
          <cell r="F489"/>
          <cell r="G489"/>
          <cell r="H489"/>
          <cell r="I489"/>
          <cell r="J489"/>
        </row>
        <row r="490">
          <cell r="A490"/>
          <cell r="C490"/>
          <cell r="D490"/>
          <cell r="E490"/>
          <cell r="F490"/>
          <cell r="G490"/>
          <cell r="H490"/>
          <cell r="I490"/>
          <cell r="J490"/>
        </row>
        <row r="491">
          <cell r="A491"/>
          <cell r="C491"/>
          <cell r="D491"/>
          <cell r="E491"/>
          <cell r="F491"/>
          <cell r="G491"/>
          <cell r="H491"/>
          <cell r="I491"/>
          <cell r="J491"/>
        </row>
        <row r="492">
          <cell r="A492"/>
          <cell r="C492"/>
          <cell r="D492"/>
          <cell r="E492"/>
          <cell r="F492"/>
          <cell r="G492"/>
          <cell r="H492"/>
          <cell r="I492"/>
          <cell r="J492"/>
        </row>
        <row r="493">
          <cell r="A493"/>
          <cell r="C493"/>
          <cell r="D493"/>
          <cell r="E493"/>
          <cell r="F493"/>
          <cell r="G493"/>
          <cell r="H493"/>
          <cell r="I493"/>
          <cell r="J493"/>
        </row>
        <row r="494">
          <cell r="A494"/>
          <cell r="C494"/>
          <cell r="D494"/>
          <cell r="E494"/>
          <cell r="F494"/>
          <cell r="G494"/>
          <cell r="H494"/>
          <cell r="I494"/>
          <cell r="J494"/>
        </row>
        <row r="495">
          <cell r="A495"/>
          <cell r="C495"/>
          <cell r="D495"/>
          <cell r="E495"/>
          <cell r="F495"/>
          <cell r="G495"/>
          <cell r="H495"/>
          <cell r="I495"/>
          <cell r="J495"/>
        </row>
        <row r="496">
          <cell r="A496"/>
          <cell r="C496"/>
          <cell r="D496"/>
          <cell r="E496"/>
          <cell r="F496"/>
          <cell r="G496"/>
          <cell r="H496"/>
          <cell r="I496"/>
          <cell r="J496"/>
        </row>
      </sheetData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file:///\\starg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D8112-0760-4FAE-986B-0593D8B7A92F}">
  <dimension ref="A1:I56"/>
  <sheetViews>
    <sheetView tabSelected="1" view="pageBreakPreview" zoomScale="60" zoomScaleNormal="84" workbookViewId="0">
      <selection activeCell="N29" sqref="N29"/>
    </sheetView>
  </sheetViews>
  <sheetFormatPr baseColWidth="10" defaultRowHeight="12.75" x14ac:dyDescent="0.2"/>
  <cols>
    <col min="2" max="2" width="13.5703125" bestFit="1" customWidth="1"/>
    <col min="3" max="3" width="49" customWidth="1"/>
    <col min="4" max="4" width="34.28515625" bestFit="1" customWidth="1"/>
    <col min="8" max="8" width="47.5703125" bestFit="1" customWidth="1"/>
    <col min="9" max="9" width="21.7109375" bestFit="1" customWidth="1"/>
  </cols>
  <sheetData>
    <row r="1" spans="1:9" ht="18" x14ac:dyDescent="0.25">
      <c r="A1" s="200"/>
      <c r="B1" s="201"/>
      <c r="C1" s="202" t="s">
        <v>12</v>
      </c>
      <c r="D1" s="202"/>
      <c r="E1" s="202"/>
      <c r="F1" s="202"/>
      <c r="G1" s="202"/>
      <c r="H1" s="203" t="s">
        <v>13</v>
      </c>
      <c r="I1" s="204" t="s">
        <v>146</v>
      </c>
    </row>
    <row r="2" spans="1:9" ht="18" customHeight="1" thickBot="1" x14ac:dyDescent="0.3">
      <c r="A2" s="205"/>
      <c r="B2" s="206"/>
      <c r="C2" s="207" t="s">
        <v>10</v>
      </c>
      <c r="D2" s="208"/>
      <c r="E2" s="208"/>
      <c r="F2" s="208"/>
      <c r="G2" s="209"/>
      <c r="H2" s="210" t="s">
        <v>14</v>
      </c>
      <c r="I2" s="211" t="s">
        <v>151</v>
      </c>
    </row>
    <row r="3" spans="1:9" ht="31.5" customHeight="1" thickBot="1" x14ac:dyDescent="0.25">
      <c r="A3" s="205"/>
      <c r="B3" s="206"/>
      <c r="C3" s="145" t="s">
        <v>150</v>
      </c>
      <c r="D3" s="146"/>
      <c r="E3" s="146"/>
      <c r="F3" s="146"/>
      <c r="G3" s="147"/>
      <c r="H3" s="212" t="s">
        <v>15</v>
      </c>
      <c r="I3" s="213">
        <v>45613</v>
      </c>
    </row>
    <row r="4" spans="1:9" ht="18" customHeight="1" x14ac:dyDescent="0.25">
      <c r="A4" s="205"/>
      <c r="B4" s="206"/>
      <c r="C4" s="214" t="s">
        <v>16</v>
      </c>
      <c r="D4" s="215" t="s">
        <v>124</v>
      </c>
      <c r="E4" s="216"/>
      <c r="F4" s="216"/>
      <c r="G4" s="217"/>
      <c r="H4" s="218"/>
      <c r="I4" s="219"/>
    </row>
    <row r="5" spans="1:9" ht="18.75" thickBot="1" x14ac:dyDescent="0.3">
      <c r="A5" s="220"/>
      <c r="B5" s="221"/>
      <c r="C5" s="222" t="s">
        <v>17</v>
      </c>
      <c r="D5" s="223" t="s">
        <v>125</v>
      </c>
      <c r="E5" s="224"/>
      <c r="F5" s="224"/>
      <c r="G5" s="225"/>
      <c r="H5" s="226"/>
      <c r="I5" s="227"/>
    </row>
    <row r="6" spans="1:9" ht="18.75" thickBot="1" x14ac:dyDescent="0.3">
      <c r="A6" s="148" t="s">
        <v>126</v>
      </c>
      <c r="B6" s="148"/>
      <c r="C6" s="148"/>
      <c r="D6" s="228" t="s">
        <v>127</v>
      </c>
      <c r="E6" s="228"/>
      <c r="F6" s="228"/>
      <c r="G6" s="149" t="s">
        <v>128</v>
      </c>
      <c r="H6" s="149"/>
      <c r="I6" s="229" t="s">
        <v>127</v>
      </c>
    </row>
    <row r="7" spans="1:9" ht="36" x14ac:dyDescent="0.2">
      <c r="A7" s="230" t="s">
        <v>1</v>
      </c>
      <c r="B7" s="231" t="s">
        <v>129</v>
      </c>
      <c r="C7" s="232" t="s">
        <v>2</v>
      </c>
      <c r="D7" s="232" t="s">
        <v>3</v>
      </c>
      <c r="E7" s="232" t="s">
        <v>4</v>
      </c>
      <c r="F7" s="232"/>
      <c r="G7" s="232" t="s">
        <v>18</v>
      </c>
      <c r="H7" s="232"/>
      <c r="I7" s="233" t="s">
        <v>5</v>
      </c>
    </row>
    <row r="8" spans="1:9" ht="54.75" thickBot="1" x14ac:dyDescent="0.3">
      <c r="A8" s="234"/>
      <c r="B8" s="235"/>
      <c r="C8" s="236"/>
      <c r="D8" s="236"/>
      <c r="E8" s="237" t="s">
        <v>6</v>
      </c>
      <c r="F8" s="238" t="s">
        <v>7</v>
      </c>
      <c r="G8" s="237" t="s">
        <v>6</v>
      </c>
      <c r="H8" s="238" t="s">
        <v>7</v>
      </c>
      <c r="I8" s="239" t="s">
        <v>8</v>
      </c>
    </row>
    <row r="9" spans="1:9" ht="18.399999999999999" customHeight="1" x14ac:dyDescent="0.3">
      <c r="A9" s="240"/>
      <c r="B9" s="241"/>
      <c r="C9" s="242" t="s">
        <v>130</v>
      </c>
      <c r="D9" s="243"/>
      <c r="E9" s="244"/>
      <c r="F9" s="245"/>
      <c r="G9" s="244"/>
      <c r="H9" s="245"/>
      <c r="I9" s="246"/>
    </row>
    <row r="10" spans="1:9" ht="18" customHeight="1" x14ac:dyDescent="0.3">
      <c r="A10" s="247" t="s">
        <v>120</v>
      </c>
      <c r="B10" s="247" t="s">
        <v>121</v>
      </c>
      <c r="C10" s="248" t="s">
        <v>31</v>
      </c>
      <c r="D10" s="249" t="s">
        <v>131</v>
      </c>
      <c r="E10" s="250">
        <v>4072</v>
      </c>
      <c r="F10" s="251" t="s">
        <v>11</v>
      </c>
      <c r="G10" s="252"/>
      <c r="H10" s="253"/>
      <c r="I10" s="246"/>
    </row>
    <row r="11" spans="1:9" ht="18.75" x14ac:dyDescent="0.3">
      <c r="A11" s="254" t="s">
        <v>19</v>
      </c>
      <c r="B11" s="255" t="s">
        <v>118</v>
      </c>
      <c r="C11" s="256" t="s">
        <v>20</v>
      </c>
      <c r="D11" s="257" t="s">
        <v>132</v>
      </c>
      <c r="E11" s="258">
        <v>63</v>
      </c>
      <c r="F11" s="259" t="s">
        <v>117</v>
      </c>
      <c r="G11" s="252"/>
      <c r="H11" s="253" t="s">
        <v>133</v>
      </c>
      <c r="I11" s="246"/>
    </row>
    <row r="12" spans="1:9" ht="18.75" x14ac:dyDescent="0.3">
      <c r="A12" s="260"/>
      <c r="B12" s="247"/>
      <c r="C12" s="261"/>
      <c r="D12" s="257"/>
      <c r="E12" s="258"/>
      <c r="F12" s="259"/>
      <c r="G12" s="262"/>
      <c r="H12" s="253"/>
      <c r="I12" s="246"/>
    </row>
    <row r="13" spans="1:9" ht="18.75" x14ac:dyDescent="0.3">
      <c r="A13" s="260"/>
      <c r="B13" s="260"/>
      <c r="C13" s="263"/>
      <c r="D13" s="264"/>
      <c r="E13" s="265"/>
      <c r="F13" s="266"/>
      <c r="G13" s="262"/>
      <c r="H13" s="253"/>
      <c r="I13" s="246"/>
    </row>
    <row r="14" spans="1:9" ht="18.75" x14ac:dyDescent="0.3">
      <c r="A14" s="260"/>
      <c r="B14" s="260"/>
      <c r="C14" s="263"/>
      <c r="D14" s="264"/>
      <c r="E14" s="265"/>
      <c r="F14" s="266"/>
      <c r="G14" s="262"/>
      <c r="H14" s="253"/>
      <c r="I14" s="246"/>
    </row>
    <row r="15" spans="1:9" ht="18.75" x14ac:dyDescent="0.3">
      <c r="A15" s="267"/>
      <c r="B15" s="260"/>
      <c r="C15" s="268"/>
      <c r="D15" s="269"/>
      <c r="E15" s="269"/>
      <c r="F15" s="269"/>
      <c r="G15" s="244"/>
      <c r="H15" s="253"/>
      <c r="I15" s="246"/>
    </row>
    <row r="16" spans="1:9" ht="18.75" x14ac:dyDescent="0.3">
      <c r="A16" s="270"/>
      <c r="B16" s="271"/>
      <c r="C16" s="272" t="s">
        <v>134</v>
      </c>
      <c r="D16" s="265"/>
      <c r="E16" s="273"/>
      <c r="F16" s="266"/>
      <c r="G16" s="244"/>
      <c r="H16" s="245"/>
      <c r="I16" s="246"/>
    </row>
    <row r="17" spans="1:9" ht="18.75" x14ac:dyDescent="0.3">
      <c r="A17" s="274"/>
      <c r="B17" s="275"/>
      <c r="C17" s="276"/>
      <c r="D17" s="277"/>
      <c r="E17" s="278"/>
      <c r="F17" s="279"/>
      <c r="G17" s="244"/>
      <c r="H17" s="245"/>
      <c r="I17" s="246"/>
    </row>
    <row r="18" spans="1:9" ht="18.75" x14ac:dyDescent="0.3">
      <c r="A18" s="274"/>
      <c r="B18" s="275"/>
      <c r="C18" s="276"/>
      <c r="D18" s="277"/>
      <c r="E18" s="280"/>
      <c r="F18" s="279"/>
      <c r="G18" s="244"/>
      <c r="H18" s="245"/>
      <c r="I18" s="246"/>
    </row>
    <row r="19" spans="1:9" ht="18.75" x14ac:dyDescent="0.3">
      <c r="A19" s="274"/>
      <c r="B19" s="275"/>
      <c r="C19" s="276"/>
      <c r="D19" s="277"/>
      <c r="E19" s="278"/>
      <c r="F19" s="279"/>
      <c r="G19" s="244"/>
      <c r="H19" s="245"/>
      <c r="I19" s="246"/>
    </row>
    <row r="20" spans="1:9" ht="18.75" x14ac:dyDescent="0.3">
      <c r="A20" s="274"/>
      <c r="B20" s="275"/>
      <c r="C20" s="276"/>
      <c r="D20" s="277"/>
      <c r="E20" s="281"/>
      <c r="F20" s="282"/>
      <c r="G20" s="244"/>
      <c r="H20" s="245"/>
      <c r="I20" s="246"/>
    </row>
    <row r="21" spans="1:9" ht="18.75" x14ac:dyDescent="0.3">
      <c r="A21" s="274"/>
      <c r="B21" s="275"/>
      <c r="C21" s="276"/>
      <c r="D21" s="277"/>
      <c r="E21" s="283"/>
      <c r="F21" s="282"/>
      <c r="G21" s="244"/>
      <c r="H21" s="245"/>
      <c r="I21" s="246"/>
    </row>
    <row r="22" spans="1:9" ht="18.75" x14ac:dyDescent="0.3">
      <c r="A22" s="247"/>
      <c r="B22" s="247"/>
      <c r="C22" s="261"/>
      <c r="D22" s="284"/>
      <c r="E22" s="285"/>
      <c r="F22" s="286"/>
      <c r="G22" s="244"/>
      <c r="H22" s="245"/>
      <c r="I22" s="246"/>
    </row>
    <row r="23" spans="1:9" ht="18.75" x14ac:dyDescent="0.3">
      <c r="A23" s="260"/>
      <c r="B23" s="260"/>
      <c r="C23" s="268"/>
      <c r="D23" s="287"/>
      <c r="E23" s="288"/>
      <c r="F23" s="286"/>
      <c r="G23" s="244"/>
      <c r="H23" s="245"/>
      <c r="I23" s="246"/>
    </row>
    <row r="24" spans="1:9" ht="18.75" x14ac:dyDescent="0.3">
      <c r="A24" s="260"/>
      <c r="B24" s="260"/>
      <c r="C24" s="268"/>
      <c r="D24" s="287"/>
      <c r="E24" s="289"/>
      <c r="F24" s="290"/>
      <c r="G24" s="244"/>
      <c r="H24" s="245"/>
      <c r="I24" s="246"/>
    </row>
    <row r="25" spans="1:9" ht="18.75" x14ac:dyDescent="0.3">
      <c r="A25" s="291"/>
      <c r="B25" s="292"/>
      <c r="C25" s="293" t="s">
        <v>135</v>
      </c>
      <c r="D25" s="294"/>
      <c r="E25" s="295"/>
      <c r="F25" s="245"/>
      <c r="G25" s="244"/>
      <c r="H25" s="261"/>
      <c r="I25" s="246"/>
    </row>
    <row r="26" spans="1:9" ht="18.75" x14ac:dyDescent="0.3">
      <c r="A26" s="296" t="s">
        <v>34</v>
      </c>
      <c r="B26" s="296" t="s">
        <v>119</v>
      </c>
      <c r="C26" s="297" t="s">
        <v>136</v>
      </c>
      <c r="D26" s="298"/>
      <c r="E26" s="299">
        <v>10.5</v>
      </c>
      <c r="F26" s="300" t="s">
        <v>117</v>
      </c>
      <c r="G26" s="301"/>
      <c r="H26" s="245"/>
      <c r="I26" s="246"/>
    </row>
    <row r="27" spans="1:9" ht="18.75" x14ac:dyDescent="0.3">
      <c r="A27" s="302">
        <v>702077</v>
      </c>
      <c r="B27" s="302" t="s">
        <v>122</v>
      </c>
      <c r="C27" s="303" t="s">
        <v>137</v>
      </c>
      <c r="D27" s="298"/>
      <c r="E27" s="299">
        <v>10.5</v>
      </c>
      <c r="F27" s="300" t="s">
        <v>117</v>
      </c>
      <c r="G27" s="301"/>
      <c r="H27" s="245"/>
      <c r="I27" s="246"/>
    </row>
    <row r="28" spans="1:9" ht="18.75" x14ac:dyDescent="0.3">
      <c r="A28" s="260" t="s">
        <v>0</v>
      </c>
      <c r="B28" s="260" t="s">
        <v>123</v>
      </c>
      <c r="C28" s="268" t="s">
        <v>138</v>
      </c>
      <c r="D28" s="304"/>
      <c r="E28" s="289">
        <v>10.5</v>
      </c>
      <c r="F28" s="262" t="s">
        <v>117</v>
      </c>
      <c r="G28" s="301"/>
      <c r="H28" s="245"/>
      <c r="I28" s="246"/>
    </row>
    <row r="29" spans="1:9" ht="18.75" x14ac:dyDescent="0.3">
      <c r="A29" s="305"/>
      <c r="B29" s="261" t="s">
        <v>147</v>
      </c>
      <c r="C29" s="261" t="s">
        <v>148</v>
      </c>
      <c r="D29" s="298"/>
      <c r="E29" s="299">
        <v>11</v>
      </c>
      <c r="F29" s="300" t="s">
        <v>117</v>
      </c>
      <c r="G29" s="244"/>
      <c r="H29" s="245"/>
      <c r="I29" s="246"/>
    </row>
    <row r="30" spans="1:9" ht="18.75" x14ac:dyDescent="0.3">
      <c r="A30" s="305"/>
      <c r="B30" s="305"/>
      <c r="C30" s="306"/>
      <c r="D30" s="298"/>
      <c r="E30" s="299"/>
      <c r="F30" s="300"/>
      <c r="G30" s="244"/>
      <c r="H30" s="245"/>
      <c r="I30" s="246"/>
    </row>
    <row r="31" spans="1:9" ht="18.75" x14ac:dyDescent="0.3">
      <c r="A31" s="305"/>
      <c r="B31" s="305"/>
      <c r="C31" s="306"/>
      <c r="D31" s="298"/>
      <c r="E31" s="299"/>
      <c r="F31" s="300"/>
      <c r="G31" s="307"/>
      <c r="H31" s="245"/>
      <c r="I31" s="246"/>
    </row>
    <row r="32" spans="1:9" ht="18.75" x14ac:dyDescent="0.3">
      <c r="A32" s="305"/>
      <c r="B32" s="305"/>
      <c r="C32" s="306"/>
      <c r="D32" s="298"/>
      <c r="E32" s="299"/>
      <c r="F32" s="300"/>
      <c r="G32" s="264"/>
      <c r="H32" s="245"/>
      <c r="I32" s="246"/>
    </row>
    <row r="33" spans="1:9" ht="18.75" x14ac:dyDescent="0.3">
      <c r="A33" s="308"/>
      <c r="B33" s="308"/>
      <c r="C33" s="309"/>
      <c r="D33" s="298"/>
      <c r="E33" s="290"/>
      <c r="F33" s="290"/>
      <c r="G33" s="264"/>
      <c r="H33" s="245"/>
      <c r="I33" s="246"/>
    </row>
    <row r="34" spans="1:9" ht="18.75" x14ac:dyDescent="0.3">
      <c r="A34" s="296"/>
      <c r="B34" s="260"/>
      <c r="C34" s="297"/>
      <c r="D34" s="304"/>
      <c r="E34" s="289"/>
      <c r="F34" s="262"/>
      <c r="G34" s="264"/>
      <c r="H34" s="245"/>
      <c r="I34" s="246"/>
    </row>
    <row r="35" spans="1:9" ht="18.75" x14ac:dyDescent="0.3">
      <c r="A35" s="305"/>
      <c r="B35" s="305"/>
      <c r="C35" s="306"/>
      <c r="D35" s="298"/>
      <c r="E35" s="289"/>
      <c r="F35" s="262"/>
      <c r="G35" s="264"/>
      <c r="H35" s="245"/>
      <c r="I35" s="246"/>
    </row>
    <row r="36" spans="1:9" ht="18.75" x14ac:dyDescent="0.3">
      <c r="A36" s="270"/>
      <c r="B36" s="271"/>
      <c r="C36" s="310"/>
      <c r="D36" s="265"/>
      <c r="E36" s="265"/>
      <c r="F36" s="266"/>
      <c r="G36" s="265"/>
      <c r="H36" s="265"/>
      <c r="I36" s="246"/>
    </row>
    <row r="37" spans="1:9" ht="18.75" thickBot="1" x14ac:dyDescent="0.3">
      <c r="A37" s="311"/>
      <c r="B37" s="312"/>
      <c r="C37" s="313"/>
      <c r="D37" s="313"/>
      <c r="E37" s="314"/>
      <c r="F37" s="315"/>
      <c r="G37" s="313"/>
      <c r="H37" s="313"/>
      <c r="I37" s="316"/>
    </row>
    <row r="38" spans="1:9" ht="18.75" thickBot="1" x14ac:dyDescent="0.3">
      <c r="A38" s="317"/>
      <c r="B38" s="318"/>
      <c r="C38" s="319"/>
      <c r="D38" s="320" t="s">
        <v>6</v>
      </c>
      <c r="E38" s="321" t="s">
        <v>21</v>
      </c>
      <c r="F38" s="322"/>
      <c r="G38" s="319"/>
      <c r="H38" s="319"/>
      <c r="I38" s="323"/>
    </row>
    <row r="39" spans="1:9" ht="18" x14ac:dyDescent="0.25">
      <c r="A39" s="324" t="s">
        <v>139</v>
      </c>
      <c r="B39" s="325"/>
      <c r="C39" s="326"/>
      <c r="D39" s="288">
        <v>10.5</v>
      </c>
      <c r="E39" s="327" t="s">
        <v>25</v>
      </c>
      <c r="F39" s="328" t="s">
        <v>140</v>
      </c>
      <c r="G39" s="328"/>
      <c r="H39" s="329"/>
      <c r="I39" s="330"/>
    </row>
    <row r="40" spans="1:9" ht="18" x14ac:dyDescent="0.25">
      <c r="A40" s="331" t="s">
        <v>141</v>
      </c>
      <c r="B40" s="332"/>
      <c r="C40" s="333"/>
      <c r="D40" s="289">
        <v>7</v>
      </c>
      <c r="E40" s="262" t="s">
        <v>22</v>
      </c>
      <c r="F40" s="334" t="s">
        <v>23</v>
      </c>
      <c r="G40" s="334"/>
      <c r="H40" s="335"/>
      <c r="I40" s="336"/>
    </row>
    <row r="41" spans="1:9" ht="18" x14ac:dyDescent="0.25">
      <c r="A41" s="331" t="s">
        <v>24</v>
      </c>
      <c r="B41" s="332"/>
      <c r="C41" s="333"/>
      <c r="D41" s="262">
        <v>63</v>
      </c>
      <c r="E41" s="262" t="s">
        <v>33</v>
      </c>
      <c r="F41" s="334" t="s">
        <v>142</v>
      </c>
      <c r="G41" s="334"/>
      <c r="H41" s="335"/>
      <c r="I41" s="336"/>
    </row>
    <row r="42" spans="1:9" ht="18" x14ac:dyDescent="0.25">
      <c r="A42" s="331" t="s">
        <v>143</v>
      </c>
      <c r="B42" s="332"/>
      <c r="C42" s="333"/>
      <c r="D42" s="289">
        <v>6</v>
      </c>
      <c r="E42" s="262" t="s">
        <v>32</v>
      </c>
      <c r="F42" s="337" t="s">
        <v>144</v>
      </c>
      <c r="G42" s="338"/>
      <c r="H42" s="339"/>
      <c r="I42" s="340"/>
    </row>
    <row r="43" spans="1:9" ht="18.75" thickBot="1" x14ac:dyDescent="0.3">
      <c r="A43" s="341" t="s">
        <v>26</v>
      </c>
      <c r="B43" s="342"/>
      <c r="C43" s="343"/>
      <c r="D43" s="344">
        <v>4</v>
      </c>
      <c r="E43" s="345" t="s">
        <v>32</v>
      </c>
      <c r="F43" s="346"/>
      <c r="G43" s="346"/>
      <c r="H43" s="335"/>
      <c r="I43" s="336"/>
    </row>
    <row r="44" spans="1:9" ht="18.75" thickBot="1" x14ac:dyDescent="0.3">
      <c r="A44" s="347" t="s">
        <v>27</v>
      </c>
      <c r="B44" s="348"/>
      <c r="C44" s="348"/>
      <c r="D44" s="348"/>
      <c r="E44" s="348"/>
      <c r="F44" s="348"/>
      <c r="G44" s="348"/>
      <c r="H44" s="348"/>
      <c r="I44" s="349"/>
    </row>
    <row r="45" spans="1:9" ht="18.399999999999999" customHeight="1" x14ac:dyDescent="0.25">
      <c r="A45" s="350" t="s">
        <v>28</v>
      </c>
      <c r="B45" s="351"/>
      <c r="C45" s="352"/>
      <c r="D45" s="352"/>
      <c r="E45" s="352"/>
      <c r="F45" s="352"/>
      <c r="G45" s="352"/>
      <c r="H45" s="352"/>
      <c r="I45" s="353"/>
    </row>
    <row r="46" spans="1:9" ht="14.65" customHeight="1" x14ac:dyDescent="0.25">
      <c r="A46" s="350" t="s">
        <v>29</v>
      </c>
      <c r="B46" s="351"/>
      <c r="C46" s="352"/>
      <c r="D46" s="352"/>
      <c r="E46" s="352"/>
      <c r="F46" s="352"/>
      <c r="G46" s="352"/>
      <c r="H46" s="352"/>
      <c r="I46" s="353"/>
    </row>
    <row r="47" spans="1:9" ht="18" x14ac:dyDescent="0.25">
      <c r="A47" s="350" t="s">
        <v>116</v>
      </c>
      <c r="B47" s="351"/>
      <c r="C47" s="352"/>
      <c r="D47" s="352"/>
      <c r="E47" s="352"/>
      <c r="F47" s="352"/>
      <c r="G47" s="352"/>
      <c r="H47" s="352"/>
      <c r="I47" s="353"/>
    </row>
    <row r="48" spans="1:9" ht="14.65" customHeight="1" x14ac:dyDescent="0.25">
      <c r="A48" s="350" t="s">
        <v>36</v>
      </c>
      <c r="B48" s="351"/>
      <c r="C48" s="352"/>
      <c r="D48" s="352"/>
      <c r="E48" s="352"/>
      <c r="F48" s="352"/>
      <c r="G48" s="352"/>
      <c r="H48" s="352"/>
      <c r="I48" s="353"/>
    </row>
    <row r="49" spans="1:9" ht="18" x14ac:dyDescent="0.25">
      <c r="A49" s="350" t="s">
        <v>37</v>
      </c>
      <c r="B49" s="351"/>
      <c r="C49" s="352"/>
      <c r="D49" s="352"/>
      <c r="E49" s="352"/>
      <c r="F49" s="352"/>
      <c r="G49" s="352"/>
      <c r="H49" s="352"/>
      <c r="I49" s="353"/>
    </row>
    <row r="50" spans="1:9" ht="14.65" customHeight="1" x14ac:dyDescent="0.3">
      <c r="A50" s="354"/>
      <c r="B50" s="355"/>
      <c r="C50" s="355"/>
      <c r="D50" s="355"/>
      <c r="E50" s="355"/>
      <c r="F50" s="355"/>
      <c r="G50" s="355"/>
      <c r="H50" s="355"/>
      <c r="I50" s="356"/>
    </row>
    <row r="51" spans="1:9" ht="18" customHeight="1" x14ac:dyDescent="0.3">
      <c r="A51" s="354"/>
      <c r="B51" s="355"/>
      <c r="C51" s="355"/>
      <c r="D51" s="355"/>
      <c r="E51" s="355"/>
      <c r="F51" s="355"/>
      <c r="G51" s="355"/>
      <c r="H51" s="355"/>
      <c r="I51" s="356"/>
    </row>
    <row r="52" spans="1:9" ht="18" x14ac:dyDescent="0.25">
      <c r="A52" s="357"/>
      <c r="B52" s="358"/>
      <c r="C52" s="358"/>
      <c r="D52" s="358"/>
      <c r="E52" s="358"/>
      <c r="F52" s="358"/>
      <c r="G52" s="358"/>
      <c r="H52" s="358"/>
      <c r="I52" s="359"/>
    </row>
    <row r="53" spans="1:9" ht="19.5" thickBot="1" x14ac:dyDescent="0.35">
      <c r="A53" s="360"/>
      <c r="B53" s="361"/>
      <c r="C53" s="361"/>
      <c r="D53" s="361"/>
      <c r="E53" s="361"/>
      <c r="F53" s="361"/>
      <c r="G53" s="361"/>
      <c r="H53" s="361"/>
      <c r="I53" s="362"/>
    </row>
    <row r="54" spans="1:9" ht="18" x14ac:dyDescent="0.25">
      <c r="A54" s="363" t="s">
        <v>145</v>
      </c>
      <c r="B54" s="364"/>
      <c r="C54" s="364"/>
      <c r="D54" s="364"/>
      <c r="E54" s="364"/>
      <c r="F54" s="364"/>
      <c r="G54" s="364"/>
      <c r="H54" s="364"/>
      <c r="I54" s="364"/>
    </row>
    <row r="55" spans="1:9" ht="18" x14ac:dyDescent="0.25">
      <c r="A55" s="223" t="s">
        <v>149</v>
      </c>
      <c r="B55" s="224"/>
      <c r="C55" s="224"/>
      <c r="D55" s="224"/>
      <c r="E55" s="224"/>
      <c r="F55" s="224"/>
      <c r="G55" s="224"/>
      <c r="H55" s="224"/>
      <c r="I55" s="225"/>
    </row>
    <row r="56" spans="1:9" ht="13.5" x14ac:dyDescent="0.25">
      <c r="A56" s="150"/>
      <c r="B56" s="151"/>
      <c r="C56" s="151"/>
      <c r="D56" s="151"/>
      <c r="E56" s="151"/>
      <c r="F56" s="151"/>
      <c r="G56" s="151"/>
      <c r="H56" s="151"/>
      <c r="I56" s="151"/>
    </row>
  </sheetData>
  <mergeCells count="45">
    <mergeCell ref="A53:I53"/>
    <mergeCell ref="A54:I54"/>
    <mergeCell ref="A55:I55"/>
    <mergeCell ref="A56:I56"/>
    <mergeCell ref="A47:I47"/>
    <mergeCell ref="A48:I48"/>
    <mergeCell ref="A49:I49"/>
    <mergeCell ref="A50:I50"/>
    <mergeCell ref="A51:I51"/>
    <mergeCell ref="A52:I52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hyperlinks>
    <hyperlink ref="D47" r:id="rId1" display="\\\\" xr:uid="{D4125F7D-0D0A-4B5A-97C8-307916472F50}"/>
  </hyperlinks>
  <pageMargins left="0.7" right="0.7" top="0.75" bottom="0.75" header="0.3" footer="0.3"/>
  <pageSetup paperSize="9" scale="40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978A2-A69B-4EEB-825C-69C58F2FE127}">
  <dimension ref="A1:Q84"/>
  <sheetViews>
    <sheetView workbookViewId="0">
      <selection activeCell="E30" sqref="E30"/>
    </sheetView>
  </sheetViews>
  <sheetFormatPr baseColWidth="10" defaultColWidth="8.42578125" defaultRowHeight="12.75" x14ac:dyDescent="0.2"/>
  <cols>
    <col min="1" max="1" width="10" style="6" bestFit="1" customWidth="1"/>
    <col min="2" max="2" width="44.28515625" style="6" bestFit="1" customWidth="1"/>
    <col min="3" max="3" width="10.42578125" style="6" bestFit="1" customWidth="1"/>
    <col min="4" max="4" width="10.42578125" style="6" customWidth="1"/>
    <col min="5" max="5" width="9.7109375" style="6" bestFit="1" customWidth="1"/>
    <col min="6" max="6" width="11" style="6" customWidth="1"/>
    <col min="7" max="7" width="9.5703125" style="85" bestFit="1" customWidth="1"/>
    <col min="8" max="8" width="10.42578125" style="76" bestFit="1" customWidth="1"/>
    <col min="9" max="9" width="4.5703125" style="76" customWidth="1"/>
    <col min="10" max="10" width="1.7109375" style="5" customWidth="1"/>
    <col min="11" max="11" width="7" style="6" bestFit="1" customWidth="1"/>
    <col min="12" max="12" width="6.28515625" style="6" customWidth="1"/>
    <col min="13" max="13" width="20.42578125" style="6" customWidth="1"/>
    <col min="14" max="14" width="6.42578125" style="6" bestFit="1" customWidth="1"/>
    <col min="15" max="15" width="9" style="6" customWidth="1"/>
    <col min="16" max="16" width="8.42578125" style="6"/>
    <col min="17" max="17" width="3.28515625" style="6" customWidth="1"/>
    <col min="18" max="16384" width="8.42578125" style="6"/>
  </cols>
  <sheetData>
    <row r="1" spans="1:10" ht="27.75" customHeight="1" x14ac:dyDescent="0.2">
      <c r="A1" s="1"/>
      <c r="B1" s="1"/>
      <c r="C1" s="1"/>
      <c r="D1" s="1"/>
      <c r="E1" s="2" t="s">
        <v>38</v>
      </c>
      <c r="F1" s="3" t="s">
        <v>39</v>
      </c>
      <c r="G1" s="3" t="s">
        <v>40</v>
      </c>
      <c r="H1" s="3" t="s">
        <v>41</v>
      </c>
      <c r="I1" s="4"/>
    </row>
    <row r="2" spans="1:10" ht="30.75" customHeight="1" x14ac:dyDescent="0.2">
      <c r="A2" s="1"/>
      <c r="B2" s="1"/>
      <c r="C2" s="1"/>
      <c r="D2" s="1"/>
      <c r="E2" s="7">
        <f>IFERROR(O55,"")</f>
        <v>228.94187101849681</v>
      </c>
      <c r="F2" s="7">
        <f>IFERROR(H46,"")</f>
        <v>126.64063568711937</v>
      </c>
      <c r="G2" s="7">
        <f>IFERROR(H47,"")</f>
        <v>37.371673402232041</v>
      </c>
      <c r="H2" s="7">
        <f>IFERROR(H49,"")</f>
        <v>8.779469548133596</v>
      </c>
      <c r="I2" s="8"/>
    </row>
    <row r="3" spans="1:10" ht="15" customHeight="1" x14ac:dyDescent="0.2">
      <c r="A3" s="1"/>
      <c r="B3" s="1"/>
      <c r="C3" s="1"/>
      <c r="D3" s="1"/>
      <c r="E3" s="1"/>
      <c r="F3" s="9"/>
      <c r="G3" s="9"/>
      <c r="H3" s="9"/>
      <c r="I3" s="9"/>
    </row>
    <row r="4" spans="1:10" ht="24.75" customHeight="1" thickBot="1" x14ac:dyDescent="0.25">
      <c r="A4" s="178"/>
      <c r="B4" s="178"/>
      <c r="C4" s="178"/>
      <c r="D4" s="178"/>
      <c r="E4" s="178"/>
      <c r="F4" s="178"/>
      <c r="G4" s="178"/>
      <c r="H4" s="178"/>
      <c r="I4" s="10"/>
    </row>
    <row r="5" spans="1:10" ht="19.5" customHeight="1" thickBot="1" x14ac:dyDescent="0.25">
      <c r="A5" s="179" t="s">
        <v>42</v>
      </c>
      <c r="B5" s="180"/>
      <c r="C5" s="180"/>
      <c r="D5" s="180"/>
      <c r="E5" s="180"/>
      <c r="F5" s="180"/>
      <c r="G5" s="180"/>
      <c r="H5" s="181"/>
      <c r="I5" s="11"/>
    </row>
    <row r="6" spans="1:10" ht="19.5" thickBot="1" x14ac:dyDescent="0.25">
      <c r="A6" s="11"/>
      <c r="B6" s="11"/>
      <c r="C6" s="11"/>
      <c r="D6" s="11"/>
      <c r="E6" s="11"/>
      <c r="F6" s="182" t="s">
        <v>43</v>
      </c>
      <c r="G6" s="182"/>
      <c r="H6" s="12">
        <f ca="1">TODAY()</f>
        <v>45754</v>
      </c>
      <c r="I6" s="12"/>
    </row>
    <row r="7" spans="1:10" ht="26.25" hidden="1" thickBot="1" x14ac:dyDescent="0.25">
      <c r="A7" s="13" t="s">
        <v>44</v>
      </c>
      <c r="B7" s="14" t="s">
        <v>45</v>
      </c>
      <c r="C7" s="14" t="s">
        <v>44</v>
      </c>
      <c r="D7" s="15" t="s">
        <v>46</v>
      </c>
      <c r="E7" s="15" t="s">
        <v>47</v>
      </c>
      <c r="F7" s="15" t="s">
        <v>48</v>
      </c>
      <c r="G7" s="15" t="s">
        <v>49</v>
      </c>
      <c r="H7" s="16" t="s">
        <v>50</v>
      </c>
      <c r="I7" s="17"/>
    </row>
    <row r="8" spans="1:10" ht="13.5" hidden="1" x14ac:dyDescent="0.25">
      <c r="A8" s="18"/>
      <c r="B8" s="6" t="str">
        <f>IFERROR(VLOOKUP($H8,'[1]MP PLANTA'!$A$2:$F$500,2,0),"")</f>
        <v/>
      </c>
      <c r="C8" s="19">
        <f>+A8</f>
        <v>0</v>
      </c>
      <c r="D8" s="20" t="str">
        <f>IFERROR(VLOOKUP($H8,'[1]MP PLANTA'!$A$2:$F$500,5,0),"")</f>
        <v/>
      </c>
      <c r="E8" s="20" t="str">
        <f>IFERROR(VLOOKUP($H8,'[1]MP PLANTA'!$A$2:$F$500,6,0),"")</f>
        <v/>
      </c>
      <c r="F8" s="20" t="str">
        <f>IFERROR(C8*E8,"")</f>
        <v/>
      </c>
      <c r="G8" s="21" t="str">
        <f>IFERROR(F8/$F$59,"")</f>
        <v/>
      </c>
      <c r="H8" s="22"/>
      <c r="I8" s="22"/>
      <c r="J8" s="23"/>
    </row>
    <row r="9" spans="1:10" ht="13.5" hidden="1" x14ac:dyDescent="0.25">
      <c r="A9" s="18"/>
      <c r="B9" s="6" t="str">
        <f>IFERROR(VLOOKUP($H9,'[1]MP PLANTA'!$A$2:$F$500,2,0),"")</f>
        <v/>
      </c>
      <c r="C9" s="19">
        <f t="shared" ref="C9:C14" si="0">+A9</f>
        <v>0</v>
      </c>
      <c r="D9" s="20" t="str">
        <f>IFERROR(VLOOKUP($H9,'[1]MP PLANTA'!$A$2:$F$500,5,0),"")</f>
        <v/>
      </c>
      <c r="E9" s="20" t="str">
        <f>IFERROR(VLOOKUP($H9,'[1]MP PLANTA'!$A$2:$F$500,6,0),"")</f>
        <v/>
      </c>
      <c r="F9" s="20" t="str">
        <f t="shared" ref="F9:F14" si="1">IFERROR(C9*E9,"")</f>
        <v/>
      </c>
      <c r="G9" s="21" t="str">
        <f t="shared" ref="G9:G14" si="2">IFERROR(F9/$F$59,"")</f>
        <v/>
      </c>
      <c r="H9" s="22"/>
      <c r="I9" s="22"/>
      <c r="J9" s="23"/>
    </row>
    <row r="10" spans="1:10" ht="13.5" hidden="1" x14ac:dyDescent="0.25">
      <c r="A10" s="18"/>
      <c r="B10" s="6" t="str">
        <f>IFERROR(VLOOKUP($H10,'[1]MP PLANTA'!$A$2:$F$500,2,0),"")</f>
        <v/>
      </c>
      <c r="C10" s="19">
        <f t="shared" si="0"/>
        <v>0</v>
      </c>
      <c r="D10" s="20" t="str">
        <f>IFERROR(VLOOKUP($H10,'[1]MP PLANTA'!$A$2:$F$500,5,0),"")</f>
        <v/>
      </c>
      <c r="E10" s="20" t="str">
        <f>IFERROR(VLOOKUP($H10,'[1]MP PLANTA'!$A$2:$F$500,6,0),"")</f>
        <v/>
      </c>
      <c r="F10" s="20" t="str">
        <f t="shared" si="1"/>
        <v/>
      </c>
      <c r="G10" s="21" t="str">
        <f t="shared" si="2"/>
        <v/>
      </c>
      <c r="H10" s="22"/>
      <c r="I10" s="22"/>
      <c r="J10" s="23"/>
    </row>
    <row r="11" spans="1:10" ht="13.5" hidden="1" x14ac:dyDescent="0.25">
      <c r="A11" s="18"/>
      <c r="B11" s="6" t="str">
        <f>IFERROR(VLOOKUP($H11,'[1]MP PLANTA'!$A$2:$F$500,2,0),"")</f>
        <v/>
      </c>
      <c r="C11" s="19">
        <f t="shared" si="0"/>
        <v>0</v>
      </c>
      <c r="D11" s="20" t="str">
        <f>IFERROR(VLOOKUP($H11,'[1]MP PLANTA'!$A$2:$F$500,5,0),"")</f>
        <v/>
      </c>
      <c r="E11" s="20" t="str">
        <f>IFERROR(VLOOKUP($H11,'[1]MP PLANTA'!$A$2:$F$500,6,0),"")</f>
        <v/>
      </c>
      <c r="F11" s="20" t="str">
        <f t="shared" si="1"/>
        <v/>
      </c>
      <c r="G11" s="21" t="str">
        <f t="shared" si="2"/>
        <v/>
      </c>
      <c r="H11" s="22"/>
      <c r="I11" s="22"/>
      <c r="J11" s="23"/>
    </row>
    <row r="12" spans="1:10" ht="13.5" hidden="1" x14ac:dyDescent="0.25">
      <c r="A12" s="18"/>
      <c r="B12" s="6" t="str">
        <f>IFERROR(VLOOKUP($H12,'[1]MP PLANTA'!$A$2:$F$500,2,0),"")</f>
        <v/>
      </c>
      <c r="C12" s="19">
        <f t="shared" si="0"/>
        <v>0</v>
      </c>
      <c r="D12" s="20" t="str">
        <f>IFERROR(VLOOKUP($H12,'[1]MP PLANTA'!$A$2:$F$500,5,0),"")</f>
        <v/>
      </c>
      <c r="E12" s="20" t="str">
        <f>IFERROR(VLOOKUP($H12,'[1]MP PLANTA'!$A$2:$F$500,6,0),"")</f>
        <v/>
      </c>
      <c r="F12" s="20" t="str">
        <f t="shared" si="1"/>
        <v/>
      </c>
      <c r="G12" s="21" t="str">
        <f t="shared" si="2"/>
        <v/>
      </c>
      <c r="H12" s="22"/>
      <c r="I12" s="22"/>
      <c r="J12" s="23"/>
    </row>
    <row r="13" spans="1:10" ht="13.5" hidden="1" x14ac:dyDescent="0.25">
      <c r="A13" s="18"/>
      <c r="B13" s="6" t="str">
        <f>IFERROR(VLOOKUP($H13,'[1]MP PLANTA'!$A$2:$F$500,2,0),"")</f>
        <v/>
      </c>
      <c r="C13" s="19">
        <f t="shared" si="0"/>
        <v>0</v>
      </c>
      <c r="D13" s="20" t="str">
        <f>IFERROR(VLOOKUP($H13,'[1]MP PLANTA'!$A$2:$F$500,5,0),"")</f>
        <v/>
      </c>
      <c r="E13" s="20" t="str">
        <f>IFERROR(VLOOKUP($H13,'[1]MP PLANTA'!$A$2:$F$500,6,0),"")</f>
        <v/>
      </c>
      <c r="F13" s="20" t="str">
        <f t="shared" si="1"/>
        <v/>
      </c>
      <c r="G13" s="21" t="str">
        <f t="shared" si="2"/>
        <v/>
      </c>
      <c r="H13" s="22"/>
      <c r="I13" s="22"/>
      <c r="J13" s="23"/>
    </row>
    <row r="14" spans="1:10" ht="13.5" hidden="1" x14ac:dyDescent="0.25">
      <c r="A14" s="18"/>
      <c r="B14" s="6" t="str">
        <f>IFERROR(VLOOKUP($H14,'[1]MP PLANTA'!$A$2:$F$500,2,0),"")</f>
        <v/>
      </c>
      <c r="C14" s="19">
        <f t="shared" si="0"/>
        <v>0</v>
      </c>
      <c r="D14" s="20" t="str">
        <f>IFERROR(VLOOKUP($H14,'[1]MP PLANTA'!$A$2:$F$500,5,0),"")</f>
        <v/>
      </c>
      <c r="E14" s="20" t="str">
        <f>IFERROR(VLOOKUP($H14,'[1]MP PLANTA'!$A$2:$F$500,6,0),"")</f>
        <v/>
      </c>
      <c r="F14" s="20" t="str">
        <f t="shared" si="1"/>
        <v/>
      </c>
      <c r="G14" s="21" t="str">
        <f t="shared" si="2"/>
        <v/>
      </c>
      <c r="H14" s="22"/>
      <c r="I14" s="22"/>
      <c r="J14" s="23"/>
    </row>
    <row r="15" spans="1:10" ht="14.25" hidden="1" thickBot="1" x14ac:dyDescent="0.3">
      <c r="A15" s="18"/>
      <c r="C15" s="19"/>
      <c r="D15" s="20"/>
      <c r="E15" s="20"/>
      <c r="F15" s="20"/>
      <c r="G15" s="21"/>
      <c r="H15" s="22"/>
      <c r="I15" s="22"/>
      <c r="J15" s="23"/>
    </row>
    <row r="16" spans="1:10" ht="26.25" thickBot="1" x14ac:dyDescent="0.25">
      <c r="A16" s="13" t="s">
        <v>44</v>
      </c>
      <c r="B16" s="14" t="s">
        <v>51</v>
      </c>
      <c r="C16" s="14" t="s">
        <v>44</v>
      </c>
      <c r="D16" s="15" t="s">
        <v>46</v>
      </c>
      <c r="E16" s="15" t="s">
        <v>47</v>
      </c>
      <c r="F16" s="15" t="s">
        <v>48</v>
      </c>
      <c r="G16" s="15" t="s">
        <v>49</v>
      </c>
      <c r="H16" s="16" t="s">
        <v>50</v>
      </c>
      <c r="I16" s="17"/>
      <c r="J16" s="23"/>
    </row>
    <row r="17" spans="1:12" ht="13.5" x14ac:dyDescent="0.25">
      <c r="A17" s="18">
        <v>1</v>
      </c>
      <c r="B17" s="6" t="str">
        <f>IFERROR(VLOOKUP($H17,[1]SEMIELABORADOS!$A$1:$J$999,2,0),"")</f>
        <v>PLANCHA COCADAS (4300g)</v>
      </c>
      <c r="C17" s="19">
        <f>+A17</f>
        <v>1</v>
      </c>
      <c r="D17" s="19" t="str">
        <f>IFERROR(VLOOKUP($H17,[1]SEMIELABORADOS!$A$1:$J$999,4,0),"")</f>
        <v>UND</v>
      </c>
      <c r="E17" s="20">
        <f>IFERROR(VLOOKUP($H17,[1]SEMIELABORADOS!$A$1:$J$999,6,0),"")</f>
        <v>7933.5487464300013</v>
      </c>
      <c r="F17" s="20">
        <f>IFERROR(E17*C17,"")</f>
        <v>7933.5487464300013</v>
      </c>
      <c r="G17" s="21">
        <f>IFERROR(F17/$F$59,"")</f>
        <v>0.73333768791982135</v>
      </c>
      <c r="H17" s="22" t="s">
        <v>30</v>
      </c>
      <c r="I17" s="22"/>
      <c r="J17" s="23"/>
    </row>
    <row r="18" spans="1:12" ht="13.5" hidden="1" x14ac:dyDescent="0.25">
      <c r="A18" s="18"/>
      <c r="B18" s="6" t="str">
        <f>IFERROR(VLOOKUP($H18,[1]SEMIELABORADOS!$A$1:$J$999,2,0),"")</f>
        <v/>
      </c>
      <c r="C18" s="19">
        <f>+A18</f>
        <v>0</v>
      </c>
      <c r="D18" s="19" t="str">
        <f>IFERROR(VLOOKUP($H18,[1]SEMIELABORADOS!$A$1:$J$999,4,0),"")</f>
        <v/>
      </c>
      <c r="E18" s="20" t="str">
        <f>IFERROR(VLOOKUP($H18,[1]SEMIELABORADOS!$A$1:$J$999,6,0),"")</f>
        <v/>
      </c>
      <c r="F18" s="20" t="str">
        <f>IFERROR(E18*C18,"")</f>
        <v/>
      </c>
      <c r="G18" s="21" t="str">
        <f>IFERROR(F18/$F$59,"")</f>
        <v/>
      </c>
      <c r="H18" s="22"/>
      <c r="I18" s="22"/>
      <c r="J18" s="23"/>
    </row>
    <row r="19" spans="1:12" ht="13.5" hidden="1" x14ac:dyDescent="0.25">
      <c r="A19" s="18"/>
      <c r="B19" s="6" t="str">
        <f>IFERROR(VLOOKUP($H19,[1]SEMIELABORADOS!$A$1:$J$999,2,0),"")</f>
        <v/>
      </c>
      <c r="C19" s="19">
        <f>+A19</f>
        <v>0</v>
      </c>
      <c r="D19" s="19" t="str">
        <f>IFERROR(VLOOKUP($H19,[1]SEMIELABORADOS!$A$1:$J$999,4,0),"")</f>
        <v/>
      </c>
      <c r="E19" s="20" t="str">
        <f>IFERROR(VLOOKUP($H19,[1]SEMIELABORADOS!$A$1:$J$999,6,0),"")</f>
        <v/>
      </c>
      <c r="F19" s="20" t="str">
        <f>IFERROR(E19*C19,"")</f>
        <v/>
      </c>
      <c r="G19" s="21" t="str">
        <f>IFERROR(F19/$F$59,"")</f>
        <v/>
      </c>
      <c r="H19" s="22"/>
      <c r="I19" s="22"/>
      <c r="J19" s="23"/>
    </row>
    <row r="20" spans="1:12" ht="13.5" hidden="1" x14ac:dyDescent="0.25">
      <c r="A20" s="18"/>
      <c r="B20" s="6" t="str">
        <f>IFERROR(VLOOKUP($H20,[1]SEMIELABORADOS!$A$1:$J$999,2,0),"")</f>
        <v/>
      </c>
      <c r="C20" s="19">
        <f>+A20</f>
        <v>0</v>
      </c>
      <c r="D20" s="19" t="str">
        <f>IFERROR(VLOOKUP($H20,[1]SEMIELABORADOS!$A$1:$J$999,4,0),"")</f>
        <v/>
      </c>
      <c r="E20" s="20" t="str">
        <f>IFERROR(VLOOKUP($H20,[1]SEMIELABORADOS!$A$1:$J$999,6,0),"")</f>
        <v/>
      </c>
      <c r="F20" s="20" t="str">
        <f>IFERROR(E20*C20,"")</f>
        <v/>
      </c>
      <c r="G20" s="21" t="str">
        <f>IFERROR(F20/$F$59,"")</f>
        <v/>
      </c>
      <c r="H20" s="22"/>
      <c r="I20" s="22"/>
      <c r="J20" s="23"/>
    </row>
    <row r="21" spans="1:12" ht="13.5" hidden="1" x14ac:dyDescent="0.25">
      <c r="A21" s="18"/>
      <c r="B21" s="6" t="str">
        <f>IFERROR(VLOOKUP($H21,[1]SEMIELABORADOS!$A$1:$J$999,2,0),"")</f>
        <v/>
      </c>
      <c r="C21" s="19">
        <f>+A21</f>
        <v>0</v>
      </c>
      <c r="D21" s="19" t="str">
        <f>IFERROR(VLOOKUP($H21,[1]SEMIELABORADOS!$A$1:$J$999,4,0),"")</f>
        <v/>
      </c>
      <c r="E21" s="20" t="str">
        <f>IFERROR(VLOOKUP($H21,[1]SEMIELABORADOS!$A$1:$J$999,6,0),"")</f>
        <v/>
      </c>
      <c r="F21" s="20" t="str">
        <f>IFERROR(E21*C21,"")</f>
        <v/>
      </c>
      <c r="G21" s="21" t="str">
        <f>IFERROR(F21/$F$59,"")</f>
        <v/>
      </c>
      <c r="H21" s="22"/>
      <c r="I21" s="22"/>
      <c r="J21" s="23"/>
    </row>
    <row r="22" spans="1:12" ht="14.25" thickBot="1" x14ac:dyDescent="0.3">
      <c r="A22" s="18"/>
      <c r="C22" s="19"/>
      <c r="D22" s="19"/>
      <c r="E22" s="20"/>
      <c r="F22" s="20"/>
      <c r="G22" s="21"/>
      <c r="H22" s="22"/>
      <c r="I22" s="22"/>
      <c r="J22" s="23"/>
    </row>
    <row r="23" spans="1:12" ht="26.25" thickBot="1" x14ac:dyDescent="0.25">
      <c r="A23" s="13" t="s">
        <v>44</v>
      </c>
      <c r="B23" s="14" t="s">
        <v>9</v>
      </c>
      <c r="C23" s="14" t="s">
        <v>44</v>
      </c>
      <c r="D23" s="15" t="s">
        <v>46</v>
      </c>
      <c r="E23" s="15" t="s">
        <v>47</v>
      </c>
      <c r="F23" s="15" t="s">
        <v>48</v>
      </c>
      <c r="G23" s="15" t="s">
        <v>49</v>
      </c>
      <c r="H23" s="16" t="s">
        <v>50</v>
      </c>
      <c r="I23" s="17"/>
    </row>
    <row r="24" spans="1:12" ht="13.5" x14ac:dyDescent="0.25">
      <c r="A24" s="18">
        <v>63</v>
      </c>
      <c r="B24" s="24" t="s">
        <v>88</v>
      </c>
      <c r="C24" s="19">
        <f t="shared" ref="C24:C29" si="3">+A24</f>
        <v>63</v>
      </c>
      <c r="D24" s="20" t="s">
        <v>87</v>
      </c>
      <c r="E24" s="20">
        <v>7.9</v>
      </c>
      <c r="F24" s="20">
        <f t="shared" ref="F24:F29" si="4">IFERROR(E24*C24,"")</f>
        <v>497.70000000000005</v>
      </c>
      <c r="G24" s="21">
        <f t="shared" ref="G24:G29" si="5">IFERROR(F24/$F$59,"")</f>
        <v>4.6004906372061123E-2</v>
      </c>
      <c r="H24" s="25" t="s">
        <v>19</v>
      </c>
      <c r="I24" s="25"/>
      <c r="J24" s="23"/>
      <c r="K24" s="175"/>
      <c r="L24" s="175"/>
    </row>
    <row r="25" spans="1:12" ht="13.5" x14ac:dyDescent="0.25">
      <c r="A25" s="18">
        <v>10</v>
      </c>
      <c r="B25" s="24" t="str">
        <f>IFERROR(VLOOKUP($H25,'[1]EMP PLANTA'!$A$2:$F$500,2,0),"")</f>
        <v>CONT.24 ONZ.TAPA PLANA (PAQ=100)</v>
      </c>
      <c r="C25" s="19">
        <f t="shared" si="3"/>
        <v>10</v>
      </c>
      <c r="D25" s="20" t="str">
        <f>IFERROR(VLOOKUP($H25,'[1]EMP PLANTA'!$A$2:$F$500,5,0),"")</f>
        <v>UND</v>
      </c>
      <c r="E25" s="20">
        <f>IFERROR(VLOOKUP($H25,'[1]EMP PLANTA'!$A$2:$F$500,6,0),"")</f>
        <v>168.37100000000001</v>
      </c>
      <c r="F25" s="20">
        <f t="shared" si="4"/>
        <v>1683.71</v>
      </c>
      <c r="G25" s="21">
        <f t="shared" si="5"/>
        <v>0.15563375709805713</v>
      </c>
      <c r="H25" s="25" t="s">
        <v>34</v>
      </c>
      <c r="I25" s="25"/>
      <c r="J25" s="23"/>
      <c r="K25" s="175"/>
      <c r="L25" s="175"/>
    </row>
    <row r="26" spans="1:12" ht="13.5" x14ac:dyDescent="0.25">
      <c r="A26" s="18">
        <v>10</v>
      </c>
      <c r="B26" s="24" t="str">
        <f>IFERROR(VLOOKUP($H26,'[1]EMP PLANTA'!$A$2:$F$500,2,0),"")</f>
        <v>ETIQ. GENERICA PEQUEÑA V-274</v>
      </c>
      <c r="C26" s="19">
        <f t="shared" si="3"/>
        <v>10</v>
      </c>
      <c r="D26" s="20" t="str">
        <f>IFERROR(VLOOKUP($H26,'[1]EMP PLANTA'!$A$2:$F$500,5,0),"")</f>
        <v>UND</v>
      </c>
      <c r="E26" s="20">
        <f>IFERROR(VLOOKUP($H26,'[1]EMP PLANTA'!$A$2:$F$500,6,0),"")</f>
        <v>12.87</v>
      </c>
      <c r="F26" s="20">
        <f t="shared" si="4"/>
        <v>128.69999999999999</v>
      </c>
      <c r="G26" s="21">
        <f t="shared" si="5"/>
        <v>1.1896386277042929E-2</v>
      </c>
      <c r="H26" s="25" t="s">
        <v>35</v>
      </c>
      <c r="I26" s="25"/>
      <c r="J26" s="23"/>
      <c r="K26" s="175"/>
      <c r="L26" s="175"/>
    </row>
    <row r="27" spans="1:12" ht="13.5" x14ac:dyDescent="0.25">
      <c r="A27" s="18">
        <v>10</v>
      </c>
      <c r="B27" s="24" t="str">
        <f>IFERROR(VLOOKUP($H27,'[1]EMP PLANTA'!$A$2:$F$500,2,0),"")</f>
        <v>ETIQ.FECHA VENCIMIENTO VERDE</v>
      </c>
      <c r="C27" s="19">
        <f t="shared" si="3"/>
        <v>10</v>
      </c>
      <c r="D27" s="20" t="str">
        <f>IFERROR(VLOOKUP($H27,'[1]EMP PLANTA'!$A$2:$F$500,5,0),"")</f>
        <v>UND</v>
      </c>
      <c r="E27" s="20">
        <f>IFERROR(VLOOKUP($H27,'[1]EMP PLANTA'!$A$2:$F$500,6,0),"")</f>
        <v>0.21185444444444446</v>
      </c>
      <c r="F27" s="20">
        <f t="shared" si="4"/>
        <v>2.1185444444444448</v>
      </c>
      <c r="G27" s="21">
        <f t="shared" si="5"/>
        <v>1.9582768497431569E-4</v>
      </c>
      <c r="H27" s="25" t="s">
        <v>0</v>
      </c>
      <c r="I27" s="25"/>
      <c r="J27" s="23"/>
      <c r="K27" s="175"/>
      <c r="L27" s="175"/>
    </row>
    <row r="28" spans="1:12" ht="13.5" x14ac:dyDescent="0.25">
      <c r="A28" s="18"/>
      <c r="B28" s="24" t="str">
        <f>IFERROR(VLOOKUP($H28,'[1]EMP PLANTA'!$A$2:$F$500,2,0),"")</f>
        <v/>
      </c>
      <c r="C28" s="19">
        <f t="shared" si="3"/>
        <v>0</v>
      </c>
      <c r="D28" s="20" t="str">
        <f>IFERROR(VLOOKUP($H28,'[1]EMP PLANTA'!$A$2:$F$500,5,0),"")</f>
        <v/>
      </c>
      <c r="E28" s="20" t="str">
        <f>IFERROR(VLOOKUP($H28,'[1]EMP PLANTA'!$A$2:$F$500,6,0),"")</f>
        <v/>
      </c>
      <c r="F28" s="20" t="str">
        <f t="shared" si="4"/>
        <v/>
      </c>
      <c r="G28" s="21" t="str">
        <f t="shared" si="5"/>
        <v/>
      </c>
      <c r="H28" s="25"/>
      <c r="I28" s="25"/>
      <c r="J28" s="23"/>
      <c r="K28" s="26"/>
      <c r="L28" s="27"/>
    </row>
    <row r="29" spans="1:12" ht="13.5" x14ac:dyDescent="0.25">
      <c r="A29" s="18"/>
      <c r="B29" s="24" t="str">
        <f>IFERROR(VLOOKUP($H29,'[1]EMP PLANTA'!$A$2:$F$500,2,0),"")</f>
        <v/>
      </c>
      <c r="C29" s="19">
        <f t="shared" si="3"/>
        <v>0</v>
      </c>
      <c r="D29" s="20" t="str">
        <f>IFERROR(VLOOKUP($H29,'[1]EMP PLANTA'!$A$2:$F$500,5,0),"")</f>
        <v/>
      </c>
      <c r="E29" s="20" t="str">
        <f>IFERROR(VLOOKUP($H29,'[1]EMP PLANTA'!$A$2:$F$500,6,0),"")</f>
        <v/>
      </c>
      <c r="F29" s="20" t="str">
        <f t="shared" si="4"/>
        <v/>
      </c>
      <c r="G29" s="21" t="str">
        <f t="shared" si="5"/>
        <v/>
      </c>
      <c r="H29" s="25"/>
      <c r="I29" s="25"/>
      <c r="J29" s="23"/>
    </row>
    <row r="30" spans="1:12" ht="14.25" thickBot="1" x14ac:dyDescent="0.3">
      <c r="A30" s="18"/>
      <c r="B30" s="24"/>
      <c r="C30" s="19"/>
      <c r="D30" s="20"/>
      <c r="E30" s="20"/>
      <c r="F30" s="20"/>
      <c r="G30" s="21"/>
      <c r="H30" s="25"/>
      <c r="I30" s="25"/>
      <c r="J30" s="23"/>
    </row>
    <row r="31" spans="1:12" ht="26.25" thickBot="1" x14ac:dyDescent="0.25">
      <c r="A31" s="13" t="s">
        <v>44</v>
      </c>
      <c r="B31" s="14" t="s">
        <v>52</v>
      </c>
      <c r="C31" s="14" t="s">
        <v>44</v>
      </c>
      <c r="D31" s="15" t="s">
        <v>46</v>
      </c>
      <c r="E31" s="15" t="s">
        <v>47</v>
      </c>
      <c r="F31" s="15" t="s">
        <v>48</v>
      </c>
      <c r="G31" s="15" t="s">
        <v>49</v>
      </c>
      <c r="H31" s="16" t="s">
        <v>50</v>
      </c>
      <c r="I31" s="17"/>
      <c r="J31" s="23"/>
    </row>
    <row r="32" spans="1:12" ht="13.5" x14ac:dyDescent="0.25">
      <c r="A32" s="18">
        <f>+A17</f>
        <v>1</v>
      </c>
      <c r="B32" s="24" t="s">
        <v>115</v>
      </c>
      <c r="C32" s="19">
        <f>+A32</f>
        <v>1</v>
      </c>
      <c r="D32" s="20" t="s">
        <v>53</v>
      </c>
      <c r="E32" s="20">
        <f>IFERROR(VLOOKUP($H32,[1]SEMIELABORADOS!$A$1:$J$999,8,0),"")</f>
        <v>28.963056999999999</v>
      </c>
      <c r="F32" s="20">
        <f>IFERROR(E32*C32,"")</f>
        <v>28.963056999999999</v>
      </c>
      <c r="G32" s="21">
        <f>IFERROR(F32/$F$58,"")</f>
        <v>7.5228719480519485E-2</v>
      </c>
      <c r="H32" s="25" t="s">
        <v>30</v>
      </c>
      <c r="I32" s="25"/>
      <c r="J32" s="23"/>
    </row>
    <row r="33" spans="1:17" ht="13.5" x14ac:dyDescent="0.25">
      <c r="A33" s="18">
        <f>+A18</f>
        <v>0</v>
      </c>
      <c r="B33" s="24"/>
      <c r="C33" s="19">
        <f>+A33</f>
        <v>0</v>
      </c>
      <c r="D33" s="20" t="s">
        <v>53</v>
      </c>
      <c r="E33" s="20" t="str">
        <f>IFERROR(VLOOKUP($H33,[1]SEMIELABORADOS!$A$1:$J$999,8,0),"")</f>
        <v/>
      </c>
      <c r="F33" s="20" t="str">
        <f>IFERROR(E33*C33,"")</f>
        <v/>
      </c>
      <c r="G33" s="21" t="str">
        <f>IFERROR(F33/$F$58,"")</f>
        <v/>
      </c>
      <c r="H33" s="25"/>
      <c r="I33" s="25"/>
      <c r="J33" s="23"/>
    </row>
    <row r="34" spans="1:17" ht="13.5" x14ac:dyDescent="0.25">
      <c r="A34" s="18">
        <f>+A19</f>
        <v>0</v>
      </c>
      <c r="B34" s="24"/>
      <c r="C34" s="19">
        <f>+A34</f>
        <v>0</v>
      </c>
      <c r="D34" s="20" t="s">
        <v>53</v>
      </c>
      <c r="E34" s="20" t="str">
        <f>IFERROR(VLOOKUP($H34,[1]SEMIELABORADOS!$A$1:$J$999,8,0),"")</f>
        <v/>
      </c>
      <c r="F34" s="20" t="str">
        <f>IFERROR(E34*C34,"")</f>
        <v/>
      </c>
      <c r="G34" s="21" t="str">
        <f>IFERROR(F34/$F$58,"")</f>
        <v/>
      </c>
      <c r="H34" s="25"/>
      <c r="I34" s="25"/>
      <c r="J34" s="23"/>
    </row>
    <row r="35" spans="1:17" ht="13.5" x14ac:dyDescent="0.25">
      <c r="A35" s="18">
        <f>+A20</f>
        <v>0</v>
      </c>
      <c r="B35" s="24"/>
      <c r="C35" s="19">
        <f>+A35</f>
        <v>0</v>
      </c>
      <c r="D35" s="20" t="s">
        <v>53</v>
      </c>
      <c r="E35" s="20" t="str">
        <f>IFERROR(VLOOKUP($H35,[1]SEMIELABORADOS!$A$1:$J$999,8,0),"")</f>
        <v/>
      </c>
      <c r="F35" s="20" t="str">
        <f>IFERROR(E35*C35,"")</f>
        <v/>
      </c>
      <c r="G35" s="21" t="str">
        <f>IFERROR(F35/$F$58,"")</f>
        <v/>
      </c>
      <c r="H35" s="25"/>
      <c r="I35" s="25"/>
      <c r="J35" s="23"/>
    </row>
    <row r="36" spans="1:17" ht="13.5" x14ac:dyDescent="0.25">
      <c r="A36" s="18">
        <f>+A21</f>
        <v>0</v>
      </c>
      <c r="B36" s="24"/>
      <c r="C36" s="19">
        <f>+A36</f>
        <v>0</v>
      </c>
      <c r="D36" s="20" t="s">
        <v>53</v>
      </c>
      <c r="E36" s="20" t="str">
        <f>IFERROR(VLOOKUP($H36,[1]SEMIELABORADOS!$A$1:$J$999,8,0),"")</f>
        <v/>
      </c>
      <c r="F36" s="20" t="str">
        <f>IFERROR(E36*C36,"")</f>
        <v/>
      </c>
      <c r="G36" s="21" t="str">
        <f>IFERROR(F36/$F$58,"")</f>
        <v/>
      </c>
      <c r="H36" s="25"/>
      <c r="I36" s="25"/>
      <c r="J36" s="23"/>
    </row>
    <row r="37" spans="1:17" ht="14.25" thickBot="1" x14ac:dyDescent="0.3">
      <c r="A37" s="18"/>
      <c r="B37" s="24"/>
      <c r="C37" s="19"/>
      <c r="D37" s="20"/>
      <c r="E37" s="20"/>
      <c r="F37" s="20"/>
      <c r="G37" s="21"/>
      <c r="H37" s="25"/>
      <c r="I37" s="25"/>
      <c r="J37" s="23"/>
    </row>
    <row r="38" spans="1:17" ht="26.25" thickBot="1" x14ac:dyDescent="0.25">
      <c r="A38" s="13" t="s">
        <v>44</v>
      </c>
      <c r="B38" s="14" t="s">
        <v>54</v>
      </c>
      <c r="C38" s="14" t="s">
        <v>44</v>
      </c>
      <c r="D38" s="14"/>
      <c r="E38" s="15" t="s">
        <v>47</v>
      </c>
      <c r="F38" s="15" t="s">
        <v>48</v>
      </c>
      <c r="G38" s="15" t="s">
        <v>49</v>
      </c>
      <c r="H38" s="16" t="s">
        <v>50</v>
      </c>
      <c r="I38" s="17"/>
      <c r="J38" s="23"/>
    </row>
    <row r="39" spans="1:17" ht="13.5" x14ac:dyDescent="0.25">
      <c r="A39" s="18">
        <f>+A17</f>
        <v>1</v>
      </c>
      <c r="B39" s="28" t="s">
        <v>115</v>
      </c>
      <c r="C39" s="19">
        <f t="shared" ref="C39:C44" si="6">+A39</f>
        <v>1</v>
      </c>
      <c r="D39" s="19" t="s">
        <v>53</v>
      </c>
      <c r="E39" s="20">
        <f>IFERROR(VLOOKUP($H39,[1]SEMIELABORADOS!$A$1:$J$999,10,0),"")</f>
        <v>165</v>
      </c>
      <c r="F39" s="20">
        <f t="shared" ref="F39:F44" si="7">IFERROR(C39*E39,"")</f>
        <v>165</v>
      </c>
      <c r="G39" s="21">
        <f t="shared" ref="G39:G44" si="8">IFERROR(F39/$F$59,"")</f>
        <v>1.5251777278260166E-2</v>
      </c>
      <c r="H39" s="29" t="s">
        <v>30</v>
      </c>
      <c r="I39" s="29"/>
      <c r="J39" s="23"/>
    </row>
    <row r="40" spans="1:17" ht="13.5" x14ac:dyDescent="0.25">
      <c r="A40" s="18">
        <f>+A18</f>
        <v>0</v>
      </c>
      <c r="B40" s="28"/>
      <c r="C40" s="19">
        <f t="shared" si="6"/>
        <v>0</v>
      </c>
      <c r="D40" s="19" t="s">
        <v>53</v>
      </c>
      <c r="E40" s="20" t="str">
        <f>IFERROR(VLOOKUP($H40,[1]SEMIELABORADOS!$A$1:$J$999,10,0),"")</f>
        <v/>
      </c>
      <c r="F40" s="20" t="str">
        <f t="shared" si="7"/>
        <v/>
      </c>
      <c r="G40" s="21" t="str">
        <f t="shared" si="8"/>
        <v/>
      </c>
      <c r="H40" s="29"/>
      <c r="I40" s="29"/>
      <c r="J40" s="23"/>
    </row>
    <row r="41" spans="1:17" ht="13.5" x14ac:dyDescent="0.25">
      <c r="A41" s="18">
        <f>+A19</f>
        <v>0</v>
      </c>
      <c r="B41" s="28"/>
      <c r="C41" s="19">
        <f t="shared" si="6"/>
        <v>0</v>
      </c>
      <c r="D41" s="19" t="s">
        <v>53</v>
      </c>
      <c r="E41" s="20" t="str">
        <f>IFERROR(VLOOKUP($H41,[1]SEMIELABORADOS!$A$1:$J$999,10,0),"")</f>
        <v/>
      </c>
      <c r="F41" s="20" t="str">
        <f t="shared" si="7"/>
        <v/>
      </c>
      <c r="G41" s="21" t="str">
        <f t="shared" si="8"/>
        <v/>
      </c>
      <c r="H41" s="29"/>
      <c r="I41" s="29"/>
      <c r="J41" s="23"/>
    </row>
    <row r="42" spans="1:17" ht="13.5" x14ac:dyDescent="0.25">
      <c r="A42" s="18">
        <f>+A20</f>
        <v>0</v>
      </c>
      <c r="B42" s="28"/>
      <c r="C42" s="19">
        <f t="shared" si="6"/>
        <v>0</v>
      </c>
      <c r="D42" s="19" t="s">
        <v>53</v>
      </c>
      <c r="E42" s="20" t="str">
        <f>IFERROR(VLOOKUP($H42,[1]SEMIELABORADOS!$A$1:$J$999,10,0),"")</f>
        <v/>
      </c>
      <c r="F42" s="20" t="str">
        <f t="shared" si="7"/>
        <v/>
      </c>
      <c r="G42" s="21" t="str">
        <f t="shared" si="8"/>
        <v/>
      </c>
      <c r="H42" s="29"/>
      <c r="I42" s="29"/>
      <c r="J42" s="23"/>
    </row>
    <row r="43" spans="1:17" ht="13.5" x14ac:dyDescent="0.25">
      <c r="A43" s="18">
        <f>+A21</f>
        <v>0</v>
      </c>
      <c r="B43" s="28"/>
      <c r="C43" s="19">
        <f t="shared" si="6"/>
        <v>0</v>
      </c>
      <c r="D43" s="19" t="s">
        <v>53</v>
      </c>
      <c r="E43" s="20" t="str">
        <f>IFERROR(VLOOKUP($H43,[1]SEMIELABORADOS!$A$1:$J$999,10,0),"")</f>
        <v/>
      </c>
      <c r="F43" s="20" t="str">
        <f t="shared" si="7"/>
        <v/>
      </c>
      <c r="G43" s="21" t="str">
        <f t="shared" si="8"/>
        <v/>
      </c>
      <c r="H43" s="29"/>
      <c r="I43" s="29"/>
      <c r="J43" s="23"/>
    </row>
    <row r="44" spans="1:17" ht="13.5" x14ac:dyDescent="0.25">
      <c r="A44" s="18">
        <v>1</v>
      </c>
      <c r="B44" s="24" t="s">
        <v>55</v>
      </c>
      <c r="C44" s="19">
        <f t="shared" si="6"/>
        <v>1</v>
      </c>
      <c r="D44" s="19" t="s">
        <v>53</v>
      </c>
      <c r="E44" s="20">
        <f>+F58</f>
        <v>385</v>
      </c>
      <c r="F44" s="20">
        <f t="shared" si="7"/>
        <v>385</v>
      </c>
      <c r="G44" s="21">
        <f t="shared" si="8"/>
        <v>3.558748031594039E-2</v>
      </c>
      <c r="H44" s="29"/>
      <c r="I44" s="29"/>
      <c r="J44" s="23"/>
    </row>
    <row r="45" spans="1:17" ht="14.25" thickBot="1" x14ac:dyDescent="0.3">
      <c r="A45" s="18"/>
      <c r="B45" s="24"/>
      <c r="C45" s="19"/>
      <c r="D45" s="19"/>
      <c r="E45" s="20"/>
      <c r="F45" s="20"/>
      <c r="G45" s="21"/>
      <c r="H45" s="29"/>
      <c r="I45" s="29"/>
      <c r="J45" s="23"/>
    </row>
    <row r="46" spans="1:17" ht="13.5" thickBot="1" x14ac:dyDescent="0.25">
      <c r="A46" s="30"/>
      <c r="B46" s="173" t="s">
        <v>56</v>
      </c>
      <c r="C46" s="173"/>
      <c r="D46" s="173"/>
      <c r="E46" s="173"/>
      <c r="F46" s="32">
        <f>SUM(F8:F14,F17:F21)</f>
        <v>7933.5487464300013</v>
      </c>
      <c r="G46" s="21">
        <f>+F46/$F$59</f>
        <v>0.73333768791982135</v>
      </c>
      <c r="H46" s="33">
        <f>+F46/$D$53</f>
        <v>126.64063568711937</v>
      </c>
      <c r="I46" s="33"/>
      <c r="J46" s="34"/>
      <c r="K46" s="35"/>
      <c r="L46" s="35"/>
      <c r="M46" s="35"/>
      <c r="N46" s="35"/>
      <c r="O46" s="35"/>
      <c r="P46" s="35"/>
      <c r="Q46" s="36"/>
    </row>
    <row r="47" spans="1:17" x14ac:dyDescent="0.2">
      <c r="A47" s="30"/>
      <c r="B47" s="173" t="s">
        <v>57</v>
      </c>
      <c r="C47" s="173"/>
      <c r="D47" s="173"/>
      <c r="E47" s="173"/>
      <c r="F47" s="32">
        <f>SUM(F24:F29,F32:F36)</f>
        <v>2341.1916014444441</v>
      </c>
      <c r="G47" s="21">
        <f>+F47/$F$59</f>
        <v>0.21640807800584183</v>
      </c>
      <c r="H47" s="33">
        <f>+F47/$D$53</f>
        <v>37.371673402232041</v>
      </c>
      <c r="I47" s="33"/>
      <c r="J47" s="37"/>
      <c r="K47" s="176" t="s">
        <v>58</v>
      </c>
      <c r="L47" s="177"/>
      <c r="M47" s="177"/>
      <c r="N47" s="177"/>
      <c r="O47" s="38">
        <f>+F48</f>
        <v>10274.740347874445</v>
      </c>
      <c r="P47" s="38"/>
      <c r="Q47" s="39"/>
    </row>
    <row r="48" spans="1:17" x14ac:dyDescent="0.2">
      <c r="A48" s="30"/>
      <c r="B48" s="173" t="s">
        <v>59</v>
      </c>
      <c r="C48" s="173"/>
      <c r="D48" s="173"/>
      <c r="E48" s="173"/>
      <c r="F48" s="32">
        <f>+F46+F47</f>
        <v>10274.740347874445</v>
      </c>
      <c r="G48" s="21">
        <f>+F48/$F$59</f>
        <v>0.94974576592566318</v>
      </c>
      <c r="H48" s="33">
        <f>+F48/$D$53</f>
        <v>164.01230908935142</v>
      </c>
      <c r="I48" s="33"/>
      <c r="J48" s="40"/>
      <c r="K48" s="41"/>
      <c r="L48" s="168" t="s">
        <v>60</v>
      </c>
      <c r="M48" s="168"/>
      <c r="N48" s="168"/>
      <c r="O48" s="38">
        <f>+F49</f>
        <v>550</v>
      </c>
      <c r="P48" s="38"/>
      <c r="Q48" s="39"/>
    </row>
    <row r="49" spans="1:17" ht="13.5" thickBot="1" x14ac:dyDescent="0.25">
      <c r="A49" s="30"/>
      <c r="B49" s="31"/>
      <c r="C49" s="173" t="s">
        <v>61</v>
      </c>
      <c r="D49" s="173"/>
      <c r="E49" s="173"/>
      <c r="F49" s="32">
        <f>SUM(F39:F44)</f>
        <v>550</v>
      </c>
      <c r="G49" s="21">
        <f>+F49/$F$59</f>
        <v>5.0839257594200556E-2</v>
      </c>
      <c r="H49" s="33">
        <f>+F49/$D$53</f>
        <v>8.779469548133596</v>
      </c>
      <c r="I49" s="33"/>
      <c r="J49" s="40"/>
      <c r="K49" s="41"/>
      <c r="L49" s="41"/>
      <c r="M49" s="41" t="s">
        <v>62</v>
      </c>
      <c r="N49" s="42">
        <v>0.01</v>
      </c>
      <c r="O49" s="38">
        <f>O47*N49</f>
        <v>102.74740347874446</v>
      </c>
      <c r="P49" s="38"/>
      <c r="Q49" s="39"/>
    </row>
    <row r="50" spans="1:17" ht="13.5" thickBot="1" x14ac:dyDescent="0.25">
      <c r="A50" s="30"/>
      <c r="B50" s="43"/>
      <c r="C50" s="43"/>
      <c r="D50" s="43"/>
      <c r="E50" s="43"/>
      <c r="F50" s="44"/>
      <c r="G50" s="21"/>
      <c r="H50" s="45"/>
      <c r="I50" s="33"/>
      <c r="J50" s="40"/>
      <c r="K50" s="46"/>
      <c r="M50" s="47" t="s">
        <v>63</v>
      </c>
      <c r="N50" s="48"/>
      <c r="O50" s="49">
        <f>SUM(O47:O49)</f>
        <v>10927.48775135319</v>
      </c>
      <c r="P50" s="50"/>
      <c r="Q50" s="39"/>
    </row>
    <row r="51" spans="1:17" x14ac:dyDescent="0.2">
      <c r="B51" s="174" t="s">
        <v>64</v>
      </c>
      <c r="C51" s="174"/>
      <c r="D51" s="51">
        <v>4072</v>
      </c>
      <c r="E51" s="52"/>
      <c r="G51" s="21"/>
      <c r="H51" s="45"/>
      <c r="I51" s="45"/>
      <c r="J51" s="40"/>
      <c r="K51" s="46"/>
      <c r="L51" s="41"/>
      <c r="M51" s="41" t="s">
        <v>65</v>
      </c>
      <c r="N51" s="53">
        <v>0.25</v>
      </c>
      <c r="O51" s="38">
        <f>+O50*N51</f>
        <v>2731.8719378382975</v>
      </c>
      <c r="P51" s="38"/>
      <c r="Q51" s="39"/>
    </row>
    <row r="52" spans="1:17" x14ac:dyDescent="0.2">
      <c r="B52" s="174" t="s">
        <v>66</v>
      </c>
      <c r="C52" s="174"/>
      <c r="D52" s="54">
        <v>65</v>
      </c>
      <c r="E52" s="52"/>
      <c r="G52" s="21"/>
      <c r="H52" s="45"/>
      <c r="I52" s="45"/>
      <c r="J52" s="40"/>
      <c r="K52" s="46"/>
      <c r="L52" s="41"/>
      <c r="M52" s="168" t="s">
        <v>63</v>
      </c>
      <c r="N52" s="168"/>
      <c r="O52" s="38">
        <f>SUM(O50:O51)</f>
        <v>13659.359689191488</v>
      </c>
      <c r="P52" s="38"/>
      <c r="Q52" s="39"/>
    </row>
    <row r="53" spans="1:17" ht="13.5" thickBot="1" x14ac:dyDescent="0.25">
      <c r="B53" s="167" t="s">
        <v>67</v>
      </c>
      <c r="C53" s="167"/>
      <c r="D53" s="51">
        <f>+D51/D52</f>
        <v>62.646153846153844</v>
      </c>
      <c r="E53" s="52"/>
      <c r="F53" s="55"/>
      <c r="G53" s="21"/>
      <c r="H53" s="45"/>
      <c r="I53" s="45"/>
      <c r="J53" s="40"/>
      <c r="K53" s="46"/>
      <c r="L53" s="168" t="s">
        <v>68</v>
      </c>
      <c r="M53" s="168"/>
      <c r="N53" s="53">
        <v>0.05</v>
      </c>
      <c r="O53" s="38">
        <f>+O52*N53</f>
        <v>682.96798445957438</v>
      </c>
      <c r="P53" s="38"/>
      <c r="Q53" s="39"/>
    </row>
    <row r="54" spans="1:17" ht="13.5" thickBot="1" x14ac:dyDescent="0.25">
      <c r="B54" s="167" t="s">
        <v>69</v>
      </c>
      <c r="C54" s="167"/>
      <c r="D54" s="56"/>
      <c r="E54" s="52"/>
      <c r="F54" s="55"/>
      <c r="G54" s="21"/>
      <c r="H54" s="45"/>
      <c r="I54" s="45"/>
      <c r="J54" s="40"/>
      <c r="K54" s="169" t="s">
        <v>70</v>
      </c>
      <c r="L54" s="170"/>
      <c r="M54" s="170"/>
      <c r="N54" s="171"/>
      <c r="O54" s="49">
        <f>SUM(O52:O53)</f>
        <v>14342.327673651062</v>
      </c>
      <c r="P54" s="57" t="s">
        <v>71</v>
      </c>
      <c r="Q54" s="39"/>
    </row>
    <row r="55" spans="1:17" ht="13.5" thickBot="1" x14ac:dyDescent="0.25">
      <c r="C55" s="30" t="s">
        <v>72</v>
      </c>
      <c r="D55" s="58"/>
      <c r="E55" s="4" t="s">
        <v>73</v>
      </c>
      <c r="F55" s="59" t="s">
        <v>74</v>
      </c>
      <c r="G55" s="21"/>
      <c r="H55" s="45"/>
      <c r="I55" s="45"/>
      <c r="J55" s="60"/>
      <c r="K55" s="61"/>
      <c r="L55" s="172" t="s">
        <v>75</v>
      </c>
      <c r="M55" s="172"/>
      <c r="N55" s="172"/>
      <c r="O55" s="62">
        <f>+O54/D53</f>
        <v>228.94187101849681</v>
      </c>
      <c r="P55" s="63">
        <f>+O55/D52</f>
        <v>3.5221826310537971</v>
      </c>
      <c r="Q55" s="64"/>
    </row>
    <row r="56" spans="1:17" ht="13.5" thickBot="1" x14ac:dyDescent="0.25">
      <c r="B56" s="152" t="s">
        <v>59</v>
      </c>
      <c r="C56" s="152"/>
      <c r="D56" s="152"/>
      <c r="E56" s="65">
        <f>+F56/F56</f>
        <v>1</v>
      </c>
      <c r="F56" s="66">
        <f>SUM(F48)</f>
        <v>10274.740347874445</v>
      </c>
      <c r="G56" s="21">
        <f>+F56/$F$59</f>
        <v>0.94974576592566318</v>
      </c>
      <c r="H56" s="45"/>
      <c r="I56" s="45"/>
      <c r="K56" s="153"/>
      <c r="L56" s="154"/>
      <c r="M56" s="154"/>
      <c r="N56" s="154"/>
      <c r="O56" s="67"/>
      <c r="P56" s="68"/>
    </row>
    <row r="57" spans="1:17" ht="13.5" thickBot="1" x14ac:dyDescent="0.25">
      <c r="B57" s="155" t="s">
        <v>76</v>
      </c>
      <c r="C57" s="155"/>
      <c r="D57" s="155"/>
      <c r="E57" s="69">
        <v>0.02</v>
      </c>
      <c r="F57" s="66">
        <f>+F46*E57</f>
        <v>158.67097492860003</v>
      </c>
      <c r="G57" s="21">
        <f>+F57/$F$59</f>
        <v>1.4666753758396427E-2</v>
      </c>
      <c r="H57" s="33"/>
      <c r="I57" s="45"/>
      <c r="J57" s="23"/>
      <c r="O57" s="70"/>
      <c r="P57" s="31"/>
    </row>
    <row r="58" spans="1:17" ht="13.5" thickBot="1" x14ac:dyDescent="0.25">
      <c r="B58" s="157" t="s">
        <v>77</v>
      </c>
      <c r="C58" s="158"/>
      <c r="D58" s="71">
        <v>7</v>
      </c>
      <c r="E58" s="72">
        <v>55</v>
      </c>
      <c r="F58" s="66">
        <f>+E58*D58</f>
        <v>385</v>
      </c>
      <c r="G58" s="21">
        <f>+F58/$F$59</f>
        <v>3.558748031594039E-2</v>
      </c>
      <c r="H58" s="33"/>
      <c r="I58" s="33"/>
      <c r="J58" s="23"/>
    </row>
    <row r="59" spans="1:17" ht="13.5" thickBot="1" x14ac:dyDescent="0.25">
      <c r="B59" s="159" t="s">
        <v>78</v>
      </c>
      <c r="C59" s="160"/>
      <c r="D59" s="160"/>
      <c r="E59" s="161"/>
      <c r="F59" s="44">
        <f>SUM(F56:F58)</f>
        <v>10818.411322803046</v>
      </c>
      <c r="G59" s="21">
        <f>+F59/$F$59</f>
        <v>1</v>
      </c>
      <c r="H59" s="162"/>
      <c r="I59" s="33"/>
      <c r="J59" s="23"/>
    </row>
    <row r="60" spans="1:17" x14ac:dyDescent="0.2">
      <c r="C60" s="74"/>
      <c r="D60" s="74"/>
      <c r="E60" s="75"/>
      <c r="F60" s="66"/>
      <c r="G60" s="21"/>
      <c r="H60" s="162"/>
      <c r="I60" s="73"/>
      <c r="J60" s="6"/>
    </row>
    <row r="61" spans="1:17" ht="13.5" thickBot="1" x14ac:dyDescent="0.25">
      <c r="B61" s="163" t="s">
        <v>79</v>
      </c>
      <c r="C61" s="163"/>
      <c r="D61" s="163"/>
      <c r="E61" s="163"/>
      <c r="F61" s="163"/>
      <c r="G61" s="21"/>
      <c r="H61" s="77"/>
      <c r="I61" s="73"/>
      <c r="J61" s="6"/>
    </row>
    <row r="62" spans="1:17" ht="13.5" thickBot="1" x14ac:dyDescent="0.25">
      <c r="B62" s="78" t="s">
        <v>80</v>
      </c>
      <c r="C62" s="79">
        <f>+F46</f>
        <v>7933.5487464300013</v>
      </c>
      <c r="D62" s="79">
        <f>+D51</f>
        <v>4072</v>
      </c>
      <c r="E62" s="80">
        <f>+C62/D62</f>
        <v>1.9483174721095289</v>
      </c>
      <c r="F62" s="21"/>
      <c r="G62" s="77"/>
      <c r="H62" s="23"/>
      <c r="I62" s="77"/>
      <c r="J62" s="6"/>
    </row>
    <row r="63" spans="1:17" x14ac:dyDescent="0.2">
      <c r="B63" s="81"/>
      <c r="C63" s="82"/>
      <c r="D63" s="83"/>
      <c r="E63" s="66"/>
      <c r="F63" s="21"/>
      <c r="G63" s="77"/>
      <c r="H63" s="23"/>
      <c r="I63" s="23"/>
      <c r="J63" s="6"/>
    </row>
    <row r="64" spans="1:17" x14ac:dyDescent="0.2">
      <c r="B64" s="78" t="s">
        <v>81</v>
      </c>
      <c r="C64" s="79">
        <f>SUM(F56:F57)</f>
        <v>10433.411322803046</v>
      </c>
      <c r="D64" s="79">
        <f>+D51</f>
        <v>4072</v>
      </c>
      <c r="E64" s="84">
        <f>+C64/D64</f>
        <v>2.5622326431245201</v>
      </c>
      <c r="F64" s="21"/>
      <c r="G64" s="77"/>
      <c r="H64" s="23"/>
      <c r="I64" s="23"/>
      <c r="J64" s="6"/>
    </row>
    <row r="65" spans="2:10" x14ac:dyDescent="0.2">
      <c r="B65" s="78"/>
      <c r="C65" s="79"/>
      <c r="D65" s="79"/>
      <c r="E65" s="84"/>
      <c r="F65" s="21"/>
      <c r="G65" s="77"/>
      <c r="H65" s="23"/>
      <c r="I65" s="23"/>
      <c r="J65" s="6"/>
    </row>
    <row r="66" spans="2:10" ht="13.5" thickBot="1" x14ac:dyDescent="0.25">
      <c r="B66" s="78" t="s">
        <v>82</v>
      </c>
      <c r="C66" s="79">
        <f>+F58</f>
        <v>385</v>
      </c>
      <c r="D66" s="79">
        <f>+D51</f>
        <v>4072</v>
      </c>
      <c r="E66" s="84">
        <f>+C66/D66</f>
        <v>9.4548133595284869E-2</v>
      </c>
      <c r="F66" s="21"/>
      <c r="G66" s="77"/>
      <c r="H66" s="23"/>
      <c r="I66" s="23"/>
      <c r="J66" s="6"/>
    </row>
    <row r="67" spans="2:10" ht="13.5" thickBot="1" x14ac:dyDescent="0.25">
      <c r="B67" s="78" t="s">
        <v>83</v>
      </c>
      <c r="C67" s="79">
        <f>+F49</f>
        <v>550</v>
      </c>
      <c r="D67" s="79">
        <f>+D66</f>
        <v>4072</v>
      </c>
      <c r="E67" s="80">
        <f>+C67/D67</f>
        <v>0.13506876227897838</v>
      </c>
      <c r="F67" s="21"/>
      <c r="G67" s="77"/>
      <c r="H67" s="23"/>
      <c r="I67" s="23"/>
      <c r="J67" s="6"/>
    </row>
    <row r="68" spans="2:10" ht="13.5" thickBot="1" x14ac:dyDescent="0.25">
      <c r="B68" s="43"/>
      <c r="C68" s="44"/>
      <c r="D68" s="44"/>
      <c r="E68" s="84"/>
      <c r="F68" s="21"/>
      <c r="G68" s="77"/>
      <c r="H68" s="23"/>
      <c r="I68" s="23"/>
      <c r="J68" s="6"/>
    </row>
    <row r="69" spans="2:10" ht="13.5" thickBot="1" x14ac:dyDescent="0.25">
      <c r="B69" s="78" t="s">
        <v>84</v>
      </c>
      <c r="C69" s="79">
        <f>+F47</f>
        <v>2341.1916014444441</v>
      </c>
      <c r="D69" s="79">
        <f>+D67</f>
        <v>4072</v>
      </c>
      <c r="E69" s="80">
        <f>+C69/D69</f>
        <v>0.57494882157280058</v>
      </c>
      <c r="F69" s="21"/>
      <c r="G69" s="77"/>
      <c r="H69" s="23"/>
      <c r="I69" s="23"/>
      <c r="J69" s="23"/>
    </row>
    <row r="70" spans="2:10" ht="13.5" thickBot="1" x14ac:dyDescent="0.25">
      <c r="B70" s="43"/>
      <c r="C70" s="44"/>
      <c r="D70" s="44"/>
      <c r="E70" s="84"/>
      <c r="F70" s="21"/>
      <c r="G70" s="77"/>
      <c r="H70" s="23"/>
      <c r="I70" s="23"/>
    </row>
    <row r="71" spans="2:10" ht="13.5" thickBot="1" x14ac:dyDescent="0.25">
      <c r="B71" s="164" t="s">
        <v>85</v>
      </c>
      <c r="C71" s="165"/>
      <c r="D71" s="166"/>
      <c r="E71" s="80">
        <f>+E62+E67</f>
        <v>2.0833862343885072</v>
      </c>
      <c r="G71" s="21"/>
      <c r="H71" s="77"/>
      <c r="I71" s="23"/>
      <c r="J71" s="84"/>
    </row>
    <row r="72" spans="2:10" x14ac:dyDescent="0.2">
      <c r="I72" s="77"/>
      <c r="J72" s="6"/>
    </row>
    <row r="73" spans="2:10" ht="13.5" thickBot="1" x14ac:dyDescent="0.25">
      <c r="B73" s="163" t="s">
        <v>86</v>
      </c>
      <c r="C73" s="163"/>
      <c r="D73" s="163"/>
      <c r="E73" s="163"/>
      <c r="F73" s="163"/>
      <c r="G73" s="21"/>
      <c r="H73" s="77"/>
      <c r="J73" s="6"/>
    </row>
    <row r="74" spans="2:10" ht="13.5" thickBot="1" x14ac:dyDescent="0.25">
      <c r="B74" s="78" t="s">
        <v>80</v>
      </c>
      <c r="C74" s="79">
        <f>+C62</f>
        <v>7933.5487464300013</v>
      </c>
      <c r="D74" s="79">
        <f>+D53</f>
        <v>62.646153846153844</v>
      </c>
      <c r="E74" s="80">
        <f>+C74/D74</f>
        <v>126.64063568711937</v>
      </c>
      <c r="F74" s="21"/>
      <c r="G74" s="77"/>
      <c r="H74" s="23"/>
      <c r="I74" s="77"/>
      <c r="J74" s="6"/>
    </row>
    <row r="75" spans="2:10" x14ac:dyDescent="0.2">
      <c r="B75" s="81"/>
      <c r="C75" s="82"/>
      <c r="D75" s="83"/>
      <c r="E75" s="66"/>
      <c r="F75" s="21"/>
      <c r="G75" s="77"/>
      <c r="H75" s="23"/>
      <c r="I75" s="23"/>
      <c r="J75" s="6"/>
    </row>
    <row r="76" spans="2:10" x14ac:dyDescent="0.2">
      <c r="B76" s="78" t="s">
        <v>81</v>
      </c>
      <c r="C76" s="79">
        <f>+C64</f>
        <v>10433.411322803046</v>
      </c>
      <c r="D76" s="79">
        <f>+D53</f>
        <v>62.646153846153844</v>
      </c>
      <c r="E76" s="84">
        <f>+C76/D76</f>
        <v>166.54512180309382</v>
      </c>
      <c r="F76" s="21"/>
      <c r="G76" s="77"/>
      <c r="H76" s="23"/>
      <c r="I76" s="23"/>
      <c r="J76" s="6"/>
    </row>
    <row r="77" spans="2:10" x14ac:dyDescent="0.2">
      <c r="B77" s="78"/>
      <c r="C77" s="79"/>
      <c r="D77" s="79"/>
      <c r="E77" s="84"/>
      <c r="F77" s="21"/>
      <c r="G77" s="77"/>
      <c r="H77" s="23"/>
      <c r="I77" s="23"/>
      <c r="J77" s="6"/>
    </row>
    <row r="78" spans="2:10" ht="13.5" thickBot="1" x14ac:dyDescent="0.25">
      <c r="B78" s="78" t="s">
        <v>83</v>
      </c>
      <c r="C78" s="79">
        <f>+C66</f>
        <v>385</v>
      </c>
      <c r="D78" s="79">
        <f>+D53</f>
        <v>62.646153846153844</v>
      </c>
      <c r="E78" s="84">
        <f>+C78/D78</f>
        <v>6.1456286836935172</v>
      </c>
      <c r="F78" s="86"/>
      <c r="G78" s="76"/>
      <c r="H78" s="5"/>
      <c r="I78" s="23"/>
    </row>
    <row r="79" spans="2:10" ht="13.5" thickBot="1" x14ac:dyDescent="0.25">
      <c r="B79" s="78" t="s">
        <v>83</v>
      </c>
      <c r="C79" s="79">
        <f>+C67</f>
        <v>550</v>
      </c>
      <c r="D79" s="79">
        <f>+D78</f>
        <v>62.646153846153844</v>
      </c>
      <c r="E79" s="80">
        <f>+C79/D79</f>
        <v>8.779469548133596</v>
      </c>
      <c r="F79" s="85"/>
      <c r="G79" s="76"/>
      <c r="H79" s="5"/>
      <c r="I79" s="5"/>
    </row>
    <row r="80" spans="2:10" x14ac:dyDescent="0.2">
      <c r="I80" s="5"/>
    </row>
    <row r="81" spans="1:5" x14ac:dyDescent="0.2">
      <c r="A81" s="156"/>
      <c r="B81" s="156"/>
      <c r="C81" s="87"/>
      <c r="D81" s="87"/>
      <c r="E81" s="88"/>
    </row>
    <row r="82" spans="1:5" x14ac:dyDescent="0.2">
      <c r="A82" s="24"/>
      <c r="B82" s="89"/>
      <c r="C82" s="90"/>
      <c r="D82" s="90"/>
      <c r="E82" s="91"/>
    </row>
    <row r="83" spans="1:5" x14ac:dyDescent="0.2">
      <c r="A83" s="24"/>
      <c r="B83" s="89"/>
      <c r="C83" s="92"/>
      <c r="D83" s="92"/>
      <c r="E83" s="24"/>
    </row>
    <row r="84" spans="1:5" x14ac:dyDescent="0.2">
      <c r="A84" s="24"/>
      <c r="B84" s="89"/>
      <c r="C84" s="93"/>
      <c r="D84" s="93"/>
      <c r="E84" s="24"/>
    </row>
  </sheetData>
  <mergeCells count="31">
    <mergeCell ref="A4:H4"/>
    <mergeCell ref="A5:H5"/>
    <mergeCell ref="F6:G6"/>
    <mergeCell ref="K24:L24"/>
    <mergeCell ref="K25:L25"/>
    <mergeCell ref="K26:L26"/>
    <mergeCell ref="K27:L27"/>
    <mergeCell ref="B46:E46"/>
    <mergeCell ref="B47:E47"/>
    <mergeCell ref="K47:N47"/>
    <mergeCell ref="B48:E48"/>
    <mergeCell ref="L48:N48"/>
    <mergeCell ref="C49:E49"/>
    <mergeCell ref="B51:C51"/>
    <mergeCell ref="B52:C52"/>
    <mergeCell ref="M52:N52"/>
    <mergeCell ref="B53:C53"/>
    <mergeCell ref="L53:M53"/>
    <mergeCell ref="B54:C54"/>
    <mergeCell ref="K54:N54"/>
    <mergeCell ref="L55:N55"/>
    <mergeCell ref="B56:D56"/>
    <mergeCell ref="K56:N56"/>
    <mergeCell ref="B57:D57"/>
    <mergeCell ref="A81:B81"/>
    <mergeCell ref="B58:C58"/>
    <mergeCell ref="B59:E59"/>
    <mergeCell ref="H59:H60"/>
    <mergeCell ref="B61:F61"/>
    <mergeCell ref="B71:D71"/>
    <mergeCell ref="B73:F7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C364B-1CE4-4D3D-B0F9-6839BF7624D7}">
  <dimension ref="A1:AK43"/>
  <sheetViews>
    <sheetView topLeftCell="A13" workbookViewId="0">
      <selection activeCell="J31" sqref="J31"/>
    </sheetView>
  </sheetViews>
  <sheetFormatPr baseColWidth="10" defaultColWidth="8.42578125" defaultRowHeight="11.25" x14ac:dyDescent="0.2"/>
  <cols>
    <col min="1" max="1" width="7.5703125" style="94" customWidth="1"/>
    <col min="2" max="2" width="7.7109375" style="94" bestFit="1" customWidth="1"/>
    <col min="3" max="3" width="39.28515625" style="94" customWidth="1"/>
    <col min="4" max="4" width="10" style="94" bestFit="1" customWidth="1"/>
    <col min="5" max="5" width="9.42578125" style="94" bestFit="1" customWidth="1"/>
    <col min="6" max="6" width="11.7109375" style="136" customWidth="1"/>
    <col min="7" max="7" width="8.7109375" style="137" bestFit="1" customWidth="1"/>
    <col min="8" max="8" width="10.28515625" style="138" bestFit="1" customWidth="1"/>
    <col min="9" max="16384" width="8.42578125" style="94"/>
  </cols>
  <sheetData>
    <row r="1" spans="2:8" ht="36" customHeight="1" thickBot="1" x14ac:dyDescent="0.35">
      <c r="B1" s="194"/>
      <c r="C1" s="195"/>
      <c r="D1" s="195"/>
      <c r="E1" s="195"/>
      <c r="F1" s="195"/>
      <c r="G1" s="195"/>
      <c r="H1" s="196"/>
    </row>
    <row r="2" spans="2:8" ht="19.5" customHeight="1" thickBot="1" x14ac:dyDescent="0.25">
      <c r="B2" s="197" t="s">
        <v>89</v>
      </c>
      <c r="C2" s="197"/>
      <c r="D2" s="197"/>
      <c r="E2" s="197"/>
      <c r="F2" s="197"/>
      <c r="G2" s="197"/>
      <c r="H2" s="197"/>
    </row>
    <row r="3" spans="2:8" ht="19.5" customHeight="1" thickTop="1" x14ac:dyDescent="0.2">
      <c r="B3" s="198" t="s">
        <v>90</v>
      </c>
      <c r="C3" s="198"/>
      <c r="D3" s="198"/>
      <c r="E3" s="198"/>
      <c r="F3" s="198"/>
      <c r="G3" s="198"/>
      <c r="H3" s="198"/>
    </row>
    <row r="4" spans="2:8" ht="19.5" customHeight="1" x14ac:dyDescent="0.2">
      <c r="B4" s="95"/>
      <c r="C4" s="95"/>
      <c r="D4" s="95"/>
      <c r="E4" s="95"/>
      <c r="F4" s="199" t="s">
        <v>43</v>
      </c>
      <c r="G4" s="199"/>
      <c r="H4" s="12"/>
    </row>
    <row r="5" spans="2:8" ht="30" customHeight="1" x14ac:dyDescent="0.2">
      <c r="B5" s="96" t="s">
        <v>75</v>
      </c>
      <c r="C5" s="96" t="s">
        <v>45</v>
      </c>
      <c r="D5" s="96" t="s">
        <v>75</v>
      </c>
      <c r="E5" s="97" t="s">
        <v>91</v>
      </c>
      <c r="F5" s="97" t="s">
        <v>92</v>
      </c>
      <c r="G5" s="97" t="s">
        <v>93</v>
      </c>
      <c r="H5" s="97" t="s">
        <v>94</v>
      </c>
    </row>
    <row r="6" spans="2:8" s="98" customFormat="1" ht="20.100000000000001" customHeight="1" x14ac:dyDescent="0.2">
      <c r="B6" s="99">
        <v>1</v>
      </c>
      <c r="C6" s="98" t="s">
        <v>114</v>
      </c>
      <c r="D6" s="100">
        <f>+B6</f>
        <v>1</v>
      </c>
      <c r="E6" s="100">
        <f>+Hoja1!H46</f>
        <v>126.64063568711937</v>
      </c>
      <c r="F6" s="101">
        <f>+D6*E6</f>
        <v>126.64063568711937</v>
      </c>
      <c r="G6" s="102">
        <f>+F6/$F$23</f>
        <v>0.5720264733379975</v>
      </c>
      <c r="H6" s="103" t="s">
        <v>95</v>
      </c>
    </row>
    <row r="7" spans="2:8" s="98" customFormat="1" ht="20.100000000000001" customHeight="1" x14ac:dyDescent="0.2">
      <c r="B7" s="99"/>
      <c r="D7" s="100"/>
      <c r="E7" s="100"/>
      <c r="F7" s="101"/>
      <c r="G7" s="102"/>
      <c r="H7" s="103"/>
    </row>
    <row r="8" spans="2:8" ht="30" customHeight="1" x14ac:dyDescent="0.2">
      <c r="B8" s="96" t="s">
        <v>75</v>
      </c>
      <c r="C8" s="96" t="s">
        <v>9</v>
      </c>
      <c r="D8" s="96" t="s">
        <v>75</v>
      </c>
      <c r="E8" s="97" t="s">
        <v>91</v>
      </c>
      <c r="F8" s="97" t="s">
        <v>92</v>
      </c>
      <c r="G8" s="97" t="s">
        <v>93</v>
      </c>
      <c r="H8" s="97" t="s">
        <v>94</v>
      </c>
    </row>
    <row r="9" spans="2:8" s="98" customFormat="1" ht="20.100000000000001" customHeight="1" x14ac:dyDescent="0.2">
      <c r="B9" s="99">
        <v>1</v>
      </c>
      <c r="C9" s="98" t="s">
        <v>96</v>
      </c>
      <c r="D9" s="100">
        <f>+B9</f>
        <v>1</v>
      </c>
      <c r="E9" s="100">
        <f>+Hoja1!H47</f>
        <v>37.371673402232041</v>
      </c>
      <c r="F9" s="101">
        <f>+D9*E9</f>
        <v>37.371673402232041</v>
      </c>
      <c r="G9" s="102">
        <f>+F9/$F$23</f>
        <v>0.16880511080056554</v>
      </c>
      <c r="H9" s="103" t="s">
        <v>97</v>
      </c>
    </row>
    <row r="10" spans="2:8" s="104" customFormat="1" ht="17.25" customHeight="1" x14ac:dyDescent="0.2">
      <c r="B10" s="105"/>
      <c r="C10" s="106"/>
      <c r="D10" s="107"/>
      <c r="E10" s="107"/>
      <c r="F10" s="108"/>
      <c r="G10" s="109"/>
      <c r="H10" s="110"/>
    </row>
    <row r="11" spans="2:8" s="104" customFormat="1" ht="12" x14ac:dyDescent="0.2">
      <c r="B11" s="99"/>
      <c r="C11" s="168" t="s">
        <v>98</v>
      </c>
      <c r="D11" s="168"/>
      <c r="E11" s="100"/>
      <c r="F11" s="38">
        <f>SUM(F6)</f>
        <v>126.64063568711937</v>
      </c>
      <c r="G11" s="111">
        <f>+F11/$F$23</f>
        <v>0.5720264733379975</v>
      </c>
      <c r="H11" s="103"/>
    </row>
    <row r="12" spans="2:8" s="104" customFormat="1" ht="12.75" thickBot="1" x14ac:dyDescent="0.25">
      <c r="B12" s="99"/>
      <c r="C12" s="168" t="s">
        <v>99</v>
      </c>
      <c r="D12" s="168"/>
      <c r="E12" s="100"/>
      <c r="F12" s="112">
        <f>SUM(F9)</f>
        <v>37.371673402232041</v>
      </c>
      <c r="G12" s="111">
        <f>+F12/$F$23</f>
        <v>0.16880511080056554</v>
      </c>
      <c r="H12" s="103"/>
    </row>
    <row r="13" spans="2:8" s="104" customFormat="1" ht="12.75" thickTop="1" x14ac:dyDescent="0.2">
      <c r="B13" s="99"/>
      <c r="C13" s="170" t="s">
        <v>58</v>
      </c>
      <c r="D13" s="170"/>
      <c r="E13" s="170"/>
      <c r="F13" s="50">
        <f>SUM(F11:F12)</f>
        <v>164.01230908935142</v>
      </c>
      <c r="G13" s="111">
        <f>+F13/$F$23</f>
        <v>0.74083158413856309</v>
      </c>
      <c r="H13" s="103"/>
    </row>
    <row r="14" spans="2:8" s="104" customFormat="1" ht="12" x14ac:dyDescent="0.2">
      <c r="C14" s="46"/>
      <c r="D14" s="46"/>
      <c r="E14" s="113"/>
      <c r="F14" s="114"/>
      <c r="G14" s="111"/>
    </row>
    <row r="15" spans="2:8" s="104" customFormat="1" ht="12" x14ac:dyDescent="0.2">
      <c r="B15" s="168" t="s">
        <v>58</v>
      </c>
      <c r="C15" s="168"/>
      <c r="D15" s="168"/>
      <c r="E15" s="115" t="s">
        <v>100</v>
      </c>
      <c r="F15" s="38">
        <f>+F13</f>
        <v>164.01230908935142</v>
      </c>
      <c r="G15" s="111">
        <f t="shared" ref="G15:G23" si="0">+F15/$F$23</f>
        <v>0.74083158413856309</v>
      </c>
      <c r="H15" s="116"/>
    </row>
    <row r="16" spans="2:8" s="104" customFormat="1" ht="12.75" customHeight="1" thickBot="1" x14ac:dyDescent="0.25">
      <c r="B16" s="41"/>
      <c r="C16" s="168" t="s">
        <v>60</v>
      </c>
      <c r="D16" s="168"/>
      <c r="E16" s="117"/>
      <c r="F16" s="38">
        <f>+Hoja1!H49</f>
        <v>8.779469548133596</v>
      </c>
      <c r="G16" s="111">
        <f t="shared" si="0"/>
        <v>3.9656220739485763E-2</v>
      </c>
      <c r="H16" s="116"/>
    </row>
    <row r="17" spans="1:37" s="104" customFormat="1" ht="12.75" hidden="1" customHeight="1" x14ac:dyDescent="0.2">
      <c r="B17" s="41"/>
      <c r="C17" s="168" t="s">
        <v>101</v>
      </c>
      <c r="D17" s="168"/>
      <c r="E17" s="118">
        <v>0</v>
      </c>
      <c r="F17" s="38">
        <f>+(F15+F16)*E17</f>
        <v>0</v>
      </c>
      <c r="G17" s="111">
        <f t="shared" si="0"/>
        <v>0</v>
      </c>
      <c r="H17" s="116"/>
    </row>
    <row r="18" spans="1:37" s="104" customFormat="1" ht="12.75" hidden="1" thickBot="1" x14ac:dyDescent="0.25">
      <c r="B18" s="41"/>
      <c r="C18" s="168" t="s">
        <v>102</v>
      </c>
      <c r="D18" s="168"/>
      <c r="E18" s="118">
        <v>0</v>
      </c>
      <c r="F18" s="38">
        <f>+F16*E18</f>
        <v>0</v>
      </c>
      <c r="G18" s="111">
        <f t="shared" si="0"/>
        <v>0</v>
      </c>
      <c r="H18" s="116"/>
    </row>
    <row r="19" spans="1:37" s="104" customFormat="1" ht="12.75" thickBot="1" x14ac:dyDescent="0.25">
      <c r="B19" s="46"/>
      <c r="C19" s="192"/>
      <c r="D19" s="192"/>
      <c r="E19" s="193"/>
      <c r="F19" s="49">
        <f>SUM(F15:F18)</f>
        <v>172.79177863748501</v>
      </c>
      <c r="G19" s="119">
        <f>+F19/$F$21</f>
        <v>0.8</v>
      </c>
      <c r="H19" s="116"/>
    </row>
    <row r="20" spans="1:37" s="104" customFormat="1" ht="12" x14ac:dyDescent="0.2">
      <c r="B20" s="46"/>
      <c r="C20" s="168" t="s">
        <v>65</v>
      </c>
      <c r="D20" s="168"/>
      <c r="E20" s="53">
        <v>0.25</v>
      </c>
      <c r="F20" s="38">
        <f>+F19*E20</f>
        <v>43.197944659371252</v>
      </c>
      <c r="G20" s="111">
        <f t="shared" si="0"/>
        <v>0.1951219512195122</v>
      </c>
      <c r="H20" s="116"/>
    </row>
    <row r="21" spans="1:37" s="104" customFormat="1" ht="12" x14ac:dyDescent="0.2">
      <c r="B21" s="46"/>
      <c r="C21" s="168" t="s">
        <v>63</v>
      </c>
      <c r="D21" s="168"/>
      <c r="E21" s="168"/>
      <c r="F21" s="38">
        <f>SUM(F19:F20)</f>
        <v>215.98972329685625</v>
      </c>
      <c r="G21" s="111">
        <f t="shared" si="0"/>
        <v>0.97560975609756106</v>
      </c>
      <c r="H21" s="116"/>
    </row>
    <row r="22" spans="1:37" s="104" customFormat="1" ht="12.75" thickBot="1" x14ac:dyDescent="0.25">
      <c r="B22" s="46"/>
      <c r="C22" s="168" t="s">
        <v>68</v>
      </c>
      <c r="D22" s="168"/>
      <c r="E22" s="53">
        <v>2.5000000000000001E-2</v>
      </c>
      <c r="F22" s="38">
        <f>+F21*E22</f>
        <v>5.3997430824214065</v>
      </c>
      <c r="G22" s="111">
        <f t="shared" si="0"/>
        <v>2.4390243902439025E-2</v>
      </c>
      <c r="H22" s="116"/>
    </row>
    <row r="23" spans="1:37" s="104" customFormat="1" ht="12.75" thickBot="1" x14ac:dyDescent="0.25">
      <c r="B23" s="46"/>
      <c r="C23" s="170" t="s">
        <v>70</v>
      </c>
      <c r="D23" s="170"/>
      <c r="E23" s="171"/>
      <c r="F23" s="49">
        <f>SUM(F21:F22)</f>
        <v>221.38946637927765</v>
      </c>
      <c r="G23" s="111">
        <f t="shared" si="0"/>
        <v>1</v>
      </c>
      <c r="H23" s="120"/>
      <c r="J23" s="104">
        <f>+F23*6</f>
        <v>1328.3367982756658</v>
      </c>
    </row>
    <row r="24" spans="1:37" s="104" customFormat="1" ht="12.75" thickBot="1" x14ac:dyDescent="0.25">
      <c r="B24" s="46"/>
      <c r="C24" s="121"/>
      <c r="D24" s="121"/>
      <c r="E24" s="121"/>
      <c r="F24" s="50"/>
      <c r="G24" s="122"/>
      <c r="H24" s="120"/>
    </row>
    <row r="25" spans="1:37" s="123" customFormat="1" ht="19.5" customHeight="1" thickBot="1" x14ac:dyDescent="0.25">
      <c r="A25" s="189"/>
      <c r="B25" s="190"/>
      <c r="C25" s="190"/>
      <c r="D25" s="190"/>
      <c r="E25" s="190"/>
      <c r="F25" s="190"/>
      <c r="G25" s="190"/>
      <c r="H25" s="190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</row>
    <row r="26" spans="1:37" s="104" customFormat="1" ht="19.5" customHeight="1" thickBot="1" x14ac:dyDescent="0.25">
      <c r="F26" s="124"/>
      <c r="G26" s="125"/>
      <c r="H26" s="116"/>
    </row>
    <row r="27" spans="1:37" s="104" customFormat="1" ht="13.5" customHeight="1" thickBot="1" x14ac:dyDescent="0.25">
      <c r="B27" s="46"/>
      <c r="C27" s="170" t="s">
        <v>70</v>
      </c>
      <c r="D27" s="170"/>
      <c r="E27" s="171"/>
      <c r="F27" s="49">
        <f>+F23</f>
        <v>221.38946637927765</v>
      </c>
      <c r="H27" s="116"/>
    </row>
    <row r="28" spans="1:37" s="104" customFormat="1" ht="13.5" customHeight="1" x14ac:dyDescent="0.2">
      <c r="B28" s="46"/>
      <c r="C28" s="185" t="s">
        <v>103</v>
      </c>
      <c r="D28" s="185" t="s">
        <v>104</v>
      </c>
      <c r="E28" s="53">
        <v>0.1</v>
      </c>
      <c r="F28" s="126">
        <f>+F27*E28</f>
        <v>22.138946637927766</v>
      </c>
      <c r="G28" s="127" t="s">
        <v>105</v>
      </c>
      <c r="H28" s="116" t="s">
        <v>106</v>
      </c>
    </row>
    <row r="29" spans="1:37" s="104" customFormat="1" ht="13.5" customHeight="1" x14ac:dyDescent="0.2">
      <c r="B29" s="46"/>
      <c r="C29" s="186" t="s">
        <v>107</v>
      </c>
      <c r="D29" s="186"/>
      <c r="E29" s="186"/>
      <c r="F29" s="126">
        <f>SUM(F27:F28)</f>
        <v>243.52841301720542</v>
      </c>
      <c r="G29" s="127">
        <f>+F29/$F$31</f>
        <v>0.8</v>
      </c>
      <c r="H29" s="128">
        <f>1-(F29/F31)</f>
        <v>0.19999999999999996</v>
      </c>
    </row>
    <row r="30" spans="1:37" s="104" customFormat="1" ht="12" x14ac:dyDescent="0.2">
      <c r="B30" s="106"/>
      <c r="C30" s="185" t="s">
        <v>108</v>
      </c>
      <c r="D30" s="185"/>
      <c r="E30" s="53">
        <v>0.25</v>
      </c>
      <c r="F30" s="38">
        <f>+F29*E30</f>
        <v>60.882103254301356</v>
      </c>
      <c r="G30" s="122"/>
      <c r="H30" s="129"/>
    </row>
    <row r="31" spans="1:37" s="104" customFormat="1" ht="12.75" thickBot="1" x14ac:dyDescent="0.25">
      <c r="B31" s="106"/>
      <c r="C31" s="187" t="s">
        <v>109</v>
      </c>
      <c r="D31" s="187"/>
      <c r="E31" s="139"/>
      <c r="F31" s="140">
        <f>SUM(F29:F30)</f>
        <v>304.41051627150676</v>
      </c>
      <c r="G31" s="141"/>
      <c r="H31" s="142"/>
      <c r="I31" s="143"/>
      <c r="J31" s="144">
        <f>+F31*6</f>
        <v>1826.4630976290405</v>
      </c>
    </row>
    <row r="32" spans="1:37" s="104" customFormat="1" ht="12.75" thickBot="1" x14ac:dyDescent="0.25">
      <c r="B32" s="106"/>
      <c r="C32" s="188" t="s">
        <v>110</v>
      </c>
      <c r="D32" s="188"/>
      <c r="E32" s="130">
        <v>0.13</v>
      </c>
      <c r="F32" s="131">
        <f>+F31*(1+E32)</f>
        <v>343.98388338680263</v>
      </c>
      <c r="G32" s="122"/>
      <c r="H32" s="120"/>
    </row>
    <row r="33" spans="1:37" s="104" customFormat="1" ht="12.75" thickBot="1" x14ac:dyDescent="0.25">
      <c r="A33" s="189"/>
      <c r="B33" s="190"/>
      <c r="C33" s="190"/>
      <c r="D33" s="190"/>
      <c r="E33" s="190"/>
      <c r="F33" s="190"/>
      <c r="G33" s="190"/>
      <c r="H33" s="190"/>
    </row>
    <row r="34" spans="1:37" s="104" customFormat="1" ht="12" x14ac:dyDescent="0.2">
      <c r="B34" s="106"/>
      <c r="C34" s="191" t="s">
        <v>111</v>
      </c>
      <c r="D34" s="191"/>
      <c r="E34" s="132">
        <v>0.65</v>
      </c>
      <c r="F34" s="133">
        <f>+F31/0.65</f>
        <v>468.32387118693345</v>
      </c>
      <c r="G34" s="122"/>
      <c r="H34" s="120"/>
    </row>
    <row r="35" spans="1:37" s="104" customFormat="1" ht="12" x14ac:dyDescent="0.2">
      <c r="B35" s="106"/>
      <c r="C35" s="185" t="s">
        <v>112</v>
      </c>
      <c r="D35" s="185"/>
      <c r="E35" s="132">
        <v>0.13</v>
      </c>
      <c r="F35" s="133">
        <f>+F34*1.13</f>
        <v>529.20597444123473</v>
      </c>
      <c r="G35" s="122"/>
      <c r="H35" s="120"/>
    </row>
    <row r="36" spans="1:37" s="104" customFormat="1" ht="12.75" thickBot="1" x14ac:dyDescent="0.25">
      <c r="C36" s="172"/>
      <c r="D36" s="172"/>
      <c r="F36" s="134"/>
      <c r="G36" s="125"/>
      <c r="H36" s="116"/>
    </row>
    <row r="37" spans="1:37" s="123" customFormat="1" ht="19.5" customHeight="1" thickBot="1" x14ac:dyDescent="0.3">
      <c r="A37" s="183" t="s">
        <v>113</v>
      </c>
      <c r="B37" s="184"/>
      <c r="C37" s="184"/>
      <c r="D37" s="184"/>
      <c r="E37" s="184"/>
      <c r="F37" s="184"/>
      <c r="G37" s="184"/>
      <c r="H37" s="184"/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</row>
    <row r="38" spans="1:37" s="104" customFormat="1" ht="12" x14ac:dyDescent="0.2">
      <c r="F38" s="135"/>
      <c r="G38" s="125"/>
      <c r="H38" s="116"/>
    </row>
    <row r="43" spans="1:37" ht="12" x14ac:dyDescent="0.2">
      <c r="H43" s="108"/>
    </row>
  </sheetData>
  <mergeCells count="28">
    <mergeCell ref="B1:H1"/>
    <mergeCell ref="B2:H2"/>
    <mergeCell ref="B3:H3"/>
    <mergeCell ref="F4:G4"/>
    <mergeCell ref="C11:D11"/>
    <mergeCell ref="C12:D12"/>
    <mergeCell ref="C13:E13"/>
    <mergeCell ref="B15:D15"/>
    <mergeCell ref="C16:D16"/>
    <mergeCell ref="C17:D17"/>
    <mergeCell ref="C18:D18"/>
    <mergeCell ref="C19:E19"/>
    <mergeCell ref="C20:D20"/>
    <mergeCell ref="C21:E21"/>
    <mergeCell ref="C22:D22"/>
    <mergeCell ref="C23:E23"/>
    <mergeCell ref="A25:H25"/>
    <mergeCell ref="C27:E27"/>
    <mergeCell ref="C34:D34"/>
    <mergeCell ref="C35:D35"/>
    <mergeCell ref="C36:D36"/>
    <mergeCell ref="A37:H37"/>
    <mergeCell ref="C28:D28"/>
    <mergeCell ref="C29:E29"/>
    <mergeCell ref="C30:D30"/>
    <mergeCell ref="C31:D31"/>
    <mergeCell ref="C32:D32"/>
    <mergeCell ref="A33:H3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14E5B8-A7D3-4FBA-9EB0-631A11C523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64C6AC-9FEF-4096-859B-50496876DB0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2A5474C3-5014-4700-9D80-1DA68B5D21C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5AF2BDD-F6D2-46DB-920E-94B3FCC7317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Hoja2</vt:lpstr>
      <vt:lpstr>Hoja1</vt:lpstr>
      <vt:lpstr>Precio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Miguel Coto Consultor</cp:lastModifiedBy>
  <cp:lastPrinted>2025-04-07T22:01:24Z</cp:lastPrinted>
  <dcterms:created xsi:type="dcterms:W3CDTF">2003-03-11T22:35:36Z</dcterms:created>
  <dcterms:modified xsi:type="dcterms:W3CDTF">2025-04-07T22:01:28Z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381400.000000000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
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A87C18EF-93AF-41F4-8D23-66E6E2A457EB}" xr6:coauthVersionLast="47" xr6:coauthVersionMax="47" xr10:uidLastSave="{77960078-3204-4ED2-821A-CCA3170C721B}"/>
  <bookViews>
    <workbookView xWindow="-120" yWindow="-120" windowWidth="20730" windowHeight="11040" xr2:uid="{32EEA0ED-E36A-40F4-B52F-CA230AD2A83D}"/>
  </bookViews>
  <sheets>
    <sheet name="Ensambl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2" i="1"/>
  <c r="D38" i="1" s="1"/>
</calcChain>
</file>

<file path=xl/sharedStrings.xml><?xml version="1.0" encoding="utf-8"?>
<sst xmlns="http://schemas.openxmlformats.org/spreadsheetml/2006/main" count="144" uniqueCount="114">
  <si>
    <t xml:space="preserve">7, Realizar un colocho en todo el alredecor con la boquilla 6CS en forma de roseta. </t>
  </si>
  <si>
    <t xml:space="preserve">6, En la superficie colocar el ganache blanco y encima colocar la leche en polvo. </t>
  </si>
  <si>
    <t>5, Realizar marmoleo con el sirope rojo y pasar peine.</t>
  </si>
  <si>
    <t>4, Tapar con la ultima mitad de rosquete humedecido y encremar con crema beige.</t>
  </si>
  <si>
    <t>1, Cortar los rosquete y humedecer con la mezcla de tres leches y kolita.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</si>
  <si>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</si>
  <si>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</si>
  <si>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</si>
  <si>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</si>
  <si>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</si>
  <si>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</si>
  <si>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</si>
  <si>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</si>
  <si>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</si>
  <si>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</si>
  <si>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</si>
  <si>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</si>
  <si>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</si>
  <si>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</si>
  <si>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</si>
  <si>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especial Mamá 2026</t>
  </si>
  <si>
    <t>cm</t>
  </si>
  <si>
    <t>Mayca</t>
  </si>
  <si>
    <t>Cinta Adhesiva transp. 1/ 2*100 mts</t>
  </si>
  <si>
    <t>EM10248</t>
  </si>
  <si>
    <t>703020</t>
  </si>
  <si>
    <t>Etiplast</t>
  </si>
  <si>
    <t>ETIQUETA BLANCA 2 5/8X1 15/16 PRE BLANCA</t>
  </si>
  <si>
    <t>EM10011</t>
  </si>
  <si>
    <t>0702123</t>
  </si>
  <si>
    <t>Cemusa</t>
  </si>
  <si>
    <t>ETIQ.BLANCA 1 1/4 * 3/4</t>
  </si>
  <si>
    <t>EM10002</t>
  </si>
  <si>
    <t>0702069</t>
  </si>
  <si>
    <t xml:space="preserve">ETIQ.FECHA VENCIMIENTO </t>
  </si>
  <si>
    <t>EM10004</t>
  </si>
  <si>
    <t>0702007</t>
  </si>
  <si>
    <t xml:space="preserve">Orla # 10 Bucca </t>
  </si>
  <si>
    <t>EM10084</t>
  </si>
  <si>
    <t>1952875</t>
  </si>
  <si>
    <t>Export pmt</t>
  </si>
  <si>
    <t xml:space="preserve">Quequera Red  Base/Domo 10 </t>
  </si>
  <si>
    <t>EM10009</t>
  </si>
  <si>
    <t>121603</t>
  </si>
  <si>
    <t>EMPAQUE</t>
  </si>
  <si>
    <t>1/4 taza</t>
  </si>
  <si>
    <t>1/8 taza</t>
  </si>
  <si>
    <t xml:space="preserve">g </t>
  </si>
  <si>
    <t>FAS</t>
  </si>
  <si>
    <t>Ganache Chocolate Blanco</t>
  </si>
  <si>
    <t>SE00051</t>
  </si>
  <si>
    <t>Sirope Rojo Bucca</t>
  </si>
  <si>
    <t>SE00633</t>
  </si>
  <si>
    <t xml:space="preserve"> COLOCHO BOQUILLA 6CS</t>
  </si>
  <si>
    <t xml:space="preserve">Crema Chantilly Roja Claro </t>
  </si>
  <si>
    <t>SE00832</t>
  </si>
  <si>
    <t>CREMA BEIDGE (KILO)</t>
  </si>
  <si>
    <t>SE00069</t>
  </si>
  <si>
    <t xml:space="preserve">DECORACIÓN </t>
  </si>
  <si>
    <t>EMPAQUE RELLENO DE FRESA NATURAL</t>
  </si>
  <si>
    <t>SE00504</t>
  </si>
  <si>
    <t xml:space="preserve">Relleno Crema-Pinito </t>
  </si>
  <si>
    <t>SE00831</t>
  </si>
  <si>
    <t xml:space="preserve">Relleno Cajeta </t>
  </si>
  <si>
    <t>SE00830</t>
  </si>
  <si>
    <t xml:space="preserve">50g x capa </t>
  </si>
  <si>
    <t>MEZCLA TRES LECHES Y KOLITA (LITRO)</t>
  </si>
  <si>
    <t>SE00250</t>
  </si>
  <si>
    <t>907000026</t>
  </si>
  <si>
    <t xml:space="preserve">1,5 de rosquete </t>
  </si>
  <si>
    <t>ROSQUETE EASY VAINILLA BC 310 G</t>
  </si>
  <si>
    <t>SE00454</t>
  </si>
  <si>
    <t>907000287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</si>
  <si>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</si>
  <si>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</si>
  <si>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</si>
  <si>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</si>
  <si>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</si>
  <si>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</si>
  <si>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</si>
  <si>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</si>
  <si>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</si>
  <si>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</si>
  <si>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</si>
  <si>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</si>
  <si>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</si>
  <si>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</si>
  <si>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</si>
  <si>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</si>
  <si>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</si>
  <si>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</si>
  <si>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PTI00298 Torta Fresa-Pinito </t>
  </si>
  <si>
    <t>REVISIÓN:</t>
  </si>
  <si>
    <t>ESPECIFICACION DE RECETA</t>
  </si>
  <si>
    <t>CÓDIGO:</t>
  </si>
  <si>
    <t>SERVICIOS DE PASTELERIA S.A.</t>
  </si>
  <si>
    <t>ESP-RE-DEF-053</t>
  </si>
  <si>
    <t xml:space="preserve">85g x capa </t>
  </si>
  <si>
    <t xml:space="preserve">1/3 Taza </t>
  </si>
  <si>
    <t>40g x capa</t>
  </si>
  <si>
    <t>1/2 taza</t>
  </si>
  <si>
    <t>75g x capa</t>
  </si>
  <si>
    <t>1/4 Taza</t>
  </si>
  <si>
    <t>2, Colocar la primera mitad de rosquere humedecido, agrega el relleno de cajeta, el relleno de fresa y la crema-pinito.</t>
  </si>
  <si>
    <t xml:space="preserve">3, Colocar otra mitad de rosquere humedecido, agregar el relleno de cajeta, el relleno de fresa y la crema-pinito. </t>
  </si>
  <si>
    <t>LECHE POLVO PINITO</t>
  </si>
  <si>
    <t>PINITO</t>
  </si>
  <si>
    <t>NUEVO</t>
  </si>
  <si>
    <t>2, Actualizacion, se bajan cantidad de rellenos y se cambia a leche en polvo Pinito.</t>
  </si>
  <si>
    <t>CONTROL DE CAMBIOS</t>
  </si>
  <si>
    <t>MP10940</t>
  </si>
  <si>
    <t>Revision #3: Codigo de la leche pinito y boquilla</t>
  </si>
  <si>
    <t>EM10523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</si>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</sst>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</cellStyleXfs>
  <cellXfs count="168">
    <xf numFmtId="0" fontId="0" fillId="0" borderId="0" xfId="0"/>
    <xf numFmtId="2" fontId="0" fillId="0" borderId="0" xfId="0" applyNumberFormat="1"/>
    <xf numFmtId="1" fontId="0" fillId="0" borderId="0" xfId="0" applyNumberFormat="1"/>
    <xf numFmtId="9" fontId="0" fillId="0" borderId="0" xfId="0" applyNumberFormat="1"/>
    <xf numFmtId="9" fontId="0" fillId="0" borderId="0" xfId="1" applyFont="1"/>
    <xf numFmtId="0" fontId="5" fillId="3" borderId="38" xfId="3" applyFont="1" applyFill="1" applyBorder="1" applyAlignment="1">
      <alignment horizontal="center"/>
    </xf>
    <xf numFmtId="1" fontId="5" fillId="3" borderId="17" xfId="3" applyNumberFormat="1" applyFont="1" applyFill="1" applyBorder="1" applyAlignment="1">
      <alignment horizontal="center" wrapText="1"/>
    </xf>
    <xf numFmtId="1" fontId="5" fillId="3" borderId="17" xfId="3" applyNumberFormat="1" applyFont="1" applyFill="1" applyBorder="1" applyAlignment="1">
      <alignment horizontal="center"/>
    </xf>
    <xf numFmtId="0" fontId="5" fillId="3" borderId="34" xfId="3" applyFont="1" applyFill="1" applyBorder="1" applyAlignment="1">
      <alignment horizontal="center" vertical="center" wrapText="1"/>
    </xf>
    <xf numFmtId="14" fontId="6" fillId="2" borderId="0" xfId="2" applyNumberFormat="1" applyFont="1" applyFill="1" applyAlignment="1">
      <alignment horizontal="center" vertical="center" wrapText="1"/>
    </xf>
    <xf numFmtId="0" fontId="4" fillId="2" borderId="22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49" fontId="4" fillId="2" borderId="30" xfId="2" applyNumberFormat="1" applyFont="1" applyFill="1" applyBorder="1" applyAlignment="1">
      <alignment horizontal="center"/>
    </xf>
    <xf numFmtId="0" fontId="5" fillId="2" borderId="22" xfId="2" applyFont="1" applyFill="1" applyBorder="1" applyAlignment="1">
      <alignment horizontal="right"/>
    </xf>
    <xf numFmtId="0" fontId="4" fillId="2" borderId="34" xfId="2" applyFont="1" applyFill="1" applyBorder="1" applyAlignment="1">
      <alignment horizontal="center"/>
    </xf>
    <xf numFmtId="0" fontId="5" fillId="2" borderId="35" xfId="2" applyFont="1" applyFill="1" applyBorder="1" applyAlignment="1">
      <alignment horizontal="right"/>
    </xf>
    <xf numFmtId="0" fontId="9" fillId="0" borderId="37" xfId="3" applyFont="1" applyBorder="1" applyAlignment="1">
      <alignment horizontal="center" vertical="center"/>
    </xf>
    <xf numFmtId="0" fontId="9" fillId="0" borderId="36" xfId="3" applyFont="1" applyBorder="1" applyAlignment="1">
      <alignment horizontal="center" vertical="center"/>
    </xf>
    <xf numFmtId="0" fontId="10" fillId="0" borderId="35" xfId="3" applyFont="1" applyBorder="1" applyAlignment="1">
      <alignment vertical="center"/>
    </xf>
    <xf numFmtId="0" fontId="9" fillId="0" borderId="35" xfId="3" applyFont="1" applyBorder="1" applyAlignment="1">
      <alignment horizontal="center" vertical="center"/>
    </xf>
    <xf numFmtId="1" fontId="9" fillId="0" borderId="35" xfId="3" applyNumberFormat="1" applyFont="1" applyBorder="1" applyAlignment="1">
      <alignment horizontal="center"/>
    </xf>
    <xf numFmtId="1" fontId="9" fillId="0" borderId="35" xfId="3" applyNumberFormat="1" applyFont="1" applyBorder="1" applyAlignment="1">
      <alignment horizontal="center" wrapText="1"/>
    </xf>
    <xf numFmtId="0" fontId="11" fillId="0" borderId="34" xfId="3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2" xfId="0" applyFont="1" applyBorder="1"/>
    <xf numFmtId="16" fontId="11" fillId="0" borderId="22" xfId="0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 wrapText="1"/>
    </xf>
    <xf numFmtId="0" fontId="11" fillId="0" borderId="22" xfId="0" applyFont="1" applyBorder="1" applyAlignment="1">
      <alignment horizontal="center"/>
    </xf>
    <xf numFmtId="0" fontId="11" fillId="0" borderId="30" xfId="3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2" xfId="0" applyFont="1" applyBorder="1" applyAlignment="1">
      <alignment horizontal="center" vertical="center"/>
    </xf>
    <xf numFmtId="0" fontId="13" fillId="5" borderId="22" xfId="0" applyFont="1" applyFill="1" applyBorder="1"/>
    <xf numFmtId="1" fontId="11" fillId="0" borderId="22" xfId="0" applyNumberFormat="1" applyFont="1" applyBorder="1" applyAlignment="1">
      <alignment horizontal="center" vertical="center"/>
    </xf>
    <xf numFmtId="0" fontId="11" fillId="4" borderId="21" xfId="2" applyFont="1" applyFill="1" applyBorder="1" applyAlignment="1">
      <alignment horizontal="center" vertical="center" wrapText="1"/>
    </xf>
    <xf numFmtId="49" fontId="11" fillId="0" borderId="31" xfId="0" applyNumberFormat="1" applyFont="1" applyBorder="1" applyAlignment="1">
      <alignment horizontal="center"/>
    </xf>
    <xf numFmtId="49" fontId="11" fillId="0" borderId="22" xfId="0" applyNumberFormat="1" applyFont="1" applyBorder="1" applyAlignment="1">
      <alignment horizontal="center"/>
    </xf>
    <xf numFmtId="49" fontId="11" fillId="0" borderId="22" xfId="0" applyNumberFormat="1" applyFont="1" applyBorder="1"/>
    <xf numFmtId="0" fontId="11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9" fontId="11" fillId="0" borderId="30" xfId="3" applyNumberFormat="1" applyFont="1" applyBorder="1" applyAlignment="1">
      <alignment horizontal="center"/>
    </xf>
    <xf numFmtId="0" fontId="13" fillId="5" borderId="33" xfId="0" applyFont="1" applyFill="1" applyBorder="1" applyAlignment="1">
      <alignment horizontal="center"/>
    </xf>
    <xf numFmtId="0" fontId="13" fillId="5" borderId="0" xfId="0" applyFont="1" applyFill="1"/>
    <xf numFmtId="0" fontId="12" fillId="0" borderId="31" xfId="0" applyFont="1" applyBorder="1"/>
    <xf numFmtId="49" fontId="11" fillId="4" borderId="22" xfId="0" applyNumberFormat="1" applyFont="1" applyFill="1" applyBorder="1"/>
    <xf numFmtId="1" fontId="11" fillId="4" borderId="22" xfId="0" applyNumberFormat="1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/>
    </xf>
    <xf numFmtId="0" fontId="12" fillId="0" borderId="21" xfId="0" applyFont="1" applyBorder="1"/>
    <xf numFmtId="49" fontId="11" fillId="4" borderId="31" xfId="0" applyNumberFormat="1" applyFont="1" applyFill="1" applyBorder="1" applyAlignment="1">
      <alignment horizontal="center"/>
    </xf>
    <xf numFmtId="49" fontId="11" fillId="4" borderId="22" xfId="0" applyNumberFormat="1" applyFont="1" applyFill="1" applyBorder="1" applyAlignment="1">
      <alignment horizontal="center"/>
    </xf>
    <xf numFmtId="49" fontId="9" fillId="4" borderId="22" xfId="0" applyNumberFormat="1" applyFont="1" applyFill="1" applyBorder="1"/>
    <xf numFmtId="16" fontId="11" fillId="4" borderId="22" xfId="0" applyNumberFormat="1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2" fillId="4" borderId="22" xfId="0" applyFont="1" applyFill="1" applyBorder="1" applyAlignment="1">
      <alignment horizontal="center"/>
    </xf>
    <xf numFmtId="0" fontId="12" fillId="4" borderId="22" xfId="0" applyFont="1" applyFill="1" applyBorder="1"/>
    <xf numFmtId="1" fontId="11" fillId="4" borderId="22" xfId="0" applyNumberFormat="1" applyFont="1" applyFill="1" applyBorder="1" applyAlignment="1">
      <alignment horizontal="center"/>
    </xf>
    <xf numFmtId="1" fontId="11" fillId="4" borderId="22" xfId="0" applyNumberFormat="1" applyFont="1" applyFill="1" applyBorder="1" applyAlignment="1">
      <alignment horizontal="center" wrapText="1"/>
    </xf>
    <xf numFmtId="0" fontId="11" fillId="0" borderId="3" xfId="3" applyFont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2" fillId="0" borderId="32" xfId="0" applyFont="1" applyBorder="1"/>
    <xf numFmtId="49" fontId="9" fillId="0" borderId="22" xfId="0" applyNumberFormat="1" applyFont="1" applyBorder="1" applyAlignment="1">
      <alignment horizontal="left"/>
    </xf>
    <xf numFmtId="0" fontId="12" fillId="0" borderId="0" xfId="0" applyFont="1"/>
    <xf numFmtId="49" fontId="11" fillId="0" borderId="22" xfId="3" applyNumberFormat="1" applyFont="1" applyBorder="1"/>
    <xf numFmtId="49" fontId="9" fillId="0" borderId="31" xfId="3" applyNumberFormat="1" applyFont="1" applyBorder="1" applyAlignment="1">
      <alignment horizontal="center"/>
    </xf>
    <xf numFmtId="49" fontId="11" fillId="0" borderId="22" xfId="3" applyNumberFormat="1" applyFont="1" applyBorder="1" applyAlignment="1">
      <alignment horizontal="center"/>
    </xf>
    <xf numFmtId="0" fontId="14" fillId="4" borderId="22" xfId="3" applyFont="1" applyFill="1" applyBorder="1" applyAlignment="1">
      <alignment vertical="center"/>
    </xf>
    <xf numFmtId="0" fontId="9" fillId="0" borderId="22" xfId="3" applyFont="1" applyBorder="1" applyAlignment="1">
      <alignment horizontal="center"/>
    </xf>
    <xf numFmtId="1" fontId="11" fillId="0" borderId="22" xfId="3" applyNumberFormat="1" applyFont="1" applyBorder="1" applyAlignment="1">
      <alignment horizontal="center"/>
    </xf>
    <xf numFmtId="1" fontId="11" fillId="0" borderId="22" xfId="3" applyNumberFormat="1" applyFont="1" applyBorder="1" applyAlignment="1">
      <alignment horizontal="center" wrapText="1"/>
    </xf>
    <xf numFmtId="1" fontId="9" fillId="0" borderId="22" xfId="3" applyNumberFormat="1" applyFont="1" applyBorder="1" applyAlignment="1">
      <alignment horizontal="center"/>
    </xf>
    <xf numFmtId="0" fontId="11" fillId="0" borderId="22" xfId="3" applyFont="1" applyBorder="1" applyAlignment="1">
      <alignment horizontal="center"/>
    </xf>
    <xf numFmtId="49" fontId="11" fillId="0" borderId="31" xfId="3" applyNumberFormat="1" applyFont="1" applyBorder="1" applyAlignment="1">
      <alignment horizontal="center"/>
    </xf>
    <xf numFmtId="49" fontId="11" fillId="0" borderId="21" xfId="3" applyNumberFormat="1" applyFont="1" applyBorder="1" applyAlignment="1">
      <alignment horizontal="center"/>
    </xf>
    <xf numFmtId="49" fontId="14" fillId="2" borderId="29" xfId="3" applyNumberFormat="1" applyFont="1" applyFill="1" applyBorder="1" applyAlignment="1">
      <alignment horizontal="center" vertical="center"/>
    </xf>
    <xf numFmtId="49" fontId="14" fillId="2" borderId="28" xfId="3" applyNumberFormat="1" applyFont="1" applyFill="1" applyBorder="1" applyAlignment="1">
      <alignment horizontal="center" vertical="center"/>
    </xf>
    <xf numFmtId="0" fontId="11" fillId="2" borderId="28" xfId="3" applyFont="1" applyFill="1" applyBorder="1"/>
    <xf numFmtId="1" fontId="11" fillId="2" borderId="28" xfId="3" applyNumberFormat="1" applyFont="1" applyFill="1" applyBorder="1" applyAlignment="1">
      <alignment horizontal="center"/>
    </xf>
    <xf numFmtId="164" fontId="11" fillId="2" borderId="28" xfId="3" applyNumberFormat="1" applyFont="1" applyFill="1" applyBorder="1" applyAlignment="1">
      <alignment horizontal="center" wrapText="1"/>
    </xf>
    <xf numFmtId="0" fontId="11" fillId="2" borderId="27" xfId="3" applyFont="1" applyFill="1" applyBorder="1" applyAlignment="1">
      <alignment horizontal="center"/>
    </xf>
    <xf numFmtId="0" fontId="11" fillId="3" borderId="15" xfId="3" applyFont="1" applyFill="1" applyBorder="1" applyAlignment="1">
      <alignment horizontal="center"/>
    </xf>
    <xf numFmtId="0" fontId="11" fillId="3" borderId="14" xfId="3" applyFont="1" applyFill="1" applyBorder="1" applyAlignment="1">
      <alignment horizontal="center"/>
    </xf>
    <xf numFmtId="0" fontId="11" fillId="3" borderId="14" xfId="3" applyFont="1" applyFill="1" applyBorder="1"/>
    <xf numFmtId="0" fontId="9" fillId="3" borderId="14" xfId="3" applyFont="1" applyFill="1" applyBorder="1" applyAlignment="1">
      <alignment horizontal="center"/>
    </xf>
    <xf numFmtId="1" fontId="9" fillId="3" borderId="14" xfId="3" applyNumberFormat="1" applyFont="1" applyFill="1" applyBorder="1" applyAlignment="1">
      <alignment horizontal="center"/>
    </xf>
    <xf numFmtId="164" fontId="11" fillId="3" borderId="14" xfId="3" applyNumberFormat="1" applyFont="1" applyFill="1" applyBorder="1" applyAlignment="1">
      <alignment horizontal="center" wrapText="1"/>
    </xf>
    <xf numFmtId="0" fontId="11" fillId="3" borderId="13" xfId="3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9" fillId="0" borderId="26" xfId="3" applyFont="1" applyBorder="1" applyAlignment="1">
      <alignment horizontal="right"/>
    </xf>
    <xf numFmtId="0" fontId="9" fillId="0" borderId="25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164" fontId="11" fillId="0" borderId="7" xfId="3" applyNumberFormat="1" applyFont="1" applyBorder="1" applyAlignment="1">
      <alignment horizontal="right"/>
    </xf>
    <xf numFmtId="0" fontId="12" fillId="0" borderId="22" xfId="0" applyFont="1" applyBorder="1" applyAlignment="1">
      <alignment horizontal="left"/>
    </xf>
    <xf numFmtId="0" fontId="11" fillId="2" borderId="24" xfId="3" applyFont="1" applyFill="1" applyBorder="1" applyAlignment="1">
      <alignment horizontal="center"/>
    </xf>
    <xf numFmtId="0" fontId="11" fillId="2" borderId="23" xfId="3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48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9" fillId="3" borderId="15" xfId="3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0" fontId="9" fillId="3" borderId="13" xfId="3" applyFont="1" applyFill="1" applyBorder="1" applyAlignment="1">
      <alignment horizontal="center"/>
    </xf>
    <xf numFmtId="0" fontId="9" fillId="0" borderId="5" xfId="3" applyFont="1" applyBorder="1" applyAlignment="1">
      <alignment horizontal="right"/>
    </xf>
    <xf numFmtId="0" fontId="9" fillId="0" borderId="4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164" fontId="11" fillId="0" borderId="20" xfId="3" applyNumberFormat="1" applyFont="1" applyBorder="1" applyAlignment="1">
      <alignment horizontal="right" wrapText="1"/>
    </xf>
    <xf numFmtId="164" fontId="11" fillId="0" borderId="21" xfId="3" applyNumberFormat="1" applyFont="1" applyBorder="1" applyAlignment="1">
      <alignment horizontal="right" wrapText="1"/>
    </xf>
    <xf numFmtId="164" fontId="11" fillId="0" borderId="20" xfId="3" applyNumberFormat="1" applyFont="1" applyBorder="1" applyAlignment="1">
      <alignment horizontal="center"/>
    </xf>
    <xf numFmtId="164" fontId="11" fillId="0" borderId="3" xfId="3" applyNumberFormat="1" applyFont="1" applyBorder="1" applyAlignment="1">
      <alignment horizontal="center"/>
    </xf>
    <xf numFmtId="0" fontId="9" fillId="0" borderId="19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17" xfId="3" applyFont="1" applyBorder="1" applyAlignment="1">
      <alignment horizontal="right"/>
    </xf>
    <xf numFmtId="14" fontId="4" fillId="2" borderId="43" xfId="2" applyNumberFormat="1" applyFont="1" applyFill="1" applyBorder="1" applyAlignment="1">
      <alignment horizontal="center" vertical="center" wrapText="1"/>
    </xf>
    <xf numFmtId="14" fontId="4" fillId="2" borderId="40" xfId="2" applyNumberFormat="1" applyFont="1" applyFill="1" applyBorder="1" applyAlignment="1">
      <alignment horizontal="center" vertical="center" wrapText="1"/>
    </xf>
    <xf numFmtId="14" fontId="4" fillId="2" borderId="6" xfId="2" applyNumberFormat="1" applyFont="1" applyFill="1" applyBorder="1" applyAlignment="1">
      <alignment horizontal="center" vertical="center" wrapText="1"/>
    </xf>
    <xf numFmtId="0" fontId="4" fillId="2" borderId="42" xfId="2" applyFont="1" applyFill="1" applyBorder="1" applyAlignment="1">
      <alignment horizontal="left"/>
    </xf>
    <xf numFmtId="0" fontId="4" fillId="2" borderId="11" xfId="2" applyFont="1" applyFill="1" applyBorder="1" applyAlignment="1">
      <alignment horizontal="left"/>
    </xf>
    <xf numFmtId="0" fontId="4" fillId="2" borderId="36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4" xfId="2" applyFont="1" applyFill="1" applyBorder="1" applyAlignment="1">
      <alignment horizontal="left"/>
    </xf>
    <xf numFmtId="0" fontId="4" fillId="2" borderId="21" xfId="2" applyFont="1" applyFill="1" applyBorder="1" applyAlignment="1">
      <alignment horizontal="left"/>
    </xf>
    <xf numFmtId="0" fontId="4" fillId="2" borderId="46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5" fillId="2" borderId="35" xfId="2" applyFont="1" applyFill="1" applyBorder="1" applyAlignment="1">
      <alignment horizontal="center"/>
    </xf>
    <xf numFmtId="0" fontId="5" fillId="2" borderId="45" xfId="2" applyFont="1" applyFill="1" applyBorder="1" applyAlignment="1">
      <alignment horizontal="center"/>
    </xf>
    <xf numFmtId="0" fontId="8" fillId="6" borderId="22" xfId="2" applyFont="1" applyFill="1" applyBorder="1" applyAlignment="1">
      <alignment horizontal="center" vertical="center" wrapText="1"/>
    </xf>
    <xf numFmtId="0" fontId="5" fillId="2" borderId="44" xfId="2" applyFont="1" applyFill="1" applyBorder="1" applyAlignment="1">
      <alignment horizontal="right" vertical="top" wrapText="1"/>
    </xf>
    <xf numFmtId="0" fontId="5" fillId="2" borderId="41" xfId="2" applyFont="1" applyFill="1" applyBorder="1" applyAlignment="1">
      <alignment horizontal="right" vertical="top" wrapText="1"/>
    </xf>
    <xf numFmtId="0" fontId="5" fillId="2" borderId="39" xfId="2" applyFont="1" applyFill="1" applyBorder="1" applyAlignment="1">
      <alignment horizontal="right" vertical="top" wrapText="1"/>
    </xf>
    <xf numFmtId="0" fontId="7" fillId="2" borderId="0" xfId="2" applyFont="1" applyFill="1" applyAlignment="1">
      <alignment horizontal="right"/>
    </xf>
    <xf numFmtId="0" fontId="6" fillId="2" borderId="28" xfId="2" applyFont="1" applyFill="1" applyBorder="1" applyAlignment="1">
      <alignment horizontal="center"/>
    </xf>
    <xf numFmtId="0" fontId="7" fillId="2" borderId="0" xfId="2" applyFont="1" applyFill="1"/>
    <xf numFmtId="0" fontId="5" fillId="3" borderId="35" xfId="3" applyFont="1" applyFill="1" applyBorder="1" applyAlignment="1">
      <alignment horizontal="center" vertical="center"/>
    </xf>
    <xf numFmtId="0" fontId="5" fillId="3" borderId="37" xfId="3" applyFont="1" applyFill="1" applyBorder="1" applyAlignment="1">
      <alignment horizontal="center" vertical="center"/>
    </xf>
    <xf numFmtId="0" fontId="5" fillId="3" borderId="19" xfId="3" applyFont="1" applyFill="1" applyBorder="1" applyAlignment="1">
      <alignment horizontal="center" vertical="center"/>
    </xf>
    <xf numFmtId="0" fontId="5" fillId="3" borderId="37" xfId="3" applyFont="1" applyFill="1" applyBorder="1" applyAlignment="1">
      <alignment horizontal="center" vertical="center" wrapText="1"/>
    </xf>
    <xf numFmtId="0" fontId="5" fillId="3" borderId="19" xfId="3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22" xfId="3" applyFont="1" applyBorder="1" applyAlignment="1">
      <alignment horizontal="right"/>
    </xf>
    <xf numFmtId="0" fontId="11" fillId="0" borderId="17" xfId="3" applyFont="1" applyBorder="1" applyAlignment="1">
      <alignment horizontal="right"/>
    </xf>
    <xf numFmtId="164" fontId="11" fillId="0" borderId="16" xfId="3" applyNumberFormat="1" applyFont="1" applyBorder="1" applyAlignment="1">
      <alignment horizontal="center"/>
    </xf>
    <xf numFmtId="164" fontId="11" fillId="0" borderId="2" xfId="3" applyNumberFormat="1" applyFont="1" applyBorder="1" applyAlignment="1">
      <alignment horizontal="center"/>
    </xf>
  </cellXfs>
  <cellStyles count="4">
    <cellStyle name="Normal" xfId="0" builtinId="0"/>
    <cellStyle name="Normal 2" xfId="3" xr:uid="{56B070E1-164C-400F-B6F0-75AB28A9B251}"/>
    <cellStyle name="Normal_CRITERIOS DE EVALUACION PT DE GB 2" xfId="2" xr:uid="{C4CD5FA8-3621-4608-B500-A1F0E2EF976B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100390</xdr:colOff>
      <xdr:row>0</xdr:row>
      <xdr:rowOff>192506</xdr:rowOff>
    </xdr:from>
    <xdr:ext cx="1935580" cy="879056"/>
    <xdr:pic>
      <xdr:nvPicPr>
        <xdr:cNvPr id="2" name="Imagen 2">
          <a:extLst>
            <a:ext uri="{FF2B5EF4-FFF2-40B4-BE49-F238E27FC236}">
              <a16:creationId xmlns:a16="http://schemas.microsoft.com/office/drawing/2014/main" id="{13C26980-C90F-451D-9132-8EECC77BD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0" y="192506"/>
          <a:ext cx="1935580" cy="8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D93A-7E88-4E97-9D3C-8F9EDEE4628B}">
  <sheetPr>
    <pageSetUpPr fitToPage="1"/>
  </sheetPr>
  <dimension ref="A1:L4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7109375" bestFit="1" customWidth="1"/>
    <col min="2" max="2" width="15.42578125" customWidth="1"/>
    <col min="3" max="3" width="67.28515625" customWidth="1"/>
    <col min="4" max="4" width="17.7109375" bestFit="1" customWidth="1"/>
    <col min="5" max="5" width="15.28515625" customWidth="1"/>
    <col min="7" max="7" width="21.5703125" customWidth="1"/>
    <col min="8" max="8" width="22.5703125" customWidth="1"/>
    <col min="9" max="9" width="20.7109375" customWidth="1"/>
    <col min="10" max="10" width="12" bestFit="1" customWidth="1"/>
  </cols>
  <sheetData>
    <row r="1" spans="1:12" ht="17.25" x14ac:dyDescent="0.3">
      <c r="A1" s="139"/>
      <c r="B1" s="140"/>
      <c r="C1" s="145" t="s">
        <v>95</v>
      </c>
      <c r="D1" s="145"/>
      <c r="E1" s="145"/>
      <c r="F1" s="145"/>
      <c r="G1" s="145"/>
      <c r="H1" s="15" t="s">
        <v>94</v>
      </c>
      <c r="I1" s="14" t="s">
        <v>96</v>
      </c>
    </row>
    <row r="2" spans="1:12" ht="17.25" x14ac:dyDescent="0.3">
      <c r="A2" s="141"/>
      <c r="B2" s="142"/>
      <c r="C2" s="146" t="s">
        <v>93</v>
      </c>
      <c r="D2" s="146"/>
      <c r="E2" s="146"/>
      <c r="F2" s="146"/>
      <c r="G2" s="146"/>
      <c r="H2" s="13" t="s">
        <v>92</v>
      </c>
      <c r="I2" s="12" t="s">
        <v>113</v>
      </c>
    </row>
    <row r="3" spans="1:12" ht="30.75" customHeight="1" thickBot="1" x14ac:dyDescent="0.3">
      <c r="A3" s="141"/>
      <c r="B3" s="142"/>
      <c r="C3" s="147" t="s">
        <v>91</v>
      </c>
      <c r="D3" s="147"/>
      <c r="E3" s="147"/>
      <c r="F3" s="147"/>
      <c r="G3" s="147"/>
      <c r="H3" s="148" t="s">
        <v>90</v>
      </c>
      <c r="I3" s="130">
        <v>46094</v>
      </c>
    </row>
    <row r="4" spans="1:12" ht="17.25" x14ac:dyDescent="0.3">
      <c r="A4" s="141"/>
      <c r="B4" s="142"/>
      <c r="C4" s="11" t="s">
        <v>89</v>
      </c>
      <c r="D4" s="133" t="s">
        <v>88</v>
      </c>
      <c r="E4" s="134"/>
      <c r="F4" s="134"/>
      <c r="G4" s="135"/>
      <c r="H4" s="149"/>
      <c r="I4" s="131"/>
    </row>
    <row r="5" spans="1:12" ht="18" thickBot="1" x14ac:dyDescent="0.35">
      <c r="A5" s="143"/>
      <c r="B5" s="144"/>
      <c r="C5" s="10" t="s">
        <v>87</v>
      </c>
      <c r="D5" s="136" t="s">
        <v>86</v>
      </c>
      <c r="E5" s="137"/>
      <c r="F5" s="137"/>
      <c r="G5" s="138"/>
      <c r="H5" s="150"/>
      <c r="I5" s="132"/>
    </row>
    <row r="6" spans="1:12" ht="16.5" thickBot="1" x14ac:dyDescent="0.3">
      <c r="A6" s="151" t="s">
        <v>85</v>
      </c>
      <c r="B6" s="151"/>
      <c r="C6" s="151"/>
      <c r="D6" s="152" t="s">
        <v>83</v>
      </c>
      <c r="E6" s="152"/>
      <c r="F6" s="152"/>
      <c r="G6" s="153" t="s">
        <v>84</v>
      </c>
      <c r="H6" s="153"/>
      <c r="I6" s="9" t="s">
        <v>83</v>
      </c>
    </row>
    <row r="7" spans="1:12" ht="30" x14ac:dyDescent="0.25">
      <c r="A7" s="155" t="s">
        <v>82</v>
      </c>
      <c r="B7" s="157" t="s">
        <v>81</v>
      </c>
      <c r="C7" s="154" t="s">
        <v>80</v>
      </c>
      <c r="D7" s="154" t="s">
        <v>79</v>
      </c>
      <c r="E7" s="154" t="s">
        <v>78</v>
      </c>
      <c r="F7" s="154"/>
      <c r="G7" s="154" t="s">
        <v>77</v>
      </c>
      <c r="H7" s="154"/>
      <c r="I7" s="8" t="s">
        <v>76</v>
      </c>
    </row>
    <row r="8" spans="1:12" ht="31.5" thickBot="1" x14ac:dyDescent="0.3">
      <c r="A8" s="156"/>
      <c r="B8" s="158"/>
      <c r="C8" s="159"/>
      <c r="D8" s="159"/>
      <c r="E8" s="7" t="s">
        <v>19</v>
      </c>
      <c r="F8" s="6" t="s">
        <v>75</v>
      </c>
      <c r="G8" s="7" t="s">
        <v>19</v>
      </c>
      <c r="H8" s="6" t="s">
        <v>75</v>
      </c>
      <c r="I8" s="5" t="s">
        <v>74</v>
      </c>
    </row>
    <row r="9" spans="1:12" ht="20.25" x14ac:dyDescent="0.3">
      <c r="A9" s="16"/>
      <c r="B9" s="17"/>
      <c r="C9" s="18" t="s">
        <v>73</v>
      </c>
      <c r="D9" s="19"/>
      <c r="E9" s="20"/>
      <c r="F9" s="21"/>
      <c r="G9" s="20"/>
      <c r="H9" s="21"/>
      <c r="I9" s="22"/>
    </row>
    <row r="10" spans="1:12" ht="20.25" x14ac:dyDescent="0.3">
      <c r="A10" s="23" t="s">
        <v>72</v>
      </c>
      <c r="B10" s="24" t="s">
        <v>71</v>
      </c>
      <c r="C10" s="25" t="s">
        <v>70</v>
      </c>
      <c r="D10" s="26" t="s">
        <v>48</v>
      </c>
      <c r="E10" s="27">
        <v>430</v>
      </c>
      <c r="F10" s="28" t="s">
        <v>6</v>
      </c>
      <c r="G10" s="24"/>
      <c r="H10" s="29" t="s">
        <v>69</v>
      </c>
      <c r="I10" s="30"/>
      <c r="J10" s="2"/>
      <c r="K10" s="2"/>
    </row>
    <row r="11" spans="1:12" ht="20.25" x14ac:dyDescent="0.3">
      <c r="A11" s="31" t="s">
        <v>68</v>
      </c>
      <c r="B11" s="32" t="s">
        <v>67</v>
      </c>
      <c r="C11" s="33" t="s">
        <v>66</v>
      </c>
      <c r="D11" s="29" t="s">
        <v>48</v>
      </c>
      <c r="E11" s="34">
        <v>150</v>
      </c>
      <c r="F11" s="24" t="s">
        <v>6</v>
      </c>
      <c r="G11" s="35" t="s">
        <v>65</v>
      </c>
      <c r="H11" s="29"/>
      <c r="I11" s="30"/>
      <c r="J11" s="2"/>
      <c r="K11" s="2"/>
    </row>
    <row r="12" spans="1:12" ht="20.25" x14ac:dyDescent="0.3">
      <c r="A12" s="36"/>
      <c r="B12" s="37" t="s">
        <v>64</v>
      </c>
      <c r="C12" s="38" t="s">
        <v>63</v>
      </c>
      <c r="D12" s="39" t="s">
        <v>48</v>
      </c>
      <c r="E12" s="34">
        <f>85*2</f>
        <v>170</v>
      </c>
      <c r="F12" s="24" t="s">
        <v>6</v>
      </c>
      <c r="G12" s="35" t="s">
        <v>97</v>
      </c>
      <c r="H12" s="29" t="s">
        <v>98</v>
      </c>
      <c r="I12" s="30"/>
      <c r="J12" s="2"/>
      <c r="K12" s="4"/>
      <c r="L12" s="3"/>
    </row>
    <row r="13" spans="1:12" ht="20.25" x14ac:dyDescent="0.3">
      <c r="A13" s="36"/>
      <c r="B13" s="24" t="s">
        <v>62</v>
      </c>
      <c r="C13" s="25" t="s">
        <v>61</v>
      </c>
      <c r="D13" s="39" t="s">
        <v>48</v>
      </c>
      <c r="E13" s="34">
        <v>80</v>
      </c>
      <c r="F13" s="24" t="s">
        <v>6</v>
      </c>
      <c r="G13" s="40" t="s">
        <v>99</v>
      </c>
      <c r="H13" s="29" t="s">
        <v>100</v>
      </c>
      <c r="I13" s="41"/>
      <c r="J13" s="2"/>
      <c r="K13" s="3"/>
    </row>
    <row r="14" spans="1:12" ht="20.25" x14ac:dyDescent="0.3">
      <c r="A14" s="42">
        <v>90100401</v>
      </c>
      <c r="B14" s="32" t="s">
        <v>60</v>
      </c>
      <c r="C14" s="43" t="s">
        <v>59</v>
      </c>
      <c r="D14" s="29" t="s">
        <v>48</v>
      </c>
      <c r="E14" s="34">
        <f>75*2</f>
        <v>150</v>
      </c>
      <c r="F14" s="24" t="s">
        <v>6</v>
      </c>
      <c r="G14" s="40" t="s">
        <v>101</v>
      </c>
      <c r="H14" s="26" t="s">
        <v>102</v>
      </c>
      <c r="I14" s="30"/>
      <c r="J14" s="2"/>
    </row>
    <row r="15" spans="1:12" ht="20.25" x14ac:dyDescent="0.3">
      <c r="A15" s="44"/>
      <c r="B15" s="25"/>
      <c r="C15" s="45"/>
      <c r="D15" s="46"/>
      <c r="E15" s="47"/>
      <c r="F15" s="28"/>
      <c r="G15" s="48"/>
      <c r="H15" s="27"/>
      <c r="I15" s="30"/>
    </row>
    <row r="16" spans="1:12" ht="20.25" x14ac:dyDescent="0.3">
      <c r="A16" s="49"/>
      <c r="B16" s="50"/>
      <c r="C16" s="51" t="s">
        <v>58</v>
      </c>
      <c r="D16" s="52"/>
      <c r="E16" s="47"/>
      <c r="F16" s="28"/>
      <c r="G16" s="25"/>
      <c r="H16" s="27"/>
      <c r="I16" s="30"/>
    </row>
    <row r="17" spans="1:11" ht="20.25" x14ac:dyDescent="0.3">
      <c r="A17" s="53">
        <v>910000018</v>
      </c>
      <c r="B17" s="54" t="s">
        <v>57</v>
      </c>
      <c r="C17" s="55" t="s">
        <v>56</v>
      </c>
      <c r="D17" s="47" t="s">
        <v>48</v>
      </c>
      <c r="E17" s="56">
        <v>150</v>
      </c>
      <c r="F17" s="57" t="s">
        <v>6</v>
      </c>
      <c r="G17" s="25"/>
      <c r="H17" s="27"/>
      <c r="I17" s="58"/>
    </row>
    <row r="18" spans="1:11" ht="20.25" x14ac:dyDescent="0.3">
      <c r="A18" s="53"/>
      <c r="B18" s="54" t="s">
        <v>55</v>
      </c>
      <c r="C18" s="55" t="s">
        <v>54</v>
      </c>
      <c r="D18" s="47" t="s">
        <v>48</v>
      </c>
      <c r="E18" s="56">
        <v>75</v>
      </c>
      <c r="F18" s="57" t="s">
        <v>6</v>
      </c>
      <c r="G18" s="25"/>
      <c r="H18" s="27" t="s">
        <v>53</v>
      </c>
      <c r="I18" s="58"/>
    </row>
    <row r="19" spans="1:11" ht="20.25" x14ac:dyDescent="0.3">
      <c r="A19" s="44"/>
      <c r="B19" s="24" t="s">
        <v>52</v>
      </c>
      <c r="C19" s="25" t="s">
        <v>51</v>
      </c>
      <c r="D19" s="52" t="s">
        <v>48</v>
      </c>
      <c r="E19" s="47">
        <v>4</v>
      </c>
      <c r="F19" s="28" t="s">
        <v>47</v>
      </c>
      <c r="G19" s="25"/>
      <c r="H19" s="27"/>
      <c r="I19" s="58"/>
    </row>
    <row r="20" spans="1:11" ht="20.25" x14ac:dyDescent="0.3">
      <c r="A20" s="44"/>
      <c r="B20" s="24" t="s">
        <v>50</v>
      </c>
      <c r="C20" s="25" t="s">
        <v>49</v>
      </c>
      <c r="D20" s="46" t="s">
        <v>48</v>
      </c>
      <c r="E20" s="47">
        <v>20</v>
      </c>
      <c r="F20" s="28" t="s">
        <v>47</v>
      </c>
      <c r="G20" s="25"/>
      <c r="H20" s="27" t="s">
        <v>46</v>
      </c>
      <c r="I20" s="58"/>
    </row>
    <row r="21" spans="1:11" ht="20.25" x14ac:dyDescent="0.3">
      <c r="A21" s="53"/>
      <c r="B21" s="54" t="s">
        <v>110</v>
      </c>
      <c r="C21" s="55" t="s">
        <v>105</v>
      </c>
      <c r="D21" s="59" t="s">
        <v>106</v>
      </c>
      <c r="E21" s="27">
        <v>30</v>
      </c>
      <c r="F21" s="24" t="s">
        <v>6</v>
      </c>
      <c r="G21" s="25"/>
      <c r="H21" s="24" t="s">
        <v>45</v>
      </c>
      <c r="I21" s="60"/>
    </row>
    <row r="22" spans="1:11" ht="20.25" x14ac:dyDescent="0.3">
      <c r="A22" s="36"/>
      <c r="B22" s="37"/>
      <c r="C22" s="38"/>
      <c r="D22" s="26"/>
      <c r="E22" s="27"/>
      <c r="F22" s="28"/>
      <c r="G22" s="27"/>
      <c r="H22" s="29"/>
      <c r="I22" s="30"/>
    </row>
    <row r="23" spans="1:11" ht="20.25" x14ac:dyDescent="0.3">
      <c r="A23" s="36"/>
      <c r="B23" s="37"/>
      <c r="C23" s="61" t="s">
        <v>44</v>
      </c>
      <c r="D23" s="26"/>
      <c r="E23" s="27"/>
      <c r="F23" s="29"/>
      <c r="G23" s="27"/>
      <c r="H23" s="29"/>
      <c r="I23" s="30"/>
    </row>
    <row r="24" spans="1:11" ht="20.25" x14ac:dyDescent="0.3">
      <c r="A24" s="23" t="s">
        <v>43</v>
      </c>
      <c r="B24" s="24" t="s">
        <v>42</v>
      </c>
      <c r="C24" s="25" t="s">
        <v>41</v>
      </c>
      <c r="D24" s="26" t="s">
        <v>40</v>
      </c>
      <c r="E24" s="27">
        <v>1</v>
      </c>
      <c r="F24" s="29" t="s">
        <v>11</v>
      </c>
      <c r="G24" s="25"/>
      <c r="H24" s="29"/>
      <c r="I24" s="30"/>
    </row>
    <row r="25" spans="1:11" ht="20.25" x14ac:dyDescent="0.3">
      <c r="A25" s="23" t="s">
        <v>39</v>
      </c>
      <c r="B25" s="24" t="s">
        <v>38</v>
      </c>
      <c r="C25" s="25" t="s">
        <v>37</v>
      </c>
      <c r="D25" s="26"/>
      <c r="E25" s="27">
        <v>1</v>
      </c>
      <c r="F25" s="29" t="s">
        <v>11</v>
      </c>
      <c r="G25" s="25"/>
      <c r="H25" s="29"/>
      <c r="I25" s="30"/>
    </row>
    <row r="26" spans="1:11" ht="20.25" x14ac:dyDescent="0.3">
      <c r="A26" s="23" t="s">
        <v>36</v>
      </c>
      <c r="B26" s="24" t="s">
        <v>35</v>
      </c>
      <c r="C26" s="38" t="s">
        <v>34</v>
      </c>
      <c r="D26" s="26" t="s">
        <v>26</v>
      </c>
      <c r="E26" s="27">
        <v>1</v>
      </c>
      <c r="F26" s="29" t="s">
        <v>11</v>
      </c>
      <c r="G26" s="25"/>
      <c r="H26" s="27"/>
      <c r="I26" s="30"/>
    </row>
    <row r="27" spans="1:11" ht="20.25" x14ac:dyDescent="0.3">
      <c r="A27" s="23" t="s">
        <v>33</v>
      </c>
      <c r="B27" s="24" t="s">
        <v>32</v>
      </c>
      <c r="C27" s="38" t="s">
        <v>31</v>
      </c>
      <c r="D27" s="26" t="s">
        <v>30</v>
      </c>
      <c r="E27" s="27">
        <v>1</v>
      </c>
      <c r="F27" s="29" t="s">
        <v>11</v>
      </c>
      <c r="G27" s="62"/>
      <c r="H27" s="27"/>
      <c r="I27" s="30"/>
      <c r="K27" s="1"/>
    </row>
    <row r="28" spans="1:11" ht="20.25" x14ac:dyDescent="0.3">
      <c r="A28" s="23" t="s">
        <v>29</v>
      </c>
      <c r="B28" s="24" t="s">
        <v>28</v>
      </c>
      <c r="C28" s="63" t="s">
        <v>27</v>
      </c>
      <c r="D28" s="29" t="s">
        <v>26</v>
      </c>
      <c r="E28" s="27">
        <v>1</v>
      </c>
      <c r="F28" s="28" t="s">
        <v>11</v>
      </c>
      <c r="G28" s="27"/>
      <c r="H28" s="27"/>
      <c r="I28" s="30"/>
    </row>
    <row r="29" spans="1:11" ht="20.25" x14ac:dyDescent="0.3">
      <c r="A29" s="23" t="s">
        <v>25</v>
      </c>
      <c r="B29" s="24" t="s">
        <v>24</v>
      </c>
      <c r="C29" s="25" t="s">
        <v>23</v>
      </c>
      <c r="D29" s="29" t="s">
        <v>22</v>
      </c>
      <c r="E29" s="27">
        <v>60</v>
      </c>
      <c r="F29" s="28" t="s">
        <v>21</v>
      </c>
      <c r="G29" s="27"/>
      <c r="H29" s="27"/>
      <c r="I29" s="30"/>
    </row>
    <row r="30" spans="1:11" ht="20.25" x14ac:dyDescent="0.3">
      <c r="A30" s="64" t="s">
        <v>107</v>
      </c>
      <c r="B30" s="65" t="s">
        <v>112</v>
      </c>
      <c r="C30" s="66" t="s">
        <v>20</v>
      </c>
      <c r="D30" s="67"/>
      <c r="E30" s="68">
        <v>1</v>
      </c>
      <c r="F30" s="69" t="s">
        <v>11</v>
      </c>
      <c r="G30" s="70"/>
      <c r="H30" s="71"/>
      <c r="I30" s="30"/>
    </row>
    <row r="31" spans="1:11" ht="20.25" customHeight="1" x14ac:dyDescent="0.3">
      <c r="A31" s="72"/>
      <c r="B31" s="73"/>
      <c r="C31" s="63"/>
      <c r="D31" s="71"/>
      <c r="E31" s="71"/>
      <c r="F31" s="69"/>
      <c r="G31" s="71"/>
      <c r="H31" s="71"/>
      <c r="I31" s="30"/>
    </row>
    <row r="32" spans="1:11" ht="21" customHeight="1" thickBot="1" x14ac:dyDescent="0.35">
      <c r="A32" s="74"/>
      <c r="B32" s="75"/>
      <c r="C32" s="76"/>
      <c r="D32" s="76"/>
      <c r="E32" s="77"/>
      <c r="F32" s="78"/>
      <c r="G32" s="76"/>
      <c r="H32" s="76"/>
      <c r="I32" s="79"/>
    </row>
    <row r="33" spans="1:9" ht="21" thickBot="1" x14ac:dyDescent="0.35">
      <c r="A33" s="80"/>
      <c r="B33" s="81"/>
      <c r="C33" s="82"/>
      <c r="D33" s="83" t="s">
        <v>19</v>
      </c>
      <c r="E33" s="84" t="s">
        <v>18</v>
      </c>
      <c r="F33" s="85"/>
      <c r="G33" s="82"/>
      <c r="H33" s="82"/>
      <c r="I33" s="86"/>
    </row>
    <row r="34" spans="1:9" ht="20.25" x14ac:dyDescent="0.3">
      <c r="A34" s="91" t="s">
        <v>17</v>
      </c>
      <c r="B34" s="92"/>
      <c r="C34" s="93"/>
      <c r="D34" s="87">
        <v>1100</v>
      </c>
      <c r="E34" s="88" t="s">
        <v>6</v>
      </c>
      <c r="F34" s="94" t="s">
        <v>16</v>
      </c>
      <c r="G34" s="94"/>
      <c r="H34" s="96"/>
      <c r="I34" s="97"/>
    </row>
    <row r="35" spans="1:9" ht="20.25" x14ac:dyDescent="0.3">
      <c r="A35" s="120" t="s">
        <v>15</v>
      </c>
      <c r="B35" s="121"/>
      <c r="C35" s="122"/>
      <c r="D35" s="87">
        <v>5</v>
      </c>
      <c r="E35" s="29" t="s">
        <v>14</v>
      </c>
      <c r="F35" s="164" t="s">
        <v>13</v>
      </c>
      <c r="G35" s="164"/>
      <c r="H35" s="125"/>
      <c r="I35" s="126"/>
    </row>
    <row r="36" spans="1:9" ht="20.25" x14ac:dyDescent="0.3">
      <c r="A36" s="120" t="s">
        <v>12</v>
      </c>
      <c r="B36" s="121"/>
      <c r="C36" s="122"/>
      <c r="D36" s="87">
        <v>1</v>
      </c>
      <c r="E36" s="29" t="s">
        <v>11</v>
      </c>
      <c r="F36" s="164" t="s">
        <v>10</v>
      </c>
      <c r="G36" s="164"/>
      <c r="H36" s="125"/>
      <c r="I36" s="126"/>
    </row>
    <row r="37" spans="1:9" ht="20.25" x14ac:dyDescent="0.3">
      <c r="A37" s="120" t="s">
        <v>9</v>
      </c>
      <c r="B37" s="121"/>
      <c r="C37" s="122"/>
      <c r="D37" s="87">
        <v>1100</v>
      </c>
      <c r="E37" s="29" t="s">
        <v>6</v>
      </c>
      <c r="F37" s="123" t="s">
        <v>8</v>
      </c>
      <c r="G37" s="124"/>
      <c r="H37" s="125"/>
      <c r="I37" s="126"/>
    </row>
    <row r="38" spans="1:9" ht="21" thickBot="1" x14ac:dyDescent="0.35">
      <c r="A38" s="127" t="s">
        <v>7</v>
      </c>
      <c r="B38" s="128"/>
      <c r="C38" s="129"/>
      <c r="D38" s="89">
        <f>SUM(E10:E21)-D34</f>
        <v>159</v>
      </c>
      <c r="E38" s="90" t="s">
        <v>6</v>
      </c>
      <c r="F38" s="165"/>
      <c r="G38" s="165"/>
      <c r="H38" s="166"/>
      <c r="I38" s="167"/>
    </row>
    <row r="39" spans="1:9" ht="21" thickBot="1" x14ac:dyDescent="0.35">
      <c r="A39" s="117" t="s">
        <v>5</v>
      </c>
      <c r="B39" s="118"/>
      <c r="C39" s="118"/>
      <c r="D39" s="118"/>
      <c r="E39" s="118"/>
      <c r="F39" s="118"/>
      <c r="G39" s="118"/>
      <c r="H39" s="118"/>
      <c r="I39" s="119"/>
    </row>
    <row r="40" spans="1:9" ht="20.25" customHeight="1" x14ac:dyDescent="0.25">
      <c r="A40" s="99" t="s">
        <v>4</v>
      </c>
      <c r="B40" s="100"/>
      <c r="C40" s="100"/>
      <c r="D40" s="100"/>
      <c r="E40" s="100"/>
      <c r="F40" s="100"/>
      <c r="G40" s="100"/>
      <c r="H40" s="100"/>
      <c r="I40" s="101"/>
    </row>
    <row r="41" spans="1:9" ht="20.25" customHeight="1" x14ac:dyDescent="0.25">
      <c r="A41" s="102" t="s">
        <v>103</v>
      </c>
      <c r="B41" s="103"/>
      <c r="C41" s="103"/>
      <c r="D41" s="103"/>
      <c r="E41" s="103"/>
      <c r="F41" s="103"/>
      <c r="G41" s="103"/>
      <c r="H41" s="103"/>
      <c r="I41" s="104"/>
    </row>
    <row r="42" spans="1:9" ht="21" customHeight="1" x14ac:dyDescent="0.25">
      <c r="A42" s="105" t="s">
        <v>104</v>
      </c>
      <c r="B42" s="106"/>
      <c r="C42" s="106"/>
      <c r="D42" s="106"/>
      <c r="E42" s="106"/>
      <c r="F42" s="106"/>
      <c r="G42" s="106"/>
      <c r="H42" s="106"/>
      <c r="I42" s="107"/>
    </row>
    <row r="43" spans="1:9" ht="20.25" x14ac:dyDescent="0.25">
      <c r="A43" s="108" t="s">
        <v>3</v>
      </c>
      <c r="B43" s="109"/>
      <c r="C43" s="109"/>
      <c r="D43" s="109"/>
      <c r="E43" s="109"/>
      <c r="F43" s="109"/>
      <c r="G43" s="109"/>
      <c r="H43" s="109"/>
      <c r="I43" s="110"/>
    </row>
    <row r="44" spans="1:9" ht="20.25" x14ac:dyDescent="0.25">
      <c r="A44" s="111" t="s">
        <v>2</v>
      </c>
      <c r="B44" s="112"/>
      <c r="C44" s="112"/>
      <c r="D44" s="112"/>
      <c r="E44" s="112"/>
      <c r="F44" s="112"/>
      <c r="G44" s="112"/>
      <c r="H44" s="112"/>
      <c r="I44" s="113"/>
    </row>
    <row r="45" spans="1:9" ht="20.25" x14ac:dyDescent="0.3">
      <c r="A45" s="114" t="s">
        <v>1</v>
      </c>
      <c r="B45" s="115"/>
      <c r="C45" s="115"/>
      <c r="D45" s="115"/>
      <c r="E45" s="115"/>
      <c r="F45" s="115"/>
      <c r="G45" s="115"/>
      <c r="H45" s="115"/>
      <c r="I45" s="116"/>
    </row>
    <row r="46" spans="1:9" ht="21" thickBot="1" x14ac:dyDescent="0.35">
      <c r="A46" s="160" t="s">
        <v>0</v>
      </c>
      <c r="B46" s="161"/>
      <c r="C46" s="162"/>
      <c r="D46" s="162"/>
      <c r="E46" s="162"/>
      <c r="F46" s="162"/>
      <c r="G46" s="162"/>
      <c r="H46" s="162"/>
      <c r="I46" s="163"/>
    </row>
    <row r="47" spans="1:9" ht="21" thickBot="1" x14ac:dyDescent="0.35">
      <c r="A47" s="117" t="s">
        <v>109</v>
      </c>
      <c r="B47" s="118"/>
      <c r="C47" s="118"/>
      <c r="D47" s="118"/>
      <c r="E47" s="118"/>
      <c r="F47" s="118"/>
      <c r="G47" s="118"/>
      <c r="H47" s="118"/>
      <c r="I47" s="119"/>
    </row>
    <row r="48" spans="1:9" ht="20.25" x14ac:dyDescent="0.3">
      <c r="A48" s="98" t="s">
        <v>108</v>
      </c>
      <c r="B48" s="98"/>
      <c r="C48" s="98"/>
      <c r="D48" s="98"/>
      <c r="E48" s="98"/>
      <c r="F48" s="98"/>
      <c r="G48" s="98"/>
      <c r="H48" s="98"/>
      <c r="I48" s="98"/>
    </row>
    <row r="49" spans="1:9" ht="20.25" x14ac:dyDescent="0.3">
      <c r="A49" s="95" t="s">
        <v>111</v>
      </c>
      <c r="B49" s="95"/>
      <c r="C49" s="95"/>
      <c r="D49" s="95"/>
      <c r="E49" s="95"/>
      <c r="F49" s="95"/>
      <c r="G49" s="95"/>
      <c r="H49" s="95"/>
      <c r="I49" s="95"/>
    </row>
  </sheetData>
  <mergeCells count="43">
    <mergeCell ref="A47:I47"/>
    <mergeCell ref="A46:I46"/>
    <mergeCell ref="A35:C35"/>
    <mergeCell ref="F35:G35"/>
    <mergeCell ref="H35:I35"/>
    <mergeCell ref="A36:C36"/>
    <mergeCell ref="F36:G36"/>
    <mergeCell ref="H36:I36"/>
    <mergeCell ref="F38:G38"/>
    <mergeCell ref="H38:I38"/>
    <mergeCell ref="A6:C6"/>
    <mergeCell ref="D6:F6"/>
    <mergeCell ref="G6:H6"/>
    <mergeCell ref="G7:H7"/>
    <mergeCell ref="A7:A8"/>
    <mergeCell ref="B7:B8"/>
    <mergeCell ref="C7:C8"/>
    <mergeCell ref="D7:D8"/>
    <mergeCell ref="E7:F7"/>
    <mergeCell ref="I3:I5"/>
    <mergeCell ref="D4:G4"/>
    <mergeCell ref="D5:G5"/>
    <mergeCell ref="A1:B5"/>
    <mergeCell ref="C1:G1"/>
    <mergeCell ref="C2:G2"/>
    <mergeCell ref="C3:G3"/>
    <mergeCell ref="H3:H5"/>
    <mergeCell ref="A34:C34"/>
    <mergeCell ref="F34:G34"/>
    <mergeCell ref="A49:I49"/>
    <mergeCell ref="H34:I34"/>
    <mergeCell ref="A48:I48"/>
    <mergeCell ref="A40:I40"/>
    <mergeCell ref="A41:I41"/>
    <mergeCell ref="A42:I42"/>
    <mergeCell ref="A43:I43"/>
    <mergeCell ref="A44:I44"/>
    <mergeCell ref="A45:I45"/>
    <mergeCell ref="A39:I39"/>
    <mergeCell ref="A37:C37"/>
    <mergeCell ref="F37:G37"/>
    <mergeCell ref="H37:I37"/>
    <mergeCell ref="A38:C38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5521A48-82A7-4EA0-A7A9-2E32B066C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376AF8-6C3A-41B3-9E11-A866CAD84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F4F319-C435-4B5A-B058-D64FC4C650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2026-04-27T22:21:23Z</cp:lastPrinted>
  <dcterms:created xsi:type="dcterms:W3CDTF">2026-03-13T20:14:32Z</dcterms:created>
  <dcterms:modified xsi:type="dcterms:W3CDTF">2026-04-27T22:23:52Z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
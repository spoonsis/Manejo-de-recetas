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0F951D34-8C68-4E0D-AA54-A264BB4259A8}" xr6:coauthVersionLast="47" xr6:coauthVersionMax="47" xr10:uidLastSave="{7C8E8F7B-2DFF-4B25-B30F-BBB29B28B9A4}"/>
  <bookViews>
    <workbookView xWindow="-120" yWindow="-120" windowWidth="20730" windowHeight="11040" xr2:uid="{0C24F096-97E6-4D84-86C5-231D7E168A15}"/>
  </bookViews>
  <sheets>
    <sheet name="Toping Lemon Court" sheetId="1" r:id="rId1"/>
  </sheets>
  <definedNames>
    <definedName name="_xlnm.Print_Area" localSheetId="0">'Toping Lemon Court'!$A$1:$I$37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K9" i="1"/>
  <c r="E10" i="1"/>
  <c r="E11" i="1"/>
  <c r="E12" i="1"/>
  <c r="E13" i="1"/>
  <c r="D26" i="1" s="1"/>
  <c r="E14" i="1"/>
  <c r="E16" i="1"/>
</calcChain>
</file>

<file path=xl/sharedStrings.xml><?xml version="1.0" encoding="utf-8"?>
<sst xmlns="http://schemas.openxmlformats.org/spreadsheetml/2006/main" count="81" uniqueCount="67">
  <si>
    <t>CONTROL DE CAMBIOS</t>
  </si>
  <si>
    <t xml:space="preserve">4, Ya frio, empacar y etiquetar. </t>
  </si>
  <si>
    <t>3, Luego de espezar, apartar del fuego y dejar enfriar.</t>
  </si>
  <si>
    <t xml:space="preserve">2, Una vez que empieze a hervir, se agrega el almidon (previamente disuelto en el agua) nunca dejando de revolver para que no se apelote la mezcla. </t>
  </si>
  <si>
    <t xml:space="preserve">1, En una olla agregar, el azucar, el agua, el limon en polvo, el preservante, la ralladura de limon y el colorante Egg Yellow, y revolver constantemente.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</si>
  <si>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</si>
  <si>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</si>
  <si>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</si>
  <si>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</si>
  <si>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</si>
  <si>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</si>
  <si>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</si>
  <si>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</si>
  <si>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</si>
  <si>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</si>
  <si>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</si>
  <si>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</si>
  <si>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</si>
  <si>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</si>
  <si>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</si>
  <si>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Colorante Gel Egg Yellow</t>
  </si>
  <si>
    <t>MP10150</t>
  </si>
  <si>
    <t>Limon En Polvo</t>
  </si>
  <si>
    <t>MP10239</t>
  </si>
  <si>
    <t>Aceal</t>
  </si>
  <si>
    <t>Preservante 1017S</t>
  </si>
  <si>
    <t>MP10025</t>
  </si>
  <si>
    <t>Ralladura</t>
  </si>
  <si>
    <t>ud</t>
  </si>
  <si>
    <t>LA PERLA</t>
  </si>
  <si>
    <t>Limones Maya</t>
  </si>
  <si>
    <t>MP10240</t>
  </si>
  <si>
    <t xml:space="preserve">Para almidon </t>
  </si>
  <si>
    <t>FAS</t>
  </si>
  <si>
    <t xml:space="preserve">Agua </t>
  </si>
  <si>
    <t>ASEAL</t>
  </si>
  <si>
    <t>Almidon Modificado</t>
  </si>
  <si>
    <t>MP10026</t>
  </si>
  <si>
    <t>LAYCA</t>
  </si>
  <si>
    <t>Azucar Blanco Industrial</t>
  </si>
  <si>
    <t>MP10074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</si>
  <si>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</si>
  <si>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</si>
  <si>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</si>
  <si>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</si>
  <si>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</si>
  <si>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</si>
  <si>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</si>
  <si>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</si>
  <si>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</si>
  <si>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</si>
  <si>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</si>
  <si>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</si>
  <si>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</si>
  <si>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</si>
  <si>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SE00755 Toping Lemon Court</t>
  </si>
  <si>
    <t>REVISIÓN:</t>
  </si>
  <si>
    <t>ESPECIFICACION DE RECETA</t>
  </si>
  <si>
    <t>CÓDIGO:</t>
  </si>
  <si>
    <t>SERVICIOS DE PASTELERIA S.A.</t>
  </si>
  <si>
    <t>COCINA</t>
  </si>
  <si>
    <t>EMPAQUE</t>
  </si>
  <si>
    <t>Juan Pablo Brenes, Chef</t>
  </si>
  <si>
    <t>Sebastian Diaz, Gte Manufactura</t>
  </si>
  <si>
    <t>Revision #2: Se corrige el area de preparacion.</t>
  </si>
  <si>
    <t>02</t>
  </si>
  <si>
    <t>ESP-RE-COCS-107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</si>
</sst>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131">
    <xf numFmtId="0" fontId="0" fillId="0" borderId="0" xfId="0"/>
    <xf numFmtId="0" fontId="3" fillId="4" borderId="29" xfId="2" applyFont="1" applyFill="1" applyBorder="1" applyAlignment="1">
      <alignment horizontal="center"/>
    </xf>
    <xf numFmtId="1" fontId="3" fillId="4" borderId="18" xfId="2" applyNumberFormat="1" applyFont="1" applyFill="1" applyBorder="1" applyAlignment="1">
      <alignment horizontal="center" wrapText="1"/>
    </xf>
    <xf numFmtId="1" fontId="3" fillId="4" borderId="18" xfId="2" applyNumberFormat="1" applyFont="1" applyFill="1" applyBorder="1" applyAlignment="1">
      <alignment horizontal="center"/>
    </xf>
    <xf numFmtId="0" fontId="3" fillId="4" borderId="32" xfId="2" applyFont="1" applyFill="1" applyBorder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0" fontId="2" fillId="2" borderId="7" xfId="1" applyFont="1" applyFill="1" applyBorder="1" applyAlignment="1">
      <alignment horizontal="right"/>
    </xf>
    <xf numFmtId="0" fontId="2" fillId="2" borderId="23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0" fontId="2" fillId="2" borderId="32" xfId="1" applyFont="1" applyFill="1" applyBorder="1" applyAlignment="1">
      <alignment horizontal="center"/>
    </xf>
    <xf numFmtId="0" fontId="3" fillId="2" borderId="33" xfId="1" applyFont="1" applyFill="1" applyBorder="1" applyAlignment="1">
      <alignment horizontal="right"/>
    </xf>
    <xf numFmtId="0" fontId="8" fillId="0" borderId="7" xfId="2" applyFont="1" applyBorder="1" applyAlignment="1">
      <alignment horizontal="center" vertical="center"/>
    </xf>
    <xf numFmtId="0" fontId="9" fillId="0" borderId="7" xfId="0" applyFont="1" applyBorder="1"/>
    <xf numFmtId="16" fontId="10" fillId="0" borderId="7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 wrapText="1"/>
    </xf>
    <xf numFmtId="1" fontId="8" fillId="0" borderId="7" xfId="2" applyNumberFormat="1" applyFont="1" applyBorder="1" applyAlignment="1">
      <alignment horizontal="center" wrapText="1"/>
    </xf>
    <xf numFmtId="1" fontId="8" fillId="0" borderId="7" xfId="2" applyNumberFormat="1" applyFont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" fontId="10" fillId="0" borderId="7" xfId="2" applyNumberFormat="1" applyFont="1" applyBorder="1" applyAlignment="1">
      <alignment horizontal="center" wrapText="1"/>
    </xf>
    <xf numFmtId="1" fontId="8" fillId="0" borderId="23" xfId="2" applyNumberFormat="1" applyFont="1" applyBorder="1" applyAlignment="1">
      <alignment horizontal="center"/>
    </xf>
    <xf numFmtId="1" fontId="8" fillId="0" borderId="23" xfId="2" applyNumberFormat="1" applyFont="1" applyBorder="1" applyAlignment="1">
      <alignment horizontal="center" wrapText="1"/>
    </xf>
    <xf numFmtId="49" fontId="10" fillId="0" borderId="7" xfId="3" applyNumberFormat="1" applyFont="1" applyBorder="1" applyAlignment="1">
      <alignment horizontal="center"/>
    </xf>
    <xf numFmtId="49" fontId="10" fillId="0" borderId="7" xfId="3" applyNumberFormat="1" applyFont="1" applyBorder="1"/>
    <xf numFmtId="0" fontId="10" fillId="0" borderId="7" xfId="3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10" fillId="0" borderId="7" xfId="0" applyNumberFormat="1" applyFont="1" applyBorder="1"/>
    <xf numFmtId="16" fontId="10" fillId="0" borderId="7" xfId="3" applyNumberFormat="1" applyFont="1" applyBorder="1" applyAlignment="1">
      <alignment horizontal="center"/>
    </xf>
    <xf numFmtId="0" fontId="9" fillId="0" borderId="0" xfId="0" applyFont="1"/>
    <xf numFmtId="16" fontId="10" fillId="0" borderId="7" xfId="2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0" borderId="7" xfId="0" applyFont="1" applyBorder="1" applyAlignment="1">
      <alignment vertical="top"/>
    </xf>
    <xf numFmtId="49" fontId="10" fillId="0" borderId="9" xfId="2" applyNumberFormat="1" applyFont="1" applyBorder="1" applyAlignment="1">
      <alignment horizontal="center"/>
    </xf>
    <xf numFmtId="49" fontId="10" fillId="0" borderId="8" xfId="2" applyNumberFormat="1" applyFont="1" applyBorder="1" applyAlignment="1">
      <alignment horizontal="center"/>
    </xf>
    <xf numFmtId="49" fontId="10" fillId="0" borderId="7" xfId="2" applyNumberFormat="1" applyFont="1" applyBorder="1"/>
    <xf numFmtId="0" fontId="10" fillId="0" borderId="7" xfId="2" applyFont="1" applyBorder="1" applyAlignment="1">
      <alignment horizontal="center"/>
    </xf>
    <xf numFmtId="49" fontId="11" fillId="2" borderId="28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7" xfId="2" applyFont="1" applyFill="1" applyBorder="1" applyAlignment="1">
      <alignment horizontal="center"/>
    </xf>
    <xf numFmtId="0" fontId="10" fillId="4" borderId="16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5" xfId="2" applyFont="1" applyFill="1" applyBorder="1"/>
    <xf numFmtId="0" fontId="8" fillId="4" borderId="15" xfId="2" applyFont="1" applyFill="1" applyBorder="1" applyAlignment="1">
      <alignment horizontal="center"/>
    </xf>
    <xf numFmtId="1" fontId="8" fillId="4" borderId="15" xfId="2" applyNumberFormat="1" applyFont="1" applyFill="1" applyBorder="1" applyAlignment="1">
      <alignment horizontal="center"/>
    </xf>
    <xf numFmtId="164" fontId="10" fillId="4" borderId="15" xfId="2" applyNumberFormat="1" applyFont="1" applyFill="1" applyBorder="1" applyAlignment="1">
      <alignment horizontal="center" wrapText="1"/>
    </xf>
    <xf numFmtId="0" fontId="10" fillId="4" borderId="14" xfId="2" applyFont="1" applyFill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10" fillId="0" borderId="22" xfId="0" applyFont="1" applyBorder="1" applyAlignment="1">
      <alignment horizontal="center"/>
    </xf>
    <xf numFmtId="1" fontId="8" fillId="0" borderId="18" xfId="0" applyNumberFormat="1" applyFont="1" applyBorder="1" applyAlignment="1">
      <alignment horizontal="right"/>
    </xf>
    <xf numFmtId="0" fontId="10" fillId="0" borderId="18" xfId="0" applyFont="1" applyBorder="1" applyAlignment="1">
      <alignment horizontal="center"/>
    </xf>
    <xf numFmtId="14" fontId="2" fillId="2" borderId="42" xfId="1" applyNumberFormat="1" applyFont="1" applyFill="1" applyBorder="1" applyAlignment="1">
      <alignment horizontal="center" vertical="center" wrapText="1"/>
    </xf>
    <xf numFmtId="14" fontId="2" fillId="2" borderId="38" xfId="1" applyNumberFormat="1" applyFont="1" applyFill="1" applyBorder="1" applyAlignment="1">
      <alignment horizontal="center" vertical="center" wrapText="1"/>
    </xf>
    <xf numFmtId="14" fontId="2" fillId="2" borderId="36" xfId="1" applyNumberFormat="1" applyFont="1" applyFill="1" applyBorder="1" applyAlignment="1">
      <alignment horizontal="center" vertical="center" wrapText="1"/>
    </xf>
    <xf numFmtId="0" fontId="2" fillId="2" borderId="4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40" xfId="1" applyFont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45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25" xfId="1" applyFont="1" applyFill="1" applyBorder="1" applyAlignment="1">
      <alignment horizontal="center"/>
    </xf>
    <xf numFmtId="0" fontId="7" fillId="2" borderId="33" xfId="1" applyFont="1" applyFill="1" applyBorder="1" applyAlignment="1">
      <alignment horizontal="center"/>
    </xf>
    <xf numFmtId="0" fontId="7" fillId="2" borderId="44" xfId="1" applyFont="1" applyFill="1" applyBorder="1" applyAlignment="1">
      <alignment horizontal="center"/>
    </xf>
    <xf numFmtId="0" fontId="7" fillId="2" borderId="10" xfId="1" applyFont="1" applyFill="1" applyBorder="1" applyAlignment="1">
      <alignment horizontal="center"/>
    </xf>
    <xf numFmtId="0" fontId="7" fillId="2" borderId="19" xfId="1" applyFont="1" applyFill="1" applyBorder="1" applyAlignment="1">
      <alignment horizontal="center"/>
    </xf>
    <xf numFmtId="0" fontId="12" fillId="5" borderId="16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5" borderId="14" xfId="1" applyFont="1" applyFill="1" applyBorder="1" applyAlignment="1">
      <alignment horizontal="center" vertical="center" wrapText="1"/>
    </xf>
    <xf numFmtId="0" fontId="3" fillId="2" borderId="43" xfId="1" applyFont="1" applyFill="1" applyBorder="1" applyAlignment="1">
      <alignment horizontal="right" vertical="top" wrapText="1"/>
    </xf>
    <xf numFmtId="0" fontId="3" fillId="2" borderId="39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right" vertical="top" wrapText="1"/>
    </xf>
    <xf numFmtId="0" fontId="6" fillId="2" borderId="0" xfId="1" applyFont="1" applyFill="1" applyAlignment="1">
      <alignment horizontal="right"/>
    </xf>
    <xf numFmtId="0" fontId="5" fillId="2" borderId="35" xfId="1" applyFont="1" applyFill="1" applyBorder="1" applyAlignment="1">
      <alignment horizontal="center"/>
    </xf>
    <xf numFmtId="0" fontId="6" fillId="2" borderId="0" xfId="1" applyFont="1" applyFill="1"/>
    <xf numFmtId="0" fontId="3" fillId="4" borderId="34" xfId="2" applyFont="1" applyFill="1" applyBorder="1" applyAlignment="1">
      <alignment horizontal="center" vertical="center"/>
    </xf>
    <xf numFmtId="0" fontId="3" fillId="4" borderId="31" xfId="2" applyFont="1" applyFill="1" applyBorder="1" applyAlignment="1">
      <alignment horizontal="center" vertical="center"/>
    </xf>
    <xf numFmtId="0" fontId="3" fillId="4" borderId="34" xfId="2" applyFont="1" applyFill="1" applyBorder="1" applyAlignment="1">
      <alignment horizontal="center" vertical="center" wrapText="1"/>
    </xf>
    <xf numFmtId="0" fontId="3" fillId="4" borderId="31" xfId="2" applyFont="1" applyFill="1" applyBorder="1" applyAlignment="1">
      <alignment horizontal="center" vertical="center" wrapText="1"/>
    </xf>
    <xf numFmtId="0" fontId="3" fillId="4" borderId="33" xfId="2" applyFont="1" applyFill="1" applyBorder="1" applyAlignment="1">
      <alignment horizontal="center" vertical="center"/>
    </xf>
    <xf numFmtId="0" fontId="3" fillId="4" borderId="30" xfId="2" applyFont="1" applyFill="1" applyBorder="1" applyAlignment="1">
      <alignment horizontal="center" vertical="center"/>
    </xf>
    <xf numFmtId="0" fontId="3" fillId="4" borderId="18" xfId="2" applyFont="1" applyFill="1" applyBorder="1" applyAlignment="1">
      <alignment horizontal="center" vertical="center"/>
    </xf>
    <xf numFmtId="0" fontId="8" fillId="0" borderId="26" xfId="2" applyFont="1" applyBorder="1" applyAlignment="1">
      <alignment horizontal="right"/>
    </xf>
    <xf numFmtId="0" fontId="8" fillId="0" borderId="25" xfId="2" applyFont="1" applyBorder="1" applyAlignment="1">
      <alignment horizontal="right"/>
    </xf>
    <xf numFmtId="0" fontId="8" fillId="0" borderId="24" xfId="2" applyFont="1" applyBorder="1" applyAlignment="1">
      <alignment horizontal="right"/>
    </xf>
    <xf numFmtId="164" fontId="10" fillId="0" borderId="23" xfId="2" applyNumberFormat="1" applyFont="1" applyBorder="1" applyAlignment="1">
      <alignment horizontal="right"/>
    </xf>
    <xf numFmtId="0" fontId="10" fillId="2" borderId="22" xfId="2" applyFont="1" applyFill="1" applyBorder="1" applyAlignment="1">
      <alignment horizontal="center"/>
    </xf>
    <xf numFmtId="0" fontId="10" fillId="2" borderId="21" xfId="2" applyFont="1" applyFill="1" applyBorder="1" applyAlignment="1">
      <alignment horizontal="center"/>
    </xf>
    <xf numFmtId="0" fontId="8" fillId="0" borderId="5" xfId="2" applyFont="1" applyBorder="1" applyAlignment="1">
      <alignment horizontal="right"/>
    </xf>
    <xf numFmtId="0" fontId="8" fillId="0" borderId="4" xfId="2" applyFont="1" applyBorder="1" applyAlignment="1">
      <alignment horizontal="right"/>
    </xf>
    <xf numFmtId="0" fontId="8" fillId="0" borderId="8" xfId="2" applyFont="1" applyBorder="1" applyAlignment="1">
      <alignment horizontal="right"/>
    </xf>
    <xf numFmtId="0" fontId="10" fillId="0" borderId="7" xfId="2" applyFont="1" applyBorder="1" applyAlignment="1">
      <alignment horizontal="right"/>
    </xf>
    <xf numFmtId="164" fontId="10" fillId="0" borderId="17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0" fontId="10" fillId="0" borderId="13" xfId="2" applyFont="1" applyBorder="1" applyAlignment="1">
      <alignment horizontal="left" vertical="center" wrapText="1"/>
    </xf>
    <xf numFmtId="0" fontId="10" fillId="0" borderId="12" xfId="2" applyFont="1" applyBorder="1" applyAlignment="1">
      <alignment horizontal="left" vertical="center" wrapText="1"/>
    </xf>
    <xf numFmtId="0" fontId="10" fillId="0" borderId="11" xfId="2" applyFont="1" applyBorder="1" applyAlignment="1">
      <alignment horizontal="left" vertical="center" wrapText="1"/>
    </xf>
    <xf numFmtId="164" fontId="10" fillId="0" borderId="17" xfId="2" applyNumberFormat="1" applyFont="1" applyBorder="1" applyAlignment="1">
      <alignment horizontal="right" wrapText="1"/>
    </xf>
    <xf numFmtId="164" fontId="10" fillId="0" borderId="8" xfId="2" applyNumberFormat="1" applyFont="1" applyBorder="1" applyAlignment="1">
      <alignment horizontal="right" wrapText="1"/>
    </xf>
    <xf numFmtId="164" fontId="10" fillId="0" borderId="17" xfId="0" applyNumberFormat="1" applyFont="1" applyBorder="1" applyAlignment="1">
      <alignment horizontal="center" wrapText="1"/>
    </xf>
    <xf numFmtId="164" fontId="10" fillId="0" borderId="3" xfId="0" applyNumberFormat="1" applyFont="1" applyBorder="1" applyAlignment="1">
      <alignment horizontal="center" wrapText="1"/>
    </xf>
    <xf numFmtId="0" fontId="8" fillId="0" borderId="20" xfId="2" applyFont="1" applyBorder="1" applyAlignment="1">
      <alignment horizontal="right"/>
    </xf>
    <xf numFmtId="0" fontId="8" fillId="0" borderId="19" xfId="2" applyFont="1" applyBorder="1" applyAlignment="1">
      <alignment horizontal="right"/>
    </xf>
    <xf numFmtId="0" fontId="8" fillId="0" borderId="18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8" fillId="4" borderId="16" xfId="2" applyFont="1" applyFill="1" applyBorder="1" applyAlignment="1">
      <alignment horizontal="center"/>
    </xf>
    <xf numFmtId="0" fontId="8" fillId="4" borderId="15" xfId="2" applyFont="1" applyFill="1" applyBorder="1" applyAlignment="1">
      <alignment horizontal="center"/>
    </xf>
    <xf numFmtId="0" fontId="8" fillId="4" borderId="14" xfId="2" applyFont="1" applyFill="1" applyBorder="1" applyAlignment="1">
      <alignment horizontal="center"/>
    </xf>
    <xf numFmtId="0" fontId="10" fillId="2" borderId="7" xfId="1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8" fillId="0" borderId="9" xfId="2" applyFont="1" applyBorder="1" applyAlignment="1">
      <alignment horizontal="left" wrapText="1"/>
    </xf>
    <xf numFmtId="0" fontId="8" fillId="0" borderId="8" xfId="2" applyFont="1" applyBorder="1" applyAlignment="1">
      <alignment horizontal="left" wrapText="1"/>
    </xf>
    <xf numFmtId="0" fontId="8" fillId="0" borderId="7" xfId="2" applyFont="1" applyBorder="1" applyAlignment="1">
      <alignment horizontal="left" wrapText="1"/>
    </xf>
    <xf numFmtId="0" fontId="8" fillId="0" borderId="6" xfId="2" applyFont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3" borderId="2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</cellXfs>
  <cellStyles count="4">
    <cellStyle name="Normal" xfId="0" builtinId="0"/>
    <cellStyle name="Normal 2" xfId="2" xr:uid="{5E038144-54D4-44CF-9834-48455AE45B6F}"/>
    <cellStyle name="Normal 2 2" xfId="3" xr:uid="{D6EC1549-6B59-4DEF-ACCC-4376989D0AAC}"/>
    <cellStyle name="Normal_CRITERIOS DE EVALUACION PT DE GB 2" xfId="1" xr:uid="{86924A7B-412E-4C08-8742-C87C8FCD0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102869</xdr:colOff>
      <xdr:row>0</xdr:row>
      <xdr:rowOff>71437</xdr:rowOff>
    </xdr:from>
    <xdr:ext cx="1643867" cy="940593"/>
    <xdr:pic>
      <xdr:nvPicPr>
        <xdr:cNvPr id="2" name="Imagen 91">
          <a:extLst>
            <a:ext uri="{FF2B5EF4-FFF2-40B4-BE49-F238E27FC236}">
              <a16:creationId xmlns:a16="http://schemas.microsoft.com/office/drawing/2014/main" id="{CC9927E8-D931-4592-9860-CB2E1112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69" y="71437"/>
          <a:ext cx="1643867" cy="940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969E-F9D3-4AD1-A039-C41F8A50187D}">
  <sheetPr>
    <pageSetUpPr fitToPage="1"/>
  </sheetPr>
  <dimension ref="A1:K3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5.85546875" customWidth="1"/>
    <col min="3" max="3" width="37.140625" customWidth="1"/>
    <col min="4" max="4" width="17.42578125" customWidth="1"/>
    <col min="7" max="7" width="21.7109375" customWidth="1"/>
    <col min="8" max="8" width="26.42578125" customWidth="1"/>
    <col min="9" max="9" width="19.28515625" bestFit="1" customWidth="1"/>
  </cols>
  <sheetData>
    <row r="1" spans="1:11" ht="15.75" x14ac:dyDescent="0.25">
      <c r="A1" s="64"/>
      <c r="B1" s="65"/>
      <c r="C1" s="70" t="s">
        <v>59</v>
      </c>
      <c r="D1" s="70"/>
      <c r="E1" s="70"/>
      <c r="F1" s="70"/>
      <c r="G1" s="70"/>
      <c r="H1" s="11" t="s">
        <v>58</v>
      </c>
      <c r="I1" s="10" t="s">
        <v>66</v>
      </c>
    </row>
    <row r="2" spans="1:11" ht="16.5" thickBot="1" x14ac:dyDescent="0.3">
      <c r="A2" s="66"/>
      <c r="B2" s="67"/>
      <c r="C2" s="71" t="s">
        <v>57</v>
      </c>
      <c r="D2" s="72"/>
      <c r="E2" s="72"/>
      <c r="F2" s="72"/>
      <c r="G2" s="73"/>
      <c r="H2" s="9" t="s">
        <v>56</v>
      </c>
      <c r="I2" s="8" t="s">
        <v>65</v>
      </c>
    </row>
    <row r="3" spans="1:11" ht="23.25" thickBot="1" x14ac:dyDescent="0.3">
      <c r="A3" s="66"/>
      <c r="B3" s="67"/>
      <c r="C3" s="74" t="s">
        <v>55</v>
      </c>
      <c r="D3" s="75"/>
      <c r="E3" s="75"/>
      <c r="F3" s="75"/>
      <c r="G3" s="76"/>
      <c r="H3" s="77" t="s">
        <v>54</v>
      </c>
      <c r="I3" s="55">
        <v>45923</v>
      </c>
    </row>
    <row r="4" spans="1:11" ht="18" customHeight="1" x14ac:dyDescent="0.25">
      <c r="A4" s="66"/>
      <c r="B4" s="67"/>
      <c r="C4" s="7" t="s">
        <v>53</v>
      </c>
      <c r="D4" s="58" t="s">
        <v>62</v>
      </c>
      <c r="E4" s="59"/>
      <c r="F4" s="59"/>
      <c r="G4" s="60"/>
      <c r="H4" s="78"/>
      <c r="I4" s="56"/>
    </row>
    <row r="5" spans="1:11" ht="15.75" thickBot="1" x14ac:dyDescent="0.3">
      <c r="A5" s="68"/>
      <c r="B5" s="69"/>
      <c r="C5" s="6" t="s">
        <v>52</v>
      </c>
      <c r="D5" s="61" t="s">
        <v>63</v>
      </c>
      <c r="E5" s="62"/>
      <c r="F5" s="62"/>
      <c r="G5" s="63"/>
      <c r="H5" s="79"/>
      <c r="I5" s="57"/>
    </row>
    <row r="6" spans="1:11" ht="18.75" thickBot="1" x14ac:dyDescent="0.3">
      <c r="A6" s="80" t="s">
        <v>51</v>
      </c>
      <c r="B6" s="80"/>
      <c r="C6" s="80"/>
      <c r="D6" s="81" t="s">
        <v>60</v>
      </c>
      <c r="E6" s="81"/>
      <c r="F6" s="81"/>
      <c r="G6" s="82" t="s">
        <v>50</v>
      </c>
      <c r="H6" s="82"/>
      <c r="I6" s="5" t="s">
        <v>61</v>
      </c>
    </row>
    <row r="7" spans="1:11" x14ac:dyDescent="0.25">
      <c r="A7" s="83" t="s">
        <v>49</v>
      </c>
      <c r="B7" s="85" t="s">
        <v>48</v>
      </c>
      <c r="C7" s="87" t="s">
        <v>47</v>
      </c>
      <c r="D7" s="87" t="s">
        <v>46</v>
      </c>
      <c r="E7" s="87" t="s">
        <v>45</v>
      </c>
      <c r="F7" s="87"/>
      <c r="G7" s="87" t="s">
        <v>44</v>
      </c>
      <c r="H7" s="87"/>
      <c r="I7" s="4" t="s">
        <v>43</v>
      </c>
    </row>
    <row r="8" spans="1:11" ht="27" thickBot="1" x14ac:dyDescent="0.3">
      <c r="A8" s="84"/>
      <c r="B8" s="86"/>
      <c r="C8" s="88"/>
      <c r="D8" s="89"/>
      <c r="E8" s="3" t="s">
        <v>19</v>
      </c>
      <c r="F8" s="2" t="s">
        <v>42</v>
      </c>
      <c r="G8" s="3" t="s">
        <v>19</v>
      </c>
      <c r="H8" s="2" t="s">
        <v>42</v>
      </c>
      <c r="I8" s="1" t="s">
        <v>41</v>
      </c>
    </row>
    <row r="9" spans="1:11" ht="20.25" x14ac:dyDescent="0.3">
      <c r="A9" s="12"/>
      <c r="B9" s="13" t="s">
        <v>40</v>
      </c>
      <c r="C9" s="13" t="s">
        <v>39</v>
      </c>
      <c r="D9" s="14" t="s">
        <v>38</v>
      </c>
      <c r="E9" s="15">
        <f>565*7.69</f>
        <v>4344.8500000000004</v>
      </c>
      <c r="F9" s="16" t="s">
        <v>6</v>
      </c>
      <c r="G9" s="17"/>
      <c r="H9" s="16"/>
      <c r="I9" s="18"/>
      <c r="K9">
        <f>10000/D22</f>
        <v>1</v>
      </c>
    </row>
    <row r="10" spans="1:11" ht="20.25" x14ac:dyDescent="0.3">
      <c r="A10" s="12"/>
      <c r="B10" s="13" t="s">
        <v>37</v>
      </c>
      <c r="C10" s="13" t="s">
        <v>36</v>
      </c>
      <c r="D10" s="19" t="s">
        <v>35</v>
      </c>
      <c r="E10" s="15">
        <f>90*7.69</f>
        <v>692.1</v>
      </c>
      <c r="F10" s="20" t="s">
        <v>6</v>
      </c>
      <c r="G10" s="21"/>
      <c r="H10" s="22"/>
      <c r="I10" s="18"/>
    </row>
    <row r="11" spans="1:11" ht="20.25" x14ac:dyDescent="0.3">
      <c r="A11" s="12"/>
      <c r="B11" s="23"/>
      <c r="C11" s="24" t="s">
        <v>34</v>
      </c>
      <c r="D11" s="25" t="s">
        <v>33</v>
      </c>
      <c r="E11" s="15">
        <f>627*7.69</f>
        <v>4821.63</v>
      </c>
      <c r="F11" s="20" t="s">
        <v>6</v>
      </c>
      <c r="G11" s="21"/>
      <c r="H11" s="22"/>
      <c r="I11" s="18"/>
    </row>
    <row r="12" spans="1:11" ht="20.25" x14ac:dyDescent="0.3">
      <c r="A12" s="12"/>
      <c r="B12" s="26"/>
      <c r="C12" s="27" t="s">
        <v>34</v>
      </c>
      <c r="D12" s="28" t="s">
        <v>33</v>
      </c>
      <c r="E12" s="15">
        <f>160*7.69</f>
        <v>1230.4000000000001</v>
      </c>
      <c r="F12" s="20" t="s">
        <v>6</v>
      </c>
      <c r="G12" s="21"/>
      <c r="H12" s="22" t="s">
        <v>32</v>
      </c>
      <c r="I12" s="18"/>
    </row>
    <row r="13" spans="1:11" ht="20.25" x14ac:dyDescent="0.3">
      <c r="A13" s="12"/>
      <c r="B13" s="13" t="s">
        <v>31</v>
      </c>
      <c r="C13" s="13" t="s">
        <v>30</v>
      </c>
      <c r="D13" s="14" t="s">
        <v>29</v>
      </c>
      <c r="E13" s="15">
        <f>1*7.69</f>
        <v>7.69</v>
      </c>
      <c r="F13" s="20" t="s">
        <v>28</v>
      </c>
      <c r="G13" s="21"/>
      <c r="H13" s="22" t="s">
        <v>27</v>
      </c>
      <c r="I13" s="18"/>
    </row>
    <row r="14" spans="1:11" ht="20.25" x14ac:dyDescent="0.3">
      <c r="A14" s="12"/>
      <c r="B14" s="29" t="s">
        <v>26</v>
      </c>
      <c r="C14" s="29" t="s">
        <v>25</v>
      </c>
      <c r="D14" s="30" t="s">
        <v>24</v>
      </c>
      <c r="E14" s="20">
        <f>1*7.69</f>
        <v>7.69</v>
      </c>
      <c r="F14" s="20" t="s">
        <v>6</v>
      </c>
      <c r="G14" s="21"/>
      <c r="H14" s="22"/>
      <c r="I14" s="18"/>
    </row>
    <row r="15" spans="1:11" ht="20.25" x14ac:dyDescent="0.3">
      <c r="A15" s="12"/>
      <c r="B15" s="13" t="s">
        <v>23</v>
      </c>
      <c r="C15" s="13" t="s">
        <v>22</v>
      </c>
      <c r="D15" s="19"/>
      <c r="E15" s="31">
        <v>8</v>
      </c>
      <c r="F15" s="19" t="s">
        <v>6</v>
      </c>
      <c r="G15" s="21"/>
      <c r="H15" s="22"/>
      <c r="I15" s="18"/>
    </row>
    <row r="16" spans="1:11" ht="20.25" x14ac:dyDescent="0.3">
      <c r="A16" s="12"/>
      <c r="B16" s="13" t="s">
        <v>21</v>
      </c>
      <c r="C16" s="13" t="s">
        <v>20</v>
      </c>
      <c r="D16" s="19"/>
      <c r="E16" s="31">
        <f>1*7.69</f>
        <v>7.69</v>
      </c>
      <c r="F16" s="19" t="s">
        <v>6</v>
      </c>
      <c r="G16" s="21"/>
      <c r="H16" s="22"/>
      <c r="I16" s="18"/>
    </row>
    <row r="17" spans="1:9" ht="20.25" x14ac:dyDescent="0.3">
      <c r="A17" s="12"/>
      <c r="B17" s="32"/>
      <c r="C17" s="33"/>
      <c r="D17" s="14"/>
      <c r="E17" s="15"/>
      <c r="F17" s="20"/>
      <c r="G17" s="21"/>
      <c r="H17" s="22"/>
      <c r="I17" s="18"/>
    </row>
    <row r="18" spans="1:9" ht="18" customHeight="1" x14ac:dyDescent="0.3">
      <c r="A18" s="12"/>
      <c r="B18" s="32"/>
      <c r="C18" s="13"/>
      <c r="D18" s="30"/>
      <c r="E18" s="19"/>
      <c r="F18" s="19"/>
      <c r="G18" s="21"/>
      <c r="H18" s="22"/>
      <c r="I18" s="18"/>
    </row>
    <row r="19" spans="1:9" ht="20.25" x14ac:dyDescent="0.3">
      <c r="A19" s="34"/>
      <c r="B19" s="35"/>
      <c r="C19" s="36"/>
      <c r="D19" s="37"/>
      <c r="E19" s="37"/>
      <c r="F19" s="20"/>
      <c r="G19" s="37"/>
      <c r="H19" s="37"/>
      <c r="I19" s="18"/>
    </row>
    <row r="20" spans="1:9" ht="21" thickBot="1" x14ac:dyDescent="0.35">
      <c r="A20" s="38"/>
      <c r="B20" s="39"/>
      <c r="C20" s="40"/>
      <c r="D20" s="40"/>
      <c r="E20" s="41"/>
      <c r="F20" s="42"/>
      <c r="G20" s="40"/>
      <c r="H20" s="40"/>
      <c r="I20" s="43"/>
    </row>
    <row r="21" spans="1:9" ht="21" thickBot="1" x14ac:dyDescent="0.35">
      <c r="A21" s="44"/>
      <c r="B21" s="45"/>
      <c r="C21" s="46"/>
      <c r="D21" s="47" t="s">
        <v>19</v>
      </c>
      <c r="E21" s="48" t="s">
        <v>18</v>
      </c>
      <c r="F21" s="49"/>
      <c r="G21" s="46"/>
      <c r="H21" s="46"/>
      <c r="I21" s="50"/>
    </row>
    <row r="22" spans="1:9" ht="20.25" x14ac:dyDescent="0.3">
      <c r="A22" s="90" t="s">
        <v>17</v>
      </c>
      <c r="B22" s="91"/>
      <c r="C22" s="92"/>
      <c r="D22" s="51">
        <v>10000</v>
      </c>
      <c r="E22" s="52" t="s">
        <v>6</v>
      </c>
      <c r="F22" s="93" t="s">
        <v>16</v>
      </c>
      <c r="G22" s="93"/>
      <c r="H22" s="94"/>
      <c r="I22" s="95"/>
    </row>
    <row r="23" spans="1:9" ht="20.25" x14ac:dyDescent="0.3">
      <c r="A23" s="96" t="s">
        <v>15</v>
      </c>
      <c r="B23" s="97"/>
      <c r="C23" s="98"/>
      <c r="D23" s="51">
        <v>15</v>
      </c>
      <c r="E23" s="19" t="s">
        <v>14</v>
      </c>
      <c r="F23" s="99" t="s">
        <v>13</v>
      </c>
      <c r="G23" s="99"/>
      <c r="H23" s="100"/>
      <c r="I23" s="101"/>
    </row>
    <row r="24" spans="1:9" ht="20.25" x14ac:dyDescent="0.3">
      <c r="A24" s="96" t="s">
        <v>12</v>
      </c>
      <c r="B24" s="97"/>
      <c r="C24" s="98"/>
      <c r="D24" s="51">
        <v>1</v>
      </c>
      <c r="E24" s="19" t="s">
        <v>11</v>
      </c>
      <c r="F24" s="99" t="s">
        <v>10</v>
      </c>
      <c r="G24" s="99"/>
      <c r="H24" s="100"/>
      <c r="I24" s="101"/>
    </row>
    <row r="25" spans="1:9" ht="20.25" x14ac:dyDescent="0.3">
      <c r="A25" s="96" t="s">
        <v>9</v>
      </c>
      <c r="B25" s="97"/>
      <c r="C25" s="98"/>
      <c r="D25" s="51">
        <v>10000</v>
      </c>
      <c r="E25" s="19" t="s">
        <v>6</v>
      </c>
      <c r="F25" s="105" t="s">
        <v>8</v>
      </c>
      <c r="G25" s="106"/>
      <c r="H25" s="107"/>
      <c r="I25" s="108"/>
    </row>
    <row r="26" spans="1:9" ht="21" thickBot="1" x14ac:dyDescent="0.35">
      <c r="A26" s="109" t="s">
        <v>7</v>
      </c>
      <c r="B26" s="110"/>
      <c r="C26" s="111"/>
      <c r="D26" s="53">
        <f>SUM(E9:E16)-D22</f>
        <v>1120.0500000000029</v>
      </c>
      <c r="E26" s="54" t="s">
        <v>6</v>
      </c>
      <c r="F26" s="112"/>
      <c r="G26" s="112"/>
      <c r="H26" s="100"/>
      <c r="I26" s="101"/>
    </row>
    <row r="27" spans="1:9" ht="21" thickBot="1" x14ac:dyDescent="0.35">
      <c r="A27" s="113" t="s">
        <v>5</v>
      </c>
      <c r="B27" s="114"/>
      <c r="C27" s="114"/>
      <c r="D27" s="114"/>
      <c r="E27" s="114"/>
      <c r="F27" s="114"/>
      <c r="G27" s="114"/>
      <c r="H27" s="114"/>
      <c r="I27" s="115"/>
    </row>
    <row r="28" spans="1:9" ht="53.25" customHeight="1" thickBot="1" x14ac:dyDescent="0.3">
      <c r="A28" s="102" t="s">
        <v>4</v>
      </c>
      <c r="B28" s="103"/>
      <c r="C28" s="103"/>
      <c r="D28" s="103"/>
      <c r="E28" s="103"/>
      <c r="F28" s="103"/>
      <c r="G28" s="103"/>
      <c r="H28" s="103"/>
      <c r="I28" s="104"/>
    </row>
    <row r="29" spans="1:9" ht="54" customHeight="1" thickBot="1" x14ac:dyDescent="0.3">
      <c r="A29" s="102" t="s">
        <v>3</v>
      </c>
      <c r="B29" s="103"/>
      <c r="C29" s="103"/>
      <c r="D29" s="103"/>
      <c r="E29" s="103"/>
      <c r="F29" s="103"/>
      <c r="G29" s="103"/>
      <c r="H29" s="103"/>
      <c r="I29" s="104"/>
    </row>
    <row r="30" spans="1:9" ht="20.25" x14ac:dyDescent="0.25">
      <c r="A30" s="102" t="s">
        <v>2</v>
      </c>
      <c r="B30" s="103"/>
      <c r="C30" s="103"/>
      <c r="D30" s="103"/>
      <c r="E30" s="103"/>
      <c r="F30" s="103"/>
      <c r="G30" s="103"/>
      <c r="H30" s="103"/>
      <c r="I30" s="104"/>
    </row>
    <row r="31" spans="1:9" ht="20.25" x14ac:dyDescent="0.3">
      <c r="A31" s="117" t="s">
        <v>1</v>
      </c>
      <c r="B31" s="117"/>
      <c r="C31" s="117"/>
      <c r="D31" s="117"/>
      <c r="E31" s="117"/>
      <c r="F31" s="117"/>
      <c r="G31" s="117"/>
      <c r="H31" s="117"/>
      <c r="I31" s="117"/>
    </row>
    <row r="32" spans="1:9" ht="20.25" x14ac:dyDescent="0.3">
      <c r="A32" s="118"/>
      <c r="B32" s="119"/>
      <c r="C32" s="120"/>
      <c r="D32" s="120"/>
      <c r="E32" s="120"/>
      <c r="F32" s="120"/>
      <c r="G32" s="120"/>
      <c r="H32" s="120"/>
      <c r="I32" s="121"/>
    </row>
    <row r="33" spans="1:9" ht="20.25" x14ac:dyDescent="0.3">
      <c r="A33" s="122"/>
      <c r="B33" s="123"/>
      <c r="C33" s="124"/>
      <c r="D33" s="124"/>
      <c r="E33" s="124"/>
      <c r="F33" s="124"/>
      <c r="G33" s="124"/>
      <c r="H33" s="124"/>
      <c r="I33" s="125"/>
    </row>
    <row r="34" spans="1:9" ht="21" thickBot="1" x14ac:dyDescent="0.35">
      <c r="A34" s="126"/>
      <c r="B34" s="127"/>
      <c r="C34" s="127"/>
      <c r="D34" s="127"/>
      <c r="E34" s="127"/>
      <c r="F34" s="127"/>
      <c r="G34" s="127"/>
      <c r="H34" s="127"/>
      <c r="I34" s="128"/>
    </row>
    <row r="35" spans="1:9" ht="20.25" x14ac:dyDescent="0.3">
      <c r="A35" s="129" t="s">
        <v>0</v>
      </c>
      <c r="B35" s="130"/>
      <c r="C35" s="130"/>
      <c r="D35" s="130"/>
      <c r="E35" s="130"/>
      <c r="F35" s="130"/>
      <c r="G35" s="130"/>
      <c r="H35" s="130"/>
      <c r="I35" s="130"/>
    </row>
    <row r="36" spans="1:9" ht="20.25" x14ac:dyDescent="0.3">
      <c r="A36" s="116" t="s">
        <v>64</v>
      </c>
      <c r="B36" s="116"/>
      <c r="C36" s="116"/>
      <c r="D36" s="116"/>
      <c r="E36" s="116"/>
      <c r="F36" s="116"/>
      <c r="G36" s="116"/>
      <c r="H36" s="116"/>
      <c r="I36" s="116"/>
    </row>
    <row r="37" spans="1:9" ht="20.25" x14ac:dyDescent="0.3">
      <c r="A37" s="116"/>
      <c r="B37" s="116"/>
      <c r="C37" s="116"/>
      <c r="D37" s="116"/>
      <c r="E37" s="116"/>
      <c r="F37" s="116"/>
      <c r="G37" s="116"/>
      <c r="H37" s="116"/>
      <c r="I37" s="116"/>
    </row>
  </sheetData>
  <mergeCells count="43">
    <mergeCell ref="A36:I36"/>
    <mergeCell ref="A37:I37"/>
    <mergeCell ref="A30:I30"/>
    <mergeCell ref="A31:I31"/>
    <mergeCell ref="A32:I32"/>
    <mergeCell ref="A33:I33"/>
    <mergeCell ref="A34:I34"/>
    <mergeCell ref="A35:I35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52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CCFFD8-6054-40C5-BD23-BAEE26F1B86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36BBE16-15B2-4B7B-A554-42995A432A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909555-13C5-44FF-850A-5D9351B51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Toping Lemon Court</vt:lpstr>
      <vt:lpstr>'Toping Lemon Court'!Área_de_impresión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2025-09-23T16:57:49Z</cp:lastPrinted>
  <dcterms:created xsi:type="dcterms:W3CDTF">2025-09-19T17:54:30Z</dcterms:created>
  <dcterms:modified xsi:type="dcterms:W3CDTF">2025-09-23T16:58:57Z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
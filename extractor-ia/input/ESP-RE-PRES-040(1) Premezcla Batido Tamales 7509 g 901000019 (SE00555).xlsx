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5" documentId="8_{59C07265-DB14-4AEE-9E5C-B532DEE3F24E}" xr6:coauthVersionLast="47" xr6:coauthVersionMax="47" xr10:uidLastSave="{4D030674-F608-47DB-A1CF-6ADB021E4FAF}"/>
  <bookViews>
    <workbookView xWindow="-120" yWindow="-120" windowWidth="20730" windowHeight="11040" tabRatio="879" xr2:uid="{00000000-000D-0000-FFFF-FFFF00000000}"/>
  </bookViews>
  <sheets>
    <sheet name="RECETAPREM" sheetId="37" r:id="rId1"/>
    <sheet name="Hoja1" sheetId="38" state="hidden" r:id="rId2"/>
  </sheets>
  <externalReferences>
    <externalReference r:id="rId3"/>
    <externalReference r:id="rId4"/>
  </externalReferences>
  <definedNames>
    <definedName name="_xlnm.Print_Area" localSheetId="0">RECETAPREM!$A$1:$I$37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38" l="1"/>
  <c r="D74" i="38"/>
  <c r="D76" i="38"/>
  <c r="D71" i="38"/>
  <c r="D69" i="38"/>
  <c r="F65" i="38"/>
  <c r="C73" i="38"/>
  <c r="D60" i="38"/>
  <c r="D85" i="38"/>
  <c r="D86" i="38"/>
  <c r="C51" i="38"/>
  <c r="E50" i="38"/>
  <c r="D50" i="38"/>
  <c r="B50" i="38"/>
  <c r="E49" i="38"/>
  <c r="F49" i="38" s="1"/>
  <c r="D49" i="38"/>
  <c r="B49" i="38"/>
  <c r="E48" i="38"/>
  <c r="D48" i="38"/>
  <c r="B48" i="38"/>
  <c r="E47" i="38"/>
  <c r="F47" i="38" s="1"/>
  <c r="D47" i="38"/>
  <c r="B47" i="38"/>
  <c r="E46" i="38"/>
  <c r="D46" i="38"/>
  <c r="B46" i="38"/>
  <c r="E45" i="38"/>
  <c r="F45" i="38" s="1"/>
  <c r="D45" i="38"/>
  <c r="B45" i="38"/>
  <c r="E44" i="38"/>
  <c r="F44" i="38" s="1"/>
  <c r="D44" i="38"/>
  <c r="B44" i="38"/>
  <c r="E41" i="38"/>
  <c r="F41" i="38" s="1"/>
  <c r="D41" i="38"/>
  <c r="B41" i="38"/>
  <c r="A41" i="38"/>
  <c r="C41" i="38"/>
  <c r="E40" i="38"/>
  <c r="F40" i="38" s="1"/>
  <c r="D40" i="38"/>
  <c r="B40" i="38"/>
  <c r="A40" i="38"/>
  <c r="C40" i="38"/>
  <c r="E39" i="38"/>
  <c r="F39" i="38" s="1"/>
  <c r="D39" i="38"/>
  <c r="B39" i="38"/>
  <c r="A39" i="38"/>
  <c r="A48" i="38"/>
  <c r="C48" i="38"/>
  <c r="F48" i="38"/>
  <c r="E38" i="38"/>
  <c r="F38" i="38" s="1"/>
  <c r="D38" i="38"/>
  <c r="B38" i="38"/>
  <c r="A38" i="38"/>
  <c r="C38" i="38"/>
  <c r="E37" i="38"/>
  <c r="F37" i="38" s="1"/>
  <c r="D37" i="38"/>
  <c r="B37" i="38"/>
  <c r="A37" i="38"/>
  <c r="C37" i="38"/>
  <c r="E36" i="38"/>
  <c r="F36" i="38" s="1"/>
  <c r="D36" i="38"/>
  <c r="B36" i="38"/>
  <c r="A36" i="38"/>
  <c r="C36" i="38"/>
  <c r="E35" i="38"/>
  <c r="F35" i="38" s="1"/>
  <c r="D35" i="38"/>
  <c r="B35" i="38"/>
  <c r="A35" i="38"/>
  <c r="A44" i="38"/>
  <c r="C44" i="38"/>
  <c r="E32" i="38"/>
  <c r="F32" i="38" s="1"/>
  <c r="D32" i="38"/>
  <c r="C32" i="38"/>
  <c r="B32" i="38"/>
  <c r="E31" i="38"/>
  <c r="F31" i="38" s="1"/>
  <c r="D31" i="38"/>
  <c r="C31" i="38"/>
  <c r="B31" i="38"/>
  <c r="E30" i="38"/>
  <c r="F30" i="38" s="1"/>
  <c r="D30" i="38"/>
  <c r="C30" i="38"/>
  <c r="B30" i="38"/>
  <c r="C29" i="38"/>
  <c r="F29" i="38"/>
  <c r="E28" i="38"/>
  <c r="F28" i="38" s="1"/>
  <c r="D28" i="38"/>
  <c r="C28" i="38"/>
  <c r="B28" i="38"/>
  <c r="E27" i="38"/>
  <c r="F27" i="38" s="1"/>
  <c r="D27" i="38"/>
  <c r="C27" i="38"/>
  <c r="B27" i="38"/>
  <c r="E24" i="38"/>
  <c r="F24" i="38" s="1"/>
  <c r="D24" i="38"/>
  <c r="C24" i="38"/>
  <c r="B24" i="38"/>
  <c r="E23" i="38"/>
  <c r="F23" i="38" s="1"/>
  <c r="D23" i="38"/>
  <c r="C23" i="38"/>
  <c r="B23" i="38"/>
  <c r="E22" i="38"/>
  <c r="F22" i="38" s="1"/>
  <c r="D22" i="38"/>
  <c r="C22" i="38"/>
  <c r="B22" i="38"/>
  <c r="E21" i="38"/>
  <c r="F21" i="38" s="1"/>
  <c r="D21" i="38"/>
  <c r="C21" i="38"/>
  <c r="B21" i="38"/>
  <c r="E20" i="38"/>
  <c r="F20" i="38" s="1"/>
  <c r="D20" i="38"/>
  <c r="C20" i="38"/>
  <c r="B20" i="38"/>
  <c r="E19" i="38"/>
  <c r="F19" i="38" s="1"/>
  <c r="D19" i="38"/>
  <c r="C19" i="38"/>
  <c r="B19" i="38"/>
  <c r="E18" i="38"/>
  <c r="F18" i="38" s="1"/>
  <c r="D18" i="38"/>
  <c r="C18" i="38"/>
  <c r="B18" i="38"/>
  <c r="E17" i="38"/>
  <c r="F17" i="38" s="1"/>
  <c r="D17" i="38"/>
  <c r="C17" i="38"/>
  <c r="B17" i="38"/>
  <c r="B15" i="38"/>
  <c r="E14" i="38"/>
  <c r="F14" i="38" s="1"/>
  <c r="D14" i="38"/>
  <c r="C14" i="38"/>
  <c r="B14" i="38"/>
  <c r="D13" i="38"/>
  <c r="C13" i="38"/>
  <c r="F13" i="38"/>
  <c r="B13" i="38"/>
  <c r="E12" i="38"/>
  <c r="F12" i="38" s="1"/>
  <c r="D12" i="38"/>
  <c r="C12" i="38"/>
  <c r="B12" i="38"/>
  <c r="E11" i="38"/>
  <c r="F11" i="38" s="1"/>
  <c r="D11" i="38"/>
  <c r="C11" i="38"/>
  <c r="B11" i="38"/>
  <c r="E10" i="38"/>
  <c r="F10" i="38" s="1"/>
  <c r="D10" i="38"/>
  <c r="C10" i="38"/>
  <c r="B10" i="38"/>
  <c r="E9" i="38"/>
  <c r="F9" i="38" s="1"/>
  <c r="D9" i="38"/>
  <c r="C9" i="38"/>
  <c r="B9" i="38"/>
  <c r="D8" i="38"/>
  <c r="C8" i="38"/>
  <c r="F8" i="38"/>
  <c r="B8" i="38"/>
  <c r="H6" i="38"/>
  <c r="J13" i="37"/>
  <c r="J24" i="37"/>
  <c r="J15" i="37"/>
  <c r="J16" i="37"/>
  <c r="J17" i="37"/>
  <c r="J18" i="37"/>
  <c r="J19" i="37"/>
  <c r="J10" i="37"/>
  <c r="J11" i="37"/>
  <c r="J12" i="37"/>
  <c r="J14" i="37"/>
  <c r="E9" i="37"/>
  <c r="J9" i="37" s="1"/>
  <c r="D23" i="37"/>
  <c r="D26" i="37"/>
  <c r="D27" i="37" s="1"/>
  <c r="D83" i="38"/>
  <c r="C35" i="38"/>
  <c r="C39" i="38"/>
  <c r="A47" i="38"/>
  <c r="C47" i="38"/>
  <c r="A46" i="38"/>
  <c r="C46" i="38"/>
  <c r="F46" i="38"/>
  <c r="A50" i="38"/>
  <c r="C50" i="38"/>
  <c r="F50" i="38"/>
  <c r="E51" i="38"/>
  <c r="F51" i="38"/>
  <c r="D81" i="38"/>
  <c r="A45" i="38"/>
  <c r="C45" i="38"/>
  <c r="A49" i="38"/>
  <c r="C49" i="38"/>
  <c r="E73" i="38"/>
  <c r="C85" i="38"/>
  <c r="E85" i="38"/>
  <c r="F56" i="38" l="1"/>
  <c r="F54" i="38"/>
  <c r="F53" i="38"/>
  <c r="F64" i="38" l="1"/>
  <c r="C69" i="38"/>
  <c r="H53" i="38"/>
  <c r="F2" i="38" s="1"/>
  <c r="F55" i="38"/>
  <c r="C74" i="38"/>
  <c r="H56" i="38"/>
  <c r="H2" i="38" s="1"/>
  <c r="H54" i="38"/>
  <c r="G2" i="38" s="1"/>
  <c r="C76" i="38"/>
  <c r="E76" i="38" s="1"/>
  <c r="E69" i="38" l="1"/>
  <c r="C81" i="38"/>
  <c r="E81" i="38" s="1"/>
  <c r="E74" i="38"/>
  <c r="C86" i="38"/>
  <c r="E86" i="38" s="1"/>
  <c r="O54" i="38"/>
  <c r="H55" i="38"/>
  <c r="F63" i="38"/>
  <c r="O56" i="38" l="1"/>
  <c r="O58" i="38"/>
  <c r="O55" i="38"/>
  <c r="E63" i="38"/>
  <c r="C71" i="38"/>
  <c r="F66" i="38"/>
  <c r="G63" i="38"/>
  <c r="E78" i="38"/>
  <c r="O57" i="38" l="1"/>
  <c r="O59" i="38" s="1"/>
  <c r="O60" i="38" s="1"/>
  <c r="O61" i="38" s="1"/>
  <c r="O62" i="38" s="1"/>
  <c r="G23" i="38"/>
  <c r="G29" i="38"/>
  <c r="G51" i="38"/>
  <c r="G41" i="38"/>
  <c r="G65" i="38"/>
  <c r="G44" i="38"/>
  <c r="G49" i="38"/>
  <c r="G8" i="38"/>
  <c r="G48" i="38"/>
  <c r="G13" i="38"/>
  <c r="G38" i="38"/>
  <c r="G32" i="38"/>
  <c r="G40" i="38"/>
  <c r="G9" i="38"/>
  <c r="G14" i="38"/>
  <c r="G12" i="38"/>
  <c r="G36" i="38"/>
  <c r="G66" i="38"/>
  <c r="G19" i="38"/>
  <c r="G22" i="38"/>
  <c r="G50" i="38"/>
  <c r="G18" i="38"/>
  <c r="G24" i="38"/>
  <c r="G20" i="38"/>
  <c r="G35" i="38"/>
  <c r="G39" i="38"/>
  <c r="G21" i="38"/>
  <c r="G47" i="38"/>
  <c r="G37" i="38"/>
  <c r="G28" i="38"/>
  <c r="G27" i="38"/>
  <c r="G10" i="38"/>
  <c r="G45" i="38"/>
  <c r="G11" i="38"/>
  <c r="G30" i="38"/>
  <c r="G31" i="38"/>
  <c r="G46" i="38"/>
  <c r="G17" i="38"/>
  <c r="G53" i="38"/>
  <c r="G54" i="38"/>
  <c r="G56" i="38"/>
  <c r="G64" i="38"/>
  <c r="G55" i="38"/>
  <c r="E71" i="38"/>
  <c r="C83" i="38"/>
  <c r="E83" i="38" s="1"/>
  <c r="P62" i="38" l="1"/>
  <c r="E2" i="38"/>
</calcChain>
</file>

<file path=xl/sharedStrings.xml><?xml version="1.0" encoding="utf-8"?>
<sst xmlns="http://schemas.openxmlformats.org/spreadsheetml/2006/main" count="185" uniqueCount="132">
  <si>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</si>
  <si>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</si>
  <si>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</si>
  <si>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</si>
  <si>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</si>
  <si>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</si>
  <si>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</si>
  <si>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</si>
  <si>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</si>
  <si>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1950705</t>
  </si>
  <si>
    <t>TIEMPO TOTAL DE PREPARACION</t>
  </si>
  <si>
    <t>PESO TOTAL OBTENIDO</t>
  </si>
  <si>
    <t>ALSERRO</t>
  </si>
  <si>
    <t>0610236</t>
  </si>
  <si>
    <t>1950708</t>
  </si>
  <si>
    <t>MERMA</t>
  </si>
  <si>
    <t>BOLSA 8x12 TRANSP</t>
  </si>
  <si>
    <t>MASECA</t>
  </si>
  <si>
    <t>PRIMA</t>
  </si>
  <si>
    <t>BOLSA 17x25 TRANSP</t>
  </si>
  <si>
    <t>g</t>
  </si>
  <si>
    <t>1.- Pesar la Maseca en una bolsa 17*25.</t>
  </si>
  <si>
    <t>PROCEDIMIENTO DE PREPARACION DE LA  RECETA</t>
  </si>
  <si>
    <t>OTROS</t>
  </si>
  <si>
    <t>PESO DE CADA PORCIÓN</t>
  </si>
  <si>
    <t>TEMPERATURA HORNEO</t>
  </si>
  <si>
    <t>Tanda</t>
  </si>
  <si>
    <t>CANTIDAD DE PORCIONES OBTENIDAS</t>
  </si>
  <si>
    <t>HORNO</t>
  </si>
  <si>
    <t>Minutos</t>
  </si>
  <si>
    <t>TIEMPO DE HORNEO</t>
  </si>
  <si>
    <t>Unidad</t>
  </si>
  <si>
    <t>ETIQ.FECHA VENCIMIENTO BLANCO</t>
  </si>
  <si>
    <t>0702007</t>
  </si>
  <si>
    <t>Medida alternativa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</si>
  <si>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</si>
  <si>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</si>
  <si>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</si>
  <si>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</si>
  <si>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</si>
  <si>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</si>
  <si>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CÓDIGO:</t>
  </si>
  <si>
    <t>SERVICIOS DE PASTELERIA S.A.</t>
  </si>
  <si>
    <t>Enmanuel Madrigal, Chef</t>
  </si>
  <si>
    <t xml:space="preserve">PREMEZCLAS </t>
  </si>
  <si>
    <t>PREMEZCLAS</t>
  </si>
  <si>
    <t>610220</t>
  </si>
  <si>
    <t>LAYCA</t>
  </si>
  <si>
    <t>112000009</t>
  </si>
  <si>
    <t>5000001</t>
  </si>
  <si>
    <t>ATLANTIDA</t>
  </si>
  <si>
    <t xml:space="preserve">2.- Pesar en una bolsa 8x12 el consomé, sal, azúcar, pimienta negra molida y pimiento rojo quebrado. </t>
  </si>
  <si>
    <t>3.- Introducir dentro de la bolsa de Maseca, hacer nudo y etiquetar con nombre y fecha</t>
  </si>
  <si>
    <t>CONTROL DE CAMBIOS</t>
  </si>
  <si>
    <t>0702123</t>
  </si>
  <si>
    <t>ETIQUETA BLANCA 2 5/8X1 15/16 (UND)</t>
  </si>
  <si>
    <t>PLASTICOS P</t>
  </si>
  <si>
    <t>ETIPLAS</t>
  </si>
  <si>
    <t>Ud</t>
  </si>
  <si>
    <t>10100178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</si>
  <si>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</si>
  <si>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</si>
  <si>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</si>
  <si>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</si>
  <si>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</si>
  <si>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</si>
  <si>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</si>
  <si>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</si>
  <si>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</si>
  <si>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</si>
  <si>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</si>
  <si>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</si>
  <si>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</si>
  <si>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</si>
  <si>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</si>
  <si>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</si>
  <si>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</si>
  <si>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</si>
  <si>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</si>
  <si>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</si>
  <si>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</si>
  <si>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</si>
  <si>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</si>
  <si>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</si>
  <si>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</si>
  <si>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</si>
  <si>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</si>
  <si>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</si>
  <si>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</si>
  <si>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</si>
  <si>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</si>
  <si>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</si>
  <si>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</si>
  <si>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</si>
  <si>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</si>
  <si>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</si>
  <si>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</si>
  <si>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</si>
  <si>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</si>
  <si>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</si>
  <si>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</si>
  <si>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</si>
  <si>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</si>
  <si>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</si>
  <si>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</si>
  <si>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</si>
  <si>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</si>
  <si>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</si>
  <si>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</si>
  <si>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510301</t>
  </si>
  <si>
    <t>Und</t>
  </si>
  <si>
    <t>Esteban Cartin, Gerente Manufactura</t>
  </si>
  <si>
    <t>MP10629</t>
  </si>
  <si>
    <t>MP10017</t>
  </si>
  <si>
    <t>MP10027</t>
  </si>
  <si>
    <t>MP10074</t>
  </si>
  <si>
    <t>MP10038</t>
  </si>
  <si>
    <t>MP10599</t>
  </si>
  <si>
    <t>EM10013</t>
  </si>
  <si>
    <t>EM10037</t>
  </si>
  <si>
    <t>EM10004</t>
  </si>
  <si>
    <t>EM10011</t>
  </si>
  <si>
    <t>Premezcla Batido Tamales 7509 g 901000019 (SE00555)</t>
  </si>
  <si>
    <t>MASECA GRANEL</t>
  </si>
  <si>
    <t>CONSOME POLLO</t>
  </si>
  <si>
    <t>SAL INDUSTRIA</t>
  </si>
  <si>
    <t>AZUCAR BLANCO INDUSTRIAL</t>
  </si>
  <si>
    <t>PIMIENTA NEGRA MOLIDA</t>
  </si>
  <si>
    <t>CHILE ROJO TRITURADO</t>
  </si>
  <si>
    <t>SYSCO</t>
  </si>
  <si>
    <t>01</t>
  </si>
  <si>
    <t>ESP-RE-PRES-040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</si>
</sst>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_([$€]* #,##0.00_);_([$€]* \(#,##0.00\);_([$€]* &quot;-&quot;??_);_(@_)"/>
    <numFmt numFmtId="170" formatCode="[$-409]d\-mmm\-yy;@"/>
    <numFmt numFmtId="171" formatCode="_-* #,##0.0\ _€_-;\-* #,##0.0\ _€_-;_-* &quot;-&quot;??\ _€_-;_-@_-"/>
  </numFmts>
  <fonts count="4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0"/>
      <color rgb="FF000000"/>
      <name val="Century Gothic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4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41">
    <xf numFmtId="0" fontId="0" fillId="0" borderId="0" xfId="0"/>
    <xf numFmtId="0" fontId="6" fillId="2" borderId="0" xfId="0" applyFont="1" applyFill="1"/>
    <xf numFmtId="0" fontId="6" fillId="2" borderId="0" xfId="0" applyFont="1" applyFill="1" applyAlignment="1">
      <alignment horizontal="left" indent="1"/>
    </xf>
    <xf numFmtId="9" fontId="6" fillId="2" borderId="0" xfId="7" applyFont="1" applyFill="1"/>
    <xf numFmtId="0" fontId="7" fillId="3" borderId="11" xfId="0" applyFont="1" applyFill="1" applyBorder="1" applyAlignment="1">
      <alignment horizontal="center"/>
    </xf>
    <xf numFmtId="1" fontId="7" fillId="3" borderId="12" xfId="0" applyNumberFormat="1" applyFont="1" applyFill="1" applyBorder="1" applyAlignment="1">
      <alignment horizontal="center" wrapText="1"/>
    </xf>
    <xf numFmtId="1" fontId="7" fillId="3" borderId="12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vertical="center" wrapText="1"/>
    </xf>
    <xf numFmtId="0" fontId="7" fillId="2" borderId="1" xfId="5" applyFont="1" applyFill="1" applyBorder="1" applyAlignment="1">
      <alignment horizontal="right"/>
    </xf>
    <xf numFmtId="0" fontId="6" fillId="2" borderId="13" xfId="5" applyFont="1" applyFill="1" applyBorder="1" applyAlignment="1">
      <alignment horizontal="left"/>
    </xf>
    <xf numFmtId="0" fontId="7" fillId="2" borderId="14" xfId="5" applyFont="1" applyFill="1" applyBorder="1" applyAlignment="1">
      <alignment horizontal="right"/>
    </xf>
    <xf numFmtId="0" fontId="6" fillId="2" borderId="15" xfId="5" applyFont="1" applyFill="1" applyBorder="1" applyAlignment="1">
      <alignment horizontal="right" vertical="center"/>
    </xf>
    <xf numFmtId="0" fontId="6" fillId="2" borderId="16" xfId="5" applyFont="1" applyFill="1" applyBorder="1" applyAlignment="1">
      <alignment horizontal="right" vertical="center"/>
    </xf>
    <xf numFmtId="0" fontId="3" fillId="9" borderId="0" xfId="0" applyFont="1" applyFill="1" applyAlignme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6" fontId="8" fillId="0" borderId="1" xfId="2" applyFont="1" applyFill="1" applyBorder="1" applyAlignment="1">
      <alignment horizontal="center" vertical="center"/>
    </xf>
    <xf numFmtId="166" fontId="8" fillId="0" borderId="0" xfId="2" applyFont="1" applyFill="1" applyBorder="1" applyAlignment="1">
      <alignment horizontal="center" vertical="center"/>
    </xf>
    <xf numFmtId="166" fontId="10" fillId="0" borderId="0" xfId="2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70" fontId="13" fillId="0" borderId="0" xfId="0" applyNumberFormat="1" applyFont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3" applyNumberFormat="1" applyFont="1" applyFill="1" applyAlignment="1">
      <alignment horizontal="center" vertical="center"/>
    </xf>
    <xf numFmtId="4" fontId="8" fillId="0" borderId="0" xfId="3" applyNumberFormat="1" applyFont="1" applyFill="1" applyAlignment="1">
      <alignment horizontal="center" vertical="center"/>
    </xf>
    <xf numFmtId="10" fontId="8" fillId="0" borderId="0" xfId="6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6" applyNumberFormat="1" applyFont="1" applyFill="1" applyAlignment="1">
      <alignment vertical="center"/>
    </xf>
    <xf numFmtId="0" fontId="3" fillId="0" borderId="0" xfId="0" applyFont="1"/>
    <xf numFmtId="49" fontId="8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6" fontId="3" fillId="0" borderId="0" xfId="2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2" applyNumberFormat="1" applyFont="1" applyFill="1" applyAlignment="1">
      <alignment vertical="center"/>
    </xf>
    <xf numFmtId="166" fontId="16" fillId="0" borderId="0" xfId="2" applyFont="1" applyFill="1" applyAlignment="1">
      <alignment horizontal="center" vertical="center"/>
    </xf>
    <xf numFmtId="10" fontId="9" fillId="4" borderId="24" xfId="6" applyNumberFormat="1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166" fontId="16" fillId="4" borderId="25" xfId="2" applyFont="1" applyFill="1" applyBorder="1" applyAlignment="1">
      <alignment horizontal="center" vertical="center"/>
    </xf>
    <xf numFmtId="166" fontId="18" fillId="0" borderId="0" xfId="2" applyFont="1" applyFill="1" applyBorder="1" applyAlignment="1">
      <alignment horizontal="right"/>
    </xf>
    <xf numFmtId="0" fontId="3" fillId="4" borderId="25" xfId="0" applyFont="1" applyFill="1" applyBorder="1" applyAlignment="1">
      <alignment vertical="center"/>
    </xf>
    <xf numFmtId="10" fontId="9" fillId="4" borderId="25" xfId="6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35" fillId="0" borderId="0" xfId="6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2" applyNumberFormat="1" applyFont="1" applyFill="1" applyAlignment="1">
      <alignment vertical="center"/>
    </xf>
    <xf numFmtId="4" fontId="16" fillId="0" borderId="0" xfId="3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5" xfId="0" applyFont="1" applyBorder="1" applyAlignment="1">
      <alignment horizontal="right"/>
    </xf>
    <xf numFmtId="166" fontId="21" fillId="5" borderId="26" xfId="2" applyFont="1" applyFill="1" applyBorder="1" applyAlignment="1">
      <alignment horizontal="right"/>
    </xf>
    <xf numFmtId="166" fontId="21" fillId="0" borderId="0" xfId="2" applyFont="1" applyFill="1" applyBorder="1" applyAlignment="1">
      <alignment horizontal="right"/>
    </xf>
    <xf numFmtId="166" fontId="8" fillId="0" borderId="1" xfId="2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6" fillId="0" borderId="0" xfId="3" applyNumberFormat="1" applyFont="1" applyFill="1" applyAlignment="1">
      <alignment horizontal="center" vertical="center"/>
    </xf>
    <xf numFmtId="10" fontId="23" fillId="0" borderId="0" xfId="6" applyNumberFormat="1" applyFont="1" applyFill="1" applyAlignment="1">
      <alignment horizontal="right"/>
    </xf>
    <xf numFmtId="171" fontId="8" fillId="4" borderId="1" xfId="2" applyNumberFormat="1" applyFont="1" applyFill="1" applyBorder="1" applyAlignment="1">
      <alignment vertical="center"/>
    </xf>
    <xf numFmtId="4" fontId="3" fillId="0" borderId="0" xfId="0" applyNumberFormat="1" applyFont="1" applyAlignment="1">
      <alignment horizontal="center" vertical="center"/>
    </xf>
    <xf numFmtId="166" fontId="8" fillId="6" borderId="1" xfId="2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2" applyNumberFormat="1" applyFont="1" applyFill="1" applyBorder="1" applyAlignment="1">
      <alignment horizontal="center"/>
    </xf>
    <xf numFmtId="2" fontId="20" fillId="0" borderId="0" xfId="2" applyNumberFormat="1" applyFont="1" applyFill="1" applyBorder="1" applyAlignment="1">
      <alignment horizontal="center"/>
    </xf>
    <xf numFmtId="0" fontId="3" fillId="4" borderId="27" xfId="0" applyFont="1" applyFill="1" applyBorder="1" applyAlignment="1">
      <alignment vertical="center"/>
    </xf>
    <xf numFmtId="10" fontId="3" fillId="0" borderId="0" xfId="6" applyNumberFormat="1" applyFont="1" applyFill="1" applyAlignment="1">
      <alignment vertical="center"/>
    </xf>
    <xf numFmtId="4" fontId="3" fillId="0" borderId="0" xfId="2" applyNumberFormat="1" applyFont="1" applyFill="1" applyAlignment="1">
      <alignment vertical="center"/>
    </xf>
    <xf numFmtId="166" fontId="21" fillId="4" borderId="3" xfId="2" applyFont="1" applyFill="1" applyBorder="1" applyAlignment="1">
      <alignment horizontal="right"/>
    </xf>
    <xf numFmtId="0" fontId="8" fillId="4" borderId="2" xfId="0" applyFont="1" applyFill="1" applyBorder="1" applyAlignment="1">
      <alignment horizontal="right" vertical="center"/>
    </xf>
    <xf numFmtId="10" fontId="27" fillId="0" borderId="0" xfId="2" applyNumberFormat="1" applyFont="1" applyFill="1" applyAlignment="1">
      <alignment vertical="center"/>
    </xf>
    <xf numFmtId="10" fontId="9" fillId="0" borderId="0" xfId="6" applyNumberFormat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66" fontId="29" fillId="0" borderId="0" xfId="2" applyFont="1" applyFill="1" applyAlignment="1">
      <alignment vertical="center"/>
    </xf>
    <xf numFmtId="4" fontId="30" fillId="0" borderId="0" xfId="3" applyNumberFormat="1" applyFont="1" applyFill="1" applyAlignment="1">
      <alignment horizontal="center" vertical="center" wrapText="1"/>
    </xf>
    <xf numFmtId="9" fontId="3" fillId="0" borderId="0" xfId="2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2" applyNumberFormat="1" applyFont="1" applyFill="1" applyAlignment="1">
      <alignment vertical="center"/>
    </xf>
    <xf numFmtId="4" fontId="8" fillId="7" borderId="26" xfId="2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31" fillId="0" borderId="0" xfId="2" applyFont="1" applyFill="1" applyAlignment="1">
      <alignment vertical="center"/>
    </xf>
    <xf numFmtId="9" fontId="31" fillId="0" borderId="0" xfId="2" applyNumberFormat="1" applyFont="1" applyFill="1" applyAlignment="1">
      <alignment vertical="center"/>
    </xf>
    <xf numFmtId="4" fontId="8" fillId="0" borderId="0" xfId="2" applyNumberFormat="1" applyFont="1" applyFill="1" applyAlignment="1">
      <alignment horizontal="center" vertical="center"/>
    </xf>
    <xf numFmtId="10" fontId="24" fillId="0" borderId="0" xfId="6" applyNumberFormat="1" applyFont="1" applyFill="1" applyAlignment="1">
      <alignment vertical="center"/>
    </xf>
    <xf numFmtId="166" fontId="24" fillId="0" borderId="0" xfId="2" applyFont="1" applyFill="1" applyBorder="1" applyAlignment="1">
      <alignment vertical="center"/>
    </xf>
    <xf numFmtId="4" fontId="3" fillId="0" borderId="0" xfId="0" applyNumberFormat="1" applyFont="1" applyAlignment="1">
      <alignment horizontal="center"/>
    </xf>
    <xf numFmtId="166" fontId="3" fillId="0" borderId="0" xfId="2" applyFont="1" applyFill="1" applyBorder="1"/>
    <xf numFmtId="10" fontId="24" fillId="0" borderId="0" xfId="6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6" fontId="3" fillId="0" borderId="0" xfId="2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6" fontId="8" fillId="0" borderId="0" xfId="0" applyNumberFormat="1" applyFont="1"/>
    <xf numFmtId="2" fontId="14" fillId="11" borderId="0" xfId="0" applyNumberFormat="1" applyFont="1" applyFill="1" applyAlignment="1">
      <alignment horizontal="center"/>
    </xf>
    <xf numFmtId="0" fontId="3" fillId="11" borderId="0" xfId="0" applyFont="1" applyFill="1" applyAlignment="1">
      <alignment vertical="center"/>
    </xf>
    <xf numFmtId="4" fontId="14" fillId="11" borderId="0" xfId="3" applyNumberFormat="1" applyFont="1" applyFill="1" applyAlignment="1">
      <alignment horizontal="center" vertical="center"/>
    </xf>
    <xf numFmtId="4" fontId="8" fillId="11" borderId="0" xfId="3" applyNumberFormat="1" applyFont="1" applyFill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2" borderId="28" xfId="5" applyFont="1" applyFill="1" applyBorder="1" applyAlignment="1">
      <alignment horizontal="center"/>
    </xf>
    <xf numFmtId="0" fontId="6" fillId="2" borderId="47" xfId="5" applyFont="1" applyFill="1" applyBorder="1" applyAlignment="1">
      <alignment horizontal="center"/>
    </xf>
    <xf numFmtId="0" fontId="6" fillId="2" borderId="6" xfId="5" applyFont="1" applyFill="1" applyBorder="1" applyAlignment="1">
      <alignment horizontal="center"/>
    </xf>
    <xf numFmtId="0" fontId="6" fillId="2" borderId="46" xfId="5" applyFont="1" applyFill="1" applyBorder="1" applyAlignment="1">
      <alignment horizontal="center"/>
    </xf>
    <xf numFmtId="0" fontId="6" fillId="2" borderId="42" xfId="5" applyFont="1" applyFill="1" applyBorder="1" applyAlignment="1">
      <alignment horizontal="center"/>
    </xf>
    <xf numFmtId="0" fontId="6" fillId="2" borderId="48" xfId="5" applyFont="1" applyFill="1" applyBorder="1" applyAlignment="1">
      <alignment horizontal="center"/>
    </xf>
    <xf numFmtId="0" fontId="7" fillId="2" borderId="1" xfId="5" applyFont="1" applyFill="1" applyBorder="1" applyAlignment="1">
      <alignment horizontal="right" vertical="top" wrapText="1"/>
    </xf>
    <xf numFmtId="0" fontId="7" fillId="2" borderId="12" xfId="5" applyFont="1" applyFill="1" applyBorder="1" applyAlignment="1">
      <alignment horizontal="right" vertical="top" wrapText="1"/>
    </xf>
    <xf numFmtId="14" fontId="6" fillId="2" borderId="7" xfId="5" applyNumberFormat="1" applyFont="1" applyFill="1" applyBorder="1" applyAlignment="1">
      <alignment horizontal="center" vertical="center" wrapText="1"/>
    </xf>
    <xf numFmtId="14" fontId="6" fillId="2" borderId="11" xfId="5" applyNumberFormat="1" applyFont="1" applyFill="1" applyBorder="1" applyAlignment="1">
      <alignment horizontal="center" vertical="center" wrapText="1"/>
    </xf>
    <xf numFmtId="0" fontId="6" fillId="2" borderId="12" xfId="5" applyFont="1" applyFill="1" applyBorder="1" applyAlignment="1">
      <alignment horizontal="left" vertical="center"/>
    </xf>
    <xf numFmtId="0" fontId="5" fillId="2" borderId="6" xfId="5" applyFont="1" applyFill="1" applyBorder="1" applyAlignment="1">
      <alignment horizontal="right" vertical="center"/>
    </xf>
    <xf numFmtId="0" fontId="5" fillId="2" borderId="0" xfId="5" applyFont="1" applyFill="1" applyAlignment="1">
      <alignment horizontal="right" vertical="center"/>
    </xf>
    <xf numFmtId="0" fontId="5" fillId="2" borderId="0" xfId="5" applyFont="1" applyFill="1" applyAlignment="1">
      <alignment vertical="center"/>
    </xf>
    <xf numFmtId="0" fontId="6" fillId="2" borderId="1" xfId="5" applyFont="1" applyFill="1" applyBorder="1" applyAlignment="1">
      <alignment horizontal="left" vertical="center"/>
    </xf>
    <xf numFmtId="0" fontId="5" fillId="2" borderId="38" xfId="5" applyFont="1" applyFill="1" applyBorder="1" applyAlignment="1">
      <alignment horizontal="center"/>
    </xf>
    <xf numFmtId="0" fontId="5" fillId="2" borderId="14" xfId="5" applyFont="1" applyFill="1" applyBorder="1" applyAlignment="1">
      <alignment horizontal="center"/>
    </xf>
    <xf numFmtId="0" fontId="5" fillId="2" borderId="15" xfId="5" applyFont="1" applyFill="1" applyBorder="1" applyAlignment="1">
      <alignment horizontal="center"/>
    </xf>
    <xf numFmtId="0" fontId="5" fillId="2" borderId="1" xfId="5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right" vertical="center" wrapText="1"/>
    </xf>
    <xf numFmtId="0" fontId="24" fillId="0" borderId="1" xfId="0" applyFont="1" applyBorder="1" applyAlignment="1">
      <alignment horizontal="right" vertical="center"/>
    </xf>
    <xf numFmtId="0" fontId="25" fillId="0" borderId="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5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28" xfId="0" applyFont="1" applyBorder="1" applyAlignment="1">
      <alignment horizontal="right"/>
    </xf>
    <xf numFmtId="0" fontId="17" fillId="0" borderId="29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right" vertical="center"/>
    </xf>
    <xf numFmtId="0" fontId="32" fillId="0" borderId="3" xfId="0" applyFont="1" applyBorder="1" applyAlignment="1">
      <alignment horizontal="right" vertical="center"/>
    </xf>
    <xf numFmtId="0" fontId="32" fillId="0" borderId="2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36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4" xfId="0" applyFont="1" applyFill="1" applyBorder="1" applyAlignment="1">
      <alignment horizontal="right"/>
    </xf>
    <xf numFmtId="0" fontId="21" fillId="4" borderId="3" xfId="0" applyFont="1" applyFill="1" applyBorder="1" applyAlignment="1">
      <alignment horizontal="right"/>
    </xf>
    <xf numFmtId="0" fontId="3" fillId="0" borderId="0" xfId="0" applyFont="1" applyAlignment="1">
      <alignment horizontal="right" vertical="center"/>
    </xf>
    <xf numFmtId="0" fontId="8" fillId="0" borderId="36" xfId="0" applyFont="1" applyBorder="1" applyAlignment="1">
      <alignment horizontal="right" vertical="center"/>
    </xf>
    <xf numFmtId="0" fontId="8" fillId="0" borderId="43" xfId="0" applyFont="1" applyBorder="1" applyAlignment="1">
      <alignment horizontal="right" vertical="center"/>
    </xf>
    <xf numFmtId="0" fontId="8" fillId="8" borderId="4" xfId="0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right" vertical="center"/>
    </xf>
    <xf numFmtId="4" fontId="30" fillId="0" borderId="0" xfId="3" applyNumberFormat="1" applyFont="1" applyFill="1" applyAlignment="1">
      <alignment horizontal="center" vertical="center" wrapText="1"/>
    </xf>
    <xf numFmtId="0" fontId="37" fillId="0" borderId="8" xfId="4" applyFont="1" applyBorder="1" applyAlignment="1">
      <alignment horizontal="center"/>
    </xf>
    <xf numFmtId="0" fontId="37" fillId="0" borderId="15" xfId="4" applyFont="1" applyBorder="1" applyAlignment="1">
      <alignment horizontal="center"/>
    </xf>
    <xf numFmtId="49" fontId="37" fillId="0" borderId="1" xfId="4" applyNumberFormat="1" applyFont="1" applyBorder="1"/>
    <xf numFmtId="0" fontId="37" fillId="0" borderId="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/>
    </xf>
    <xf numFmtId="1" fontId="37" fillId="0" borderId="1" xfId="0" applyNumberFormat="1" applyFont="1" applyBorder="1" applyAlignment="1">
      <alignment horizontal="center" wrapText="1"/>
    </xf>
    <xf numFmtId="167" fontId="37" fillId="0" borderId="1" xfId="0" applyNumberFormat="1" applyFont="1" applyBorder="1" applyAlignment="1">
      <alignment horizontal="center"/>
    </xf>
    <xf numFmtId="0" fontId="38" fillId="9" borderId="7" xfId="0" applyFont="1" applyFill="1" applyBorder="1" applyAlignment="1">
      <alignment horizontal="center"/>
    </xf>
    <xf numFmtId="1" fontId="37" fillId="0" borderId="10" xfId="0" applyNumberFormat="1" applyFont="1" applyBorder="1"/>
    <xf numFmtId="0" fontId="38" fillId="9" borderId="9" xfId="0" applyFont="1" applyFill="1" applyBorder="1" applyAlignment="1">
      <alignment horizontal="center"/>
    </xf>
    <xf numFmtId="49" fontId="37" fillId="0" borderId="8" xfId="4" applyNumberFormat="1" applyFont="1" applyBorder="1" applyAlignment="1">
      <alignment horizontal="center"/>
    </xf>
    <xf numFmtId="1" fontId="37" fillId="0" borderId="1" xfId="0" applyNumberFormat="1" applyFont="1" applyBorder="1"/>
    <xf numFmtId="2" fontId="37" fillId="0" borderId="1" xfId="0" applyNumberFormat="1" applyFont="1" applyBorder="1"/>
    <xf numFmtId="0" fontId="37" fillId="0" borderId="8" xfId="0" quotePrefix="1" applyFont="1" applyBorder="1" applyAlignment="1">
      <alignment horizontal="right"/>
    </xf>
    <xf numFmtId="0" fontId="37" fillId="0" borderId="15" xfId="0" quotePrefix="1" applyFont="1" applyBorder="1" applyAlignment="1">
      <alignment horizontal="right"/>
    </xf>
    <xf numFmtId="0" fontId="37" fillId="0" borderId="1" xfId="0" quotePrefix="1" applyFont="1" applyBorder="1"/>
    <xf numFmtId="0" fontId="37" fillId="0" borderId="1" xfId="0" applyFont="1" applyBorder="1"/>
    <xf numFmtId="0" fontId="37" fillId="0" borderId="7" xfId="0" applyFont="1" applyBorder="1" applyAlignment="1">
      <alignment horizontal="center"/>
    </xf>
    <xf numFmtId="49" fontId="39" fillId="2" borderId="6" xfId="0" applyNumberFormat="1" applyFont="1" applyFill="1" applyBorder="1" applyAlignment="1">
      <alignment horizontal="center" vertical="center"/>
    </xf>
    <xf numFmtId="49" fontId="39" fillId="2" borderId="0" xfId="0" applyNumberFormat="1" applyFont="1" applyFill="1" applyAlignment="1">
      <alignment horizontal="center" vertical="center"/>
    </xf>
    <xf numFmtId="0" fontId="37" fillId="2" borderId="0" xfId="0" applyFont="1" applyFill="1"/>
    <xf numFmtId="1" fontId="37" fillId="2" borderId="0" xfId="0" applyNumberFormat="1" applyFont="1" applyFill="1" applyAlignment="1">
      <alignment horizontal="center"/>
    </xf>
    <xf numFmtId="168" fontId="37" fillId="2" borderId="0" xfId="0" applyNumberFormat="1" applyFont="1" applyFill="1" applyAlignment="1">
      <alignment horizontal="center" wrapText="1"/>
    </xf>
    <xf numFmtId="0" fontId="37" fillId="2" borderId="5" xfId="0" applyFont="1" applyFill="1" applyBorder="1" applyAlignment="1">
      <alignment horizontal="center"/>
    </xf>
    <xf numFmtId="0" fontId="37" fillId="3" borderId="4" xfId="0" applyFont="1" applyFill="1" applyBorder="1" applyAlignment="1">
      <alignment horizontal="center"/>
    </xf>
    <xf numFmtId="0" fontId="37" fillId="3" borderId="3" xfId="0" applyFont="1" applyFill="1" applyBorder="1" applyAlignment="1">
      <alignment horizontal="center"/>
    </xf>
    <xf numFmtId="0" fontId="37" fillId="3" borderId="3" xfId="0" applyFont="1" applyFill="1" applyBorder="1"/>
    <xf numFmtId="0" fontId="38" fillId="3" borderId="3" xfId="0" applyFont="1" applyFill="1" applyBorder="1" applyAlignment="1">
      <alignment horizontal="center"/>
    </xf>
    <xf numFmtId="1" fontId="38" fillId="3" borderId="3" xfId="0" applyNumberFormat="1" applyFont="1" applyFill="1" applyBorder="1" applyAlignment="1">
      <alignment horizontal="center"/>
    </xf>
    <xf numFmtId="168" fontId="37" fillId="3" borderId="3" xfId="0" applyNumberFormat="1" applyFont="1" applyFill="1" applyBorder="1" applyAlignment="1">
      <alignment horizontal="center" wrapText="1"/>
    </xf>
    <xf numFmtId="0" fontId="37" fillId="3" borderId="2" xfId="0" applyFont="1" applyFill="1" applyBorder="1" applyAlignment="1">
      <alignment horizontal="center"/>
    </xf>
    <xf numFmtId="0" fontId="38" fillId="0" borderId="33" xfId="0" applyFont="1" applyBorder="1" applyAlignment="1">
      <alignment horizontal="right" vertical="center"/>
    </xf>
    <xf numFmtId="0" fontId="38" fillId="0" borderId="41" xfId="0" applyFont="1" applyBorder="1" applyAlignment="1">
      <alignment horizontal="right" vertical="center"/>
    </xf>
    <xf numFmtId="0" fontId="38" fillId="0" borderId="34" xfId="0" applyFont="1" applyBorder="1" applyAlignment="1">
      <alignment horizontal="right" vertical="center"/>
    </xf>
    <xf numFmtId="1" fontId="38" fillId="0" borderId="10" xfId="0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8" fillId="0" borderId="10" xfId="0" applyFont="1" applyBorder="1" applyAlignment="1">
      <alignment horizontal="right" vertical="center"/>
    </xf>
    <xf numFmtId="0" fontId="37" fillId="2" borderId="17" xfId="0" applyFont="1" applyFill="1" applyBorder="1" applyAlignment="1">
      <alignment horizontal="center"/>
    </xf>
    <xf numFmtId="0" fontId="37" fillId="2" borderId="35" xfId="0" applyFont="1" applyFill="1" applyBorder="1" applyAlignment="1">
      <alignment horizontal="center"/>
    </xf>
    <xf numFmtId="0" fontId="38" fillId="0" borderId="37" xfId="0" applyFont="1" applyBorder="1" applyAlignment="1">
      <alignment horizontal="right" vertical="center"/>
    </xf>
    <xf numFmtId="0" fontId="38" fillId="0" borderId="44" xfId="0" applyFont="1" applyBorder="1" applyAlignment="1">
      <alignment horizontal="right" vertical="center"/>
    </xf>
    <xf numFmtId="0" fontId="38" fillId="0" borderId="15" xfId="0" applyFont="1" applyBorder="1" applyAlignment="1">
      <alignment horizontal="right" vertical="center"/>
    </xf>
    <xf numFmtId="0" fontId="38" fillId="0" borderId="1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8" fillId="0" borderId="1" xfId="0" applyFont="1" applyBorder="1" applyAlignment="1">
      <alignment horizontal="right" vertical="center"/>
    </xf>
    <xf numFmtId="168" fontId="37" fillId="0" borderId="18" xfId="0" applyNumberFormat="1" applyFont="1" applyBorder="1" applyAlignment="1">
      <alignment horizontal="center"/>
    </xf>
    <xf numFmtId="168" fontId="37" fillId="0" borderId="30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38" fillId="0" borderId="32" xfId="0" applyFont="1" applyBorder="1" applyAlignment="1">
      <alignment horizontal="right" vertical="center"/>
    </xf>
    <xf numFmtId="0" fontId="38" fillId="0" borderId="45" xfId="0" applyFont="1" applyBorder="1" applyAlignment="1">
      <alignment horizontal="right" vertical="center"/>
    </xf>
    <xf numFmtId="0" fontId="38" fillId="0" borderId="19" xfId="0" applyFont="1" applyBorder="1" applyAlignment="1">
      <alignment horizontal="right" vertical="center"/>
    </xf>
    <xf numFmtId="1" fontId="37" fillId="0" borderId="19" xfId="0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68" fontId="37" fillId="0" borderId="20" xfId="0" applyNumberFormat="1" applyFont="1" applyBorder="1" applyAlignment="1">
      <alignment horizontal="center"/>
    </xf>
    <xf numFmtId="168" fontId="37" fillId="0" borderId="31" xfId="0" applyNumberFormat="1" applyFont="1" applyBorder="1" applyAlignment="1">
      <alignment horizontal="center"/>
    </xf>
    <xf numFmtId="0" fontId="37" fillId="0" borderId="33" xfId="4" applyFont="1" applyBorder="1" applyAlignment="1">
      <alignment horizontal="left"/>
    </xf>
    <xf numFmtId="0" fontId="37" fillId="0" borderId="41" xfId="4" applyFont="1" applyBorder="1" applyAlignment="1">
      <alignment horizontal="left"/>
    </xf>
    <xf numFmtId="0" fontId="37" fillId="0" borderId="35" xfId="4" applyFont="1" applyBorder="1" applyAlignment="1">
      <alignment horizontal="left"/>
    </xf>
    <xf numFmtId="0" fontId="42" fillId="2" borderId="36" xfId="5" applyFont="1" applyFill="1" applyBorder="1" applyAlignment="1">
      <alignment horizontal="center" vertical="center"/>
    </xf>
    <xf numFmtId="14" fontId="42" fillId="2" borderId="5" xfId="5" applyNumberFormat="1" applyFont="1" applyFill="1" applyBorder="1" applyAlignment="1">
      <alignment horizontal="center" vertical="center" wrapText="1"/>
    </xf>
    <xf numFmtId="49" fontId="1" fillId="2" borderId="7" xfId="5" applyNumberFormat="1" applyFont="1" applyFill="1" applyBorder="1" applyAlignment="1">
      <alignment horizontal="center"/>
    </xf>
    <xf numFmtId="0" fontId="38" fillId="3" borderId="4" xfId="0" applyFont="1" applyFill="1" applyBorder="1" applyAlignment="1">
      <alignment horizontal="center"/>
    </xf>
    <xf numFmtId="0" fontId="38" fillId="3" borderId="3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41" fillId="12" borderId="1" xfId="4" applyFont="1" applyFill="1" applyBorder="1" applyAlignment="1">
      <alignment horizontal="left" vertical="center"/>
    </xf>
    <xf numFmtId="0" fontId="37" fillId="0" borderId="6" xfId="4" applyFont="1" applyBorder="1" applyAlignment="1">
      <alignment horizontal="left"/>
    </xf>
    <xf numFmtId="0" fontId="37" fillId="0" borderId="0" xfId="4" applyFont="1" applyBorder="1" applyAlignment="1">
      <alignment horizontal="left"/>
    </xf>
    <xf numFmtId="0" fontId="37" fillId="0" borderId="5" xfId="4" applyFont="1" applyBorder="1" applyAlignment="1">
      <alignment horizontal="left"/>
    </xf>
    <xf numFmtId="0" fontId="40" fillId="13" borderId="1" xfId="4" applyFont="1" applyFill="1" applyBorder="1" applyAlignment="1">
      <alignment horizontal="center" vertical="center"/>
    </xf>
    <xf numFmtId="0" fontId="43" fillId="5" borderId="15" xfId="5" applyFont="1" applyFill="1" applyBorder="1" applyAlignment="1">
      <alignment horizontal="center" vertical="center" wrapText="1"/>
    </xf>
    <xf numFmtId="0" fontId="43" fillId="5" borderId="1" xfId="5" applyFont="1" applyFill="1" applyBorder="1" applyAlignment="1">
      <alignment horizontal="center" vertical="center" wrapText="1"/>
    </xf>
    <xf numFmtId="0" fontId="36" fillId="12" borderId="1" xfId="4" applyFont="1" applyFill="1" applyBorder="1" applyAlignment="1">
      <alignment horizontal="left" vertical="center"/>
    </xf>
  </cellXfs>
  <cellStyles count="8">
    <cellStyle name="Euro" xfId="1" xr:uid="{00000000-0005-0000-0000-000000000000}"/>
    <cellStyle name="Millares" xfId="2" builtinId="3"/>
    <cellStyle name="Millares [0]" xfId="3" builtinId="6"/>
    <cellStyle name="Normal" xfId="0" builtinId="0"/>
    <cellStyle name="Normal 2" xfId="4" xr:uid="{00000000-0005-0000-0000-000004000000}"/>
    <cellStyle name="Normal_CRITERIOS DE EVALUACION PT DE GB 2" xfId="5" xr:uid="{00000000-0005-0000-0000-000005000000}"/>
    <cellStyle name="Porcentaje" xfId="6" builtinId="5"/>
    <cellStyle name="Porcentaje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35" name="Picture 1">
          <a:extLst>
            <a:ext uri="{FF2B5EF4-FFF2-40B4-BE49-F238E27FC236}">
              <a16:creationId xmlns:a16="http://schemas.microsoft.com/office/drawing/2014/main" id="{910F7809-2847-70FD-AF37-B81B6997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36" name="Picture 2">
          <a:extLst>
            <a:ext uri="{FF2B5EF4-FFF2-40B4-BE49-F238E27FC236}">
              <a16:creationId xmlns:a16="http://schemas.microsoft.com/office/drawing/2014/main" id="{2DD08C3D-6DE3-A46B-499E-DF333B204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37" name="Picture 4">
          <a:extLst>
            <a:ext uri="{FF2B5EF4-FFF2-40B4-BE49-F238E27FC236}">
              <a16:creationId xmlns:a16="http://schemas.microsoft.com/office/drawing/2014/main" id="{7017FEFB-44DF-7F3F-38FF-E9FBED7B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38" name="Picture 5">
          <a:extLst>
            <a:ext uri="{FF2B5EF4-FFF2-40B4-BE49-F238E27FC236}">
              <a16:creationId xmlns:a16="http://schemas.microsoft.com/office/drawing/2014/main" id="{44B16032-8B52-DC38-EE03-D427587A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39" name="Picture 7">
          <a:extLst>
            <a:ext uri="{FF2B5EF4-FFF2-40B4-BE49-F238E27FC236}">
              <a16:creationId xmlns:a16="http://schemas.microsoft.com/office/drawing/2014/main" id="{F77521FC-C621-11AF-53DB-B1A91B4B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0" name="Picture 8">
          <a:extLst>
            <a:ext uri="{FF2B5EF4-FFF2-40B4-BE49-F238E27FC236}">
              <a16:creationId xmlns:a16="http://schemas.microsoft.com/office/drawing/2014/main" id="{D94BC7EF-06E2-5A4C-347F-3A461ECD8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1" name="Picture 10">
          <a:extLst>
            <a:ext uri="{FF2B5EF4-FFF2-40B4-BE49-F238E27FC236}">
              <a16:creationId xmlns:a16="http://schemas.microsoft.com/office/drawing/2014/main" id="{42446EB6-1B47-BDB4-2D2F-E1E000F87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2" name="Picture 11">
          <a:extLst>
            <a:ext uri="{FF2B5EF4-FFF2-40B4-BE49-F238E27FC236}">
              <a16:creationId xmlns:a16="http://schemas.microsoft.com/office/drawing/2014/main" id="{B51F7D9A-5B00-D48F-28B6-927A3DB73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3" name="Picture 13">
          <a:extLst>
            <a:ext uri="{FF2B5EF4-FFF2-40B4-BE49-F238E27FC236}">
              <a16:creationId xmlns:a16="http://schemas.microsoft.com/office/drawing/2014/main" id="{AD2A2A2C-A3AF-8D1E-8781-6985828B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4" name="Picture 14">
          <a:extLst>
            <a:ext uri="{FF2B5EF4-FFF2-40B4-BE49-F238E27FC236}">
              <a16:creationId xmlns:a16="http://schemas.microsoft.com/office/drawing/2014/main" id="{1D7810C0-6A69-E647-0452-424E769BC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5" name="Picture 16">
          <a:extLst>
            <a:ext uri="{FF2B5EF4-FFF2-40B4-BE49-F238E27FC236}">
              <a16:creationId xmlns:a16="http://schemas.microsoft.com/office/drawing/2014/main" id="{EB4D7E67-48BC-9C57-C016-D228332D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6" name="Picture 17">
          <a:extLst>
            <a:ext uri="{FF2B5EF4-FFF2-40B4-BE49-F238E27FC236}">
              <a16:creationId xmlns:a16="http://schemas.microsoft.com/office/drawing/2014/main" id="{CB9F7232-FD63-1590-7F9F-CB74ACD3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7" name="Picture 19">
          <a:extLst>
            <a:ext uri="{FF2B5EF4-FFF2-40B4-BE49-F238E27FC236}">
              <a16:creationId xmlns:a16="http://schemas.microsoft.com/office/drawing/2014/main" id="{1E9C40B4-C500-6404-1822-2B92A20C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8" name="Picture 20">
          <a:extLst>
            <a:ext uri="{FF2B5EF4-FFF2-40B4-BE49-F238E27FC236}">
              <a16:creationId xmlns:a16="http://schemas.microsoft.com/office/drawing/2014/main" id="{F7A301BC-1D60-ABCE-9F24-0AD90ACD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49" name="Picture 22">
          <a:extLst>
            <a:ext uri="{FF2B5EF4-FFF2-40B4-BE49-F238E27FC236}">
              <a16:creationId xmlns:a16="http://schemas.microsoft.com/office/drawing/2014/main" id="{39E9BAE7-F637-46F5-91E5-F4E20DD5D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0" name="Picture 23">
          <a:extLst>
            <a:ext uri="{FF2B5EF4-FFF2-40B4-BE49-F238E27FC236}">
              <a16:creationId xmlns:a16="http://schemas.microsoft.com/office/drawing/2014/main" id="{24221E68-6EDE-3426-4C73-8580E77A2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1" name="Picture 25">
          <a:extLst>
            <a:ext uri="{FF2B5EF4-FFF2-40B4-BE49-F238E27FC236}">
              <a16:creationId xmlns:a16="http://schemas.microsoft.com/office/drawing/2014/main" id="{28FB6EAF-3FC8-7314-A96B-79B1F93B1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2" name="Picture 26">
          <a:extLst>
            <a:ext uri="{FF2B5EF4-FFF2-40B4-BE49-F238E27FC236}">
              <a16:creationId xmlns:a16="http://schemas.microsoft.com/office/drawing/2014/main" id="{E8A757E4-145A-96EE-12D5-80E4C8ED9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3" name="Picture 28">
          <a:extLst>
            <a:ext uri="{FF2B5EF4-FFF2-40B4-BE49-F238E27FC236}">
              <a16:creationId xmlns:a16="http://schemas.microsoft.com/office/drawing/2014/main" id="{EB27E97A-ABAB-D528-EF9A-0C2AEF25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4" name="Picture 29">
          <a:extLst>
            <a:ext uri="{FF2B5EF4-FFF2-40B4-BE49-F238E27FC236}">
              <a16:creationId xmlns:a16="http://schemas.microsoft.com/office/drawing/2014/main" id="{FE8EE6E9-F4FF-7714-DDE6-1623188B6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5" name="Picture 31">
          <a:extLst>
            <a:ext uri="{FF2B5EF4-FFF2-40B4-BE49-F238E27FC236}">
              <a16:creationId xmlns:a16="http://schemas.microsoft.com/office/drawing/2014/main" id="{8538DECB-9001-A049-CA34-E96376196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6" name="Picture 32">
          <a:extLst>
            <a:ext uri="{FF2B5EF4-FFF2-40B4-BE49-F238E27FC236}">
              <a16:creationId xmlns:a16="http://schemas.microsoft.com/office/drawing/2014/main" id="{027F8021-0588-C170-30F7-6334C3CA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7" name="Picture 34">
          <a:extLst>
            <a:ext uri="{FF2B5EF4-FFF2-40B4-BE49-F238E27FC236}">
              <a16:creationId xmlns:a16="http://schemas.microsoft.com/office/drawing/2014/main" id="{7DE47E17-DEC8-3D74-F8B7-2978DFD8B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8" name="Picture 35">
          <a:extLst>
            <a:ext uri="{FF2B5EF4-FFF2-40B4-BE49-F238E27FC236}">
              <a16:creationId xmlns:a16="http://schemas.microsoft.com/office/drawing/2014/main" id="{447655A1-76D5-ED00-B2DB-0BBF2812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59" name="Picture 37">
          <a:extLst>
            <a:ext uri="{FF2B5EF4-FFF2-40B4-BE49-F238E27FC236}">
              <a16:creationId xmlns:a16="http://schemas.microsoft.com/office/drawing/2014/main" id="{BB7960E3-4BD4-2E0B-D495-6DD33C65F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0" name="Picture 38">
          <a:extLst>
            <a:ext uri="{FF2B5EF4-FFF2-40B4-BE49-F238E27FC236}">
              <a16:creationId xmlns:a16="http://schemas.microsoft.com/office/drawing/2014/main" id="{42C125F7-E1EA-B523-19D7-D4C6CA837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1" name="Picture 40">
          <a:extLst>
            <a:ext uri="{FF2B5EF4-FFF2-40B4-BE49-F238E27FC236}">
              <a16:creationId xmlns:a16="http://schemas.microsoft.com/office/drawing/2014/main" id="{0227B39F-1529-49A4-21B1-F9E178B2B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2" name="Picture 41">
          <a:extLst>
            <a:ext uri="{FF2B5EF4-FFF2-40B4-BE49-F238E27FC236}">
              <a16:creationId xmlns:a16="http://schemas.microsoft.com/office/drawing/2014/main" id="{649DEC3E-F22A-7B82-8018-A5B27D27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3" name="Picture 43">
          <a:extLst>
            <a:ext uri="{FF2B5EF4-FFF2-40B4-BE49-F238E27FC236}">
              <a16:creationId xmlns:a16="http://schemas.microsoft.com/office/drawing/2014/main" id="{6120EAF5-13D9-8990-D847-7F95EB00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4" name="Picture 44">
          <a:extLst>
            <a:ext uri="{FF2B5EF4-FFF2-40B4-BE49-F238E27FC236}">
              <a16:creationId xmlns:a16="http://schemas.microsoft.com/office/drawing/2014/main" id="{E908DD1C-7E22-0F7A-E24E-838761148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5" name="Picture 46">
          <a:extLst>
            <a:ext uri="{FF2B5EF4-FFF2-40B4-BE49-F238E27FC236}">
              <a16:creationId xmlns:a16="http://schemas.microsoft.com/office/drawing/2014/main" id="{63074062-4014-5140-4C1E-207CD66D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6" name="Picture 47">
          <a:extLst>
            <a:ext uri="{FF2B5EF4-FFF2-40B4-BE49-F238E27FC236}">
              <a16:creationId xmlns:a16="http://schemas.microsoft.com/office/drawing/2014/main" id="{6914797A-0BC3-6CB1-BAF5-6A07BC1D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7" name="Picture 49">
          <a:extLst>
            <a:ext uri="{FF2B5EF4-FFF2-40B4-BE49-F238E27FC236}">
              <a16:creationId xmlns:a16="http://schemas.microsoft.com/office/drawing/2014/main" id="{86F97E07-15F6-B11E-B41D-9DE518182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8" name="Picture 50">
          <a:extLst>
            <a:ext uri="{FF2B5EF4-FFF2-40B4-BE49-F238E27FC236}">
              <a16:creationId xmlns:a16="http://schemas.microsoft.com/office/drawing/2014/main" id="{FC8259D6-F28A-F3B9-B962-6EEC4CF5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69" name="Picture 52">
          <a:extLst>
            <a:ext uri="{FF2B5EF4-FFF2-40B4-BE49-F238E27FC236}">
              <a16:creationId xmlns:a16="http://schemas.microsoft.com/office/drawing/2014/main" id="{3E4658D9-7516-68E8-5D99-0B246351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0" name="Picture 53">
          <a:extLst>
            <a:ext uri="{FF2B5EF4-FFF2-40B4-BE49-F238E27FC236}">
              <a16:creationId xmlns:a16="http://schemas.microsoft.com/office/drawing/2014/main" id="{6CEE7901-5A34-2D9C-A024-10D216CD1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2" name="Picture 1">
          <a:extLst>
            <a:ext uri="{FF2B5EF4-FFF2-40B4-BE49-F238E27FC236}">
              <a16:creationId xmlns:a16="http://schemas.microsoft.com/office/drawing/2014/main" id="{EDBFBEFD-DB2E-02A1-A0BF-2DE37402B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3" name="Picture 2">
          <a:extLst>
            <a:ext uri="{FF2B5EF4-FFF2-40B4-BE49-F238E27FC236}">
              <a16:creationId xmlns:a16="http://schemas.microsoft.com/office/drawing/2014/main" id="{FF67E2AD-8761-968C-92DB-2E9A73F4B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4" name="Picture 4">
          <a:extLst>
            <a:ext uri="{FF2B5EF4-FFF2-40B4-BE49-F238E27FC236}">
              <a16:creationId xmlns:a16="http://schemas.microsoft.com/office/drawing/2014/main" id="{AD69CA21-7E8A-3559-1461-0F6A731AE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5" name="Picture 5">
          <a:extLst>
            <a:ext uri="{FF2B5EF4-FFF2-40B4-BE49-F238E27FC236}">
              <a16:creationId xmlns:a16="http://schemas.microsoft.com/office/drawing/2014/main" id="{A23C6AEA-A75A-668B-C352-B56F3DF3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6" name="Picture 7">
          <a:extLst>
            <a:ext uri="{FF2B5EF4-FFF2-40B4-BE49-F238E27FC236}">
              <a16:creationId xmlns:a16="http://schemas.microsoft.com/office/drawing/2014/main" id="{707B484B-3F64-0589-0889-EF4A38FC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7" name="Picture 8">
          <a:extLst>
            <a:ext uri="{FF2B5EF4-FFF2-40B4-BE49-F238E27FC236}">
              <a16:creationId xmlns:a16="http://schemas.microsoft.com/office/drawing/2014/main" id="{D621C317-C639-DC94-FB71-B79F055E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8" name="Picture 10">
          <a:extLst>
            <a:ext uri="{FF2B5EF4-FFF2-40B4-BE49-F238E27FC236}">
              <a16:creationId xmlns:a16="http://schemas.microsoft.com/office/drawing/2014/main" id="{9DFD8D29-58A5-4850-341B-420DC405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79" name="Picture 11">
          <a:extLst>
            <a:ext uri="{FF2B5EF4-FFF2-40B4-BE49-F238E27FC236}">
              <a16:creationId xmlns:a16="http://schemas.microsoft.com/office/drawing/2014/main" id="{F23D6A15-FF5F-7E8A-806B-81A035147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0" name="Picture 13">
          <a:extLst>
            <a:ext uri="{FF2B5EF4-FFF2-40B4-BE49-F238E27FC236}">
              <a16:creationId xmlns:a16="http://schemas.microsoft.com/office/drawing/2014/main" id="{D32C6F3F-5E2C-0E58-9285-8034EF18D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1" name="Picture 14">
          <a:extLst>
            <a:ext uri="{FF2B5EF4-FFF2-40B4-BE49-F238E27FC236}">
              <a16:creationId xmlns:a16="http://schemas.microsoft.com/office/drawing/2014/main" id="{F076518C-0382-E514-D9AA-E49B6DF86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2" name="Picture 16">
          <a:extLst>
            <a:ext uri="{FF2B5EF4-FFF2-40B4-BE49-F238E27FC236}">
              <a16:creationId xmlns:a16="http://schemas.microsoft.com/office/drawing/2014/main" id="{03B881E8-ED7E-EB00-BB5F-8EEED523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3" name="Picture 17">
          <a:extLst>
            <a:ext uri="{FF2B5EF4-FFF2-40B4-BE49-F238E27FC236}">
              <a16:creationId xmlns:a16="http://schemas.microsoft.com/office/drawing/2014/main" id="{FFE29C64-B98D-B667-9F94-61D24792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4" name="Picture 19">
          <a:extLst>
            <a:ext uri="{FF2B5EF4-FFF2-40B4-BE49-F238E27FC236}">
              <a16:creationId xmlns:a16="http://schemas.microsoft.com/office/drawing/2014/main" id="{C71EC168-4BFB-276B-CC17-11457615B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5" name="Picture 20">
          <a:extLst>
            <a:ext uri="{FF2B5EF4-FFF2-40B4-BE49-F238E27FC236}">
              <a16:creationId xmlns:a16="http://schemas.microsoft.com/office/drawing/2014/main" id="{DD407408-1DD1-BD46-D316-3B1D5CE96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6" name="Picture 22">
          <a:extLst>
            <a:ext uri="{FF2B5EF4-FFF2-40B4-BE49-F238E27FC236}">
              <a16:creationId xmlns:a16="http://schemas.microsoft.com/office/drawing/2014/main" id="{487E9130-F9DA-83E4-EC7A-AE442B949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7" name="Picture 23">
          <a:extLst>
            <a:ext uri="{FF2B5EF4-FFF2-40B4-BE49-F238E27FC236}">
              <a16:creationId xmlns:a16="http://schemas.microsoft.com/office/drawing/2014/main" id="{B1570A24-A369-CD3F-542A-E86693FD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8" name="Picture 25">
          <a:extLst>
            <a:ext uri="{FF2B5EF4-FFF2-40B4-BE49-F238E27FC236}">
              <a16:creationId xmlns:a16="http://schemas.microsoft.com/office/drawing/2014/main" id="{E2184CC4-F2DF-6F88-61D8-E7D5719D3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89" name="Picture 26">
          <a:extLst>
            <a:ext uri="{FF2B5EF4-FFF2-40B4-BE49-F238E27FC236}">
              <a16:creationId xmlns:a16="http://schemas.microsoft.com/office/drawing/2014/main" id="{B7E11516-3640-646F-D709-EE7BCFDD5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0" name="Picture 28">
          <a:extLst>
            <a:ext uri="{FF2B5EF4-FFF2-40B4-BE49-F238E27FC236}">
              <a16:creationId xmlns:a16="http://schemas.microsoft.com/office/drawing/2014/main" id="{10567274-62E2-2900-A11E-3559EBE1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1" name="Picture 29">
          <a:extLst>
            <a:ext uri="{FF2B5EF4-FFF2-40B4-BE49-F238E27FC236}">
              <a16:creationId xmlns:a16="http://schemas.microsoft.com/office/drawing/2014/main" id="{4C77D31D-E8DF-8163-D2FD-14B542524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2" name="Picture 31">
          <a:extLst>
            <a:ext uri="{FF2B5EF4-FFF2-40B4-BE49-F238E27FC236}">
              <a16:creationId xmlns:a16="http://schemas.microsoft.com/office/drawing/2014/main" id="{4552639D-13BE-F640-A8EB-4B8842A6D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3" name="Picture 32">
          <a:extLst>
            <a:ext uri="{FF2B5EF4-FFF2-40B4-BE49-F238E27FC236}">
              <a16:creationId xmlns:a16="http://schemas.microsoft.com/office/drawing/2014/main" id="{78156806-742B-93DE-A685-DBC24454F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4" name="Picture 34">
          <a:extLst>
            <a:ext uri="{FF2B5EF4-FFF2-40B4-BE49-F238E27FC236}">
              <a16:creationId xmlns:a16="http://schemas.microsoft.com/office/drawing/2014/main" id="{F6309C71-5DC2-A954-5061-4A54BECB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5" name="Picture 35">
          <a:extLst>
            <a:ext uri="{FF2B5EF4-FFF2-40B4-BE49-F238E27FC236}">
              <a16:creationId xmlns:a16="http://schemas.microsoft.com/office/drawing/2014/main" id="{0E644416-246E-8315-6BD0-937C6FE3F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6" name="Picture 37">
          <a:extLst>
            <a:ext uri="{FF2B5EF4-FFF2-40B4-BE49-F238E27FC236}">
              <a16:creationId xmlns:a16="http://schemas.microsoft.com/office/drawing/2014/main" id="{DD46BF20-0623-A6ED-8708-C2AECFE6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7" name="Picture 38">
          <a:extLst>
            <a:ext uri="{FF2B5EF4-FFF2-40B4-BE49-F238E27FC236}">
              <a16:creationId xmlns:a16="http://schemas.microsoft.com/office/drawing/2014/main" id="{519AA702-9BCB-36AB-8151-CB0EE577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8" name="Picture 40">
          <a:extLst>
            <a:ext uri="{FF2B5EF4-FFF2-40B4-BE49-F238E27FC236}">
              <a16:creationId xmlns:a16="http://schemas.microsoft.com/office/drawing/2014/main" id="{576508AB-FE69-90C9-0172-FADFDE86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499" name="Picture 41">
          <a:extLst>
            <a:ext uri="{FF2B5EF4-FFF2-40B4-BE49-F238E27FC236}">
              <a16:creationId xmlns:a16="http://schemas.microsoft.com/office/drawing/2014/main" id="{BA7B60C2-C8B5-E67F-6D68-0993A664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0" name="Picture 43">
          <a:extLst>
            <a:ext uri="{FF2B5EF4-FFF2-40B4-BE49-F238E27FC236}">
              <a16:creationId xmlns:a16="http://schemas.microsoft.com/office/drawing/2014/main" id="{B4762123-9260-0DA5-1389-FD2FD3A6E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1" name="Picture 44">
          <a:extLst>
            <a:ext uri="{FF2B5EF4-FFF2-40B4-BE49-F238E27FC236}">
              <a16:creationId xmlns:a16="http://schemas.microsoft.com/office/drawing/2014/main" id="{B3D5AB07-4BCB-1E45-323D-DB930A8E4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2" name="Picture 46">
          <a:extLst>
            <a:ext uri="{FF2B5EF4-FFF2-40B4-BE49-F238E27FC236}">
              <a16:creationId xmlns:a16="http://schemas.microsoft.com/office/drawing/2014/main" id="{403294B0-66B5-E6EF-E352-C49CFFEC7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3" name="Picture 47">
          <a:extLst>
            <a:ext uri="{FF2B5EF4-FFF2-40B4-BE49-F238E27FC236}">
              <a16:creationId xmlns:a16="http://schemas.microsoft.com/office/drawing/2014/main" id="{B84C224D-B25F-14CC-0D1F-E467437C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4" name="Picture 49">
          <a:extLst>
            <a:ext uri="{FF2B5EF4-FFF2-40B4-BE49-F238E27FC236}">
              <a16:creationId xmlns:a16="http://schemas.microsoft.com/office/drawing/2014/main" id="{33481427-325E-96EA-5FE1-6C5B76F0F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5" name="Picture 50">
          <a:extLst>
            <a:ext uri="{FF2B5EF4-FFF2-40B4-BE49-F238E27FC236}">
              <a16:creationId xmlns:a16="http://schemas.microsoft.com/office/drawing/2014/main" id="{0F52A394-064D-B28C-EAF0-9575030C3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6" name="Picture 52">
          <a:extLst>
            <a:ext uri="{FF2B5EF4-FFF2-40B4-BE49-F238E27FC236}">
              <a16:creationId xmlns:a16="http://schemas.microsoft.com/office/drawing/2014/main" id="{9BC96C15-64EE-B79E-2ABE-41C37D13D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7" name="Picture 53">
          <a:extLst>
            <a:ext uri="{FF2B5EF4-FFF2-40B4-BE49-F238E27FC236}">
              <a16:creationId xmlns:a16="http://schemas.microsoft.com/office/drawing/2014/main" id="{C704CA67-0DC4-D325-60F0-0CB16014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09" name="Picture 1">
          <a:extLst>
            <a:ext uri="{FF2B5EF4-FFF2-40B4-BE49-F238E27FC236}">
              <a16:creationId xmlns:a16="http://schemas.microsoft.com/office/drawing/2014/main" id="{FD697F8D-B046-88FD-076B-7CBE2BA86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0" name="Picture 2">
          <a:extLst>
            <a:ext uri="{FF2B5EF4-FFF2-40B4-BE49-F238E27FC236}">
              <a16:creationId xmlns:a16="http://schemas.microsoft.com/office/drawing/2014/main" id="{D6F9A4DB-8C7E-4081-29F8-A470700EC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1" name="Picture 4">
          <a:extLst>
            <a:ext uri="{FF2B5EF4-FFF2-40B4-BE49-F238E27FC236}">
              <a16:creationId xmlns:a16="http://schemas.microsoft.com/office/drawing/2014/main" id="{0CF8E30D-CCE4-C746-318C-4D56461E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2" name="Picture 5">
          <a:extLst>
            <a:ext uri="{FF2B5EF4-FFF2-40B4-BE49-F238E27FC236}">
              <a16:creationId xmlns:a16="http://schemas.microsoft.com/office/drawing/2014/main" id="{F5EE8F2D-39D2-141E-DE56-4AA5E092B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3" name="Picture 7">
          <a:extLst>
            <a:ext uri="{FF2B5EF4-FFF2-40B4-BE49-F238E27FC236}">
              <a16:creationId xmlns:a16="http://schemas.microsoft.com/office/drawing/2014/main" id="{56A43ABE-05AD-C898-FEA4-9420AE15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4" name="Picture 8">
          <a:extLst>
            <a:ext uri="{FF2B5EF4-FFF2-40B4-BE49-F238E27FC236}">
              <a16:creationId xmlns:a16="http://schemas.microsoft.com/office/drawing/2014/main" id="{795E2799-01AB-F5FE-5E71-4FFF2730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5" name="Picture 10">
          <a:extLst>
            <a:ext uri="{FF2B5EF4-FFF2-40B4-BE49-F238E27FC236}">
              <a16:creationId xmlns:a16="http://schemas.microsoft.com/office/drawing/2014/main" id="{4E7C2E65-8944-D739-81BD-12FAD5CA3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6" name="Picture 11">
          <a:extLst>
            <a:ext uri="{FF2B5EF4-FFF2-40B4-BE49-F238E27FC236}">
              <a16:creationId xmlns:a16="http://schemas.microsoft.com/office/drawing/2014/main" id="{69FABCBD-C016-29C2-75D5-7E74C2BE5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7" name="Picture 13">
          <a:extLst>
            <a:ext uri="{FF2B5EF4-FFF2-40B4-BE49-F238E27FC236}">
              <a16:creationId xmlns:a16="http://schemas.microsoft.com/office/drawing/2014/main" id="{E4F010C5-C9C2-D707-EA2A-F83AEBDA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8" name="Picture 14">
          <a:extLst>
            <a:ext uri="{FF2B5EF4-FFF2-40B4-BE49-F238E27FC236}">
              <a16:creationId xmlns:a16="http://schemas.microsoft.com/office/drawing/2014/main" id="{9B499F94-34E6-DB75-C400-C484C400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19" name="Picture 16">
          <a:extLst>
            <a:ext uri="{FF2B5EF4-FFF2-40B4-BE49-F238E27FC236}">
              <a16:creationId xmlns:a16="http://schemas.microsoft.com/office/drawing/2014/main" id="{17A24B1E-F41F-09ED-FBF2-83FF4BC3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0" name="Picture 17">
          <a:extLst>
            <a:ext uri="{FF2B5EF4-FFF2-40B4-BE49-F238E27FC236}">
              <a16:creationId xmlns:a16="http://schemas.microsoft.com/office/drawing/2014/main" id="{DB49B6CE-3E4E-FC29-1CBE-CB3A5526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1" name="Picture 19">
          <a:extLst>
            <a:ext uri="{FF2B5EF4-FFF2-40B4-BE49-F238E27FC236}">
              <a16:creationId xmlns:a16="http://schemas.microsoft.com/office/drawing/2014/main" id="{03B12B67-6D60-D254-DBA2-CBA6B88BC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2" name="Picture 20">
          <a:extLst>
            <a:ext uri="{FF2B5EF4-FFF2-40B4-BE49-F238E27FC236}">
              <a16:creationId xmlns:a16="http://schemas.microsoft.com/office/drawing/2014/main" id="{7890AC7F-6477-B1E1-E883-076726F7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3" name="Picture 22">
          <a:extLst>
            <a:ext uri="{FF2B5EF4-FFF2-40B4-BE49-F238E27FC236}">
              <a16:creationId xmlns:a16="http://schemas.microsoft.com/office/drawing/2014/main" id="{169D4EB0-22A2-7CBD-EDD6-56248E92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4" name="Picture 23">
          <a:extLst>
            <a:ext uri="{FF2B5EF4-FFF2-40B4-BE49-F238E27FC236}">
              <a16:creationId xmlns:a16="http://schemas.microsoft.com/office/drawing/2014/main" id="{8CE96DA2-3080-B8C5-9DCA-86B615DB1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5" name="Picture 25">
          <a:extLst>
            <a:ext uri="{FF2B5EF4-FFF2-40B4-BE49-F238E27FC236}">
              <a16:creationId xmlns:a16="http://schemas.microsoft.com/office/drawing/2014/main" id="{B61F4A7E-0080-6E6F-0FB6-7962D0060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6" name="Picture 26">
          <a:extLst>
            <a:ext uri="{FF2B5EF4-FFF2-40B4-BE49-F238E27FC236}">
              <a16:creationId xmlns:a16="http://schemas.microsoft.com/office/drawing/2014/main" id="{88E075EC-40B4-A9A1-AD46-CAB9FB28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7" name="Picture 28">
          <a:extLst>
            <a:ext uri="{FF2B5EF4-FFF2-40B4-BE49-F238E27FC236}">
              <a16:creationId xmlns:a16="http://schemas.microsoft.com/office/drawing/2014/main" id="{21E64E17-F3B0-9646-AAB1-0B6EF4083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8" name="Picture 29">
          <a:extLst>
            <a:ext uri="{FF2B5EF4-FFF2-40B4-BE49-F238E27FC236}">
              <a16:creationId xmlns:a16="http://schemas.microsoft.com/office/drawing/2014/main" id="{14CE4EBB-B570-67CD-02FA-1AAA18013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29" name="Picture 31">
          <a:extLst>
            <a:ext uri="{FF2B5EF4-FFF2-40B4-BE49-F238E27FC236}">
              <a16:creationId xmlns:a16="http://schemas.microsoft.com/office/drawing/2014/main" id="{35C0A5C3-957B-6238-C257-A8327B469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0" name="Picture 32">
          <a:extLst>
            <a:ext uri="{FF2B5EF4-FFF2-40B4-BE49-F238E27FC236}">
              <a16:creationId xmlns:a16="http://schemas.microsoft.com/office/drawing/2014/main" id="{9ADEFB4C-1581-BB8C-E103-989660B48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1" name="Picture 34">
          <a:extLst>
            <a:ext uri="{FF2B5EF4-FFF2-40B4-BE49-F238E27FC236}">
              <a16:creationId xmlns:a16="http://schemas.microsoft.com/office/drawing/2014/main" id="{730514D0-8881-D261-08AD-EBFBA8840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2" name="Picture 35">
          <a:extLst>
            <a:ext uri="{FF2B5EF4-FFF2-40B4-BE49-F238E27FC236}">
              <a16:creationId xmlns:a16="http://schemas.microsoft.com/office/drawing/2014/main" id="{9BAB25AD-636E-C5BB-D837-19EE27373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3" name="Picture 37">
          <a:extLst>
            <a:ext uri="{FF2B5EF4-FFF2-40B4-BE49-F238E27FC236}">
              <a16:creationId xmlns:a16="http://schemas.microsoft.com/office/drawing/2014/main" id="{75F55CD0-0613-C308-BB22-595B48DC1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4" name="Picture 38">
          <a:extLst>
            <a:ext uri="{FF2B5EF4-FFF2-40B4-BE49-F238E27FC236}">
              <a16:creationId xmlns:a16="http://schemas.microsoft.com/office/drawing/2014/main" id="{6A7BD8F2-6874-EAA5-FDE6-73E152DF2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5" name="Picture 40">
          <a:extLst>
            <a:ext uri="{FF2B5EF4-FFF2-40B4-BE49-F238E27FC236}">
              <a16:creationId xmlns:a16="http://schemas.microsoft.com/office/drawing/2014/main" id="{4DBD1E18-F9D0-8FBD-9220-862D6C8C6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6" name="Picture 41">
          <a:extLst>
            <a:ext uri="{FF2B5EF4-FFF2-40B4-BE49-F238E27FC236}">
              <a16:creationId xmlns:a16="http://schemas.microsoft.com/office/drawing/2014/main" id="{C39636BE-0ED4-18F6-41A1-D6E445233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7" name="Picture 43">
          <a:extLst>
            <a:ext uri="{FF2B5EF4-FFF2-40B4-BE49-F238E27FC236}">
              <a16:creationId xmlns:a16="http://schemas.microsoft.com/office/drawing/2014/main" id="{12FB7A1B-E462-A10D-D571-76DCE8290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8" name="Picture 44">
          <a:extLst>
            <a:ext uri="{FF2B5EF4-FFF2-40B4-BE49-F238E27FC236}">
              <a16:creationId xmlns:a16="http://schemas.microsoft.com/office/drawing/2014/main" id="{8A53CC5E-0269-2DBD-AA1A-2D87C0309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39" name="Picture 46">
          <a:extLst>
            <a:ext uri="{FF2B5EF4-FFF2-40B4-BE49-F238E27FC236}">
              <a16:creationId xmlns:a16="http://schemas.microsoft.com/office/drawing/2014/main" id="{6794E404-8165-E6F6-8B8F-13A075CF1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0" name="Picture 47">
          <a:extLst>
            <a:ext uri="{FF2B5EF4-FFF2-40B4-BE49-F238E27FC236}">
              <a16:creationId xmlns:a16="http://schemas.microsoft.com/office/drawing/2014/main" id="{2123635A-7C4A-CDA5-B999-A9672F89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1" name="Picture 49">
          <a:extLst>
            <a:ext uri="{FF2B5EF4-FFF2-40B4-BE49-F238E27FC236}">
              <a16:creationId xmlns:a16="http://schemas.microsoft.com/office/drawing/2014/main" id="{27E5ACD6-A5EA-30F1-2AC1-BD7A1FE1C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2" name="Picture 50">
          <a:extLst>
            <a:ext uri="{FF2B5EF4-FFF2-40B4-BE49-F238E27FC236}">
              <a16:creationId xmlns:a16="http://schemas.microsoft.com/office/drawing/2014/main" id="{D0D32685-06DB-3277-276B-BCC7BCEF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3" name="Picture 52">
          <a:extLst>
            <a:ext uri="{FF2B5EF4-FFF2-40B4-BE49-F238E27FC236}">
              <a16:creationId xmlns:a16="http://schemas.microsoft.com/office/drawing/2014/main" id="{D19E402F-7C31-0D3F-B7A9-97BA20F2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4" name="Picture 53">
          <a:extLst>
            <a:ext uri="{FF2B5EF4-FFF2-40B4-BE49-F238E27FC236}">
              <a16:creationId xmlns:a16="http://schemas.microsoft.com/office/drawing/2014/main" id="{C9E19C7F-A398-D0DC-BC7A-E44F5DC2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6" name="Picture 1">
          <a:extLst>
            <a:ext uri="{FF2B5EF4-FFF2-40B4-BE49-F238E27FC236}">
              <a16:creationId xmlns:a16="http://schemas.microsoft.com/office/drawing/2014/main" id="{ECEDBB24-D8E4-CCFF-0EC6-6EDC9A6F5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7" name="Picture 2">
          <a:extLst>
            <a:ext uri="{FF2B5EF4-FFF2-40B4-BE49-F238E27FC236}">
              <a16:creationId xmlns:a16="http://schemas.microsoft.com/office/drawing/2014/main" id="{0E7B5D98-4ED8-1159-8F12-452D882F9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8" name="Picture 4">
          <a:extLst>
            <a:ext uri="{FF2B5EF4-FFF2-40B4-BE49-F238E27FC236}">
              <a16:creationId xmlns:a16="http://schemas.microsoft.com/office/drawing/2014/main" id="{09883ED9-4257-48A9-6A3B-132909666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49" name="Picture 5">
          <a:extLst>
            <a:ext uri="{FF2B5EF4-FFF2-40B4-BE49-F238E27FC236}">
              <a16:creationId xmlns:a16="http://schemas.microsoft.com/office/drawing/2014/main" id="{236C63F9-1126-4FEF-8986-E62D8791E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0" name="Picture 7">
          <a:extLst>
            <a:ext uri="{FF2B5EF4-FFF2-40B4-BE49-F238E27FC236}">
              <a16:creationId xmlns:a16="http://schemas.microsoft.com/office/drawing/2014/main" id="{E020EA18-1051-BEE1-2C0D-BC4C86377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1" name="Picture 8">
          <a:extLst>
            <a:ext uri="{FF2B5EF4-FFF2-40B4-BE49-F238E27FC236}">
              <a16:creationId xmlns:a16="http://schemas.microsoft.com/office/drawing/2014/main" id="{C8CCDB08-7634-A426-624D-3D46FE5F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2" name="Picture 10">
          <a:extLst>
            <a:ext uri="{FF2B5EF4-FFF2-40B4-BE49-F238E27FC236}">
              <a16:creationId xmlns:a16="http://schemas.microsoft.com/office/drawing/2014/main" id="{689388B2-163E-8E98-844C-FB264F073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3" name="Picture 11">
          <a:extLst>
            <a:ext uri="{FF2B5EF4-FFF2-40B4-BE49-F238E27FC236}">
              <a16:creationId xmlns:a16="http://schemas.microsoft.com/office/drawing/2014/main" id="{BC6E0BB9-E63C-7E0F-74B6-D3C75399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4" name="Picture 13">
          <a:extLst>
            <a:ext uri="{FF2B5EF4-FFF2-40B4-BE49-F238E27FC236}">
              <a16:creationId xmlns:a16="http://schemas.microsoft.com/office/drawing/2014/main" id="{A88D29DA-B2FD-8384-AD1E-39ACA777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5" name="Picture 14">
          <a:extLst>
            <a:ext uri="{FF2B5EF4-FFF2-40B4-BE49-F238E27FC236}">
              <a16:creationId xmlns:a16="http://schemas.microsoft.com/office/drawing/2014/main" id="{F61C79A3-DD4F-801F-9916-7E6CCA96A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6" name="Picture 16">
          <a:extLst>
            <a:ext uri="{FF2B5EF4-FFF2-40B4-BE49-F238E27FC236}">
              <a16:creationId xmlns:a16="http://schemas.microsoft.com/office/drawing/2014/main" id="{1F953554-1B72-6D79-8B3A-DAE8CE13A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7" name="Picture 17">
          <a:extLst>
            <a:ext uri="{FF2B5EF4-FFF2-40B4-BE49-F238E27FC236}">
              <a16:creationId xmlns:a16="http://schemas.microsoft.com/office/drawing/2014/main" id="{0D3EAB4D-0CD3-852D-8D81-4E3E8FEB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8" name="Picture 19">
          <a:extLst>
            <a:ext uri="{FF2B5EF4-FFF2-40B4-BE49-F238E27FC236}">
              <a16:creationId xmlns:a16="http://schemas.microsoft.com/office/drawing/2014/main" id="{B2C6FF14-0BF7-1A50-14E6-6589A3ED8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59" name="Picture 20">
          <a:extLst>
            <a:ext uri="{FF2B5EF4-FFF2-40B4-BE49-F238E27FC236}">
              <a16:creationId xmlns:a16="http://schemas.microsoft.com/office/drawing/2014/main" id="{07104185-992A-E0D1-A187-A0A2658A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0" name="Picture 22">
          <a:extLst>
            <a:ext uri="{FF2B5EF4-FFF2-40B4-BE49-F238E27FC236}">
              <a16:creationId xmlns:a16="http://schemas.microsoft.com/office/drawing/2014/main" id="{9600C795-865D-727A-6043-91574AD67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1" name="Picture 23">
          <a:extLst>
            <a:ext uri="{FF2B5EF4-FFF2-40B4-BE49-F238E27FC236}">
              <a16:creationId xmlns:a16="http://schemas.microsoft.com/office/drawing/2014/main" id="{B87A7580-C76B-3F66-324B-211BE0AAD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2" name="Picture 25">
          <a:extLst>
            <a:ext uri="{FF2B5EF4-FFF2-40B4-BE49-F238E27FC236}">
              <a16:creationId xmlns:a16="http://schemas.microsoft.com/office/drawing/2014/main" id="{99153209-92A3-8999-AE0D-775FA0599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3" name="Picture 26">
          <a:extLst>
            <a:ext uri="{FF2B5EF4-FFF2-40B4-BE49-F238E27FC236}">
              <a16:creationId xmlns:a16="http://schemas.microsoft.com/office/drawing/2014/main" id="{9FF0FFD1-B763-C2B2-1A61-9E00F754E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4" name="Picture 28">
          <a:extLst>
            <a:ext uri="{FF2B5EF4-FFF2-40B4-BE49-F238E27FC236}">
              <a16:creationId xmlns:a16="http://schemas.microsoft.com/office/drawing/2014/main" id="{D0273CC2-3117-14B9-91A0-9FE982954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5" name="Picture 29">
          <a:extLst>
            <a:ext uri="{FF2B5EF4-FFF2-40B4-BE49-F238E27FC236}">
              <a16:creationId xmlns:a16="http://schemas.microsoft.com/office/drawing/2014/main" id="{A318C82A-6B88-6745-D63F-02E39F687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6" name="Picture 31">
          <a:extLst>
            <a:ext uri="{FF2B5EF4-FFF2-40B4-BE49-F238E27FC236}">
              <a16:creationId xmlns:a16="http://schemas.microsoft.com/office/drawing/2014/main" id="{06D726F4-11F8-8FE7-AF3F-4C85D5115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7" name="Picture 32">
          <a:extLst>
            <a:ext uri="{FF2B5EF4-FFF2-40B4-BE49-F238E27FC236}">
              <a16:creationId xmlns:a16="http://schemas.microsoft.com/office/drawing/2014/main" id="{2041BBFA-D732-61E9-FA04-7CE050DD0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8" name="Picture 34">
          <a:extLst>
            <a:ext uri="{FF2B5EF4-FFF2-40B4-BE49-F238E27FC236}">
              <a16:creationId xmlns:a16="http://schemas.microsoft.com/office/drawing/2014/main" id="{89579906-6656-2DC3-4B7C-1253D30B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69" name="Picture 35">
          <a:extLst>
            <a:ext uri="{FF2B5EF4-FFF2-40B4-BE49-F238E27FC236}">
              <a16:creationId xmlns:a16="http://schemas.microsoft.com/office/drawing/2014/main" id="{A4975B78-B99F-539E-25EB-855D939B9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0" name="Picture 37">
          <a:extLst>
            <a:ext uri="{FF2B5EF4-FFF2-40B4-BE49-F238E27FC236}">
              <a16:creationId xmlns:a16="http://schemas.microsoft.com/office/drawing/2014/main" id="{8AD5F6FC-9027-96AD-EE59-BB9B23A5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1" name="Picture 38">
          <a:extLst>
            <a:ext uri="{FF2B5EF4-FFF2-40B4-BE49-F238E27FC236}">
              <a16:creationId xmlns:a16="http://schemas.microsoft.com/office/drawing/2014/main" id="{C812B9CB-0CC3-B4E9-A8AE-494F1B84B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2" name="Picture 40">
          <a:extLst>
            <a:ext uri="{FF2B5EF4-FFF2-40B4-BE49-F238E27FC236}">
              <a16:creationId xmlns:a16="http://schemas.microsoft.com/office/drawing/2014/main" id="{0B409EB4-273B-D4F7-B0EC-1FB6EB840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3" name="Picture 41">
          <a:extLst>
            <a:ext uri="{FF2B5EF4-FFF2-40B4-BE49-F238E27FC236}">
              <a16:creationId xmlns:a16="http://schemas.microsoft.com/office/drawing/2014/main" id="{73977712-36C3-D0AE-0A67-683C1A8E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4" name="Picture 43">
          <a:extLst>
            <a:ext uri="{FF2B5EF4-FFF2-40B4-BE49-F238E27FC236}">
              <a16:creationId xmlns:a16="http://schemas.microsoft.com/office/drawing/2014/main" id="{1E78EA60-612E-FD17-6B88-5CA867CF4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5" name="Picture 44">
          <a:extLst>
            <a:ext uri="{FF2B5EF4-FFF2-40B4-BE49-F238E27FC236}">
              <a16:creationId xmlns:a16="http://schemas.microsoft.com/office/drawing/2014/main" id="{345653E2-B610-578F-BFA4-5B4C6FA4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6" name="Picture 46">
          <a:extLst>
            <a:ext uri="{FF2B5EF4-FFF2-40B4-BE49-F238E27FC236}">
              <a16:creationId xmlns:a16="http://schemas.microsoft.com/office/drawing/2014/main" id="{3ED11740-99D8-81FC-D9AC-FFD26732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7" name="Picture 47">
          <a:extLst>
            <a:ext uri="{FF2B5EF4-FFF2-40B4-BE49-F238E27FC236}">
              <a16:creationId xmlns:a16="http://schemas.microsoft.com/office/drawing/2014/main" id="{1DFC1525-2821-3515-2162-02E91406A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8" name="Picture 49">
          <a:extLst>
            <a:ext uri="{FF2B5EF4-FFF2-40B4-BE49-F238E27FC236}">
              <a16:creationId xmlns:a16="http://schemas.microsoft.com/office/drawing/2014/main" id="{28ACE2AE-21B3-7756-1D19-2773282E5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79" name="Picture 50">
          <a:extLst>
            <a:ext uri="{FF2B5EF4-FFF2-40B4-BE49-F238E27FC236}">
              <a16:creationId xmlns:a16="http://schemas.microsoft.com/office/drawing/2014/main" id="{A0BAF532-7D80-C3E7-F305-35FC4F74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0" name="Picture 52">
          <a:extLst>
            <a:ext uri="{FF2B5EF4-FFF2-40B4-BE49-F238E27FC236}">
              <a16:creationId xmlns:a16="http://schemas.microsoft.com/office/drawing/2014/main" id="{AC6531C9-503B-ECFB-EA73-E87A42B4D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1" name="Picture 53">
          <a:extLst>
            <a:ext uri="{FF2B5EF4-FFF2-40B4-BE49-F238E27FC236}">
              <a16:creationId xmlns:a16="http://schemas.microsoft.com/office/drawing/2014/main" id="{7C057B16-EAC7-3103-4AE4-51E91F2E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3" name="Picture 1">
          <a:extLst>
            <a:ext uri="{FF2B5EF4-FFF2-40B4-BE49-F238E27FC236}">
              <a16:creationId xmlns:a16="http://schemas.microsoft.com/office/drawing/2014/main" id="{DAE241A9-E99B-9228-4650-CBC9A1C0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4" name="Picture 2">
          <a:extLst>
            <a:ext uri="{FF2B5EF4-FFF2-40B4-BE49-F238E27FC236}">
              <a16:creationId xmlns:a16="http://schemas.microsoft.com/office/drawing/2014/main" id="{6B3015C1-6725-7C95-F2DC-E4E5E121E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5" name="Picture 4">
          <a:extLst>
            <a:ext uri="{FF2B5EF4-FFF2-40B4-BE49-F238E27FC236}">
              <a16:creationId xmlns:a16="http://schemas.microsoft.com/office/drawing/2014/main" id="{203CB0A9-342B-C499-D5D1-4C2EDF59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6" name="Picture 5">
          <a:extLst>
            <a:ext uri="{FF2B5EF4-FFF2-40B4-BE49-F238E27FC236}">
              <a16:creationId xmlns:a16="http://schemas.microsoft.com/office/drawing/2014/main" id="{409DB942-E8E5-74A2-9CA6-FCAC1788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7" name="Picture 7">
          <a:extLst>
            <a:ext uri="{FF2B5EF4-FFF2-40B4-BE49-F238E27FC236}">
              <a16:creationId xmlns:a16="http://schemas.microsoft.com/office/drawing/2014/main" id="{ECA6C451-73A2-A0E8-B4D4-A2CF431F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8" name="Picture 8">
          <a:extLst>
            <a:ext uri="{FF2B5EF4-FFF2-40B4-BE49-F238E27FC236}">
              <a16:creationId xmlns:a16="http://schemas.microsoft.com/office/drawing/2014/main" id="{973CE4D1-A863-F9EC-F88D-DB161BED1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89" name="Picture 10">
          <a:extLst>
            <a:ext uri="{FF2B5EF4-FFF2-40B4-BE49-F238E27FC236}">
              <a16:creationId xmlns:a16="http://schemas.microsoft.com/office/drawing/2014/main" id="{9C642A98-176A-A5C0-E5C6-741D6B8A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0" name="Picture 11">
          <a:extLst>
            <a:ext uri="{FF2B5EF4-FFF2-40B4-BE49-F238E27FC236}">
              <a16:creationId xmlns:a16="http://schemas.microsoft.com/office/drawing/2014/main" id="{86B14915-B8EC-1106-8820-FFA81BA9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1" name="Picture 13">
          <a:extLst>
            <a:ext uri="{FF2B5EF4-FFF2-40B4-BE49-F238E27FC236}">
              <a16:creationId xmlns:a16="http://schemas.microsoft.com/office/drawing/2014/main" id="{FB1D0454-788A-1F5C-DD73-FBEA52467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2" name="Picture 14">
          <a:extLst>
            <a:ext uri="{FF2B5EF4-FFF2-40B4-BE49-F238E27FC236}">
              <a16:creationId xmlns:a16="http://schemas.microsoft.com/office/drawing/2014/main" id="{96D9D538-5B4E-0988-5BC5-DF4E20303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3" name="Picture 16">
          <a:extLst>
            <a:ext uri="{FF2B5EF4-FFF2-40B4-BE49-F238E27FC236}">
              <a16:creationId xmlns:a16="http://schemas.microsoft.com/office/drawing/2014/main" id="{A171C56E-2739-AD4D-F740-A848B809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4" name="Picture 17">
          <a:extLst>
            <a:ext uri="{FF2B5EF4-FFF2-40B4-BE49-F238E27FC236}">
              <a16:creationId xmlns:a16="http://schemas.microsoft.com/office/drawing/2014/main" id="{83693FC3-D7CE-56AA-E014-0232D5C4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5" name="Picture 19">
          <a:extLst>
            <a:ext uri="{FF2B5EF4-FFF2-40B4-BE49-F238E27FC236}">
              <a16:creationId xmlns:a16="http://schemas.microsoft.com/office/drawing/2014/main" id="{D83CD11C-8699-CE40-583E-CA78EC2EE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6" name="Picture 20">
          <a:extLst>
            <a:ext uri="{FF2B5EF4-FFF2-40B4-BE49-F238E27FC236}">
              <a16:creationId xmlns:a16="http://schemas.microsoft.com/office/drawing/2014/main" id="{A0E42C11-0D8E-8A96-84A6-01C5156DD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7" name="Picture 22">
          <a:extLst>
            <a:ext uri="{FF2B5EF4-FFF2-40B4-BE49-F238E27FC236}">
              <a16:creationId xmlns:a16="http://schemas.microsoft.com/office/drawing/2014/main" id="{FEAD8F05-E8B9-2053-A94A-A0781A9A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8" name="Picture 23">
          <a:extLst>
            <a:ext uri="{FF2B5EF4-FFF2-40B4-BE49-F238E27FC236}">
              <a16:creationId xmlns:a16="http://schemas.microsoft.com/office/drawing/2014/main" id="{9984BEB5-C610-C547-8A74-7681F6439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599" name="Picture 25">
          <a:extLst>
            <a:ext uri="{FF2B5EF4-FFF2-40B4-BE49-F238E27FC236}">
              <a16:creationId xmlns:a16="http://schemas.microsoft.com/office/drawing/2014/main" id="{FF9BEA56-0E97-EAF6-6B02-75F73071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0" name="Picture 26">
          <a:extLst>
            <a:ext uri="{FF2B5EF4-FFF2-40B4-BE49-F238E27FC236}">
              <a16:creationId xmlns:a16="http://schemas.microsoft.com/office/drawing/2014/main" id="{F3B40F99-3A3D-D4ED-B3F9-FA2531BD0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1" name="Picture 28">
          <a:extLst>
            <a:ext uri="{FF2B5EF4-FFF2-40B4-BE49-F238E27FC236}">
              <a16:creationId xmlns:a16="http://schemas.microsoft.com/office/drawing/2014/main" id="{EB382BF7-CCA7-506D-A9DF-3A51767DE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2" name="Picture 29">
          <a:extLst>
            <a:ext uri="{FF2B5EF4-FFF2-40B4-BE49-F238E27FC236}">
              <a16:creationId xmlns:a16="http://schemas.microsoft.com/office/drawing/2014/main" id="{AAD91212-A5E7-C5FC-D0A3-31C841AE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3" name="Picture 31">
          <a:extLst>
            <a:ext uri="{FF2B5EF4-FFF2-40B4-BE49-F238E27FC236}">
              <a16:creationId xmlns:a16="http://schemas.microsoft.com/office/drawing/2014/main" id="{7C21B1CF-E9CA-6015-9FFA-CC423AE8F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4" name="Picture 32">
          <a:extLst>
            <a:ext uri="{FF2B5EF4-FFF2-40B4-BE49-F238E27FC236}">
              <a16:creationId xmlns:a16="http://schemas.microsoft.com/office/drawing/2014/main" id="{993F9884-D962-288E-4387-C7D46BBE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5" name="Picture 34">
          <a:extLst>
            <a:ext uri="{FF2B5EF4-FFF2-40B4-BE49-F238E27FC236}">
              <a16:creationId xmlns:a16="http://schemas.microsoft.com/office/drawing/2014/main" id="{58D66F95-6422-3853-D234-EF8002CC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6" name="Picture 35">
          <a:extLst>
            <a:ext uri="{FF2B5EF4-FFF2-40B4-BE49-F238E27FC236}">
              <a16:creationId xmlns:a16="http://schemas.microsoft.com/office/drawing/2014/main" id="{68CCD84B-3CFF-50AA-3C06-7E07E17A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7" name="Picture 37">
          <a:extLst>
            <a:ext uri="{FF2B5EF4-FFF2-40B4-BE49-F238E27FC236}">
              <a16:creationId xmlns:a16="http://schemas.microsoft.com/office/drawing/2014/main" id="{453CD929-39CF-E310-CC27-B7ACA31F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8" name="Picture 38">
          <a:extLst>
            <a:ext uri="{FF2B5EF4-FFF2-40B4-BE49-F238E27FC236}">
              <a16:creationId xmlns:a16="http://schemas.microsoft.com/office/drawing/2014/main" id="{F860E0E1-A262-B671-6C4B-0CD4EE431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09" name="Picture 40">
          <a:extLst>
            <a:ext uri="{FF2B5EF4-FFF2-40B4-BE49-F238E27FC236}">
              <a16:creationId xmlns:a16="http://schemas.microsoft.com/office/drawing/2014/main" id="{31A0996B-29A9-C9CA-A689-98C9A715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0" name="Picture 41">
          <a:extLst>
            <a:ext uri="{FF2B5EF4-FFF2-40B4-BE49-F238E27FC236}">
              <a16:creationId xmlns:a16="http://schemas.microsoft.com/office/drawing/2014/main" id="{C5426089-BA4E-002B-B15E-8FFDF6D6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1" name="Picture 43">
          <a:extLst>
            <a:ext uri="{FF2B5EF4-FFF2-40B4-BE49-F238E27FC236}">
              <a16:creationId xmlns:a16="http://schemas.microsoft.com/office/drawing/2014/main" id="{35922E15-EFF5-E936-4A38-54BF117E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2" name="Picture 44">
          <a:extLst>
            <a:ext uri="{FF2B5EF4-FFF2-40B4-BE49-F238E27FC236}">
              <a16:creationId xmlns:a16="http://schemas.microsoft.com/office/drawing/2014/main" id="{D7E271F4-A64E-B04F-2EE3-E0A0600A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3" name="Picture 46">
          <a:extLst>
            <a:ext uri="{FF2B5EF4-FFF2-40B4-BE49-F238E27FC236}">
              <a16:creationId xmlns:a16="http://schemas.microsoft.com/office/drawing/2014/main" id="{14BA9132-09A2-1AE1-4768-FAB34265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4" name="Picture 47">
          <a:extLst>
            <a:ext uri="{FF2B5EF4-FFF2-40B4-BE49-F238E27FC236}">
              <a16:creationId xmlns:a16="http://schemas.microsoft.com/office/drawing/2014/main" id="{87C4FF78-29BB-427A-52E4-6F1099114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5" name="Picture 49">
          <a:extLst>
            <a:ext uri="{FF2B5EF4-FFF2-40B4-BE49-F238E27FC236}">
              <a16:creationId xmlns:a16="http://schemas.microsoft.com/office/drawing/2014/main" id="{6C11247A-E833-89C8-0347-D810F56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6" name="Picture 50">
          <a:extLst>
            <a:ext uri="{FF2B5EF4-FFF2-40B4-BE49-F238E27FC236}">
              <a16:creationId xmlns:a16="http://schemas.microsoft.com/office/drawing/2014/main" id="{E1E65575-54C8-024B-7AF4-9C8A9075D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7" name="Picture 52">
          <a:extLst>
            <a:ext uri="{FF2B5EF4-FFF2-40B4-BE49-F238E27FC236}">
              <a16:creationId xmlns:a16="http://schemas.microsoft.com/office/drawing/2014/main" id="{B66AA574-5728-9FC1-7816-494F75009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18" name="Picture 53">
          <a:extLst>
            <a:ext uri="{FF2B5EF4-FFF2-40B4-BE49-F238E27FC236}">
              <a16:creationId xmlns:a16="http://schemas.microsoft.com/office/drawing/2014/main" id="{DA6564B8-B2B3-570F-A02B-1D8FE53B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0" name="Picture 1">
          <a:extLst>
            <a:ext uri="{FF2B5EF4-FFF2-40B4-BE49-F238E27FC236}">
              <a16:creationId xmlns:a16="http://schemas.microsoft.com/office/drawing/2014/main" id="{E8F1B370-C8E8-4174-59E8-BBE4ED6DA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1" name="Picture 2">
          <a:extLst>
            <a:ext uri="{FF2B5EF4-FFF2-40B4-BE49-F238E27FC236}">
              <a16:creationId xmlns:a16="http://schemas.microsoft.com/office/drawing/2014/main" id="{0BD84EC9-4DC5-247D-3F3B-6DD7135A6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2" name="Picture 4">
          <a:extLst>
            <a:ext uri="{FF2B5EF4-FFF2-40B4-BE49-F238E27FC236}">
              <a16:creationId xmlns:a16="http://schemas.microsoft.com/office/drawing/2014/main" id="{900491A1-3B0C-899F-1785-E1810C0FB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3" name="Picture 5">
          <a:extLst>
            <a:ext uri="{FF2B5EF4-FFF2-40B4-BE49-F238E27FC236}">
              <a16:creationId xmlns:a16="http://schemas.microsoft.com/office/drawing/2014/main" id="{EE91E3AB-8C0E-4AFC-E48A-6119BF01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4" name="Picture 7">
          <a:extLst>
            <a:ext uri="{FF2B5EF4-FFF2-40B4-BE49-F238E27FC236}">
              <a16:creationId xmlns:a16="http://schemas.microsoft.com/office/drawing/2014/main" id="{55B6A477-4DF7-D5A4-82E4-33D2095C3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5" name="Picture 8">
          <a:extLst>
            <a:ext uri="{FF2B5EF4-FFF2-40B4-BE49-F238E27FC236}">
              <a16:creationId xmlns:a16="http://schemas.microsoft.com/office/drawing/2014/main" id="{71D40E92-6D1D-C7A4-04D2-0433BCFE4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6" name="Picture 10">
          <a:extLst>
            <a:ext uri="{FF2B5EF4-FFF2-40B4-BE49-F238E27FC236}">
              <a16:creationId xmlns:a16="http://schemas.microsoft.com/office/drawing/2014/main" id="{4BBC4650-E2F9-2E17-79C9-49A7DF0B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7" name="Picture 11">
          <a:extLst>
            <a:ext uri="{FF2B5EF4-FFF2-40B4-BE49-F238E27FC236}">
              <a16:creationId xmlns:a16="http://schemas.microsoft.com/office/drawing/2014/main" id="{F41B4B8D-3F57-69EC-D724-D5E1DC23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8" name="Picture 13">
          <a:extLst>
            <a:ext uri="{FF2B5EF4-FFF2-40B4-BE49-F238E27FC236}">
              <a16:creationId xmlns:a16="http://schemas.microsoft.com/office/drawing/2014/main" id="{86DF2EEB-DB1D-0F97-3A47-2C69787BD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29" name="Picture 14">
          <a:extLst>
            <a:ext uri="{FF2B5EF4-FFF2-40B4-BE49-F238E27FC236}">
              <a16:creationId xmlns:a16="http://schemas.microsoft.com/office/drawing/2014/main" id="{6D88F8D8-D19A-B3A3-2510-E6F32F8C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0" name="Picture 16">
          <a:extLst>
            <a:ext uri="{FF2B5EF4-FFF2-40B4-BE49-F238E27FC236}">
              <a16:creationId xmlns:a16="http://schemas.microsoft.com/office/drawing/2014/main" id="{F6FA9CB9-7D89-9F67-ACB7-D4DB954EC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1" name="Picture 17">
          <a:extLst>
            <a:ext uri="{FF2B5EF4-FFF2-40B4-BE49-F238E27FC236}">
              <a16:creationId xmlns:a16="http://schemas.microsoft.com/office/drawing/2014/main" id="{D71936C3-D6C1-F325-D18E-39EED4EFE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2" name="Picture 19">
          <a:extLst>
            <a:ext uri="{FF2B5EF4-FFF2-40B4-BE49-F238E27FC236}">
              <a16:creationId xmlns:a16="http://schemas.microsoft.com/office/drawing/2014/main" id="{82126C1C-69F7-54CD-7B7F-950E5AB2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3" name="Picture 20">
          <a:extLst>
            <a:ext uri="{FF2B5EF4-FFF2-40B4-BE49-F238E27FC236}">
              <a16:creationId xmlns:a16="http://schemas.microsoft.com/office/drawing/2014/main" id="{60C813A1-1030-C4EA-F2E4-234C0434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4" name="Picture 22">
          <a:extLst>
            <a:ext uri="{FF2B5EF4-FFF2-40B4-BE49-F238E27FC236}">
              <a16:creationId xmlns:a16="http://schemas.microsoft.com/office/drawing/2014/main" id="{E361D098-3227-4F3C-0A02-E48F855D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5" name="Picture 23">
          <a:extLst>
            <a:ext uri="{FF2B5EF4-FFF2-40B4-BE49-F238E27FC236}">
              <a16:creationId xmlns:a16="http://schemas.microsoft.com/office/drawing/2014/main" id="{D7A9CBE0-54B4-BD8B-BD4E-780B86FD5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6" name="Picture 25">
          <a:extLst>
            <a:ext uri="{FF2B5EF4-FFF2-40B4-BE49-F238E27FC236}">
              <a16:creationId xmlns:a16="http://schemas.microsoft.com/office/drawing/2014/main" id="{D5A060F1-C7C1-70EA-EDB9-CDB7E93F5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7" name="Picture 26">
          <a:extLst>
            <a:ext uri="{FF2B5EF4-FFF2-40B4-BE49-F238E27FC236}">
              <a16:creationId xmlns:a16="http://schemas.microsoft.com/office/drawing/2014/main" id="{817D03CF-15F8-E593-92C2-F4C503E6E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8" name="Picture 28">
          <a:extLst>
            <a:ext uri="{FF2B5EF4-FFF2-40B4-BE49-F238E27FC236}">
              <a16:creationId xmlns:a16="http://schemas.microsoft.com/office/drawing/2014/main" id="{B53CDC62-C31F-001F-E6FC-4658BC7A7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39" name="Picture 29">
          <a:extLst>
            <a:ext uri="{FF2B5EF4-FFF2-40B4-BE49-F238E27FC236}">
              <a16:creationId xmlns:a16="http://schemas.microsoft.com/office/drawing/2014/main" id="{DD935885-904C-8BA7-2B1D-271940B3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0" name="Picture 31">
          <a:extLst>
            <a:ext uri="{FF2B5EF4-FFF2-40B4-BE49-F238E27FC236}">
              <a16:creationId xmlns:a16="http://schemas.microsoft.com/office/drawing/2014/main" id="{02350859-613F-D556-9712-598083763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1" name="Picture 32">
          <a:extLst>
            <a:ext uri="{FF2B5EF4-FFF2-40B4-BE49-F238E27FC236}">
              <a16:creationId xmlns:a16="http://schemas.microsoft.com/office/drawing/2014/main" id="{2221E252-DE5B-C08F-8841-8E6CCC848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2" name="Picture 34">
          <a:extLst>
            <a:ext uri="{FF2B5EF4-FFF2-40B4-BE49-F238E27FC236}">
              <a16:creationId xmlns:a16="http://schemas.microsoft.com/office/drawing/2014/main" id="{44D8AD0E-1869-24E2-DEAA-6AF88EE54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3" name="Picture 35">
          <a:extLst>
            <a:ext uri="{FF2B5EF4-FFF2-40B4-BE49-F238E27FC236}">
              <a16:creationId xmlns:a16="http://schemas.microsoft.com/office/drawing/2014/main" id="{F5EB41E5-D6A8-4D18-0E41-C7976766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4" name="Picture 37">
          <a:extLst>
            <a:ext uri="{FF2B5EF4-FFF2-40B4-BE49-F238E27FC236}">
              <a16:creationId xmlns:a16="http://schemas.microsoft.com/office/drawing/2014/main" id="{4186A1F1-6603-3345-7447-5643227D6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5" name="Picture 38">
          <a:extLst>
            <a:ext uri="{FF2B5EF4-FFF2-40B4-BE49-F238E27FC236}">
              <a16:creationId xmlns:a16="http://schemas.microsoft.com/office/drawing/2014/main" id="{EDE9DD97-1004-D136-D935-FE7258BA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6" name="Picture 40">
          <a:extLst>
            <a:ext uri="{FF2B5EF4-FFF2-40B4-BE49-F238E27FC236}">
              <a16:creationId xmlns:a16="http://schemas.microsoft.com/office/drawing/2014/main" id="{4343840D-8C73-4E15-CD5D-39312BE00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7" name="Picture 41">
          <a:extLst>
            <a:ext uri="{FF2B5EF4-FFF2-40B4-BE49-F238E27FC236}">
              <a16:creationId xmlns:a16="http://schemas.microsoft.com/office/drawing/2014/main" id="{C1C15392-6778-497A-60BD-5E7B49B0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8" name="Picture 43">
          <a:extLst>
            <a:ext uri="{FF2B5EF4-FFF2-40B4-BE49-F238E27FC236}">
              <a16:creationId xmlns:a16="http://schemas.microsoft.com/office/drawing/2014/main" id="{E79E2CDD-ECC3-5F47-12AA-9A6D36A2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49" name="Picture 44">
          <a:extLst>
            <a:ext uri="{FF2B5EF4-FFF2-40B4-BE49-F238E27FC236}">
              <a16:creationId xmlns:a16="http://schemas.microsoft.com/office/drawing/2014/main" id="{46FBEE98-89DA-A37E-30C2-C4EE95C0A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0" name="Picture 46">
          <a:extLst>
            <a:ext uri="{FF2B5EF4-FFF2-40B4-BE49-F238E27FC236}">
              <a16:creationId xmlns:a16="http://schemas.microsoft.com/office/drawing/2014/main" id="{FFC5AA71-6FB9-7F17-6A54-C4D0C23ED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1" name="Picture 47">
          <a:extLst>
            <a:ext uri="{FF2B5EF4-FFF2-40B4-BE49-F238E27FC236}">
              <a16:creationId xmlns:a16="http://schemas.microsoft.com/office/drawing/2014/main" id="{96E294FF-140D-E808-4287-FE716F6B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2" name="Picture 49">
          <a:extLst>
            <a:ext uri="{FF2B5EF4-FFF2-40B4-BE49-F238E27FC236}">
              <a16:creationId xmlns:a16="http://schemas.microsoft.com/office/drawing/2014/main" id="{E9CE29C2-FAC4-CC7E-8091-CF906C50E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3" name="Picture 50">
          <a:extLst>
            <a:ext uri="{FF2B5EF4-FFF2-40B4-BE49-F238E27FC236}">
              <a16:creationId xmlns:a16="http://schemas.microsoft.com/office/drawing/2014/main" id="{3A4E8DB1-8D27-CCBE-5CFB-014B54A07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4" name="Picture 52">
          <a:extLst>
            <a:ext uri="{FF2B5EF4-FFF2-40B4-BE49-F238E27FC236}">
              <a16:creationId xmlns:a16="http://schemas.microsoft.com/office/drawing/2014/main" id="{AA509962-0872-7E79-94CC-43CAC7B03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5" name="Picture 53">
          <a:extLst>
            <a:ext uri="{FF2B5EF4-FFF2-40B4-BE49-F238E27FC236}">
              <a16:creationId xmlns:a16="http://schemas.microsoft.com/office/drawing/2014/main" id="{BF489B33-CD40-C56B-B095-4708E04B5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7" name="Picture 1">
          <a:extLst>
            <a:ext uri="{FF2B5EF4-FFF2-40B4-BE49-F238E27FC236}">
              <a16:creationId xmlns:a16="http://schemas.microsoft.com/office/drawing/2014/main" id="{0DAC716E-6329-FE0B-527F-0CDD0F7C0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8" name="Picture 2">
          <a:extLst>
            <a:ext uri="{FF2B5EF4-FFF2-40B4-BE49-F238E27FC236}">
              <a16:creationId xmlns:a16="http://schemas.microsoft.com/office/drawing/2014/main" id="{4B13A4E1-D744-2B62-BA78-3BDDA6529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59" name="Picture 4">
          <a:extLst>
            <a:ext uri="{FF2B5EF4-FFF2-40B4-BE49-F238E27FC236}">
              <a16:creationId xmlns:a16="http://schemas.microsoft.com/office/drawing/2014/main" id="{4D960BB3-862E-1ED9-3C29-CAC7DD97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0" name="Picture 5">
          <a:extLst>
            <a:ext uri="{FF2B5EF4-FFF2-40B4-BE49-F238E27FC236}">
              <a16:creationId xmlns:a16="http://schemas.microsoft.com/office/drawing/2014/main" id="{E62400D4-781B-17B8-B560-A6BAA419D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1" name="Picture 7">
          <a:extLst>
            <a:ext uri="{FF2B5EF4-FFF2-40B4-BE49-F238E27FC236}">
              <a16:creationId xmlns:a16="http://schemas.microsoft.com/office/drawing/2014/main" id="{DC011F70-B7AA-3637-CCD5-B5052F06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2" name="Picture 8">
          <a:extLst>
            <a:ext uri="{FF2B5EF4-FFF2-40B4-BE49-F238E27FC236}">
              <a16:creationId xmlns:a16="http://schemas.microsoft.com/office/drawing/2014/main" id="{9F5BF620-BD0B-C601-4E47-979FCD7DA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3" name="Picture 10">
          <a:extLst>
            <a:ext uri="{FF2B5EF4-FFF2-40B4-BE49-F238E27FC236}">
              <a16:creationId xmlns:a16="http://schemas.microsoft.com/office/drawing/2014/main" id="{8C3188EA-29B1-714A-52E3-42534E52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4" name="Picture 11">
          <a:extLst>
            <a:ext uri="{FF2B5EF4-FFF2-40B4-BE49-F238E27FC236}">
              <a16:creationId xmlns:a16="http://schemas.microsoft.com/office/drawing/2014/main" id="{028C2913-4063-233C-13DE-EB782672B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5" name="Picture 13">
          <a:extLst>
            <a:ext uri="{FF2B5EF4-FFF2-40B4-BE49-F238E27FC236}">
              <a16:creationId xmlns:a16="http://schemas.microsoft.com/office/drawing/2014/main" id="{FB43515E-A258-19D0-2643-BE44F5C3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6" name="Picture 14">
          <a:extLst>
            <a:ext uri="{FF2B5EF4-FFF2-40B4-BE49-F238E27FC236}">
              <a16:creationId xmlns:a16="http://schemas.microsoft.com/office/drawing/2014/main" id="{1784DA37-98A2-1967-8D88-212971F2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7" name="Picture 16">
          <a:extLst>
            <a:ext uri="{FF2B5EF4-FFF2-40B4-BE49-F238E27FC236}">
              <a16:creationId xmlns:a16="http://schemas.microsoft.com/office/drawing/2014/main" id="{D534E45D-69A4-4387-38C5-7E211775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8" name="Picture 17">
          <a:extLst>
            <a:ext uri="{FF2B5EF4-FFF2-40B4-BE49-F238E27FC236}">
              <a16:creationId xmlns:a16="http://schemas.microsoft.com/office/drawing/2014/main" id="{216F55D4-3199-A20C-438C-F506790BE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69" name="Picture 19">
          <a:extLst>
            <a:ext uri="{FF2B5EF4-FFF2-40B4-BE49-F238E27FC236}">
              <a16:creationId xmlns:a16="http://schemas.microsoft.com/office/drawing/2014/main" id="{028A38A6-D4CC-D21E-A3BA-2F9CA451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0" name="Picture 20">
          <a:extLst>
            <a:ext uri="{FF2B5EF4-FFF2-40B4-BE49-F238E27FC236}">
              <a16:creationId xmlns:a16="http://schemas.microsoft.com/office/drawing/2014/main" id="{05D4CF20-2187-12F6-1E6D-4286694D7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1" name="Picture 22">
          <a:extLst>
            <a:ext uri="{FF2B5EF4-FFF2-40B4-BE49-F238E27FC236}">
              <a16:creationId xmlns:a16="http://schemas.microsoft.com/office/drawing/2014/main" id="{181869EE-7527-EE24-09A3-CC52B0EBA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2" name="Picture 23">
          <a:extLst>
            <a:ext uri="{FF2B5EF4-FFF2-40B4-BE49-F238E27FC236}">
              <a16:creationId xmlns:a16="http://schemas.microsoft.com/office/drawing/2014/main" id="{69797226-DD1C-0ED5-9488-E1E3C986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3" name="Picture 25">
          <a:extLst>
            <a:ext uri="{FF2B5EF4-FFF2-40B4-BE49-F238E27FC236}">
              <a16:creationId xmlns:a16="http://schemas.microsoft.com/office/drawing/2014/main" id="{707F83D2-B274-F481-B5AC-EC588FBBE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4" name="Picture 26">
          <a:extLst>
            <a:ext uri="{FF2B5EF4-FFF2-40B4-BE49-F238E27FC236}">
              <a16:creationId xmlns:a16="http://schemas.microsoft.com/office/drawing/2014/main" id="{1E3B8149-E76D-EAA5-C37F-7C059FB63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5" name="Picture 28">
          <a:extLst>
            <a:ext uri="{FF2B5EF4-FFF2-40B4-BE49-F238E27FC236}">
              <a16:creationId xmlns:a16="http://schemas.microsoft.com/office/drawing/2014/main" id="{6FB4F20C-3B88-F07C-CA66-72205072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6" name="Picture 29">
          <a:extLst>
            <a:ext uri="{FF2B5EF4-FFF2-40B4-BE49-F238E27FC236}">
              <a16:creationId xmlns:a16="http://schemas.microsoft.com/office/drawing/2014/main" id="{89C08EC3-A4F0-85B8-F928-46211124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7" name="Picture 31">
          <a:extLst>
            <a:ext uri="{FF2B5EF4-FFF2-40B4-BE49-F238E27FC236}">
              <a16:creationId xmlns:a16="http://schemas.microsoft.com/office/drawing/2014/main" id="{87BFE992-492C-C9E6-CF64-942E01B6E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8" name="Picture 32">
          <a:extLst>
            <a:ext uri="{FF2B5EF4-FFF2-40B4-BE49-F238E27FC236}">
              <a16:creationId xmlns:a16="http://schemas.microsoft.com/office/drawing/2014/main" id="{0D6924C8-695B-D638-B34F-C3E68730F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79" name="Picture 34">
          <a:extLst>
            <a:ext uri="{FF2B5EF4-FFF2-40B4-BE49-F238E27FC236}">
              <a16:creationId xmlns:a16="http://schemas.microsoft.com/office/drawing/2014/main" id="{30F54C43-AFE4-F3EC-546B-064C2E67E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0" name="Picture 35">
          <a:extLst>
            <a:ext uri="{FF2B5EF4-FFF2-40B4-BE49-F238E27FC236}">
              <a16:creationId xmlns:a16="http://schemas.microsoft.com/office/drawing/2014/main" id="{27098268-74DE-9B57-6BB1-6B78F8C74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1" name="Picture 37">
          <a:extLst>
            <a:ext uri="{FF2B5EF4-FFF2-40B4-BE49-F238E27FC236}">
              <a16:creationId xmlns:a16="http://schemas.microsoft.com/office/drawing/2014/main" id="{D110D213-9AF8-8799-58E0-4F443CF08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2" name="Picture 38">
          <a:extLst>
            <a:ext uri="{FF2B5EF4-FFF2-40B4-BE49-F238E27FC236}">
              <a16:creationId xmlns:a16="http://schemas.microsoft.com/office/drawing/2014/main" id="{0A60617B-7B0B-F904-E85C-3140D4280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3" name="Picture 40">
          <a:extLst>
            <a:ext uri="{FF2B5EF4-FFF2-40B4-BE49-F238E27FC236}">
              <a16:creationId xmlns:a16="http://schemas.microsoft.com/office/drawing/2014/main" id="{26B05CCA-136B-10FC-596E-D3A85DA4B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4" name="Picture 41">
          <a:extLst>
            <a:ext uri="{FF2B5EF4-FFF2-40B4-BE49-F238E27FC236}">
              <a16:creationId xmlns:a16="http://schemas.microsoft.com/office/drawing/2014/main" id="{7B1FAD31-1384-E7C4-9843-7DE311B1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5" name="Picture 43">
          <a:extLst>
            <a:ext uri="{FF2B5EF4-FFF2-40B4-BE49-F238E27FC236}">
              <a16:creationId xmlns:a16="http://schemas.microsoft.com/office/drawing/2014/main" id="{F2A91319-B373-5B62-4EDF-B1419AD3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6" name="Picture 44">
          <a:extLst>
            <a:ext uri="{FF2B5EF4-FFF2-40B4-BE49-F238E27FC236}">
              <a16:creationId xmlns:a16="http://schemas.microsoft.com/office/drawing/2014/main" id="{F6CB0A59-E85A-4234-C97E-A96EB79A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7" name="Picture 46">
          <a:extLst>
            <a:ext uri="{FF2B5EF4-FFF2-40B4-BE49-F238E27FC236}">
              <a16:creationId xmlns:a16="http://schemas.microsoft.com/office/drawing/2014/main" id="{BEFBC10B-7C42-F361-38E9-2ACE28BC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8" name="Picture 47">
          <a:extLst>
            <a:ext uri="{FF2B5EF4-FFF2-40B4-BE49-F238E27FC236}">
              <a16:creationId xmlns:a16="http://schemas.microsoft.com/office/drawing/2014/main" id="{9F4A4268-9E01-53C1-C5EF-B056CFE9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89" name="Picture 49">
          <a:extLst>
            <a:ext uri="{FF2B5EF4-FFF2-40B4-BE49-F238E27FC236}">
              <a16:creationId xmlns:a16="http://schemas.microsoft.com/office/drawing/2014/main" id="{951030BA-3C52-7DBA-8FE9-0BB54060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0" name="Picture 50">
          <a:extLst>
            <a:ext uri="{FF2B5EF4-FFF2-40B4-BE49-F238E27FC236}">
              <a16:creationId xmlns:a16="http://schemas.microsoft.com/office/drawing/2014/main" id="{F3612C48-325B-60E9-6629-248ED5F5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1" name="Picture 52">
          <a:extLst>
            <a:ext uri="{FF2B5EF4-FFF2-40B4-BE49-F238E27FC236}">
              <a16:creationId xmlns:a16="http://schemas.microsoft.com/office/drawing/2014/main" id="{377B021D-524B-C65D-CCF4-AD7D988E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2" name="Picture 53">
          <a:extLst>
            <a:ext uri="{FF2B5EF4-FFF2-40B4-BE49-F238E27FC236}">
              <a16:creationId xmlns:a16="http://schemas.microsoft.com/office/drawing/2014/main" id="{6E6B1B13-F15C-2E03-9B63-411E165EB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4" name="Picture 1">
          <a:extLst>
            <a:ext uri="{FF2B5EF4-FFF2-40B4-BE49-F238E27FC236}">
              <a16:creationId xmlns:a16="http://schemas.microsoft.com/office/drawing/2014/main" id="{D7950780-EB00-D81F-DAAC-9FD5516BF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5" name="Picture 2">
          <a:extLst>
            <a:ext uri="{FF2B5EF4-FFF2-40B4-BE49-F238E27FC236}">
              <a16:creationId xmlns:a16="http://schemas.microsoft.com/office/drawing/2014/main" id="{4C4B852C-27D8-9F54-97AD-0944155D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6" name="Picture 4">
          <a:extLst>
            <a:ext uri="{FF2B5EF4-FFF2-40B4-BE49-F238E27FC236}">
              <a16:creationId xmlns:a16="http://schemas.microsoft.com/office/drawing/2014/main" id="{99C0FA15-DBB8-5483-B83E-1FC590F0F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7" name="Picture 5">
          <a:extLst>
            <a:ext uri="{FF2B5EF4-FFF2-40B4-BE49-F238E27FC236}">
              <a16:creationId xmlns:a16="http://schemas.microsoft.com/office/drawing/2014/main" id="{5BB454D9-C40D-8C9D-2036-850E9C8D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8" name="Picture 7">
          <a:extLst>
            <a:ext uri="{FF2B5EF4-FFF2-40B4-BE49-F238E27FC236}">
              <a16:creationId xmlns:a16="http://schemas.microsoft.com/office/drawing/2014/main" id="{5C7A45A4-7040-DCDD-1E4A-73E9814D5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699" name="Picture 8">
          <a:extLst>
            <a:ext uri="{FF2B5EF4-FFF2-40B4-BE49-F238E27FC236}">
              <a16:creationId xmlns:a16="http://schemas.microsoft.com/office/drawing/2014/main" id="{E66B5695-D582-5F7D-FB92-69F1E39F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0" name="Picture 10">
          <a:extLst>
            <a:ext uri="{FF2B5EF4-FFF2-40B4-BE49-F238E27FC236}">
              <a16:creationId xmlns:a16="http://schemas.microsoft.com/office/drawing/2014/main" id="{88F00E88-8706-4300-9D82-904AA3C49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1" name="Picture 11">
          <a:extLst>
            <a:ext uri="{FF2B5EF4-FFF2-40B4-BE49-F238E27FC236}">
              <a16:creationId xmlns:a16="http://schemas.microsoft.com/office/drawing/2014/main" id="{BA29A88F-2DA7-0FAE-5220-58CD074E9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2" name="Picture 13">
          <a:extLst>
            <a:ext uri="{FF2B5EF4-FFF2-40B4-BE49-F238E27FC236}">
              <a16:creationId xmlns:a16="http://schemas.microsoft.com/office/drawing/2014/main" id="{213FC8A3-2497-299D-DF88-6B3E1EBA8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3" name="Picture 14">
          <a:extLst>
            <a:ext uri="{FF2B5EF4-FFF2-40B4-BE49-F238E27FC236}">
              <a16:creationId xmlns:a16="http://schemas.microsoft.com/office/drawing/2014/main" id="{183D3EF8-3ACD-6A56-3ACD-89492EEB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4" name="Picture 16">
          <a:extLst>
            <a:ext uri="{FF2B5EF4-FFF2-40B4-BE49-F238E27FC236}">
              <a16:creationId xmlns:a16="http://schemas.microsoft.com/office/drawing/2014/main" id="{B55AEE86-D736-6205-8FFD-0212E8BA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5" name="Picture 17">
          <a:extLst>
            <a:ext uri="{FF2B5EF4-FFF2-40B4-BE49-F238E27FC236}">
              <a16:creationId xmlns:a16="http://schemas.microsoft.com/office/drawing/2014/main" id="{1BE976D0-F7E2-D0F6-3B9E-91852626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6" name="Picture 19">
          <a:extLst>
            <a:ext uri="{FF2B5EF4-FFF2-40B4-BE49-F238E27FC236}">
              <a16:creationId xmlns:a16="http://schemas.microsoft.com/office/drawing/2014/main" id="{77A09154-FDCD-A68E-1892-D909E394B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7" name="Picture 20">
          <a:extLst>
            <a:ext uri="{FF2B5EF4-FFF2-40B4-BE49-F238E27FC236}">
              <a16:creationId xmlns:a16="http://schemas.microsoft.com/office/drawing/2014/main" id="{D9228C1D-5016-80AB-3071-E5B0D6BA3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8" name="Picture 22">
          <a:extLst>
            <a:ext uri="{FF2B5EF4-FFF2-40B4-BE49-F238E27FC236}">
              <a16:creationId xmlns:a16="http://schemas.microsoft.com/office/drawing/2014/main" id="{B12A1DDC-E591-D947-C162-747656475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09" name="Picture 23">
          <a:extLst>
            <a:ext uri="{FF2B5EF4-FFF2-40B4-BE49-F238E27FC236}">
              <a16:creationId xmlns:a16="http://schemas.microsoft.com/office/drawing/2014/main" id="{ABF231E2-E241-47B9-A8E5-28A84166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0" name="Picture 25">
          <a:extLst>
            <a:ext uri="{FF2B5EF4-FFF2-40B4-BE49-F238E27FC236}">
              <a16:creationId xmlns:a16="http://schemas.microsoft.com/office/drawing/2014/main" id="{6BE8F272-E578-2C22-B7FC-A9DA04563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1" name="Picture 26">
          <a:extLst>
            <a:ext uri="{FF2B5EF4-FFF2-40B4-BE49-F238E27FC236}">
              <a16:creationId xmlns:a16="http://schemas.microsoft.com/office/drawing/2014/main" id="{857DC1EB-37F3-11B7-DDD6-BD6BD8500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2" name="Picture 28">
          <a:extLst>
            <a:ext uri="{FF2B5EF4-FFF2-40B4-BE49-F238E27FC236}">
              <a16:creationId xmlns:a16="http://schemas.microsoft.com/office/drawing/2014/main" id="{82918016-D3F2-D94C-8DEF-9BD9D3452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3" name="Picture 29">
          <a:extLst>
            <a:ext uri="{FF2B5EF4-FFF2-40B4-BE49-F238E27FC236}">
              <a16:creationId xmlns:a16="http://schemas.microsoft.com/office/drawing/2014/main" id="{6E73095D-4F83-2DCC-1A4E-44C4B5188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4" name="Picture 31">
          <a:extLst>
            <a:ext uri="{FF2B5EF4-FFF2-40B4-BE49-F238E27FC236}">
              <a16:creationId xmlns:a16="http://schemas.microsoft.com/office/drawing/2014/main" id="{40990987-A3CA-86BF-4E7D-07F4E17CE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5" name="Picture 32">
          <a:extLst>
            <a:ext uri="{FF2B5EF4-FFF2-40B4-BE49-F238E27FC236}">
              <a16:creationId xmlns:a16="http://schemas.microsoft.com/office/drawing/2014/main" id="{B4055471-9A84-C79D-1139-2C7247839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6" name="Picture 34">
          <a:extLst>
            <a:ext uri="{FF2B5EF4-FFF2-40B4-BE49-F238E27FC236}">
              <a16:creationId xmlns:a16="http://schemas.microsoft.com/office/drawing/2014/main" id="{BBB4575D-A365-83A7-4B99-CD0A375B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7" name="Picture 35">
          <a:extLst>
            <a:ext uri="{FF2B5EF4-FFF2-40B4-BE49-F238E27FC236}">
              <a16:creationId xmlns:a16="http://schemas.microsoft.com/office/drawing/2014/main" id="{8E06EFF7-4F80-B88E-9017-4AE7B689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8" name="Picture 37">
          <a:extLst>
            <a:ext uri="{FF2B5EF4-FFF2-40B4-BE49-F238E27FC236}">
              <a16:creationId xmlns:a16="http://schemas.microsoft.com/office/drawing/2014/main" id="{04403F6D-807F-6934-52E6-77E4A3CD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19" name="Picture 38">
          <a:extLst>
            <a:ext uri="{FF2B5EF4-FFF2-40B4-BE49-F238E27FC236}">
              <a16:creationId xmlns:a16="http://schemas.microsoft.com/office/drawing/2014/main" id="{24516CF3-7F1E-106B-3221-CC752E4FB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0" name="Picture 40">
          <a:extLst>
            <a:ext uri="{FF2B5EF4-FFF2-40B4-BE49-F238E27FC236}">
              <a16:creationId xmlns:a16="http://schemas.microsoft.com/office/drawing/2014/main" id="{A3ACB727-BB5D-0AB3-E2B9-5434F00D7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1" name="Picture 41">
          <a:extLst>
            <a:ext uri="{FF2B5EF4-FFF2-40B4-BE49-F238E27FC236}">
              <a16:creationId xmlns:a16="http://schemas.microsoft.com/office/drawing/2014/main" id="{B4967D9A-95D0-DCE8-D94D-99D372B50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2" name="Picture 43">
          <a:extLst>
            <a:ext uri="{FF2B5EF4-FFF2-40B4-BE49-F238E27FC236}">
              <a16:creationId xmlns:a16="http://schemas.microsoft.com/office/drawing/2014/main" id="{21D4D5F6-8E19-82E5-F1B9-6C16DE82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3" name="Picture 44">
          <a:extLst>
            <a:ext uri="{FF2B5EF4-FFF2-40B4-BE49-F238E27FC236}">
              <a16:creationId xmlns:a16="http://schemas.microsoft.com/office/drawing/2014/main" id="{BD7F8B90-A8E6-E02E-1014-C0590D2B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4" name="Picture 46">
          <a:extLst>
            <a:ext uri="{FF2B5EF4-FFF2-40B4-BE49-F238E27FC236}">
              <a16:creationId xmlns:a16="http://schemas.microsoft.com/office/drawing/2014/main" id="{0ED23D7C-0D6D-5829-5E2B-2C0894B26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5" name="Picture 47">
          <a:extLst>
            <a:ext uri="{FF2B5EF4-FFF2-40B4-BE49-F238E27FC236}">
              <a16:creationId xmlns:a16="http://schemas.microsoft.com/office/drawing/2014/main" id="{D0A83DAB-C96A-6571-A42F-7BCD8AD6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6" name="Picture 49">
          <a:extLst>
            <a:ext uri="{FF2B5EF4-FFF2-40B4-BE49-F238E27FC236}">
              <a16:creationId xmlns:a16="http://schemas.microsoft.com/office/drawing/2014/main" id="{EE2AA6DC-5994-D376-8BCF-55179507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7" name="Picture 50">
          <a:extLst>
            <a:ext uri="{FF2B5EF4-FFF2-40B4-BE49-F238E27FC236}">
              <a16:creationId xmlns:a16="http://schemas.microsoft.com/office/drawing/2014/main" id="{4C9CD651-257E-5B68-40FD-EA774DDF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8" name="Picture 52">
          <a:extLst>
            <a:ext uri="{FF2B5EF4-FFF2-40B4-BE49-F238E27FC236}">
              <a16:creationId xmlns:a16="http://schemas.microsoft.com/office/drawing/2014/main" id="{97AB0467-B944-1783-1029-52F894F00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120650</xdr:colOff>
      <xdr:row>0</xdr:row>
      <xdr:rowOff>0</xdr:rowOff>
    </xdr:from>
    <xdr:to>
      <xdr:col>0</xdr:col>
      <xdr:colOff>641350</xdr:colOff>
      <xdr:row>0</xdr:row>
      <xdr:rowOff>0</xdr:rowOff>
    </xdr:to>
    <xdr:pic>
      <xdr:nvPicPr>
        <xdr:cNvPr id="266729" name="Picture 53">
          <a:extLst>
            <a:ext uri="{FF2B5EF4-FFF2-40B4-BE49-F238E27FC236}">
              <a16:creationId xmlns:a16="http://schemas.microsoft.com/office/drawing/2014/main" id="{A787A58B-FDAA-58D8-1A86-6561BF268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52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96837</xdr:colOff>
      <xdr:row>0</xdr:row>
      <xdr:rowOff>161925</xdr:rowOff>
    </xdr:from>
    <xdr:to>
      <xdr:col>1</xdr:col>
      <xdr:colOff>1003729</xdr:colOff>
      <xdr:row>4</xdr:row>
      <xdr:rowOff>35718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C254171-FF7B-49F1-A11B-9FF6C25C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" y="161925"/>
          <a:ext cx="2026080" cy="945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M43"/>
  <sheetViews>
    <sheetView tabSelected="1" zoomScale="80" zoomScaleNormal="80" workbookViewId="0">
      <selection activeCell="C1" sqref="C1:G1"/>
    </sheetView>
  </sheetViews>
  <sheetFormatPr baseColWidth="10" defaultColWidth="9.140625" defaultRowHeight="12.75" x14ac:dyDescent="0.2"/>
  <cols>
    <col min="1" max="1" width="16.85546875" style="1" bestFit="1" customWidth="1"/>
    <col min="2" max="2" width="16.85546875" style="1" customWidth="1"/>
    <col min="3" max="3" width="56.140625" style="1" customWidth="1"/>
    <col min="4" max="4" width="21.28515625" style="1" customWidth="1"/>
    <col min="5" max="5" width="14.42578125" style="1" customWidth="1"/>
    <col min="6" max="6" width="12.28515625" style="1" customWidth="1"/>
    <col min="7" max="7" width="24.85546875" style="1" customWidth="1"/>
    <col min="8" max="8" width="15.5703125" style="1" customWidth="1"/>
    <col min="9" max="9" width="17.7109375" style="1" bestFit="1" customWidth="1"/>
    <col min="10" max="16384" width="9.140625" style="1"/>
  </cols>
  <sheetData>
    <row r="1" spans="1:10" ht="19.5" customHeight="1" x14ac:dyDescent="0.25">
      <c r="A1" s="118"/>
      <c r="B1" s="119"/>
      <c r="C1" s="133" t="s">
        <v>42</v>
      </c>
      <c r="D1" s="134"/>
      <c r="E1" s="134"/>
      <c r="F1" s="134"/>
      <c r="G1" s="134"/>
      <c r="H1" s="10" t="s">
        <v>41</v>
      </c>
      <c r="I1" s="9" t="s">
        <v>131</v>
      </c>
    </row>
    <row r="2" spans="1:10" ht="19.5" customHeight="1" x14ac:dyDescent="0.25">
      <c r="A2" s="120"/>
      <c r="B2" s="121"/>
      <c r="C2" s="135" t="s">
        <v>0</v>
      </c>
      <c r="D2" s="136"/>
      <c r="E2" s="136"/>
      <c r="F2" s="136"/>
      <c r="G2" s="136"/>
      <c r="H2" s="8" t="s">
        <v>40</v>
      </c>
      <c r="I2" s="229" t="s">
        <v>130</v>
      </c>
    </row>
    <row r="3" spans="1:10" ht="25.5" customHeight="1" x14ac:dyDescent="0.2">
      <c r="A3" s="120"/>
      <c r="B3" s="121"/>
      <c r="C3" s="238" t="s">
        <v>122</v>
      </c>
      <c r="D3" s="239"/>
      <c r="E3" s="239"/>
      <c r="F3" s="239"/>
      <c r="G3" s="239"/>
      <c r="H3" s="124" t="s">
        <v>39</v>
      </c>
      <c r="I3" s="126">
        <v>45945</v>
      </c>
    </row>
    <row r="4" spans="1:10" ht="19.5" customHeight="1" x14ac:dyDescent="0.2">
      <c r="A4" s="120"/>
      <c r="B4" s="121"/>
      <c r="C4" s="11" t="s">
        <v>38</v>
      </c>
      <c r="D4" s="132" t="s">
        <v>43</v>
      </c>
      <c r="E4" s="132"/>
      <c r="F4" s="132"/>
      <c r="G4" s="132"/>
      <c r="H4" s="124"/>
      <c r="I4" s="126"/>
    </row>
    <row r="5" spans="1:10" ht="19.5" customHeight="1" thickBot="1" x14ac:dyDescent="0.25">
      <c r="A5" s="122"/>
      <c r="B5" s="123"/>
      <c r="C5" s="12" t="s">
        <v>37</v>
      </c>
      <c r="D5" s="128" t="s">
        <v>111</v>
      </c>
      <c r="E5" s="128"/>
      <c r="F5" s="128"/>
      <c r="G5" s="128"/>
      <c r="H5" s="125"/>
      <c r="I5" s="127"/>
    </row>
    <row r="6" spans="1:10" ht="26.25" customHeight="1" thickBot="1" x14ac:dyDescent="0.25">
      <c r="A6" s="129" t="s">
        <v>36</v>
      </c>
      <c r="B6" s="130"/>
      <c r="C6" s="130"/>
      <c r="D6" s="227" t="s">
        <v>44</v>
      </c>
      <c r="E6" s="227"/>
      <c r="F6" s="227"/>
      <c r="G6" s="131" t="s">
        <v>35</v>
      </c>
      <c r="H6" s="131"/>
      <c r="I6" s="228" t="s">
        <v>45</v>
      </c>
    </row>
    <row r="7" spans="1:10" ht="35.25" customHeight="1" x14ac:dyDescent="0.2">
      <c r="A7" s="115" t="s">
        <v>1</v>
      </c>
      <c r="B7" s="115" t="s">
        <v>1</v>
      </c>
      <c r="C7" s="114" t="s">
        <v>2</v>
      </c>
      <c r="D7" s="114" t="s">
        <v>3</v>
      </c>
      <c r="E7" s="114" t="s">
        <v>4</v>
      </c>
      <c r="F7" s="114"/>
      <c r="G7" s="114" t="s">
        <v>34</v>
      </c>
      <c r="H7" s="114"/>
      <c r="I7" s="7" t="s">
        <v>5</v>
      </c>
    </row>
    <row r="8" spans="1:10" ht="33" customHeight="1" thickBot="1" x14ac:dyDescent="0.25">
      <c r="A8" s="116"/>
      <c r="B8" s="116"/>
      <c r="C8" s="117"/>
      <c r="D8" s="117"/>
      <c r="E8" s="6" t="s">
        <v>6</v>
      </c>
      <c r="F8" s="5" t="s">
        <v>7</v>
      </c>
      <c r="G8" s="6" t="s">
        <v>6</v>
      </c>
      <c r="H8" s="5" t="s">
        <v>7</v>
      </c>
      <c r="I8" s="4" t="s">
        <v>8</v>
      </c>
    </row>
    <row r="9" spans="1:10" ht="20.25" x14ac:dyDescent="0.3">
      <c r="A9" s="168">
        <v>112000009</v>
      </c>
      <c r="B9" s="169" t="s">
        <v>112</v>
      </c>
      <c r="C9" s="170" t="s">
        <v>123</v>
      </c>
      <c r="D9" s="171" t="s">
        <v>17</v>
      </c>
      <c r="E9" s="172">
        <f>6677+150</f>
        <v>6827</v>
      </c>
      <c r="F9" s="173" t="s">
        <v>20</v>
      </c>
      <c r="G9" s="174"/>
      <c r="H9" s="171"/>
      <c r="I9" s="175"/>
      <c r="J9" s="1">
        <f>+E9/7.509</f>
        <v>909.1756558796111</v>
      </c>
    </row>
    <row r="10" spans="1:10" ht="20.25" x14ac:dyDescent="0.3">
      <c r="A10" s="168">
        <v>610220</v>
      </c>
      <c r="B10" s="169" t="s">
        <v>113</v>
      </c>
      <c r="C10" s="170" t="s">
        <v>124</v>
      </c>
      <c r="D10" s="171" t="s">
        <v>12</v>
      </c>
      <c r="E10" s="172">
        <v>350</v>
      </c>
      <c r="F10" s="173" t="s">
        <v>20</v>
      </c>
      <c r="G10" s="176"/>
      <c r="H10" s="176"/>
      <c r="I10" s="177"/>
      <c r="J10" s="1">
        <f t="shared" ref="J10:J19" si="0">+E10/7.509</f>
        <v>46.610733786123319</v>
      </c>
    </row>
    <row r="11" spans="1:10" ht="20.25" x14ac:dyDescent="0.3">
      <c r="A11" s="168">
        <v>5000001</v>
      </c>
      <c r="B11" s="169" t="s">
        <v>114</v>
      </c>
      <c r="C11" s="170" t="s">
        <v>125</v>
      </c>
      <c r="D11" s="171" t="s">
        <v>50</v>
      </c>
      <c r="E11" s="172">
        <v>200</v>
      </c>
      <c r="F11" s="173" t="s">
        <v>20</v>
      </c>
      <c r="G11" s="172"/>
      <c r="H11" s="171"/>
      <c r="I11" s="175"/>
      <c r="J11" s="1">
        <f t="shared" si="0"/>
        <v>26.634705020641896</v>
      </c>
    </row>
    <row r="12" spans="1:10" ht="20.25" x14ac:dyDescent="0.3">
      <c r="A12" s="178">
        <v>510301</v>
      </c>
      <c r="B12" s="169" t="s">
        <v>115</v>
      </c>
      <c r="C12" s="170" t="s">
        <v>126</v>
      </c>
      <c r="D12" s="171" t="s">
        <v>47</v>
      </c>
      <c r="E12" s="172">
        <v>100</v>
      </c>
      <c r="F12" s="173" t="s">
        <v>20</v>
      </c>
      <c r="G12" s="179"/>
      <c r="H12" s="179"/>
      <c r="I12" s="175"/>
      <c r="J12" s="1">
        <f t="shared" si="0"/>
        <v>13.317352510320948</v>
      </c>
    </row>
    <row r="13" spans="1:10" ht="20.25" x14ac:dyDescent="0.3">
      <c r="A13" s="168">
        <v>610236</v>
      </c>
      <c r="B13" s="169" t="s">
        <v>116</v>
      </c>
      <c r="C13" s="170" t="s">
        <v>127</v>
      </c>
      <c r="D13" s="171" t="s">
        <v>18</v>
      </c>
      <c r="E13" s="172">
        <v>23</v>
      </c>
      <c r="F13" s="173" t="s">
        <v>20</v>
      </c>
      <c r="G13" s="179"/>
      <c r="H13" s="179"/>
      <c r="I13" s="175"/>
      <c r="J13" s="1">
        <f>+E13/7.509</f>
        <v>3.0629910773738178</v>
      </c>
    </row>
    <row r="14" spans="1:10" ht="20.25" x14ac:dyDescent="0.3">
      <c r="A14" s="168">
        <v>10100178</v>
      </c>
      <c r="B14" s="169" t="s">
        <v>117</v>
      </c>
      <c r="C14" s="170" t="s">
        <v>128</v>
      </c>
      <c r="D14" s="171" t="s">
        <v>129</v>
      </c>
      <c r="E14" s="172">
        <v>8</v>
      </c>
      <c r="F14" s="173" t="s">
        <v>20</v>
      </c>
      <c r="G14" s="180"/>
      <c r="H14" s="179"/>
      <c r="I14" s="175"/>
      <c r="J14" s="1">
        <f t="shared" si="0"/>
        <v>1.0653882008256759</v>
      </c>
    </row>
    <row r="15" spans="1:10" ht="18" customHeight="1" x14ac:dyDescent="0.3">
      <c r="A15" s="178"/>
      <c r="B15" s="169"/>
      <c r="C15" s="170"/>
      <c r="D15" s="171"/>
      <c r="E15" s="172"/>
      <c r="F15" s="173"/>
      <c r="G15" s="172"/>
      <c r="H15" s="171"/>
      <c r="I15" s="175"/>
      <c r="J15" s="1">
        <f>+E15/7.509</f>
        <v>0</v>
      </c>
    </row>
    <row r="16" spans="1:10" ht="20.25" x14ac:dyDescent="0.3">
      <c r="A16" s="168">
        <v>1950708</v>
      </c>
      <c r="B16" s="169" t="s">
        <v>118</v>
      </c>
      <c r="C16" s="170" t="s">
        <v>19</v>
      </c>
      <c r="D16" s="171" t="s">
        <v>56</v>
      </c>
      <c r="E16" s="172">
        <v>1</v>
      </c>
      <c r="F16" s="173" t="s">
        <v>58</v>
      </c>
      <c r="G16" s="172"/>
      <c r="H16" s="171"/>
      <c r="I16" s="175"/>
      <c r="J16" s="1">
        <f t="shared" si="0"/>
        <v>0.13317352510320948</v>
      </c>
    </row>
    <row r="17" spans="1:13" ht="20.25" x14ac:dyDescent="0.3">
      <c r="A17" s="168">
        <v>1950705</v>
      </c>
      <c r="B17" s="169" t="s">
        <v>119</v>
      </c>
      <c r="C17" s="170" t="s">
        <v>16</v>
      </c>
      <c r="D17" s="171" t="s">
        <v>56</v>
      </c>
      <c r="E17" s="172">
        <v>1</v>
      </c>
      <c r="F17" s="173" t="s">
        <v>58</v>
      </c>
      <c r="G17" s="172"/>
      <c r="H17" s="171"/>
      <c r="I17" s="175"/>
      <c r="J17" s="1">
        <f t="shared" si="0"/>
        <v>0.13317352510320948</v>
      </c>
    </row>
    <row r="18" spans="1:13" ht="20.25" x14ac:dyDescent="0.3">
      <c r="A18" s="168">
        <v>702007</v>
      </c>
      <c r="B18" s="169" t="s">
        <v>120</v>
      </c>
      <c r="C18" s="170" t="s">
        <v>32</v>
      </c>
      <c r="D18" s="171" t="s">
        <v>57</v>
      </c>
      <c r="E18" s="172">
        <v>1</v>
      </c>
      <c r="F18" s="173" t="s">
        <v>58</v>
      </c>
      <c r="G18" s="172"/>
      <c r="H18" s="171"/>
      <c r="I18" s="175"/>
      <c r="J18" s="1">
        <f t="shared" si="0"/>
        <v>0.13317352510320948</v>
      </c>
    </row>
    <row r="19" spans="1:13" ht="20.25" x14ac:dyDescent="0.3">
      <c r="A19" s="168">
        <v>702123</v>
      </c>
      <c r="B19" s="169" t="s">
        <v>121</v>
      </c>
      <c r="C19" s="170" t="s">
        <v>55</v>
      </c>
      <c r="D19" s="171" t="s">
        <v>57</v>
      </c>
      <c r="E19" s="172">
        <v>1</v>
      </c>
      <c r="F19" s="173" t="s">
        <v>58</v>
      </c>
      <c r="G19" s="172"/>
      <c r="H19" s="171"/>
      <c r="I19" s="175"/>
      <c r="J19" s="1">
        <f t="shared" si="0"/>
        <v>0.13317352510320948</v>
      </c>
    </row>
    <row r="20" spans="1:13" ht="18" customHeight="1" x14ac:dyDescent="0.3">
      <c r="A20" s="181"/>
      <c r="B20" s="182"/>
      <c r="C20" s="183"/>
      <c r="D20" s="184"/>
      <c r="E20" s="173"/>
      <c r="F20" s="173"/>
      <c r="G20" s="173"/>
      <c r="H20" s="173"/>
      <c r="I20" s="185"/>
    </row>
    <row r="21" spans="1:13" ht="18" customHeight="1" thickBot="1" x14ac:dyDescent="0.35">
      <c r="A21" s="186"/>
      <c r="B21" s="187"/>
      <c r="C21" s="188"/>
      <c r="D21" s="188"/>
      <c r="E21" s="189"/>
      <c r="F21" s="190"/>
      <c r="G21" s="188"/>
      <c r="H21" s="188"/>
      <c r="I21" s="191"/>
      <c r="L21" s="2"/>
    </row>
    <row r="22" spans="1:13" ht="21" thickBot="1" x14ac:dyDescent="0.35">
      <c r="A22" s="192"/>
      <c r="B22" s="193"/>
      <c r="C22" s="194"/>
      <c r="D22" s="195" t="s">
        <v>6</v>
      </c>
      <c r="E22" s="196" t="s">
        <v>31</v>
      </c>
      <c r="F22" s="197"/>
      <c r="G22" s="194"/>
      <c r="H22" s="194"/>
      <c r="I22" s="198"/>
      <c r="L22" s="2"/>
    </row>
    <row r="23" spans="1:13" ht="20.25" x14ac:dyDescent="0.3">
      <c r="A23" s="199" t="s">
        <v>11</v>
      </c>
      <c r="B23" s="200"/>
      <c r="C23" s="201"/>
      <c r="D23" s="202">
        <f>SUM(E9:E14)</f>
        <v>7508</v>
      </c>
      <c r="E23" s="203" t="s">
        <v>20</v>
      </c>
      <c r="F23" s="204" t="s">
        <v>30</v>
      </c>
      <c r="G23" s="204"/>
      <c r="H23" s="205"/>
      <c r="I23" s="206"/>
      <c r="L23" s="2"/>
    </row>
    <row r="24" spans="1:13" ht="20.25" x14ac:dyDescent="0.3">
      <c r="A24" s="207" t="s">
        <v>10</v>
      </c>
      <c r="B24" s="208"/>
      <c r="C24" s="209"/>
      <c r="D24" s="210">
        <v>3</v>
      </c>
      <c r="E24" s="211" t="s">
        <v>29</v>
      </c>
      <c r="F24" s="212" t="s">
        <v>28</v>
      </c>
      <c r="G24" s="212"/>
      <c r="H24" s="213"/>
      <c r="I24" s="214"/>
      <c r="J24" s="1">
        <f>3/7.509</f>
        <v>0.39952057530962842</v>
      </c>
      <c r="L24" s="2"/>
    </row>
    <row r="25" spans="1:13" ht="20.25" x14ac:dyDescent="0.3">
      <c r="A25" s="207" t="s">
        <v>27</v>
      </c>
      <c r="B25" s="208"/>
      <c r="C25" s="209"/>
      <c r="D25" s="215">
        <v>1</v>
      </c>
      <c r="E25" s="211" t="s">
        <v>26</v>
      </c>
      <c r="F25" s="212" t="s">
        <v>25</v>
      </c>
      <c r="G25" s="212"/>
      <c r="H25" s="213"/>
      <c r="I25" s="214"/>
      <c r="L25" s="2"/>
    </row>
    <row r="26" spans="1:13" ht="20.25" customHeight="1" x14ac:dyDescent="0.3">
      <c r="A26" s="207" t="s">
        <v>24</v>
      </c>
      <c r="B26" s="208"/>
      <c r="C26" s="209"/>
      <c r="D26" s="216">
        <f>D23</f>
        <v>7508</v>
      </c>
      <c r="E26" s="211" t="s">
        <v>20</v>
      </c>
      <c r="F26" s="212" t="s">
        <v>23</v>
      </c>
      <c r="G26" s="212"/>
      <c r="H26" s="213"/>
      <c r="I26" s="214"/>
      <c r="L26" s="2"/>
      <c r="M26" s="3"/>
    </row>
    <row r="27" spans="1:13" ht="17.25" customHeight="1" thickBot="1" x14ac:dyDescent="0.35">
      <c r="A27" s="217" t="s">
        <v>15</v>
      </c>
      <c r="B27" s="218"/>
      <c r="C27" s="219"/>
      <c r="D27" s="220">
        <f>SUM(E9:E14)-D26</f>
        <v>0</v>
      </c>
      <c r="E27" s="221" t="s">
        <v>20</v>
      </c>
      <c r="F27" s="219"/>
      <c r="G27" s="219"/>
      <c r="H27" s="222"/>
      <c r="I27" s="223"/>
      <c r="L27" s="2"/>
    </row>
    <row r="28" spans="1:13" ht="21" thickBot="1" x14ac:dyDescent="0.35">
      <c r="A28" s="230" t="s">
        <v>22</v>
      </c>
      <c r="B28" s="231"/>
      <c r="C28" s="231"/>
      <c r="D28" s="231"/>
      <c r="E28" s="231"/>
      <c r="F28" s="231"/>
      <c r="G28" s="231"/>
      <c r="H28" s="231"/>
      <c r="I28" s="232"/>
    </row>
    <row r="29" spans="1:13" ht="20.25" x14ac:dyDescent="0.3">
      <c r="A29" s="224" t="s">
        <v>21</v>
      </c>
      <c r="B29" s="225"/>
      <c r="C29" s="225"/>
      <c r="D29" s="225"/>
      <c r="E29" s="225"/>
      <c r="F29" s="225"/>
      <c r="G29" s="225"/>
      <c r="H29" s="225"/>
      <c r="I29" s="226"/>
    </row>
    <row r="30" spans="1:13" ht="20.25" x14ac:dyDescent="0.3">
      <c r="A30" s="224" t="s">
        <v>51</v>
      </c>
      <c r="B30" s="225"/>
      <c r="C30" s="225"/>
      <c r="D30" s="225"/>
      <c r="E30" s="225"/>
      <c r="F30" s="225"/>
      <c r="G30" s="225"/>
      <c r="H30" s="225"/>
      <c r="I30" s="226"/>
    </row>
    <row r="31" spans="1:13" ht="20.25" x14ac:dyDescent="0.3">
      <c r="A31" s="224" t="s">
        <v>52</v>
      </c>
      <c r="B31" s="225"/>
      <c r="C31" s="225"/>
      <c r="D31" s="225"/>
      <c r="E31" s="225"/>
      <c r="F31" s="225"/>
      <c r="G31" s="225"/>
      <c r="H31" s="225"/>
      <c r="I31" s="226"/>
    </row>
    <row r="32" spans="1:13" ht="21.6" customHeight="1" x14ac:dyDescent="0.3">
      <c r="A32" s="234"/>
      <c r="B32" s="235"/>
      <c r="C32" s="235"/>
      <c r="D32" s="235"/>
      <c r="E32" s="235"/>
      <c r="F32" s="235"/>
      <c r="G32" s="235"/>
      <c r="H32" s="235"/>
      <c r="I32" s="236"/>
    </row>
    <row r="33" spans="1:9" ht="20.25" x14ac:dyDescent="0.2">
      <c r="A33" s="237" t="s">
        <v>53</v>
      </c>
      <c r="B33" s="237"/>
      <c r="C33" s="237"/>
      <c r="D33" s="237"/>
      <c r="E33" s="237"/>
      <c r="F33" s="237"/>
      <c r="G33" s="237"/>
      <c r="H33" s="237"/>
      <c r="I33" s="237"/>
    </row>
    <row r="34" spans="1:9" ht="20.100000000000001" customHeight="1" x14ac:dyDescent="0.2">
      <c r="A34" s="233"/>
      <c r="B34" s="233"/>
      <c r="C34" s="233"/>
      <c r="D34" s="233"/>
      <c r="E34" s="233"/>
      <c r="F34" s="233"/>
      <c r="G34" s="233"/>
      <c r="H34" s="233"/>
      <c r="I34" s="233"/>
    </row>
    <row r="35" spans="1:9" ht="20.100000000000001" customHeight="1" x14ac:dyDescent="0.2">
      <c r="A35" s="233"/>
      <c r="B35" s="233"/>
      <c r="C35" s="233"/>
      <c r="D35" s="233"/>
      <c r="E35" s="233"/>
      <c r="F35" s="233"/>
      <c r="G35" s="233"/>
      <c r="H35" s="233"/>
      <c r="I35" s="233"/>
    </row>
    <row r="36" spans="1:9" ht="20.100000000000001" customHeight="1" x14ac:dyDescent="0.2">
      <c r="A36" s="240"/>
      <c r="B36" s="240"/>
      <c r="C36" s="240"/>
      <c r="D36" s="240"/>
      <c r="E36" s="240"/>
      <c r="F36" s="240"/>
      <c r="G36" s="240"/>
      <c r="H36" s="240"/>
      <c r="I36" s="240"/>
    </row>
    <row r="37" spans="1:9" ht="20.100000000000001" customHeight="1" x14ac:dyDescent="0.2">
      <c r="A37" s="240"/>
      <c r="B37" s="240"/>
      <c r="C37" s="240"/>
      <c r="D37" s="240"/>
      <c r="E37" s="240"/>
      <c r="F37" s="240"/>
      <c r="G37" s="240"/>
      <c r="H37" s="240"/>
      <c r="I37" s="240"/>
    </row>
    <row r="38" spans="1:9" ht="20.100000000000001" customHeight="1" x14ac:dyDescent="0.2"/>
    <row r="39" spans="1:9" ht="20.100000000000001" customHeight="1" x14ac:dyDescent="0.2"/>
    <row r="40" spans="1:9" ht="20.100000000000001" customHeight="1" x14ac:dyDescent="0.2"/>
    <row r="41" spans="1:9" ht="20.100000000000001" customHeight="1" x14ac:dyDescent="0.2"/>
    <row r="42" spans="1:9" ht="20.100000000000001" customHeight="1" x14ac:dyDescent="0.2"/>
    <row r="43" spans="1:9" ht="20.100000000000001" customHeight="1" x14ac:dyDescent="0.2"/>
  </sheetData>
  <mergeCells count="42">
    <mergeCell ref="A1:B5"/>
    <mergeCell ref="H3:H5"/>
    <mergeCell ref="I3:I5"/>
    <mergeCell ref="D5:G5"/>
    <mergeCell ref="A6:C6"/>
    <mergeCell ref="D6:F6"/>
    <mergeCell ref="G6:H6"/>
    <mergeCell ref="D4:G4"/>
    <mergeCell ref="C1:G1"/>
    <mergeCell ref="C2:G2"/>
    <mergeCell ref="C3:G3"/>
    <mergeCell ref="A37:I37"/>
    <mergeCell ref="A35:I35"/>
    <mergeCell ref="A34:I34"/>
    <mergeCell ref="A33:I33"/>
    <mergeCell ref="H24:I24"/>
    <mergeCell ref="A27:C27"/>
    <mergeCell ref="F24:G24"/>
    <mergeCell ref="H25:I25"/>
    <mergeCell ref="H26:I26"/>
    <mergeCell ref="F27:G27"/>
    <mergeCell ref="H27:I27"/>
    <mergeCell ref="A26:C26"/>
    <mergeCell ref="A24:C24"/>
    <mergeCell ref="A36:I36"/>
    <mergeCell ref="A30:I30"/>
    <mergeCell ref="A31:I31"/>
    <mergeCell ref="A32:I32"/>
    <mergeCell ref="A29:I29"/>
    <mergeCell ref="G7:H7"/>
    <mergeCell ref="A25:C25"/>
    <mergeCell ref="F25:G25"/>
    <mergeCell ref="A28:I28"/>
    <mergeCell ref="B7:B8"/>
    <mergeCell ref="A7:A8"/>
    <mergeCell ref="H23:I23"/>
    <mergeCell ref="F26:G26"/>
    <mergeCell ref="C7:C8"/>
    <mergeCell ref="A23:C23"/>
    <mergeCell ref="F23:G23"/>
    <mergeCell ref="D7:D8"/>
    <mergeCell ref="E7:F7"/>
  </mergeCells>
  <phoneticPr fontId="2" type="noConversion"/>
  <printOptions horizontalCentered="1"/>
  <pageMargins left="0.7" right="0.7" top="0.75" bottom="0.75" header="0.3" footer="0.3"/>
  <pageSetup scale="47" orientation="portrait" r:id="rId1"/>
  <headerFooter alignWithMargins="0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27" workbookViewId="0">
      <selection activeCell="G79" sqref="G79"/>
    </sheetView>
  </sheetViews>
  <sheetFormatPr baseColWidth="10" defaultColWidth="8.42578125" defaultRowHeight="12.75" x14ac:dyDescent="0.2"/>
  <cols>
    <col min="1" max="1" width="10" style="18" bestFit="1" customWidth="1"/>
    <col min="2" max="2" width="44.28515625" style="18" bestFit="1" customWidth="1"/>
    <col min="3" max="3" width="10.42578125" style="18" bestFit="1" customWidth="1"/>
    <col min="4" max="4" width="10.42578125" style="18" customWidth="1"/>
    <col min="5" max="5" width="9.7109375" style="18" bestFit="1" customWidth="1"/>
    <col min="6" max="6" width="10.42578125" style="18" customWidth="1"/>
    <col min="7" max="7" width="9.5703125" style="100" bestFit="1" customWidth="1"/>
    <col min="8" max="8" width="10.42578125" style="91" bestFit="1" customWidth="1"/>
    <col min="9" max="9" width="4.5703125" style="91" customWidth="1"/>
    <col min="10" max="10" width="1.85546875" style="17" customWidth="1"/>
    <col min="11" max="11" width="7" style="18" bestFit="1" customWidth="1"/>
    <col min="12" max="12" width="6.28515625" style="18" customWidth="1"/>
    <col min="13" max="13" width="20.42578125" style="18" customWidth="1"/>
    <col min="14" max="14" width="6.42578125" style="18" bestFit="1" customWidth="1"/>
    <col min="15" max="15" width="9" style="18" customWidth="1"/>
    <col min="16" max="16" width="8.42578125" style="18"/>
    <col min="17" max="17" width="3.28515625" style="18" customWidth="1"/>
    <col min="18" max="16384" width="8.42578125" style="18"/>
  </cols>
  <sheetData>
    <row r="1" spans="1:10" ht="27.75" customHeight="1" x14ac:dyDescent="0.2">
      <c r="A1" s="13"/>
      <c r="B1" s="13"/>
      <c r="C1" s="13"/>
      <c r="D1" s="13"/>
      <c r="E1" s="14" t="s">
        <v>60</v>
      </c>
      <c r="F1" s="15" t="s">
        <v>61</v>
      </c>
      <c r="G1" s="15" t="s">
        <v>62</v>
      </c>
      <c r="H1" s="15" t="s">
        <v>63</v>
      </c>
      <c r="I1" s="16"/>
    </row>
    <row r="2" spans="1:10" ht="30.75" customHeight="1" x14ac:dyDescent="0.2">
      <c r="A2" s="13"/>
      <c r="B2" s="13"/>
      <c r="C2" s="13"/>
      <c r="D2" s="13"/>
      <c r="E2" s="19">
        <f>IFERROR(O62,"")</f>
        <v>15350.84043</v>
      </c>
      <c r="F2" s="19">
        <f>IFERROR(H53,"")</f>
        <v>11496.463</v>
      </c>
      <c r="G2" s="19">
        <f>IFERROR(H54,"")</f>
        <v>45.522285714285715</v>
      </c>
      <c r="H2" s="19">
        <f>IFERROR(H56,"")</f>
        <v>165</v>
      </c>
      <c r="I2" s="20"/>
    </row>
    <row r="3" spans="1:10" ht="15" customHeight="1" x14ac:dyDescent="0.2">
      <c r="A3" s="13"/>
      <c r="B3" s="13"/>
      <c r="C3" s="13"/>
      <c r="D3" s="13"/>
      <c r="E3" s="13"/>
      <c r="F3" s="21"/>
      <c r="G3" s="21"/>
      <c r="H3" s="21"/>
      <c r="I3" s="21"/>
    </row>
    <row r="4" spans="1:10" ht="24.75" customHeight="1" thickBot="1" x14ac:dyDescent="0.25">
      <c r="A4" s="138"/>
      <c r="B4" s="138"/>
      <c r="C4" s="138"/>
      <c r="D4" s="138"/>
      <c r="E4" s="138"/>
      <c r="F4" s="138"/>
      <c r="G4" s="138"/>
      <c r="H4" s="138"/>
      <c r="I4" s="22"/>
    </row>
    <row r="5" spans="1:10" ht="19.5" customHeight="1" thickBot="1" x14ac:dyDescent="0.25">
      <c r="A5" s="139" t="s">
        <v>64</v>
      </c>
      <c r="B5" s="140"/>
      <c r="C5" s="140"/>
      <c r="D5" s="140"/>
      <c r="E5" s="140"/>
      <c r="F5" s="140"/>
      <c r="G5" s="140"/>
      <c r="H5" s="141"/>
      <c r="I5" s="23"/>
    </row>
    <row r="6" spans="1:10" ht="19.5" thickBot="1" x14ac:dyDescent="0.25">
      <c r="A6" s="23"/>
      <c r="B6" s="23"/>
      <c r="C6" s="23"/>
      <c r="D6" s="23"/>
      <c r="E6" s="23"/>
      <c r="F6" s="142" t="s">
        <v>65</v>
      </c>
      <c r="G6" s="142"/>
      <c r="H6" s="24">
        <f ca="1">TODAY()</f>
        <v>45945</v>
      </c>
      <c r="I6" s="24"/>
    </row>
    <row r="7" spans="1:10" ht="26.25" thickBot="1" x14ac:dyDescent="0.25">
      <c r="A7" s="25" t="s">
        <v>66</v>
      </c>
      <c r="B7" s="26" t="s">
        <v>67</v>
      </c>
      <c r="C7" s="26" t="s">
        <v>66</v>
      </c>
      <c r="D7" s="27" t="s">
        <v>68</v>
      </c>
      <c r="E7" s="27" t="s">
        <v>69</v>
      </c>
      <c r="F7" s="27" t="s">
        <v>70</v>
      </c>
      <c r="G7" s="27" t="s">
        <v>71</v>
      </c>
      <c r="H7" s="28" t="s">
        <v>72</v>
      </c>
      <c r="I7" s="29"/>
    </row>
    <row r="8" spans="1:10" ht="13.5" x14ac:dyDescent="0.25">
      <c r="A8" s="110">
        <v>6827</v>
      </c>
      <c r="B8" s="111" t="str">
        <f>IFERROR(VLOOKUP(H8,'[1]Consolidado MP Planta'!$A$2:$M$823,3,0),"")</f>
        <v>MASECA GRANEL (SACO:20 K)</v>
      </c>
      <c r="C8" s="112">
        <f>+A8</f>
        <v>6827</v>
      </c>
      <c r="D8" s="113" t="str">
        <f>IFERROR(VLOOKUP(H8,'[1]Consolidado MP Planta'!$A$2:$M$823,13,0),"")</f>
        <v>Gramos</v>
      </c>
      <c r="E8" s="113">
        <v>1.55</v>
      </c>
      <c r="F8" s="113">
        <f>IFERROR(C8*E8,"")</f>
        <v>10581.85</v>
      </c>
      <c r="G8" s="33">
        <f t="shared" ref="G8:G14" si="0">IFERROR(F8/$F$66,"")</f>
        <v>0.8864811722891327</v>
      </c>
      <c r="H8" s="34" t="s">
        <v>48</v>
      </c>
      <c r="I8" s="34"/>
      <c r="J8" s="35"/>
    </row>
    <row r="9" spans="1:10" ht="13.5" x14ac:dyDescent="0.25">
      <c r="A9" s="30">
        <v>350</v>
      </c>
      <c r="B9" s="18" t="str">
        <f>IFERROR(VLOOKUP(H9,'[1]Consolidado MP Planta'!$A$2:$M$823,3,0),"")</f>
        <v>CONSOME POLLO ALSERRO (PAQ: 1 K)</v>
      </c>
      <c r="C9" s="31">
        <f t="shared" ref="C9:C14" si="1">+A9</f>
        <v>350</v>
      </c>
      <c r="D9" s="32" t="str">
        <f>IFERROR(VLOOKUP(H9,'[1]Consolidado MP Planta'!$A$2:$M$823,13,0),"")</f>
        <v>Gramos</v>
      </c>
      <c r="E9" s="32">
        <f>IFERROR(VLOOKUP(H9,'[1]Consolidado MP Planta'!$A$2:$M$823,12,0),"")</f>
        <v>1.845</v>
      </c>
      <c r="F9" s="32">
        <f t="shared" ref="F9:F14" si="2">IFERROR(C9*E9,"")</f>
        <v>645.75</v>
      </c>
      <c r="G9" s="33">
        <f t="shared" si="0"/>
        <v>5.4096893927404702E-2</v>
      </c>
      <c r="H9" s="34" t="s">
        <v>46</v>
      </c>
      <c r="I9" s="34"/>
      <c r="J9" s="35"/>
    </row>
    <row r="10" spans="1:10" ht="13.5" x14ac:dyDescent="0.25">
      <c r="A10" s="30">
        <v>200</v>
      </c>
      <c r="B10" s="18" t="str">
        <f>IFERROR(VLOOKUP(H10,'[1]Consolidado MP Planta'!$A$2:$M$823,3,0),"")</f>
        <v>SAL INDUSTRIA (SACO:25 Kg)</v>
      </c>
      <c r="C10" s="31">
        <f t="shared" si="1"/>
        <v>200</v>
      </c>
      <c r="D10" s="32" t="str">
        <f>IFERROR(VLOOKUP(H10,'[1]Consolidado MP Planta'!$A$2:$M$823,13,0),"")</f>
        <v>Gramos</v>
      </c>
      <c r="E10" s="32">
        <f>IFERROR(VLOOKUP(H10,'[1]Consolidado MP Planta'!$A$2:$M$823,12,0),"")</f>
        <v>0.188</v>
      </c>
      <c r="F10" s="32">
        <f t="shared" si="2"/>
        <v>37.6</v>
      </c>
      <c r="G10" s="33">
        <f t="shared" si="0"/>
        <v>3.1498927009994842E-3</v>
      </c>
      <c r="H10" s="34" t="s">
        <v>49</v>
      </c>
      <c r="I10" s="34"/>
      <c r="J10" s="35"/>
    </row>
    <row r="11" spans="1:10" ht="13.5" x14ac:dyDescent="0.25">
      <c r="A11" s="30">
        <v>100</v>
      </c>
      <c r="B11" s="18" t="str">
        <f>IFERROR(VLOOKUP(H11,'[1]Consolidado MP Planta'!$A$2:$M$823,3,0),"")</f>
        <v>AZUCAR BLANCO INDUSTRIAL (SACO:50 K)</v>
      </c>
      <c r="C11" s="31">
        <f t="shared" si="1"/>
        <v>100</v>
      </c>
      <c r="D11" s="32" t="str">
        <f>IFERROR(VLOOKUP(H11,'[1]Consolidado MP Planta'!$A$2:$M$823,13,0),"")</f>
        <v>Gramos</v>
      </c>
      <c r="E11" s="32">
        <f>IFERROR(VLOOKUP(H11,'[1]Consolidado MP Planta'!$A$2:$M$823,12,0),"")</f>
        <v>0.39034000000000002</v>
      </c>
      <c r="F11" s="32">
        <f t="shared" si="2"/>
        <v>39.033999999999999</v>
      </c>
      <c r="G11" s="33">
        <f t="shared" si="0"/>
        <v>3.2700242470961129E-3</v>
      </c>
      <c r="H11" s="34" t="s">
        <v>109</v>
      </c>
      <c r="I11" s="34"/>
      <c r="J11" s="35"/>
    </row>
    <row r="12" spans="1:10" ht="13.5" x14ac:dyDescent="0.25">
      <c r="A12" s="30">
        <v>23</v>
      </c>
      <c r="B12" s="18" t="str">
        <f>IFERROR(VLOOKUP(H12,'[1]Consolidado MP Planta'!$A$2:$M$823,3,0),"")</f>
        <v>PIMIENTA NEGRA MOLIDA (PAQ: 5 K)</v>
      </c>
      <c r="C12" s="31">
        <f t="shared" si="1"/>
        <v>23</v>
      </c>
      <c r="D12" s="32" t="str">
        <f>IFERROR(VLOOKUP(H12,'[1]Consolidado MP Planta'!$A$2:$M$823,13,0),"")</f>
        <v>Gramos</v>
      </c>
      <c r="E12" s="32">
        <f>IFERROR(VLOOKUP(H12,'[1]Consolidado MP Planta'!$A$2:$M$823,12,0),"")</f>
        <v>5.923</v>
      </c>
      <c r="F12" s="32">
        <f t="shared" si="2"/>
        <v>136.22900000000001</v>
      </c>
      <c r="G12" s="33">
        <f t="shared" si="0"/>
        <v>1.1412413105437733E-2</v>
      </c>
      <c r="H12" s="34" t="s">
        <v>13</v>
      </c>
      <c r="I12" s="34"/>
      <c r="J12" s="35"/>
    </row>
    <row r="13" spans="1:10" ht="13.5" x14ac:dyDescent="0.25">
      <c r="A13" s="30">
        <v>16</v>
      </c>
      <c r="B13" s="18" t="str">
        <f>IFERROR(VLOOKUP(H13,'[1]Consolidado MP Planta'!$A$2:$M$823,3,0),"")</f>
        <v>CHILE ROJO TRITURADO (UND:368G)</v>
      </c>
      <c r="C13" s="31">
        <f t="shared" si="1"/>
        <v>16</v>
      </c>
      <c r="D13" s="32" t="str">
        <f>IFERROR(VLOOKUP(H13,'[1]Consolidado MP Planta'!$A$2:$M$823,13,0),"")</f>
        <v>Gramos</v>
      </c>
      <c r="E13" s="32">
        <v>3.5</v>
      </c>
      <c r="F13" s="32">
        <f t="shared" si="2"/>
        <v>56</v>
      </c>
      <c r="G13" s="33">
        <f t="shared" si="0"/>
        <v>4.6913295546800824E-3</v>
      </c>
      <c r="H13" s="34" t="s">
        <v>59</v>
      </c>
      <c r="I13" s="34"/>
      <c r="J13" s="35"/>
    </row>
    <row r="14" spans="1:10" ht="13.5" x14ac:dyDescent="0.25">
      <c r="A14" s="30"/>
      <c r="B14" s="18" t="str">
        <f>IFERROR(VLOOKUP(H14,'[1]Consolidado MP Planta'!$A$2:$M$823,3,0),"")</f>
        <v/>
      </c>
      <c r="C14" s="31">
        <f t="shared" si="1"/>
        <v>0</v>
      </c>
      <c r="D14" s="32" t="str">
        <f>IFERROR(VLOOKUP(H14,'[1]Consolidado MP Planta'!$A$2:$M$823,13,0),"")</f>
        <v/>
      </c>
      <c r="E14" s="32" t="str">
        <f>IFERROR(VLOOKUP(H14,'[1]Consolidado MP Planta'!$A$2:$M$823,12,0),"")</f>
        <v/>
      </c>
      <c r="F14" s="32" t="str">
        <f t="shared" si="2"/>
        <v/>
      </c>
      <c r="G14" s="33" t="str">
        <f t="shared" si="0"/>
        <v/>
      </c>
      <c r="H14" s="34"/>
      <c r="I14" s="34"/>
      <c r="J14" s="35"/>
    </row>
    <row r="15" spans="1:10" ht="14.25" thickBot="1" x14ac:dyDescent="0.3">
      <c r="A15" s="30"/>
      <c r="B15" s="18" t="str">
        <f>IFERROR(VLOOKUP(H15,'[2]Consolidado MP Planta'!$A$2:$G$589,2,0),"")</f>
        <v/>
      </c>
      <c r="C15" s="31"/>
      <c r="D15" s="32"/>
      <c r="E15" s="32"/>
      <c r="F15" s="32"/>
      <c r="G15" s="33"/>
      <c r="H15" s="34"/>
      <c r="I15" s="34"/>
      <c r="J15" s="35"/>
    </row>
    <row r="16" spans="1:10" ht="26.25" hidden="1" thickBot="1" x14ac:dyDescent="0.25">
      <c r="A16" s="25" t="s">
        <v>66</v>
      </c>
      <c r="B16" s="26" t="s">
        <v>73</v>
      </c>
      <c r="C16" s="26" t="s">
        <v>66</v>
      </c>
      <c r="D16" s="27" t="s">
        <v>68</v>
      </c>
      <c r="E16" s="27" t="s">
        <v>69</v>
      </c>
      <c r="F16" s="27" t="s">
        <v>70</v>
      </c>
      <c r="G16" s="27" t="s">
        <v>71</v>
      </c>
      <c r="H16" s="28" t="s">
        <v>72</v>
      </c>
      <c r="I16" s="29"/>
      <c r="J16" s="35"/>
    </row>
    <row r="17" spans="1:12" ht="13.5" hidden="1" x14ac:dyDescent="0.25">
      <c r="A17" s="30"/>
      <c r="B17" s="18" t="str">
        <f>IFERROR(VLOOKUP(H17,[1]SEMIELABORADOS!$A$2:$M$6000,2,0),"")</f>
        <v/>
      </c>
      <c r="C17" s="31">
        <f>+A17</f>
        <v>0</v>
      </c>
      <c r="D17" s="31" t="str">
        <f>IFERROR(VLOOKUP(H17,[1]SEMIELABORADOS!$A$2:$M$6000,6,0),"")</f>
        <v/>
      </c>
      <c r="E17" s="32" t="str">
        <f>IFERROR(VLOOKUP(H17,[1]SEMIELABORADOS!$A$2:$H$65536,8,0),"")</f>
        <v/>
      </c>
      <c r="F17" s="32" t="str">
        <f>IFERROR(E17*C17,"")</f>
        <v/>
      </c>
      <c r="G17" s="33" t="str">
        <f t="shared" ref="G17:G24" si="3">IFERROR(F17/$F$66,"")</f>
        <v/>
      </c>
      <c r="H17" s="34"/>
      <c r="I17" s="34"/>
      <c r="J17" s="35"/>
    </row>
    <row r="18" spans="1:12" ht="13.5" hidden="1" x14ac:dyDescent="0.25">
      <c r="A18" s="30"/>
      <c r="B18" s="18" t="str">
        <f>IFERROR(VLOOKUP(H18,[1]SEMIELABORADOS!$A$2:$M$6000,2,0),"")</f>
        <v/>
      </c>
      <c r="C18" s="31">
        <f t="shared" ref="C18:C24" si="4">+A18</f>
        <v>0</v>
      </c>
      <c r="D18" s="31" t="str">
        <f>IFERROR(VLOOKUP(H18,[1]SEMIELABORADOS!$A$2:$M$6000,6,0),"")</f>
        <v/>
      </c>
      <c r="E18" s="32" t="str">
        <f>IFERROR(VLOOKUP(H18,[1]SEMIELABORADOS!$A$2:$H$65536,8,0),"")</f>
        <v/>
      </c>
      <c r="F18" s="32" t="str">
        <f t="shared" ref="F18:F24" si="5">IFERROR(E18*C18,"")</f>
        <v/>
      </c>
      <c r="G18" s="33" t="str">
        <f t="shared" si="3"/>
        <v/>
      </c>
      <c r="H18" s="34"/>
      <c r="I18" s="34"/>
      <c r="J18" s="35"/>
    </row>
    <row r="19" spans="1:12" ht="13.5" hidden="1" x14ac:dyDescent="0.25">
      <c r="A19" s="30"/>
      <c r="B19" s="18" t="str">
        <f>IFERROR(VLOOKUP(H19,[1]SEMIELABORADOS!$A$2:$M$6000,2,0),"")</f>
        <v/>
      </c>
      <c r="C19" s="31">
        <f>+A19</f>
        <v>0</v>
      </c>
      <c r="D19" s="31" t="str">
        <f>IFERROR(VLOOKUP(H19,[1]SEMIELABORADOS!$A$2:$M$6000,6,0),"")</f>
        <v/>
      </c>
      <c r="E19" s="32" t="str">
        <f>IFERROR(VLOOKUP(H19,[1]SEMIELABORADOS!$A$2:$H$65536,8,0),"")</f>
        <v/>
      </c>
      <c r="F19" s="32" t="str">
        <f>IFERROR(E19*C19,"")</f>
        <v/>
      </c>
      <c r="G19" s="33" t="str">
        <f t="shared" si="3"/>
        <v/>
      </c>
      <c r="H19" s="34"/>
      <c r="I19" s="34"/>
      <c r="J19" s="35"/>
    </row>
    <row r="20" spans="1:12" ht="13.5" hidden="1" x14ac:dyDescent="0.25">
      <c r="A20" s="30"/>
      <c r="B20" s="18" t="str">
        <f>IFERROR(VLOOKUP(H20,[1]SEMIELABORADOS!$A$2:$M$6000,2,0),"")</f>
        <v/>
      </c>
      <c r="C20" s="31">
        <f>+A20</f>
        <v>0</v>
      </c>
      <c r="D20" s="31" t="str">
        <f>IFERROR(VLOOKUP(H20,[1]SEMIELABORADOS!$A$2:$M$6000,6,0),"")</f>
        <v/>
      </c>
      <c r="E20" s="32" t="str">
        <f>IFERROR(VLOOKUP(H20,[1]SEMIELABORADOS!$A$2:$H$65536,8,0),"")</f>
        <v/>
      </c>
      <c r="F20" s="32" t="str">
        <f>IFERROR(E20*C20,"")</f>
        <v/>
      </c>
      <c r="G20" s="33" t="str">
        <f t="shared" si="3"/>
        <v/>
      </c>
      <c r="H20" s="34"/>
      <c r="I20" s="34"/>
      <c r="J20" s="35"/>
    </row>
    <row r="21" spans="1:12" ht="13.5" hidden="1" x14ac:dyDescent="0.25">
      <c r="A21" s="30"/>
      <c r="B21" s="18" t="str">
        <f>IFERROR(VLOOKUP(H21,[1]SEMIELABORADOS!$A$2:$M$6000,2,0),"")</f>
        <v/>
      </c>
      <c r="C21" s="31">
        <f>+A21</f>
        <v>0</v>
      </c>
      <c r="D21" s="31" t="str">
        <f>IFERROR(VLOOKUP(H21,[1]SEMIELABORADOS!$A$2:$M$6000,6,0),"")</f>
        <v/>
      </c>
      <c r="E21" s="32" t="str">
        <f>IFERROR(VLOOKUP(H21,[1]SEMIELABORADOS!$A$2:$H$65536,8,0),"")</f>
        <v/>
      </c>
      <c r="F21" s="32" t="str">
        <f>IFERROR(E21*C21,"")</f>
        <v/>
      </c>
      <c r="G21" s="33" t="str">
        <f t="shared" si="3"/>
        <v/>
      </c>
      <c r="H21" s="34"/>
      <c r="I21" s="34"/>
      <c r="J21" s="35"/>
    </row>
    <row r="22" spans="1:12" ht="13.5" hidden="1" x14ac:dyDescent="0.25">
      <c r="A22" s="30"/>
      <c r="B22" s="18" t="str">
        <f>IFERROR(VLOOKUP(H22,[1]SEMIELABORADOS!$A$2:$M$6000,2,0),"")</f>
        <v/>
      </c>
      <c r="C22" s="31">
        <f t="shared" si="4"/>
        <v>0</v>
      </c>
      <c r="D22" s="31" t="str">
        <f>IFERROR(VLOOKUP(H22,[1]SEMIELABORADOS!$A$2:$M$6000,6,0),"")</f>
        <v/>
      </c>
      <c r="E22" s="32" t="str">
        <f>IFERROR(VLOOKUP(H22,[1]SEMIELABORADOS!$A$2:$H$65536,8,0),"")</f>
        <v/>
      </c>
      <c r="F22" s="32" t="str">
        <f t="shared" si="5"/>
        <v/>
      </c>
      <c r="G22" s="33" t="str">
        <f t="shared" si="3"/>
        <v/>
      </c>
      <c r="H22" s="34"/>
      <c r="I22" s="34"/>
      <c r="J22" s="35"/>
    </row>
    <row r="23" spans="1:12" ht="13.5" hidden="1" x14ac:dyDescent="0.25">
      <c r="A23" s="30"/>
      <c r="B23" s="18" t="str">
        <f>IFERROR(VLOOKUP(H23,[1]SEMIELABORADOS!$A$2:$M$6000,2,0),"")</f>
        <v/>
      </c>
      <c r="C23" s="31">
        <f t="shared" si="4"/>
        <v>0</v>
      </c>
      <c r="D23" s="31" t="str">
        <f>IFERROR(VLOOKUP(H23,[1]SEMIELABORADOS!$A$2:$M$6000,6,0),"")</f>
        <v/>
      </c>
      <c r="E23" s="32" t="str">
        <f>IFERROR(VLOOKUP(H23,[1]SEMIELABORADOS!$A$2:$H$65536,8,0),"")</f>
        <v/>
      </c>
      <c r="F23" s="32" t="str">
        <f t="shared" si="5"/>
        <v/>
      </c>
      <c r="G23" s="33" t="str">
        <f t="shared" si="3"/>
        <v/>
      </c>
      <c r="H23" s="34"/>
      <c r="I23" s="34"/>
      <c r="J23" s="35"/>
    </row>
    <row r="24" spans="1:12" ht="13.5" hidden="1" x14ac:dyDescent="0.25">
      <c r="A24" s="30"/>
      <c r="B24" s="18" t="str">
        <f>IFERROR(VLOOKUP(H24,[1]SEMIELABORADOS!$A$2:$M$6000,2,0),"")</f>
        <v/>
      </c>
      <c r="C24" s="31">
        <f t="shared" si="4"/>
        <v>0</v>
      </c>
      <c r="D24" s="31" t="str">
        <f>IFERROR(VLOOKUP(H24,[1]SEMIELABORADOS!$A$2:$M$6000,6,0),"")</f>
        <v/>
      </c>
      <c r="E24" s="32" t="str">
        <f>IFERROR(VLOOKUP(H24,[1]SEMIELABORADOS!$A$2:$H$65536,8,0),"")</f>
        <v/>
      </c>
      <c r="F24" s="32" t="str">
        <f t="shared" si="5"/>
        <v/>
      </c>
      <c r="G24" s="33" t="str">
        <f t="shared" si="3"/>
        <v/>
      </c>
      <c r="H24" s="34"/>
      <c r="I24" s="34"/>
      <c r="J24" s="35"/>
    </row>
    <row r="25" spans="1:12" ht="14.25" hidden="1" thickBot="1" x14ac:dyDescent="0.3">
      <c r="A25" s="30"/>
      <c r="C25" s="31"/>
      <c r="D25" s="31"/>
      <c r="E25" s="32"/>
      <c r="F25" s="32"/>
      <c r="G25" s="33"/>
      <c r="H25" s="34"/>
      <c r="I25" s="34"/>
      <c r="J25" s="35"/>
    </row>
    <row r="26" spans="1:12" ht="26.25" thickBot="1" x14ac:dyDescent="0.25">
      <c r="A26" s="25" t="s">
        <v>66</v>
      </c>
      <c r="B26" s="26" t="s">
        <v>74</v>
      </c>
      <c r="C26" s="26" t="s">
        <v>66</v>
      </c>
      <c r="D26" s="27" t="s">
        <v>68</v>
      </c>
      <c r="E26" s="27" t="s">
        <v>69</v>
      </c>
      <c r="F26" s="27" t="s">
        <v>70</v>
      </c>
      <c r="G26" s="27" t="s">
        <v>71</v>
      </c>
      <c r="H26" s="28" t="s">
        <v>72</v>
      </c>
      <c r="I26" s="29"/>
    </row>
    <row r="27" spans="1:12" ht="13.5" x14ac:dyDescent="0.25">
      <c r="A27" s="30">
        <v>1</v>
      </c>
      <c r="B27" s="36" t="str">
        <f>IFERROR(VLOOKUP(H27,'[1]Consolidado MP Planta'!$A$2:$M$823,3,0),"")</f>
        <v>BOLSA 17x25 TRANSP KILO</v>
      </c>
      <c r="C27" s="31">
        <f t="shared" ref="C27:C32" si="6">+A27</f>
        <v>1</v>
      </c>
      <c r="D27" s="32" t="str">
        <f>IFERROR(VLOOKUP(H27,'[1]Consolidado MP Planta'!$A$2:$M$823,13,0),"")</f>
        <v>Und</v>
      </c>
      <c r="E27" s="32">
        <f>IFERROR(VLOOKUP(H27,'[1]Consolidado MP Planta'!$A$2:$M$823,12,0),"")</f>
        <v>35.714285714285715</v>
      </c>
      <c r="F27" s="32">
        <f t="shared" ref="F27:F32" si="7">IFERROR(C27*E27,"")</f>
        <v>35.714285714285715</v>
      </c>
      <c r="G27" s="33">
        <f t="shared" ref="G27:G32" si="8">IFERROR(F27/$F$66,"")</f>
        <v>2.9919193588520934E-3</v>
      </c>
      <c r="H27" s="37" t="s">
        <v>14</v>
      </c>
      <c r="I27" s="37"/>
      <c r="J27" s="35"/>
      <c r="K27" s="137"/>
      <c r="L27" s="137"/>
    </row>
    <row r="28" spans="1:12" ht="13.5" x14ac:dyDescent="0.25">
      <c r="A28" s="30">
        <v>1</v>
      </c>
      <c r="B28" s="36" t="str">
        <f>IFERROR(VLOOKUP(H28,'[1]Consolidado MP Planta'!$A$2:$M$823,3,0),"")</f>
        <v>BOLSA 8x12 TRANSPARENTE KILO</v>
      </c>
      <c r="C28" s="31">
        <f t="shared" si="6"/>
        <v>1</v>
      </c>
      <c r="D28" s="32" t="str">
        <f>IFERROR(VLOOKUP(H28,'[1]Consolidado MP Planta'!$A$2:$M$823,13,0),"")</f>
        <v>Und</v>
      </c>
      <c r="E28" s="32">
        <f>IFERROR(VLOOKUP(H28,'[1]Consolidado MP Planta'!$A$2:$M$823,12,0),"")</f>
        <v>7.5</v>
      </c>
      <c r="F28" s="32">
        <f t="shared" si="7"/>
        <v>7.5</v>
      </c>
      <c r="G28" s="33">
        <f t="shared" si="8"/>
        <v>6.2830306535893959E-4</v>
      </c>
      <c r="H28" s="37" t="s">
        <v>9</v>
      </c>
      <c r="I28" s="37"/>
      <c r="J28" s="35"/>
      <c r="K28" s="137"/>
      <c r="L28" s="137"/>
    </row>
    <row r="29" spans="1:12" ht="13.5" x14ac:dyDescent="0.25">
      <c r="A29" s="30">
        <v>1</v>
      </c>
      <c r="B29" s="36" t="s">
        <v>32</v>
      </c>
      <c r="C29" s="31">
        <f t="shared" si="6"/>
        <v>1</v>
      </c>
      <c r="D29" s="32" t="s">
        <v>110</v>
      </c>
      <c r="E29" s="32">
        <v>0.18</v>
      </c>
      <c r="F29" s="32">
        <f t="shared" si="7"/>
        <v>0.18</v>
      </c>
      <c r="G29" s="33">
        <f t="shared" si="8"/>
        <v>1.507927356861455E-5</v>
      </c>
      <c r="H29" s="37" t="s">
        <v>33</v>
      </c>
      <c r="I29" s="37"/>
      <c r="J29" s="35"/>
      <c r="K29" s="137"/>
      <c r="L29" s="137"/>
    </row>
    <row r="30" spans="1:12" ht="13.5" x14ac:dyDescent="0.25">
      <c r="A30" s="30">
        <v>1</v>
      </c>
      <c r="B30" s="36" t="str">
        <f>IFERROR(VLOOKUP(H30,'[1]Consolidado MP Planta'!$A$2:$M$823,3,0),"")</f>
        <v>ETIQUETA BLANCA 2 5/8X1 15/16 (UND)</v>
      </c>
      <c r="C30" s="31">
        <f t="shared" si="6"/>
        <v>1</v>
      </c>
      <c r="D30" s="32" t="str">
        <f>IFERROR(VLOOKUP(H30,'[1]Consolidado MP Planta'!$A$2:$M$823,13,0),"")</f>
        <v>Und</v>
      </c>
      <c r="E30" s="32">
        <f>IFERROR(VLOOKUP(H30,'[1]Consolidado MP Planta'!$A$2:$M$823,12,0),"")</f>
        <v>2.1280000000000001</v>
      </c>
      <c r="F30" s="32">
        <f t="shared" si="7"/>
        <v>2.1280000000000001</v>
      </c>
      <c r="G30" s="33">
        <f t="shared" si="8"/>
        <v>1.7827052307784315E-4</v>
      </c>
      <c r="H30" s="37" t="s">
        <v>54</v>
      </c>
      <c r="I30" s="37"/>
      <c r="J30" s="35"/>
      <c r="K30" s="137"/>
      <c r="L30" s="137"/>
    </row>
    <row r="31" spans="1:12" ht="13.5" hidden="1" x14ac:dyDescent="0.25">
      <c r="A31" s="30"/>
      <c r="B31" s="36" t="str">
        <f>IFERROR(VLOOKUP(H31,'[1]Consolidado MP Planta'!$A$2:$M$823,3,0),"")</f>
        <v/>
      </c>
      <c r="C31" s="31">
        <f t="shared" si="6"/>
        <v>0</v>
      </c>
      <c r="D31" s="32" t="str">
        <f>IFERROR(VLOOKUP(H31,'[1]Consolidado MP Planta'!$A$2:$M$823,13,0),"")</f>
        <v/>
      </c>
      <c r="E31" s="32" t="str">
        <f>IFERROR(VLOOKUP(H31,'[1]Consolidado MP Planta'!$A$2:$M$823,12,0),"")</f>
        <v/>
      </c>
      <c r="F31" s="32" t="str">
        <f t="shared" si="7"/>
        <v/>
      </c>
      <c r="G31" s="33" t="str">
        <f t="shared" si="8"/>
        <v/>
      </c>
      <c r="H31" s="37"/>
      <c r="I31" s="37"/>
      <c r="J31" s="35"/>
      <c r="K31" s="38"/>
      <c r="L31" s="39"/>
    </row>
    <row r="32" spans="1:12" ht="13.5" hidden="1" x14ac:dyDescent="0.25">
      <c r="A32" s="30"/>
      <c r="B32" s="36" t="str">
        <f>IFERROR(VLOOKUP(H32,'[1]Consolidado MP Planta'!$A$2:$M$823,3,0),"")</f>
        <v/>
      </c>
      <c r="C32" s="31">
        <f t="shared" si="6"/>
        <v>0</v>
      </c>
      <c r="D32" s="32" t="str">
        <f>IFERROR(VLOOKUP(H32,'[1]Consolidado MP Planta'!$A$2:$M$823,13,0),"")</f>
        <v/>
      </c>
      <c r="E32" s="32" t="str">
        <f>IFERROR(VLOOKUP(H32,'[1]Consolidado MP Planta'!$A$2:$M$823,12,0),"")</f>
        <v/>
      </c>
      <c r="F32" s="32" t="str">
        <f t="shared" si="7"/>
        <v/>
      </c>
      <c r="G32" s="33" t="str">
        <f t="shared" si="8"/>
        <v/>
      </c>
      <c r="H32" s="37"/>
      <c r="I32" s="37"/>
      <c r="J32" s="35"/>
    </row>
    <row r="33" spans="1:13" ht="14.25" thickBot="1" x14ac:dyDescent="0.3">
      <c r="A33" s="30"/>
      <c r="B33" s="36"/>
      <c r="C33" s="31"/>
      <c r="D33" s="32"/>
      <c r="E33" s="32"/>
      <c r="F33" s="32"/>
      <c r="G33" s="33"/>
      <c r="H33" s="37"/>
      <c r="I33" s="37"/>
      <c r="J33" s="35"/>
    </row>
    <row r="34" spans="1:13" ht="26.25" hidden="1" thickBot="1" x14ac:dyDescent="0.25">
      <c r="A34" s="25" t="s">
        <v>66</v>
      </c>
      <c r="B34" s="26" t="s">
        <v>75</v>
      </c>
      <c r="C34" s="26" t="s">
        <v>66</v>
      </c>
      <c r="D34" s="27" t="s">
        <v>68</v>
      </c>
      <c r="E34" s="27" t="s">
        <v>69</v>
      </c>
      <c r="F34" s="27" t="s">
        <v>70</v>
      </c>
      <c r="G34" s="27" t="s">
        <v>71</v>
      </c>
      <c r="H34" s="28" t="s">
        <v>72</v>
      </c>
      <c r="I34" s="37"/>
      <c r="J34" s="35"/>
    </row>
    <row r="35" spans="1:13" ht="13.5" hidden="1" x14ac:dyDescent="0.25">
      <c r="A35" s="30">
        <f>+A17</f>
        <v>0</v>
      </c>
      <c r="B35" s="36" t="str">
        <f>IFERROR(VLOOKUP(H35,[1]SEMIELABORADOS!$A$2:$M$6000,2,0),"")</f>
        <v/>
      </c>
      <c r="C35" s="31">
        <f>+A35</f>
        <v>0</v>
      </c>
      <c r="D35" s="32" t="str">
        <f>IFERROR(VLOOKUP(H35,[1]SEMIELABORADOS!$A$2:$M$6000,6,0),"")</f>
        <v/>
      </c>
      <c r="E35" s="32" t="str">
        <f>IFERROR(VLOOKUP(H35,[1]SEMIELABORADOS!$A$2:$M$65536,10,0),"")</f>
        <v/>
      </c>
      <c r="F35" s="32" t="str">
        <f>IFERROR(E35*C35,"")</f>
        <v/>
      </c>
      <c r="G35" s="33" t="str">
        <f t="shared" ref="G35:G41" si="9">IFERROR(F35/$F$66,"")</f>
        <v/>
      </c>
      <c r="H35" s="37"/>
      <c r="I35" s="37"/>
      <c r="J35" s="35"/>
    </row>
    <row r="36" spans="1:13" ht="13.5" hidden="1" x14ac:dyDescent="0.25">
      <c r="A36" s="30">
        <f t="shared" ref="A36:A41" si="10">+A18</f>
        <v>0</v>
      </c>
      <c r="B36" s="36" t="str">
        <f>IFERROR(VLOOKUP(H36,[1]SEMIELABORADOS!$A$2:$M$6000,2,0),"")</f>
        <v/>
      </c>
      <c r="C36" s="31">
        <f t="shared" ref="C36:C41" si="11">+A36</f>
        <v>0</v>
      </c>
      <c r="D36" s="32" t="str">
        <f>IFERROR(VLOOKUP(H36,[1]SEMIELABORADOS!$A$2:$M$6000,6,0),"")</f>
        <v/>
      </c>
      <c r="E36" s="32" t="str">
        <f>IFERROR(VLOOKUP(H36,[1]SEMIELABORADOS!$A$2:$M$65536,10,0),"")</f>
        <v/>
      </c>
      <c r="F36" s="32" t="str">
        <f t="shared" ref="F36:F41" si="12">IFERROR(E36*C36,"")</f>
        <v/>
      </c>
      <c r="G36" s="33" t="str">
        <f t="shared" si="9"/>
        <v/>
      </c>
      <c r="H36" s="37"/>
      <c r="I36" s="37"/>
      <c r="J36" s="35"/>
    </row>
    <row r="37" spans="1:13" ht="13.5" hidden="1" x14ac:dyDescent="0.25">
      <c r="A37" s="30">
        <f t="shared" si="10"/>
        <v>0</v>
      </c>
      <c r="B37" s="36" t="str">
        <f>IFERROR(VLOOKUP(H37,[1]SEMIELABORADOS!$A$2:$M$6000,2,0),"")</f>
        <v/>
      </c>
      <c r="C37" s="31">
        <f t="shared" si="11"/>
        <v>0</v>
      </c>
      <c r="D37" s="32" t="str">
        <f>IFERROR(VLOOKUP(H37,[1]SEMIELABORADOS!$A$2:$M$6000,6,0),"")</f>
        <v/>
      </c>
      <c r="E37" s="32" t="str">
        <f>IFERROR(VLOOKUP(H37,[1]SEMIELABORADOS!$A$2:$M$65536,10,0),"")</f>
        <v/>
      </c>
      <c r="F37" s="32" t="str">
        <f t="shared" si="12"/>
        <v/>
      </c>
      <c r="G37" s="33" t="str">
        <f t="shared" si="9"/>
        <v/>
      </c>
      <c r="H37" s="37"/>
      <c r="I37" s="37"/>
      <c r="J37" s="35"/>
    </row>
    <row r="38" spans="1:13" ht="13.5" hidden="1" x14ac:dyDescent="0.25">
      <c r="A38" s="30">
        <f t="shared" si="10"/>
        <v>0</v>
      </c>
      <c r="B38" s="36" t="str">
        <f>IFERROR(VLOOKUP(H38,[1]SEMIELABORADOS!$A$2:$M$6000,2,0),"")</f>
        <v/>
      </c>
      <c r="C38" s="31">
        <f>+A38</f>
        <v>0</v>
      </c>
      <c r="D38" s="32" t="str">
        <f>IFERROR(VLOOKUP(H38,[1]SEMIELABORADOS!$A$2:$M$6000,6,0),"")</f>
        <v/>
      </c>
      <c r="E38" s="32" t="str">
        <f>IFERROR(VLOOKUP(H38,[1]SEMIELABORADOS!$A$2:$M$65536,10,0),"")</f>
        <v/>
      </c>
      <c r="F38" s="32" t="str">
        <f>IFERROR(E38*C38,"")</f>
        <v/>
      </c>
      <c r="G38" s="33" t="str">
        <f t="shared" si="9"/>
        <v/>
      </c>
      <c r="H38" s="37"/>
      <c r="I38" s="37"/>
      <c r="J38" s="35"/>
    </row>
    <row r="39" spans="1:13" ht="13.5" hidden="1" x14ac:dyDescent="0.25">
      <c r="A39" s="30">
        <f t="shared" si="10"/>
        <v>0</v>
      </c>
      <c r="B39" s="36" t="str">
        <f>IFERROR(VLOOKUP(H39,[1]SEMIELABORADOS!$A$2:$M$6000,2,0),"")</f>
        <v/>
      </c>
      <c r="C39" s="31">
        <f>+A39</f>
        <v>0</v>
      </c>
      <c r="D39" s="32" t="str">
        <f>IFERROR(VLOOKUP(H39,[1]SEMIELABORADOS!$A$2:$M$6000,6,0),"")</f>
        <v/>
      </c>
      <c r="E39" s="32" t="str">
        <f>IFERROR(VLOOKUP(H39,[1]SEMIELABORADOS!$A$2:$M$65536,10,0),"")</f>
        <v/>
      </c>
      <c r="F39" s="32" t="str">
        <f>IFERROR(E39*C39,"")</f>
        <v/>
      </c>
      <c r="G39" s="33" t="str">
        <f t="shared" si="9"/>
        <v/>
      </c>
      <c r="H39" s="37"/>
      <c r="I39" s="37"/>
      <c r="J39" s="35"/>
    </row>
    <row r="40" spans="1:13" ht="13.5" hidden="1" x14ac:dyDescent="0.25">
      <c r="A40" s="30">
        <f t="shared" si="10"/>
        <v>0</v>
      </c>
      <c r="B40" s="36" t="str">
        <f>IFERROR(VLOOKUP(H40,[1]SEMIELABORADOS!$A$2:$M$6000,2,0),"")</f>
        <v/>
      </c>
      <c r="C40" s="31">
        <f t="shared" si="11"/>
        <v>0</v>
      </c>
      <c r="D40" s="32" t="str">
        <f>IFERROR(VLOOKUP(H40,[1]SEMIELABORADOS!$A$2:$M$6000,6,0),"")</f>
        <v/>
      </c>
      <c r="E40" s="32" t="str">
        <f>IFERROR(VLOOKUP(H40,[1]SEMIELABORADOS!$A$2:$M$65536,10,0),"")</f>
        <v/>
      </c>
      <c r="F40" s="32" t="str">
        <f t="shared" si="12"/>
        <v/>
      </c>
      <c r="G40" s="33" t="str">
        <f t="shared" si="9"/>
        <v/>
      </c>
      <c r="H40" s="37"/>
      <c r="I40" s="37"/>
      <c r="J40" s="35"/>
    </row>
    <row r="41" spans="1:13" ht="13.5" hidden="1" x14ac:dyDescent="0.25">
      <c r="A41" s="30">
        <f t="shared" si="10"/>
        <v>0</v>
      </c>
      <c r="B41" s="36" t="str">
        <f>IFERROR(VLOOKUP(H41,[1]SEMIELABORADOS!$A$2:$M$6000,2,0),"")</f>
        <v/>
      </c>
      <c r="C41" s="31">
        <f t="shared" si="11"/>
        <v>0</v>
      </c>
      <c r="D41" s="32" t="str">
        <f>IFERROR(VLOOKUP(H41,[1]SEMIELABORADOS!$A$2:$M$6000,6,0),"")</f>
        <v/>
      </c>
      <c r="E41" s="32" t="str">
        <f>IFERROR(VLOOKUP(H41,[1]SEMIELABORADOS!$A$2:$M$65536,10,0),"")</f>
        <v/>
      </c>
      <c r="F41" s="32" t="str">
        <f t="shared" si="12"/>
        <v/>
      </c>
      <c r="G41" s="33" t="str">
        <f t="shared" si="9"/>
        <v/>
      </c>
      <c r="H41" s="37"/>
      <c r="I41" s="37"/>
      <c r="J41" s="35"/>
    </row>
    <row r="42" spans="1:13" ht="14.25" hidden="1" thickBot="1" x14ac:dyDescent="0.3">
      <c r="A42" s="30"/>
      <c r="B42" s="36"/>
      <c r="C42" s="31"/>
      <c r="D42" s="32"/>
      <c r="E42" s="32"/>
      <c r="F42" s="32"/>
      <c r="G42" s="33"/>
      <c r="H42" s="37"/>
      <c r="I42" s="37"/>
      <c r="J42" s="35"/>
    </row>
    <row r="43" spans="1:13" ht="26.25" thickBot="1" x14ac:dyDescent="0.25">
      <c r="A43" s="25" t="s">
        <v>66</v>
      </c>
      <c r="B43" s="26" t="s">
        <v>76</v>
      </c>
      <c r="C43" s="26" t="s">
        <v>66</v>
      </c>
      <c r="D43" s="27" t="s">
        <v>68</v>
      </c>
      <c r="E43" s="27" t="s">
        <v>69</v>
      </c>
      <c r="F43" s="27" t="s">
        <v>70</v>
      </c>
      <c r="G43" s="27" t="s">
        <v>71</v>
      </c>
      <c r="H43" s="28" t="s">
        <v>72</v>
      </c>
      <c r="I43" s="29"/>
      <c r="J43" s="35"/>
    </row>
    <row r="44" spans="1:13" ht="13.5" hidden="1" x14ac:dyDescent="0.25">
      <c r="A44" s="30">
        <f>+A35</f>
        <v>0</v>
      </c>
      <c r="B44" s="36" t="str">
        <f>IFERROR(VLOOKUP(H44,[1]SEMIELABORADOS!$A$2:$M$6000,2,0),"")</f>
        <v/>
      </c>
      <c r="C44" s="31">
        <f>+A44</f>
        <v>0</v>
      </c>
      <c r="D44" s="32" t="str">
        <f>IFERROR(VLOOKUP(H44,[1]SEMIELABORADOS!$A$2:$M$6000,6,0),"")</f>
        <v/>
      </c>
      <c r="E44" s="32" t="str">
        <f>IFERROR(VLOOKUP(H44,[1]SEMIELABORADOS!$A$2:$M$65536,12,0),"")</f>
        <v/>
      </c>
      <c r="F44" s="32" t="str">
        <f>IFERROR(E44*C44,"")</f>
        <v/>
      </c>
      <c r="G44" s="33" t="str">
        <f>IFERROR(F44/$F$66,"")</f>
        <v/>
      </c>
      <c r="H44" s="37"/>
      <c r="I44" s="29"/>
      <c r="J44" s="35"/>
    </row>
    <row r="45" spans="1:13" ht="13.5" hidden="1" x14ac:dyDescent="0.25">
      <c r="A45" s="30">
        <f t="shared" ref="A45:A50" si="13">+A36</f>
        <v>0</v>
      </c>
      <c r="B45" s="36" t="str">
        <f>IFERROR(VLOOKUP(H45,[1]SEMIELABORADOS!$A$2:$M$6000,2,0),"")</f>
        <v/>
      </c>
      <c r="C45" s="31">
        <f t="shared" ref="C45:C50" si="14">+A45</f>
        <v>0</v>
      </c>
      <c r="D45" s="32" t="str">
        <f>IFERROR(VLOOKUP(H45,[1]SEMIELABORADOS!$A$2:$M$6000,6,0),"")</f>
        <v/>
      </c>
      <c r="E45" s="32" t="str">
        <f>IFERROR(VLOOKUP(H45,[1]SEMIELABORADOS!$A$2:$M$65536,12,0),"")</f>
        <v/>
      </c>
      <c r="F45" s="32" t="str">
        <f t="shared" ref="F45:F50" si="15">IFERROR(E45*C45,"")</f>
        <v/>
      </c>
      <c r="G45" s="33" t="str">
        <f t="shared" ref="G45:G50" si="16">IFERROR(F45/$F$66,"")</f>
        <v/>
      </c>
      <c r="H45" s="37"/>
      <c r="I45" s="29"/>
      <c r="J45" s="35"/>
      <c r="M45" s="40"/>
    </row>
    <row r="46" spans="1:13" ht="13.5" hidden="1" x14ac:dyDescent="0.25">
      <c r="A46" s="30">
        <f t="shared" si="13"/>
        <v>0</v>
      </c>
      <c r="B46" s="36" t="str">
        <f>IFERROR(VLOOKUP(H46,[1]SEMIELABORADOS!$A$2:$M$6000,2,0),"")</f>
        <v/>
      </c>
      <c r="C46" s="31">
        <f t="shared" si="14"/>
        <v>0</v>
      </c>
      <c r="D46" s="32" t="str">
        <f>IFERROR(VLOOKUP(H46,[1]SEMIELABORADOS!$A$2:$M$6000,6,0),"")</f>
        <v/>
      </c>
      <c r="E46" s="32" t="str">
        <f>IFERROR(VLOOKUP(H46,[1]SEMIELABORADOS!$A$2:$M$65536,12,0),"")</f>
        <v/>
      </c>
      <c r="F46" s="32" t="str">
        <f t="shared" si="15"/>
        <v/>
      </c>
      <c r="G46" s="33" t="str">
        <f t="shared" si="16"/>
        <v/>
      </c>
      <c r="H46" s="37"/>
      <c r="I46" s="29"/>
      <c r="J46" s="35"/>
    </row>
    <row r="47" spans="1:13" ht="13.5" hidden="1" x14ac:dyDescent="0.25">
      <c r="A47" s="30">
        <f t="shared" si="13"/>
        <v>0</v>
      </c>
      <c r="B47" s="36" t="str">
        <f>IFERROR(VLOOKUP(H47,[1]SEMIELABORADOS!$A$2:$M$6000,2,0),"")</f>
        <v/>
      </c>
      <c r="C47" s="31">
        <f t="shared" si="14"/>
        <v>0</v>
      </c>
      <c r="D47" s="32" t="str">
        <f>IFERROR(VLOOKUP(H47,[1]SEMIELABORADOS!$A$2:$M$6000,6,0),"")</f>
        <v/>
      </c>
      <c r="E47" s="32" t="str">
        <f>IFERROR(VLOOKUP(H47,[1]SEMIELABORADOS!$A$2:$M$65536,12,0),"")</f>
        <v/>
      </c>
      <c r="F47" s="32" t="str">
        <f t="shared" si="15"/>
        <v/>
      </c>
      <c r="G47" s="33" t="str">
        <f t="shared" si="16"/>
        <v/>
      </c>
      <c r="H47" s="37"/>
      <c r="I47" s="29"/>
      <c r="J47" s="35"/>
    </row>
    <row r="48" spans="1:13" ht="13.5" hidden="1" x14ac:dyDescent="0.25">
      <c r="A48" s="30">
        <f t="shared" si="13"/>
        <v>0</v>
      </c>
      <c r="B48" s="36" t="str">
        <f>IFERROR(VLOOKUP(H48,[1]SEMIELABORADOS!$A$2:$M$6000,2,0),"")</f>
        <v/>
      </c>
      <c r="C48" s="31">
        <f t="shared" si="14"/>
        <v>0</v>
      </c>
      <c r="D48" s="32" t="str">
        <f>IFERROR(VLOOKUP(H48,[1]SEMIELABORADOS!$A$2:$M$6000,6,0),"")</f>
        <v/>
      </c>
      <c r="E48" s="32" t="str">
        <f>IFERROR(VLOOKUP(H48,[1]SEMIELABORADOS!$A$2:$M$65536,12,0),"")</f>
        <v/>
      </c>
      <c r="F48" s="32" t="str">
        <f t="shared" si="15"/>
        <v/>
      </c>
      <c r="G48" s="33" t="str">
        <f t="shared" si="16"/>
        <v/>
      </c>
      <c r="H48" s="37"/>
      <c r="I48" s="29"/>
      <c r="J48" s="35"/>
    </row>
    <row r="49" spans="1:17" ht="13.5" hidden="1" x14ac:dyDescent="0.25">
      <c r="A49" s="30">
        <f t="shared" si="13"/>
        <v>0</v>
      </c>
      <c r="B49" s="36" t="str">
        <f>IFERROR(VLOOKUP(H49,[1]SEMIELABORADOS!$A$2:$M$6000,2,0),"")</f>
        <v/>
      </c>
      <c r="C49" s="31">
        <f t="shared" si="14"/>
        <v>0</v>
      </c>
      <c r="D49" s="32" t="str">
        <f>IFERROR(VLOOKUP(H49,[1]SEMIELABORADOS!$A$2:$M$6000,6,0),"")</f>
        <v/>
      </c>
      <c r="E49" s="32" t="str">
        <f>IFERROR(VLOOKUP(H49,[1]SEMIELABORADOS!$A$2:$M$65536,12,0),"")</f>
        <v/>
      </c>
      <c r="F49" s="32" t="str">
        <f t="shared" si="15"/>
        <v/>
      </c>
      <c r="G49" s="33" t="str">
        <f t="shared" si="16"/>
        <v/>
      </c>
      <c r="H49" s="37"/>
      <c r="I49" s="29"/>
      <c r="J49" s="35"/>
    </row>
    <row r="50" spans="1:17" ht="13.5" hidden="1" x14ac:dyDescent="0.25">
      <c r="A50" s="30">
        <f t="shared" si="13"/>
        <v>0</v>
      </c>
      <c r="B50" s="36" t="str">
        <f>IFERROR(VLOOKUP(H50,[1]SEMIELABORADOS!$A$2:$M$6000,2,0),"")</f>
        <v/>
      </c>
      <c r="C50" s="31">
        <f t="shared" si="14"/>
        <v>0</v>
      </c>
      <c r="D50" s="32" t="str">
        <f>IFERROR(VLOOKUP(H50,[1]SEMIELABORADOS!$A$2:$M$6000,6,0),"")</f>
        <v/>
      </c>
      <c r="E50" s="32" t="str">
        <f>IFERROR(VLOOKUP(H50,[1]SEMIELABORADOS!$A$2:$M$65536,12,0),"")</f>
        <v/>
      </c>
      <c r="F50" s="32" t="str">
        <f t="shared" si="15"/>
        <v/>
      </c>
      <c r="G50" s="33" t="str">
        <f t="shared" si="16"/>
        <v/>
      </c>
      <c r="H50" s="36"/>
      <c r="I50" s="29"/>
      <c r="J50" s="35"/>
    </row>
    <row r="51" spans="1:17" ht="13.5" x14ac:dyDescent="0.25">
      <c r="A51" s="30">
        <v>1</v>
      </c>
      <c r="B51" s="36" t="s">
        <v>77</v>
      </c>
      <c r="C51" s="31">
        <f>+A51</f>
        <v>1</v>
      </c>
      <c r="D51" s="31" t="s">
        <v>78</v>
      </c>
      <c r="E51" s="32">
        <f>+F65</f>
        <v>165</v>
      </c>
      <c r="F51" s="32">
        <f>IFERROR(C51*E51,"")</f>
        <v>165</v>
      </c>
      <c r="G51" s="33">
        <f>IFERROR(F51/$F$66,"")</f>
        <v>1.3822667437896672E-2</v>
      </c>
      <c r="H51" s="41"/>
      <c r="I51" s="41"/>
      <c r="J51" s="35"/>
    </row>
    <row r="52" spans="1:17" ht="14.25" thickBot="1" x14ac:dyDescent="0.3">
      <c r="A52" s="30"/>
      <c r="B52" s="36"/>
      <c r="C52" s="31"/>
      <c r="D52" s="31"/>
      <c r="E52" s="32"/>
      <c r="F52" s="32"/>
      <c r="G52" s="33"/>
      <c r="H52" s="41"/>
      <c r="I52" s="41"/>
      <c r="J52" s="35"/>
    </row>
    <row r="53" spans="1:17" ht="13.5" thickBot="1" x14ac:dyDescent="0.25">
      <c r="A53" s="42"/>
      <c r="B53" s="147" t="s">
        <v>79</v>
      </c>
      <c r="C53" s="147"/>
      <c r="D53" s="147"/>
      <c r="E53" s="147"/>
      <c r="F53" s="44">
        <f>SUM(F8:F14,F17:F24)</f>
        <v>11496.463</v>
      </c>
      <c r="G53" s="33">
        <f>+F53/$F$66</f>
        <v>0.96310172582475084</v>
      </c>
      <c r="H53" s="45">
        <f>+F53/$D$60</f>
        <v>11496.463</v>
      </c>
      <c r="I53" s="45"/>
      <c r="J53" s="46"/>
      <c r="K53" s="47"/>
      <c r="L53" s="47"/>
      <c r="M53" s="47"/>
      <c r="N53" s="47"/>
      <c r="O53" s="47"/>
      <c r="P53" s="47"/>
      <c r="Q53" s="48"/>
    </row>
    <row r="54" spans="1:17" x14ac:dyDescent="0.2">
      <c r="A54" s="42"/>
      <c r="B54" s="147" t="s">
        <v>80</v>
      </c>
      <c r="C54" s="147"/>
      <c r="D54" s="147"/>
      <c r="E54" s="147"/>
      <c r="F54" s="44">
        <f>SUM(F27:F32,F35:F41)</f>
        <v>45.522285714285715</v>
      </c>
      <c r="G54" s="33">
        <f>+F54/$F$66</f>
        <v>3.8135722208574906E-3</v>
      </c>
      <c r="H54" s="45">
        <f>+F54/$D$60</f>
        <v>45.522285714285715</v>
      </c>
      <c r="I54" s="45"/>
      <c r="J54" s="49"/>
      <c r="K54" s="148" t="s">
        <v>81</v>
      </c>
      <c r="L54" s="149"/>
      <c r="M54" s="149"/>
      <c r="N54" s="149"/>
      <c r="O54" s="50">
        <f>+F55</f>
        <v>11541.985285714285</v>
      </c>
      <c r="P54" s="50"/>
      <c r="Q54" s="51"/>
    </row>
    <row r="55" spans="1:17" x14ac:dyDescent="0.2">
      <c r="A55" s="42"/>
      <c r="B55" s="147" t="s">
        <v>82</v>
      </c>
      <c r="C55" s="147"/>
      <c r="D55" s="147"/>
      <c r="E55" s="147"/>
      <c r="F55" s="44">
        <f>+F53+F54</f>
        <v>11541.985285714285</v>
      </c>
      <c r="G55" s="33">
        <f>+F55/$F$66</f>
        <v>0.96691529804560827</v>
      </c>
      <c r="H55" s="45">
        <f>+F55/$D$60</f>
        <v>11541.985285714285</v>
      </c>
      <c r="I55" s="45"/>
      <c r="J55" s="52"/>
      <c r="K55" s="53"/>
      <c r="L55" s="54" t="s">
        <v>83</v>
      </c>
      <c r="M55" s="54"/>
      <c r="N55" s="55">
        <v>0.18</v>
      </c>
      <c r="O55" s="50">
        <f>+O54*N55</f>
        <v>2077.5573514285711</v>
      </c>
      <c r="P55" s="50"/>
      <c r="Q55" s="51"/>
    </row>
    <row r="56" spans="1:17" ht="13.5" thickBot="1" x14ac:dyDescent="0.25">
      <c r="A56" s="42"/>
      <c r="B56" s="43"/>
      <c r="C56" s="147" t="s">
        <v>84</v>
      </c>
      <c r="D56" s="147"/>
      <c r="E56" s="147"/>
      <c r="F56" s="44">
        <f>SUM(F44:F51)</f>
        <v>165</v>
      </c>
      <c r="G56" s="33">
        <f>+F56/$F$66</f>
        <v>1.3822667437896672E-2</v>
      </c>
      <c r="H56" s="45">
        <f>+F56/$D$60</f>
        <v>165</v>
      </c>
      <c r="I56" s="45"/>
      <c r="J56" s="52"/>
      <c r="K56" s="53"/>
      <c r="L56" s="53"/>
      <c r="M56" s="53" t="s">
        <v>85</v>
      </c>
      <c r="N56" s="56"/>
      <c r="O56" s="50">
        <f>O54*N56</f>
        <v>0</v>
      </c>
      <c r="P56" s="50"/>
      <c r="Q56" s="51"/>
    </row>
    <row r="57" spans="1:17" ht="13.5" thickBot="1" x14ac:dyDescent="0.25">
      <c r="A57" s="42"/>
      <c r="B57" s="57"/>
      <c r="C57" s="57"/>
      <c r="D57" s="57"/>
      <c r="E57" s="57"/>
      <c r="F57" s="58"/>
      <c r="G57" s="33"/>
      <c r="H57" s="59"/>
      <c r="I57" s="45"/>
      <c r="J57" s="52"/>
      <c r="K57" s="60"/>
      <c r="M57" s="61" t="s">
        <v>86</v>
      </c>
      <c r="N57" s="62"/>
      <c r="O57" s="63">
        <f>SUM(O54:O56)</f>
        <v>13619.542637142857</v>
      </c>
      <c r="P57" s="64"/>
      <c r="Q57" s="51"/>
    </row>
    <row r="58" spans="1:17" x14ac:dyDescent="0.2">
      <c r="B58" s="150" t="s">
        <v>87</v>
      </c>
      <c r="C58" s="150"/>
      <c r="D58" s="65">
        <v>7516</v>
      </c>
      <c r="E58" s="66"/>
      <c r="G58" s="33"/>
      <c r="H58" s="59"/>
      <c r="I58" s="67"/>
      <c r="J58" s="52"/>
      <c r="K58" s="60"/>
      <c r="L58" s="53"/>
      <c r="M58" s="53" t="s">
        <v>88</v>
      </c>
      <c r="N58" s="68">
        <v>0.15</v>
      </c>
      <c r="O58" s="50">
        <f>+O54*N58</f>
        <v>1731.2977928571427</v>
      </c>
      <c r="P58" s="50"/>
      <c r="Q58" s="51"/>
    </row>
    <row r="59" spans="1:17" x14ac:dyDescent="0.2">
      <c r="B59" s="150" t="s">
        <v>89</v>
      </c>
      <c r="C59" s="150"/>
      <c r="D59" s="69">
        <v>7516</v>
      </c>
      <c r="E59" s="66"/>
      <c r="G59" s="33"/>
      <c r="H59" s="59"/>
      <c r="I59" s="67"/>
      <c r="J59" s="52"/>
      <c r="K59" s="60"/>
      <c r="L59" s="53"/>
      <c r="M59" s="151" t="s">
        <v>86</v>
      </c>
      <c r="N59" s="151"/>
      <c r="O59" s="50">
        <f>SUM(O57:O58)</f>
        <v>15350.84043</v>
      </c>
      <c r="P59" s="50"/>
      <c r="Q59" s="51"/>
    </row>
    <row r="60" spans="1:17" ht="13.5" thickBot="1" x14ac:dyDescent="0.25">
      <c r="B60" s="143" t="s">
        <v>90</v>
      </c>
      <c r="C60" s="143"/>
      <c r="D60" s="65">
        <f>+D58/D59</f>
        <v>1</v>
      </c>
      <c r="E60" s="66"/>
      <c r="F60" s="70"/>
      <c r="G60" s="33"/>
      <c r="H60" s="59"/>
      <c r="I60" s="67"/>
      <c r="J60" s="52"/>
      <c r="K60" s="60"/>
      <c r="L60" s="151"/>
      <c r="M60" s="151"/>
      <c r="N60" s="68"/>
      <c r="O60" s="50">
        <f>+O59*N60</f>
        <v>0</v>
      </c>
      <c r="P60" s="50"/>
      <c r="Q60" s="51"/>
    </row>
    <row r="61" spans="1:17" ht="13.5" thickBot="1" x14ac:dyDescent="0.25">
      <c r="B61" s="143" t="s">
        <v>91</v>
      </c>
      <c r="C61" s="143"/>
      <c r="D61" s="71"/>
      <c r="E61" s="66"/>
      <c r="F61" s="70"/>
      <c r="G61" s="33"/>
      <c r="H61" s="59"/>
      <c r="I61" s="67"/>
      <c r="J61" s="52"/>
      <c r="K61" s="144" t="s">
        <v>92</v>
      </c>
      <c r="L61" s="145"/>
      <c r="M61" s="145"/>
      <c r="N61" s="146"/>
      <c r="O61" s="63">
        <f>SUM(O59:O60)</f>
        <v>15350.84043</v>
      </c>
      <c r="P61" s="72" t="s">
        <v>93</v>
      </c>
      <c r="Q61" s="51"/>
    </row>
    <row r="62" spans="1:17" ht="13.5" thickBot="1" x14ac:dyDescent="0.25">
      <c r="C62" s="42" t="s">
        <v>94</v>
      </c>
      <c r="D62" s="73"/>
      <c r="E62" s="16" t="s">
        <v>95</v>
      </c>
      <c r="F62" s="74" t="s">
        <v>96</v>
      </c>
      <c r="G62" s="33"/>
      <c r="H62" s="59"/>
      <c r="I62" s="67"/>
      <c r="J62" s="75"/>
      <c r="K62" s="76"/>
      <c r="L62" s="157" t="s">
        <v>97</v>
      </c>
      <c r="M62" s="157"/>
      <c r="N62" s="157"/>
      <c r="O62" s="77">
        <f>+O61/D60</f>
        <v>15350.84043</v>
      </c>
      <c r="P62" s="78">
        <f>+O62/D59</f>
        <v>2.0424215580095795</v>
      </c>
      <c r="Q62" s="79"/>
    </row>
    <row r="63" spans="1:17" ht="13.5" thickBot="1" x14ac:dyDescent="0.25">
      <c r="B63" s="158" t="s">
        <v>82</v>
      </c>
      <c r="C63" s="158"/>
      <c r="D63" s="158"/>
      <c r="E63" s="80">
        <f>+F63/F63</f>
        <v>1</v>
      </c>
      <c r="F63" s="81">
        <f>SUM(F55)</f>
        <v>11541.985285714285</v>
      </c>
      <c r="G63" s="33">
        <f>+F63/$F$66</f>
        <v>0.96691529804560827</v>
      </c>
      <c r="H63" s="59"/>
      <c r="I63" s="67"/>
      <c r="K63" s="159"/>
      <c r="L63" s="160"/>
      <c r="M63" s="160"/>
      <c r="N63" s="160"/>
      <c r="O63" s="82"/>
      <c r="P63" s="83"/>
    </row>
    <row r="64" spans="1:17" ht="13.5" thickBot="1" x14ac:dyDescent="0.25">
      <c r="B64" s="161" t="s">
        <v>98</v>
      </c>
      <c r="C64" s="161"/>
      <c r="D64" s="161"/>
      <c r="E64" s="84">
        <v>0.02</v>
      </c>
      <c r="F64" s="81">
        <f>+F53*E64</f>
        <v>229.92926</v>
      </c>
      <c r="G64" s="33">
        <f>+F64/$F$66</f>
        <v>1.9262034516495018E-2</v>
      </c>
      <c r="H64" s="45"/>
      <c r="I64" s="67"/>
      <c r="J64" s="85"/>
      <c r="O64" s="86"/>
      <c r="P64" s="43"/>
    </row>
    <row r="65" spans="2:10" ht="13.5" thickBot="1" x14ac:dyDescent="0.25">
      <c r="B65" s="162" t="s">
        <v>99</v>
      </c>
      <c r="C65" s="163"/>
      <c r="D65" s="87">
        <v>3</v>
      </c>
      <c r="E65" s="88">
        <v>55</v>
      </c>
      <c r="F65" s="81">
        <f>+E65*D65</f>
        <v>165</v>
      </c>
      <c r="G65" s="33">
        <f>+F65/$F$66</f>
        <v>1.3822667437896672E-2</v>
      </c>
      <c r="H65" s="45"/>
      <c r="I65" s="45"/>
      <c r="J65" s="35"/>
    </row>
    <row r="66" spans="2:10" ht="13.5" thickBot="1" x14ac:dyDescent="0.25">
      <c r="B66" s="164" t="s">
        <v>100</v>
      </c>
      <c r="C66" s="165"/>
      <c r="D66" s="165"/>
      <c r="E66" s="166"/>
      <c r="F66" s="58">
        <f>SUM(F63:F65)</f>
        <v>11936.914545714286</v>
      </c>
      <c r="G66" s="33">
        <f>+F66/$F$66</f>
        <v>1</v>
      </c>
      <c r="H66" s="167"/>
      <c r="I66" s="45"/>
      <c r="J66" s="35"/>
    </row>
    <row r="67" spans="2:10" x14ac:dyDescent="0.2">
      <c r="C67" s="40"/>
      <c r="D67" s="40"/>
      <c r="E67" s="90"/>
      <c r="F67" s="81"/>
      <c r="G67" s="33"/>
      <c r="H67" s="167"/>
      <c r="I67" s="89"/>
      <c r="J67" s="18"/>
    </row>
    <row r="68" spans="2:10" ht="13.5" thickBot="1" x14ac:dyDescent="0.25">
      <c r="B68" s="152" t="s">
        <v>101</v>
      </c>
      <c r="C68" s="152"/>
      <c r="D68" s="152"/>
      <c r="E68" s="152"/>
      <c r="F68" s="152"/>
      <c r="G68" s="33"/>
      <c r="H68" s="92"/>
      <c r="I68" s="89"/>
      <c r="J68" s="18"/>
    </row>
    <row r="69" spans="2:10" ht="13.5" thickBot="1" x14ac:dyDescent="0.25">
      <c r="B69" s="93" t="s">
        <v>102</v>
      </c>
      <c r="C69" s="94">
        <f>+F53</f>
        <v>11496.463</v>
      </c>
      <c r="D69" s="94">
        <f>+D58</f>
        <v>7516</v>
      </c>
      <c r="E69" s="95">
        <f>+C69/D69</f>
        <v>1.5295985896753592</v>
      </c>
      <c r="F69" s="33"/>
      <c r="G69" s="92"/>
      <c r="H69" s="35"/>
      <c r="I69" s="92"/>
      <c r="J69" s="18"/>
    </row>
    <row r="70" spans="2:10" x14ac:dyDescent="0.2">
      <c r="B70" s="96"/>
      <c r="C70" s="97"/>
      <c r="D70" s="98"/>
      <c r="E70" s="81"/>
      <c r="F70" s="33"/>
      <c r="G70" s="92"/>
      <c r="H70" s="35"/>
      <c r="I70" s="35"/>
      <c r="J70" s="18"/>
    </row>
    <row r="71" spans="2:10" x14ac:dyDescent="0.2">
      <c r="B71" s="93" t="s">
        <v>103</v>
      </c>
      <c r="C71" s="94">
        <f>SUM(F63:F64)</f>
        <v>11771.914545714286</v>
      </c>
      <c r="D71" s="94">
        <f>+D58</f>
        <v>7516</v>
      </c>
      <c r="E71" s="99">
        <f>+C71/D71</f>
        <v>1.5662472785676271</v>
      </c>
      <c r="F71" s="33"/>
      <c r="G71" s="92"/>
      <c r="H71" s="35"/>
      <c r="I71" s="35"/>
      <c r="J71" s="18"/>
    </row>
    <row r="72" spans="2:10" x14ac:dyDescent="0.2">
      <c r="B72" s="93"/>
      <c r="C72" s="94"/>
      <c r="D72" s="94"/>
      <c r="E72" s="99"/>
      <c r="F72" s="33"/>
      <c r="G72" s="92"/>
      <c r="H72" s="35"/>
      <c r="I72" s="35"/>
      <c r="J72" s="18"/>
    </row>
    <row r="73" spans="2:10" ht="13.5" thickBot="1" x14ac:dyDescent="0.25">
      <c r="B73" s="93" t="s">
        <v>104</v>
      </c>
      <c r="C73" s="94">
        <f>+F65</f>
        <v>165</v>
      </c>
      <c r="D73" s="94">
        <f>+D58</f>
        <v>7516</v>
      </c>
      <c r="E73" s="99">
        <f>+C73/D73</f>
        <v>2.1953166577967004E-2</v>
      </c>
      <c r="F73" s="33"/>
      <c r="G73" s="92"/>
      <c r="H73" s="35"/>
      <c r="I73" s="35"/>
      <c r="J73" s="18"/>
    </row>
    <row r="74" spans="2:10" ht="13.5" thickBot="1" x14ac:dyDescent="0.25">
      <c r="B74" s="93" t="s">
        <v>105</v>
      </c>
      <c r="C74" s="94">
        <f>+F56</f>
        <v>165</v>
      </c>
      <c r="D74" s="94">
        <f>+D73</f>
        <v>7516</v>
      </c>
      <c r="E74" s="95">
        <f>+C74/D74</f>
        <v>2.1953166577967004E-2</v>
      </c>
      <c r="F74" s="33"/>
      <c r="G74" s="92"/>
      <c r="H74" s="35"/>
      <c r="I74" s="35"/>
      <c r="J74" s="18"/>
    </row>
    <row r="75" spans="2:10" ht="13.5" thickBot="1" x14ac:dyDescent="0.25">
      <c r="B75" s="57"/>
      <c r="C75" s="58"/>
      <c r="D75" s="58"/>
      <c r="E75" s="99"/>
      <c r="F75" s="33"/>
      <c r="G75" s="92"/>
      <c r="H75" s="35"/>
      <c r="I75" s="35"/>
      <c r="J75" s="18"/>
    </row>
    <row r="76" spans="2:10" ht="13.5" thickBot="1" x14ac:dyDescent="0.25">
      <c r="B76" s="93" t="s">
        <v>106</v>
      </c>
      <c r="C76" s="94">
        <f>+F54</f>
        <v>45.522285714285715</v>
      </c>
      <c r="D76" s="94">
        <f>+D74</f>
        <v>7516</v>
      </c>
      <c r="E76" s="95">
        <f>+C76/D76</f>
        <v>6.0567170987607388E-3</v>
      </c>
      <c r="F76" s="33"/>
      <c r="G76" s="92"/>
      <c r="H76" s="35"/>
      <c r="I76" s="35"/>
      <c r="J76" s="35"/>
    </row>
    <row r="77" spans="2:10" ht="13.5" thickBot="1" x14ac:dyDescent="0.25">
      <c r="B77" s="57"/>
      <c r="C77" s="58"/>
      <c r="D77" s="58"/>
      <c r="E77" s="99"/>
      <c r="F77" s="33"/>
      <c r="G77" s="92"/>
      <c r="H77" s="35"/>
      <c r="I77" s="35"/>
    </row>
    <row r="78" spans="2:10" ht="13.5" thickBot="1" x14ac:dyDescent="0.25">
      <c r="B78" s="153" t="s">
        <v>107</v>
      </c>
      <c r="C78" s="154"/>
      <c r="D78" s="155"/>
      <c r="E78" s="95">
        <f>+E69+E74</f>
        <v>1.5515517562533263</v>
      </c>
      <c r="G78" s="33"/>
      <c r="H78" s="92"/>
      <c r="I78" s="35"/>
      <c r="J78" s="99"/>
    </row>
    <row r="79" spans="2:10" x14ac:dyDescent="0.2">
      <c r="I79" s="92"/>
      <c r="J79" s="18"/>
    </row>
    <row r="80" spans="2:10" ht="13.5" thickBot="1" x14ac:dyDescent="0.25">
      <c r="B80" s="152" t="s">
        <v>108</v>
      </c>
      <c r="C80" s="152"/>
      <c r="D80" s="152"/>
      <c r="E80" s="152"/>
      <c r="F80" s="152"/>
      <c r="G80" s="33"/>
      <c r="H80" s="92"/>
      <c r="J80" s="18"/>
    </row>
    <row r="81" spans="1:10" ht="13.5" thickBot="1" x14ac:dyDescent="0.25">
      <c r="B81" s="93" t="s">
        <v>102</v>
      </c>
      <c r="C81" s="94">
        <f>+C69</f>
        <v>11496.463</v>
      </c>
      <c r="D81" s="94">
        <f>+D60</f>
        <v>1</v>
      </c>
      <c r="E81" s="95">
        <f>+C81/D81</f>
        <v>11496.463</v>
      </c>
      <c r="F81" s="33"/>
      <c r="G81" s="92"/>
      <c r="H81" s="35"/>
      <c r="I81" s="92"/>
      <c r="J81" s="18"/>
    </row>
    <row r="82" spans="1:10" x14ac:dyDescent="0.2">
      <c r="B82" s="96"/>
      <c r="C82" s="97"/>
      <c r="D82" s="98"/>
      <c r="E82" s="81"/>
      <c r="F82" s="33"/>
      <c r="G82" s="92"/>
      <c r="H82" s="35"/>
      <c r="I82" s="35"/>
      <c r="J82" s="18"/>
    </row>
    <row r="83" spans="1:10" x14ac:dyDescent="0.2">
      <c r="B83" s="93" t="s">
        <v>103</v>
      </c>
      <c r="C83" s="94">
        <f>+C71</f>
        <v>11771.914545714286</v>
      </c>
      <c r="D83" s="94">
        <f>+D60</f>
        <v>1</v>
      </c>
      <c r="E83" s="99">
        <f>+C83/D83</f>
        <v>11771.914545714286</v>
      </c>
      <c r="F83" s="33"/>
      <c r="G83" s="92"/>
      <c r="H83" s="35"/>
      <c r="I83" s="35"/>
      <c r="J83" s="18"/>
    </row>
    <row r="84" spans="1:10" x14ac:dyDescent="0.2">
      <c r="B84" s="93"/>
      <c r="C84" s="94"/>
      <c r="D84" s="94"/>
      <c r="E84" s="99"/>
      <c r="F84" s="33"/>
      <c r="G84" s="92"/>
      <c r="H84" s="35"/>
      <c r="I84" s="35"/>
      <c r="J84" s="18"/>
    </row>
    <row r="85" spans="1:10" ht="13.5" thickBot="1" x14ac:dyDescent="0.25">
      <c r="B85" s="93" t="s">
        <v>105</v>
      </c>
      <c r="C85" s="94">
        <f>+C73</f>
        <v>165</v>
      </c>
      <c r="D85" s="94">
        <f>+D60</f>
        <v>1</v>
      </c>
      <c r="E85" s="99">
        <f>+C85/D85</f>
        <v>165</v>
      </c>
      <c r="F85" s="101"/>
      <c r="G85" s="91"/>
      <c r="H85" s="17"/>
      <c r="I85" s="35"/>
    </row>
    <row r="86" spans="1:10" ht="13.5" thickBot="1" x14ac:dyDescent="0.25">
      <c r="B86" s="93" t="s">
        <v>105</v>
      </c>
      <c r="C86" s="94">
        <f>+C74</f>
        <v>165</v>
      </c>
      <c r="D86" s="94">
        <f>+D85</f>
        <v>1</v>
      </c>
      <c r="E86" s="95">
        <f>+C86/D86</f>
        <v>165</v>
      </c>
      <c r="F86" s="100"/>
      <c r="G86" s="91"/>
      <c r="H86" s="17"/>
      <c r="I86" s="17"/>
    </row>
    <row r="87" spans="1:10" x14ac:dyDescent="0.2">
      <c r="I87" s="17"/>
    </row>
    <row r="88" spans="1:10" x14ac:dyDescent="0.2">
      <c r="A88" s="156"/>
      <c r="B88" s="156"/>
      <c r="C88" s="102"/>
      <c r="D88" s="102"/>
      <c r="E88" s="103"/>
      <c r="G88" s="104"/>
    </row>
    <row r="89" spans="1:10" x14ac:dyDescent="0.2">
      <c r="A89" s="36"/>
      <c r="B89" s="105"/>
      <c r="C89" s="106"/>
      <c r="D89" s="106"/>
      <c r="E89" s="107"/>
      <c r="G89" s="104"/>
    </row>
    <row r="90" spans="1:10" x14ac:dyDescent="0.2">
      <c r="A90" s="36"/>
      <c r="B90" s="105"/>
      <c r="C90" s="108"/>
      <c r="D90" s="108"/>
      <c r="E90" s="36"/>
      <c r="G90" s="104"/>
    </row>
    <row r="91" spans="1:10" x14ac:dyDescent="0.2">
      <c r="A91" s="36"/>
      <c r="B91" s="105"/>
      <c r="C91" s="109"/>
      <c r="D91" s="109"/>
      <c r="E91" s="36"/>
      <c r="G91" s="104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D32B941-8F1D-48FA-97F3-E3781BC4826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888EF3FD-470C-4DD2-9610-025E5D0F0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6A36A4-AF5E-4664-8841-75CCF518AD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46B4F0A-6F53-46B8-AEF1-A81A0CEF748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RECETAPREM</vt:lpstr>
      <vt:lpstr>Hoja1</vt:lpstr>
      <vt:lpstr>RECETAPREM!Área_de_impresión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</dc:creator>
  <cp:lastModifiedBy>Allan Brenes</cp:lastModifiedBy>
  <cp:lastPrinted>2025-10-15T19:13:28Z</cp:lastPrinted>
  <dcterms:created xsi:type="dcterms:W3CDTF">2003-03-11T22:35:36Z</dcterms:created>
  <dcterms:modified xsi:type="dcterms:W3CDTF">2025-10-15T19:14:12Z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12400.0000000000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
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2" documentId="8_{D268E230-8FDD-41A8-A0B8-4EFBEAC894FB}" xr6:coauthVersionLast="47" xr6:coauthVersionMax="47" xr10:uidLastSave="{A02EB24B-7C17-4B81-B11E-BF983CECEE90}"/>
  <bookViews>
    <workbookView xWindow="-120" yWindow="-120" windowWidth="29040" windowHeight="15840" xr2:uid="{00000000-000D-0000-FFFF-FFFF000000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2" l="1"/>
  <c r="H40" i="2"/>
</calcChain>
</file>

<file path=xl/sharedStrings.xml><?xml version="1.0" encoding="utf-8"?>
<sst xmlns="http://schemas.openxmlformats.org/spreadsheetml/2006/main" count="137" uniqueCount="99">
  <si>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</si>
  <si>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</si>
  <si>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</si>
  <si>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</si>
  <si>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</si>
  <si>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</si>
  <si>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</si>
  <si>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</si>
  <si>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</si>
  <si>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</si>
  <si>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</si>
  <si>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</si>
  <si>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</si>
  <si>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</si>
  <si>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</si>
  <si>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</si>
  <si>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</si>
  <si>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</si>
  <si>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g</t>
  </si>
  <si>
    <t>GANACHE CHOCOLATE OSCURO (KILO)</t>
  </si>
  <si>
    <t>FAS</t>
  </si>
  <si>
    <t>ud</t>
  </si>
  <si>
    <t>Empaque</t>
  </si>
  <si>
    <t>1950692</t>
  </si>
  <si>
    <t>ORLA CARTON 10" DORADA (UND)</t>
  </si>
  <si>
    <t>121603</t>
  </si>
  <si>
    <t>QUEQUERA RED  BASE/DOMO 10 (CAJA:50)</t>
  </si>
  <si>
    <t>703020</t>
  </si>
  <si>
    <t>CINTA ADHESIVA TRANSPARENT 2*100 M (UND)</t>
  </si>
  <si>
    <t>cm</t>
  </si>
  <si>
    <t>0702123</t>
  </si>
  <si>
    <t>ETIQUETA BLANCA 2 5/8X1 15/16 (UND)</t>
  </si>
  <si>
    <t>701096</t>
  </si>
  <si>
    <t>ETIQUETA BLANCA R-153 (UND)</t>
  </si>
  <si>
    <t>Unidad</t>
  </si>
  <si>
    <t>PESO TOTAL OBTENIDO</t>
  </si>
  <si>
    <t>Tiempo de Horneo:</t>
  </si>
  <si>
    <t>TIEMPO TOTAL DE PREPARACION</t>
  </si>
  <si>
    <t>Min.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</si>
  <si>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</si>
  <si>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</si>
  <si>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</si>
  <si>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</si>
  <si>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</si>
  <si>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</si>
  <si>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</si>
  <si>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Partir 2  rosquetes de chocolate por la mitad.</t>
  </si>
  <si>
    <t xml:space="preserve">3.- Encremar la torta con el fudge de chocolate y pasar el peine metalico a los lados. </t>
  </si>
  <si>
    <t>4.- Decorar con colocho de fudge en el borde exterior de la torta, hacer otro colocho con manjar en el borde interno, rellenar con ganache haciendo un espejo (1/3 taza). Decorar con 1 stick dorado y viruta de chocolate, acorde a la foto</t>
  </si>
  <si>
    <t>907000265</t>
  </si>
  <si>
    <t>EMPAQUE FUDGE DE CHOCOLATE SPOON</t>
  </si>
  <si>
    <t xml:space="preserve">TRASVASADO LECHE CONDENSADA COCINADA </t>
  </si>
  <si>
    <t>2.- Rellenar 3 tapas de rosquete con leche condesnada cocinada y de fudge, con la utlima tapa de rosquete tapar. Colocar sobre una orla.</t>
  </si>
  <si>
    <t>SE00002</t>
  </si>
  <si>
    <t>SE00386</t>
  </si>
  <si>
    <t>SE00337</t>
  </si>
  <si>
    <t>MP10007</t>
  </si>
  <si>
    <t>SE00001</t>
  </si>
  <si>
    <t>SE00392</t>
  </si>
  <si>
    <t>EM10008</t>
  </si>
  <si>
    <t>EM10009</t>
  </si>
  <si>
    <t>EM10248</t>
  </si>
  <si>
    <t>EM10011</t>
  </si>
  <si>
    <t>EM10124</t>
  </si>
  <si>
    <t>EM10002</t>
  </si>
  <si>
    <t xml:space="preserve">5.- Colocar la torta en el domo, etiquetar con nombre e ingredientes, fecha juliana, fecha de vencimiento, </t>
  </si>
  <si>
    <t>0410151</t>
  </si>
  <si>
    <t>RELLENO FUDGE KILO</t>
  </si>
  <si>
    <t>1112431</t>
  </si>
  <si>
    <t>MANJAR LECHE CONDENSADA (PAQ: 4.5 K)</t>
  </si>
  <si>
    <t xml:space="preserve">CHOCOLATE RALLADO OSCURO </t>
  </si>
  <si>
    <t>MP10011</t>
  </si>
  <si>
    <t>STICK DORADO (CAJA:100 UND)</t>
  </si>
  <si>
    <t>Decoracion</t>
  </si>
  <si>
    <t>Javier Tong, Chef</t>
  </si>
  <si>
    <t>AREA QUE PRODUCE:</t>
  </si>
  <si>
    <t>Decoración</t>
  </si>
  <si>
    <t xml:space="preserve">AREA QUE EMPACA: </t>
  </si>
  <si>
    <t># Código Netsuite</t>
  </si>
  <si>
    <t>2UND</t>
  </si>
  <si>
    <t>1 TAZA</t>
  </si>
  <si>
    <t>1/2 TAZA</t>
  </si>
  <si>
    <t>CONEXU</t>
  </si>
  <si>
    <t>NESTLE</t>
  </si>
  <si>
    <t>CHOCOLATE SOLUTIONS</t>
  </si>
  <si>
    <t>RAPIBOX</t>
  </si>
  <si>
    <t>MAYCA</t>
  </si>
  <si>
    <t>ETIPLAST</t>
  </si>
  <si>
    <t>ETIQ.BLANCA 1 1/4 * 3/4</t>
  </si>
  <si>
    <t>CONTROL DE CAMBIOS</t>
  </si>
  <si>
    <t>ESP-RE-DES-003</t>
  </si>
  <si>
    <t>COLOCHO</t>
  </si>
  <si>
    <t>1 CUCHARRADITA</t>
  </si>
  <si>
    <t>1/4 TAZA</t>
  </si>
  <si>
    <t>ROSQUETE CHOCOLATE DAWN 480g</t>
  </si>
  <si>
    <t xml:space="preserve">2, Se actualizan datos receta y pesos finales. </t>
  </si>
  <si>
    <t>(Peso crudo total 854g)</t>
  </si>
  <si>
    <t>02</t>
  </si>
  <si>
    <t>Torta Chocolate Grande(1950g) Spoon 34010(PTL00102)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</si>
</sst>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0.000"/>
    <numFmt numFmtId="166" formatCode="0.0"/>
    <numFmt numFmtId="167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b/>
      <sz val="10"/>
      <color indexed="8"/>
      <name val="Century Gothic"/>
      <family val="2"/>
    </font>
    <font>
      <b/>
      <sz val="12"/>
      <color indexed="8"/>
      <name val="Times New Roman"/>
      <family val="1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</cellStyleXfs>
  <cellXfs count="189">
    <xf numFmtId="0" fontId="0" fillId="0" borderId="0" xfId="0"/>
    <xf numFmtId="0" fontId="4" fillId="2" borderId="1" xfId="1" applyFont="1" applyFill="1" applyBorder="1" applyAlignment="1">
      <alignment horizontal="right"/>
    </xf>
    <xf numFmtId="0" fontId="2" fillId="2" borderId="2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right"/>
    </xf>
    <xf numFmtId="49" fontId="2" fillId="2" borderId="5" xfId="1" applyNumberFormat="1" applyFont="1" applyFill="1" applyBorder="1" applyAlignment="1">
      <alignment horizontal="center"/>
    </xf>
    <xf numFmtId="0" fontId="2" fillId="2" borderId="9" xfId="1" applyFont="1" applyFill="1" applyBorder="1" applyAlignment="1">
      <alignment horizontal="right"/>
    </xf>
    <xf numFmtId="0" fontId="2" fillId="2" borderId="4" xfId="1" applyFont="1" applyFill="1" applyBorder="1" applyAlignment="1">
      <alignment horizontal="right"/>
    </xf>
    <xf numFmtId="49" fontId="9" fillId="0" borderId="20" xfId="4" applyNumberFormat="1" applyFont="1" applyBorder="1" applyAlignment="1">
      <alignment horizontal="center"/>
    </xf>
    <xf numFmtId="0" fontId="9" fillId="0" borderId="4" xfId="4" applyFont="1" applyBorder="1" applyAlignment="1">
      <alignment horizontal="center"/>
    </xf>
    <xf numFmtId="1" fontId="9" fillId="0" borderId="4" xfId="4" applyNumberFormat="1" applyFont="1" applyBorder="1" applyAlignment="1">
      <alignment horizontal="center"/>
    </xf>
    <xf numFmtId="1" fontId="9" fillId="0" borderId="4" xfId="4" applyNumberFormat="1" applyFont="1" applyBorder="1" applyAlignment="1">
      <alignment horizontal="center" wrapText="1"/>
    </xf>
    <xf numFmtId="12" fontId="9" fillId="0" borderId="4" xfId="4" applyNumberFormat="1" applyFont="1" applyBorder="1" applyAlignment="1">
      <alignment horizontal="center"/>
    </xf>
    <xf numFmtId="49" fontId="9" fillId="0" borderId="17" xfId="4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1" xfId="0" applyBorder="1" applyAlignment="1">
      <alignment horizontal="left" vertical="center"/>
    </xf>
    <xf numFmtId="14" fontId="15" fillId="2" borderId="0" xfId="10" applyNumberFormat="1" applyFont="1" applyFill="1" applyAlignment="1">
      <alignment horizontal="center" vertical="center" wrapText="1"/>
    </xf>
    <xf numFmtId="0" fontId="4" fillId="4" borderId="2" xfId="4" applyFont="1" applyFill="1" applyBorder="1" applyAlignment="1">
      <alignment horizontal="center" vertical="center" wrapText="1"/>
    </xf>
    <xf numFmtId="1" fontId="4" fillId="4" borderId="32" xfId="4" applyNumberFormat="1" applyFont="1" applyFill="1" applyBorder="1" applyAlignment="1">
      <alignment horizontal="center"/>
    </xf>
    <xf numFmtId="1" fontId="4" fillId="4" borderId="32" xfId="4" applyNumberFormat="1" applyFont="1" applyFill="1" applyBorder="1" applyAlignment="1">
      <alignment horizontal="center" wrapText="1"/>
    </xf>
    <xf numFmtId="0" fontId="4" fillId="4" borderId="37" xfId="4" applyFont="1" applyFill="1" applyBorder="1" applyAlignment="1">
      <alignment horizontal="center"/>
    </xf>
    <xf numFmtId="0" fontId="11" fillId="0" borderId="20" xfId="4" applyFont="1" applyBorder="1" applyAlignment="1">
      <alignment horizontal="center" vertical="center"/>
    </xf>
    <xf numFmtId="0" fontId="11" fillId="0" borderId="17" xfId="4" applyFont="1" applyBorder="1" applyAlignment="1">
      <alignment horizontal="center" vertical="center"/>
    </xf>
    <xf numFmtId="0" fontId="16" fillId="0" borderId="4" xfId="4" applyFont="1" applyBorder="1" applyAlignment="1">
      <alignment vertical="center"/>
    </xf>
    <xf numFmtId="0" fontId="11" fillId="0" borderId="4" xfId="4" applyFont="1" applyBorder="1" applyAlignment="1">
      <alignment horizontal="center" vertical="center"/>
    </xf>
    <xf numFmtId="1" fontId="11" fillId="0" borderId="4" xfId="4" applyNumberFormat="1" applyFont="1" applyBorder="1" applyAlignment="1">
      <alignment horizontal="center"/>
    </xf>
    <xf numFmtId="1" fontId="11" fillId="0" borderId="4" xfId="4" applyNumberFormat="1" applyFont="1" applyBorder="1" applyAlignment="1">
      <alignment horizontal="center" wrapText="1"/>
    </xf>
    <xf numFmtId="0" fontId="9" fillId="0" borderId="5" xfId="4" applyFont="1" applyBorder="1" applyAlignment="1">
      <alignment horizontal="center"/>
    </xf>
    <xf numFmtId="49" fontId="2" fillId="0" borderId="4" xfId="0" applyNumberFormat="1" applyFont="1" applyBorder="1"/>
    <xf numFmtId="0" fontId="9" fillId="0" borderId="9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12" fontId="2" fillId="0" borderId="9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5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wrapText="1"/>
    </xf>
    <xf numFmtId="0" fontId="17" fillId="0" borderId="4" xfId="0" applyFont="1" applyBorder="1" applyAlignment="1">
      <alignment horizontal="center"/>
    </xf>
    <xf numFmtId="0" fontId="17" fillId="5" borderId="4" xfId="0" applyFont="1" applyFill="1" applyBorder="1"/>
    <xf numFmtId="0" fontId="17" fillId="5" borderId="0" xfId="0" applyFont="1" applyFill="1" applyAlignment="1">
      <alignment horizontal="center"/>
    </xf>
    <xf numFmtId="0" fontId="17" fillId="5" borderId="0" xfId="0" applyFont="1" applyFill="1"/>
    <xf numFmtId="0" fontId="4" fillId="5" borderId="4" xfId="0" applyFont="1" applyFill="1" applyBorder="1" applyAlignment="1">
      <alignment horizontal="left"/>
    </xf>
    <xf numFmtId="0" fontId="18" fillId="6" borderId="4" xfId="0" applyFont="1" applyFill="1" applyBorder="1" applyAlignment="1">
      <alignment horizontal="center"/>
    </xf>
    <xf numFmtId="0" fontId="19" fillId="6" borderId="4" xfId="0" applyFont="1" applyFill="1" applyBorder="1" applyAlignment="1">
      <alignment vertical="center"/>
    </xf>
    <xf numFmtId="0" fontId="2" fillId="6" borderId="4" xfId="0" applyFont="1" applyFill="1" applyBorder="1" applyAlignment="1">
      <alignment horizontal="center"/>
    </xf>
    <xf numFmtId="1" fontId="4" fillId="6" borderId="4" xfId="0" applyNumberFormat="1" applyFont="1" applyFill="1" applyBorder="1" applyAlignment="1">
      <alignment horizontal="center"/>
    </xf>
    <xf numFmtId="1" fontId="2" fillId="6" borderId="4" xfId="0" applyNumberFormat="1" applyFont="1" applyFill="1" applyBorder="1" applyAlignment="1">
      <alignment horizontal="center" wrapText="1"/>
    </xf>
    <xf numFmtId="2" fontId="11" fillId="0" borderId="4" xfId="4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16" fontId="10" fillId="0" borderId="17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 wrapText="1"/>
    </xf>
    <xf numFmtId="0" fontId="8" fillId="6" borderId="4" xfId="4" applyFont="1" applyFill="1" applyBorder="1" applyAlignment="1">
      <alignment horizontal="left"/>
    </xf>
    <xf numFmtId="166" fontId="9" fillId="0" borderId="4" xfId="4" applyNumberFormat="1" applyFont="1" applyBorder="1" applyAlignment="1">
      <alignment horizontal="center"/>
    </xf>
    <xf numFmtId="16" fontId="2" fillId="0" borderId="4" xfId="0" applyNumberFormat="1" applyFont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1" fontId="2" fillId="0" borderId="4" xfId="0" applyNumberFormat="1" applyFont="1" applyBorder="1" applyAlignment="1">
      <alignment horizontal="center" wrapText="1"/>
    </xf>
    <xf numFmtId="1" fontId="2" fillId="6" borderId="4" xfId="0" applyNumberFormat="1" applyFont="1" applyFill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 wrapText="1"/>
    </xf>
    <xf numFmtId="16" fontId="2" fillId="6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49" fontId="11" fillId="0" borderId="30" xfId="4" applyNumberFormat="1" applyFont="1" applyBorder="1" applyAlignment="1">
      <alignment horizontal="center"/>
    </xf>
    <xf numFmtId="49" fontId="11" fillId="0" borderId="16" xfId="4" applyNumberFormat="1" applyFont="1" applyBorder="1" applyAlignment="1">
      <alignment horizontal="center"/>
    </xf>
    <xf numFmtId="0" fontId="20" fillId="6" borderId="4" xfId="4" applyFont="1" applyFill="1" applyBorder="1" applyAlignment="1">
      <alignment vertical="center"/>
    </xf>
    <xf numFmtId="0" fontId="11" fillId="0" borderId="17" xfId="4" applyFont="1" applyBorder="1" applyAlignment="1">
      <alignment horizontal="center"/>
    </xf>
    <xf numFmtId="166" fontId="11" fillId="0" borderId="4" xfId="4" applyNumberFormat="1" applyFont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1" fontId="2" fillId="6" borderId="9" xfId="0" applyNumberFormat="1" applyFont="1" applyFill="1" applyBorder="1" applyAlignment="1">
      <alignment horizontal="center"/>
    </xf>
    <xf numFmtId="1" fontId="2" fillId="6" borderId="9" xfId="0" applyNumberFormat="1" applyFont="1" applyFill="1" applyBorder="1" applyAlignment="1">
      <alignment horizontal="center" wrapText="1"/>
    </xf>
    <xf numFmtId="167" fontId="4" fillId="6" borderId="4" xfId="9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9" fillId="0" borderId="17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/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0" fontId="21" fillId="6" borderId="0" xfId="0" applyFont="1" applyFill="1" applyAlignment="1">
      <alignment horizontal="center"/>
    </xf>
    <xf numFmtId="0" fontId="7" fillId="6" borderId="4" xfId="0" applyFont="1" applyFill="1" applyBorder="1"/>
    <xf numFmtId="0" fontId="7" fillId="6" borderId="4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 wrapText="1"/>
    </xf>
    <xf numFmtId="49" fontId="7" fillId="0" borderId="4" xfId="4" applyNumberFormat="1" applyFont="1" applyBorder="1"/>
    <xf numFmtId="1" fontId="10" fillId="0" borderId="4" xfId="4" applyNumberFormat="1" applyFont="1" applyBorder="1" applyAlignment="1">
      <alignment horizontal="center"/>
    </xf>
    <xf numFmtId="0" fontId="10" fillId="0" borderId="4" xfId="4" applyFont="1" applyBorder="1" applyAlignment="1">
      <alignment horizontal="center"/>
    </xf>
    <xf numFmtId="49" fontId="12" fillId="2" borderId="6" xfId="4" applyNumberFormat="1" applyFont="1" applyFill="1" applyBorder="1" applyAlignment="1">
      <alignment horizontal="center" vertical="center"/>
    </xf>
    <xf numFmtId="49" fontId="12" fillId="2" borderId="0" xfId="4" applyNumberFormat="1" applyFont="1" applyFill="1" applyAlignment="1">
      <alignment horizontal="center" vertical="center"/>
    </xf>
    <xf numFmtId="0" fontId="2" fillId="2" borderId="0" xfId="4" applyFont="1" applyFill="1"/>
    <xf numFmtId="1" fontId="2" fillId="2" borderId="0" xfId="4" applyNumberFormat="1" applyFont="1" applyFill="1" applyAlignment="1">
      <alignment horizontal="center"/>
    </xf>
    <xf numFmtId="165" fontId="2" fillId="2" borderId="0" xfId="4" applyNumberFormat="1" applyFont="1" applyFill="1" applyAlignment="1">
      <alignment horizontal="center" wrapText="1"/>
    </xf>
    <xf numFmtId="0" fontId="2" fillId="2" borderId="45" xfId="4" applyFont="1" applyFill="1" applyBorder="1" applyAlignment="1">
      <alignment horizontal="center"/>
    </xf>
    <xf numFmtId="0" fontId="2" fillId="4" borderId="23" xfId="4" applyFont="1" applyFill="1" applyBorder="1" applyAlignment="1">
      <alignment horizontal="center"/>
    </xf>
    <xf numFmtId="0" fontId="2" fillId="4" borderId="24" xfId="4" applyFont="1" applyFill="1" applyBorder="1" applyAlignment="1">
      <alignment horizontal="center"/>
    </xf>
    <xf numFmtId="0" fontId="2" fillId="4" borderId="24" xfId="4" applyFont="1" applyFill="1" applyBorder="1"/>
    <xf numFmtId="0" fontId="4" fillId="4" borderId="24" xfId="4" applyFont="1" applyFill="1" applyBorder="1" applyAlignment="1">
      <alignment horizontal="center"/>
    </xf>
    <xf numFmtId="1" fontId="4" fillId="4" borderId="24" xfId="4" applyNumberFormat="1" applyFont="1" applyFill="1" applyBorder="1" applyAlignment="1">
      <alignment horizontal="center"/>
    </xf>
    <xf numFmtId="165" fontId="2" fillId="4" borderId="24" xfId="4" applyNumberFormat="1" applyFont="1" applyFill="1" applyBorder="1" applyAlignment="1">
      <alignment horizontal="center" wrapText="1"/>
    </xf>
    <xf numFmtId="0" fontId="2" fillId="4" borderId="25" xfId="4" applyFont="1" applyFill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2" fillId="0" borderId="32" xfId="0" applyNumberFormat="1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11" fillId="0" borderId="30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21" xfId="0" applyFont="1" applyBorder="1" applyAlignment="1">
      <alignment horizontal="left"/>
    </xf>
    <xf numFmtId="0" fontId="4" fillId="7" borderId="47" xfId="1" applyFont="1" applyFill="1" applyBorder="1" applyAlignment="1">
      <alignment horizontal="center"/>
    </xf>
    <xf numFmtId="0" fontId="4" fillId="7" borderId="43" xfId="1" applyFont="1" applyFill="1" applyBorder="1" applyAlignment="1">
      <alignment horizontal="center"/>
    </xf>
    <xf numFmtId="0" fontId="2" fillId="2" borderId="15" xfId="1" applyFont="1" applyFill="1" applyBorder="1" applyAlignment="1">
      <alignment horizontal="left"/>
    </xf>
    <xf numFmtId="0" fontId="2" fillId="2" borderId="16" xfId="1" applyFont="1" applyFill="1" applyBorder="1" applyAlignment="1">
      <alignment horizontal="left"/>
    </xf>
    <xf numFmtId="0" fontId="2" fillId="2" borderId="17" xfId="1" applyFont="1" applyFill="1" applyBorder="1" applyAlignment="1">
      <alignment horizontal="left"/>
    </xf>
    <xf numFmtId="0" fontId="2" fillId="2" borderId="48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35" xfId="2" applyFont="1" applyBorder="1" applyAlignment="1">
      <alignment horizontal="left"/>
    </xf>
    <xf numFmtId="0" fontId="2" fillId="0" borderId="27" xfId="2" applyFont="1" applyBorder="1" applyAlignment="1">
      <alignment horizontal="left"/>
    </xf>
    <xf numFmtId="0" fontId="2" fillId="0" borderId="9" xfId="2" applyFont="1" applyBorder="1" applyAlignment="1">
      <alignment horizontal="left"/>
    </xf>
    <xf numFmtId="0" fontId="2" fillId="0" borderId="36" xfId="2" applyFont="1" applyBorder="1" applyAlignment="1">
      <alignment horizontal="left"/>
    </xf>
    <xf numFmtId="0" fontId="2" fillId="0" borderId="35" xfId="2" applyFont="1" applyBorder="1" applyAlignment="1">
      <alignment horizontal="left" wrapText="1"/>
    </xf>
    <xf numFmtId="0" fontId="2" fillId="0" borderId="27" xfId="2" applyFont="1" applyBorder="1" applyAlignment="1">
      <alignment horizontal="left" wrapText="1"/>
    </xf>
    <xf numFmtId="0" fontId="2" fillId="0" borderId="9" xfId="2" applyFont="1" applyBorder="1" applyAlignment="1">
      <alignment horizontal="left" wrapText="1"/>
    </xf>
    <xf numFmtId="0" fontId="2" fillId="0" borderId="36" xfId="2" applyFont="1" applyBorder="1" applyAlignment="1">
      <alignment horizontal="left" wrapText="1"/>
    </xf>
    <xf numFmtId="0" fontId="2" fillId="0" borderId="30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46" xfId="0" applyFont="1" applyBorder="1" applyAlignment="1">
      <alignment horizontal="left"/>
    </xf>
    <xf numFmtId="0" fontId="2" fillId="0" borderId="44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4" fillId="0" borderId="30" xfId="4" applyFont="1" applyBorder="1" applyAlignment="1">
      <alignment horizontal="right"/>
    </xf>
    <xf numFmtId="0" fontId="4" fillId="0" borderId="16" xfId="4" applyFont="1" applyBorder="1" applyAlignment="1">
      <alignment horizontal="right"/>
    </xf>
    <xf numFmtId="0" fontId="4" fillId="0" borderId="17" xfId="4" applyFont="1" applyBorder="1" applyAlignment="1">
      <alignment horizontal="right"/>
    </xf>
    <xf numFmtId="0" fontId="2" fillId="0" borderId="4" xfId="4" applyFont="1" applyBorder="1" applyAlignment="1">
      <alignment horizontal="right"/>
    </xf>
    <xf numFmtId="165" fontId="2" fillId="0" borderId="15" xfId="4" applyNumberFormat="1" applyFont="1" applyBorder="1" applyAlignment="1">
      <alignment horizontal="center"/>
    </xf>
    <xf numFmtId="165" fontId="2" fillId="0" borderId="21" xfId="4" applyNumberFormat="1" applyFont="1" applyBorder="1" applyAlignment="1">
      <alignment horizontal="center"/>
    </xf>
    <xf numFmtId="165" fontId="2" fillId="0" borderId="15" xfId="4" applyNumberFormat="1" applyFont="1" applyBorder="1" applyAlignment="1">
      <alignment horizontal="right" wrapText="1"/>
    </xf>
    <xf numFmtId="165" fontId="2" fillId="0" borderId="17" xfId="4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center" wrapText="1"/>
    </xf>
    <xf numFmtId="165" fontId="2" fillId="0" borderId="21" xfId="0" applyNumberFormat="1" applyFont="1" applyBorder="1" applyAlignment="1">
      <alignment horizontal="center" wrapText="1"/>
    </xf>
    <xf numFmtId="0" fontId="4" fillId="0" borderId="31" xfId="4" applyFont="1" applyBorder="1" applyAlignment="1">
      <alignment horizontal="right"/>
    </xf>
    <xf numFmtId="0" fontId="4" fillId="0" borderId="39" xfId="4" applyFont="1" applyBorder="1" applyAlignment="1">
      <alignment horizontal="right"/>
    </xf>
    <xf numFmtId="0" fontId="4" fillId="0" borderId="32" xfId="4" applyFont="1" applyBorder="1" applyAlignment="1">
      <alignment horizontal="right"/>
    </xf>
    <xf numFmtId="0" fontId="2" fillId="0" borderId="32" xfId="4" applyFont="1" applyBorder="1" applyAlignment="1">
      <alignment horizontal="right"/>
    </xf>
    <xf numFmtId="0" fontId="4" fillId="4" borderId="23" xfId="4" applyFont="1" applyFill="1" applyBorder="1" applyAlignment="1">
      <alignment horizontal="left"/>
    </xf>
    <xf numFmtId="0" fontId="4" fillId="4" borderId="24" xfId="4" applyFont="1" applyFill="1" applyBorder="1" applyAlignment="1">
      <alignment horizontal="left"/>
    </xf>
    <xf numFmtId="0" fontId="4" fillId="4" borderId="25" xfId="4" applyFont="1" applyFill="1" applyBorder="1" applyAlignment="1">
      <alignment horizontal="left"/>
    </xf>
    <xf numFmtId="0" fontId="4" fillId="0" borderId="26" xfId="4" applyFont="1" applyBorder="1" applyAlignment="1">
      <alignment horizontal="right"/>
    </xf>
    <xf numFmtId="0" fontId="4" fillId="0" borderId="38" xfId="4" applyFont="1" applyBorder="1" applyAlignment="1">
      <alignment horizontal="right"/>
    </xf>
    <xf numFmtId="0" fontId="4" fillId="0" borderId="27" xfId="4" applyFont="1" applyBorder="1" applyAlignment="1">
      <alignment horizontal="right"/>
    </xf>
    <xf numFmtId="165" fontId="2" fillId="0" borderId="9" xfId="4" applyNumberFormat="1" applyFont="1" applyBorder="1" applyAlignment="1">
      <alignment horizontal="right"/>
    </xf>
    <xf numFmtId="0" fontId="2" fillId="2" borderId="28" xfId="4" applyFont="1" applyFill="1" applyBorder="1" applyAlignment="1">
      <alignment horizontal="center"/>
    </xf>
    <xf numFmtId="0" fontId="2" fillId="2" borderId="29" xfId="4" applyFont="1" applyFill="1" applyBorder="1" applyAlignment="1">
      <alignment horizontal="center"/>
    </xf>
    <xf numFmtId="0" fontId="14" fillId="2" borderId="0" xfId="10" applyFont="1" applyFill="1" applyAlignment="1">
      <alignment horizontal="right"/>
    </xf>
    <xf numFmtId="0" fontId="15" fillId="2" borderId="22" xfId="10" applyFont="1" applyFill="1" applyBorder="1" applyAlignment="1">
      <alignment horizontal="center"/>
    </xf>
    <xf numFmtId="0" fontId="14" fillId="2" borderId="0" xfId="10" applyFont="1" applyFill="1"/>
    <xf numFmtId="0" fontId="4" fillId="4" borderId="19" xfId="4" applyFont="1" applyFill="1" applyBorder="1" applyAlignment="1">
      <alignment horizontal="center" vertical="center"/>
    </xf>
    <xf numFmtId="0" fontId="4" fillId="4" borderId="31" xfId="4" applyFont="1" applyFill="1" applyBorder="1" applyAlignment="1">
      <alignment horizontal="center" vertical="center"/>
    </xf>
    <xf numFmtId="0" fontId="4" fillId="4" borderId="19" xfId="4" applyFont="1" applyFill="1" applyBorder="1" applyAlignment="1">
      <alignment horizontal="center" vertical="center" wrapText="1"/>
    </xf>
    <xf numFmtId="0" fontId="4" fillId="4" borderId="31" xfId="4" applyFont="1" applyFill="1" applyBorder="1" applyAlignment="1">
      <alignment horizontal="center" vertical="center" wrapText="1"/>
    </xf>
    <xf numFmtId="0" fontId="4" fillId="4" borderId="1" xfId="4" applyFont="1" applyFill="1" applyBorder="1" applyAlignment="1">
      <alignment horizontal="center" vertical="center"/>
    </xf>
    <xf numFmtId="0" fontId="4" fillId="4" borderId="32" xfId="4" applyFont="1" applyFill="1" applyBorder="1" applyAlignment="1">
      <alignment horizontal="center" vertical="center"/>
    </xf>
    <xf numFmtId="14" fontId="2" fillId="2" borderId="8" xfId="1" applyNumberFormat="1" applyFont="1" applyFill="1" applyBorder="1" applyAlignment="1">
      <alignment horizontal="center" vertical="center" wrapText="1"/>
    </xf>
    <xf numFmtId="14" fontId="2" fillId="2" borderId="14" xfId="1" applyNumberFormat="1" applyFont="1" applyFill="1" applyBorder="1" applyAlignment="1">
      <alignment horizontal="center" vertical="center" wrapText="1"/>
    </xf>
    <xf numFmtId="14" fontId="2" fillId="2" borderId="36" xfId="1" applyNumberFormat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42" xfId="1" applyFont="1" applyFill="1" applyBorder="1" applyAlignment="1">
      <alignment horizontal="center"/>
    </xf>
    <xf numFmtId="0" fontId="2" fillId="2" borderId="43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6" xfId="1" applyFont="1" applyFill="1" applyBorder="1" applyAlignment="1">
      <alignment horizontal="center"/>
    </xf>
    <xf numFmtId="0" fontId="2" fillId="2" borderId="38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33" xfId="1" applyFont="1" applyFill="1" applyBorder="1" applyAlignment="1">
      <alignment horizontal="center"/>
    </xf>
    <xf numFmtId="0" fontId="3" fillId="2" borderId="44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5" fillId="3" borderId="23" xfId="1" applyFont="1" applyFill="1" applyBorder="1" applyAlignment="1">
      <alignment horizontal="center" vertical="center" wrapText="1"/>
    </xf>
    <xf numFmtId="0" fontId="5" fillId="3" borderId="24" xfId="1" applyFont="1" applyFill="1" applyBorder="1" applyAlignment="1">
      <alignment horizontal="center" vertical="center" wrapText="1"/>
    </xf>
    <xf numFmtId="0" fontId="5" fillId="3" borderId="25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right" vertical="top" wrapText="1"/>
    </xf>
    <xf numFmtId="0" fontId="4" fillId="2" borderId="13" xfId="1" applyFont="1" applyFill="1" applyBorder="1" applyAlignment="1">
      <alignment horizontal="right" vertical="top" wrapText="1"/>
    </xf>
    <xf numFmtId="0" fontId="4" fillId="2" borderId="18" xfId="1" applyFont="1" applyFill="1" applyBorder="1" applyAlignment="1">
      <alignment horizontal="right" vertical="top" wrapText="1"/>
    </xf>
  </cellXfs>
  <cellStyles count="11">
    <cellStyle name="Millares" xfId="9" builtinId="3"/>
    <cellStyle name="Millares [0] 2" xfId="5" xr:uid="{75807614-DDB8-4EA3-89D7-50CB8235BEB5}"/>
    <cellStyle name="Millares [0] 2 2" xfId="7" xr:uid="{541A5FB1-F4B4-487B-A8A1-97266A51AB06}"/>
    <cellStyle name="Millares [0] 2 3" xfId="8" xr:uid="{5BD37CF0-618D-4B50-B1F0-92AE0794B2FD}"/>
    <cellStyle name="Normal" xfId="0" builtinId="0"/>
    <cellStyle name="Normal 2" xfId="4" xr:uid="{00000000-0005-0000-0000-000001000000}"/>
    <cellStyle name="Normal 3" xfId="6" xr:uid="{A4325E04-28D6-4724-824F-9F07C7828A71}"/>
    <cellStyle name="Normal 3 2" xfId="2" xr:uid="{00000000-0005-0000-0000-000002000000}"/>
    <cellStyle name="Normal_CRITERIOS DE EVALUACION PT DE GB" xfId="1" xr:uid="{00000000-0005-0000-0000-000003000000}"/>
    <cellStyle name="Normal_CRITERIOS DE EVALUACION PT DE GB 2" xfId="10" xr:uid="{84EB1422-CE30-4A2E-873A-99C48CF250D8}"/>
    <cellStyle name="Porcentaje 2 2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E37E-412E-4861-9470-E0868C1D5BB4}">
  <dimension ref="A1:I61"/>
  <sheetViews>
    <sheetView tabSelected="1" view="pageBreakPreview" zoomScale="60" zoomScaleNormal="85" workbookViewId="0">
      <selection activeCell="C3" sqref="C3:G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173"/>
      <c r="B1" s="174"/>
      <c r="C1" s="179" t="s">
        <v>0</v>
      </c>
      <c r="D1" s="179"/>
      <c r="E1" s="179"/>
      <c r="F1" s="179"/>
      <c r="G1" s="179"/>
      <c r="H1" s="1" t="s">
        <v>1</v>
      </c>
      <c r="I1" s="2" t="s">
        <v>90</v>
      </c>
    </row>
    <row r="2" spans="1:9" ht="18" customHeight="1" thickBot="1" x14ac:dyDescent="0.3">
      <c r="A2" s="175"/>
      <c r="B2" s="176"/>
      <c r="C2" s="180" t="s">
        <v>2</v>
      </c>
      <c r="D2" s="181"/>
      <c r="E2" s="181"/>
      <c r="F2" s="181"/>
      <c r="G2" s="182"/>
      <c r="H2" s="3" t="s">
        <v>3</v>
      </c>
      <c r="I2" s="4" t="s">
        <v>97</v>
      </c>
    </row>
    <row r="3" spans="1:9" ht="31.5" customHeight="1" thickBot="1" x14ac:dyDescent="0.3">
      <c r="A3" s="175"/>
      <c r="B3" s="176"/>
      <c r="C3" s="183" t="s">
        <v>98</v>
      </c>
      <c r="D3" s="184"/>
      <c r="E3" s="184"/>
      <c r="F3" s="184"/>
      <c r="G3" s="185"/>
      <c r="H3" s="186" t="s">
        <v>4</v>
      </c>
      <c r="I3" s="167">
        <v>45613</v>
      </c>
    </row>
    <row r="4" spans="1:9" ht="18" customHeight="1" x14ac:dyDescent="0.25">
      <c r="A4" s="175"/>
      <c r="B4" s="176"/>
      <c r="C4" s="5" t="s">
        <v>5</v>
      </c>
      <c r="D4" s="170" t="s">
        <v>74</v>
      </c>
      <c r="E4" s="171"/>
      <c r="F4" s="171"/>
      <c r="G4" s="172"/>
      <c r="H4" s="187"/>
      <c r="I4" s="168"/>
    </row>
    <row r="5" spans="1:9" ht="15.75" thickBot="1" x14ac:dyDescent="0.3">
      <c r="A5" s="177"/>
      <c r="B5" s="178"/>
      <c r="C5" s="6" t="s">
        <v>6</v>
      </c>
      <c r="D5" s="116" t="s">
        <v>7</v>
      </c>
      <c r="E5" s="117"/>
      <c r="F5" s="117"/>
      <c r="G5" s="118"/>
      <c r="H5" s="188"/>
      <c r="I5" s="169"/>
    </row>
    <row r="6" spans="1:9" ht="18.75" thickBot="1" x14ac:dyDescent="0.3">
      <c r="A6" s="158" t="s">
        <v>75</v>
      </c>
      <c r="B6" s="158"/>
      <c r="C6" s="158"/>
      <c r="D6" s="159" t="s">
        <v>76</v>
      </c>
      <c r="E6" s="159"/>
      <c r="F6" s="159"/>
      <c r="G6" s="160" t="s">
        <v>77</v>
      </c>
      <c r="H6" s="160"/>
      <c r="I6" s="17" t="s">
        <v>73</v>
      </c>
    </row>
    <row r="7" spans="1:9" ht="25.5" x14ac:dyDescent="0.25">
      <c r="A7" s="161" t="s">
        <v>8</v>
      </c>
      <c r="B7" s="163" t="s">
        <v>78</v>
      </c>
      <c r="C7" s="165" t="s">
        <v>9</v>
      </c>
      <c r="D7" s="165" t="s">
        <v>10</v>
      </c>
      <c r="E7" s="165" t="s">
        <v>11</v>
      </c>
      <c r="F7" s="165"/>
      <c r="G7" s="165" t="s">
        <v>12</v>
      </c>
      <c r="H7" s="165"/>
      <c r="I7" s="18" t="s">
        <v>13</v>
      </c>
    </row>
    <row r="8" spans="1:9" ht="27" thickBot="1" x14ac:dyDescent="0.3">
      <c r="A8" s="162"/>
      <c r="B8" s="164"/>
      <c r="C8" s="166"/>
      <c r="D8" s="166"/>
      <c r="E8" s="19" t="s">
        <v>14</v>
      </c>
      <c r="F8" s="20" t="s">
        <v>15</v>
      </c>
      <c r="G8" s="19" t="s">
        <v>14</v>
      </c>
      <c r="H8" s="20" t="s">
        <v>15</v>
      </c>
      <c r="I8" s="21" t="s">
        <v>16</v>
      </c>
    </row>
    <row r="9" spans="1:9" x14ac:dyDescent="0.25">
      <c r="A9" s="22"/>
      <c r="B9" s="23"/>
      <c r="C9" s="24" t="s">
        <v>17</v>
      </c>
      <c r="D9" s="25"/>
      <c r="E9" s="26"/>
      <c r="F9" s="27"/>
      <c r="G9" s="26"/>
      <c r="H9" s="27"/>
      <c r="I9" s="28"/>
    </row>
    <row r="10" spans="1:9" ht="18" customHeight="1" x14ac:dyDescent="0.25">
      <c r="A10" s="53" t="s">
        <v>49</v>
      </c>
      <c r="B10" s="52" t="s">
        <v>53</v>
      </c>
      <c r="C10" s="29" t="s">
        <v>94</v>
      </c>
      <c r="D10" s="30" t="s">
        <v>20</v>
      </c>
      <c r="E10" s="31">
        <v>854</v>
      </c>
      <c r="F10" s="32" t="s">
        <v>18</v>
      </c>
      <c r="G10" s="33"/>
      <c r="H10" s="34" t="s">
        <v>79</v>
      </c>
      <c r="I10" s="28"/>
    </row>
    <row r="11" spans="1:9" x14ac:dyDescent="0.25">
      <c r="A11" s="53"/>
      <c r="B11" s="52"/>
      <c r="C11" s="29" t="s">
        <v>96</v>
      </c>
      <c r="D11" s="30"/>
      <c r="E11" s="31"/>
      <c r="F11" s="32"/>
      <c r="G11" s="33"/>
      <c r="H11" s="34"/>
      <c r="I11" s="28"/>
    </row>
    <row r="12" spans="1:9" x14ac:dyDescent="0.25">
      <c r="A12" s="35">
        <v>90100365</v>
      </c>
      <c r="B12" s="35" t="s">
        <v>54</v>
      </c>
      <c r="C12" s="36" t="s">
        <v>51</v>
      </c>
      <c r="D12" s="37" t="s">
        <v>20</v>
      </c>
      <c r="E12" s="35">
        <v>270</v>
      </c>
      <c r="F12" s="33" t="s">
        <v>18</v>
      </c>
      <c r="G12" s="35"/>
      <c r="H12" s="34" t="s">
        <v>80</v>
      </c>
      <c r="I12" s="28"/>
    </row>
    <row r="13" spans="1:9" x14ac:dyDescent="0.25">
      <c r="A13" s="38">
        <v>20100163</v>
      </c>
      <c r="B13" s="38" t="s">
        <v>55</v>
      </c>
      <c r="C13" s="39" t="s">
        <v>50</v>
      </c>
      <c r="D13" s="35" t="s">
        <v>20</v>
      </c>
      <c r="E13" s="35">
        <v>135</v>
      </c>
      <c r="F13" s="40" t="s">
        <v>18</v>
      </c>
      <c r="G13" s="35"/>
      <c r="H13" s="34" t="s">
        <v>81</v>
      </c>
      <c r="I13" s="28"/>
    </row>
    <row r="14" spans="1:9" x14ac:dyDescent="0.25">
      <c r="A14" s="41">
        <v>90100365</v>
      </c>
      <c r="B14" s="38" t="s">
        <v>54</v>
      </c>
      <c r="C14" s="42" t="s">
        <v>51</v>
      </c>
      <c r="D14" s="35" t="s">
        <v>20</v>
      </c>
      <c r="E14" s="35">
        <v>300</v>
      </c>
      <c r="F14" s="40" t="s">
        <v>18</v>
      </c>
      <c r="G14" s="35"/>
      <c r="H14" s="34" t="s">
        <v>80</v>
      </c>
      <c r="I14" s="28"/>
    </row>
    <row r="15" spans="1:9" x14ac:dyDescent="0.25">
      <c r="A15" s="43"/>
      <c r="B15" s="38"/>
      <c r="C15" s="44"/>
      <c r="D15" s="35"/>
      <c r="E15" s="35"/>
      <c r="F15" s="40"/>
      <c r="G15" s="35"/>
      <c r="H15" s="34"/>
      <c r="I15" s="28"/>
    </row>
    <row r="16" spans="1:9" x14ac:dyDescent="0.25">
      <c r="A16" s="35"/>
      <c r="B16" s="35"/>
      <c r="C16" s="45"/>
      <c r="D16" s="37"/>
      <c r="E16" s="37"/>
      <c r="F16" s="33"/>
      <c r="G16" s="35"/>
      <c r="H16" s="34"/>
      <c r="I16" s="28"/>
    </row>
    <row r="17" spans="1:9" x14ac:dyDescent="0.25">
      <c r="A17" s="38"/>
      <c r="B17" s="38"/>
      <c r="C17" s="39"/>
      <c r="D17" s="35"/>
      <c r="E17" s="35"/>
      <c r="F17" s="40"/>
      <c r="G17" s="35"/>
      <c r="H17" s="34"/>
      <c r="I17" s="28"/>
    </row>
    <row r="18" spans="1:9" x14ac:dyDescent="0.25">
      <c r="A18" s="41"/>
      <c r="B18" s="38"/>
      <c r="C18" s="42"/>
      <c r="D18" s="35"/>
      <c r="E18" s="35"/>
      <c r="F18" s="40"/>
      <c r="G18" s="35"/>
      <c r="H18" s="34"/>
      <c r="I18" s="28"/>
    </row>
    <row r="19" spans="1:9" x14ac:dyDescent="0.25">
      <c r="A19" s="43"/>
      <c r="B19" s="38"/>
      <c r="C19" s="44"/>
      <c r="D19" s="35"/>
      <c r="E19" s="35"/>
      <c r="F19" s="40"/>
      <c r="G19" s="35"/>
      <c r="H19" s="34"/>
      <c r="I19" s="28"/>
    </row>
    <row r="20" spans="1:9" x14ac:dyDescent="0.25">
      <c r="A20" s="46"/>
      <c r="B20" s="46"/>
      <c r="C20" s="47"/>
      <c r="D20" s="48"/>
      <c r="E20" s="49"/>
      <c r="F20" s="50"/>
      <c r="G20" s="51"/>
      <c r="H20" s="34"/>
      <c r="I20" s="28"/>
    </row>
    <row r="21" spans="1:9" ht="15.75" x14ac:dyDescent="0.25">
      <c r="A21" s="52"/>
      <c r="B21" s="52"/>
      <c r="C21" s="53"/>
      <c r="D21" s="54"/>
      <c r="E21" s="55"/>
      <c r="F21" s="56"/>
      <c r="G21" s="51"/>
      <c r="H21" s="34"/>
      <c r="I21" s="28"/>
    </row>
    <row r="22" spans="1:9" ht="15.75" x14ac:dyDescent="0.25">
      <c r="A22" s="52"/>
      <c r="B22" s="52"/>
      <c r="C22" s="53"/>
      <c r="D22" s="54"/>
      <c r="E22" s="55"/>
      <c r="F22" s="56"/>
      <c r="G22" s="26"/>
      <c r="H22" s="34"/>
      <c r="I22" s="28"/>
    </row>
    <row r="23" spans="1:9" ht="15.75" x14ac:dyDescent="0.25">
      <c r="A23" s="7"/>
      <c r="B23" s="12"/>
      <c r="C23" s="57" t="s">
        <v>76</v>
      </c>
      <c r="D23" s="8"/>
      <c r="E23" s="58"/>
      <c r="F23" s="10"/>
      <c r="G23" s="26"/>
      <c r="H23" s="27"/>
      <c r="I23" s="28"/>
    </row>
    <row r="24" spans="1:9" x14ac:dyDescent="0.25">
      <c r="A24" s="52" t="s">
        <v>66</v>
      </c>
      <c r="B24" s="52" t="s">
        <v>55</v>
      </c>
      <c r="C24" s="53" t="s">
        <v>67</v>
      </c>
      <c r="D24" s="59" t="s">
        <v>82</v>
      </c>
      <c r="E24" s="60">
        <v>360</v>
      </c>
      <c r="F24" s="61" t="s">
        <v>18</v>
      </c>
      <c r="G24" s="26"/>
      <c r="H24" s="27"/>
      <c r="I24" s="28"/>
    </row>
    <row r="25" spans="1:9" x14ac:dyDescent="0.25">
      <c r="A25" s="52" t="s">
        <v>66</v>
      </c>
      <c r="B25" s="52" t="s">
        <v>55</v>
      </c>
      <c r="C25" s="53" t="s">
        <v>67</v>
      </c>
      <c r="D25" s="59" t="s">
        <v>82</v>
      </c>
      <c r="E25" s="62">
        <v>65</v>
      </c>
      <c r="F25" s="61" t="s">
        <v>18</v>
      </c>
      <c r="G25" s="26"/>
      <c r="H25" s="27" t="s">
        <v>91</v>
      </c>
      <c r="I25" s="28"/>
    </row>
    <row r="26" spans="1:9" x14ac:dyDescent="0.25">
      <c r="A26" s="14" t="s">
        <v>68</v>
      </c>
      <c r="B26" s="15" t="s">
        <v>56</v>
      </c>
      <c r="C26" s="16" t="s">
        <v>69</v>
      </c>
      <c r="D26" s="59" t="s">
        <v>83</v>
      </c>
      <c r="E26" s="63">
        <v>45</v>
      </c>
      <c r="F26" s="61" t="s">
        <v>18</v>
      </c>
      <c r="G26" s="26"/>
      <c r="H26" s="27" t="s">
        <v>91</v>
      </c>
      <c r="I26" s="28"/>
    </row>
    <row r="27" spans="1:9" x14ac:dyDescent="0.25">
      <c r="A27" s="52">
        <v>908000032</v>
      </c>
      <c r="B27" s="52" t="s">
        <v>57</v>
      </c>
      <c r="C27" s="53" t="s">
        <v>19</v>
      </c>
      <c r="D27" s="59" t="s">
        <v>20</v>
      </c>
      <c r="E27" s="63">
        <v>60</v>
      </c>
      <c r="F27" s="61" t="s">
        <v>18</v>
      </c>
      <c r="G27" s="26"/>
      <c r="H27" s="27" t="s">
        <v>93</v>
      </c>
      <c r="I27" s="28"/>
    </row>
    <row r="28" spans="1:9" x14ac:dyDescent="0.25">
      <c r="A28" s="52">
        <v>902000149</v>
      </c>
      <c r="B28" s="52" t="s">
        <v>58</v>
      </c>
      <c r="C28" s="53" t="s">
        <v>70</v>
      </c>
      <c r="D28" s="59" t="s">
        <v>20</v>
      </c>
      <c r="E28" s="64">
        <v>5</v>
      </c>
      <c r="F28" s="65" t="s">
        <v>18</v>
      </c>
      <c r="G28" s="26"/>
      <c r="H28" s="27" t="s">
        <v>92</v>
      </c>
      <c r="I28" s="28"/>
    </row>
    <row r="29" spans="1:9" x14ac:dyDescent="0.25">
      <c r="A29" s="13">
        <v>10700013</v>
      </c>
      <c r="B29" s="13" t="s">
        <v>71</v>
      </c>
      <c r="C29" t="s">
        <v>72</v>
      </c>
      <c r="D29" s="66" t="s">
        <v>84</v>
      </c>
      <c r="E29" s="67">
        <v>1</v>
      </c>
      <c r="F29" s="65" t="s">
        <v>21</v>
      </c>
      <c r="G29" s="26"/>
      <c r="H29" s="27"/>
      <c r="I29" s="28"/>
    </row>
    <row r="30" spans="1:9" x14ac:dyDescent="0.25">
      <c r="A30" s="52"/>
      <c r="B30" s="52"/>
      <c r="C30" s="53"/>
      <c r="D30" s="59"/>
      <c r="E30" s="64"/>
      <c r="F30" s="65"/>
      <c r="G30" s="26"/>
      <c r="H30" s="27"/>
      <c r="I30" s="28"/>
    </row>
    <row r="31" spans="1:9" x14ac:dyDescent="0.25">
      <c r="A31" s="52"/>
      <c r="B31" s="52"/>
      <c r="C31" s="53"/>
      <c r="D31" s="59"/>
      <c r="E31" s="63"/>
      <c r="F31" s="61"/>
      <c r="G31" s="26"/>
      <c r="H31" s="27"/>
      <c r="I31" s="28"/>
    </row>
    <row r="32" spans="1:9" ht="15.75" x14ac:dyDescent="0.25">
      <c r="A32" s="68"/>
      <c r="B32" s="69"/>
      <c r="C32" s="70" t="s">
        <v>22</v>
      </c>
      <c r="D32" s="71"/>
      <c r="E32" s="72"/>
      <c r="F32" s="27"/>
      <c r="G32" s="26"/>
      <c r="I32" s="28"/>
    </row>
    <row r="33" spans="1:9" x14ac:dyDescent="0.25">
      <c r="A33" s="13" t="s">
        <v>23</v>
      </c>
      <c r="B33" s="13" t="s">
        <v>59</v>
      </c>
      <c r="C33" t="s">
        <v>24</v>
      </c>
      <c r="D33" s="73" t="s">
        <v>85</v>
      </c>
      <c r="E33" s="74">
        <v>1</v>
      </c>
      <c r="F33" s="75" t="s">
        <v>21</v>
      </c>
      <c r="G33" s="76"/>
      <c r="H33" s="27"/>
      <c r="I33" s="28"/>
    </row>
    <row r="34" spans="1:9" x14ac:dyDescent="0.25">
      <c r="A34" s="77" t="s">
        <v>25</v>
      </c>
      <c r="B34" s="77" t="s">
        <v>60</v>
      </c>
      <c r="C34" s="78" t="s">
        <v>26</v>
      </c>
      <c r="D34" s="79" t="s">
        <v>86</v>
      </c>
      <c r="E34" s="31">
        <v>1</v>
      </c>
      <c r="F34" s="80" t="s">
        <v>21</v>
      </c>
      <c r="G34" s="76"/>
      <c r="H34" s="27"/>
      <c r="I34" s="28"/>
    </row>
    <row r="35" spans="1:9" x14ac:dyDescent="0.25">
      <c r="A35" s="81" t="s">
        <v>27</v>
      </c>
      <c r="B35" s="82" t="s">
        <v>61</v>
      </c>
      <c r="C35" s="83" t="s">
        <v>28</v>
      </c>
      <c r="D35" s="79" t="s">
        <v>87</v>
      </c>
      <c r="E35" s="31">
        <v>60</v>
      </c>
      <c r="F35" s="80" t="s">
        <v>29</v>
      </c>
      <c r="G35" s="76"/>
      <c r="H35" s="27"/>
      <c r="I35" s="28"/>
    </row>
    <row r="36" spans="1:9" x14ac:dyDescent="0.25">
      <c r="A36" s="77" t="s">
        <v>30</v>
      </c>
      <c r="B36" s="77" t="s">
        <v>62</v>
      </c>
      <c r="C36" s="78" t="s">
        <v>31</v>
      </c>
      <c r="D36" s="84" t="s">
        <v>87</v>
      </c>
      <c r="E36" s="85">
        <v>1</v>
      </c>
      <c r="F36" s="80" t="s">
        <v>21</v>
      </c>
      <c r="G36" s="26"/>
      <c r="H36" s="27"/>
      <c r="I36" s="28"/>
    </row>
    <row r="37" spans="1:9" x14ac:dyDescent="0.25">
      <c r="A37" s="77" t="s">
        <v>32</v>
      </c>
      <c r="B37" s="77" t="s">
        <v>63</v>
      </c>
      <c r="C37" s="78" t="s">
        <v>33</v>
      </c>
      <c r="D37" s="31" t="s">
        <v>87</v>
      </c>
      <c r="E37" s="31">
        <v>1</v>
      </c>
      <c r="F37" s="80" t="s">
        <v>21</v>
      </c>
      <c r="G37" s="26"/>
      <c r="H37" s="27"/>
      <c r="I37" s="28"/>
    </row>
    <row r="38" spans="1:9" x14ac:dyDescent="0.25">
      <c r="A38" s="77">
        <v>702069</v>
      </c>
      <c r="B38" s="77" t="s">
        <v>64</v>
      </c>
      <c r="C38" s="78" t="s">
        <v>88</v>
      </c>
      <c r="D38" s="31" t="s">
        <v>87</v>
      </c>
      <c r="E38" s="31">
        <v>1</v>
      </c>
      <c r="F38" s="80" t="s">
        <v>21</v>
      </c>
      <c r="G38" s="11"/>
      <c r="H38" s="27"/>
      <c r="I38" s="28"/>
    </row>
    <row r="39" spans="1:9" ht="15.75" x14ac:dyDescent="0.25">
      <c r="A39" s="86"/>
      <c r="B39" s="87"/>
      <c r="C39" s="88"/>
      <c r="D39" s="89"/>
      <c r="E39" s="89"/>
      <c r="F39" s="90"/>
      <c r="G39" s="9"/>
      <c r="H39" s="27"/>
      <c r="I39" s="28"/>
    </row>
    <row r="40" spans="1:9" ht="15.75" x14ac:dyDescent="0.25">
      <c r="A40" s="7"/>
      <c r="B40" s="12"/>
      <c r="C40" s="91"/>
      <c r="D40" s="31"/>
      <c r="E40" s="9"/>
      <c r="F40" s="10"/>
      <c r="G40" s="92"/>
      <c r="H40" s="27" t="str">
        <f t="shared" ref="H40" si="0">UPPER(D40)</f>
        <v/>
      </c>
      <c r="I40" s="28"/>
    </row>
    <row r="41" spans="1:9" ht="15.75" x14ac:dyDescent="0.25">
      <c r="A41" s="7"/>
      <c r="B41" s="12"/>
      <c r="C41" s="91"/>
      <c r="D41" s="8"/>
      <c r="E41" s="8"/>
      <c r="F41" s="10"/>
      <c r="G41" s="93"/>
      <c r="H41" s="93"/>
      <c r="I41" s="28"/>
    </row>
    <row r="42" spans="1:9" ht="15.75" thickBot="1" x14ac:dyDescent="0.3">
      <c r="A42" s="94"/>
      <c r="B42" s="95"/>
      <c r="C42" s="96"/>
      <c r="D42" s="96"/>
      <c r="E42" s="97"/>
      <c r="F42" s="98"/>
      <c r="G42" s="96"/>
      <c r="H42" s="96"/>
      <c r="I42" s="99"/>
    </row>
    <row r="43" spans="1:9" ht="15.75" thickBot="1" x14ac:dyDescent="0.3">
      <c r="A43" s="100"/>
      <c r="B43" s="101"/>
      <c r="C43" s="102"/>
      <c r="D43" s="103" t="s">
        <v>14</v>
      </c>
      <c r="E43" s="104" t="s">
        <v>34</v>
      </c>
      <c r="F43" s="105"/>
      <c r="G43" s="102"/>
      <c r="H43" s="102"/>
      <c r="I43" s="106"/>
    </row>
    <row r="44" spans="1:9" x14ac:dyDescent="0.25">
      <c r="A44" s="152" t="s">
        <v>35</v>
      </c>
      <c r="B44" s="153"/>
      <c r="C44" s="154"/>
      <c r="D44" s="64">
        <v>2011</v>
      </c>
      <c r="E44" s="107" t="s">
        <v>18</v>
      </c>
      <c r="F44" s="155" t="s">
        <v>36</v>
      </c>
      <c r="G44" s="155"/>
      <c r="H44" s="156"/>
      <c r="I44" s="157"/>
    </row>
    <row r="45" spans="1:9" x14ac:dyDescent="0.25">
      <c r="A45" s="135" t="s">
        <v>37</v>
      </c>
      <c r="B45" s="136"/>
      <c r="C45" s="137"/>
      <c r="D45" s="108">
        <v>5</v>
      </c>
      <c r="E45" s="35" t="s">
        <v>38</v>
      </c>
      <c r="F45" s="138" t="s">
        <v>39</v>
      </c>
      <c r="G45" s="138"/>
      <c r="H45" s="139"/>
      <c r="I45" s="140"/>
    </row>
    <row r="46" spans="1:9" x14ac:dyDescent="0.25">
      <c r="A46" s="135" t="s">
        <v>40</v>
      </c>
      <c r="B46" s="136"/>
      <c r="C46" s="137"/>
      <c r="D46" s="35">
        <v>1</v>
      </c>
      <c r="E46" s="35" t="s">
        <v>21</v>
      </c>
      <c r="F46" s="138" t="s">
        <v>41</v>
      </c>
      <c r="G46" s="138"/>
      <c r="H46" s="139"/>
      <c r="I46" s="140"/>
    </row>
    <row r="47" spans="1:9" x14ac:dyDescent="0.25">
      <c r="A47" s="135" t="s">
        <v>42</v>
      </c>
      <c r="B47" s="136"/>
      <c r="C47" s="137"/>
      <c r="D47" s="63">
        <v>2011</v>
      </c>
      <c r="E47" s="35" t="s">
        <v>18</v>
      </c>
      <c r="F47" s="141" t="s">
        <v>43</v>
      </c>
      <c r="G47" s="142"/>
      <c r="H47" s="143"/>
      <c r="I47" s="144"/>
    </row>
    <row r="48" spans="1:9" ht="15.75" thickBot="1" x14ac:dyDescent="0.3">
      <c r="A48" s="145" t="s">
        <v>44</v>
      </c>
      <c r="B48" s="146"/>
      <c r="C48" s="147"/>
      <c r="D48" s="109">
        <f>SUM(E10:E29)-D44</f>
        <v>84</v>
      </c>
      <c r="E48" s="110" t="s">
        <v>18</v>
      </c>
      <c r="F48" s="148"/>
      <c r="G48" s="148"/>
      <c r="H48" s="139"/>
      <c r="I48" s="140"/>
    </row>
    <row r="49" spans="1:9" ht="15.75" thickBot="1" x14ac:dyDescent="0.3">
      <c r="A49" s="149" t="s">
        <v>45</v>
      </c>
      <c r="B49" s="150"/>
      <c r="C49" s="150"/>
      <c r="D49" s="150"/>
      <c r="E49" s="150"/>
      <c r="F49" s="150"/>
      <c r="G49" s="150"/>
      <c r="H49" s="150"/>
      <c r="I49" s="151"/>
    </row>
    <row r="50" spans="1:9" ht="18.600000000000001" customHeight="1" x14ac:dyDescent="0.25">
      <c r="A50" s="121" t="s">
        <v>46</v>
      </c>
      <c r="B50" s="122"/>
      <c r="C50" s="123"/>
      <c r="D50" s="123"/>
      <c r="E50" s="123"/>
      <c r="F50" s="123"/>
      <c r="G50" s="123"/>
      <c r="H50" s="123"/>
      <c r="I50" s="124"/>
    </row>
    <row r="51" spans="1:9" ht="14.45" customHeight="1" x14ac:dyDescent="0.25">
      <c r="A51" s="121" t="s">
        <v>52</v>
      </c>
      <c r="B51" s="122"/>
      <c r="C51" s="123"/>
      <c r="D51" s="123"/>
      <c r="E51" s="123"/>
      <c r="F51" s="123"/>
      <c r="G51" s="123"/>
      <c r="H51" s="123"/>
      <c r="I51" s="124"/>
    </row>
    <row r="52" spans="1:9" ht="14.45" customHeight="1" x14ac:dyDescent="0.25">
      <c r="A52" s="121" t="s">
        <v>47</v>
      </c>
      <c r="B52" s="122"/>
      <c r="C52" s="123"/>
      <c r="D52" s="123"/>
      <c r="E52" s="123"/>
      <c r="F52" s="123"/>
      <c r="G52" s="123"/>
      <c r="H52" s="123"/>
      <c r="I52" s="124"/>
    </row>
    <row r="53" spans="1:9" ht="14.45" customHeight="1" x14ac:dyDescent="0.25">
      <c r="A53" s="125" t="s">
        <v>48</v>
      </c>
      <c r="B53" s="126"/>
      <c r="C53" s="127"/>
      <c r="D53" s="127"/>
      <c r="E53" s="127"/>
      <c r="F53" s="127"/>
      <c r="G53" s="127"/>
      <c r="H53" s="127"/>
      <c r="I53" s="128"/>
    </row>
    <row r="54" spans="1:9" ht="14.45" customHeight="1" x14ac:dyDescent="0.25">
      <c r="A54" s="121" t="s">
        <v>65</v>
      </c>
      <c r="B54" s="122"/>
      <c r="C54" s="123"/>
      <c r="D54" s="123"/>
      <c r="E54" s="123"/>
      <c r="F54" s="123"/>
      <c r="G54" s="123"/>
      <c r="H54" s="123"/>
      <c r="I54" s="124"/>
    </row>
    <row r="55" spans="1:9" ht="14.45" customHeight="1" x14ac:dyDescent="0.25">
      <c r="A55" s="129"/>
      <c r="B55" s="130"/>
      <c r="C55" s="130"/>
      <c r="D55" s="130"/>
      <c r="E55" s="130"/>
      <c r="F55" s="130"/>
      <c r="G55" s="130"/>
      <c r="H55" s="130"/>
      <c r="I55" s="131"/>
    </row>
    <row r="56" spans="1:9" ht="18" customHeight="1" x14ac:dyDescent="0.25">
      <c r="A56" s="129"/>
      <c r="B56" s="130"/>
      <c r="C56" s="130"/>
      <c r="D56" s="130"/>
      <c r="E56" s="130"/>
      <c r="F56" s="130"/>
      <c r="G56" s="130"/>
      <c r="H56" s="130"/>
      <c r="I56" s="131"/>
    </row>
    <row r="57" spans="1:9" ht="15.75" thickBot="1" x14ac:dyDescent="0.3">
      <c r="A57" s="132"/>
      <c r="B57" s="133"/>
      <c r="C57" s="133"/>
      <c r="D57" s="133"/>
      <c r="E57" s="133"/>
      <c r="F57" s="133"/>
      <c r="G57" s="133"/>
      <c r="H57" s="133"/>
      <c r="I57" s="134"/>
    </row>
    <row r="58" spans="1:9" ht="15.75" thickBot="1" x14ac:dyDescent="0.3">
      <c r="A58" s="111"/>
      <c r="B58" s="112"/>
      <c r="C58" s="112"/>
      <c r="D58" s="112"/>
      <c r="E58" s="112"/>
      <c r="F58" s="112"/>
      <c r="G58" s="112"/>
      <c r="H58" s="112"/>
      <c r="I58" s="113"/>
    </row>
    <row r="59" spans="1:9" x14ac:dyDescent="0.25">
      <c r="A59" s="114" t="s">
        <v>89</v>
      </c>
      <c r="B59" s="115"/>
      <c r="C59" s="115"/>
      <c r="D59" s="115"/>
      <c r="E59" s="115"/>
      <c r="F59" s="115"/>
      <c r="G59" s="115"/>
      <c r="H59" s="115"/>
      <c r="I59" s="115"/>
    </row>
    <row r="60" spans="1:9" x14ac:dyDescent="0.25">
      <c r="A60" s="116" t="s">
        <v>95</v>
      </c>
      <c r="B60" s="117"/>
      <c r="C60" s="117"/>
      <c r="D60" s="117"/>
      <c r="E60" s="117"/>
      <c r="F60" s="117"/>
      <c r="G60" s="117"/>
      <c r="H60" s="117"/>
      <c r="I60" s="118"/>
    </row>
    <row r="61" spans="1:9" x14ac:dyDescent="0.25">
      <c r="A61" s="119"/>
      <c r="B61" s="120"/>
      <c r="C61" s="120"/>
      <c r="D61" s="120"/>
      <c r="E61" s="120"/>
      <c r="F61" s="120"/>
      <c r="G61" s="120"/>
      <c r="H61" s="120"/>
      <c r="I61" s="12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8:I58"/>
    <mergeCell ref="A59:I59"/>
    <mergeCell ref="A60:I60"/>
    <mergeCell ref="A61:I61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4FAACB-87EF-4729-9463-04CE825FD2C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C15335D-54BA-4AF6-8A43-ADB05BD99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F2A35C-A9C3-4649-B9E1-2F23CFB3D1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2025-03-25T22:19:07Z</cp:lastPrinted>
  <dcterms:created xsi:type="dcterms:W3CDTF">2021-06-10T18:09:47Z</dcterms:created>
  <dcterms:modified xsi:type="dcterms:W3CDTF">2025-03-25T22:19:09Z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759000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
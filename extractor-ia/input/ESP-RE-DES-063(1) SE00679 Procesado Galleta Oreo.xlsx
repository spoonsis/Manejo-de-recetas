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2" documentId="8_{EA111764-062B-4716-AB70-5CB14B3D4A49}" xr6:coauthVersionLast="47" xr6:coauthVersionMax="47" xr10:uidLastSave="{1BEAB791-A2BF-4BEA-BCD9-8BD862966243}"/>
  <bookViews>
    <workbookView xWindow="-120" yWindow="-120" windowWidth="29040" windowHeight="15840" tabRatio="582" xr2:uid="{FE23BBB5-8365-461E-A8C4-3D22555C9874}"/>
  </bookViews>
  <sheets>
    <sheet name="Hoja1" sheetId="18" r:id="rId1"/>
    <sheet name="Hoja2" sheetId="19" state="hidden" r:id="rId2"/>
  </sheets>
  <definedNames>
    <definedName name="_xlnm.Print_Area" localSheetId="0">Hoja1!$A$1:$I$60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8" l="1"/>
  <c r="M11" i="18" l="1"/>
  <c r="K32" i="18"/>
  <c r="J32" i="18"/>
  <c r="E10" i="18"/>
  <c r="K38" i="18"/>
  <c r="D48" i="18"/>
</calcChain>
</file>

<file path=xl/sharedStrings.xml><?xml version="1.0" encoding="utf-8"?>
<sst xmlns="http://schemas.openxmlformats.org/spreadsheetml/2006/main" count="132" uniqueCount="60">
  <si>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</si>
  <si>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</si>
  <si>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</si>
  <si>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</si>
  <si>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</si>
  <si>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</si>
  <si>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</si>
  <si>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</si>
  <si>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</si>
  <si>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</si>
  <si>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</si>
  <si>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</si>
  <si>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</si>
  <si>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</si>
  <si>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</si>
  <si>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</si>
  <si>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</si>
  <si>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</si>
  <si>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</si>
  <si>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</si>
  <si>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</si>
  <si>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</si>
  <si>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</si>
  <si>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</si>
  <si>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</si>
  <si>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</si>
  <si>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</si>
  <si>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</t>
  </si>
  <si>
    <t>CONTROL DE CAMBIOS</t>
  </si>
  <si>
    <t>Esteban Cartin, Gte Manufactura</t>
  </si>
  <si>
    <t>AREA QUE PRODUCE:</t>
  </si>
  <si>
    <t xml:space="preserve">AREA QUE EMPACA: </t>
  </si>
  <si>
    <t># Código Netsuite</t>
  </si>
  <si>
    <t>Ensamble</t>
  </si>
  <si>
    <t>Decoración</t>
  </si>
  <si>
    <t>Empaque</t>
  </si>
  <si>
    <t>PESO DE CADA PORCIÓN</t>
  </si>
  <si>
    <t xml:space="preserve">Decoración </t>
  </si>
  <si>
    <t>Tanda</t>
  </si>
  <si>
    <t xml:space="preserve">Procesado Galleta Oreo </t>
  </si>
  <si>
    <t>Mariela Barrantes Sánchez</t>
  </si>
  <si>
    <t>MP10617</t>
  </si>
  <si>
    <t>Galleta Oreo Entera 1/12 UD</t>
  </si>
  <si>
    <t>EM10011</t>
  </si>
  <si>
    <t>ETIQUETA BLANCA 2 5/8X1 15/16 (UND)</t>
  </si>
  <si>
    <t>CEMUSA</t>
  </si>
  <si>
    <t>ud</t>
  </si>
  <si>
    <t>EM10004</t>
  </si>
  <si>
    <t>ETIQ.FECHA VENCIMIENTO BLANCO (ROLLO)</t>
  </si>
  <si>
    <t>EM10013</t>
  </si>
  <si>
    <t>Bolsa 17X25 Transparente</t>
  </si>
  <si>
    <t>1, Abrir los paquete de galleta oreo y colocar en la procesadora</t>
  </si>
  <si>
    <t>2, Una vez molida la galleta, guardarla en una bolsa 17*25 transparante</t>
  </si>
  <si>
    <t xml:space="preserve">3, Sellar y etiquetar con fecha de vencimiento y lote. </t>
  </si>
  <si>
    <t>120 unidades</t>
  </si>
  <si>
    <t xml:space="preserve">12 unidades x tubo </t>
  </si>
  <si>
    <t>120 und</t>
  </si>
  <si>
    <t>ESP-RE-DES-063</t>
  </si>
  <si>
    <t>1</t>
  </si>
  <si>
    <t xml:space="preserve"> SE00679 Procesado Galleta Oreo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</si>
</sst>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7">
    <xf numFmtId="0" fontId="0" fillId="0" borderId="0"/>
    <xf numFmtId="165" fontId="2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" fillId="0" borderId="0"/>
    <xf numFmtId="9" fontId="12" fillId="0" borderId="0" applyFont="0" applyFill="0" applyBorder="0" applyAlignment="0" applyProtection="0"/>
    <xf numFmtId="0" fontId="3" fillId="0" borderId="0"/>
    <xf numFmtId="0" fontId="9" fillId="0" borderId="0"/>
    <xf numFmtId="0" fontId="13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43" fontId="2" fillId="0" borderId="0" applyFont="0" applyFill="0" applyBorder="0" applyAlignment="0" applyProtection="0"/>
  </cellStyleXfs>
  <cellXfs count="329">
    <xf numFmtId="0" fontId="0" fillId="0" borderId="0" xfId="0"/>
    <xf numFmtId="0" fontId="6" fillId="2" borderId="4" xfId="4" applyFont="1" applyFill="1" applyBorder="1" applyAlignment="1">
      <alignment horizontal="right"/>
    </xf>
    <xf numFmtId="0" fontId="6" fillId="2" borderId="5" xfId="4" applyFont="1" applyFill="1" applyBorder="1" applyAlignment="1">
      <alignment horizontal="right"/>
    </xf>
    <xf numFmtId="0" fontId="5" fillId="2" borderId="6" xfId="4" applyFont="1" applyFill="1" applyBorder="1" applyAlignment="1">
      <alignment horizontal="right"/>
    </xf>
    <xf numFmtId="0" fontId="5" fillId="2" borderId="5" xfId="4" applyFont="1" applyFill="1" applyBorder="1" applyAlignment="1">
      <alignment horizontal="right"/>
    </xf>
    <xf numFmtId="1" fontId="5" fillId="0" borderId="6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" fontId="5" fillId="0" borderId="5" xfId="0" applyNumberFormat="1" applyFont="1" applyBorder="1" applyAlignment="1">
      <alignment horizontal="center" wrapText="1"/>
    </xf>
    <xf numFmtId="0" fontId="5" fillId="0" borderId="14" xfId="0" applyFont="1" applyBorder="1" applyAlignment="1">
      <alignment horizontal="center"/>
    </xf>
    <xf numFmtId="49" fontId="11" fillId="0" borderId="5" xfId="0" applyNumberFormat="1" applyFont="1" applyBorder="1"/>
    <xf numFmtId="1" fontId="10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 wrapText="1"/>
    </xf>
    <xf numFmtId="49" fontId="5" fillId="2" borderId="7" xfId="4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14" fontId="15" fillId="2" borderId="0" xfId="6" applyNumberFormat="1" applyFont="1" applyFill="1" applyAlignment="1">
      <alignment horizontal="center" vertical="center" wrapText="1"/>
    </xf>
    <xf numFmtId="0" fontId="6" fillId="3" borderId="1" xfId="7" applyFont="1" applyFill="1" applyBorder="1" applyAlignment="1">
      <alignment horizontal="center" vertical="center" wrapText="1"/>
    </xf>
    <xf numFmtId="1" fontId="6" fillId="3" borderId="2" xfId="7" applyNumberFormat="1" applyFont="1" applyFill="1" applyBorder="1" applyAlignment="1">
      <alignment horizontal="center"/>
    </xf>
    <xf numFmtId="1" fontId="6" fillId="3" borderId="2" xfId="7" applyNumberFormat="1" applyFont="1" applyFill="1" applyBorder="1" applyAlignment="1">
      <alignment horizontal="center" wrapText="1"/>
    </xf>
    <xf numFmtId="0" fontId="6" fillId="3" borderId="3" xfId="7" applyFont="1" applyFill="1" applyBorder="1" applyAlignment="1">
      <alignment horizontal="center"/>
    </xf>
    <xf numFmtId="0" fontId="16" fillId="0" borderId="8" xfId="7" applyFont="1" applyBorder="1" applyAlignment="1">
      <alignment horizontal="center" vertical="center"/>
    </xf>
    <xf numFmtId="0" fontId="16" fillId="0" borderId="17" xfId="7" applyFont="1" applyBorder="1" applyAlignment="1">
      <alignment horizontal="center" vertical="center"/>
    </xf>
    <xf numFmtId="0" fontId="17" fillId="0" borderId="5" xfId="7" applyFont="1" applyBorder="1" applyAlignment="1">
      <alignment vertical="center"/>
    </xf>
    <xf numFmtId="0" fontId="16" fillId="0" borderId="5" xfId="7" applyFont="1" applyBorder="1" applyAlignment="1">
      <alignment horizontal="center" vertical="center"/>
    </xf>
    <xf numFmtId="1" fontId="16" fillId="0" borderId="5" xfId="7" applyNumberFormat="1" applyFont="1" applyBorder="1" applyAlignment="1">
      <alignment horizontal="center"/>
    </xf>
    <xf numFmtId="1" fontId="16" fillId="0" borderId="5" xfId="7" applyNumberFormat="1" applyFont="1" applyBorder="1" applyAlignment="1">
      <alignment horizontal="center" wrapText="1"/>
    </xf>
    <xf numFmtId="0" fontId="10" fillId="0" borderId="7" xfId="7" applyFont="1" applyBorder="1" applyAlignment="1">
      <alignment horizontal="center"/>
    </xf>
    <xf numFmtId="49" fontId="18" fillId="5" borderId="5" xfId="7" applyNumberFormat="1" applyFont="1" applyFill="1" applyBorder="1" applyAlignment="1">
      <alignment horizontal="center"/>
    </xf>
    <xf numFmtId="16" fontId="11" fillId="0" borderId="5" xfId="7" applyNumberFormat="1" applyFont="1" applyBorder="1" applyAlignment="1">
      <alignment horizontal="center"/>
    </xf>
    <xf numFmtId="1" fontId="11" fillId="0" borderId="5" xfId="7" applyNumberFormat="1" applyFont="1" applyBorder="1" applyAlignment="1">
      <alignment horizontal="center"/>
    </xf>
    <xf numFmtId="1" fontId="11" fillId="0" borderId="5" xfId="7" applyNumberFormat="1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12" fontId="5" fillId="0" borderId="6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5" borderId="5" xfId="0" applyFill="1" applyBorder="1"/>
    <xf numFmtId="16" fontId="10" fillId="2" borderId="5" xfId="0" applyNumberFormat="1" applyFont="1" applyFill="1" applyBorder="1" applyAlignment="1">
      <alignment horizontal="center"/>
    </xf>
    <xf numFmtId="1" fontId="19" fillId="2" borderId="5" xfId="0" applyNumberFormat="1" applyFont="1" applyFill="1" applyBorder="1" applyAlignment="1">
      <alignment horizontal="center"/>
    </xf>
    <xf numFmtId="1" fontId="10" fillId="2" borderId="5" xfId="0" applyNumberFormat="1" applyFont="1" applyFill="1" applyBorder="1" applyAlignment="1">
      <alignment horizontal="center" wrapText="1"/>
    </xf>
    <xf numFmtId="0" fontId="9" fillId="0" borderId="8" xfId="0" quotePrefix="1" applyFont="1" applyBorder="1" applyAlignment="1">
      <alignment horizontal="center"/>
    </xf>
    <xf numFmtId="0" fontId="9" fillId="0" borderId="17" xfId="0" quotePrefix="1" applyFont="1" applyBorder="1" applyAlignment="1">
      <alignment horizontal="center"/>
    </xf>
    <xf numFmtId="0" fontId="9" fillId="0" borderId="5" xfId="0" quotePrefix="1" applyFont="1" applyBorder="1"/>
    <xf numFmtId="0" fontId="19" fillId="0" borderId="5" xfId="0" applyFont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0" borderId="17" xfId="0" quotePrefix="1" applyBorder="1" applyAlignment="1">
      <alignment horizontal="center"/>
    </xf>
    <xf numFmtId="0" fontId="0" fillId="0" borderId="5" xfId="0" applyBorder="1" applyAlignment="1">
      <alignment horizontal="center"/>
    </xf>
    <xf numFmtId="1" fontId="10" fillId="0" borderId="5" xfId="7" applyNumberFormat="1" applyFont="1" applyBorder="1" applyAlignment="1">
      <alignment horizontal="center"/>
    </xf>
    <xf numFmtId="0" fontId="10" fillId="0" borderId="5" xfId="7" applyFont="1" applyBorder="1" applyAlignment="1">
      <alignment horizontal="center"/>
    </xf>
    <xf numFmtId="1" fontId="10" fillId="0" borderId="5" xfId="7" applyNumberFormat="1" applyFont="1" applyBorder="1" applyAlignment="1">
      <alignment horizontal="center" wrapText="1"/>
    </xf>
    <xf numFmtId="1" fontId="0" fillId="0" borderId="5" xfId="0" applyNumberFormat="1" applyBorder="1"/>
    <xf numFmtId="0" fontId="0" fillId="0" borderId="5" xfId="0" applyBorder="1"/>
    <xf numFmtId="0" fontId="5" fillId="5" borderId="5" xfId="7" applyFont="1" applyFill="1" applyBorder="1" applyAlignment="1">
      <alignment horizontal="center"/>
    </xf>
    <xf numFmtId="49" fontId="10" fillId="0" borderId="8" xfId="7" applyNumberFormat="1" applyFont="1" applyBorder="1" applyAlignment="1">
      <alignment horizontal="center"/>
    </xf>
    <xf numFmtId="49" fontId="10" fillId="0" borderId="17" xfId="7" applyNumberFormat="1" applyFont="1" applyBorder="1" applyAlignment="1">
      <alignment horizontal="center"/>
    </xf>
    <xf numFmtId="0" fontId="20" fillId="5" borderId="5" xfId="7" applyFont="1" applyFill="1" applyBorder="1" applyAlignment="1">
      <alignment horizontal="left"/>
    </xf>
    <xf numFmtId="167" fontId="10" fillId="0" borderId="5" xfId="7" applyNumberFormat="1" applyFont="1" applyBorder="1" applyAlignment="1">
      <alignment horizontal="center"/>
    </xf>
    <xf numFmtId="0" fontId="21" fillId="5" borderId="8" xfId="0" applyFont="1" applyFill="1" applyBorder="1" applyAlignment="1">
      <alignment horizontal="center"/>
    </xf>
    <xf numFmtId="0" fontId="21" fillId="5" borderId="29" xfId="0" applyFont="1" applyFill="1" applyBorder="1" applyAlignment="1">
      <alignment horizontal="center"/>
    </xf>
    <xf numFmtId="0" fontId="21" fillId="5" borderId="6" xfId="0" applyFont="1" applyFill="1" applyBorder="1"/>
    <xf numFmtId="0" fontId="5" fillId="5" borderId="17" xfId="0" applyFont="1" applyFill="1" applyBorder="1" applyAlignment="1">
      <alignment horizontal="center"/>
    </xf>
    <xf numFmtId="1" fontId="5" fillId="5" borderId="6" xfId="0" applyNumberFormat="1" applyFont="1" applyFill="1" applyBorder="1" applyAlignment="1">
      <alignment horizontal="center"/>
    </xf>
    <xf numFmtId="1" fontId="5" fillId="5" borderId="6" xfId="0" applyNumberFormat="1" applyFont="1" applyFill="1" applyBorder="1" applyAlignment="1">
      <alignment horizontal="center" wrapText="1"/>
    </xf>
    <xf numFmtId="49" fontId="5" fillId="5" borderId="6" xfId="0" applyNumberFormat="1" applyFont="1" applyFill="1" applyBorder="1" applyAlignment="1">
      <alignment horizontal="center"/>
    </xf>
    <xf numFmtId="1" fontId="5" fillId="5" borderId="5" xfId="7" applyNumberFormat="1" applyFont="1" applyFill="1" applyBorder="1" applyAlignment="1">
      <alignment horizontal="center"/>
    </xf>
    <xf numFmtId="1" fontId="5" fillId="5" borderId="5" xfId="7" applyNumberFormat="1" applyFont="1" applyFill="1" applyBorder="1" applyAlignment="1">
      <alignment horizontal="center" wrapText="1"/>
    </xf>
    <xf numFmtId="1" fontId="5" fillId="5" borderId="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" fontId="5" fillId="5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" fontId="5" fillId="0" borderId="6" xfId="0" applyNumberFormat="1" applyFont="1" applyBorder="1" applyAlignment="1">
      <alignment horizontal="center" wrapText="1"/>
    </xf>
    <xf numFmtId="16" fontId="5" fillId="0" borderId="5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49" fontId="16" fillId="0" borderId="23" xfId="7" applyNumberFormat="1" applyFont="1" applyBorder="1" applyAlignment="1">
      <alignment horizontal="center"/>
    </xf>
    <xf numFmtId="49" fontId="16" fillId="0" borderId="24" xfId="7" applyNumberFormat="1" applyFont="1" applyBorder="1" applyAlignment="1">
      <alignment horizontal="center"/>
    </xf>
    <xf numFmtId="0" fontId="22" fillId="5" borderId="5" xfId="7" applyFont="1" applyFill="1" applyBorder="1" applyAlignment="1">
      <alignment vertical="center"/>
    </xf>
    <xf numFmtId="0" fontId="16" fillId="0" borderId="17" xfId="7" applyFont="1" applyBorder="1" applyAlignment="1">
      <alignment horizontal="center"/>
    </xf>
    <xf numFmtId="167" fontId="16" fillId="0" borderId="5" xfId="7" applyNumberFormat="1" applyFont="1" applyBorder="1" applyAlignment="1">
      <alignment horizontal="center"/>
    </xf>
    <xf numFmtId="49" fontId="10" fillId="0" borderId="5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68" fontId="6" fillId="5" borderId="5" xfId="1" applyNumberFormat="1" applyFont="1" applyFill="1" applyBorder="1" applyAlignment="1">
      <alignment horizontal="center"/>
    </xf>
    <xf numFmtId="0" fontId="13" fillId="0" borderId="5" xfId="8" applyBorder="1" applyAlignment="1">
      <alignment horizontal="center"/>
    </xf>
    <xf numFmtId="16" fontId="10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10" fillId="0" borderId="5" xfId="7" applyNumberFormat="1" applyFont="1" applyBorder="1" applyAlignment="1">
      <alignment horizontal="center"/>
    </xf>
    <xf numFmtId="0" fontId="5" fillId="0" borderId="5" xfId="0" quotePrefix="1" applyFont="1" applyBorder="1" applyAlignment="1">
      <alignment horizontal="center"/>
    </xf>
    <xf numFmtId="0" fontId="5" fillId="0" borderId="5" xfId="0" quotePrefix="1" applyFont="1" applyBorder="1"/>
    <xf numFmtId="1" fontId="19" fillId="0" borderId="5" xfId="7" applyNumberFormat="1" applyFont="1" applyBorder="1" applyAlignment="1">
      <alignment horizontal="center"/>
    </xf>
    <xf numFmtId="49" fontId="11" fillId="0" borderId="5" xfId="7" applyNumberFormat="1" applyFont="1" applyBorder="1"/>
    <xf numFmtId="0" fontId="19" fillId="0" borderId="5" xfId="7" applyFont="1" applyBorder="1" applyAlignment="1">
      <alignment horizontal="center"/>
    </xf>
    <xf numFmtId="49" fontId="7" fillId="2" borderId="9" xfId="7" applyNumberFormat="1" applyFont="1" applyFill="1" applyBorder="1" applyAlignment="1">
      <alignment horizontal="center" vertical="center"/>
    </xf>
    <xf numFmtId="49" fontId="7" fillId="2" borderId="0" xfId="7" applyNumberFormat="1" applyFont="1" applyFill="1" applyAlignment="1">
      <alignment horizontal="center" vertical="center"/>
    </xf>
    <xf numFmtId="0" fontId="5" fillId="2" borderId="0" xfId="7" applyFont="1" applyFill="1"/>
    <xf numFmtId="1" fontId="5" fillId="2" borderId="0" xfId="7" applyNumberFormat="1" applyFont="1" applyFill="1" applyAlignment="1">
      <alignment horizontal="center"/>
    </xf>
    <xf numFmtId="166" fontId="5" fillId="2" borderId="0" xfId="7" applyNumberFormat="1" applyFont="1" applyFill="1" applyAlignment="1">
      <alignment horizontal="center" wrapText="1"/>
    </xf>
    <xf numFmtId="0" fontId="5" fillId="2" borderId="10" xfId="7" applyFont="1" applyFill="1" applyBorder="1" applyAlignment="1">
      <alignment horizontal="center"/>
    </xf>
    <xf numFmtId="0" fontId="5" fillId="3" borderId="11" xfId="7" applyFont="1" applyFill="1" applyBorder="1" applyAlignment="1">
      <alignment horizontal="center"/>
    </xf>
    <xf numFmtId="0" fontId="5" fillId="3" borderId="12" xfId="7" applyFont="1" applyFill="1" applyBorder="1" applyAlignment="1">
      <alignment horizontal="center"/>
    </xf>
    <xf numFmtId="0" fontId="5" fillId="3" borderId="12" xfId="7" applyFont="1" applyFill="1" applyBorder="1"/>
    <xf numFmtId="0" fontId="6" fillId="3" borderId="12" xfId="7" applyFont="1" applyFill="1" applyBorder="1" applyAlignment="1">
      <alignment horizontal="center"/>
    </xf>
    <xf numFmtId="1" fontId="6" fillId="3" borderId="12" xfId="7" applyNumberFormat="1" applyFont="1" applyFill="1" applyBorder="1" applyAlignment="1">
      <alignment horizontal="center"/>
    </xf>
    <xf numFmtId="166" fontId="5" fillId="3" borderId="12" xfId="7" applyNumberFormat="1" applyFont="1" applyFill="1" applyBorder="1" applyAlignment="1">
      <alignment horizontal="center" wrapText="1"/>
    </xf>
    <xf numFmtId="0" fontId="5" fillId="3" borderId="13" xfId="7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10" fillId="0" borderId="5" xfId="7" applyNumberFormat="1" applyFont="1" applyBorder="1" applyAlignment="1">
      <alignment horizontal="center"/>
    </xf>
    <xf numFmtId="16" fontId="10" fillId="0" borderId="5" xfId="7" applyNumberFormat="1" applyFont="1" applyBorder="1" applyAlignment="1">
      <alignment horizontal="center"/>
    </xf>
    <xf numFmtId="1" fontId="5" fillId="0" borderId="6" xfId="7" applyNumberFormat="1" applyFont="1" applyBorder="1" applyAlignment="1">
      <alignment horizontal="center"/>
    </xf>
    <xf numFmtId="0" fontId="5" fillId="0" borderId="6" xfId="7" applyFont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5" xfId="0" applyFont="1" applyBorder="1" applyAlignment="1">
      <alignment horizontal="center" wrapText="1"/>
    </xf>
    <xf numFmtId="0" fontId="2" fillId="0" borderId="0" xfId="9"/>
    <xf numFmtId="1" fontId="5" fillId="0" borderId="6" xfId="9" applyNumberFormat="1" applyFont="1" applyBorder="1" applyAlignment="1">
      <alignment horizontal="center"/>
    </xf>
    <xf numFmtId="0" fontId="5" fillId="0" borderId="5" xfId="9" applyFont="1" applyBorder="1" applyAlignment="1">
      <alignment horizontal="center"/>
    </xf>
    <xf numFmtId="1" fontId="5" fillId="0" borderId="5" xfId="9" applyNumberFormat="1" applyFont="1" applyBorder="1" applyAlignment="1">
      <alignment horizontal="center" wrapText="1"/>
    </xf>
    <xf numFmtId="0" fontId="5" fillId="0" borderId="14" xfId="9" applyFont="1" applyBorder="1" applyAlignment="1">
      <alignment horizontal="center"/>
    </xf>
    <xf numFmtId="49" fontId="11" fillId="0" borderId="5" xfId="9" applyNumberFormat="1" applyFont="1" applyBorder="1"/>
    <xf numFmtId="1" fontId="10" fillId="0" borderId="5" xfId="9" applyNumberFormat="1" applyFont="1" applyBorder="1" applyAlignment="1">
      <alignment horizontal="center"/>
    </xf>
    <xf numFmtId="1" fontId="10" fillId="0" borderId="5" xfId="9" applyNumberFormat="1" applyFont="1" applyBorder="1" applyAlignment="1">
      <alignment horizontal="center" wrapText="1"/>
    </xf>
    <xf numFmtId="0" fontId="6" fillId="3" borderId="1" xfId="14" applyFont="1" applyFill="1" applyBorder="1" applyAlignment="1">
      <alignment horizontal="center" vertical="center" wrapText="1"/>
    </xf>
    <xf numFmtId="1" fontId="6" fillId="3" borderId="2" xfId="14" applyNumberFormat="1" applyFont="1" applyFill="1" applyBorder="1" applyAlignment="1">
      <alignment horizontal="center"/>
    </xf>
    <xf numFmtId="1" fontId="6" fillId="3" borderId="2" xfId="14" applyNumberFormat="1" applyFont="1" applyFill="1" applyBorder="1" applyAlignment="1">
      <alignment horizontal="center" wrapText="1"/>
    </xf>
    <xf numFmtId="0" fontId="6" fillId="3" borderId="3" xfId="14" applyFont="1" applyFill="1" applyBorder="1" applyAlignment="1">
      <alignment horizontal="center"/>
    </xf>
    <xf numFmtId="0" fontId="16" fillId="0" borderId="8" xfId="14" applyFont="1" applyBorder="1" applyAlignment="1">
      <alignment horizontal="center" vertical="center"/>
    </xf>
    <xf numFmtId="0" fontId="16" fillId="0" borderId="17" xfId="14" applyFont="1" applyBorder="1" applyAlignment="1">
      <alignment horizontal="center" vertical="center"/>
    </xf>
    <xf numFmtId="0" fontId="17" fillId="0" borderId="5" xfId="14" applyFont="1" applyBorder="1" applyAlignment="1">
      <alignment vertical="center"/>
    </xf>
    <xf numFmtId="0" fontId="16" fillId="0" borderId="5" xfId="14" applyFont="1" applyBorder="1" applyAlignment="1">
      <alignment horizontal="center" vertical="center"/>
    </xf>
    <xf numFmtId="1" fontId="16" fillId="0" borderId="5" xfId="14" applyNumberFormat="1" applyFont="1" applyBorder="1" applyAlignment="1">
      <alignment horizontal="center"/>
    </xf>
    <xf numFmtId="1" fontId="16" fillId="0" borderId="5" xfId="14" applyNumberFormat="1" applyFont="1" applyBorder="1" applyAlignment="1">
      <alignment horizontal="center" wrapText="1"/>
    </xf>
    <xf numFmtId="0" fontId="10" fillId="0" borderId="7" xfId="14" applyFont="1" applyBorder="1" applyAlignment="1">
      <alignment horizontal="center"/>
    </xf>
    <xf numFmtId="49" fontId="18" fillId="5" borderId="5" xfId="14" applyNumberFormat="1" applyFont="1" applyFill="1" applyBorder="1" applyAlignment="1">
      <alignment horizontal="center"/>
    </xf>
    <xf numFmtId="16" fontId="11" fillId="0" borderId="5" xfId="14" applyNumberFormat="1" applyFont="1" applyBorder="1" applyAlignment="1">
      <alignment horizontal="center"/>
    </xf>
    <xf numFmtId="1" fontId="11" fillId="0" borderId="5" xfId="14" applyNumberFormat="1" applyFont="1" applyBorder="1" applyAlignment="1">
      <alignment horizontal="center"/>
    </xf>
    <xf numFmtId="1" fontId="11" fillId="0" borderId="5" xfId="14" applyNumberFormat="1" applyFont="1" applyBorder="1" applyAlignment="1">
      <alignment horizontal="center" wrapText="1"/>
    </xf>
    <xf numFmtId="0" fontId="5" fillId="0" borderId="6" xfId="9" applyFont="1" applyBorder="1" applyAlignment="1">
      <alignment horizontal="center" wrapText="1"/>
    </xf>
    <xf numFmtId="12" fontId="5" fillId="0" borderId="6" xfId="9" applyNumberFormat="1" applyFont="1" applyBorder="1" applyAlignment="1">
      <alignment horizontal="center"/>
    </xf>
    <xf numFmtId="0" fontId="2" fillId="0" borderId="5" xfId="9" applyBorder="1" applyAlignment="1">
      <alignment horizontal="center" vertical="top"/>
    </xf>
    <xf numFmtId="0" fontId="2" fillId="5" borderId="5" xfId="9" applyFill="1" applyBorder="1"/>
    <xf numFmtId="16" fontId="10" fillId="2" borderId="5" xfId="9" applyNumberFormat="1" applyFont="1" applyFill="1" applyBorder="1" applyAlignment="1">
      <alignment horizontal="center"/>
    </xf>
    <xf numFmtId="1" fontId="19" fillId="2" borderId="5" xfId="9" applyNumberFormat="1" applyFont="1" applyFill="1" applyBorder="1" applyAlignment="1">
      <alignment horizontal="center"/>
    </xf>
    <xf numFmtId="1" fontId="10" fillId="2" borderId="5" xfId="9" applyNumberFormat="1" applyFont="1" applyFill="1" applyBorder="1" applyAlignment="1">
      <alignment horizontal="center" wrapText="1"/>
    </xf>
    <xf numFmtId="0" fontId="2" fillId="0" borderId="8" xfId="9" quotePrefix="1" applyBorder="1" applyAlignment="1">
      <alignment horizontal="center"/>
    </xf>
    <xf numFmtId="0" fontId="2" fillId="0" borderId="17" xfId="9" quotePrefix="1" applyBorder="1" applyAlignment="1">
      <alignment horizontal="center"/>
    </xf>
    <xf numFmtId="0" fontId="2" fillId="0" borderId="5" xfId="9" quotePrefix="1" applyBorder="1"/>
    <xf numFmtId="0" fontId="19" fillId="0" borderId="5" xfId="9" applyFont="1" applyBorder="1" applyAlignment="1">
      <alignment horizontal="center"/>
    </xf>
    <xf numFmtId="0" fontId="2" fillId="0" borderId="5" xfId="9" applyBorder="1" applyAlignment="1">
      <alignment horizontal="center"/>
    </xf>
    <xf numFmtId="1" fontId="10" fillId="0" borderId="5" xfId="14" applyNumberFormat="1" applyFont="1" applyBorder="1" applyAlignment="1">
      <alignment horizontal="center"/>
    </xf>
    <xf numFmtId="0" fontId="10" fillId="0" borderId="5" xfId="14" applyFont="1" applyBorder="1" applyAlignment="1">
      <alignment horizontal="center"/>
    </xf>
    <xf numFmtId="1" fontId="10" fillId="0" borderId="5" xfId="14" applyNumberFormat="1" applyFont="1" applyBorder="1" applyAlignment="1">
      <alignment horizontal="center" wrapText="1"/>
    </xf>
    <xf numFmtId="1" fontId="2" fillId="0" borderId="5" xfId="9" applyNumberFormat="1" applyBorder="1"/>
    <xf numFmtId="0" fontId="2" fillId="0" borderId="5" xfId="9" applyBorder="1"/>
    <xf numFmtId="0" fontId="5" fillId="5" borderId="5" xfId="14" applyFont="1" applyFill="1" applyBorder="1" applyAlignment="1">
      <alignment horizontal="center"/>
    </xf>
    <xf numFmtId="49" fontId="10" fillId="0" borderId="8" xfId="14" applyNumberFormat="1" applyFont="1" applyBorder="1" applyAlignment="1">
      <alignment horizontal="center"/>
    </xf>
    <xf numFmtId="49" fontId="10" fillId="0" borderId="17" xfId="14" applyNumberFormat="1" applyFont="1" applyBorder="1" applyAlignment="1">
      <alignment horizontal="center"/>
    </xf>
    <xf numFmtId="0" fontId="20" fillId="5" borderId="5" xfId="14" applyFont="1" applyFill="1" applyBorder="1" applyAlignment="1">
      <alignment horizontal="left"/>
    </xf>
    <xf numFmtId="167" fontId="10" fillId="0" borderId="5" xfId="14" applyNumberFormat="1" applyFont="1" applyBorder="1" applyAlignment="1">
      <alignment horizontal="center"/>
    </xf>
    <xf numFmtId="0" fontId="21" fillId="5" borderId="8" xfId="9" applyFont="1" applyFill="1" applyBorder="1" applyAlignment="1">
      <alignment horizontal="center"/>
    </xf>
    <xf numFmtId="0" fontId="21" fillId="5" borderId="29" xfId="9" applyFont="1" applyFill="1" applyBorder="1" applyAlignment="1">
      <alignment horizontal="center"/>
    </xf>
    <xf numFmtId="0" fontId="21" fillId="5" borderId="6" xfId="9" applyFont="1" applyFill="1" applyBorder="1"/>
    <xf numFmtId="0" fontId="5" fillId="5" borderId="17" xfId="9" applyFont="1" applyFill="1" applyBorder="1" applyAlignment="1">
      <alignment horizontal="center"/>
    </xf>
    <xf numFmtId="1" fontId="5" fillId="5" borderId="6" xfId="9" applyNumberFormat="1" applyFont="1" applyFill="1" applyBorder="1" applyAlignment="1">
      <alignment horizontal="center"/>
    </xf>
    <xf numFmtId="1" fontId="5" fillId="5" borderId="6" xfId="9" applyNumberFormat="1" applyFont="1" applyFill="1" applyBorder="1" applyAlignment="1">
      <alignment horizontal="center" wrapText="1"/>
    </xf>
    <xf numFmtId="49" fontId="5" fillId="5" borderId="6" xfId="9" applyNumberFormat="1" applyFont="1" applyFill="1" applyBorder="1" applyAlignment="1">
      <alignment horizontal="center"/>
    </xf>
    <xf numFmtId="1" fontId="5" fillId="5" borderId="5" xfId="14" applyNumberFormat="1" applyFont="1" applyFill="1" applyBorder="1" applyAlignment="1">
      <alignment horizontal="center"/>
    </xf>
    <xf numFmtId="1" fontId="5" fillId="5" borderId="5" xfId="14" applyNumberFormat="1" applyFont="1" applyFill="1" applyBorder="1" applyAlignment="1">
      <alignment horizontal="center" wrapText="1"/>
    </xf>
    <xf numFmtId="1" fontId="5" fillId="5" borderId="5" xfId="9" applyNumberFormat="1" applyFont="1" applyFill="1" applyBorder="1" applyAlignment="1">
      <alignment horizontal="center"/>
    </xf>
    <xf numFmtId="0" fontId="2" fillId="0" borderId="0" xfId="9" applyAlignment="1">
      <alignment horizontal="center"/>
    </xf>
    <xf numFmtId="16" fontId="5" fillId="5" borderId="5" xfId="9" applyNumberFormat="1" applyFont="1" applyFill="1" applyBorder="1" applyAlignment="1">
      <alignment horizontal="center"/>
    </xf>
    <xf numFmtId="0" fontId="5" fillId="2" borderId="5" xfId="9" applyFont="1" applyFill="1" applyBorder="1" applyAlignment="1">
      <alignment horizontal="center"/>
    </xf>
    <xf numFmtId="1" fontId="5" fillId="0" borderId="6" xfId="9" applyNumberFormat="1" applyFont="1" applyBorder="1" applyAlignment="1">
      <alignment horizontal="center" wrapText="1"/>
    </xf>
    <xf numFmtId="16" fontId="5" fillId="0" borderId="5" xfId="9" applyNumberFormat="1" applyFont="1" applyBorder="1" applyAlignment="1">
      <alignment horizontal="center"/>
    </xf>
    <xf numFmtId="1" fontId="5" fillId="0" borderId="5" xfId="9" applyNumberFormat="1" applyFont="1" applyBorder="1" applyAlignment="1">
      <alignment horizontal="center"/>
    </xf>
    <xf numFmtId="49" fontId="16" fillId="0" borderId="23" xfId="14" applyNumberFormat="1" applyFont="1" applyBorder="1" applyAlignment="1">
      <alignment horizontal="center"/>
    </xf>
    <xf numFmtId="49" fontId="16" fillId="0" borderId="24" xfId="14" applyNumberFormat="1" applyFont="1" applyBorder="1" applyAlignment="1">
      <alignment horizontal="center"/>
    </xf>
    <xf numFmtId="0" fontId="22" fillId="5" borderId="5" xfId="14" applyFont="1" applyFill="1" applyBorder="1" applyAlignment="1">
      <alignment vertical="center"/>
    </xf>
    <xf numFmtId="0" fontId="16" fillId="0" borderId="17" xfId="14" applyFont="1" applyBorder="1" applyAlignment="1">
      <alignment horizontal="center"/>
    </xf>
    <xf numFmtId="167" fontId="16" fillId="0" borderId="5" xfId="14" applyNumberFormat="1" applyFont="1" applyBorder="1" applyAlignment="1">
      <alignment horizontal="center"/>
    </xf>
    <xf numFmtId="49" fontId="10" fillId="0" borderId="5" xfId="9" applyNumberFormat="1" applyFont="1" applyBorder="1" applyAlignment="1">
      <alignment horizontal="center"/>
    </xf>
    <xf numFmtId="0" fontId="10" fillId="0" borderId="5" xfId="9" applyFont="1" applyBorder="1" applyAlignment="1">
      <alignment horizontal="center"/>
    </xf>
    <xf numFmtId="168" fontId="6" fillId="5" borderId="5" xfId="10" applyNumberFormat="1" applyFont="1" applyFill="1" applyBorder="1" applyAlignment="1">
      <alignment horizontal="center"/>
    </xf>
    <xf numFmtId="0" fontId="1" fillId="0" borderId="5" xfId="15" applyBorder="1" applyAlignment="1">
      <alignment horizontal="center"/>
    </xf>
    <xf numFmtId="16" fontId="10" fillId="0" borderId="5" xfId="9" applyNumberFormat="1" applyFont="1" applyBorder="1" applyAlignment="1">
      <alignment horizontal="center"/>
    </xf>
    <xf numFmtId="0" fontId="2" fillId="0" borderId="5" xfId="9" applyBorder="1" applyAlignment="1">
      <alignment horizontal="center" vertical="center"/>
    </xf>
    <xf numFmtId="0" fontId="2" fillId="0" borderId="5" xfId="9" applyBorder="1" applyAlignment="1">
      <alignment horizontal="left" vertical="center"/>
    </xf>
    <xf numFmtId="12" fontId="10" fillId="0" borderId="5" xfId="14" applyNumberFormat="1" applyFont="1" applyBorder="1" applyAlignment="1">
      <alignment horizontal="center"/>
    </xf>
    <xf numFmtId="0" fontId="5" fillId="0" borderId="5" xfId="9" quotePrefix="1" applyFont="1" applyBorder="1" applyAlignment="1">
      <alignment horizontal="center"/>
    </xf>
    <xf numFmtId="0" fontId="5" fillId="0" borderId="5" xfId="9" quotePrefix="1" applyFont="1" applyBorder="1"/>
    <xf numFmtId="1" fontId="19" fillId="0" borderId="5" xfId="14" applyNumberFormat="1" applyFont="1" applyBorder="1" applyAlignment="1">
      <alignment horizontal="center"/>
    </xf>
    <xf numFmtId="49" fontId="11" fillId="0" borderId="5" xfId="14" applyNumberFormat="1" applyFont="1" applyBorder="1"/>
    <xf numFmtId="0" fontId="19" fillId="0" borderId="5" xfId="14" applyFont="1" applyBorder="1" applyAlignment="1">
      <alignment horizontal="center"/>
    </xf>
    <xf numFmtId="49" fontId="7" fillId="2" borderId="9" xfId="14" applyNumberFormat="1" applyFont="1" applyFill="1" applyBorder="1" applyAlignment="1">
      <alignment horizontal="center" vertical="center"/>
    </xf>
    <xf numFmtId="49" fontId="7" fillId="2" borderId="0" xfId="14" applyNumberFormat="1" applyFont="1" applyFill="1" applyAlignment="1">
      <alignment horizontal="center" vertical="center"/>
    </xf>
    <xf numFmtId="0" fontId="5" fillId="2" borderId="0" xfId="14" applyFont="1" applyFill="1"/>
    <xf numFmtId="1" fontId="5" fillId="2" borderId="0" xfId="14" applyNumberFormat="1" applyFont="1" applyFill="1" applyAlignment="1">
      <alignment horizontal="center"/>
    </xf>
    <xf numFmtId="166" fontId="5" fillId="2" borderId="0" xfId="14" applyNumberFormat="1" applyFont="1" applyFill="1" applyAlignment="1">
      <alignment horizontal="center" wrapText="1"/>
    </xf>
    <xf numFmtId="0" fontId="5" fillId="2" borderId="10" xfId="14" applyFont="1" applyFill="1" applyBorder="1" applyAlignment="1">
      <alignment horizontal="center"/>
    </xf>
    <xf numFmtId="0" fontId="5" fillId="3" borderId="11" xfId="14" applyFont="1" applyFill="1" applyBorder="1" applyAlignment="1">
      <alignment horizontal="center"/>
    </xf>
    <xf numFmtId="0" fontId="5" fillId="3" borderId="12" xfId="14" applyFont="1" applyFill="1" applyBorder="1" applyAlignment="1">
      <alignment horizontal="center"/>
    </xf>
    <xf numFmtId="0" fontId="5" fillId="3" borderId="12" xfId="14" applyFont="1" applyFill="1" applyBorder="1"/>
    <xf numFmtId="0" fontId="6" fillId="3" borderId="12" xfId="14" applyFont="1" applyFill="1" applyBorder="1" applyAlignment="1">
      <alignment horizontal="center"/>
    </xf>
    <xf numFmtId="1" fontId="6" fillId="3" borderId="12" xfId="14" applyNumberFormat="1" applyFont="1" applyFill="1" applyBorder="1" applyAlignment="1">
      <alignment horizontal="center"/>
    </xf>
    <xf numFmtId="166" fontId="5" fillId="3" borderId="12" xfId="14" applyNumberFormat="1" applyFont="1" applyFill="1" applyBorder="1" applyAlignment="1">
      <alignment horizontal="center" wrapText="1"/>
    </xf>
    <xf numFmtId="0" fontId="5" fillId="3" borderId="13" xfId="14" applyFont="1" applyFill="1" applyBorder="1" applyAlignment="1">
      <alignment horizontal="center"/>
    </xf>
    <xf numFmtId="1" fontId="5" fillId="0" borderId="2" xfId="9" applyNumberFormat="1" applyFont="1" applyBorder="1" applyAlignment="1">
      <alignment horizontal="center"/>
    </xf>
    <xf numFmtId="0" fontId="5" fillId="0" borderId="2" xfId="9" applyFont="1" applyBorder="1" applyAlignment="1">
      <alignment horizontal="center"/>
    </xf>
    <xf numFmtId="49" fontId="10" fillId="0" borderId="5" xfId="14" applyNumberFormat="1" applyFont="1" applyBorder="1" applyAlignment="1">
      <alignment horizontal="center"/>
    </xf>
    <xf numFmtId="16" fontId="10" fillId="0" borderId="5" xfId="14" applyNumberFormat="1" applyFont="1" applyBorder="1" applyAlignment="1">
      <alignment horizontal="center"/>
    </xf>
    <xf numFmtId="1" fontId="5" fillId="0" borderId="6" xfId="14" applyNumberFormat="1" applyFont="1" applyBorder="1" applyAlignment="1">
      <alignment horizontal="center"/>
    </xf>
    <xf numFmtId="0" fontId="5" fillId="0" borderId="6" xfId="14" applyFont="1" applyBorder="1" applyAlignment="1">
      <alignment horizontal="center"/>
    </xf>
    <xf numFmtId="0" fontId="2" fillId="5" borderId="5" xfId="9" applyFill="1" applyBorder="1" applyAlignment="1">
      <alignment horizontal="center"/>
    </xf>
    <xf numFmtId="0" fontId="10" fillId="0" borderId="43" xfId="9" applyFont="1" applyBorder="1" applyAlignment="1">
      <alignment horizontal="center"/>
    </xf>
    <xf numFmtId="0" fontId="10" fillId="0" borderId="5" xfId="9" applyFont="1" applyBorder="1" applyAlignment="1">
      <alignment horizontal="center" wrapText="1"/>
    </xf>
    <xf numFmtId="0" fontId="2" fillId="0" borderId="0" xfId="0" applyFont="1"/>
    <xf numFmtId="12" fontId="5" fillId="0" borderId="6" xfId="14" applyNumberFormat="1" applyFont="1" applyBorder="1" applyAlignment="1">
      <alignment horizontal="center"/>
    </xf>
    <xf numFmtId="0" fontId="6" fillId="6" borderId="41" xfId="4" applyFont="1" applyFill="1" applyBorder="1" applyAlignment="1">
      <alignment horizontal="center"/>
    </xf>
    <xf numFmtId="0" fontId="6" fillId="6" borderId="22" xfId="4" applyFont="1" applyFill="1" applyBorder="1" applyAlignment="1">
      <alignment horizontal="center"/>
    </xf>
    <xf numFmtId="0" fontId="5" fillId="2" borderId="42" xfId="4" applyFont="1" applyFill="1" applyBorder="1" applyAlignment="1">
      <alignment horizontal="left"/>
    </xf>
    <xf numFmtId="0" fontId="5" fillId="2" borderId="0" xfId="4" applyFont="1" applyFill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10" fillId="0" borderId="27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10" fillId="0" borderId="30" xfId="0" applyFont="1" applyBorder="1" applyAlignment="1">
      <alignment horizontal="left"/>
    </xf>
    <xf numFmtId="0" fontId="16" fillId="0" borderId="23" xfId="0" applyFont="1" applyBorder="1" applyAlignment="1">
      <alignment horizontal="left"/>
    </xf>
    <xf numFmtId="0" fontId="16" fillId="0" borderId="24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0" fontId="6" fillId="0" borderId="23" xfId="7" applyFont="1" applyBorder="1" applyAlignment="1">
      <alignment horizontal="right"/>
    </xf>
    <xf numFmtId="0" fontId="6" fillId="0" borderId="24" xfId="7" applyFont="1" applyBorder="1" applyAlignment="1">
      <alignment horizontal="right"/>
    </xf>
    <xf numFmtId="0" fontId="6" fillId="0" borderId="17" xfId="7" applyFont="1" applyBorder="1" applyAlignment="1">
      <alignment horizontal="right"/>
    </xf>
    <xf numFmtId="0" fontId="5" fillId="0" borderId="5" xfId="7" applyFont="1" applyBorder="1" applyAlignment="1">
      <alignment horizontal="right"/>
    </xf>
    <xf numFmtId="166" fontId="5" fillId="0" borderId="25" xfId="7" applyNumberFormat="1" applyFont="1" applyBorder="1" applyAlignment="1">
      <alignment horizontal="center"/>
    </xf>
    <xf numFmtId="166" fontId="5" fillId="0" borderId="26" xfId="7" applyNumberFormat="1" applyFont="1" applyBorder="1" applyAlignment="1">
      <alignment horizontal="center"/>
    </xf>
    <xf numFmtId="166" fontId="5" fillId="0" borderId="25" xfId="7" applyNumberFormat="1" applyFont="1" applyBorder="1" applyAlignment="1">
      <alignment horizontal="right" wrapText="1"/>
    </xf>
    <xf numFmtId="166" fontId="5" fillId="0" borderId="17" xfId="7" applyNumberFormat="1" applyFont="1" applyBorder="1" applyAlignment="1">
      <alignment horizontal="right" wrapText="1"/>
    </xf>
    <xf numFmtId="166" fontId="5" fillId="0" borderId="25" xfId="0" applyNumberFormat="1" applyFont="1" applyBorder="1" applyAlignment="1">
      <alignment horizontal="center" wrapText="1"/>
    </xf>
    <xf numFmtId="166" fontId="5" fillId="0" borderId="26" xfId="0" applyNumberFormat="1" applyFont="1" applyBorder="1" applyAlignment="1">
      <alignment horizontal="center" wrapText="1"/>
    </xf>
    <xf numFmtId="0" fontId="6" fillId="0" borderId="18" xfId="7" applyFont="1" applyBorder="1" applyAlignment="1">
      <alignment horizontal="right"/>
    </xf>
    <xf numFmtId="0" fontId="6" fillId="0" borderId="19" xfId="7" applyFont="1" applyBorder="1" applyAlignment="1">
      <alignment horizontal="right"/>
    </xf>
    <xf numFmtId="0" fontId="6" fillId="0" borderId="2" xfId="7" applyFont="1" applyBorder="1" applyAlignment="1">
      <alignment horizontal="right"/>
    </xf>
    <xf numFmtId="0" fontId="5" fillId="0" borderId="2" xfId="7" applyFont="1" applyBorder="1" applyAlignment="1">
      <alignment horizontal="right"/>
    </xf>
    <xf numFmtId="0" fontId="6" fillId="3" borderId="11" xfId="7" applyFont="1" applyFill="1" applyBorder="1" applyAlignment="1">
      <alignment horizontal="left"/>
    </xf>
    <xf numFmtId="0" fontId="6" fillId="3" borderId="12" xfId="7" applyFont="1" applyFill="1" applyBorder="1" applyAlignment="1">
      <alignment horizontal="left"/>
    </xf>
    <xf numFmtId="0" fontId="6" fillId="3" borderId="13" xfId="7" applyFont="1" applyFill="1" applyBorder="1" applyAlignment="1">
      <alignment horizontal="left"/>
    </xf>
    <xf numFmtId="0" fontId="6" fillId="0" borderId="27" xfId="7" applyFont="1" applyBorder="1" applyAlignment="1">
      <alignment horizontal="right"/>
    </xf>
    <xf numFmtId="0" fontId="6" fillId="0" borderId="28" xfId="7" applyFont="1" applyBorder="1" applyAlignment="1">
      <alignment horizontal="right"/>
    </xf>
    <xf numFmtId="0" fontId="6" fillId="0" borderId="29" xfId="7" applyFont="1" applyBorder="1" applyAlignment="1">
      <alignment horizontal="right"/>
    </xf>
    <xf numFmtId="166" fontId="5" fillId="0" borderId="6" xfId="7" applyNumberFormat="1" applyFont="1" applyBorder="1" applyAlignment="1">
      <alignment horizontal="right"/>
    </xf>
    <xf numFmtId="0" fontId="5" fillId="2" borderId="14" xfId="7" applyFont="1" applyFill="1" applyBorder="1" applyAlignment="1">
      <alignment horizontal="center"/>
    </xf>
    <xf numFmtId="0" fontId="5" fillId="2" borderId="30" xfId="7" applyFont="1" applyFill="1" applyBorder="1" applyAlignment="1">
      <alignment horizontal="center"/>
    </xf>
    <xf numFmtId="0" fontId="14" fillId="2" borderId="0" xfId="6" applyFont="1" applyFill="1" applyAlignment="1">
      <alignment horizontal="right"/>
    </xf>
    <xf numFmtId="0" fontId="15" fillId="2" borderId="31" xfId="6" applyFont="1" applyFill="1" applyBorder="1" applyAlignment="1">
      <alignment horizontal="center"/>
    </xf>
    <xf numFmtId="0" fontId="14" fillId="2" borderId="0" xfId="6" applyFont="1" applyFill="1"/>
    <xf numFmtId="0" fontId="6" fillId="3" borderId="32" xfId="7" applyFont="1" applyFill="1" applyBorder="1" applyAlignment="1">
      <alignment horizontal="center" vertical="center"/>
    </xf>
    <xf numFmtId="0" fontId="6" fillId="3" borderId="18" xfId="7" applyFont="1" applyFill="1" applyBorder="1" applyAlignment="1">
      <alignment horizontal="center" vertical="center"/>
    </xf>
    <xf numFmtId="0" fontId="6" fillId="3" borderId="32" xfId="7" applyFont="1" applyFill="1" applyBorder="1" applyAlignment="1">
      <alignment horizontal="center" vertical="center" wrapText="1"/>
    </xf>
    <xf numFmtId="0" fontId="6" fillId="3" borderId="18" xfId="7" applyFont="1" applyFill="1" applyBorder="1" applyAlignment="1">
      <alignment horizontal="center" vertical="center" wrapText="1"/>
    </xf>
    <xf numFmtId="0" fontId="6" fillId="3" borderId="4" xfId="7" applyFont="1" applyFill="1" applyBorder="1" applyAlignment="1">
      <alignment horizontal="center" vertical="center"/>
    </xf>
    <xf numFmtId="0" fontId="6" fillId="3" borderId="2" xfId="7" applyFont="1" applyFill="1" applyBorder="1" applyAlignment="1">
      <alignment horizontal="center" vertical="center"/>
    </xf>
    <xf numFmtId="14" fontId="5" fillId="2" borderId="36" xfId="4" applyNumberFormat="1" applyFont="1" applyFill="1" applyBorder="1" applyAlignment="1">
      <alignment horizontal="center" vertical="center" wrapText="1"/>
    </xf>
    <xf numFmtId="14" fontId="5" fillId="2" borderId="37" xfId="4" applyNumberFormat="1" applyFont="1" applyFill="1" applyBorder="1" applyAlignment="1">
      <alignment horizontal="center" vertical="center" wrapText="1"/>
    </xf>
    <xf numFmtId="14" fontId="5" fillId="2" borderId="15" xfId="4" applyNumberFormat="1" applyFont="1" applyFill="1" applyBorder="1" applyAlignment="1">
      <alignment horizontal="center" vertical="center" wrapText="1"/>
    </xf>
    <xf numFmtId="0" fontId="5" fillId="2" borderId="38" xfId="4" applyFont="1" applyFill="1" applyBorder="1" applyAlignment="1">
      <alignment horizontal="left"/>
    </xf>
    <xf numFmtId="0" fontId="5" fillId="2" borderId="39" xfId="4" applyFont="1" applyFill="1" applyBorder="1" applyAlignment="1">
      <alignment horizontal="left"/>
    </xf>
    <xf numFmtId="0" fontId="5" fillId="2" borderId="16" xfId="4" applyFont="1" applyFill="1" applyBorder="1" applyAlignment="1">
      <alignment horizontal="left"/>
    </xf>
    <xf numFmtId="0" fontId="5" fillId="2" borderId="25" xfId="4" applyFont="1" applyFill="1" applyBorder="1" applyAlignment="1">
      <alignment horizontal="left"/>
    </xf>
    <xf numFmtId="0" fontId="5" fillId="2" borderId="24" xfId="4" applyFont="1" applyFill="1" applyBorder="1" applyAlignment="1">
      <alignment horizontal="left"/>
    </xf>
    <xf numFmtId="0" fontId="5" fillId="2" borderId="17" xfId="4" applyFont="1" applyFill="1" applyBorder="1" applyAlignment="1">
      <alignment horizontal="left"/>
    </xf>
    <xf numFmtId="0" fontId="5" fillId="2" borderId="21" xfId="4" applyFont="1" applyFill="1" applyBorder="1" applyAlignment="1">
      <alignment horizontal="center"/>
    </xf>
    <xf numFmtId="0" fontId="5" fillId="2" borderId="22" xfId="4" applyFont="1" applyFill="1" applyBorder="1" applyAlignment="1">
      <alignment horizontal="center"/>
    </xf>
    <xf numFmtId="0" fontId="5" fillId="2" borderId="9" xfId="4" applyFont="1" applyFill="1" applyBorder="1" applyAlignment="1">
      <alignment horizontal="center"/>
    </xf>
    <xf numFmtId="0" fontId="5" fillId="2" borderId="0" xfId="4" applyFont="1" applyFill="1" applyAlignment="1">
      <alignment horizontal="center"/>
    </xf>
    <xf numFmtId="0" fontId="5" fillId="2" borderId="27" xfId="4" applyFont="1" applyFill="1" applyBorder="1" applyAlignment="1">
      <alignment horizontal="center"/>
    </xf>
    <xf numFmtId="0" fontId="5" fillId="2" borderId="28" xfId="4" applyFont="1" applyFill="1" applyBorder="1" applyAlignment="1">
      <alignment horizontal="center"/>
    </xf>
    <xf numFmtId="0" fontId="4" fillId="2" borderId="4" xfId="4" applyFont="1" applyFill="1" applyBorder="1" applyAlignment="1">
      <alignment horizontal="center"/>
    </xf>
    <xf numFmtId="0" fontId="4" fillId="2" borderId="20" xfId="4" applyFont="1" applyFill="1" applyBorder="1" applyAlignment="1">
      <alignment horizontal="center"/>
    </xf>
    <xf numFmtId="0" fontId="4" fillId="2" borderId="40" xfId="4" applyFont="1" applyFill="1" applyBorder="1" applyAlignment="1">
      <alignment horizontal="center"/>
    </xf>
    <xf numFmtId="0" fontId="4" fillId="2" borderId="19" xfId="4" applyFont="1" applyFill="1" applyBorder="1" applyAlignment="1">
      <alignment horizontal="center"/>
    </xf>
    <xf numFmtId="0" fontId="8" fillId="4" borderId="11" xfId="4" applyFont="1" applyFill="1" applyBorder="1" applyAlignment="1">
      <alignment horizontal="center" vertical="center" wrapText="1"/>
    </xf>
    <xf numFmtId="0" fontId="8" fillId="4" borderId="12" xfId="4" applyFont="1" applyFill="1" applyBorder="1" applyAlignment="1">
      <alignment horizontal="center" vertical="center" wrapText="1"/>
    </xf>
    <xf numFmtId="0" fontId="8" fillId="4" borderId="13" xfId="4" applyFont="1" applyFill="1" applyBorder="1" applyAlignment="1">
      <alignment horizontal="center" vertical="center" wrapText="1"/>
    </xf>
    <xf numFmtId="0" fontId="6" fillId="2" borderId="33" xfId="4" applyFont="1" applyFill="1" applyBorder="1" applyAlignment="1">
      <alignment horizontal="right" vertical="top" wrapText="1"/>
    </xf>
    <xf numFmtId="0" fontId="6" fillId="2" borderId="34" xfId="4" applyFont="1" applyFill="1" applyBorder="1" applyAlignment="1">
      <alignment horizontal="right" vertical="top" wrapText="1"/>
    </xf>
    <xf numFmtId="0" fontId="6" fillId="2" borderId="35" xfId="4" applyFont="1" applyFill="1" applyBorder="1" applyAlignment="1">
      <alignment horizontal="right" vertical="top" wrapText="1"/>
    </xf>
    <xf numFmtId="0" fontId="6" fillId="3" borderId="32" xfId="14" applyFont="1" applyFill="1" applyBorder="1" applyAlignment="1">
      <alignment horizontal="center" vertical="center"/>
    </xf>
    <xf numFmtId="0" fontId="6" fillId="3" borderId="18" xfId="14" applyFont="1" applyFill="1" applyBorder="1" applyAlignment="1">
      <alignment horizontal="center" vertical="center"/>
    </xf>
    <xf numFmtId="0" fontId="6" fillId="3" borderId="32" xfId="14" applyFont="1" applyFill="1" applyBorder="1" applyAlignment="1">
      <alignment horizontal="center" vertical="center" wrapText="1"/>
    </xf>
    <xf numFmtId="0" fontId="6" fillId="3" borderId="18" xfId="14" applyFont="1" applyFill="1" applyBorder="1" applyAlignment="1">
      <alignment horizontal="center" vertical="center" wrapText="1"/>
    </xf>
    <xf numFmtId="0" fontId="6" fillId="3" borderId="4" xfId="14" applyFont="1" applyFill="1" applyBorder="1" applyAlignment="1">
      <alignment horizontal="center" vertical="center"/>
    </xf>
    <xf numFmtId="0" fontId="6" fillId="3" borderId="2" xfId="14" applyFont="1" applyFill="1" applyBorder="1" applyAlignment="1">
      <alignment horizontal="center" vertical="center"/>
    </xf>
    <xf numFmtId="0" fontId="6" fillId="0" borderId="27" xfId="14" applyFont="1" applyBorder="1" applyAlignment="1">
      <alignment horizontal="right"/>
    </xf>
    <xf numFmtId="0" fontId="6" fillId="0" borderId="28" xfId="14" applyFont="1" applyBorder="1" applyAlignment="1">
      <alignment horizontal="right"/>
    </xf>
    <xf numFmtId="0" fontId="6" fillId="0" borderId="29" xfId="14" applyFont="1" applyBorder="1" applyAlignment="1">
      <alignment horizontal="right"/>
    </xf>
    <xf numFmtId="166" fontId="5" fillId="0" borderId="6" xfId="14" applyNumberFormat="1" applyFont="1" applyBorder="1" applyAlignment="1">
      <alignment horizontal="right"/>
    </xf>
    <xf numFmtId="0" fontId="5" fillId="2" borderId="14" xfId="14" applyFont="1" applyFill="1" applyBorder="1" applyAlignment="1">
      <alignment horizontal="center"/>
    </xf>
    <xf numFmtId="0" fontId="5" fillId="2" borderId="30" xfId="14" applyFont="1" applyFill="1" applyBorder="1" applyAlignment="1">
      <alignment horizontal="center"/>
    </xf>
    <xf numFmtId="0" fontId="6" fillId="0" borderId="23" xfId="14" applyFont="1" applyBorder="1" applyAlignment="1">
      <alignment horizontal="right"/>
    </xf>
    <xf numFmtId="0" fontId="6" fillId="0" borderId="24" xfId="14" applyFont="1" applyBorder="1" applyAlignment="1">
      <alignment horizontal="right"/>
    </xf>
    <xf numFmtId="0" fontId="6" fillId="0" borderId="17" xfId="14" applyFont="1" applyBorder="1" applyAlignment="1">
      <alignment horizontal="right"/>
    </xf>
    <xf numFmtId="0" fontId="5" fillId="0" borderId="5" xfId="14" applyFont="1" applyBorder="1" applyAlignment="1">
      <alignment horizontal="right"/>
    </xf>
    <xf numFmtId="166" fontId="5" fillId="0" borderId="25" xfId="14" applyNumberFormat="1" applyFont="1" applyBorder="1" applyAlignment="1">
      <alignment horizontal="center"/>
    </xf>
    <xf numFmtId="166" fontId="5" fillId="0" borderId="26" xfId="14" applyNumberFormat="1" applyFont="1" applyBorder="1" applyAlignment="1">
      <alignment horizontal="center"/>
    </xf>
    <xf numFmtId="0" fontId="5" fillId="0" borderId="8" xfId="9" applyFont="1" applyBorder="1" applyAlignment="1">
      <alignment horizontal="left"/>
    </xf>
    <xf numFmtId="0" fontId="5" fillId="0" borderId="17" xfId="9" applyFont="1" applyBorder="1" applyAlignment="1">
      <alignment horizontal="left"/>
    </xf>
    <xf numFmtId="0" fontId="5" fillId="0" borderId="5" xfId="9" applyFont="1" applyBorder="1" applyAlignment="1">
      <alignment horizontal="left"/>
    </xf>
    <xf numFmtId="0" fontId="5" fillId="0" borderId="7" xfId="9" applyFont="1" applyBorder="1" applyAlignment="1">
      <alignment horizontal="left"/>
    </xf>
    <xf numFmtId="166" fontId="5" fillId="0" borderId="25" xfId="14" applyNumberFormat="1" applyFont="1" applyBorder="1" applyAlignment="1">
      <alignment horizontal="right" wrapText="1"/>
    </xf>
    <xf numFmtId="166" fontId="5" fillId="0" borderId="17" xfId="14" applyNumberFormat="1" applyFont="1" applyBorder="1" applyAlignment="1">
      <alignment horizontal="right" wrapText="1"/>
    </xf>
    <xf numFmtId="166" fontId="5" fillId="0" borderId="25" xfId="9" applyNumberFormat="1" applyFont="1" applyBorder="1" applyAlignment="1">
      <alignment horizontal="center" wrapText="1"/>
    </xf>
    <xf numFmtId="166" fontId="5" fillId="0" borderId="26" xfId="9" applyNumberFormat="1" applyFont="1" applyBorder="1" applyAlignment="1">
      <alignment horizontal="center" wrapText="1"/>
    </xf>
    <xf numFmtId="0" fontId="6" fillId="0" borderId="18" xfId="14" applyFont="1" applyBorder="1" applyAlignment="1">
      <alignment horizontal="right"/>
    </xf>
    <xf numFmtId="0" fontId="6" fillId="0" borderId="19" xfId="14" applyFont="1" applyBorder="1" applyAlignment="1">
      <alignment horizontal="right"/>
    </xf>
    <xf numFmtId="0" fontId="6" fillId="0" borderId="2" xfId="14" applyFont="1" applyBorder="1" applyAlignment="1">
      <alignment horizontal="right"/>
    </xf>
    <xf numFmtId="0" fontId="5" fillId="0" borderId="2" xfId="14" applyFont="1" applyBorder="1" applyAlignment="1">
      <alignment horizontal="right"/>
    </xf>
    <xf numFmtId="0" fontId="6" fillId="3" borderId="11" xfId="14" applyFont="1" applyFill="1" applyBorder="1" applyAlignment="1">
      <alignment horizontal="left"/>
    </xf>
    <xf numFmtId="0" fontId="6" fillId="3" borderId="12" xfId="14" applyFont="1" applyFill="1" applyBorder="1" applyAlignment="1">
      <alignment horizontal="left"/>
    </xf>
    <xf numFmtId="0" fontId="6" fillId="3" borderId="13" xfId="14" applyFont="1" applyFill="1" applyBorder="1" applyAlignment="1">
      <alignment horizontal="left"/>
    </xf>
    <xf numFmtId="0" fontId="10" fillId="0" borderId="23" xfId="9" applyFont="1" applyBorder="1" applyAlignment="1">
      <alignment horizontal="left"/>
    </xf>
    <xf numFmtId="0" fontId="10" fillId="0" borderId="24" xfId="9" applyFont="1" applyBorder="1" applyAlignment="1">
      <alignment horizontal="left"/>
    </xf>
    <xf numFmtId="0" fontId="10" fillId="0" borderId="26" xfId="9" applyFont="1" applyBorder="1" applyAlignment="1">
      <alignment horizontal="left"/>
    </xf>
    <xf numFmtId="0" fontId="10" fillId="0" borderId="27" xfId="9" applyFont="1" applyBorder="1" applyAlignment="1">
      <alignment horizontal="left"/>
    </xf>
    <xf numFmtId="0" fontId="10" fillId="0" borderId="28" xfId="9" applyFont="1" applyBorder="1" applyAlignment="1">
      <alignment horizontal="left"/>
    </xf>
    <xf numFmtId="0" fontId="10" fillId="0" borderId="30" xfId="9" applyFont="1" applyBorder="1" applyAlignment="1">
      <alignment horizontal="left"/>
    </xf>
    <xf numFmtId="0" fontId="16" fillId="0" borderId="23" xfId="9" applyFont="1" applyBorder="1" applyAlignment="1">
      <alignment horizontal="left"/>
    </xf>
    <xf numFmtId="0" fontId="16" fillId="0" borderId="24" xfId="9" applyFont="1" applyBorder="1" applyAlignment="1">
      <alignment horizontal="left"/>
    </xf>
    <xf numFmtId="0" fontId="16" fillId="0" borderId="26" xfId="9" applyFont="1" applyBorder="1" applyAlignment="1">
      <alignment horizontal="left"/>
    </xf>
  </cellXfs>
  <cellStyles count="17">
    <cellStyle name="Millares" xfId="1" builtinId="3"/>
    <cellStyle name="Millares [0] 2" xfId="2" xr:uid="{29F403A8-3CF3-412B-9497-C98343DCCB7B}"/>
    <cellStyle name="Millares [0] 2 2" xfId="11" xr:uid="{336E9505-8F7A-4451-8C79-0609FA77E8A1}"/>
    <cellStyle name="Millares 2" xfId="3" xr:uid="{8D729A6A-BDD2-43EA-98D4-9EC01FB931D9}"/>
    <cellStyle name="Millares 2 2" xfId="12" xr:uid="{A61BFED3-3208-4DAD-AD27-1BBD33F4A82B}"/>
    <cellStyle name="Millares 3" xfId="10" xr:uid="{D86CE185-CE7B-4387-8911-2D6C343D797C}"/>
    <cellStyle name="Millares 4" xfId="16" xr:uid="{C7F06CA3-389E-453D-9EEF-0005663872FD}"/>
    <cellStyle name="Normal" xfId="0" builtinId="0"/>
    <cellStyle name="Normal 2" xfId="7" xr:uid="{F1D68FFB-5487-42FE-9FE6-45715CA8869A}"/>
    <cellStyle name="Normal 2 2" xfId="14" xr:uid="{8D22F5B0-B973-41E4-ACCC-752FF88C1608}"/>
    <cellStyle name="Normal 3" xfId="8" xr:uid="{E9D31727-FA63-4D65-8739-9DFE8AB0AF22}"/>
    <cellStyle name="Normal 3 2" xfId="15" xr:uid="{B4E947A8-EB10-4B24-988B-6B576B3C59BC}"/>
    <cellStyle name="Normal 4" xfId="9" xr:uid="{5456EC8F-374E-469E-81A3-01A41185B0A9}"/>
    <cellStyle name="Normal_CRITERIOS DE EVALUACION PT DE GB" xfId="4" xr:uid="{0F0F03D6-4859-4DCE-8C22-C38346192F5C}"/>
    <cellStyle name="Normal_CRITERIOS DE EVALUACION PT DE GB 2" xfId="6" xr:uid="{B704DD06-31FF-4BF2-9370-6857A27C901A}"/>
    <cellStyle name="Porcentaje 2" xfId="5" xr:uid="{7713EF84-EF9D-4958-A55A-064BC71AC872}"/>
    <cellStyle name="Porcentaje 2 2" xfId="13" xr:uid="{87F619A8-A5C8-4C94-B131-4CF19182B2C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5986-F8B8-4018-86E8-0EB37F2F29A4}">
  <dimension ref="A1:M60"/>
  <sheetViews>
    <sheetView tabSelected="1" view="pageBreakPreview" zoomScale="60" zoomScaleNormal="70" workbookViewId="0">
      <selection activeCell="C3" sqref="C3:G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13" ht="15.75" x14ac:dyDescent="0.25">
      <c r="A1" s="271"/>
      <c r="B1" s="272"/>
      <c r="C1" s="277" t="s">
        <v>23</v>
      </c>
      <c r="D1" s="277"/>
      <c r="E1" s="277"/>
      <c r="F1" s="277"/>
      <c r="G1" s="277"/>
      <c r="H1" s="1" t="s">
        <v>0</v>
      </c>
      <c r="I1" s="13" t="s">
        <v>57</v>
      </c>
    </row>
    <row r="2" spans="1:13" ht="18" customHeight="1" thickBot="1" x14ac:dyDescent="0.3">
      <c r="A2" s="273"/>
      <c r="B2" s="274"/>
      <c r="C2" s="278" t="s">
        <v>1</v>
      </c>
      <c r="D2" s="279"/>
      <c r="E2" s="279"/>
      <c r="F2" s="279"/>
      <c r="G2" s="280"/>
      <c r="H2" s="2" t="s">
        <v>2</v>
      </c>
      <c r="I2" s="12" t="s">
        <v>58</v>
      </c>
    </row>
    <row r="3" spans="1:13" ht="31.5" customHeight="1" thickBot="1" x14ac:dyDescent="0.25">
      <c r="A3" s="273"/>
      <c r="B3" s="274"/>
      <c r="C3" s="281" t="s">
        <v>59</v>
      </c>
      <c r="D3" s="282"/>
      <c r="E3" s="282"/>
      <c r="F3" s="282"/>
      <c r="G3" s="283"/>
      <c r="H3" s="284" t="s">
        <v>3</v>
      </c>
      <c r="I3" s="262">
        <v>45728</v>
      </c>
    </row>
    <row r="4" spans="1:13" ht="18" customHeight="1" x14ac:dyDescent="0.25">
      <c r="A4" s="273"/>
      <c r="B4" s="274"/>
      <c r="C4" s="3" t="s">
        <v>4</v>
      </c>
      <c r="D4" s="265" t="s">
        <v>40</v>
      </c>
      <c r="E4" s="266"/>
      <c r="F4" s="266"/>
      <c r="G4" s="267"/>
      <c r="H4" s="285"/>
      <c r="I4" s="263"/>
    </row>
    <row r="5" spans="1:13" ht="14.25" thickBot="1" x14ac:dyDescent="0.3">
      <c r="A5" s="275"/>
      <c r="B5" s="276"/>
      <c r="C5" s="4" t="s">
        <v>5</v>
      </c>
      <c r="D5" s="268" t="s">
        <v>29</v>
      </c>
      <c r="E5" s="269"/>
      <c r="F5" s="269"/>
      <c r="G5" s="270"/>
      <c r="H5" s="286"/>
      <c r="I5" s="264"/>
    </row>
    <row r="6" spans="1:13" ht="18.75" thickBot="1" x14ac:dyDescent="0.3">
      <c r="A6" s="253" t="s">
        <v>30</v>
      </c>
      <c r="B6" s="253"/>
      <c r="C6" s="253"/>
      <c r="D6" s="254" t="s">
        <v>37</v>
      </c>
      <c r="E6" s="254"/>
      <c r="F6" s="254"/>
      <c r="G6" s="255" t="s">
        <v>31</v>
      </c>
      <c r="H6" s="255"/>
      <c r="I6" s="14" t="s">
        <v>37</v>
      </c>
    </row>
    <row r="7" spans="1:13" ht="25.5" x14ac:dyDescent="0.2">
      <c r="A7" s="256" t="s">
        <v>6</v>
      </c>
      <c r="B7" s="258" t="s">
        <v>32</v>
      </c>
      <c r="C7" s="260" t="s">
        <v>7</v>
      </c>
      <c r="D7" s="260" t="s">
        <v>8</v>
      </c>
      <c r="E7" s="260" t="s">
        <v>9</v>
      </c>
      <c r="F7" s="260"/>
      <c r="G7" s="260" t="s">
        <v>10</v>
      </c>
      <c r="H7" s="260"/>
      <c r="I7" s="15" t="s">
        <v>11</v>
      </c>
    </row>
    <row r="8" spans="1:13" ht="26.25" thickBot="1" x14ac:dyDescent="0.25">
      <c r="A8" s="257"/>
      <c r="B8" s="259"/>
      <c r="C8" s="261"/>
      <c r="D8" s="261"/>
      <c r="E8" s="16" t="s">
        <v>12</v>
      </c>
      <c r="F8" s="17" t="s">
        <v>13</v>
      </c>
      <c r="G8" s="16" t="s">
        <v>12</v>
      </c>
      <c r="H8" s="17" t="s">
        <v>13</v>
      </c>
      <c r="I8" s="18" t="s">
        <v>14</v>
      </c>
    </row>
    <row r="9" spans="1:13" ht="18.399999999999999" customHeight="1" x14ac:dyDescent="0.25">
      <c r="A9" s="19"/>
      <c r="B9" s="20"/>
      <c r="C9" s="21" t="s">
        <v>33</v>
      </c>
      <c r="D9" s="22"/>
      <c r="E9" s="23"/>
      <c r="F9" s="24"/>
      <c r="G9" s="23"/>
      <c r="H9" s="24"/>
      <c r="I9" s="25"/>
    </row>
    <row r="10" spans="1:13" ht="18" customHeight="1" x14ac:dyDescent="0.25">
      <c r="A10" s="26"/>
      <c r="B10" s="43" t="s">
        <v>41</v>
      </c>
      <c r="C10" s="48" t="s">
        <v>42</v>
      </c>
      <c r="D10" s="27"/>
      <c r="E10" s="28">
        <f>108*10</f>
        <v>1080</v>
      </c>
      <c r="F10" s="29"/>
      <c r="G10" s="30" t="s">
        <v>56</v>
      </c>
      <c r="H10" s="212" t="s">
        <v>55</v>
      </c>
      <c r="I10" s="25"/>
    </row>
    <row r="11" spans="1:13" ht="15.75" x14ac:dyDescent="0.25">
      <c r="A11" s="32"/>
      <c r="B11" s="32"/>
      <c r="C11" s="48"/>
      <c r="D11" s="34"/>
      <c r="E11" s="35"/>
      <c r="F11" s="36"/>
      <c r="G11" s="30"/>
      <c r="H11" s="31"/>
      <c r="I11" s="25"/>
      <c r="K11">
        <v>1</v>
      </c>
      <c r="M11">
        <f>1080/9</f>
        <v>120</v>
      </c>
    </row>
    <row r="12" spans="1:13" ht="15.75" x14ac:dyDescent="0.25">
      <c r="A12" s="37"/>
      <c r="B12" s="38"/>
      <c r="C12" s="39"/>
      <c r="D12" s="40"/>
      <c r="E12" s="40"/>
      <c r="F12" s="40"/>
      <c r="G12" s="6"/>
      <c r="H12" s="31"/>
      <c r="I12" s="25"/>
      <c r="K12">
        <v>9</v>
      </c>
      <c r="L12">
        <v>1080</v>
      </c>
    </row>
    <row r="13" spans="1:13" ht="15.75" x14ac:dyDescent="0.25">
      <c r="A13" s="41"/>
      <c r="B13" s="42"/>
      <c r="C13" s="39"/>
      <c r="D13" s="40"/>
      <c r="E13" s="40"/>
      <c r="F13" s="40"/>
      <c r="G13" s="6"/>
      <c r="H13" s="31"/>
      <c r="I13" s="25"/>
    </row>
    <row r="14" spans="1:13" ht="15" x14ac:dyDescent="0.25">
      <c r="A14" s="43"/>
      <c r="B14" s="43"/>
      <c r="C14" s="33"/>
      <c r="D14" s="44"/>
      <c r="E14" s="45"/>
      <c r="F14" s="46"/>
      <c r="G14" s="6"/>
      <c r="H14" s="31"/>
      <c r="I14" s="25"/>
    </row>
    <row r="15" spans="1:13" ht="15" x14ac:dyDescent="0.25">
      <c r="A15" s="43"/>
      <c r="B15" s="43"/>
      <c r="C15" s="33"/>
      <c r="D15" s="44"/>
      <c r="E15" s="45"/>
      <c r="F15" s="46"/>
      <c r="G15" s="6"/>
      <c r="H15" s="31"/>
      <c r="I15" s="25"/>
    </row>
    <row r="16" spans="1:13" ht="15" x14ac:dyDescent="0.25">
      <c r="A16" s="43"/>
      <c r="B16" s="43"/>
      <c r="C16" s="33"/>
      <c r="D16" s="44"/>
      <c r="E16" s="45"/>
      <c r="F16" s="46"/>
      <c r="G16" s="6"/>
      <c r="H16" s="31"/>
      <c r="I16" s="25"/>
      <c r="K16">
        <v>1</v>
      </c>
      <c r="M16" s="211">
        <f>120/12</f>
        <v>10</v>
      </c>
    </row>
    <row r="17" spans="1:12" ht="15" x14ac:dyDescent="0.25">
      <c r="A17" s="43"/>
      <c r="B17" s="43"/>
      <c r="C17" s="33"/>
      <c r="D17" s="44"/>
      <c r="E17" s="45"/>
      <c r="F17" s="46"/>
      <c r="G17" s="6"/>
      <c r="H17" s="31"/>
      <c r="I17" s="25"/>
      <c r="K17">
        <v>12</v>
      </c>
      <c r="L17">
        <v>120</v>
      </c>
    </row>
    <row r="18" spans="1:12" ht="15" x14ac:dyDescent="0.25">
      <c r="A18" s="43"/>
      <c r="B18" s="43"/>
      <c r="C18" s="33"/>
      <c r="D18" s="44"/>
      <c r="E18" s="45"/>
      <c r="F18" s="46"/>
      <c r="G18" s="6"/>
      <c r="H18" s="31"/>
      <c r="I18" s="25"/>
    </row>
    <row r="19" spans="1:12" ht="15" x14ac:dyDescent="0.25">
      <c r="A19" s="43"/>
      <c r="B19" s="43"/>
      <c r="C19" s="33"/>
      <c r="D19" s="44"/>
      <c r="E19" s="45"/>
      <c r="F19" s="46"/>
      <c r="G19" s="6"/>
      <c r="H19" s="31"/>
      <c r="I19" s="25"/>
    </row>
    <row r="20" spans="1:12" ht="15" x14ac:dyDescent="0.25">
      <c r="A20" s="47"/>
      <c r="B20" s="43"/>
      <c r="C20" s="48"/>
      <c r="D20" s="49"/>
      <c r="E20" s="49"/>
      <c r="F20" s="49"/>
      <c r="G20" s="23"/>
      <c r="H20" s="31"/>
      <c r="I20" s="25"/>
    </row>
    <row r="21" spans="1:12" ht="15.75" x14ac:dyDescent="0.25">
      <c r="A21" s="50"/>
      <c r="B21" s="51"/>
      <c r="C21" s="52" t="s">
        <v>34</v>
      </c>
      <c r="D21" s="45"/>
      <c r="E21" s="53"/>
      <c r="F21" s="46"/>
      <c r="G21" s="23"/>
      <c r="H21" s="24"/>
      <c r="I21" s="25"/>
    </row>
    <row r="22" spans="1:12" ht="15" x14ac:dyDescent="0.25">
      <c r="A22" s="54"/>
      <c r="B22" s="55"/>
      <c r="C22" s="56"/>
      <c r="D22" s="57"/>
      <c r="E22" s="58"/>
      <c r="F22" s="59"/>
      <c r="G22" s="23"/>
      <c r="H22" s="24"/>
      <c r="I22" s="25"/>
    </row>
    <row r="23" spans="1:12" ht="15" x14ac:dyDescent="0.25">
      <c r="A23" s="54"/>
      <c r="B23" s="55"/>
      <c r="C23" s="56"/>
      <c r="D23" s="57"/>
      <c r="E23" s="60"/>
      <c r="F23" s="59"/>
      <c r="G23" s="23"/>
      <c r="H23" s="24"/>
      <c r="I23" s="25"/>
    </row>
    <row r="24" spans="1:12" ht="15" x14ac:dyDescent="0.25">
      <c r="A24" s="54"/>
      <c r="B24" s="55"/>
      <c r="C24" s="56"/>
      <c r="D24" s="57"/>
      <c r="E24" s="58"/>
      <c r="F24" s="59"/>
      <c r="G24" s="23"/>
      <c r="H24" s="24"/>
      <c r="I24" s="25"/>
    </row>
    <row r="25" spans="1:12" ht="15" x14ac:dyDescent="0.25">
      <c r="A25" s="54"/>
      <c r="B25" s="55"/>
      <c r="C25" s="56"/>
      <c r="D25" s="57"/>
      <c r="E25" s="61"/>
      <c r="F25" s="62"/>
      <c r="G25" s="23"/>
      <c r="H25" s="24"/>
      <c r="I25" s="25"/>
    </row>
    <row r="26" spans="1:12" ht="15" x14ac:dyDescent="0.25">
      <c r="A26" s="54"/>
      <c r="B26" s="55"/>
      <c r="C26" s="56"/>
      <c r="D26" s="57"/>
      <c r="E26" s="63"/>
      <c r="F26" s="62"/>
      <c r="G26" s="23"/>
      <c r="H26" s="24"/>
      <c r="I26" s="25"/>
    </row>
    <row r="27" spans="1:12" ht="15" x14ac:dyDescent="0.25">
      <c r="A27" s="64"/>
      <c r="B27" s="64"/>
      <c r="D27" s="65"/>
      <c r="E27" s="66"/>
      <c r="F27" s="67"/>
      <c r="G27" s="23"/>
      <c r="H27" s="24"/>
      <c r="I27" s="25"/>
    </row>
    <row r="28" spans="1:12" ht="15" x14ac:dyDescent="0.25">
      <c r="A28" s="43"/>
      <c r="B28" s="43"/>
      <c r="C28" s="48"/>
      <c r="D28" s="68"/>
      <c r="E28" s="5"/>
      <c r="F28" s="67"/>
      <c r="G28" s="23"/>
      <c r="H28" s="24"/>
      <c r="I28" s="25"/>
    </row>
    <row r="29" spans="1:12" ht="15" x14ac:dyDescent="0.25">
      <c r="A29" s="43"/>
      <c r="B29" s="43"/>
      <c r="C29" s="48"/>
      <c r="D29" s="68"/>
      <c r="E29" s="69"/>
      <c r="F29" s="7"/>
      <c r="G29" s="23"/>
      <c r="H29" s="24"/>
      <c r="I29" s="25"/>
    </row>
    <row r="30" spans="1:12" ht="15.75" x14ac:dyDescent="0.25">
      <c r="A30" s="70"/>
      <c r="B30" s="71"/>
      <c r="C30" s="72" t="s">
        <v>35</v>
      </c>
      <c r="D30" s="73"/>
      <c r="E30" s="74"/>
      <c r="F30" s="24"/>
      <c r="G30" s="23"/>
      <c r="I30" s="25"/>
    </row>
    <row r="31" spans="1:12" ht="15" x14ac:dyDescent="0.25">
      <c r="A31" s="75"/>
      <c r="B31" s="103" t="s">
        <v>43</v>
      </c>
      <c r="C31" s="86" t="s">
        <v>44</v>
      </c>
      <c r="D31" s="104" t="s">
        <v>45</v>
      </c>
      <c r="E31" s="105">
        <v>1</v>
      </c>
      <c r="F31" s="106" t="s">
        <v>46</v>
      </c>
      <c r="G31" s="77"/>
      <c r="H31" s="24"/>
      <c r="I31" s="25"/>
    </row>
    <row r="32" spans="1:12" ht="15" x14ac:dyDescent="0.25">
      <c r="A32" s="78"/>
      <c r="B32" s="103" t="s">
        <v>47</v>
      </c>
      <c r="C32" s="86" t="s">
        <v>48</v>
      </c>
      <c r="D32" s="104" t="s">
        <v>45</v>
      </c>
      <c r="E32" s="105">
        <v>1</v>
      </c>
      <c r="F32" s="106" t="s">
        <v>46</v>
      </c>
      <c r="G32" s="77"/>
      <c r="H32" s="24"/>
      <c r="I32" s="25"/>
      <c r="J32">
        <f>+E31/D44</f>
        <v>1E-3</v>
      </c>
      <c r="K32">
        <f>+J32*1000</f>
        <v>1</v>
      </c>
    </row>
    <row r="33" spans="1:11" ht="15" x14ac:dyDescent="0.25">
      <c r="A33" s="43"/>
      <c r="B33" s="107" t="s">
        <v>49</v>
      </c>
      <c r="C33" s="33" t="s">
        <v>50</v>
      </c>
      <c r="D33" s="76"/>
      <c r="E33" s="108">
        <v>1</v>
      </c>
      <c r="F33" s="109" t="s">
        <v>46</v>
      </c>
      <c r="G33" s="77"/>
      <c r="H33" s="24"/>
      <c r="I33" s="25"/>
    </row>
    <row r="34" spans="1:11" ht="15" x14ac:dyDescent="0.25">
      <c r="A34" s="80"/>
      <c r="B34" s="80"/>
      <c r="C34" s="81"/>
      <c r="D34" s="76"/>
      <c r="E34" s="10"/>
      <c r="F34" s="11"/>
      <c r="G34" s="23"/>
      <c r="H34" s="24"/>
      <c r="I34" s="25"/>
    </row>
    <row r="35" spans="1:11" ht="15" x14ac:dyDescent="0.25">
      <c r="A35" s="80"/>
      <c r="B35" s="80"/>
      <c r="C35" s="81"/>
      <c r="D35" s="76"/>
      <c r="E35" s="10"/>
      <c r="F35" s="11"/>
      <c r="G35" s="23"/>
      <c r="H35" s="24"/>
      <c r="I35" s="25"/>
    </row>
    <row r="36" spans="1:11" ht="15" x14ac:dyDescent="0.25">
      <c r="A36" s="80"/>
      <c r="B36" s="80"/>
      <c r="C36" s="81"/>
      <c r="D36" s="76"/>
      <c r="E36" s="10"/>
      <c r="F36" s="11"/>
      <c r="G36" s="82"/>
      <c r="H36" s="24"/>
      <c r="I36" s="25"/>
    </row>
    <row r="37" spans="1:11" ht="15.75" x14ac:dyDescent="0.25">
      <c r="A37" s="80"/>
      <c r="B37" s="80"/>
      <c r="C37" s="81"/>
      <c r="D37" s="40"/>
      <c r="E37" s="10"/>
      <c r="F37" s="11"/>
      <c r="G37" s="44"/>
      <c r="H37" s="24"/>
      <c r="I37" s="25"/>
    </row>
    <row r="38" spans="1:11" ht="15" x14ac:dyDescent="0.25">
      <c r="A38" s="83"/>
      <c r="B38" s="83"/>
      <c r="C38" s="84"/>
      <c r="D38" s="76"/>
      <c r="E38" s="7"/>
      <c r="F38" s="7"/>
      <c r="G38" s="44"/>
      <c r="H38" s="24"/>
      <c r="I38" s="25"/>
      <c r="K38">
        <f>1000/D44</f>
        <v>1</v>
      </c>
    </row>
    <row r="39" spans="1:11" ht="15" x14ac:dyDescent="0.25">
      <c r="A39" s="75"/>
      <c r="B39" s="43"/>
      <c r="C39" s="9"/>
      <c r="D39" s="79"/>
      <c r="E39" s="69"/>
      <c r="F39" s="6"/>
      <c r="G39" s="44"/>
      <c r="H39" s="24"/>
      <c r="I39" s="25"/>
    </row>
    <row r="40" spans="1:11" ht="15.75" x14ac:dyDescent="0.25">
      <c r="A40" s="80"/>
      <c r="B40" s="80"/>
      <c r="C40" s="81"/>
      <c r="D40" s="76"/>
      <c r="E40" s="69"/>
      <c r="F40" s="6"/>
      <c r="G40" s="85"/>
      <c r="H40" s="24"/>
      <c r="I40" s="25"/>
    </row>
    <row r="41" spans="1:11" ht="15.75" x14ac:dyDescent="0.25">
      <c r="A41" s="50"/>
      <c r="B41" s="51"/>
      <c r="C41" s="86"/>
      <c r="D41" s="45"/>
      <c r="E41" s="45"/>
      <c r="F41" s="46"/>
      <c r="G41" s="87"/>
      <c r="H41" s="87"/>
      <c r="I41" s="25"/>
    </row>
    <row r="42" spans="1:11" ht="14.25" thickBot="1" x14ac:dyDescent="0.3">
      <c r="A42" s="88"/>
      <c r="B42" s="89"/>
      <c r="C42" s="90"/>
      <c r="D42" s="90"/>
      <c r="E42" s="91"/>
      <c r="F42" s="92"/>
      <c r="G42" s="90"/>
      <c r="H42" s="90"/>
      <c r="I42" s="93"/>
    </row>
    <row r="43" spans="1:11" ht="14.25" thickBot="1" x14ac:dyDescent="0.3">
      <c r="A43" s="94"/>
      <c r="B43" s="95"/>
      <c r="C43" s="96"/>
      <c r="D43" s="97" t="s">
        <v>12</v>
      </c>
      <c r="E43" s="98" t="s">
        <v>15</v>
      </c>
      <c r="F43" s="99"/>
      <c r="G43" s="96"/>
      <c r="H43" s="96"/>
      <c r="I43" s="100"/>
    </row>
    <row r="44" spans="1:11" ht="13.5" x14ac:dyDescent="0.25">
      <c r="A44" s="247" t="s">
        <v>16</v>
      </c>
      <c r="B44" s="248"/>
      <c r="C44" s="249"/>
      <c r="D44" s="5">
        <v>1000</v>
      </c>
      <c r="E44" s="8" t="s">
        <v>26</v>
      </c>
      <c r="F44" s="250" t="s">
        <v>24</v>
      </c>
      <c r="G44" s="250"/>
      <c r="H44" s="251"/>
      <c r="I44" s="252"/>
    </row>
    <row r="45" spans="1:11" ht="13.5" x14ac:dyDescent="0.25">
      <c r="A45" s="230" t="s">
        <v>17</v>
      </c>
      <c r="B45" s="231"/>
      <c r="C45" s="232"/>
      <c r="D45" s="69">
        <v>6</v>
      </c>
      <c r="E45" s="6" t="s">
        <v>27</v>
      </c>
      <c r="F45" s="233" t="s">
        <v>18</v>
      </c>
      <c r="G45" s="233"/>
      <c r="H45" s="234"/>
      <c r="I45" s="235"/>
    </row>
    <row r="46" spans="1:11" ht="13.5" x14ac:dyDescent="0.25">
      <c r="A46" s="230" t="s">
        <v>19</v>
      </c>
      <c r="B46" s="231"/>
      <c r="C46" s="232"/>
      <c r="D46" s="64">
        <v>1</v>
      </c>
      <c r="E46" s="6" t="s">
        <v>38</v>
      </c>
      <c r="F46" s="233" t="s">
        <v>25</v>
      </c>
      <c r="G46" s="233"/>
      <c r="H46" s="234"/>
      <c r="I46" s="235"/>
    </row>
    <row r="47" spans="1:11" ht="13.5" x14ac:dyDescent="0.25">
      <c r="A47" s="230" t="s">
        <v>36</v>
      </c>
      <c r="B47" s="231"/>
      <c r="C47" s="232"/>
      <c r="D47" s="69">
        <v>1000</v>
      </c>
      <c r="E47" s="6" t="s">
        <v>26</v>
      </c>
      <c r="F47" s="236" t="s">
        <v>20</v>
      </c>
      <c r="G47" s="237"/>
      <c r="H47" s="238"/>
      <c r="I47" s="239"/>
    </row>
    <row r="48" spans="1:11" ht="14.25" thickBot="1" x14ac:dyDescent="0.3">
      <c r="A48" s="240" t="s">
        <v>21</v>
      </c>
      <c r="B48" s="241"/>
      <c r="C48" s="242"/>
      <c r="D48" s="101">
        <f>SUM(E10)-D44</f>
        <v>80</v>
      </c>
      <c r="E48" s="102" t="s">
        <v>26</v>
      </c>
      <c r="F48" s="243"/>
      <c r="G48" s="243"/>
      <c r="H48" s="234"/>
      <c r="I48" s="235"/>
    </row>
    <row r="49" spans="1:9" ht="13.5" thickBot="1" x14ac:dyDescent="0.25">
      <c r="A49" s="244" t="s">
        <v>22</v>
      </c>
      <c r="B49" s="245"/>
      <c r="C49" s="245"/>
      <c r="D49" s="245"/>
      <c r="E49" s="245"/>
      <c r="F49" s="245"/>
      <c r="G49" s="245"/>
      <c r="H49" s="245"/>
      <c r="I49" s="246"/>
    </row>
    <row r="50" spans="1:9" ht="18.399999999999999" customHeight="1" x14ac:dyDescent="0.25">
      <c r="A50" s="217" t="s">
        <v>51</v>
      </c>
      <c r="B50" s="218"/>
      <c r="C50" s="219"/>
      <c r="D50" s="219"/>
      <c r="E50" s="219"/>
      <c r="F50" s="219"/>
      <c r="G50" s="219"/>
      <c r="H50" s="219"/>
      <c r="I50" s="220"/>
    </row>
    <row r="51" spans="1:9" ht="15.4" customHeight="1" x14ac:dyDescent="0.25">
      <c r="A51" s="217" t="s">
        <v>52</v>
      </c>
      <c r="B51" s="218"/>
      <c r="C51" s="219"/>
      <c r="D51" s="219"/>
      <c r="E51" s="219"/>
      <c r="F51" s="219"/>
      <c r="G51" s="219"/>
      <c r="H51" s="219"/>
      <c r="I51" s="220"/>
    </row>
    <row r="52" spans="1:9" ht="14.65" customHeight="1" x14ac:dyDescent="0.25">
      <c r="A52" s="217" t="s">
        <v>53</v>
      </c>
      <c r="B52" s="218"/>
      <c r="C52" s="219"/>
      <c r="D52" s="219"/>
      <c r="E52" s="219"/>
      <c r="F52" s="219"/>
      <c r="G52" s="219"/>
      <c r="H52" s="219"/>
      <c r="I52" s="220"/>
    </row>
    <row r="53" spans="1:9" ht="14.65" customHeight="1" x14ac:dyDescent="0.25">
      <c r="A53" s="217"/>
      <c r="B53" s="218"/>
      <c r="C53" s="219"/>
      <c r="D53" s="219"/>
      <c r="E53" s="219"/>
      <c r="F53" s="219"/>
      <c r="G53" s="219"/>
      <c r="H53" s="219"/>
      <c r="I53" s="220"/>
    </row>
    <row r="54" spans="1:9" ht="14.65" customHeight="1" x14ac:dyDescent="0.25">
      <c r="A54" s="221"/>
      <c r="B54" s="222"/>
      <c r="C54" s="222"/>
      <c r="D54" s="222"/>
      <c r="E54" s="222"/>
      <c r="F54" s="222"/>
      <c r="G54" s="222"/>
      <c r="H54" s="222"/>
      <c r="I54" s="223"/>
    </row>
    <row r="55" spans="1:9" ht="18" customHeight="1" x14ac:dyDescent="0.25">
      <c r="A55" s="221"/>
      <c r="B55" s="222"/>
      <c r="C55" s="222"/>
      <c r="D55" s="222"/>
      <c r="E55" s="222"/>
      <c r="F55" s="222"/>
      <c r="G55" s="222"/>
      <c r="H55" s="222"/>
      <c r="I55" s="223"/>
    </row>
    <row r="56" spans="1:9" ht="15" x14ac:dyDescent="0.25">
      <c r="A56" s="224"/>
      <c r="B56" s="225"/>
      <c r="C56" s="225"/>
      <c r="D56" s="225"/>
      <c r="E56" s="225"/>
      <c r="F56" s="225"/>
      <c r="G56" s="225"/>
      <c r="H56" s="225"/>
      <c r="I56" s="226"/>
    </row>
    <row r="57" spans="1:9" ht="15" thickBot="1" x14ac:dyDescent="0.25">
      <c r="A57" s="227"/>
      <c r="B57" s="228"/>
      <c r="C57" s="228"/>
      <c r="D57" s="228"/>
      <c r="E57" s="228"/>
      <c r="F57" s="228"/>
      <c r="G57" s="228"/>
      <c r="H57" s="228"/>
      <c r="I57" s="229"/>
    </row>
    <row r="58" spans="1:9" x14ac:dyDescent="0.2">
      <c r="A58" s="213" t="s">
        <v>28</v>
      </c>
      <c r="B58" s="214"/>
      <c r="C58" s="214"/>
      <c r="D58" s="214"/>
      <c r="E58" s="214"/>
      <c r="F58" s="214"/>
      <c r="G58" s="214"/>
      <c r="H58" s="214"/>
      <c r="I58" s="214"/>
    </row>
    <row r="59" spans="1:9" ht="13.5" x14ac:dyDescent="0.25">
      <c r="A59" s="215"/>
      <c r="B59" s="216"/>
      <c r="C59" s="216"/>
      <c r="D59" s="216"/>
      <c r="E59" s="216"/>
      <c r="F59" s="216"/>
      <c r="G59" s="216"/>
      <c r="H59" s="216"/>
      <c r="I59" s="216"/>
    </row>
    <row r="60" spans="1:9" ht="13.5" x14ac:dyDescent="0.25">
      <c r="A60" s="215"/>
      <c r="B60" s="216"/>
      <c r="C60" s="216"/>
      <c r="D60" s="216"/>
      <c r="E60" s="216"/>
      <c r="F60" s="216"/>
      <c r="G60" s="216"/>
      <c r="H60" s="216"/>
      <c r="I60" s="216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43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33452-EA71-4F8C-A58B-ADB533EC2F4B}">
  <dimension ref="A1:K60"/>
  <sheetViews>
    <sheetView workbookViewId="0">
      <selection activeCell="G10" sqref="G10"/>
    </sheetView>
  </sheetViews>
  <sheetFormatPr baseColWidth="10" defaultRowHeight="12.75" x14ac:dyDescent="0.2"/>
  <sheetData>
    <row r="1" spans="1:9" ht="15.75" x14ac:dyDescent="0.25">
      <c r="A1" s="271"/>
      <c r="B1" s="272"/>
      <c r="C1" s="277" t="s">
        <v>23</v>
      </c>
      <c r="D1" s="277"/>
      <c r="E1" s="277"/>
      <c r="F1" s="277"/>
      <c r="G1" s="277"/>
      <c r="H1" s="1" t="s">
        <v>0</v>
      </c>
      <c r="I1" s="13"/>
    </row>
    <row r="2" spans="1:9" ht="16.5" thickBot="1" x14ac:dyDescent="0.3">
      <c r="A2" s="273"/>
      <c r="B2" s="274"/>
      <c r="C2" s="278" t="s">
        <v>1</v>
      </c>
      <c r="D2" s="279"/>
      <c r="E2" s="279"/>
      <c r="F2" s="279"/>
      <c r="G2" s="280"/>
      <c r="H2" s="2" t="s">
        <v>2</v>
      </c>
      <c r="I2" s="12"/>
    </row>
    <row r="3" spans="1:9" ht="18.75" thickBot="1" x14ac:dyDescent="0.25">
      <c r="A3" s="273"/>
      <c r="B3" s="274"/>
      <c r="C3" s="281" t="s">
        <v>39</v>
      </c>
      <c r="D3" s="282"/>
      <c r="E3" s="282"/>
      <c r="F3" s="282"/>
      <c r="G3" s="283"/>
      <c r="H3" s="284" t="s">
        <v>3</v>
      </c>
      <c r="I3" s="262"/>
    </row>
    <row r="4" spans="1:9" ht="13.5" x14ac:dyDescent="0.25">
      <c r="A4" s="273"/>
      <c r="B4" s="274"/>
      <c r="C4" s="3" t="s">
        <v>4</v>
      </c>
      <c r="D4" s="265" t="s">
        <v>40</v>
      </c>
      <c r="E4" s="266"/>
      <c r="F4" s="266"/>
      <c r="G4" s="267"/>
      <c r="H4" s="285"/>
      <c r="I4" s="263"/>
    </row>
    <row r="5" spans="1:9" ht="14.25" thickBot="1" x14ac:dyDescent="0.3">
      <c r="A5" s="275"/>
      <c r="B5" s="276"/>
      <c r="C5" s="4" t="s">
        <v>5</v>
      </c>
      <c r="D5" s="268" t="s">
        <v>29</v>
      </c>
      <c r="E5" s="269"/>
      <c r="F5" s="269"/>
      <c r="G5" s="270"/>
      <c r="H5" s="286"/>
      <c r="I5" s="264"/>
    </row>
    <row r="6" spans="1:9" ht="18.75" thickBot="1" x14ac:dyDescent="0.3">
      <c r="A6" s="253" t="s">
        <v>30</v>
      </c>
      <c r="B6" s="253"/>
      <c r="C6" s="253"/>
      <c r="D6" s="254" t="s">
        <v>37</v>
      </c>
      <c r="E6" s="254"/>
      <c r="F6" s="254"/>
      <c r="G6" s="255" t="s">
        <v>31</v>
      </c>
      <c r="H6" s="255"/>
      <c r="I6" s="14" t="s">
        <v>37</v>
      </c>
    </row>
    <row r="7" spans="1:9" ht="25.5" x14ac:dyDescent="0.2">
      <c r="A7" s="287" t="s">
        <v>6</v>
      </c>
      <c r="B7" s="289" t="s">
        <v>32</v>
      </c>
      <c r="C7" s="291" t="s">
        <v>7</v>
      </c>
      <c r="D7" s="291" t="s">
        <v>8</v>
      </c>
      <c r="E7" s="291" t="s">
        <v>9</v>
      </c>
      <c r="F7" s="291"/>
      <c r="G7" s="291" t="s">
        <v>10</v>
      </c>
      <c r="H7" s="291"/>
      <c r="I7" s="118" t="s">
        <v>11</v>
      </c>
    </row>
    <row r="8" spans="1:9" ht="26.25" thickBot="1" x14ac:dyDescent="0.25">
      <c r="A8" s="288"/>
      <c r="B8" s="290"/>
      <c r="C8" s="292"/>
      <c r="D8" s="292"/>
      <c r="E8" s="119" t="s">
        <v>12</v>
      </c>
      <c r="F8" s="120" t="s">
        <v>13</v>
      </c>
      <c r="G8" s="119" t="s">
        <v>12</v>
      </c>
      <c r="H8" s="120" t="s">
        <v>13</v>
      </c>
      <c r="I8" s="121" t="s">
        <v>14</v>
      </c>
    </row>
    <row r="9" spans="1:9" ht="15" x14ac:dyDescent="0.25">
      <c r="A9" s="122"/>
      <c r="B9" s="123"/>
      <c r="C9" s="124" t="s">
        <v>33</v>
      </c>
      <c r="D9" s="125"/>
      <c r="E9" s="126"/>
      <c r="F9" s="127"/>
      <c r="G9" s="126"/>
      <c r="H9" s="127"/>
      <c r="I9" s="128"/>
    </row>
    <row r="10" spans="1:9" ht="27" x14ac:dyDescent="0.25">
      <c r="A10" s="129"/>
      <c r="B10" s="144" t="s">
        <v>41</v>
      </c>
      <c r="C10" s="149" t="s">
        <v>42</v>
      </c>
      <c r="D10" s="130"/>
      <c r="E10" s="131">
        <v>1080</v>
      </c>
      <c r="F10" s="132"/>
      <c r="G10" s="133" t="s">
        <v>54</v>
      </c>
      <c r="H10" s="134" t="s">
        <v>55</v>
      </c>
      <c r="I10" s="128"/>
    </row>
    <row r="11" spans="1:9" ht="15.75" x14ac:dyDescent="0.25">
      <c r="A11" s="135"/>
      <c r="B11" s="135"/>
      <c r="C11" s="149"/>
      <c r="D11" s="137"/>
      <c r="E11" s="138"/>
      <c r="F11" s="139"/>
      <c r="G11" s="133"/>
      <c r="H11" s="134"/>
      <c r="I11" s="128"/>
    </row>
    <row r="12" spans="1:9" ht="15.75" x14ac:dyDescent="0.25">
      <c r="A12" s="140"/>
      <c r="B12" s="141"/>
      <c r="C12" s="142"/>
      <c r="D12" s="143"/>
      <c r="E12" s="143"/>
      <c r="F12" s="143"/>
      <c r="G12" s="112"/>
      <c r="H12" s="134"/>
      <c r="I12" s="128"/>
    </row>
    <row r="13" spans="1:9" ht="15.75" x14ac:dyDescent="0.25">
      <c r="A13" s="140"/>
      <c r="B13" s="141"/>
      <c r="C13" s="142"/>
      <c r="D13" s="143"/>
      <c r="E13" s="143"/>
      <c r="F13" s="143"/>
      <c r="G13" s="112"/>
      <c r="H13" s="134"/>
      <c r="I13" s="128"/>
    </row>
    <row r="14" spans="1:9" ht="15" x14ac:dyDescent="0.25">
      <c r="A14" s="144"/>
      <c r="B14" s="144"/>
      <c r="C14" s="136"/>
      <c r="D14" s="145"/>
      <c r="E14" s="146"/>
      <c r="F14" s="147"/>
      <c r="G14" s="112"/>
      <c r="H14" s="134"/>
      <c r="I14" s="128"/>
    </row>
    <row r="15" spans="1:9" ht="15" x14ac:dyDescent="0.25">
      <c r="A15" s="144"/>
      <c r="B15" s="144"/>
      <c r="C15" s="136"/>
      <c r="D15" s="145"/>
      <c r="E15" s="146"/>
      <c r="F15" s="147"/>
      <c r="G15" s="112"/>
      <c r="H15" s="134"/>
      <c r="I15" s="128"/>
    </row>
    <row r="16" spans="1:9" ht="15" x14ac:dyDescent="0.25">
      <c r="A16" s="144"/>
      <c r="B16" s="144"/>
      <c r="C16" s="136"/>
      <c r="D16" s="145"/>
      <c r="E16" s="146"/>
      <c r="F16" s="147"/>
      <c r="G16" s="112"/>
      <c r="H16" s="134"/>
      <c r="I16" s="128"/>
    </row>
    <row r="17" spans="1:9" ht="15" x14ac:dyDescent="0.25">
      <c r="A17" s="144"/>
      <c r="B17" s="144"/>
      <c r="C17" s="136"/>
      <c r="D17" s="145"/>
      <c r="E17" s="146"/>
      <c r="F17" s="147"/>
      <c r="G17" s="112"/>
      <c r="H17" s="134"/>
      <c r="I17" s="128"/>
    </row>
    <row r="18" spans="1:9" ht="15" x14ac:dyDescent="0.25">
      <c r="A18" s="144"/>
      <c r="B18" s="144"/>
      <c r="C18" s="136"/>
      <c r="D18" s="145"/>
      <c r="E18" s="146"/>
      <c r="F18" s="147"/>
      <c r="G18" s="112"/>
      <c r="H18" s="134"/>
      <c r="I18" s="128"/>
    </row>
    <row r="19" spans="1:9" ht="15" x14ac:dyDescent="0.25">
      <c r="A19" s="144"/>
      <c r="B19" s="144"/>
      <c r="C19" s="136"/>
      <c r="D19" s="145"/>
      <c r="E19" s="146"/>
      <c r="F19" s="147"/>
      <c r="G19" s="112"/>
      <c r="H19" s="134"/>
      <c r="I19" s="128"/>
    </row>
    <row r="20" spans="1:9" ht="15" x14ac:dyDescent="0.25">
      <c r="A20" s="148"/>
      <c r="B20" s="144"/>
      <c r="C20" s="149"/>
      <c r="D20" s="150"/>
      <c r="E20" s="150"/>
      <c r="F20" s="150"/>
      <c r="G20" s="126"/>
      <c r="H20" s="134"/>
      <c r="I20" s="128"/>
    </row>
    <row r="21" spans="1:9" ht="15.75" x14ac:dyDescent="0.25">
      <c r="A21" s="151"/>
      <c r="B21" s="152"/>
      <c r="C21" s="153" t="s">
        <v>34</v>
      </c>
      <c r="D21" s="146"/>
      <c r="E21" s="154"/>
      <c r="F21" s="147"/>
      <c r="G21" s="126"/>
      <c r="H21" s="127"/>
      <c r="I21" s="128"/>
    </row>
    <row r="22" spans="1:9" ht="15" x14ac:dyDescent="0.25">
      <c r="A22" s="155"/>
      <c r="B22" s="156"/>
      <c r="C22" s="157"/>
      <c r="D22" s="158"/>
      <c r="E22" s="159"/>
      <c r="F22" s="160"/>
      <c r="G22" s="126"/>
      <c r="H22" s="127"/>
      <c r="I22" s="128"/>
    </row>
    <row r="23" spans="1:9" ht="15" x14ac:dyDescent="0.25">
      <c r="A23" s="155"/>
      <c r="B23" s="156"/>
      <c r="C23" s="157"/>
      <c r="D23" s="158"/>
      <c r="E23" s="161"/>
      <c r="F23" s="160"/>
      <c r="G23" s="126"/>
      <c r="H23" s="127"/>
      <c r="I23" s="128"/>
    </row>
    <row r="24" spans="1:9" ht="15" x14ac:dyDescent="0.25">
      <c r="A24" s="155"/>
      <c r="B24" s="156"/>
      <c r="C24" s="157"/>
      <c r="D24" s="158"/>
      <c r="E24" s="159"/>
      <c r="F24" s="160"/>
      <c r="G24" s="126"/>
      <c r="H24" s="127"/>
      <c r="I24" s="128"/>
    </row>
    <row r="25" spans="1:9" ht="15" x14ac:dyDescent="0.25">
      <c r="A25" s="155"/>
      <c r="B25" s="156"/>
      <c r="C25" s="157"/>
      <c r="D25" s="158"/>
      <c r="E25" s="162"/>
      <c r="F25" s="163"/>
      <c r="G25" s="126"/>
      <c r="H25" s="127"/>
      <c r="I25" s="128"/>
    </row>
    <row r="26" spans="1:9" ht="15" x14ac:dyDescent="0.25">
      <c r="A26" s="155"/>
      <c r="B26" s="156"/>
      <c r="C26" s="157"/>
      <c r="D26" s="158"/>
      <c r="E26" s="164"/>
      <c r="F26" s="163"/>
      <c r="G26" s="126"/>
      <c r="H26" s="127"/>
      <c r="I26" s="128"/>
    </row>
    <row r="27" spans="1:9" ht="15" x14ac:dyDescent="0.25">
      <c r="A27" s="165"/>
      <c r="B27" s="165"/>
      <c r="C27" s="110"/>
      <c r="D27" s="166"/>
      <c r="E27" s="167"/>
      <c r="F27" s="168"/>
      <c r="G27" s="126"/>
      <c r="H27" s="127"/>
      <c r="I27" s="128"/>
    </row>
    <row r="28" spans="1:9" ht="15" x14ac:dyDescent="0.25">
      <c r="A28" s="144"/>
      <c r="B28" s="144"/>
      <c r="C28" s="149"/>
      <c r="D28" s="169"/>
      <c r="E28" s="111"/>
      <c r="F28" s="168"/>
      <c r="G28" s="126"/>
      <c r="H28" s="127"/>
      <c r="I28" s="128"/>
    </row>
    <row r="29" spans="1:9" ht="15" x14ac:dyDescent="0.25">
      <c r="A29" s="144"/>
      <c r="B29" s="144"/>
      <c r="C29" s="149"/>
      <c r="D29" s="169"/>
      <c r="E29" s="170"/>
      <c r="F29" s="113"/>
      <c r="G29" s="126"/>
      <c r="H29" s="127"/>
      <c r="I29" s="128"/>
    </row>
    <row r="30" spans="1:9" ht="15.75" x14ac:dyDescent="0.25">
      <c r="A30" s="171"/>
      <c r="B30" s="172"/>
      <c r="C30" s="173" t="s">
        <v>35</v>
      </c>
      <c r="D30" s="174"/>
      <c r="E30" s="175"/>
      <c r="F30" s="127"/>
      <c r="G30" s="126"/>
      <c r="H30" s="110"/>
      <c r="I30" s="128"/>
    </row>
    <row r="31" spans="1:9" ht="15" x14ac:dyDescent="0.25">
      <c r="A31" s="176"/>
      <c r="B31" s="204" t="s">
        <v>43</v>
      </c>
      <c r="C31" s="187" t="s">
        <v>44</v>
      </c>
      <c r="D31" s="205" t="s">
        <v>45</v>
      </c>
      <c r="E31" s="206">
        <v>1</v>
      </c>
      <c r="F31" s="207" t="s">
        <v>46</v>
      </c>
      <c r="G31" s="178"/>
      <c r="H31" s="127"/>
      <c r="I31" s="128"/>
    </row>
    <row r="32" spans="1:9" ht="15" x14ac:dyDescent="0.25">
      <c r="A32" s="179"/>
      <c r="B32" s="204" t="s">
        <v>47</v>
      </c>
      <c r="C32" s="187" t="s">
        <v>48</v>
      </c>
      <c r="D32" s="205" t="s">
        <v>45</v>
      </c>
      <c r="E32" s="206">
        <v>1</v>
      </c>
      <c r="F32" s="207" t="s">
        <v>46</v>
      </c>
      <c r="G32" s="178"/>
      <c r="H32" s="127"/>
      <c r="I32" s="128"/>
    </row>
    <row r="33" spans="1:11" ht="15" x14ac:dyDescent="0.25">
      <c r="A33" s="144"/>
      <c r="B33" s="208" t="s">
        <v>49</v>
      </c>
      <c r="C33" s="136" t="s">
        <v>50</v>
      </c>
      <c r="D33" s="177"/>
      <c r="E33" s="209">
        <v>1</v>
      </c>
      <c r="F33" s="210" t="s">
        <v>46</v>
      </c>
      <c r="G33" s="178"/>
      <c r="H33" s="127"/>
      <c r="I33" s="128"/>
      <c r="J33" s="110"/>
      <c r="K33" s="110"/>
    </row>
    <row r="34" spans="1:11" ht="15" x14ac:dyDescent="0.25">
      <c r="A34" s="181"/>
      <c r="B34" s="181"/>
      <c r="C34" s="182"/>
      <c r="D34" s="177"/>
      <c r="E34" s="116"/>
      <c r="F34" s="117"/>
      <c r="G34" s="126"/>
      <c r="H34" s="127"/>
      <c r="I34" s="128"/>
      <c r="J34" s="110"/>
      <c r="K34" s="110"/>
    </row>
    <row r="35" spans="1:11" ht="15" x14ac:dyDescent="0.25">
      <c r="A35" s="181"/>
      <c r="B35" s="181"/>
      <c r="C35" s="182"/>
      <c r="D35" s="177"/>
      <c r="E35" s="116"/>
      <c r="F35" s="117"/>
      <c r="G35" s="126"/>
      <c r="H35" s="127"/>
      <c r="I35" s="128"/>
      <c r="J35" s="110"/>
      <c r="K35" s="110"/>
    </row>
    <row r="36" spans="1:11" ht="15" x14ac:dyDescent="0.25">
      <c r="A36" s="181"/>
      <c r="B36" s="181"/>
      <c r="C36" s="182"/>
      <c r="D36" s="177"/>
      <c r="E36" s="116"/>
      <c r="F36" s="117"/>
      <c r="G36" s="183"/>
      <c r="H36" s="127"/>
      <c r="I36" s="128"/>
      <c r="J36" s="110"/>
      <c r="K36" s="110"/>
    </row>
    <row r="37" spans="1:11" ht="15.75" x14ac:dyDescent="0.25">
      <c r="A37" s="181"/>
      <c r="B37" s="181"/>
      <c r="C37" s="182"/>
      <c r="D37" s="143"/>
      <c r="E37" s="116"/>
      <c r="F37" s="117"/>
      <c r="G37" s="145"/>
      <c r="H37" s="127"/>
      <c r="I37" s="128"/>
      <c r="J37" s="110"/>
      <c r="K37" s="110"/>
    </row>
    <row r="38" spans="1:11" ht="15" x14ac:dyDescent="0.25">
      <c r="A38" s="184"/>
      <c r="B38" s="184"/>
      <c r="C38" s="185"/>
      <c r="D38" s="177"/>
      <c r="E38" s="113"/>
      <c r="F38" s="113"/>
      <c r="G38" s="145"/>
      <c r="H38" s="127"/>
      <c r="I38" s="128"/>
      <c r="J38" s="110"/>
      <c r="K38" s="110">
        <v>1</v>
      </c>
    </row>
    <row r="39" spans="1:11" ht="15" x14ac:dyDescent="0.25">
      <c r="A39" s="176"/>
      <c r="B39" s="144"/>
      <c r="C39" s="115"/>
      <c r="D39" s="180"/>
      <c r="E39" s="170"/>
      <c r="F39" s="112"/>
      <c r="G39" s="145"/>
      <c r="H39" s="127"/>
      <c r="I39" s="128"/>
      <c r="J39" s="110"/>
      <c r="K39" s="110"/>
    </row>
    <row r="40" spans="1:11" ht="15.75" x14ac:dyDescent="0.25">
      <c r="A40" s="181"/>
      <c r="B40" s="181"/>
      <c r="C40" s="182"/>
      <c r="D40" s="177"/>
      <c r="E40" s="170"/>
      <c r="F40" s="112"/>
      <c r="G40" s="186"/>
      <c r="H40" s="127"/>
      <c r="I40" s="128"/>
      <c r="J40" s="110"/>
      <c r="K40" s="110"/>
    </row>
    <row r="41" spans="1:11" ht="15.75" x14ac:dyDescent="0.25">
      <c r="A41" s="151"/>
      <c r="B41" s="152"/>
      <c r="C41" s="187"/>
      <c r="D41" s="146"/>
      <c r="E41" s="146"/>
      <c r="F41" s="147"/>
      <c r="G41" s="188"/>
      <c r="H41" s="188"/>
      <c r="I41" s="128"/>
      <c r="J41" s="110"/>
      <c r="K41" s="110"/>
    </row>
    <row r="42" spans="1:11" ht="14.25" thickBot="1" x14ac:dyDescent="0.3">
      <c r="A42" s="189"/>
      <c r="B42" s="190"/>
      <c r="C42" s="191"/>
      <c r="D42" s="191"/>
      <c r="E42" s="192"/>
      <c r="F42" s="193"/>
      <c r="G42" s="191"/>
      <c r="H42" s="191"/>
      <c r="I42" s="194"/>
      <c r="J42" s="110"/>
      <c r="K42" s="110"/>
    </row>
    <row r="43" spans="1:11" ht="14.25" thickBot="1" x14ac:dyDescent="0.3">
      <c r="A43" s="195"/>
      <c r="B43" s="196"/>
      <c r="C43" s="197"/>
      <c r="D43" s="198" t="s">
        <v>12</v>
      </c>
      <c r="E43" s="199" t="s">
        <v>15</v>
      </c>
      <c r="F43" s="200"/>
      <c r="G43" s="197"/>
      <c r="H43" s="197"/>
      <c r="I43" s="201"/>
      <c r="J43" s="110"/>
      <c r="K43" s="110"/>
    </row>
    <row r="44" spans="1:11" ht="13.5" x14ac:dyDescent="0.25">
      <c r="A44" s="293" t="s">
        <v>16</v>
      </c>
      <c r="B44" s="294"/>
      <c r="C44" s="295"/>
      <c r="D44" s="111">
        <v>1000</v>
      </c>
      <c r="E44" s="114" t="s">
        <v>26</v>
      </c>
      <c r="F44" s="296" t="s">
        <v>24</v>
      </c>
      <c r="G44" s="296"/>
      <c r="H44" s="297"/>
      <c r="I44" s="298"/>
      <c r="J44" s="110"/>
      <c r="K44" s="110"/>
    </row>
    <row r="45" spans="1:11" ht="13.5" x14ac:dyDescent="0.25">
      <c r="A45" s="299" t="s">
        <v>17</v>
      </c>
      <c r="B45" s="300"/>
      <c r="C45" s="301"/>
      <c r="D45" s="170">
        <v>6</v>
      </c>
      <c r="E45" s="112" t="s">
        <v>27</v>
      </c>
      <c r="F45" s="302" t="s">
        <v>18</v>
      </c>
      <c r="G45" s="302"/>
      <c r="H45" s="303"/>
      <c r="I45" s="304"/>
      <c r="J45" s="110"/>
      <c r="K45" s="110"/>
    </row>
    <row r="46" spans="1:11" ht="13.5" x14ac:dyDescent="0.25">
      <c r="A46" s="299" t="s">
        <v>19</v>
      </c>
      <c r="B46" s="300"/>
      <c r="C46" s="301"/>
      <c r="D46" s="165">
        <v>1</v>
      </c>
      <c r="E46" s="112" t="s">
        <v>38</v>
      </c>
      <c r="F46" s="302" t="s">
        <v>25</v>
      </c>
      <c r="G46" s="302"/>
      <c r="H46" s="303"/>
      <c r="I46" s="304"/>
      <c r="J46" s="110"/>
      <c r="K46" s="110"/>
    </row>
    <row r="47" spans="1:11" ht="13.5" x14ac:dyDescent="0.25">
      <c r="A47" s="299" t="s">
        <v>36</v>
      </c>
      <c r="B47" s="300"/>
      <c r="C47" s="301"/>
      <c r="D47" s="170">
        <v>1000</v>
      </c>
      <c r="E47" s="112" t="s">
        <v>26</v>
      </c>
      <c r="F47" s="309" t="s">
        <v>20</v>
      </c>
      <c r="G47" s="310"/>
      <c r="H47" s="311"/>
      <c r="I47" s="312"/>
      <c r="J47" s="110"/>
      <c r="K47" s="110"/>
    </row>
    <row r="48" spans="1:11" ht="14.25" thickBot="1" x14ac:dyDescent="0.3">
      <c r="A48" s="313" t="s">
        <v>21</v>
      </c>
      <c r="B48" s="314"/>
      <c r="C48" s="315"/>
      <c r="D48" s="202">
        <v>80</v>
      </c>
      <c r="E48" s="203" t="s">
        <v>26</v>
      </c>
      <c r="F48" s="316"/>
      <c r="G48" s="316"/>
      <c r="H48" s="303"/>
      <c r="I48" s="304"/>
      <c r="J48" s="110"/>
      <c r="K48" s="110"/>
    </row>
    <row r="49" spans="1:9" ht="13.5" thickBot="1" x14ac:dyDescent="0.25">
      <c r="A49" s="317" t="s">
        <v>22</v>
      </c>
      <c r="B49" s="318"/>
      <c r="C49" s="318"/>
      <c r="D49" s="318"/>
      <c r="E49" s="318"/>
      <c r="F49" s="318"/>
      <c r="G49" s="318"/>
      <c r="H49" s="318"/>
      <c r="I49" s="319"/>
    </row>
    <row r="50" spans="1:9" ht="13.5" x14ac:dyDescent="0.25">
      <c r="A50" s="305" t="s">
        <v>51</v>
      </c>
      <c r="B50" s="306"/>
      <c r="C50" s="307"/>
      <c r="D50" s="307"/>
      <c r="E50" s="307"/>
      <c r="F50" s="307"/>
      <c r="G50" s="307"/>
      <c r="H50" s="307"/>
      <c r="I50" s="308"/>
    </row>
    <row r="51" spans="1:9" ht="13.5" x14ac:dyDescent="0.25">
      <c r="A51" s="305" t="s">
        <v>52</v>
      </c>
      <c r="B51" s="306"/>
      <c r="C51" s="307"/>
      <c r="D51" s="307"/>
      <c r="E51" s="307"/>
      <c r="F51" s="307"/>
      <c r="G51" s="307"/>
      <c r="H51" s="307"/>
      <c r="I51" s="308"/>
    </row>
    <row r="52" spans="1:9" ht="13.5" x14ac:dyDescent="0.25">
      <c r="A52" s="305" t="s">
        <v>53</v>
      </c>
      <c r="B52" s="306"/>
      <c r="C52" s="307"/>
      <c r="D52" s="307"/>
      <c r="E52" s="307"/>
      <c r="F52" s="307"/>
      <c r="G52" s="307"/>
      <c r="H52" s="307"/>
      <c r="I52" s="308"/>
    </row>
    <row r="53" spans="1:9" ht="13.5" x14ac:dyDescent="0.25">
      <c r="A53" s="305"/>
      <c r="B53" s="306"/>
      <c r="C53" s="307"/>
      <c r="D53" s="307"/>
      <c r="E53" s="307"/>
      <c r="F53" s="307"/>
      <c r="G53" s="307"/>
      <c r="H53" s="307"/>
      <c r="I53" s="308"/>
    </row>
    <row r="54" spans="1:9" ht="15" x14ac:dyDescent="0.25">
      <c r="A54" s="320"/>
      <c r="B54" s="321"/>
      <c r="C54" s="321"/>
      <c r="D54" s="321"/>
      <c r="E54" s="321"/>
      <c r="F54" s="321"/>
      <c r="G54" s="321"/>
      <c r="H54" s="321"/>
      <c r="I54" s="322"/>
    </row>
    <row r="55" spans="1:9" ht="15" x14ac:dyDescent="0.25">
      <c r="A55" s="320"/>
      <c r="B55" s="321"/>
      <c r="C55" s="321"/>
      <c r="D55" s="321"/>
      <c r="E55" s="321"/>
      <c r="F55" s="321"/>
      <c r="G55" s="321"/>
      <c r="H55" s="321"/>
      <c r="I55" s="322"/>
    </row>
    <row r="56" spans="1:9" ht="15" x14ac:dyDescent="0.25">
      <c r="A56" s="323"/>
      <c r="B56" s="324"/>
      <c r="C56" s="324"/>
      <c r="D56" s="324"/>
      <c r="E56" s="324"/>
      <c r="F56" s="324"/>
      <c r="G56" s="324"/>
      <c r="H56" s="324"/>
      <c r="I56" s="325"/>
    </row>
    <row r="57" spans="1:9" ht="15" thickBot="1" x14ac:dyDescent="0.25">
      <c r="A57" s="326"/>
      <c r="B57" s="327"/>
      <c r="C57" s="327"/>
      <c r="D57" s="327"/>
      <c r="E57" s="327"/>
      <c r="F57" s="327"/>
      <c r="G57" s="327"/>
      <c r="H57" s="327"/>
      <c r="I57" s="328"/>
    </row>
    <row r="58" spans="1:9" x14ac:dyDescent="0.2">
      <c r="A58" s="213" t="s">
        <v>28</v>
      </c>
      <c r="B58" s="214"/>
      <c r="C58" s="214"/>
      <c r="D58" s="214"/>
      <c r="E58" s="214"/>
      <c r="F58" s="214"/>
      <c r="G58" s="214"/>
      <c r="H58" s="214"/>
      <c r="I58" s="214"/>
    </row>
    <row r="59" spans="1:9" ht="13.5" x14ac:dyDescent="0.25">
      <c r="A59" s="215"/>
      <c r="B59" s="216"/>
      <c r="C59" s="216"/>
      <c r="D59" s="216"/>
      <c r="E59" s="216"/>
      <c r="F59" s="216"/>
      <c r="G59" s="216"/>
      <c r="H59" s="216"/>
      <c r="I59" s="216"/>
    </row>
    <row r="60" spans="1:9" ht="13.5" x14ac:dyDescent="0.25">
      <c r="A60" s="215"/>
      <c r="B60" s="216"/>
      <c r="C60" s="216"/>
      <c r="D60" s="216"/>
      <c r="E60" s="216"/>
      <c r="F60" s="216"/>
      <c r="G60" s="216"/>
      <c r="H60" s="216"/>
      <c r="I60" s="216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ED5373-6C7D-413B-98C9-D4D935E4D9D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17F8C14-D2EA-4146-BD0E-27DB2214F376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DCBC3543-0CCA-4FA3-B9F7-DDB7751CFE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317F57A-8278-464F-9154-1499367D8D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2025-03-12T21:00:20Z</cp:lastPrinted>
  <dcterms:created xsi:type="dcterms:W3CDTF">2012-05-10T22:32:20Z</dcterms:created>
  <dcterms:modified xsi:type="dcterms:W3CDTF">2025-03-12T21:02:05Z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406000.000000000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
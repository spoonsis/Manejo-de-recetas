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194DDB39-8954-4763-8C6F-65E33A78C5EF}" xr6:coauthVersionLast="47" xr6:coauthVersionMax="47" xr10:uidLastSave="{C43BB158-E884-4480-B92E-1341867D15E8}"/>
  <bookViews>
    <workbookView xWindow="20370" yWindow="-120" windowWidth="24240" windowHeight="13020" xr2:uid="{55530530-F356-48A1-BF16-B182058A20EE}"/>
  </bookViews>
  <sheets>
    <sheet name="Procesado" sheetId="2" r:id="rId1"/>
  </sheets>
  <definedNames>
    <definedName name="_xlnm.Print_Area" localSheetId="0">Procesado!$A$1:$I$30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J10" i="2"/>
  <c r="D23" i="2"/>
</calcChain>
</file>

<file path=xl/sharedStrings.xml><?xml version="1.0" encoding="utf-8"?>
<sst xmlns="http://schemas.openxmlformats.org/spreadsheetml/2006/main" count="60" uniqueCount="55">
  <si>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</si>
  <si>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</si>
  <si>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</si>
  <si>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</si>
  <si>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</si>
  <si>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</si>
  <si>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</si>
  <si>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</si>
  <si>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</si>
  <si>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</si>
  <si>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</si>
  <si>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</si>
  <si>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</si>
  <si>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</si>
  <si>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</si>
  <si>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</si>
  <si>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</si>
  <si>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Empaque</t>
  </si>
  <si>
    <t>FAS</t>
  </si>
  <si>
    <t>SEMILLAS BAÑADAS BELCOLADE</t>
  </si>
  <si>
    <t>SE00786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</si>
  <si>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</si>
  <si>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</si>
  <si>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</si>
  <si>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</si>
  <si>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</si>
  <si>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</si>
  <si>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</si>
  <si>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</si>
  <si>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</si>
  <si>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</si>
  <si>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</si>
  <si>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</si>
  <si>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</si>
  <si>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</si>
  <si>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</si>
  <si>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</si>
  <si>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</si>
  <si>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</si>
  <si>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</si>
  <si>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</si>
  <si>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Mariela Barrantes Sánchez, Chef</t>
  </si>
  <si>
    <t>Esteban Cartin, Gte Manufactura</t>
  </si>
  <si>
    <t>EM10259</t>
  </si>
  <si>
    <t>PLÁSTICO AUTOADERIBLE 1/ 18*2000</t>
  </si>
  <si>
    <t>metro</t>
  </si>
  <si>
    <t>EM10120</t>
  </si>
  <si>
    <t>ETIQ.BLANCA 1 13/16 * 1 7/8</t>
  </si>
  <si>
    <t>tanda</t>
  </si>
  <si>
    <t xml:space="preserve">1,Pasar por la trituradora las semillas bañadas en caramelo </t>
  </si>
  <si>
    <t xml:space="preserve">2, Colocarla en una tina azul y taparla. </t>
  </si>
  <si>
    <t>SE00827  Procesado Semillas Bañadas en Belcolade</t>
  </si>
  <si>
    <t xml:space="preserve">Decoración </t>
  </si>
  <si>
    <t>Decoración</t>
  </si>
  <si>
    <t>ESP-RE-DEF-052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</si>
</sst>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2" fillId="0" borderId="0"/>
    <xf numFmtId="43" fontId="15" fillId="0" borderId="0" applyFont="0" applyFill="0" applyBorder="0" applyAlignment="0" applyProtection="0"/>
    <xf numFmtId="0" fontId="1" fillId="0" borderId="0"/>
  </cellStyleXfs>
  <cellXfs count="131">
    <xf numFmtId="0" fontId="0" fillId="0" borderId="0" xfId="0"/>
    <xf numFmtId="0" fontId="5" fillId="4" borderId="27" xfId="2" applyFont="1" applyFill="1" applyBorder="1" applyAlignment="1">
      <alignment horizontal="center"/>
    </xf>
    <xf numFmtId="1" fontId="5" fillId="4" borderId="14" xfId="2" applyNumberFormat="1" applyFont="1" applyFill="1" applyBorder="1" applyAlignment="1">
      <alignment horizontal="center" wrapText="1"/>
    </xf>
    <xf numFmtId="1" fontId="5" fillId="4" borderId="14" xfId="2" applyNumberFormat="1" applyFont="1" applyFill="1" applyBorder="1" applyAlignment="1">
      <alignment horizontal="center"/>
    </xf>
    <xf numFmtId="0" fontId="5" fillId="4" borderId="28" xfId="2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/>
    </xf>
    <xf numFmtId="0" fontId="4" fillId="2" borderId="8" xfId="1" applyFont="1" applyFill="1" applyBorder="1" applyAlignment="1">
      <alignment horizontal="right"/>
    </xf>
    <xf numFmtId="49" fontId="4" fillId="2" borderId="25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0" fontId="4" fillId="2" borderId="28" xfId="1" applyFont="1" applyFill="1" applyBorder="1" applyAlignment="1">
      <alignment horizontal="center"/>
    </xf>
    <xf numFmtId="0" fontId="5" fillId="2" borderId="29" xfId="1" applyFont="1" applyFill="1" applyBorder="1" applyAlignment="1">
      <alignment horizontal="right"/>
    </xf>
    <xf numFmtId="0" fontId="9" fillId="0" borderId="2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25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5" borderId="1" xfId="2" applyFont="1" applyFill="1" applyBorder="1" applyAlignment="1">
      <alignment horizontal="center"/>
    </xf>
    <xf numFmtId="0" fontId="11" fillId="5" borderId="1" xfId="2" applyFont="1" applyFill="1" applyBorder="1"/>
    <xf numFmtId="1" fontId="11" fillId="0" borderId="1" xfId="2" applyNumberFormat="1" applyFont="1" applyBorder="1" applyAlignment="1">
      <alignment horizontal="center" wrapText="1"/>
    </xf>
    <xf numFmtId="49" fontId="11" fillId="0" borderId="26" xfId="2" applyNumberFormat="1" applyFont="1" applyBorder="1" applyAlignment="1">
      <alignment horizontal="center"/>
    </xf>
    <xf numFmtId="49" fontId="11" fillId="0" borderId="18" xfId="2" applyNumberFormat="1" applyFont="1" applyBorder="1" applyAlignment="1">
      <alignment horizontal="center"/>
    </xf>
    <xf numFmtId="49" fontId="9" fillId="0" borderId="6" xfId="2" applyNumberFormat="1" applyFont="1" applyBorder="1" applyAlignment="1">
      <alignment horizontal="center"/>
    </xf>
    <xf numFmtId="49" fontId="9" fillId="0" borderId="5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18" xfId="2" applyFont="1" applyBorder="1" applyAlignment="1">
      <alignment horizontal="center"/>
    </xf>
    <xf numFmtId="49" fontId="11" fillId="0" borderId="1" xfId="2" applyNumberFormat="1" applyFont="1" applyBorder="1"/>
    <xf numFmtId="49" fontId="13" fillId="2" borderId="24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3" xfId="2" applyFont="1" applyFill="1" applyBorder="1" applyAlignment="1">
      <alignment horizontal="center"/>
    </xf>
    <xf numFmtId="0" fontId="11" fillId="4" borderId="12" xfId="2" applyFont="1" applyFill="1" applyBorder="1" applyAlignment="1">
      <alignment horizontal="center"/>
    </xf>
    <xf numFmtId="0" fontId="11" fillId="4" borderId="11" xfId="2" applyFont="1" applyFill="1" applyBorder="1" applyAlignment="1">
      <alignment horizontal="center"/>
    </xf>
    <xf numFmtId="0" fontId="11" fillId="4" borderId="11" xfId="2" applyFont="1" applyFill="1" applyBorder="1"/>
    <xf numFmtId="0" fontId="9" fillId="4" borderId="11" xfId="2" applyFont="1" applyFill="1" applyBorder="1" applyAlignment="1">
      <alignment horizontal="center"/>
    </xf>
    <xf numFmtId="1" fontId="9" fillId="4" borderId="11" xfId="2" applyNumberFormat="1" applyFont="1" applyFill="1" applyBorder="1" applyAlignment="1">
      <alignment horizontal="center"/>
    </xf>
    <xf numFmtId="164" fontId="11" fillId="4" borderId="11" xfId="2" applyNumberFormat="1" applyFont="1" applyFill="1" applyBorder="1" applyAlignment="1">
      <alignment horizontal="center" wrapText="1"/>
    </xf>
    <xf numFmtId="0" fontId="11" fillId="4" borderId="10" xfId="2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vertical="center" wrapText="1"/>
    </xf>
    <xf numFmtId="12" fontId="11" fillId="0" borderId="8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16" fontId="11" fillId="0" borderId="1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65" fontId="9" fillId="0" borderId="1" xfId="2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6" fontId="9" fillId="5" borderId="1" xfId="6" applyNumberFormat="1" applyFont="1" applyFill="1" applyBorder="1" applyAlignment="1">
      <alignment horizontal="center"/>
    </xf>
    <xf numFmtId="0" fontId="12" fillId="0" borderId="1" xfId="7" applyFont="1" applyBorder="1" applyAlignment="1">
      <alignment horizontal="center"/>
    </xf>
    <xf numFmtId="0" fontId="12" fillId="0" borderId="1" xfId="7" applyFont="1" applyBorder="1" applyAlignment="1">
      <alignment horizontal="left"/>
    </xf>
    <xf numFmtId="0" fontId="11" fillId="0" borderId="20" xfId="0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14" fontId="4" fillId="2" borderId="38" xfId="1" applyNumberFormat="1" applyFont="1" applyFill="1" applyBorder="1" applyAlignment="1">
      <alignment horizontal="center" vertical="center" wrapText="1"/>
    </xf>
    <xf numFmtId="14" fontId="4" fillId="2" borderId="33" xfId="1" applyNumberFormat="1" applyFont="1" applyFill="1" applyBorder="1" applyAlignment="1">
      <alignment horizontal="center" vertical="center" wrapText="1"/>
    </xf>
    <xf numFmtId="14" fontId="4" fillId="2" borderId="7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left"/>
    </xf>
    <xf numFmtId="0" fontId="4" fillId="2" borderId="36" xfId="1" applyFont="1" applyFill="1" applyBorder="1" applyAlignment="1">
      <alignment horizontal="left"/>
    </xf>
    <xf numFmtId="0" fontId="4" fillId="2" borderId="35" xfId="1" applyFont="1" applyFill="1" applyBorder="1" applyAlignment="1">
      <alignment horizontal="left"/>
    </xf>
    <xf numFmtId="0" fontId="4" fillId="2" borderId="17" xfId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4" fillId="2" borderId="18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2" xfId="1" applyFont="1" applyFill="1" applyBorder="1" applyAlignment="1">
      <alignment horizontal="center"/>
    </xf>
    <xf numFmtId="0" fontId="4" fillId="2" borderId="21" xfId="1" applyFont="1" applyFill="1" applyBorder="1" applyAlignment="1">
      <alignment horizontal="center"/>
    </xf>
    <xf numFmtId="0" fontId="8" fillId="2" borderId="29" xfId="1" applyFont="1" applyFill="1" applyBorder="1" applyAlignment="1">
      <alignment horizontal="center"/>
    </xf>
    <xf numFmtId="0" fontId="8" fillId="2" borderId="13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/>
    </xf>
    <xf numFmtId="0" fontId="16" fillId="6" borderId="17" xfId="1" applyFont="1" applyFill="1" applyBorder="1" applyAlignment="1">
      <alignment horizontal="center" vertical="center" wrapText="1"/>
    </xf>
    <xf numFmtId="0" fontId="16" fillId="6" borderId="5" xfId="1" applyFont="1" applyFill="1" applyBorder="1" applyAlignment="1">
      <alignment horizontal="center" vertical="center" wrapText="1"/>
    </xf>
    <xf numFmtId="0" fontId="16" fillId="6" borderId="18" xfId="1" applyFont="1" applyFill="1" applyBorder="1" applyAlignment="1">
      <alignment horizontal="center" vertical="center" wrapText="1"/>
    </xf>
    <xf numFmtId="0" fontId="5" fillId="2" borderId="39" xfId="1" applyFont="1" applyFill="1" applyBorder="1" applyAlignment="1">
      <alignment horizontal="right" vertical="top" wrapText="1"/>
    </xf>
    <xf numFmtId="0" fontId="5" fillId="2" borderId="34" xfId="1" applyFont="1" applyFill="1" applyBorder="1" applyAlignment="1">
      <alignment horizontal="right" vertical="top" wrapText="1"/>
    </xf>
    <xf numFmtId="0" fontId="5" fillId="2" borderId="32" xfId="1" applyFont="1" applyFill="1" applyBorder="1" applyAlignment="1">
      <alignment horizontal="right" vertical="top" wrapText="1"/>
    </xf>
    <xf numFmtId="0" fontId="7" fillId="2" borderId="0" xfId="1" applyFont="1" applyFill="1" applyAlignment="1">
      <alignment horizontal="right"/>
    </xf>
    <xf numFmtId="0" fontId="14" fillId="2" borderId="31" xfId="1" applyFont="1" applyFill="1" applyBorder="1" applyAlignment="1">
      <alignment horizontal="center"/>
    </xf>
    <xf numFmtId="0" fontId="7" fillId="2" borderId="0" xfId="1" applyFont="1" applyFill="1"/>
    <xf numFmtId="0" fontId="5" fillId="4" borderId="30" xfId="2" applyFont="1" applyFill="1" applyBorder="1" applyAlignment="1">
      <alignment horizontal="center" vertical="center"/>
    </xf>
    <xf numFmtId="0" fontId="5" fillId="4" borderId="16" xfId="2" applyFont="1" applyFill="1" applyBorder="1" applyAlignment="1">
      <alignment horizontal="center" vertical="center"/>
    </xf>
    <xf numFmtId="0" fontId="5" fillId="4" borderId="30" xfId="2" applyFont="1" applyFill="1" applyBorder="1" applyAlignment="1">
      <alignment horizontal="center" vertical="center" wrapText="1"/>
    </xf>
    <xf numFmtId="0" fontId="5" fillId="4" borderId="16" xfId="2" applyFont="1" applyFill="1" applyBorder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/>
    </xf>
    <xf numFmtId="0" fontId="5" fillId="4" borderId="14" xfId="2" applyFont="1" applyFill="1" applyBorder="1" applyAlignment="1">
      <alignment horizontal="center" vertical="center"/>
    </xf>
    <xf numFmtId="0" fontId="9" fillId="0" borderId="22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9" fillId="0" borderId="9" xfId="2" applyFont="1" applyBorder="1" applyAlignment="1">
      <alignment horizontal="right"/>
    </xf>
    <xf numFmtId="164" fontId="11" fillId="0" borderId="8" xfId="2" applyNumberFormat="1" applyFont="1" applyBorder="1" applyAlignment="1">
      <alignment horizontal="right"/>
    </xf>
    <xf numFmtId="0" fontId="11" fillId="2" borderId="20" xfId="2" applyFont="1" applyFill="1" applyBorder="1" applyAlignment="1">
      <alignment horizontal="center"/>
    </xf>
    <xf numFmtId="0" fontId="11" fillId="2" borderId="19" xfId="2" applyFont="1" applyFill="1" applyBorder="1" applyAlignment="1">
      <alignment horizontal="center"/>
    </xf>
    <xf numFmtId="0" fontId="9" fillId="0" borderId="6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11" fillId="0" borderId="1" xfId="2" applyFont="1" applyBorder="1" applyAlignment="1">
      <alignment horizontal="right"/>
    </xf>
    <xf numFmtId="164" fontId="11" fillId="0" borderId="17" xfId="2" applyNumberFormat="1" applyFont="1" applyBorder="1" applyAlignment="1">
      <alignment horizontal="center"/>
    </xf>
    <xf numFmtId="164" fontId="11" fillId="0" borderId="4" xfId="2" applyNumberFormat="1" applyFont="1" applyBorder="1" applyAlignment="1">
      <alignment horizontal="center"/>
    </xf>
    <xf numFmtId="0" fontId="9" fillId="0" borderId="16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0" fontId="11" fillId="0" borderId="14" xfId="2" applyFont="1" applyBorder="1" applyAlignment="1">
      <alignment horizontal="right"/>
    </xf>
    <xf numFmtId="0" fontId="9" fillId="4" borderId="12" xfId="2" applyFont="1" applyFill="1" applyBorder="1" applyAlignment="1">
      <alignment horizontal="center"/>
    </xf>
    <xf numFmtId="0" fontId="9" fillId="4" borderId="11" xfId="2" applyFont="1" applyFill="1" applyBorder="1" applyAlignment="1">
      <alignment horizontal="center"/>
    </xf>
    <xf numFmtId="0" fontId="9" fillId="4" borderId="10" xfId="2" applyFont="1" applyFill="1" applyBorder="1" applyAlignment="1">
      <alignment horizontal="center"/>
    </xf>
    <xf numFmtId="0" fontId="11" fillId="0" borderId="22" xfId="2" applyFont="1" applyBorder="1" applyAlignment="1">
      <alignment horizontal="left" vertical="center" wrapText="1"/>
    </xf>
    <xf numFmtId="0" fontId="11" fillId="0" borderId="21" xfId="2" applyFont="1" applyBorder="1" applyAlignment="1">
      <alignment horizontal="left" vertical="center" wrapText="1"/>
    </xf>
    <xf numFmtId="0" fontId="11" fillId="0" borderId="19" xfId="2" applyFont="1" applyBorder="1" applyAlignment="1">
      <alignment horizontal="left" vertical="center" wrapText="1"/>
    </xf>
    <xf numFmtId="164" fontId="11" fillId="0" borderId="17" xfId="2" applyNumberFormat="1" applyFont="1" applyBorder="1" applyAlignment="1">
      <alignment horizontal="right" wrapText="1"/>
    </xf>
    <xf numFmtId="164" fontId="11" fillId="0" borderId="18" xfId="2" applyNumberFormat="1" applyFont="1" applyBorder="1" applyAlignment="1">
      <alignment horizontal="right" wrapText="1"/>
    </xf>
    <xf numFmtId="164" fontId="11" fillId="0" borderId="17" xfId="0" applyNumberFormat="1" applyFont="1" applyBorder="1" applyAlignment="1">
      <alignment horizontal="center" wrapText="1"/>
    </xf>
    <xf numFmtId="164" fontId="11" fillId="0" borderId="4" xfId="0" applyNumberFormat="1" applyFont="1" applyBorder="1" applyAlignment="1">
      <alignment horizontal="center" wrapText="1"/>
    </xf>
    <xf numFmtId="0" fontId="9" fillId="3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/>
    </xf>
    <xf numFmtId="0" fontId="11" fillId="0" borderId="24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23" xfId="2" applyFont="1" applyBorder="1" applyAlignment="1">
      <alignment horizontal="left"/>
    </xf>
    <xf numFmtId="0" fontId="11" fillId="0" borderId="22" xfId="2" applyFont="1" applyBorder="1" applyAlignment="1">
      <alignment horizontal="left" vertical="center"/>
    </xf>
    <xf numFmtId="0" fontId="11" fillId="0" borderId="21" xfId="2" applyFont="1" applyBorder="1" applyAlignment="1">
      <alignment horizontal="left" vertical="center"/>
    </xf>
    <xf numFmtId="0" fontId="11" fillId="0" borderId="19" xfId="2" applyFont="1" applyBorder="1" applyAlignment="1">
      <alignment horizontal="left" vertical="center"/>
    </xf>
  </cellXfs>
  <cellStyles count="8">
    <cellStyle name="Millares" xfId="6" builtinId="3"/>
    <cellStyle name="Normal" xfId="0" builtinId="0"/>
    <cellStyle name="Normal 2" xfId="2" xr:uid="{4B93768E-C237-4468-8F74-B20BDDC565AF}"/>
    <cellStyle name="Normal 3" xfId="7" xr:uid="{C3E02ED2-D176-41C0-AA1A-2B96723359D4}"/>
    <cellStyle name="Normal 3 2" xfId="3" xr:uid="{A763F67F-35C2-4CC7-A64E-B37617A0CA10}"/>
    <cellStyle name="Normal 3 3" xfId="4" xr:uid="{35430E48-8EA0-41CB-BA02-BD157D5D83C7}"/>
    <cellStyle name="Normal 5 2" xfId="5" xr:uid="{B55688E3-75D6-4183-8F39-6F4A85170751}"/>
    <cellStyle name="Normal_CRITERIOS DE EVALUACION PT DE GB 2" xfId="1" xr:uid="{9AA12E1E-D8B2-4972-9AF9-E33AB24C81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78582</xdr:colOff>
      <xdr:row>0</xdr:row>
      <xdr:rowOff>88144</xdr:rowOff>
    </xdr:from>
    <xdr:to>
      <xdr:col>1</xdr:col>
      <xdr:colOff>915044</xdr:colOff>
      <xdr:row>4</xdr:row>
      <xdr:rowOff>142875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9654755E-7F75-4B15-8966-18B4510D0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2" y="88144"/>
          <a:ext cx="1598462" cy="1114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A98C-08FB-4D4C-81C0-E7F43C35133F}">
  <sheetPr>
    <pageSetUpPr fitToPage="1"/>
  </sheetPr>
  <dimension ref="A1:K3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4.85546875" customWidth="1"/>
    <col min="3" max="3" width="54.7109375" customWidth="1"/>
    <col min="4" max="4" width="17.7109375" customWidth="1"/>
    <col min="7" max="7" width="21.5703125" customWidth="1"/>
    <col min="8" max="8" width="15.140625" customWidth="1"/>
    <col min="9" max="9" width="17.42578125" bestFit="1" customWidth="1"/>
  </cols>
  <sheetData>
    <row r="1" spans="1:11" ht="15.75" x14ac:dyDescent="0.25">
      <c r="A1" s="72"/>
      <c r="B1" s="73"/>
      <c r="C1" s="78" t="s">
        <v>39</v>
      </c>
      <c r="D1" s="78"/>
      <c r="E1" s="78"/>
      <c r="F1" s="78"/>
      <c r="G1" s="78"/>
      <c r="H1" s="10" t="s">
        <v>38</v>
      </c>
      <c r="I1" s="9" t="s">
        <v>54</v>
      </c>
    </row>
    <row r="2" spans="1:11" ht="18" customHeight="1" thickBot="1" x14ac:dyDescent="0.3">
      <c r="A2" s="74"/>
      <c r="B2" s="75"/>
      <c r="C2" s="79" t="s">
        <v>37</v>
      </c>
      <c r="D2" s="80"/>
      <c r="E2" s="80"/>
      <c r="F2" s="80"/>
      <c r="G2" s="81"/>
      <c r="H2" s="8" t="s">
        <v>36</v>
      </c>
      <c r="I2" s="7" t="s">
        <v>40</v>
      </c>
    </row>
    <row r="3" spans="1:11" ht="31.5" customHeight="1" thickBot="1" x14ac:dyDescent="0.25">
      <c r="A3" s="74"/>
      <c r="B3" s="75"/>
      <c r="C3" s="82" t="s">
        <v>51</v>
      </c>
      <c r="D3" s="83"/>
      <c r="E3" s="83"/>
      <c r="F3" s="83"/>
      <c r="G3" s="84"/>
      <c r="H3" s="85" t="s">
        <v>35</v>
      </c>
      <c r="I3" s="63">
        <v>46080</v>
      </c>
    </row>
    <row r="4" spans="1:11" ht="18" customHeight="1" x14ac:dyDescent="0.25">
      <c r="A4" s="74"/>
      <c r="B4" s="75"/>
      <c r="C4" s="6" t="s">
        <v>34</v>
      </c>
      <c r="D4" s="66" t="s">
        <v>41</v>
      </c>
      <c r="E4" s="67"/>
      <c r="F4" s="67"/>
      <c r="G4" s="68"/>
      <c r="H4" s="86"/>
      <c r="I4" s="64"/>
    </row>
    <row r="5" spans="1:11" ht="14.25" thickBot="1" x14ac:dyDescent="0.3">
      <c r="A5" s="76"/>
      <c r="B5" s="77"/>
      <c r="C5" s="5" t="s">
        <v>33</v>
      </c>
      <c r="D5" s="69" t="s">
        <v>42</v>
      </c>
      <c r="E5" s="70"/>
      <c r="F5" s="70"/>
      <c r="G5" s="71"/>
      <c r="H5" s="87"/>
      <c r="I5" s="65"/>
    </row>
    <row r="6" spans="1:11" ht="18.75" thickBot="1" x14ac:dyDescent="0.3">
      <c r="A6" s="88" t="s">
        <v>32</v>
      </c>
      <c r="B6" s="88"/>
      <c r="C6" s="88"/>
      <c r="D6" s="89" t="s">
        <v>52</v>
      </c>
      <c r="E6" s="89"/>
      <c r="F6" s="89"/>
      <c r="G6" s="90" t="s">
        <v>31</v>
      </c>
      <c r="H6" s="90"/>
      <c r="I6" s="42" t="s">
        <v>53</v>
      </c>
    </row>
    <row r="7" spans="1:11" ht="29.25" customHeight="1" x14ac:dyDescent="0.2">
      <c r="A7" s="91" t="s">
        <v>30</v>
      </c>
      <c r="B7" s="93" t="s">
        <v>29</v>
      </c>
      <c r="C7" s="95" t="s">
        <v>28</v>
      </c>
      <c r="D7" s="95" t="s">
        <v>27</v>
      </c>
      <c r="E7" s="95" t="s">
        <v>26</v>
      </c>
      <c r="F7" s="95"/>
      <c r="G7" s="95" t="s">
        <v>25</v>
      </c>
      <c r="H7" s="95"/>
      <c r="I7" s="4" t="s">
        <v>24</v>
      </c>
    </row>
    <row r="8" spans="1:11" ht="26.25" thickBot="1" x14ac:dyDescent="0.25">
      <c r="A8" s="92"/>
      <c r="B8" s="94"/>
      <c r="C8" s="96"/>
      <c r="D8" s="96"/>
      <c r="E8" s="3" t="s">
        <v>15</v>
      </c>
      <c r="F8" s="2" t="s">
        <v>23</v>
      </c>
      <c r="G8" s="3" t="s">
        <v>15</v>
      </c>
      <c r="H8" s="2" t="s">
        <v>23</v>
      </c>
      <c r="I8" s="1" t="s">
        <v>22</v>
      </c>
    </row>
    <row r="9" spans="1:11" ht="18.399999999999999" customHeight="1" x14ac:dyDescent="0.3">
      <c r="A9" s="11"/>
      <c r="B9" s="12"/>
      <c r="C9" s="13" t="s">
        <v>21</v>
      </c>
      <c r="D9" s="14"/>
      <c r="E9" s="15"/>
      <c r="F9" s="16"/>
      <c r="G9" s="15"/>
      <c r="H9" s="16"/>
      <c r="I9" s="17"/>
    </row>
    <row r="10" spans="1:11" ht="20.25" x14ac:dyDescent="0.3">
      <c r="A10" s="43"/>
      <c r="B10" s="19" t="s">
        <v>20</v>
      </c>
      <c r="C10" s="20" t="s">
        <v>19</v>
      </c>
      <c r="D10" s="44" t="s">
        <v>18</v>
      </c>
      <c r="E10" s="44">
        <v>2500</v>
      </c>
      <c r="F10" s="44" t="s">
        <v>2</v>
      </c>
      <c r="G10" s="45"/>
      <c r="H10" s="46"/>
      <c r="I10" s="17"/>
      <c r="J10">
        <f>+E10/$D$19</f>
        <v>1.0416666666666667</v>
      </c>
    </row>
    <row r="11" spans="1:11" ht="20.25" x14ac:dyDescent="0.3">
      <c r="A11" s="47"/>
      <c r="B11" s="47"/>
      <c r="C11" s="48"/>
      <c r="D11" s="50"/>
      <c r="E11" s="52"/>
      <c r="F11" s="53"/>
      <c r="G11" s="15"/>
      <c r="H11" s="16"/>
      <c r="I11" s="17"/>
    </row>
    <row r="12" spans="1:11" ht="20.25" x14ac:dyDescent="0.3">
      <c r="A12" s="24"/>
      <c r="B12" s="25"/>
      <c r="C12" s="26" t="s">
        <v>17</v>
      </c>
      <c r="D12" s="27"/>
      <c r="E12" s="54"/>
      <c r="F12" s="16"/>
      <c r="G12" s="15"/>
      <c r="H12" s="49"/>
      <c r="I12" s="17"/>
    </row>
    <row r="13" spans="1:11" ht="20.25" x14ac:dyDescent="0.3">
      <c r="A13" s="55">
        <v>512000002</v>
      </c>
      <c r="B13" s="55" t="s">
        <v>43</v>
      </c>
      <c r="C13" s="56" t="s">
        <v>44</v>
      </c>
      <c r="D13" s="47"/>
      <c r="E13" s="52">
        <v>1</v>
      </c>
      <c r="F13" s="53" t="s">
        <v>45</v>
      </c>
      <c r="G13" s="57"/>
      <c r="H13" s="16"/>
      <c r="I13" s="17"/>
    </row>
    <row r="14" spans="1:11" ht="20.25" x14ac:dyDescent="0.3">
      <c r="A14" s="58">
        <v>702067</v>
      </c>
      <c r="B14" s="58" t="s">
        <v>46</v>
      </c>
      <c r="C14" s="59" t="s">
        <v>47</v>
      </c>
      <c r="D14" s="47" t="s">
        <v>16</v>
      </c>
      <c r="E14" s="52">
        <v>1</v>
      </c>
      <c r="F14" s="53" t="s">
        <v>7</v>
      </c>
      <c r="G14" s="57"/>
      <c r="H14" s="16"/>
      <c r="I14" s="17"/>
      <c r="J14">
        <f>+E14/D19</f>
        <v>4.1666666666666669E-4</v>
      </c>
      <c r="K14">
        <f>+J14*1000</f>
        <v>0.41666666666666669</v>
      </c>
    </row>
    <row r="15" spans="1:11" ht="20.25" x14ac:dyDescent="0.3">
      <c r="A15" s="47"/>
      <c r="B15" s="47"/>
      <c r="C15" s="48"/>
      <c r="D15" s="50"/>
      <c r="E15" s="52"/>
      <c r="F15" s="47"/>
      <c r="G15" s="57"/>
      <c r="H15" s="16"/>
      <c r="I15" s="17"/>
    </row>
    <row r="16" spans="1:11" ht="20.25" x14ac:dyDescent="0.3">
      <c r="A16" s="22"/>
      <c r="B16" s="23"/>
      <c r="C16" s="28"/>
      <c r="D16" s="18"/>
      <c r="E16" s="18"/>
      <c r="F16" s="21"/>
      <c r="G16" s="18"/>
      <c r="H16" s="18"/>
      <c r="I16" s="17"/>
    </row>
    <row r="17" spans="1:9" ht="21" thickBot="1" x14ac:dyDescent="0.35">
      <c r="A17" s="29"/>
      <c r="B17" s="30"/>
      <c r="C17" s="31"/>
      <c r="D17" s="31"/>
      <c r="E17" s="32"/>
      <c r="F17" s="33"/>
      <c r="G17" s="31"/>
      <c r="H17" s="31"/>
      <c r="I17" s="34"/>
    </row>
    <row r="18" spans="1:9" ht="21" thickBot="1" x14ac:dyDescent="0.35">
      <c r="A18" s="35"/>
      <c r="B18" s="36"/>
      <c r="C18" s="37"/>
      <c r="D18" s="38" t="s">
        <v>15</v>
      </c>
      <c r="E18" s="39" t="s">
        <v>14</v>
      </c>
      <c r="F18" s="40"/>
      <c r="G18" s="37"/>
      <c r="H18" s="37"/>
      <c r="I18" s="41"/>
    </row>
    <row r="19" spans="1:9" ht="20.25" x14ac:dyDescent="0.3">
      <c r="A19" s="97" t="s">
        <v>13</v>
      </c>
      <c r="B19" s="98"/>
      <c r="C19" s="99"/>
      <c r="D19" s="51">
        <v>2400</v>
      </c>
      <c r="E19" s="60" t="s">
        <v>2</v>
      </c>
      <c r="F19" s="100" t="s">
        <v>12</v>
      </c>
      <c r="G19" s="100"/>
      <c r="H19" s="101"/>
      <c r="I19" s="102"/>
    </row>
    <row r="20" spans="1:9" ht="20.25" x14ac:dyDescent="0.3">
      <c r="A20" s="103" t="s">
        <v>11</v>
      </c>
      <c r="B20" s="104"/>
      <c r="C20" s="105"/>
      <c r="D20" s="52">
        <v>8</v>
      </c>
      <c r="E20" s="47" t="s">
        <v>10</v>
      </c>
      <c r="F20" s="106" t="s">
        <v>9</v>
      </c>
      <c r="G20" s="106"/>
      <c r="H20" s="107"/>
      <c r="I20" s="108"/>
    </row>
    <row r="21" spans="1:9" ht="20.25" x14ac:dyDescent="0.3">
      <c r="A21" s="103" t="s">
        <v>8</v>
      </c>
      <c r="B21" s="104"/>
      <c r="C21" s="105"/>
      <c r="D21" s="52">
        <v>1</v>
      </c>
      <c r="E21" s="47" t="s">
        <v>48</v>
      </c>
      <c r="F21" s="106" t="s">
        <v>6</v>
      </c>
      <c r="G21" s="106"/>
      <c r="H21" s="107"/>
      <c r="I21" s="108"/>
    </row>
    <row r="22" spans="1:9" ht="20.25" x14ac:dyDescent="0.3">
      <c r="A22" s="103" t="s">
        <v>5</v>
      </c>
      <c r="B22" s="104"/>
      <c r="C22" s="105"/>
      <c r="D22" s="52">
        <v>2400</v>
      </c>
      <c r="E22" s="47" t="s">
        <v>2</v>
      </c>
      <c r="F22" s="119" t="s">
        <v>4</v>
      </c>
      <c r="G22" s="120"/>
      <c r="H22" s="121"/>
      <c r="I22" s="122"/>
    </row>
    <row r="23" spans="1:9" ht="21" thickBot="1" x14ac:dyDescent="0.35">
      <c r="A23" s="109" t="s">
        <v>3</v>
      </c>
      <c r="B23" s="110"/>
      <c r="C23" s="111"/>
      <c r="D23" s="61">
        <f>SUM(E10)-D19</f>
        <v>100</v>
      </c>
      <c r="E23" s="62"/>
      <c r="F23" s="112"/>
      <c r="G23" s="112"/>
      <c r="H23" s="107"/>
      <c r="I23" s="108"/>
    </row>
    <row r="24" spans="1:9" ht="21" thickBot="1" x14ac:dyDescent="0.35">
      <c r="A24" s="113" t="s">
        <v>1</v>
      </c>
      <c r="B24" s="114"/>
      <c r="C24" s="114"/>
      <c r="D24" s="114"/>
      <c r="E24" s="114"/>
      <c r="F24" s="114"/>
      <c r="G24" s="114"/>
      <c r="H24" s="114"/>
      <c r="I24" s="115"/>
    </row>
    <row r="25" spans="1:9" ht="20.25" x14ac:dyDescent="0.2">
      <c r="A25" s="116" t="s">
        <v>49</v>
      </c>
      <c r="B25" s="117"/>
      <c r="C25" s="117"/>
      <c r="D25" s="117"/>
      <c r="E25" s="117"/>
      <c r="F25" s="117"/>
      <c r="G25" s="117"/>
      <c r="H25" s="117"/>
      <c r="I25" s="118"/>
    </row>
    <row r="26" spans="1:9" ht="20.25" x14ac:dyDescent="0.2">
      <c r="A26" s="128" t="s">
        <v>50</v>
      </c>
      <c r="B26" s="129"/>
      <c r="C26" s="129"/>
      <c r="D26" s="129"/>
      <c r="E26" s="129"/>
      <c r="F26" s="129"/>
      <c r="G26" s="129"/>
      <c r="H26" s="129"/>
      <c r="I26" s="130"/>
    </row>
    <row r="27" spans="1:9" ht="20.25" x14ac:dyDescent="0.3">
      <c r="A27" s="125"/>
      <c r="B27" s="126"/>
      <c r="C27" s="126"/>
      <c r="D27" s="126"/>
      <c r="E27" s="126"/>
      <c r="F27" s="126"/>
      <c r="G27" s="126"/>
      <c r="H27" s="126"/>
      <c r="I27" s="127"/>
    </row>
    <row r="28" spans="1:9" ht="20.25" x14ac:dyDescent="0.3">
      <c r="A28" s="123" t="s">
        <v>0</v>
      </c>
      <c r="B28" s="123"/>
      <c r="C28" s="123"/>
      <c r="D28" s="123"/>
      <c r="E28" s="123"/>
      <c r="F28" s="123"/>
      <c r="G28" s="123"/>
      <c r="H28" s="123"/>
      <c r="I28" s="123"/>
    </row>
    <row r="29" spans="1:9" ht="20.25" x14ac:dyDescent="0.3">
      <c r="A29" s="124"/>
      <c r="B29" s="124"/>
      <c r="C29" s="124"/>
      <c r="D29" s="124"/>
      <c r="E29" s="124"/>
      <c r="F29" s="124"/>
      <c r="G29" s="124"/>
      <c r="H29" s="124"/>
      <c r="I29" s="124"/>
    </row>
    <row r="30" spans="1:9" ht="20.25" x14ac:dyDescent="0.3">
      <c r="A30" s="124"/>
      <c r="B30" s="124"/>
      <c r="C30" s="124"/>
      <c r="D30" s="124"/>
      <c r="E30" s="124"/>
      <c r="F30" s="124"/>
      <c r="G30" s="124"/>
      <c r="H30" s="124"/>
      <c r="I30" s="124"/>
    </row>
  </sheetData>
  <mergeCells count="39">
    <mergeCell ref="A28:I28"/>
    <mergeCell ref="A29:I29"/>
    <mergeCell ref="A30:I30"/>
    <mergeCell ref="A27:I27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F6082D-A75E-45F5-929D-D629E592C5C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1BF6ADA-41F3-4567-A311-97AC2481DC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7F1DB9-2C18-4EF4-92F8-F396E5B12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Procesado</vt:lpstr>
      <vt:lpstr>Procesado!Área_de_impresión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2026-03-02T22:14:12Z</cp:lastPrinted>
  <dcterms:created xsi:type="dcterms:W3CDTF">2026-02-04T15:35:49Z</dcterms:created>
  <dcterms:modified xsi:type="dcterms:W3CDTF">2026-03-02T22:19:55Z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
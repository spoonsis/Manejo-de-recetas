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15" documentId="8_{D17C34E6-C6F6-4DAF-BFBA-AFD02C0E7AA7}" xr6:coauthVersionLast="47" xr6:coauthVersionMax="47" xr10:uidLastSave="{F02004A0-9F22-4018-9956-0BF26AED6097}"/>
  <bookViews>
    <workbookView xWindow="-120" yWindow="-120" windowWidth="20730" windowHeight="11040" tabRatio="945" firstSheet="3" activeTab="3" xr2:uid="{DE9EED13-09CE-4AA3-93CA-582F6D200B0A}"/>
  </bookViews>
  <sheets>
    <sheet name="Hoja17" sheetId="17" state="hidden" r:id="rId1"/>
    <sheet name="Hoja7" sheetId="7" state="hidden" r:id="rId2"/>
    <sheet name="Costo coccion" sheetId="25" state="hidden" r:id="rId3"/>
    <sheet name="Empaque " sheetId="24" r:id="rId4"/>
    <sheet name="Costo Empaque " sheetId="26" state="hidden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26" l="1"/>
  <c r="D74" i="26" s="1"/>
  <c r="D76" i="26" s="1"/>
  <c r="C73" i="26"/>
  <c r="C85" i="26" s="1"/>
  <c r="D71" i="26"/>
  <c r="D69" i="26"/>
  <c r="F65" i="26"/>
  <c r="E51" i="26" s="1"/>
  <c r="F51" i="26" s="1"/>
  <c r="D60" i="26"/>
  <c r="D85" i="26" s="1"/>
  <c r="D86" i="26" s="1"/>
  <c r="C51" i="26"/>
  <c r="E50" i="26"/>
  <c r="D50" i="26"/>
  <c r="B50" i="26"/>
  <c r="E49" i="26"/>
  <c r="D49" i="26"/>
  <c r="B49" i="26"/>
  <c r="E48" i="26"/>
  <c r="D48" i="26"/>
  <c r="B48" i="26"/>
  <c r="E47" i="26"/>
  <c r="D47" i="26"/>
  <c r="B47" i="26"/>
  <c r="E46" i="26"/>
  <c r="D46" i="26"/>
  <c r="B46" i="26"/>
  <c r="E45" i="26"/>
  <c r="F45" i="26" s="1"/>
  <c r="D45" i="26"/>
  <c r="B45" i="26"/>
  <c r="A45" i="26"/>
  <c r="C45" i="26" s="1"/>
  <c r="E41" i="26"/>
  <c r="F41" i="26" s="1"/>
  <c r="D41" i="26"/>
  <c r="C41" i="26"/>
  <c r="B41" i="26"/>
  <c r="A41" i="26"/>
  <c r="A50" i="26" s="1"/>
  <c r="C50" i="26" s="1"/>
  <c r="E40" i="26"/>
  <c r="F40" i="26" s="1"/>
  <c r="D40" i="26"/>
  <c r="B40" i="26"/>
  <c r="A40" i="26"/>
  <c r="C40" i="26" s="1"/>
  <c r="E39" i="26"/>
  <c r="D39" i="26"/>
  <c r="B39" i="26"/>
  <c r="A39" i="26"/>
  <c r="C39" i="26" s="1"/>
  <c r="E38" i="26"/>
  <c r="D38" i="26"/>
  <c r="B38" i="26"/>
  <c r="A38" i="26"/>
  <c r="A47" i="26" s="1"/>
  <c r="C47" i="26" s="1"/>
  <c r="E37" i="26"/>
  <c r="D37" i="26"/>
  <c r="C37" i="26"/>
  <c r="B37" i="26"/>
  <c r="A37" i="26"/>
  <c r="A46" i="26" s="1"/>
  <c r="C46" i="26" s="1"/>
  <c r="E36" i="26"/>
  <c r="D36" i="26"/>
  <c r="C36" i="26"/>
  <c r="B36" i="26"/>
  <c r="A36" i="26"/>
  <c r="A35" i="26"/>
  <c r="C35" i="26" s="1"/>
  <c r="E32" i="26"/>
  <c r="F32" i="26" s="1"/>
  <c r="D32" i="26"/>
  <c r="C32" i="26"/>
  <c r="B32" i="26"/>
  <c r="E31" i="26"/>
  <c r="F31" i="26" s="1"/>
  <c r="D31" i="26"/>
  <c r="C31" i="26"/>
  <c r="B31" i="26"/>
  <c r="E30" i="26"/>
  <c r="F30" i="26" s="1"/>
  <c r="D30" i="26"/>
  <c r="C30" i="26"/>
  <c r="B30" i="26"/>
  <c r="E29" i="26"/>
  <c r="D29" i="26"/>
  <c r="C29" i="26"/>
  <c r="B29" i="26"/>
  <c r="E28" i="26"/>
  <c r="D28" i="26"/>
  <c r="C28" i="26"/>
  <c r="B28" i="26"/>
  <c r="E27" i="26"/>
  <c r="F27" i="26" s="1"/>
  <c r="D27" i="26"/>
  <c r="C27" i="26"/>
  <c r="B27" i="26"/>
  <c r="E24" i="26"/>
  <c r="F24" i="26" s="1"/>
  <c r="D24" i="26"/>
  <c r="C24" i="26"/>
  <c r="B24" i="26"/>
  <c r="E23" i="26"/>
  <c r="F23" i="26" s="1"/>
  <c r="D23" i="26"/>
  <c r="C23" i="26"/>
  <c r="B23" i="26"/>
  <c r="E22" i="26"/>
  <c r="F22" i="26" s="1"/>
  <c r="D22" i="26"/>
  <c r="C22" i="26"/>
  <c r="B22" i="26"/>
  <c r="E21" i="26"/>
  <c r="F21" i="26" s="1"/>
  <c r="D21" i="26"/>
  <c r="C21" i="26"/>
  <c r="B21" i="26"/>
  <c r="E20" i="26"/>
  <c r="F20" i="26" s="1"/>
  <c r="D20" i="26"/>
  <c r="C20" i="26"/>
  <c r="B20" i="26"/>
  <c r="E19" i="26"/>
  <c r="F19" i="26" s="1"/>
  <c r="D19" i="26"/>
  <c r="C19" i="26"/>
  <c r="B19" i="26"/>
  <c r="E18" i="26"/>
  <c r="F18" i="26" s="1"/>
  <c r="D18" i="26"/>
  <c r="C18" i="26"/>
  <c r="B18" i="26"/>
  <c r="C17" i="26"/>
  <c r="B15" i="26"/>
  <c r="E14" i="26"/>
  <c r="F14" i="26" s="1"/>
  <c r="D14" i="26"/>
  <c r="C14" i="26"/>
  <c r="B14" i="26"/>
  <c r="E13" i="26"/>
  <c r="F13" i="26" s="1"/>
  <c r="D13" i="26"/>
  <c r="C13" i="26"/>
  <c r="B13" i="26"/>
  <c r="E12" i="26"/>
  <c r="F12" i="26" s="1"/>
  <c r="D12" i="26"/>
  <c r="C12" i="26"/>
  <c r="B12" i="26"/>
  <c r="E11" i="26"/>
  <c r="F11" i="26" s="1"/>
  <c r="D11" i="26"/>
  <c r="C11" i="26"/>
  <c r="B11" i="26"/>
  <c r="E10" i="26"/>
  <c r="F10" i="26" s="1"/>
  <c r="D10" i="26"/>
  <c r="C10" i="26"/>
  <c r="B10" i="26"/>
  <c r="E9" i="26"/>
  <c r="F9" i="26" s="1"/>
  <c r="D9" i="26"/>
  <c r="C9" i="26"/>
  <c r="B9" i="26"/>
  <c r="E8" i="26"/>
  <c r="F8" i="26" s="1"/>
  <c r="D8" i="26"/>
  <c r="C8" i="26"/>
  <c r="B8" i="26"/>
  <c r="H6" i="26"/>
  <c r="D73" i="25"/>
  <c r="D74" i="25" s="1"/>
  <c r="D76" i="25" s="1"/>
  <c r="D71" i="25"/>
  <c r="D69" i="25"/>
  <c r="F65" i="25"/>
  <c r="E51" i="25" s="1"/>
  <c r="F51" i="25" s="1"/>
  <c r="D60" i="25"/>
  <c r="D85" i="25" s="1"/>
  <c r="D86" i="25" s="1"/>
  <c r="C51" i="25"/>
  <c r="E50" i="25"/>
  <c r="D50" i="25"/>
  <c r="B50" i="25"/>
  <c r="E49" i="25"/>
  <c r="D49" i="25"/>
  <c r="B49" i="25"/>
  <c r="E48" i="25"/>
  <c r="D48" i="25"/>
  <c r="B48" i="25"/>
  <c r="E47" i="25"/>
  <c r="D47" i="25"/>
  <c r="B47" i="25"/>
  <c r="E46" i="25"/>
  <c r="D46" i="25"/>
  <c r="B46" i="25"/>
  <c r="E45" i="25"/>
  <c r="D45" i="25"/>
  <c r="B45" i="25"/>
  <c r="E44" i="25"/>
  <c r="D44" i="25"/>
  <c r="B44" i="25"/>
  <c r="E41" i="25"/>
  <c r="D41" i="25"/>
  <c r="B41" i="25"/>
  <c r="A41" i="25"/>
  <c r="A50" i="25" s="1"/>
  <c r="C50" i="25" s="1"/>
  <c r="E40" i="25"/>
  <c r="D40" i="25"/>
  <c r="B40" i="25"/>
  <c r="A40" i="25"/>
  <c r="C40" i="25" s="1"/>
  <c r="E39" i="25"/>
  <c r="D39" i="25"/>
  <c r="B39" i="25"/>
  <c r="A39" i="25"/>
  <c r="C39" i="25" s="1"/>
  <c r="E38" i="25"/>
  <c r="D38" i="25"/>
  <c r="B38" i="25"/>
  <c r="A38" i="25"/>
  <c r="A47" i="25" s="1"/>
  <c r="C47" i="25" s="1"/>
  <c r="E37" i="25"/>
  <c r="D37" i="25"/>
  <c r="B37" i="25"/>
  <c r="A37" i="25"/>
  <c r="A46" i="25" s="1"/>
  <c r="C46" i="25" s="1"/>
  <c r="E36" i="25"/>
  <c r="D36" i="25"/>
  <c r="B36" i="25"/>
  <c r="A36" i="25"/>
  <c r="C36" i="25" s="1"/>
  <c r="E35" i="25"/>
  <c r="D35" i="25"/>
  <c r="B35" i="25"/>
  <c r="A35" i="25"/>
  <c r="C35" i="25" s="1"/>
  <c r="E32" i="25"/>
  <c r="D32" i="25"/>
  <c r="C32" i="25"/>
  <c r="B32" i="25"/>
  <c r="E31" i="25"/>
  <c r="D31" i="25"/>
  <c r="C31" i="25"/>
  <c r="B31" i="25"/>
  <c r="E30" i="25"/>
  <c r="D30" i="25"/>
  <c r="C30" i="25"/>
  <c r="B30" i="25"/>
  <c r="E29" i="25"/>
  <c r="D29" i="25"/>
  <c r="C29" i="25"/>
  <c r="B29" i="25"/>
  <c r="E28" i="25"/>
  <c r="D28" i="25"/>
  <c r="C28" i="25"/>
  <c r="B28" i="25"/>
  <c r="E27" i="25"/>
  <c r="F27" i="25" s="1"/>
  <c r="D27" i="25"/>
  <c r="C27" i="25"/>
  <c r="B27" i="25"/>
  <c r="E24" i="25"/>
  <c r="F24" i="25" s="1"/>
  <c r="D24" i="25"/>
  <c r="C24" i="25"/>
  <c r="B24" i="25"/>
  <c r="E23" i="25"/>
  <c r="D23" i="25"/>
  <c r="C23" i="25"/>
  <c r="B23" i="25"/>
  <c r="E22" i="25"/>
  <c r="F22" i="25" s="1"/>
  <c r="D22" i="25"/>
  <c r="C22" i="25"/>
  <c r="B22" i="25"/>
  <c r="E21" i="25"/>
  <c r="F21" i="25" s="1"/>
  <c r="D21" i="25"/>
  <c r="C21" i="25"/>
  <c r="B21" i="25"/>
  <c r="E20" i="25"/>
  <c r="F20" i="25" s="1"/>
  <c r="D20" i="25"/>
  <c r="C20" i="25"/>
  <c r="B20" i="25"/>
  <c r="E19" i="25"/>
  <c r="F19" i="25" s="1"/>
  <c r="D19" i="25"/>
  <c r="C19" i="25"/>
  <c r="B19" i="25"/>
  <c r="E18" i="25"/>
  <c r="F18" i="25" s="1"/>
  <c r="D18" i="25"/>
  <c r="C18" i="25"/>
  <c r="B18" i="25"/>
  <c r="E17" i="25"/>
  <c r="F17" i="25" s="1"/>
  <c r="D17" i="25"/>
  <c r="C17" i="25"/>
  <c r="B17" i="25"/>
  <c r="B15" i="25"/>
  <c r="E14" i="25"/>
  <c r="D14" i="25"/>
  <c r="C14" i="25"/>
  <c r="B14" i="25"/>
  <c r="E13" i="25"/>
  <c r="D13" i="25"/>
  <c r="C13" i="25"/>
  <c r="B13" i="25"/>
  <c r="E12" i="25"/>
  <c r="D12" i="25"/>
  <c r="C12" i="25"/>
  <c r="B12" i="25"/>
  <c r="E11" i="25"/>
  <c r="D11" i="25"/>
  <c r="C11" i="25"/>
  <c r="B11" i="25"/>
  <c r="E10" i="25"/>
  <c r="D10" i="25"/>
  <c r="C10" i="25"/>
  <c r="B10" i="25"/>
  <c r="E9" i="25"/>
  <c r="F9" i="25" s="1"/>
  <c r="D9" i="25"/>
  <c r="C9" i="25"/>
  <c r="B9" i="25"/>
  <c r="C8" i="25"/>
  <c r="F8" i="25" s="1"/>
  <c r="H6" i="25"/>
  <c r="F29" i="26" l="1"/>
  <c r="F28" i="26"/>
  <c r="E85" i="26"/>
  <c r="D81" i="26"/>
  <c r="F46" i="26"/>
  <c r="F37" i="26"/>
  <c r="F36" i="26"/>
  <c r="D83" i="25"/>
  <c r="F39" i="25"/>
  <c r="F23" i="25"/>
  <c r="F28" i="25"/>
  <c r="F31" i="25"/>
  <c r="F13" i="25"/>
  <c r="C37" i="25"/>
  <c r="F40" i="25"/>
  <c r="F29" i="25"/>
  <c r="F32" i="25"/>
  <c r="F37" i="25"/>
  <c r="F35" i="25"/>
  <c r="F11" i="25"/>
  <c r="C38" i="25"/>
  <c r="F30" i="25"/>
  <c r="F38" i="25"/>
  <c r="F14" i="25"/>
  <c r="F10" i="25"/>
  <c r="F12" i="25"/>
  <c r="F50" i="26"/>
  <c r="F38" i="26"/>
  <c r="F39" i="26"/>
  <c r="F47" i="26"/>
  <c r="C38" i="26"/>
  <c r="A49" i="26"/>
  <c r="C49" i="26" s="1"/>
  <c r="F49" i="26" s="1"/>
  <c r="E73" i="26"/>
  <c r="D83" i="26"/>
  <c r="A44" i="26"/>
  <c r="C44" i="26" s="1"/>
  <c r="A48" i="26"/>
  <c r="C48" i="26" s="1"/>
  <c r="F48" i="26" s="1"/>
  <c r="F46" i="25"/>
  <c r="F50" i="25"/>
  <c r="F47" i="25"/>
  <c r="F36" i="25"/>
  <c r="F48" i="25"/>
  <c r="C41" i="25"/>
  <c r="F41" i="25" s="1"/>
  <c r="A45" i="25"/>
  <c r="C45" i="25" s="1"/>
  <c r="F45" i="25" s="1"/>
  <c r="D81" i="25"/>
  <c r="C73" i="25"/>
  <c r="A49" i="25"/>
  <c r="C49" i="25" s="1"/>
  <c r="F49" i="25" s="1"/>
  <c r="A44" i="25"/>
  <c r="C44" i="25" s="1"/>
  <c r="F44" i="25" s="1"/>
  <c r="A48" i="25"/>
  <c r="C48" i="25" s="1"/>
  <c r="F54" i="25" l="1"/>
  <c r="C76" i="25" s="1"/>
  <c r="E76" i="25" s="1"/>
  <c r="E35" i="26" s="1"/>
  <c r="F35" i="26" s="1"/>
  <c r="F54" i="26" s="1"/>
  <c r="F53" i="25"/>
  <c r="C69" i="25" s="1"/>
  <c r="F56" i="25"/>
  <c r="C85" i="25"/>
  <c r="E85" i="25" s="1"/>
  <c r="E73" i="25"/>
  <c r="F64" i="25" l="1"/>
  <c r="H53" i="25"/>
  <c r="F2" i="25" s="1"/>
  <c r="F55" i="25"/>
  <c r="H55" i="25" s="1"/>
  <c r="H54" i="25"/>
  <c r="G2" i="25" s="1"/>
  <c r="C76" i="26"/>
  <c r="E76" i="26" s="1"/>
  <c r="H54" i="26"/>
  <c r="G2" i="26" s="1"/>
  <c r="E69" i="25"/>
  <c r="E17" i="26" s="1"/>
  <c r="F17" i="26" s="1"/>
  <c r="F53" i="26" s="1"/>
  <c r="F55" i="26" s="1"/>
  <c r="C81" i="25"/>
  <c r="E81" i="25" s="1"/>
  <c r="H56" i="25"/>
  <c r="C74" i="25"/>
  <c r="F63" i="25" l="1"/>
  <c r="C71" i="25" s="1"/>
  <c r="H55" i="26"/>
  <c r="F63" i="26"/>
  <c r="O54" i="26"/>
  <c r="O56" i="26" s="1"/>
  <c r="O54" i="25"/>
  <c r="O56" i="25" s="1"/>
  <c r="C69" i="26"/>
  <c r="F64" i="26"/>
  <c r="H53" i="26"/>
  <c r="F2" i="26" s="1"/>
  <c r="O55" i="25"/>
  <c r="H58" i="25"/>
  <c r="H59" i="25" s="1"/>
  <c r="O58" i="25" s="1"/>
  <c r="H2" i="25"/>
  <c r="C86" i="25"/>
  <c r="E86" i="25" s="1"/>
  <c r="E74" i="25"/>
  <c r="F66" i="25" l="1"/>
  <c r="G63" i="25" s="1"/>
  <c r="C71" i="26"/>
  <c r="E71" i="26" s="1"/>
  <c r="E63" i="25"/>
  <c r="E69" i="26"/>
  <c r="C81" i="26"/>
  <c r="E81" i="26" s="1"/>
  <c r="F66" i="26"/>
  <c r="G63" i="26" s="1"/>
  <c r="E63" i="26"/>
  <c r="E78" i="25"/>
  <c r="E44" i="26"/>
  <c r="F44" i="26" s="1"/>
  <c r="F56" i="26" s="1"/>
  <c r="O57" i="25"/>
  <c r="O59" i="25" s="1"/>
  <c r="O60" i="25" s="1"/>
  <c r="O61" i="25" s="1"/>
  <c r="O62" i="25" s="1"/>
  <c r="G53" i="26"/>
  <c r="G66" i="25"/>
  <c r="G10" i="25"/>
  <c r="G11" i="25"/>
  <c r="G37" i="25"/>
  <c r="G39" i="25"/>
  <c r="G38" i="25"/>
  <c r="G13" i="25"/>
  <c r="G19" i="25"/>
  <c r="G18" i="25"/>
  <c r="G27" i="25"/>
  <c r="G24" i="25"/>
  <c r="G29" i="25"/>
  <c r="G30" i="25"/>
  <c r="G14" i="25"/>
  <c r="G22" i="25"/>
  <c r="G9" i="25"/>
  <c r="G21" i="25"/>
  <c r="G65" i="25"/>
  <c r="G17" i="25"/>
  <c r="G20" i="25"/>
  <c r="G23" i="25"/>
  <c r="G32" i="25"/>
  <c r="G28" i="25"/>
  <c r="G51" i="25"/>
  <c r="G12" i="25"/>
  <c r="G31" i="25"/>
  <c r="G40" i="25"/>
  <c r="G35" i="25"/>
  <c r="G49" i="25"/>
  <c r="G44" i="25"/>
  <c r="G47" i="25"/>
  <c r="G50" i="25"/>
  <c r="G54" i="25"/>
  <c r="G46" i="25"/>
  <c r="G48" i="25"/>
  <c r="G41" i="25"/>
  <c r="G45" i="25"/>
  <c r="G36" i="25"/>
  <c r="G53" i="25"/>
  <c r="G55" i="25"/>
  <c r="G56" i="25"/>
  <c r="G64" i="25"/>
  <c r="C83" i="25"/>
  <c r="E83" i="25" s="1"/>
  <c r="E71" i="25"/>
  <c r="G50" i="26" l="1"/>
  <c r="C83" i="26"/>
  <c r="E83" i="26" s="1"/>
  <c r="G8" i="25"/>
  <c r="G48" i="26"/>
  <c r="G24" i="26"/>
  <c r="G9" i="26"/>
  <c r="G27" i="26"/>
  <c r="G12" i="26"/>
  <c r="G40" i="26"/>
  <c r="G13" i="26"/>
  <c r="G8" i="26"/>
  <c r="G14" i="26"/>
  <c r="G20" i="26"/>
  <c r="C74" i="26"/>
  <c r="H56" i="26"/>
  <c r="G56" i="26"/>
  <c r="G55" i="26"/>
  <c r="G23" i="26"/>
  <c r="G37" i="26"/>
  <c r="G47" i="26"/>
  <c r="G30" i="26"/>
  <c r="G38" i="26"/>
  <c r="G11" i="26"/>
  <c r="G19" i="26"/>
  <c r="G35" i="26"/>
  <c r="G39" i="26"/>
  <c r="G32" i="26"/>
  <c r="G28" i="26"/>
  <c r="G66" i="26"/>
  <c r="G17" i="26"/>
  <c r="G41" i="26"/>
  <c r="G44" i="26"/>
  <c r="G29" i="26"/>
  <c r="G36" i="26"/>
  <c r="G51" i="26"/>
  <c r="G10" i="26"/>
  <c r="G45" i="26"/>
  <c r="G64" i="26"/>
  <c r="G65" i="26"/>
  <c r="G21" i="26"/>
  <c r="G31" i="26"/>
  <c r="G49" i="26"/>
  <c r="G18" i="26"/>
  <c r="G54" i="26"/>
  <c r="G46" i="26"/>
  <c r="G22" i="26"/>
  <c r="P62" i="25"/>
  <c r="E2" i="25"/>
  <c r="D28" i="24"/>
  <c r="H2" i="26" l="1"/>
  <c r="O55" i="26"/>
  <c r="O57" i="26" s="1"/>
  <c r="H58" i="26"/>
  <c r="H59" i="26" s="1"/>
  <c r="O58" i="26" s="1"/>
  <c r="C86" i="26"/>
  <c r="E86" i="26" s="1"/>
  <c r="E74" i="26"/>
  <c r="E78" i="26" s="1"/>
  <c r="O59" i="26" l="1"/>
  <c r="O60" i="26" s="1"/>
  <c r="O61" i="26" s="1"/>
  <c r="O62" i="26" s="1"/>
  <c r="P62" i="26" s="1"/>
  <c r="E2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0" authorId="0" shapeId="0" xr:uid="{6F00F4DE-366C-41CE-B16B-2C1F9DA60EF4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CORTE MARIPOSA</t>
        </r>
      </text>
    </comment>
  </commentList>
</comments>
</file>

<file path=xl/sharedStrings.xml><?xml version="1.0" encoding="utf-8"?>
<sst xmlns="http://schemas.openxmlformats.org/spreadsheetml/2006/main" count="365" uniqueCount="172">
  <si>
    <t>SERVICIOS DE PASTELERIA SA</t>
  </si>
  <si>
    <t>CODIGO:</t>
  </si>
  <si>
    <t>ESP-</t>
  </si>
  <si>
    <t>ESPECIFICACION DE RECETA</t>
  </si>
  <si>
    <t>REVISION:</t>
  </si>
  <si>
    <t>01</t>
  </si>
  <si>
    <t>FECHA DE APROBACION:</t>
  </si>
  <si>
    <t>ELABORADO:</t>
  </si>
  <si>
    <t>APROBADO:</t>
  </si>
  <si>
    <t xml:space="preserve"># Código </t>
  </si>
  <si>
    <t>Descripción del ingrediente</t>
  </si>
  <si>
    <t xml:space="preserve">Marca </t>
  </si>
  <si>
    <t>Unidad Internacional</t>
  </si>
  <si>
    <t>Unidad Alternativa</t>
  </si>
  <si>
    <t xml:space="preserve">Costo - Referencia </t>
  </si>
  <si>
    <t>Cantidad</t>
  </si>
  <si>
    <t xml:space="preserve">Unidad medida </t>
  </si>
  <si>
    <t>Colones</t>
  </si>
  <si>
    <t>Gramos</t>
  </si>
  <si>
    <t>0510204</t>
  </si>
  <si>
    <t>Sol</t>
  </si>
  <si>
    <t>Dos pinos</t>
  </si>
  <si>
    <t>Unidades</t>
  </si>
  <si>
    <t>TIEMPO TOTAL DE PREPARACION</t>
  </si>
  <si>
    <t>10 Minutos</t>
  </si>
  <si>
    <t>Tiempo de engrase</t>
  </si>
  <si>
    <t>PESO TOTAL OBTENIDO</t>
  </si>
  <si>
    <t>Tiempo de Horneo</t>
  </si>
  <si>
    <t>PPORCIONES OBTENIDAS</t>
  </si>
  <si>
    <t>Otros</t>
  </si>
  <si>
    <t>DESCRIPCION DE LA PREPARACION DE LA  RECETA</t>
  </si>
  <si>
    <t xml:space="preserve">María José Rodríguez, Chef </t>
  </si>
  <si>
    <t>Yenny Castro Q; Gerente de Calidad</t>
  </si>
  <si>
    <t>Spoon</t>
  </si>
  <si>
    <t>0101035</t>
  </si>
  <si>
    <t>CEBOLLA PICADA ( 1 KILO )</t>
  </si>
  <si>
    <t>Hassidim</t>
  </si>
  <si>
    <t>SAL REFINADA ( 500 GRS )</t>
  </si>
  <si>
    <t>AGUA</t>
  </si>
  <si>
    <t>0910313</t>
  </si>
  <si>
    <t>ESP-RE-CO-021</t>
  </si>
  <si>
    <t>02</t>
  </si>
  <si>
    <t>Arroz blanco precocido Spoon</t>
  </si>
  <si>
    <t>0510151</t>
  </si>
  <si>
    <t>ARROZ PRECOCIDO TIO PELON (2 KG)</t>
  </si>
  <si>
    <t>Tio pelon</t>
  </si>
  <si>
    <t>ACEITE CAPULLO RBD ( 17  LTS )</t>
  </si>
  <si>
    <t>Capullo</t>
  </si>
  <si>
    <t>Cdas</t>
  </si>
  <si>
    <t>AJO MOLIDO</t>
  </si>
  <si>
    <t>1950708</t>
  </si>
  <si>
    <t>BOLSA 17x25 TRANSPARENTE</t>
  </si>
  <si>
    <t>30 Minutos</t>
  </si>
  <si>
    <t>17600 Gramos</t>
  </si>
  <si>
    <t>3,5 Unidades de 5000 gramos</t>
  </si>
  <si>
    <t>1 Colocar en la olla arrocera el aceite a calentar. Una vez caliente agregar el ajo molido y la cebolla picada sofreir por 5 minutos.</t>
  </si>
  <si>
    <t>2 Agregar luego el arroz, agua y sal mezclar bien con la cebolla y ajo. Dejar cocinar por 40 minutos.</t>
  </si>
  <si>
    <t xml:space="preserve">3 El arroz debe quedar completamente cocido y seco. </t>
  </si>
  <si>
    <t>4 Colocar en una palangana y llevarlo a shock termico hasta que este frio.</t>
  </si>
  <si>
    <t xml:space="preserve">5 Empacar frio en blosas de 5 kilos cada una. </t>
  </si>
  <si>
    <t>Queso mozarella rallado</t>
  </si>
  <si>
    <t>0310117</t>
  </si>
  <si>
    <t>QUESO MOZARELLA BLOCK ( 2,5KG )</t>
  </si>
  <si>
    <t>Kilos</t>
  </si>
  <si>
    <t>Bloques</t>
  </si>
  <si>
    <t>Unidad</t>
  </si>
  <si>
    <t>10 Kilos</t>
  </si>
  <si>
    <t>1 Retirar el plastico al bloque de queso, cortar cada bloque en 4 partes para que sea mas facil poder procesarlo en la maquina.</t>
  </si>
  <si>
    <t xml:space="preserve">2 Con mucho cuidado pasar cada pedaso por la rebanadora. </t>
  </si>
  <si>
    <t>3 Colocar 4 bloques de queso rallado en una bolsa 17 x 25. Mantener en refrigeracion.</t>
  </si>
  <si>
    <t>MERMA</t>
  </si>
  <si>
    <t>g</t>
  </si>
  <si>
    <t>PROCEDIMIENTO DE PREPARACION DE LA  RECETA</t>
  </si>
  <si>
    <t>PESO DE CADA PORCIÓN</t>
  </si>
  <si>
    <t>Tanda</t>
  </si>
  <si>
    <t>CANTIDAD DE PORCIONES OBTENIDAS</t>
  </si>
  <si>
    <t>min</t>
  </si>
  <si>
    <t>ud</t>
  </si>
  <si>
    <t>Medida alternativa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</si>
  <si>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</si>
  <si>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</si>
  <si>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</si>
  <si>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</si>
  <si>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</si>
  <si>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</si>
  <si>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</si>
  <si>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</si>
  <si>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CÓDIGO:</t>
  </si>
  <si>
    <t>SERVICIOS DE PASTELERIA S.A.</t>
  </si>
  <si>
    <t># Codigo Netsuite</t>
  </si>
  <si>
    <t>NetSuiteCode</t>
  </si>
  <si>
    <t>EM10013</t>
  </si>
  <si>
    <t># Código Netsuite</t>
  </si>
  <si>
    <t>Esteban Cartin, Gte Manufactura</t>
  </si>
  <si>
    <t>Ensamble</t>
  </si>
  <si>
    <t>Decoración</t>
  </si>
  <si>
    <t>Tiempo de Horneo:</t>
  </si>
  <si>
    <t>Horno:</t>
  </si>
  <si>
    <t>Temperatura de Horneo:</t>
  </si>
  <si>
    <t>CONTROL DE CAMBIOS</t>
  </si>
  <si>
    <t>Juan Pablo Brenes, Chef</t>
  </si>
  <si>
    <t>PAPA COCTEL MINI</t>
  </si>
  <si>
    <t>FAS</t>
  </si>
  <si>
    <t>EM10002</t>
  </si>
  <si>
    <t>ETIQ.BLANCA 1 1/4 * 3/4 (UND)</t>
  </si>
  <si>
    <t>EM10004</t>
  </si>
  <si>
    <t>ETIQ.FECHA VENCIMIENTO BLANCO (ROLLO)</t>
  </si>
  <si>
    <t>COCCION PAPA COCTEL</t>
  </si>
  <si>
    <t>EM10037</t>
  </si>
  <si>
    <t>BOLSA 8x12 TRANSP (KILO)</t>
  </si>
  <si>
    <t>PLASTICOS P</t>
  </si>
  <si>
    <t>2.- Etiquetar.</t>
  </si>
  <si>
    <t>1.- Colocar la papa coctel 200g en la bolsa 8x12 y cerrar con nudo.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</si>
  <si>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</si>
  <si>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</si>
  <si>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</si>
  <si>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</si>
  <si>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</si>
  <si>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</si>
  <si>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</si>
  <si>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</si>
  <si>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</si>
  <si>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</si>
  <si>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</si>
  <si>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</si>
  <si>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</si>
  <si>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</si>
  <si>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</si>
  <si>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</si>
  <si>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</si>
  <si>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</si>
  <si>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</si>
  <si>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</si>
  <si>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</si>
  <si>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</si>
  <si>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</si>
  <si>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</si>
  <si>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</si>
  <si>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</si>
  <si>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</si>
  <si>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</si>
  <si>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</si>
  <si>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</si>
  <si>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</si>
  <si>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</si>
  <si>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</si>
  <si>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</si>
  <si>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</si>
  <si>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</si>
  <si>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</si>
  <si>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</si>
  <si>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</si>
  <si>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</si>
  <si>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</si>
  <si>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</si>
  <si>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</si>
  <si>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</si>
  <si>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</si>
  <si>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</si>
  <si>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</si>
  <si>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</si>
  <si>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</si>
  <si>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</si>
  <si>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</si>
  <si>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</si>
  <si>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MP10280</t>
  </si>
  <si>
    <t>1950705</t>
  </si>
  <si>
    <t>0702069</t>
  </si>
  <si>
    <t>0702007</t>
  </si>
  <si>
    <t>SE00728</t>
  </si>
  <si>
    <t>ESP-RE-EMPS-083</t>
  </si>
  <si>
    <t xml:space="preserve"> PTL00253 - 20100204 Empaque papa coctel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</si>
</sst>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60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9.85"/>
      <color indexed="8"/>
      <name val="Times New Roman"/>
      <family val="1"/>
    </font>
    <font>
      <sz val="8"/>
      <name val="Arial"/>
      <family val="2"/>
    </font>
    <font>
      <sz val="10"/>
      <color indexed="8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1"/>
      <color indexed="8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color indexed="8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4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28" fillId="0" borderId="0" applyFont="0" applyFill="0" applyBorder="0" applyAlignment="0" applyProtection="0"/>
  </cellStyleXfs>
  <cellXfs count="352">
    <xf numFmtId="0" fontId="0" fillId="0" borderId="0" xfId="0"/>
    <xf numFmtId="0" fontId="3" fillId="2" borderId="1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left"/>
    </xf>
    <xf numFmtId="0" fontId="5" fillId="0" borderId="0" xfId="0" applyFont="1"/>
    <xf numFmtId="0" fontId="3" fillId="2" borderId="3" xfId="2" applyFont="1" applyFill="1" applyBorder="1" applyAlignment="1">
      <alignment horizontal="left"/>
    </xf>
    <xf numFmtId="49" fontId="4" fillId="2" borderId="4" xfId="2" applyNumberFormat="1" applyFont="1" applyFill="1" applyBorder="1" applyAlignment="1">
      <alignment horizontal="center"/>
    </xf>
    <xf numFmtId="0" fontId="7" fillId="2" borderId="5" xfId="2" applyFont="1" applyFill="1" applyBorder="1" applyAlignment="1">
      <alignment horizontal="right"/>
    </xf>
    <xf numFmtId="0" fontId="7" fillId="2" borderId="6" xfId="2" applyFont="1" applyFill="1" applyBorder="1" applyAlignment="1">
      <alignment horizontal="right"/>
    </xf>
    <xf numFmtId="0" fontId="8" fillId="0" borderId="0" xfId="0" applyFont="1"/>
    <xf numFmtId="0" fontId="9" fillId="0" borderId="3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vertical="center"/>
    </xf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12" fontId="10" fillId="0" borderId="3" xfId="0" applyNumberFormat="1" applyFont="1" applyBorder="1" applyAlignment="1">
      <alignment horizontal="center"/>
    </xf>
    <xf numFmtId="0" fontId="10" fillId="0" borderId="3" xfId="0" applyFont="1" applyBorder="1"/>
    <xf numFmtId="49" fontId="11" fillId="2" borderId="3" xfId="0" applyNumberFormat="1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wrapText="1"/>
    </xf>
    <xf numFmtId="0" fontId="12" fillId="0" borderId="0" xfId="0" applyFont="1" applyAlignment="1">
      <alignment horizontal="left" indent="1"/>
    </xf>
    <xf numFmtId="165" fontId="10" fillId="0" borderId="0" xfId="0" applyNumberFormat="1" applyFont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5" fontId="10" fillId="0" borderId="8" xfId="0" applyNumberFormat="1" applyFont="1" applyBorder="1" applyAlignment="1">
      <alignment horizontal="left"/>
    </xf>
    <xf numFmtId="165" fontId="10" fillId="0" borderId="7" xfId="0" applyNumberFormat="1" applyFont="1" applyBorder="1" applyAlignment="1">
      <alignment horizontal="left" wrapText="1"/>
    </xf>
    <xf numFmtId="0" fontId="10" fillId="0" borderId="7" xfId="0" applyFont="1" applyBorder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10" fillId="0" borderId="3" xfId="0" applyNumberFormat="1" applyFont="1" applyBorder="1" applyAlignment="1">
      <alignment horizontal="right"/>
    </xf>
    <xf numFmtId="49" fontId="13" fillId="0" borderId="3" xfId="0" applyNumberFormat="1" applyFont="1" applyBorder="1"/>
    <xf numFmtId="0" fontId="9" fillId="0" borderId="3" xfId="0" applyFont="1" applyBorder="1" applyAlignment="1">
      <alignment horizontal="center"/>
    </xf>
    <xf numFmtId="0" fontId="11" fillId="0" borderId="3" xfId="0" applyFont="1" applyBorder="1" applyAlignment="1">
      <alignment horizontal="right"/>
    </xf>
    <xf numFmtId="0" fontId="16" fillId="0" borderId="3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/>
    <xf numFmtId="0" fontId="10" fillId="0" borderId="7" xfId="0" applyFont="1" applyBorder="1"/>
    <xf numFmtId="0" fontId="13" fillId="0" borderId="3" xfId="0" applyFont="1" applyBorder="1"/>
    <xf numFmtId="0" fontId="13" fillId="0" borderId="3" xfId="0" applyFont="1" applyBorder="1" applyAlignment="1">
      <alignment wrapText="1"/>
    </xf>
    <xf numFmtId="14" fontId="19" fillId="2" borderId="0" xfId="3" applyNumberFormat="1" applyFont="1" applyFill="1" applyAlignment="1">
      <alignment horizontal="center" vertical="center" wrapText="1"/>
    </xf>
    <xf numFmtId="0" fontId="1" fillId="2" borderId="20" xfId="2" applyFill="1" applyBorder="1" applyAlignment="1">
      <alignment horizontal="center"/>
    </xf>
    <xf numFmtId="0" fontId="1" fillId="2" borderId="0" xfId="2" applyFill="1" applyAlignment="1">
      <alignment horizontal="center"/>
    </xf>
    <xf numFmtId="0" fontId="1" fillId="2" borderId="16" xfId="2" applyFill="1" applyBorder="1" applyAlignment="1">
      <alignment horizontal="center"/>
    </xf>
    <xf numFmtId="0" fontId="1" fillId="2" borderId="21" xfId="2" applyFill="1" applyBorder="1" applyAlignment="1">
      <alignment horizontal="center"/>
    </xf>
    <xf numFmtId="0" fontId="18" fillId="2" borderId="1" xfId="2" applyFont="1" applyFill="1" applyBorder="1" applyAlignment="1">
      <alignment horizontal="right"/>
    </xf>
    <xf numFmtId="0" fontId="4" fillId="2" borderId="2" xfId="2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right"/>
    </xf>
    <xf numFmtId="49" fontId="17" fillId="2" borderId="4" xfId="2" applyNumberFormat="1" applyFont="1" applyFill="1" applyBorder="1" applyAlignment="1">
      <alignment horizontal="center"/>
    </xf>
    <xf numFmtId="0" fontId="17" fillId="2" borderId="11" xfId="2" applyFont="1" applyFill="1" applyBorder="1" applyAlignment="1">
      <alignment horizontal="right"/>
    </xf>
    <xf numFmtId="0" fontId="17" fillId="2" borderId="3" xfId="2" applyFont="1" applyFill="1" applyBorder="1" applyAlignment="1">
      <alignment horizontal="right"/>
    </xf>
    <xf numFmtId="0" fontId="18" fillId="3" borderId="2" xfId="1" applyFont="1" applyFill="1" applyBorder="1" applyAlignment="1">
      <alignment horizontal="center" vertical="center" wrapText="1"/>
    </xf>
    <xf numFmtId="1" fontId="18" fillId="3" borderId="9" xfId="1" applyNumberFormat="1" applyFont="1" applyFill="1" applyBorder="1" applyAlignment="1">
      <alignment horizontal="center"/>
    </xf>
    <xf numFmtId="1" fontId="18" fillId="3" borderId="9" xfId="1" applyNumberFormat="1" applyFont="1" applyFill="1" applyBorder="1" applyAlignment="1">
      <alignment horizontal="center" wrapText="1"/>
    </xf>
    <xf numFmtId="0" fontId="18" fillId="3" borderId="19" xfId="1" applyFont="1" applyFill="1" applyBorder="1" applyAlignment="1">
      <alignment horizontal="center"/>
    </xf>
    <xf numFmtId="0" fontId="9" fillId="0" borderId="17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22" fillId="0" borderId="3" xfId="1" applyFont="1" applyBorder="1" applyAlignment="1">
      <alignment vertical="center"/>
    </xf>
    <xf numFmtId="0" fontId="9" fillId="0" borderId="3" xfId="1" applyFont="1" applyBorder="1" applyAlignment="1">
      <alignment horizontal="center" vertical="center"/>
    </xf>
    <xf numFmtId="1" fontId="9" fillId="0" borderId="3" xfId="1" applyNumberFormat="1" applyFont="1" applyBorder="1" applyAlignment="1">
      <alignment horizontal="center"/>
    </xf>
    <xf numFmtId="1" fontId="9" fillId="0" borderId="3" xfId="1" applyNumberFormat="1" applyFont="1" applyBorder="1" applyAlignment="1">
      <alignment horizontal="center" wrapText="1"/>
    </xf>
    <xf numFmtId="0" fontId="10" fillId="0" borderId="4" xfId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wrapText="1"/>
    </xf>
    <xf numFmtId="2" fontId="9" fillId="0" borderId="3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 wrapText="1"/>
    </xf>
    <xf numFmtId="49" fontId="10" fillId="0" borderId="17" xfId="1" applyNumberFormat="1" applyFont="1" applyBorder="1" applyAlignment="1">
      <alignment horizontal="center"/>
    </xf>
    <xf numFmtId="49" fontId="10" fillId="0" borderId="5" xfId="1" applyNumberFormat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164" fontId="10" fillId="0" borderId="3" xfId="1" applyNumberFormat="1" applyFont="1" applyBorder="1" applyAlignment="1">
      <alignment horizontal="center"/>
    </xf>
    <xf numFmtId="16" fontId="10" fillId="0" borderId="3" xfId="5" applyNumberFormat="1" applyFont="1" applyBorder="1" applyAlignment="1">
      <alignment horizontal="center"/>
    </xf>
    <xf numFmtId="1" fontId="10" fillId="0" borderId="3" xfId="5" applyNumberFormat="1" applyFont="1" applyBorder="1" applyAlignment="1">
      <alignment horizontal="center"/>
    </xf>
    <xf numFmtId="1" fontId="10" fillId="0" borderId="3" xfId="5" applyNumberFormat="1" applyFont="1" applyBorder="1" applyAlignment="1">
      <alignment horizontal="center" wrapText="1"/>
    </xf>
    <xf numFmtId="49" fontId="9" fillId="0" borderId="28" xfId="1" applyNumberFormat="1" applyFont="1" applyBorder="1" applyAlignment="1">
      <alignment horizontal="center"/>
    </xf>
    <xf numFmtId="49" fontId="9" fillId="0" borderId="8" xfId="1" applyNumberFormat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5" xfId="0" applyFont="1" applyBorder="1"/>
    <xf numFmtId="0" fontId="25" fillId="0" borderId="11" xfId="0" applyFont="1" applyBorder="1" applyAlignment="1">
      <alignment horizontal="center"/>
    </xf>
    <xf numFmtId="0" fontId="27" fillId="0" borderId="51" xfId="0" applyFont="1" applyBorder="1" applyAlignment="1">
      <alignment horizontal="center" vertical="center"/>
    </xf>
    <xf numFmtId="0" fontId="26" fillId="0" borderId="0" xfId="0" applyFont="1"/>
    <xf numFmtId="0" fontId="25" fillId="0" borderId="11" xfId="0" applyFont="1" applyBorder="1"/>
    <xf numFmtId="0" fontId="25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 wrapText="1"/>
    </xf>
    <xf numFmtId="0" fontId="13" fillId="4" borderId="0" xfId="0" applyFont="1" applyFill="1" applyAlignment="1">
      <alignment vertical="center"/>
    </xf>
    <xf numFmtId="0" fontId="29" fillId="7" borderId="3" xfId="0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29" fillId="0" borderId="3" xfId="7" applyFont="1" applyFill="1" applyBorder="1" applyAlignment="1">
      <alignment horizontal="center" vertical="center"/>
    </xf>
    <xf numFmtId="43" fontId="29" fillId="0" borderId="0" xfId="7" applyFont="1" applyFill="1" applyBorder="1" applyAlignment="1">
      <alignment horizontal="center" vertical="center"/>
    </xf>
    <xf numFmtId="43" fontId="31" fillId="0" borderId="0" xfId="7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67" fontId="34" fillId="0" borderId="0" xfId="0" applyNumberFormat="1" applyFont="1" applyAlignment="1">
      <alignment horizontal="center" vertical="center" wrapText="1"/>
    </xf>
    <xf numFmtId="0" fontId="29" fillId="8" borderId="52" xfId="0" applyFont="1" applyFill="1" applyBorder="1" applyAlignment="1">
      <alignment horizontal="center" vertical="center"/>
    </xf>
    <xf numFmtId="0" fontId="29" fillId="8" borderId="53" xfId="0" applyFont="1" applyFill="1" applyBorder="1" applyAlignment="1">
      <alignment horizontal="center" vertical="center"/>
    </xf>
    <xf numFmtId="0" fontId="29" fillId="8" borderId="53" xfId="0" applyFont="1" applyFill="1" applyBorder="1" applyAlignment="1">
      <alignment horizontal="center" vertical="center" wrapText="1"/>
    </xf>
    <xf numFmtId="0" fontId="29" fillId="8" borderId="54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2" fontId="35" fillId="0" borderId="0" xfId="0" applyNumberFormat="1" applyFont="1" applyAlignment="1">
      <alignment horizontal="center"/>
    </xf>
    <xf numFmtId="4" fontId="35" fillId="0" borderId="0" xfId="8" applyNumberFormat="1" applyFont="1" applyFill="1" applyAlignment="1">
      <alignment horizontal="center" vertical="center"/>
    </xf>
    <xf numFmtId="4" fontId="29" fillId="0" borderId="0" xfId="8" applyNumberFormat="1" applyFont="1" applyFill="1" applyAlignment="1">
      <alignment horizontal="center" vertical="center"/>
    </xf>
    <xf numFmtId="10" fontId="29" fillId="0" borderId="0" xfId="4" applyNumberFormat="1" applyFont="1" applyFill="1" applyAlignment="1">
      <alignment vertical="center"/>
    </xf>
    <xf numFmtId="49" fontId="29" fillId="0" borderId="0" xfId="0" applyNumberFormat="1" applyFont="1" applyAlignment="1">
      <alignment horizontal="center" vertical="center"/>
    </xf>
    <xf numFmtId="10" fontId="30" fillId="0" borderId="0" xfId="4" applyNumberFormat="1" applyFont="1" applyFill="1" applyAlignment="1">
      <alignment vertical="center"/>
    </xf>
    <xf numFmtId="49" fontId="29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7" applyFont="1" applyFill="1" applyAlignment="1">
      <alignment vertical="center"/>
    </xf>
    <xf numFmtId="49" fontId="3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4" fontId="29" fillId="0" borderId="0" xfId="7" applyNumberFormat="1" applyFont="1" applyFill="1" applyAlignment="1">
      <alignment vertical="center"/>
    </xf>
    <xf numFmtId="43" fontId="37" fillId="0" borderId="0" xfId="7" applyFont="1" applyFill="1" applyAlignment="1">
      <alignment horizontal="center" vertical="center"/>
    </xf>
    <xf numFmtId="10" fontId="30" fillId="8" borderId="24" xfId="4" applyNumberFormat="1" applyFont="1" applyFill="1" applyBorder="1" applyAlignment="1">
      <alignment vertical="center"/>
    </xf>
    <xf numFmtId="0" fontId="13" fillId="8" borderId="13" xfId="0" applyFont="1" applyFill="1" applyBorder="1" applyAlignment="1">
      <alignment vertical="center"/>
    </xf>
    <xf numFmtId="0" fontId="13" fillId="8" borderId="24" xfId="0" applyFont="1" applyFill="1" applyBorder="1" applyAlignment="1">
      <alignment vertical="center"/>
    </xf>
    <xf numFmtId="43" fontId="37" fillId="8" borderId="25" xfId="7" applyFont="1" applyFill="1" applyBorder="1" applyAlignment="1">
      <alignment horizontal="center" vertical="center"/>
    </xf>
    <xf numFmtId="43" fontId="39" fillId="0" borderId="0" xfId="7" applyFont="1" applyFill="1" applyBorder="1" applyAlignment="1">
      <alignment horizontal="right"/>
    </xf>
    <xf numFmtId="0" fontId="13" fillId="8" borderId="25" xfId="0" applyFont="1" applyFill="1" applyBorder="1" applyAlignment="1">
      <alignment vertical="center"/>
    </xf>
    <xf numFmtId="10" fontId="30" fillId="8" borderId="25" xfId="4" applyNumberFormat="1" applyFont="1" applyFill="1" applyBorder="1" applyAlignment="1">
      <alignment vertical="center"/>
    </xf>
    <xf numFmtId="0" fontId="38" fillId="0" borderId="0" xfId="0" applyFont="1" applyAlignment="1">
      <alignment horizontal="right"/>
    </xf>
    <xf numFmtId="0" fontId="38" fillId="0" borderId="0" xfId="0" applyFont="1"/>
    <xf numFmtId="9" fontId="38" fillId="0" borderId="0" xfId="0" applyNumberFormat="1" applyFont="1"/>
    <xf numFmtId="9" fontId="40" fillId="0" borderId="0" xfId="4" applyFont="1" applyFill="1" applyAlignment="1">
      <alignment horizontal="center"/>
    </xf>
    <xf numFmtId="0" fontId="37" fillId="0" borderId="0" xfId="0" applyFont="1" applyAlignment="1">
      <alignment horizontal="right" vertical="center"/>
    </xf>
    <xf numFmtId="4" fontId="37" fillId="0" borderId="0" xfId="7" applyNumberFormat="1" applyFont="1" applyFill="1" applyAlignment="1">
      <alignment vertical="center"/>
    </xf>
    <xf numFmtId="4" fontId="37" fillId="0" borderId="0" xfId="8" applyNumberFormat="1" applyFont="1" applyAlignment="1">
      <alignment horizontal="center" vertical="center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2" fillId="0" borderId="15" xfId="0" applyFont="1" applyBorder="1" applyAlignment="1">
      <alignment horizontal="right"/>
    </xf>
    <xf numFmtId="43" fontId="43" fillId="5" borderId="55" xfId="7" applyFont="1" applyFill="1" applyBorder="1" applyAlignment="1">
      <alignment horizontal="right"/>
    </xf>
    <xf numFmtId="43" fontId="43" fillId="0" borderId="0" xfId="7" applyFont="1" applyFill="1" applyBorder="1" applyAlignment="1">
      <alignment horizontal="right"/>
    </xf>
    <xf numFmtId="43" fontId="29" fillId="0" borderId="3" xfId="7" applyFont="1" applyFill="1" applyBorder="1" applyAlignment="1">
      <alignment vertical="center"/>
    </xf>
    <xf numFmtId="0" fontId="44" fillId="0" borderId="0" xfId="0" applyFont="1" applyAlignment="1">
      <alignment horizontal="left" vertical="center"/>
    </xf>
    <xf numFmtId="4" fontId="37" fillId="0" borderId="0" xfId="8" applyNumberFormat="1" applyFont="1" applyFill="1" applyAlignment="1">
      <alignment horizontal="center" vertical="center"/>
    </xf>
    <xf numFmtId="10" fontId="45" fillId="0" borderId="0" xfId="4" applyNumberFormat="1" applyFont="1" applyFill="1" applyAlignment="1">
      <alignment horizontal="right"/>
    </xf>
    <xf numFmtId="169" fontId="29" fillId="8" borderId="3" xfId="7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29" fillId="9" borderId="3" xfId="7" applyFont="1" applyFill="1" applyBorder="1" applyAlignment="1">
      <alignment vertical="center"/>
    </xf>
    <xf numFmtId="166" fontId="46" fillId="0" borderId="0" xfId="0" applyNumberFormat="1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0" fontId="30" fillId="8" borderId="26" xfId="0" applyFont="1" applyFill="1" applyBorder="1" applyAlignment="1">
      <alignment vertical="center"/>
    </xf>
    <xf numFmtId="0" fontId="48" fillId="0" borderId="0" xfId="0" applyFont="1" applyAlignment="1">
      <alignment vertical="center"/>
    </xf>
    <xf numFmtId="2" fontId="45" fillId="0" borderId="0" xfId="7" applyNumberFormat="1" applyFont="1" applyFill="1" applyBorder="1" applyAlignment="1">
      <alignment horizontal="center"/>
    </xf>
    <xf numFmtId="2" fontId="42" fillId="0" borderId="0" xfId="7" applyNumberFormat="1" applyFont="1" applyFill="1" applyBorder="1" applyAlignment="1">
      <alignment horizontal="center"/>
    </xf>
    <xf numFmtId="0" fontId="13" fillId="8" borderId="26" xfId="0" applyFont="1" applyFill="1" applyBorder="1" applyAlignment="1">
      <alignment vertical="center"/>
    </xf>
    <xf numFmtId="10" fontId="13" fillId="0" borderId="0" xfId="4" applyNumberFormat="1" applyFont="1" applyFill="1" applyAlignment="1">
      <alignment vertical="center"/>
    </xf>
    <xf numFmtId="4" fontId="13" fillId="0" borderId="0" xfId="7" applyNumberFormat="1" applyFont="1" applyFill="1" applyAlignment="1">
      <alignment vertical="center"/>
    </xf>
    <xf numFmtId="43" fontId="43" fillId="8" borderId="13" xfId="7" applyFont="1" applyFill="1" applyBorder="1" applyAlignment="1">
      <alignment horizontal="right"/>
    </xf>
    <xf numFmtId="0" fontId="29" fillId="8" borderId="12" xfId="0" applyFont="1" applyFill="1" applyBorder="1" applyAlignment="1">
      <alignment horizontal="right" vertical="center"/>
    </xf>
    <xf numFmtId="10" fontId="49" fillId="0" borderId="0" xfId="7" applyNumberFormat="1" applyFont="1" applyFill="1" applyAlignment="1">
      <alignment vertical="center"/>
    </xf>
    <xf numFmtId="10" fontId="30" fillId="0" borderId="0" xfId="4" applyNumberFormat="1" applyFont="1" applyFill="1" applyBorder="1" applyAlignment="1">
      <alignment vertical="center"/>
    </xf>
    <xf numFmtId="166" fontId="50" fillId="0" borderId="0" xfId="0" applyNumberFormat="1" applyFont="1" applyAlignment="1">
      <alignment horizontal="center" vertical="center"/>
    </xf>
    <xf numFmtId="0" fontId="13" fillId="4" borderId="55" xfId="0" applyFont="1" applyFill="1" applyBorder="1" applyAlignment="1">
      <alignment horizontal="center" vertical="center"/>
    </xf>
    <xf numFmtId="43" fontId="51" fillId="0" borderId="0" xfId="7" applyFont="1" applyFill="1" applyAlignment="1">
      <alignment vertical="center"/>
    </xf>
    <xf numFmtId="4" fontId="52" fillId="0" borderId="0" xfId="8" applyNumberFormat="1" applyFont="1" applyFill="1" applyAlignment="1">
      <alignment horizontal="center" vertical="center" wrapText="1"/>
    </xf>
    <xf numFmtId="9" fontId="13" fillId="0" borderId="0" xfId="7" applyNumberFormat="1" applyFont="1" applyFill="1" applyAlignment="1">
      <alignment vertical="center"/>
    </xf>
    <xf numFmtId="0" fontId="3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/>
    </xf>
    <xf numFmtId="4" fontId="36" fillId="0" borderId="0" xfId="7" applyNumberFormat="1" applyFont="1" applyFill="1" applyAlignment="1">
      <alignment vertical="center"/>
    </xf>
    <xf numFmtId="4" fontId="29" fillId="11" borderId="55" xfId="7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43" fontId="16" fillId="0" borderId="0" xfId="7" applyFont="1" applyFill="1" applyAlignment="1">
      <alignment vertical="center"/>
    </xf>
    <xf numFmtId="9" fontId="16" fillId="0" borderId="0" xfId="7" applyNumberFormat="1" applyFont="1" applyFill="1" applyAlignment="1">
      <alignment vertical="center"/>
    </xf>
    <xf numFmtId="4" fontId="29" fillId="0" borderId="0" xfId="7" applyNumberFormat="1" applyFont="1" applyFill="1" applyAlignment="1">
      <alignment horizontal="center" vertical="center"/>
    </xf>
    <xf numFmtId="10" fontId="46" fillId="0" borderId="0" xfId="4" applyNumberFormat="1" applyFont="1" applyFill="1" applyAlignment="1">
      <alignment vertical="center"/>
    </xf>
    <xf numFmtId="43" fontId="46" fillId="0" borderId="0" xfId="7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7" applyFont="1" applyFill="1" applyBorder="1"/>
    <xf numFmtId="10" fontId="46" fillId="0" borderId="0" xfId="4" applyNumberFormat="1" applyFont="1" applyFill="1" applyBorder="1" applyAlignment="1">
      <alignment vertical="center"/>
    </xf>
    <xf numFmtId="0" fontId="46" fillId="0" borderId="0" xfId="0" applyFont="1" applyAlignment="1">
      <alignment horizontal="right"/>
    </xf>
    <xf numFmtId="43" fontId="13" fillId="0" borderId="0" xfId="7" applyFont="1" applyFill="1" applyBorder="1" applyAlignment="1">
      <alignment horizontal="center"/>
    </xf>
    <xf numFmtId="9" fontId="55" fillId="0" borderId="0" xfId="0" applyNumberFormat="1" applyFont="1" applyAlignment="1">
      <alignment horizontal="left"/>
    </xf>
    <xf numFmtId="4" fontId="29" fillId="0" borderId="0" xfId="0" applyNumberFormat="1" applyFont="1" applyAlignment="1">
      <alignment horizontal="center"/>
    </xf>
    <xf numFmtId="166" fontId="29" fillId="0" borderId="0" xfId="0" applyNumberFormat="1" applyFont="1"/>
    <xf numFmtId="0" fontId="25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9" fillId="4" borderId="3" xfId="1" applyFont="1" applyFill="1" applyBorder="1" applyAlignment="1">
      <alignment horizontal="left"/>
    </xf>
    <xf numFmtId="0" fontId="25" fillId="0" borderId="17" xfId="5" applyFont="1" applyBorder="1" applyAlignment="1">
      <alignment horizontal="center"/>
    </xf>
    <xf numFmtId="0" fontId="25" fillId="0" borderId="3" xfId="1" applyFont="1" applyBorder="1" applyAlignment="1">
      <alignment horizontal="center"/>
    </xf>
    <xf numFmtId="0" fontId="25" fillId="4" borderId="3" xfId="5" applyFont="1" applyFill="1" applyBorder="1"/>
    <xf numFmtId="0" fontId="25" fillId="4" borderId="3" xfId="0" applyFont="1" applyFill="1" applyBorder="1"/>
    <xf numFmtId="0" fontId="22" fillId="4" borderId="3" xfId="1" applyFont="1" applyFill="1" applyBorder="1" applyAlignment="1">
      <alignment vertical="center"/>
    </xf>
    <xf numFmtId="49" fontId="10" fillId="0" borderId="3" xfId="1" applyNumberFormat="1" applyFont="1" applyBorder="1"/>
    <xf numFmtId="49" fontId="56" fillId="2" borderId="16" xfId="1" applyNumberFormat="1" applyFont="1" applyFill="1" applyBorder="1" applyAlignment="1">
      <alignment horizontal="center" vertical="center"/>
    </xf>
    <xf numFmtId="49" fontId="56" fillId="2" borderId="0" xfId="1" applyNumberFormat="1" applyFont="1" applyFill="1" applyAlignment="1">
      <alignment horizontal="center" vertical="center"/>
    </xf>
    <xf numFmtId="0" fontId="57" fillId="2" borderId="0" xfId="1" applyFont="1" applyFill="1"/>
    <xf numFmtId="1" fontId="57" fillId="2" borderId="0" xfId="1" applyNumberFormat="1" applyFont="1" applyFill="1" applyAlignment="1">
      <alignment horizontal="center"/>
    </xf>
    <xf numFmtId="165" fontId="57" fillId="2" borderId="0" xfId="1" applyNumberFormat="1" applyFont="1" applyFill="1" applyAlignment="1">
      <alignment horizontal="center" wrapText="1"/>
    </xf>
    <xf numFmtId="0" fontId="57" fillId="2" borderId="15" xfId="1" applyFont="1" applyFill="1" applyBorder="1" applyAlignment="1">
      <alignment horizontal="center"/>
    </xf>
    <xf numFmtId="0" fontId="57" fillId="3" borderId="14" xfId="1" applyFont="1" applyFill="1" applyBorder="1" applyAlignment="1">
      <alignment horizontal="center"/>
    </xf>
    <xf numFmtId="0" fontId="57" fillId="3" borderId="13" xfId="1" applyFont="1" applyFill="1" applyBorder="1" applyAlignment="1">
      <alignment horizontal="center"/>
    </xf>
    <xf numFmtId="0" fontId="57" fillId="3" borderId="13" xfId="1" applyFont="1" applyFill="1" applyBorder="1"/>
    <xf numFmtId="0" fontId="58" fillId="3" borderId="13" xfId="1" applyFont="1" applyFill="1" applyBorder="1" applyAlignment="1">
      <alignment horizontal="center"/>
    </xf>
    <xf numFmtId="1" fontId="58" fillId="3" borderId="13" xfId="1" applyNumberFormat="1" applyFont="1" applyFill="1" applyBorder="1" applyAlignment="1">
      <alignment horizontal="center"/>
    </xf>
    <xf numFmtId="165" fontId="57" fillId="3" borderId="13" xfId="1" applyNumberFormat="1" applyFont="1" applyFill="1" applyBorder="1" applyAlignment="1">
      <alignment horizontal="center" wrapText="1"/>
    </xf>
    <xf numFmtId="0" fontId="57" fillId="3" borderId="12" xfId="1" applyFont="1" applyFill="1" applyBorder="1" applyAlignment="1">
      <alignment horizontal="center"/>
    </xf>
    <xf numFmtId="1" fontId="25" fillId="0" borderId="11" xfId="0" applyNumberFormat="1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59" fillId="0" borderId="3" xfId="0" applyFont="1" applyBorder="1" applyAlignment="1">
      <alignment horizontal="center"/>
    </xf>
    <xf numFmtId="1" fontId="25" fillId="0" borderId="9" xfId="0" applyNumberFormat="1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57" fillId="0" borderId="48" xfId="1" applyFont="1" applyBorder="1" applyAlignment="1">
      <alignment horizontal="left"/>
    </xf>
    <xf numFmtId="0" fontId="57" fillId="0" borderId="6" xfId="1" applyFont="1" applyBorder="1" applyAlignment="1">
      <alignment horizontal="left"/>
    </xf>
    <xf numFmtId="0" fontId="57" fillId="0" borderId="32" xfId="1" applyFont="1" applyBorder="1" applyAlignment="1">
      <alignment horizontal="left"/>
    </xf>
    <xf numFmtId="0" fontId="58" fillId="6" borderId="49" xfId="2" applyFont="1" applyFill="1" applyBorder="1" applyAlignment="1">
      <alignment horizontal="center"/>
    </xf>
    <xf numFmtId="0" fontId="58" fillId="6" borderId="20" xfId="2" applyFont="1" applyFill="1" applyBorder="1" applyAlignment="1">
      <alignment horizontal="center"/>
    </xf>
    <xf numFmtId="0" fontId="57" fillId="2" borderId="50" xfId="2" applyFont="1" applyFill="1" applyBorder="1" applyAlignment="1">
      <alignment horizontal="left"/>
    </xf>
    <xf numFmtId="0" fontId="57" fillId="2" borderId="0" xfId="2" applyFont="1" applyFill="1" applyAlignment="1">
      <alignment horizontal="left"/>
    </xf>
    <xf numFmtId="0" fontId="17" fillId="2" borderId="50" xfId="2" applyFont="1" applyFill="1" applyBorder="1" applyAlignment="1">
      <alignment horizontal="left"/>
    </xf>
    <xf numFmtId="0" fontId="17" fillId="2" borderId="0" xfId="2" applyFont="1" applyFill="1" applyAlignment="1">
      <alignment horizontal="left"/>
    </xf>
    <xf numFmtId="0" fontId="10" fillId="0" borderId="28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41" xfId="0" applyFont="1" applyBorder="1" applyAlignment="1">
      <alignment horizontal="left" wrapText="1"/>
    </xf>
    <xf numFmtId="0" fontId="10" fillId="0" borderId="28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1" xfId="0" applyFont="1" applyBorder="1" applyAlignment="1">
      <alignment horizontal="left"/>
    </xf>
    <xf numFmtId="0" fontId="57" fillId="0" borderId="17" xfId="0" applyFont="1" applyBorder="1" applyAlignment="1">
      <alignment horizontal="left"/>
    </xf>
    <xf numFmtId="0" fontId="57" fillId="0" borderId="5" xfId="0" applyFont="1" applyBorder="1" applyAlignment="1">
      <alignment horizontal="left"/>
    </xf>
    <xf numFmtId="0" fontId="57" fillId="0" borderId="3" xfId="0" applyFont="1" applyBorder="1" applyAlignment="1">
      <alignment horizontal="left"/>
    </xf>
    <xf numFmtId="0" fontId="57" fillId="0" borderId="4" xfId="0" applyFont="1" applyBorder="1" applyAlignment="1">
      <alignment horizontal="left"/>
    </xf>
    <xf numFmtId="0" fontId="57" fillId="0" borderId="28" xfId="1" applyFont="1" applyBorder="1" applyAlignment="1">
      <alignment horizontal="left" wrapText="1"/>
    </xf>
    <xf numFmtId="0" fontId="57" fillId="0" borderId="8" xfId="1" applyFont="1" applyBorder="1" applyAlignment="1">
      <alignment horizontal="left" wrapText="1"/>
    </xf>
    <xf numFmtId="0" fontId="57" fillId="0" borderId="41" xfId="1" applyFont="1" applyBorder="1" applyAlignment="1">
      <alignment horizontal="left" wrapText="1"/>
    </xf>
    <xf numFmtId="0" fontId="58" fillId="0" borderId="28" xfId="1" applyFont="1" applyBorder="1" applyAlignment="1">
      <alignment horizontal="right"/>
    </xf>
    <xf numFmtId="0" fontId="58" fillId="0" borderId="8" xfId="1" applyFont="1" applyBorder="1" applyAlignment="1">
      <alignment horizontal="right"/>
    </xf>
    <xf numFmtId="0" fontId="58" fillId="0" borderId="5" xfId="1" applyFont="1" applyBorder="1" applyAlignment="1">
      <alignment horizontal="right"/>
    </xf>
    <xf numFmtId="0" fontId="57" fillId="0" borderId="3" xfId="1" applyFont="1" applyBorder="1" applyAlignment="1">
      <alignment horizontal="right"/>
    </xf>
    <xf numFmtId="165" fontId="57" fillId="0" borderId="40" xfId="1" applyNumberFormat="1" applyFont="1" applyBorder="1" applyAlignment="1">
      <alignment horizontal="center"/>
    </xf>
    <xf numFmtId="165" fontId="57" fillId="0" borderId="41" xfId="1" applyNumberFormat="1" applyFont="1" applyBorder="1" applyAlignment="1">
      <alignment horizontal="center"/>
    </xf>
    <xf numFmtId="165" fontId="57" fillId="0" borderId="40" xfId="1" applyNumberFormat="1" applyFont="1" applyBorder="1" applyAlignment="1">
      <alignment horizontal="right" wrapText="1"/>
    </xf>
    <xf numFmtId="165" fontId="57" fillId="0" borderId="5" xfId="1" applyNumberFormat="1" applyFont="1" applyBorder="1" applyAlignment="1">
      <alignment horizontal="right" wrapText="1"/>
    </xf>
    <xf numFmtId="0" fontId="58" fillId="0" borderId="39" xfId="1" applyFont="1" applyBorder="1" applyAlignment="1">
      <alignment horizontal="right"/>
    </xf>
    <xf numFmtId="0" fontId="58" fillId="0" borderId="42" xfId="1" applyFont="1" applyBorder="1" applyAlignment="1">
      <alignment horizontal="right"/>
    </xf>
    <xf numFmtId="0" fontId="58" fillId="0" borderId="9" xfId="1" applyFont="1" applyBorder="1" applyAlignment="1">
      <alignment horizontal="right"/>
    </xf>
    <xf numFmtId="0" fontId="57" fillId="0" borderId="9" xfId="1" applyFont="1" applyBorder="1" applyAlignment="1">
      <alignment horizontal="right"/>
    </xf>
    <xf numFmtId="165" fontId="57" fillId="0" borderId="31" xfId="1" applyNumberFormat="1" applyFont="1" applyBorder="1" applyAlignment="1">
      <alignment horizontal="center"/>
    </xf>
    <xf numFmtId="165" fontId="57" fillId="0" borderId="32" xfId="1" applyNumberFormat="1" applyFont="1" applyBorder="1" applyAlignment="1">
      <alignment horizontal="center"/>
    </xf>
    <xf numFmtId="0" fontId="58" fillId="3" borderId="14" xfId="1" applyFont="1" applyFill="1" applyBorder="1" applyAlignment="1">
      <alignment horizontal="left"/>
    </xf>
    <xf numFmtId="0" fontId="58" fillId="3" borderId="13" xfId="1" applyFont="1" applyFill="1" applyBorder="1" applyAlignment="1">
      <alignment horizontal="left"/>
    </xf>
    <xf numFmtId="0" fontId="58" fillId="3" borderId="12" xfId="1" applyFont="1" applyFill="1" applyBorder="1" applyAlignment="1">
      <alignment horizontal="left"/>
    </xf>
    <xf numFmtId="0" fontId="10" fillId="0" borderId="43" xfId="0" applyFont="1" applyBorder="1" applyAlignment="1">
      <alignment horizontal="left"/>
    </xf>
    <xf numFmtId="0" fontId="10" fillId="0" borderId="44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58" fillId="0" borderId="36" xfId="1" applyFont="1" applyBorder="1" applyAlignment="1">
      <alignment horizontal="right"/>
    </xf>
    <xf numFmtId="0" fontId="58" fillId="0" borderId="7" xfId="1" applyFont="1" applyBorder="1" applyAlignment="1">
      <alignment horizontal="right"/>
    </xf>
    <xf numFmtId="0" fontId="58" fillId="0" borderId="22" xfId="1" applyFont="1" applyBorder="1" applyAlignment="1">
      <alignment horizontal="right"/>
    </xf>
    <xf numFmtId="165" fontId="57" fillId="0" borderId="11" xfId="1" applyNumberFormat="1" applyFont="1" applyBorder="1" applyAlignment="1">
      <alignment horizontal="right"/>
    </xf>
    <xf numFmtId="0" fontId="57" fillId="2" borderId="10" xfId="1" applyFont="1" applyFill="1" applyBorder="1" applyAlignment="1">
      <alignment horizontal="center"/>
    </xf>
    <xf numFmtId="0" fontId="57" fillId="2" borderId="37" xfId="1" applyFont="1" applyFill="1" applyBorder="1" applyAlignment="1">
      <alignment horizontal="center"/>
    </xf>
    <xf numFmtId="0" fontId="2" fillId="2" borderId="0" xfId="3" applyFont="1" applyFill="1" applyAlignment="1">
      <alignment horizontal="right"/>
    </xf>
    <xf numFmtId="0" fontId="19" fillId="2" borderId="21" xfId="3" applyFont="1" applyFill="1" applyBorder="1" applyAlignment="1">
      <alignment horizontal="center"/>
    </xf>
    <xf numFmtId="0" fontId="2" fillId="2" borderId="0" xfId="3" applyFont="1" applyFill="1"/>
    <xf numFmtId="0" fontId="18" fillId="3" borderId="38" xfId="1" applyFont="1" applyFill="1" applyBorder="1" applyAlignment="1">
      <alignment horizontal="center" vertical="center"/>
    </xf>
    <xf numFmtId="0" fontId="18" fillId="3" borderId="39" xfId="1" applyFont="1" applyFill="1" applyBorder="1" applyAlignment="1">
      <alignment horizontal="center" vertical="center"/>
    </xf>
    <xf numFmtId="0" fontId="18" fillId="3" borderId="38" xfId="1" applyFont="1" applyFill="1" applyBorder="1" applyAlignment="1">
      <alignment horizontal="center" vertical="center" wrapText="1"/>
    </xf>
    <xf numFmtId="0" fontId="18" fillId="3" borderId="39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/>
    </xf>
    <xf numFmtId="0" fontId="18" fillId="3" borderId="9" xfId="1" applyFont="1" applyFill="1" applyBorder="1" applyAlignment="1">
      <alignment horizontal="center" vertical="center"/>
    </xf>
    <xf numFmtId="14" fontId="17" fillId="2" borderId="29" xfId="2" applyNumberFormat="1" applyFont="1" applyFill="1" applyBorder="1" applyAlignment="1">
      <alignment horizontal="center" vertical="center" wrapText="1"/>
    </xf>
    <xf numFmtId="14" fontId="17" fillId="2" borderId="30" xfId="2" applyNumberFormat="1" applyFont="1" applyFill="1" applyBorder="1" applyAlignment="1">
      <alignment horizontal="center" vertical="center" wrapText="1"/>
    </xf>
    <xf numFmtId="14" fontId="17" fillId="2" borderId="18" xfId="2" applyNumberFormat="1" applyFont="1" applyFill="1" applyBorder="1" applyAlignment="1">
      <alignment horizontal="center" vertical="center" wrapText="1"/>
    </xf>
    <xf numFmtId="0" fontId="17" fillId="2" borderId="47" xfId="2" applyFont="1" applyFill="1" applyBorder="1" applyAlignment="1">
      <alignment horizontal="left"/>
    </xf>
    <xf numFmtId="0" fontId="17" fillId="2" borderId="44" xfId="2" applyFont="1" applyFill="1" applyBorder="1" applyAlignment="1">
      <alignment horizontal="left"/>
    </xf>
    <xf numFmtId="0" fontId="17" fillId="2" borderId="27" xfId="2" applyFont="1" applyFill="1" applyBorder="1" applyAlignment="1">
      <alignment horizontal="left"/>
    </xf>
    <xf numFmtId="0" fontId="17" fillId="2" borderId="40" xfId="2" applyFont="1" applyFill="1" applyBorder="1" applyAlignment="1">
      <alignment horizontal="left"/>
    </xf>
    <xf numFmtId="0" fontId="17" fillId="2" borderId="8" xfId="2" applyFont="1" applyFill="1" applyBorder="1" applyAlignment="1">
      <alignment horizontal="left"/>
    </xf>
    <xf numFmtId="0" fontId="17" fillId="2" borderId="5" xfId="2" applyFont="1" applyFill="1" applyBorder="1" applyAlignment="1">
      <alignment horizontal="left"/>
    </xf>
    <xf numFmtId="0" fontId="17" fillId="2" borderId="33" xfId="2" applyFont="1" applyFill="1" applyBorder="1" applyAlignment="1">
      <alignment horizontal="center"/>
    </xf>
    <xf numFmtId="0" fontId="17" fillId="2" borderId="20" xfId="2" applyFont="1" applyFill="1" applyBorder="1" applyAlignment="1">
      <alignment horizontal="center"/>
    </xf>
    <xf numFmtId="0" fontId="17" fillId="2" borderId="16" xfId="2" applyFont="1" applyFill="1" applyBorder="1" applyAlignment="1">
      <alignment horizontal="center"/>
    </xf>
    <xf numFmtId="0" fontId="17" fillId="2" borderId="0" xfId="2" applyFont="1" applyFill="1" applyAlignment="1">
      <alignment horizontal="center"/>
    </xf>
    <xf numFmtId="0" fontId="17" fillId="2" borderId="36" xfId="2" applyFont="1" applyFill="1" applyBorder="1" applyAlignment="1">
      <alignment horizontal="center"/>
    </xf>
    <xf numFmtId="0" fontId="17" fillId="2" borderId="7" xfId="2" applyFont="1" applyFill="1" applyBorder="1" applyAlignment="1">
      <alignment horizontal="center"/>
    </xf>
    <xf numFmtId="0" fontId="20" fillId="2" borderId="1" xfId="2" applyFont="1" applyFill="1" applyBorder="1" applyAlignment="1">
      <alignment horizontal="center"/>
    </xf>
    <xf numFmtId="0" fontId="20" fillId="2" borderId="23" xfId="2" applyFont="1" applyFill="1" applyBorder="1" applyAlignment="1">
      <alignment horizontal="center"/>
    </xf>
    <xf numFmtId="0" fontId="21" fillId="5" borderId="13" xfId="2" applyFont="1" applyFill="1" applyBorder="1" applyAlignment="1">
      <alignment horizontal="center" vertical="center" wrapText="1"/>
    </xf>
    <xf numFmtId="0" fontId="21" fillId="5" borderId="12" xfId="2" applyFont="1" applyFill="1" applyBorder="1" applyAlignment="1">
      <alignment horizontal="center" vertical="center" wrapText="1"/>
    </xf>
    <xf numFmtId="0" fontId="18" fillId="2" borderId="46" xfId="2" applyFont="1" applyFill="1" applyBorder="1" applyAlignment="1">
      <alignment horizontal="right" vertical="top" wrapText="1"/>
    </xf>
    <xf numFmtId="0" fontId="18" fillId="2" borderId="34" xfId="2" applyFont="1" applyFill="1" applyBorder="1" applyAlignment="1">
      <alignment horizontal="right" vertical="top" wrapText="1"/>
    </xf>
    <xf numFmtId="0" fontId="18" fillId="2" borderId="35" xfId="2" applyFont="1" applyFill="1" applyBorder="1" applyAlignment="1">
      <alignment horizontal="right" vertical="top" wrapText="1"/>
    </xf>
    <xf numFmtId="14" fontId="4" fillId="2" borderId="29" xfId="2" applyNumberFormat="1" applyFont="1" applyFill="1" applyBorder="1" applyAlignment="1">
      <alignment horizontal="center" vertical="center" wrapText="1"/>
    </xf>
    <xf numFmtId="0" fontId="4" fillId="2" borderId="30" xfId="2" applyFont="1" applyFill="1" applyBorder="1" applyAlignment="1">
      <alignment horizontal="center" vertical="center" wrapText="1"/>
    </xf>
    <xf numFmtId="0" fontId="5" fillId="2" borderId="31" xfId="2" applyFont="1" applyFill="1" applyBorder="1" applyAlignment="1">
      <alignment horizontal="left"/>
    </xf>
    <xf numFmtId="0" fontId="5" fillId="2" borderId="6" xfId="2" applyFont="1" applyFill="1" applyBorder="1" applyAlignment="1">
      <alignment horizontal="left"/>
    </xf>
    <xf numFmtId="0" fontId="5" fillId="2" borderId="32" xfId="2" applyFont="1" applyFill="1" applyBorder="1" applyAlignment="1">
      <alignment horizontal="left"/>
    </xf>
    <xf numFmtId="0" fontId="1" fillId="2" borderId="24" xfId="2" applyFill="1" applyBorder="1" applyAlignment="1">
      <alignment horizontal="center"/>
    </xf>
    <xf numFmtId="0" fontId="1" fillId="2" borderId="25" xfId="2" applyFill="1" applyBorder="1" applyAlignment="1">
      <alignment horizontal="center"/>
    </xf>
    <xf numFmtId="0" fontId="1" fillId="2" borderId="26" xfId="2" applyFill="1" applyBorder="1" applyAlignment="1">
      <alignment horizontal="center"/>
    </xf>
    <xf numFmtId="0" fontId="2" fillId="2" borderId="27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6" fillId="2" borderId="28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left" vertical="top" wrapText="1"/>
    </xf>
    <xf numFmtId="0" fontId="3" fillId="2" borderId="23" xfId="2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 wrapText="1"/>
    </xf>
    <xf numFmtId="0" fontId="10" fillId="0" borderId="7" xfId="0" applyFont="1" applyBorder="1" applyAlignment="1">
      <alignment horizontal="left"/>
    </xf>
    <xf numFmtId="0" fontId="6" fillId="2" borderId="5" xfId="2" applyFont="1" applyFill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right" vertical="center" wrapText="1"/>
    </xf>
    <xf numFmtId="0" fontId="46" fillId="0" borderId="3" xfId="0" applyFont="1" applyBorder="1" applyAlignment="1">
      <alignment horizontal="right" vertical="center"/>
    </xf>
    <xf numFmtId="0" fontId="47" fillId="0" borderId="16" xfId="0" applyFont="1" applyBorder="1" applyAlignment="1">
      <alignment horizontal="right"/>
    </xf>
    <xf numFmtId="0" fontId="47" fillId="0" borderId="0" xfId="0" applyFont="1" applyAlignment="1">
      <alignment horizontal="right"/>
    </xf>
    <xf numFmtId="0" fontId="47" fillId="0" borderId="15" xfId="0" applyFont="1" applyBorder="1" applyAlignment="1">
      <alignment horizontal="right"/>
    </xf>
    <xf numFmtId="0" fontId="29" fillId="0" borderId="0" xfId="0" applyFont="1" applyAlignment="1">
      <alignment horizontal="right" vertical="center"/>
    </xf>
    <xf numFmtId="0" fontId="38" fillId="0" borderId="33" xfId="0" applyFont="1" applyBorder="1" applyAlignment="1">
      <alignment horizontal="right"/>
    </xf>
    <xf numFmtId="0" fontId="38" fillId="0" borderId="20" xfId="0" applyFont="1" applyBorder="1" applyAlignment="1">
      <alignment horizontal="right"/>
    </xf>
    <xf numFmtId="0" fontId="13" fillId="0" borderId="3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37" fillId="0" borderId="0" xfId="0" applyFont="1" applyAlignment="1">
      <alignment horizontal="center" vertical="center"/>
    </xf>
    <xf numFmtId="0" fontId="53" fillId="0" borderId="14" xfId="0" applyFont="1" applyBorder="1" applyAlignment="1">
      <alignment horizontal="right" vertical="center"/>
    </xf>
    <xf numFmtId="0" fontId="53" fillId="0" borderId="13" xfId="0" applyFont="1" applyBorder="1" applyAlignment="1">
      <alignment horizontal="right" vertical="center"/>
    </xf>
    <xf numFmtId="0" fontId="53" fillId="0" borderId="12" xfId="0" applyFont="1" applyBorder="1" applyAlignment="1">
      <alignment horizontal="right" vertical="center"/>
    </xf>
    <xf numFmtId="0" fontId="54" fillId="0" borderId="0" xfId="0" applyFont="1" applyAlignment="1">
      <alignment horizontal="right"/>
    </xf>
    <xf numFmtId="0" fontId="45" fillId="0" borderId="21" xfId="0" applyFont="1" applyBorder="1" applyAlignment="1">
      <alignment horizontal="right"/>
    </xf>
    <xf numFmtId="0" fontId="37" fillId="0" borderId="0" xfId="0" applyFont="1" applyAlignment="1">
      <alignment horizontal="right" vertical="center"/>
    </xf>
    <xf numFmtId="0" fontId="43" fillId="8" borderId="14" xfId="0" applyFont="1" applyFill="1" applyBorder="1" applyAlignment="1">
      <alignment horizontal="right"/>
    </xf>
    <xf numFmtId="0" fontId="43" fillId="8" borderId="13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29" fillId="0" borderId="21" xfId="0" applyFont="1" applyBorder="1" applyAlignment="1">
      <alignment horizontal="right" vertical="center"/>
    </xf>
    <xf numFmtId="0" fontId="29" fillId="0" borderId="56" xfId="0" applyFont="1" applyBorder="1" applyAlignment="1">
      <alignment horizontal="right" vertical="center"/>
    </xf>
    <xf numFmtId="0" fontId="29" fillId="10" borderId="14" xfId="0" applyFont="1" applyFill="1" applyBorder="1" applyAlignment="1">
      <alignment horizontal="right" vertical="center"/>
    </xf>
    <xf numFmtId="0" fontId="29" fillId="10" borderId="13" xfId="0" applyFont="1" applyFill="1" applyBorder="1" applyAlignment="1">
      <alignment horizontal="right" vertical="center"/>
    </xf>
    <xf numFmtId="0" fontId="29" fillId="10" borderId="12" xfId="0" applyFont="1" applyFill="1" applyBorder="1" applyAlignment="1">
      <alignment horizontal="right" vertical="center"/>
    </xf>
    <xf numFmtId="4" fontId="52" fillId="0" borderId="0" xfId="8" applyNumberFormat="1" applyFont="1" applyFill="1" applyAlignment="1">
      <alignment horizontal="center" vertical="center" wrapText="1"/>
    </xf>
  </cellXfs>
  <cellStyles count="9">
    <cellStyle name="Millares" xfId="7" builtinId="3"/>
    <cellStyle name="Millares [0]" xfId="8" builtinId="6"/>
    <cellStyle name="Normal" xfId="0" builtinId="0"/>
    <cellStyle name="Normal 2" xfId="1" xr:uid="{BDC21DAD-3F33-4665-8ECF-D76410AF2A81}"/>
    <cellStyle name="Normal 3 2" xfId="5" xr:uid="{A8FF805F-76B4-4A17-B490-E76B91486A22}"/>
    <cellStyle name="Normal_CRITERIOS DE EVALUACION PT DE GB" xfId="2" xr:uid="{C9612A9B-7C76-422D-9046-BFE149EE9443}"/>
    <cellStyle name="Normal_CRITERIOS DE EVALUACION PT DE GB 2" xfId="3" xr:uid="{2E787C6C-8387-4622-98EF-A60390A93AB7}"/>
    <cellStyle name="Porcentaje 2" xfId="4" xr:uid="{41CB3382-050C-4459-9A45-47202869DD37}"/>
    <cellStyle name="Porcentaje 2 2" xfId="6" xr:uid="{99D44F1F-579B-4D4C-8035-D3E229E4DBC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9394" name="Picture 1">
          <a:extLst>
            <a:ext uri="{FF2B5EF4-FFF2-40B4-BE49-F238E27FC236}">
              <a16:creationId xmlns:a16="http://schemas.microsoft.com/office/drawing/2014/main" id="{0754CC20-139F-AA92-A03A-AF42E9B9F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9395" name="Picture 2">
          <a:extLst>
            <a:ext uri="{FF2B5EF4-FFF2-40B4-BE49-F238E27FC236}">
              <a16:creationId xmlns:a16="http://schemas.microsoft.com/office/drawing/2014/main" id="{2E1BA4EE-3821-DD60-B051-F690EF638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57150</xdr:rowOff>
    </xdr:from>
    <xdr:to>
      <xdr:col>0</xdr:col>
      <xdr:colOff>781050</xdr:colOff>
      <xdr:row>3</xdr:row>
      <xdr:rowOff>44450</xdr:rowOff>
    </xdr:to>
    <xdr:pic>
      <xdr:nvPicPr>
        <xdr:cNvPr id="9396" name="Picture 3" descr="Nueva imagen">
          <a:extLst>
            <a:ext uri="{FF2B5EF4-FFF2-40B4-BE49-F238E27FC236}">
              <a16:creationId xmlns:a16="http://schemas.microsoft.com/office/drawing/2014/main" id="{ACCA68D4-785D-0DC4-A7AE-5414F390F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304800"/>
          <a:ext cx="692150" cy="86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0418" name="Picture 1">
          <a:extLst>
            <a:ext uri="{FF2B5EF4-FFF2-40B4-BE49-F238E27FC236}">
              <a16:creationId xmlns:a16="http://schemas.microsoft.com/office/drawing/2014/main" id="{08CBC700-70A9-3938-9E7B-C8C39F64B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0419" name="Picture 2">
          <a:extLst>
            <a:ext uri="{FF2B5EF4-FFF2-40B4-BE49-F238E27FC236}">
              <a16:creationId xmlns:a16="http://schemas.microsoft.com/office/drawing/2014/main" id="{97166DA6-7C64-B7DE-26A8-FCC4EF3B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57150</xdr:rowOff>
    </xdr:from>
    <xdr:to>
      <xdr:col>0</xdr:col>
      <xdr:colOff>781050</xdr:colOff>
      <xdr:row>3</xdr:row>
      <xdr:rowOff>44450</xdr:rowOff>
    </xdr:to>
    <xdr:pic>
      <xdr:nvPicPr>
        <xdr:cNvPr id="10420" name="Picture 3" descr="Nueva imagen">
          <a:extLst>
            <a:ext uri="{FF2B5EF4-FFF2-40B4-BE49-F238E27FC236}">
              <a16:creationId xmlns:a16="http://schemas.microsoft.com/office/drawing/2014/main" id="{1A51DC84-A6FE-983D-3426-EE07E079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304800"/>
          <a:ext cx="6921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28575</xdr:rowOff>
    </xdr:from>
    <xdr:to>
      <xdr:col>1</xdr:col>
      <xdr:colOff>613409</xdr:colOff>
      <xdr:row>3</xdr:row>
      <xdr:rowOff>133350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40D3B03-D5E4-4F71-90A8-BECF45BA9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19075"/>
          <a:ext cx="122300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B7A0-128E-460A-A70A-44F1D313483B}">
  <sheetPr>
    <tabColor indexed="10"/>
  </sheetPr>
  <dimension ref="A1:L30"/>
  <sheetViews>
    <sheetView workbookViewId="0">
      <selection activeCell="D12" sqref="D12"/>
    </sheetView>
  </sheetViews>
  <sheetFormatPr baseColWidth="10" defaultColWidth="9.85546875" defaultRowHeight="15.75" x14ac:dyDescent="0.25"/>
  <cols>
    <col min="1" max="1" width="12.42578125" style="28" customWidth="1"/>
    <col min="2" max="2" width="24.5703125" style="28" customWidth="1"/>
    <col min="3" max="3" width="32.42578125" style="3" customWidth="1"/>
    <col min="4" max="4" width="17.85546875" style="3" customWidth="1"/>
    <col min="5" max="5" width="11.28515625" style="3" customWidth="1"/>
    <col min="6" max="6" width="11.42578125" style="3" customWidth="1"/>
    <col min="7" max="7" width="11.28515625" style="3" customWidth="1"/>
    <col min="8" max="8" width="12.28515625" style="3" customWidth="1"/>
    <col min="9" max="9" width="15.140625" style="3" customWidth="1"/>
    <col min="10" max="10" width="8.28515625" style="3" customWidth="1"/>
    <col min="11" max="16384" width="9.85546875" style="3"/>
  </cols>
  <sheetData>
    <row r="1" spans="1:9" ht="19.5" customHeight="1" x14ac:dyDescent="0.25">
      <c r="A1" s="299"/>
      <c r="B1" s="45"/>
      <c r="C1" s="302" t="s">
        <v>0</v>
      </c>
      <c r="D1" s="303"/>
      <c r="E1" s="303"/>
      <c r="F1" s="303"/>
      <c r="G1" s="303"/>
      <c r="H1" s="1" t="s">
        <v>1</v>
      </c>
      <c r="I1" s="2" t="s">
        <v>40</v>
      </c>
    </row>
    <row r="2" spans="1:9" ht="19.5" customHeight="1" x14ac:dyDescent="0.25">
      <c r="A2" s="300"/>
      <c r="B2" s="46"/>
      <c r="C2" s="304" t="s">
        <v>3</v>
      </c>
      <c r="D2" s="305"/>
      <c r="E2" s="305"/>
      <c r="F2" s="305"/>
      <c r="G2" s="305"/>
      <c r="H2" s="4" t="s">
        <v>4</v>
      </c>
      <c r="I2" s="5" t="s">
        <v>41</v>
      </c>
    </row>
    <row r="3" spans="1:9" ht="50.1" customHeight="1" x14ac:dyDescent="0.25">
      <c r="A3" s="300"/>
      <c r="B3" s="47"/>
      <c r="C3" s="306" t="s">
        <v>42</v>
      </c>
      <c r="D3" s="307"/>
      <c r="E3" s="307"/>
      <c r="F3" s="307"/>
      <c r="G3" s="308"/>
      <c r="H3" s="309" t="s">
        <v>6</v>
      </c>
      <c r="I3" s="294"/>
    </row>
    <row r="4" spans="1:9" ht="19.5" customHeight="1" thickBot="1" x14ac:dyDescent="0.3">
      <c r="A4" s="300"/>
      <c r="B4" s="46"/>
      <c r="C4" s="6" t="s">
        <v>7</v>
      </c>
      <c r="D4" s="296" t="s">
        <v>31</v>
      </c>
      <c r="E4" s="297"/>
      <c r="F4" s="297"/>
      <c r="G4" s="297"/>
      <c r="H4" s="310"/>
      <c r="I4" s="295"/>
    </row>
    <row r="5" spans="1:9" ht="19.5" customHeight="1" thickBot="1" x14ac:dyDescent="0.3">
      <c r="A5" s="301"/>
      <c r="B5" s="48"/>
      <c r="C5" s="7" t="s">
        <v>8</v>
      </c>
      <c r="D5" s="296" t="s">
        <v>32</v>
      </c>
      <c r="E5" s="297"/>
      <c r="F5" s="297"/>
      <c r="G5" s="297"/>
      <c r="H5" s="297"/>
      <c r="I5" s="298"/>
    </row>
    <row r="6" spans="1:9" ht="19.5" customHeight="1" x14ac:dyDescent="0.25">
      <c r="A6" s="8"/>
      <c r="B6" s="8"/>
      <c r="C6" s="8"/>
      <c r="E6" s="8"/>
    </row>
    <row r="7" spans="1:9" s="30" customFormat="1" ht="24" customHeight="1" x14ac:dyDescent="0.2">
      <c r="A7" s="311" t="s">
        <v>9</v>
      </c>
      <c r="B7" s="314" t="s">
        <v>89</v>
      </c>
      <c r="C7" s="311" t="s">
        <v>10</v>
      </c>
      <c r="D7" s="311" t="s">
        <v>11</v>
      </c>
      <c r="E7" s="311" t="s">
        <v>12</v>
      </c>
      <c r="F7" s="311"/>
      <c r="G7" s="311" t="s">
        <v>13</v>
      </c>
      <c r="H7" s="311"/>
      <c r="I7" s="9" t="s">
        <v>14</v>
      </c>
    </row>
    <row r="8" spans="1:9" ht="16.5" customHeight="1" x14ac:dyDescent="0.25">
      <c r="A8" s="311"/>
      <c r="B8" s="315"/>
      <c r="C8" s="311"/>
      <c r="D8" s="311"/>
      <c r="E8" s="10" t="s">
        <v>15</v>
      </c>
      <c r="F8" s="11" t="s">
        <v>16</v>
      </c>
      <c r="G8" s="10" t="s">
        <v>15</v>
      </c>
      <c r="H8" s="11" t="s">
        <v>16</v>
      </c>
      <c r="I8" s="12" t="s">
        <v>17</v>
      </c>
    </row>
    <row r="9" spans="1:9" ht="18" customHeight="1" x14ac:dyDescent="0.25">
      <c r="A9" s="33" t="s">
        <v>43</v>
      </c>
      <c r="B9" s="33" t="s">
        <v>90</v>
      </c>
      <c r="C9" s="32" t="s">
        <v>44</v>
      </c>
      <c r="D9" s="14" t="s">
        <v>45</v>
      </c>
      <c r="E9" s="15">
        <v>8000</v>
      </c>
      <c r="F9" s="16" t="s">
        <v>18</v>
      </c>
      <c r="G9" s="15"/>
      <c r="H9" s="12"/>
      <c r="I9" s="12"/>
    </row>
    <row r="10" spans="1:9" ht="18" customHeight="1" x14ac:dyDescent="0.25">
      <c r="A10" s="33" t="s">
        <v>39</v>
      </c>
      <c r="B10" s="33" t="s">
        <v>90</v>
      </c>
      <c r="C10" s="32" t="s">
        <v>46</v>
      </c>
      <c r="D10" s="14" t="s">
        <v>47</v>
      </c>
      <c r="E10" s="15">
        <v>500</v>
      </c>
      <c r="F10" s="16" t="s">
        <v>18</v>
      </c>
      <c r="G10" s="17"/>
      <c r="H10" s="12"/>
      <c r="I10" s="12"/>
    </row>
    <row r="11" spans="1:9" ht="18" customHeight="1" x14ac:dyDescent="0.25">
      <c r="A11" s="33" t="s">
        <v>19</v>
      </c>
      <c r="B11" s="33" t="s">
        <v>90</v>
      </c>
      <c r="C11" s="32" t="s">
        <v>37</v>
      </c>
      <c r="D11" s="14" t="s">
        <v>20</v>
      </c>
      <c r="E11" s="15">
        <v>96</v>
      </c>
      <c r="F11" s="16" t="s">
        <v>18</v>
      </c>
      <c r="G11" s="15">
        <v>12</v>
      </c>
      <c r="H11" s="12" t="s">
        <v>48</v>
      </c>
      <c r="I11" s="12"/>
    </row>
    <row r="12" spans="1:9" ht="18" customHeight="1" x14ac:dyDescent="0.25">
      <c r="A12" s="33" t="s">
        <v>34</v>
      </c>
      <c r="B12" s="33" t="s">
        <v>90</v>
      </c>
      <c r="C12" s="32" t="s">
        <v>35</v>
      </c>
      <c r="D12" s="14" t="s">
        <v>36</v>
      </c>
      <c r="E12" s="15">
        <v>2000</v>
      </c>
      <c r="F12" s="16" t="s">
        <v>18</v>
      </c>
      <c r="G12" s="15"/>
      <c r="H12" s="12"/>
      <c r="I12" s="12"/>
    </row>
    <row r="13" spans="1:9" ht="18" customHeight="1" x14ac:dyDescent="0.25">
      <c r="A13" s="33" t="s">
        <v>33</v>
      </c>
      <c r="B13" s="33"/>
      <c r="C13" s="42" t="s">
        <v>49</v>
      </c>
      <c r="D13" s="14" t="s">
        <v>33</v>
      </c>
      <c r="E13" s="15">
        <v>50</v>
      </c>
      <c r="F13" s="16" t="s">
        <v>18</v>
      </c>
      <c r="G13" s="15"/>
      <c r="H13" s="12"/>
      <c r="I13" s="12"/>
    </row>
    <row r="14" spans="1:9" ht="18" customHeight="1" x14ac:dyDescent="0.25">
      <c r="A14" s="33" t="s">
        <v>33</v>
      </c>
      <c r="B14" s="33"/>
      <c r="C14" s="43" t="s">
        <v>38</v>
      </c>
      <c r="D14" s="14"/>
      <c r="E14" s="15">
        <v>10000</v>
      </c>
      <c r="F14" s="16" t="s">
        <v>18</v>
      </c>
      <c r="G14" s="15"/>
      <c r="H14" s="12"/>
      <c r="I14" s="12"/>
    </row>
    <row r="15" spans="1:9" ht="18" customHeight="1" x14ac:dyDescent="0.25">
      <c r="A15" s="33"/>
      <c r="B15" s="33"/>
      <c r="C15" s="18"/>
      <c r="D15" s="14"/>
      <c r="E15" s="15"/>
      <c r="F15" s="16"/>
      <c r="G15" s="15"/>
      <c r="H15" s="12"/>
      <c r="I15" s="12"/>
    </row>
    <row r="16" spans="1:9" ht="18" customHeight="1" x14ac:dyDescent="0.25">
      <c r="A16" s="33" t="s">
        <v>50</v>
      </c>
      <c r="B16" s="33" t="s">
        <v>91</v>
      </c>
      <c r="C16" s="35" t="s">
        <v>51</v>
      </c>
      <c r="D16" s="14"/>
      <c r="E16" s="12">
        <v>3.5</v>
      </c>
      <c r="F16" s="16" t="s">
        <v>22</v>
      </c>
      <c r="G16" s="15"/>
      <c r="H16" s="12"/>
      <c r="I16" s="12"/>
    </row>
    <row r="17" spans="1:12" ht="20.25" customHeight="1" x14ac:dyDescent="0.25">
      <c r="A17" s="19"/>
      <c r="B17" s="19"/>
      <c r="C17" s="18"/>
      <c r="D17" s="18"/>
      <c r="E17" s="15"/>
      <c r="F17" s="20"/>
      <c r="G17" s="18"/>
      <c r="H17" s="18"/>
      <c r="I17" s="12"/>
      <c r="L17" s="21"/>
    </row>
    <row r="18" spans="1:12" ht="5.25" customHeight="1" x14ac:dyDescent="0.25">
      <c r="A18" s="36"/>
      <c r="B18" s="36"/>
      <c r="C18" s="37"/>
      <c r="D18" s="37"/>
      <c r="E18" s="38"/>
      <c r="F18" s="22"/>
      <c r="G18" s="37"/>
      <c r="H18" s="37"/>
      <c r="I18" s="36"/>
      <c r="L18" s="21"/>
    </row>
    <row r="19" spans="1:12" ht="20.25" customHeight="1" x14ac:dyDescent="0.25">
      <c r="A19" s="312" t="s">
        <v>23</v>
      </c>
      <c r="B19" s="312"/>
      <c r="C19" s="312"/>
      <c r="D19" s="313" t="s">
        <v>52</v>
      </c>
      <c r="E19" s="313"/>
      <c r="F19" s="312" t="s">
        <v>25</v>
      </c>
      <c r="G19" s="312"/>
      <c r="H19" s="41"/>
      <c r="I19" s="41"/>
      <c r="L19" s="21"/>
    </row>
    <row r="20" spans="1:12" ht="20.25" customHeight="1" x14ac:dyDescent="0.25">
      <c r="A20" s="312" t="s">
        <v>26</v>
      </c>
      <c r="B20" s="312"/>
      <c r="C20" s="312"/>
      <c r="D20" s="313" t="s">
        <v>53</v>
      </c>
      <c r="E20" s="313"/>
      <c r="F20" s="316" t="s">
        <v>27</v>
      </c>
      <c r="G20" s="316"/>
      <c r="H20" s="25"/>
      <c r="I20" s="24"/>
      <c r="L20" s="21"/>
    </row>
    <row r="21" spans="1:12" ht="20.25" customHeight="1" x14ac:dyDescent="0.25">
      <c r="A21" s="312" t="s">
        <v>28</v>
      </c>
      <c r="B21" s="312"/>
      <c r="C21" s="312"/>
      <c r="D21" s="313" t="s">
        <v>54</v>
      </c>
      <c r="E21" s="313"/>
      <c r="F21" s="317" t="s">
        <v>29</v>
      </c>
      <c r="G21" s="317"/>
      <c r="H21" s="26"/>
      <c r="I21" s="23"/>
      <c r="L21" s="21"/>
    </row>
    <row r="22" spans="1:12" ht="17.25" customHeight="1" x14ac:dyDescent="0.25">
      <c r="A22" s="312"/>
      <c r="B22" s="312"/>
      <c r="C22" s="312"/>
      <c r="D22" s="39"/>
      <c r="E22" s="37"/>
      <c r="F22" s="37"/>
      <c r="G22" s="37"/>
      <c r="H22" s="37"/>
      <c r="I22" s="37"/>
      <c r="L22" s="21"/>
    </row>
    <row r="23" spans="1:12" ht="20.100000000000001" customHeight="1" x14ac:dyDescent="0.25">
      <c r="A23" s="40" t="s">
        <v>30</v>
      </c>
      <c r="B23" s="40"/>
      <c r="C23" s="37"/>
      <c r="D23" s="37"/>
      <c r="E23" s="37"/>
      <c r="F23" s="37"/>
      <c r="G23" s="37"/>
      <c r="H23" s="37"/>
      <c r="I23" s="37"/>
    </row>
    <row r="24" spans="1:12" ht="20.100000000000001" customHeight="1" x14ac:dyDescent="0.25">
      <c r="A24" s="318" t="s">
        <v>55</v>
      </c>
      <c r="B24" s="318"/>
      <c r="C24" s="318"/>
      <c r="D24" s="318"/>
      <c r="E24" s="318"/>
      <c r="F24" s="318"/>
      <c r="G24" s="318"/>
      <c r="H24" s="318"/>
      <c r="I24" s="27"/>
    </row>
    <row r="25" spans="1:12" ht="20.100000000000001" customHeight="1" x14ac:dyDescent="0.25">
      <c r="A25" s="228" t="s">
        <v>56</v>
      </c>
      <c r="B25" s="228"/>
      <c r="C25" s="228"/>
      <c r="D25" s="228"/>
      <c r="E25" s="228"/>
      <c r="F25" s="228"/>
      <c r="G25" s="228"/>
      <c r="H25" s="228"/>
      <c r="I25" s="228"/>
    </row>
    <row r="26" spans="1:12" ht="20.100000000000001" customHeight="1" x14ac:dyDescent="0.25">
      <c r="A26" s="228" t="s">
        <v>57</v>
      </c>
      <c r="B26" s="228"/>
      <c r="C26" s="228"/>
      <c r="D26" s="228"/>
      <c r="E26" s="228"/>
      <c r="F26" s="228"/>
      <c r="G26" s="228"/>
      <c r="H26" s="228"/>
      <c r="I26" s="228"/>
    </row>
    <row r="27" spans="1:12" ht="20.100000000000001" customHeight="1" x14ac:dyDescent="0.25">
      <c r="A27" s="228" t="s">
        <v>58</v>
      </c>
      <c r="B27" s="228"/>
      <c r="C27" s="228"/>
      <c r="D27" s="228"/>
      <c r="E27" s="228"/>
      <c r="F27" s="228"/>
      <c r="G27" s="228"/>
      <c r="H27" s="228"/>
      <c r="I27" s="228"/>
    </row>
    <row r="28" spans="1:12" ht="20.100000000000001" customHeight="1" x14ac:dyDescent="0.25">
      <c r="A28" s="228" t="s">
        <v>59</v>
      </c>
      <c r="B28" s="228"/>
      <c r="C28" s="228"/>
      <c r="D28" s="228"/>
      <c r="E28" s="228"/>
      <c r="F28" s="228"/>
      <c r="G28" s="228"/>
      <c r="H28" s="228"/>
      <c r="I28" s="228"/>
    </row>
    <row r="29" spans="1:12" ht="20.100000000000001" customHeight="1" x14ac:dyDescent="0.25"/>
    <row r="30" spans="1:12" x14ac:dyDescent="0.25">
      <c r="A30" s="29"/>
      <c r="B30" s="29"/>
      <c r="C30" s="29"/>
    </row>
  </sheetData>
  <mergeCells count="29">
    <mergeCell ref="A27:I27"/>
    <mergeCell ref="A28:I28"/>
    <mergeCell ref="A22:C22"/>
    <mergeCell ref="A24:H24"/>
    <mergeCell ref="A25:I25"/>
    <mergeCell ref="A26:I26"/>
    <mergeCell ref="A20:C20"/>
    <mergeCell ref="D20:E20"/>
    <mergeCell ref="F20:G20"/>
    <mergeCell ref="A21:C21"/>
    <mergeCell ref="D21:E21"/>
    <mergeCell ref="F21:G21"/>
    <mergeCell ref="G7:H7"/>
    <mergeCell ref="A19:C19"/>
    <mergeCell ref="D19:E19"/>
    <mergeCell ref="F19:G19"/>
    <mergeCell ref="A7:A8"/>
    <mergeCell ref="C7:C8"/>
    <mergeCell ref="D7:D8"/>
    <mergeCell ref="E7:F7"/>
    <mergeCell ref="B7:B8"/>
    <mergeCell ref="I3:I4"/>
    <mergeCell ref="D4:G4"/>
    <mergeCell ref="D5:I5"/>
    <mergeCell ref="A1:A5"/>
    <mergeCell ref="C1:G1"/>
    <mergeCell ref="C2:G2"/>
    <mergeCell ref="C3:G3"/>
    <mergeCell ref="H3:H4"/>
  </mergeCells>
  <phoneticPr fontId="15" type="noConversion"/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D3D5-4734-4AC9-8386-8E97BA2A831C}">
  <sheetPr>
    <tabColor indexed="11"/>
  </sheetPr>
  <dimension ref="A1:K23"/>
  <sheetViews>
    <sheetView workbookViewId="0">
      <selection activeCell="D12" sqref="D12"/>
    </sheetView>
  </sheetViews>
  <sheetFormatPr baseColWidth="10" defaultColWidth="9.85546875" defaultRowHeight="15.75" x14ac:dyDescent="0.25"/>
  <cols>
    <col min="1" max="1" width="12.42578125" style="28" customWidth="1"/>
    <col min="2" max="2" width="33" style="3" customWidth="1"/>
    <col min="3" max="3" width="17.85546875" style="3" customWidth="1"/>
    <col min="4" max="4" width="11.28515625" style="3" customWidth="1"/>
    <col min="5" max="5" width="11.42578125" style="3" customWidth="1"/>
    <col min="6" max="6" width="11.28515625" style="3" customWidth="1"/>
    <col min="7" max="7" width="12.28515625" style="3" customWidth="1"/>
    <col min="8" max="8" width="13" style="3" customWidth="1"/>
    <col min="9" max="9" width="8.28515625" style="3" customWidth="1"/>
    <col min="10" max="16384" width="9.85546875" style="3"/>
  </cols>
  <sheetData>
    <row r="1" spans="1:11" ht="19.5" customHeight="1" x14ac:dyDescent="0.25">
      <c r="A1" s="299"/>
      <c r="B1" s="302" t="s">
        <v>0</v>
      </c>
      <c r="C1" s="303"/>
      <c r="D1" s="303"/>
      <c r="E1" s="303"/>
      <c r="F1" s="303"/>
      <c r="G1" s="1" t="s">
        <v>1</v>
      </c>
      <c r="H1" s="2" t="s">
        <v>2</v>
      </c>
    </row>
    <row r="2" spans="1:11" ht="19.5" customHeight="1" x14ac:dyDescent="0.25">
      <c r="A2" s="300"/>
      <c r="B2" s="304" t="s">
        <v>3</v>
      </c>
      <c r="C2" s="305"/>
      <c r="D2" s="305"/>
      <c r="E2" s="305"/>
      <c r="F2" s="305"/>
      <c r="G2" s="4" t="s">
        <v>4</v>
      </c>
      <c r="H2" s="5" t="s">
        <v>5</v>
      </c>
    </row>
    <row r="3" spans="1:11" ht="19.5" customHeight="1" x14ac:dyDescent="0.25">
      <c r="A3" s="300"/>
      <c r="B3" s="319" t="s">
        <v>60</v>
      </c>
      <c r="C3" s="320"/>
      <c r="D3" s="320"/>
      <c r="E3" s="320"/>
      <c r="F3" s="320"/>
      <c r="G3" s="309" t="s">
        <v>6</v>
      </c>
      <c r="H3" s="294"/>
    </row>
    <row r="4" spans="1:11" ht="19.5" customHeight="1" thickBot="1" x14ac:dyDescent="0.3">
      <c r="A4" s="300"/>
      <c r="B4" s="6" t="s">
        <v>7</v>
      </c>
      <c r="C4" s="296" t="s">
        <v>31</v>
      </c>
      <c r="D4" s="297"/>
      <c r="E4" s="297"/>
      <c r="F4" s="297"/>
      <c r="G4" s="310"/>
      <c r="H4" s="295"/>
    </row>
    <row r="5" spans="1:11" ht="19.5" customHeight="1" thickBot="1" x14ac:dyDescent="0.3">
      <c r="A5" s="301"/>
      <c r="B5" s="7" t="s">
        <v>8</v>
      </c>
      <c r="C5" s="296" t="s">
        <v>32</v>
      </c>
      <c r="D5" s="297"/>
      <c r="E5" s="297"/>
      <c r="F5" s="297"/>
      <c r="G5" s="297"/>
      <c r="H5" s="298"/>
    </row>
    <row r="6" spans="1:11" ht="19.5" customHeight="1" x14ac:dyDescent="0.25">
      <c r="A6" s="8"/>
      <c r="B6" s="8"/>
      <c r="D6" s="8"/>
    </row>
    <row r="7" spans="1:11" s="30" customFormat="1" ht="24" customHeight="1" x14ac:dyDescent="0.2">
      <c r="A7" s="311" t="s">
        <v>9</v>
      </c>
      <c r="B7" s="311" t="s">
        <v>10</v>
      </c>
      <c r="C7" s="311" t="s">
        <v>11</v>
      </c>
      <c r="D7" s="311" t="s">
        <v>12</v>
      </c>
      <c r="E7" s="311"/>
      <c r="F7" s="311" t="s">
        <v>13</v>
      </c>
      <c r="G7" s="311"/>
      <c r="H7" s="9" t="s">
        <v>14</v>
      </c>
    </row>
    <row r="8" spans="1:11" ht="16.5" customHeight="1" x14ac:dyDescent="0.25">
      <c r="A8" s="311"/>
      <c r="B8" s="311"/>
      <c r="C8" s="311"/>
      <c r="D8" s="10" t="s">
        <v>15</v>
      </c>
      <c r="E8" s="11" t="s">
        <v>16</v>
      </c>
      <c r="F8" s="10" t="s">
        <v>15</v>
      </c>
      <c r="G8" s="11" t="s">
        <v>16</v>
      </c>
      <c r="H8" s="12" t="s">
        <v>17</v>
      </c>
    </row>
    <row r="9" spans="1:11" ht="18" customHeight="1" x14ac:dyDescent="0.25">
      <c r="A9" s="31" t="s">
        <v>61</v>
      </c>
      <c r="B9" s="32" t="s">
        <v>62</v>
      </c>
      <c r="C9" s="14" t="s">
        <v>21</v>
      </c>
      <c r="D9" s="15">
        <v>10</v>
      </c>
      <c r="E9" s="16" t="s">
        <v>63</v>
      </c>
      <c r="F9" s="15">
        <v>4</v>
      </c>
      <c r="G9" s="12" t="s">
        <v>64</v>
      </c>
      <c r="H9" s="12"/>
    </row>
    <row r="10" spans="1:11" ht="18" customHeight="1" x14ac:dyDescent="0.25">
      <c r="A10" s="31"/>
      <c r="B10" s="13"/>
      <c r="C10" s="14"/>
      <c r="D10" s="15"/>
      <c r="E10" s="16"/>
      <c r="F10" s="17"/>
      <c r="G10" s="12"/>
      <c r="H10" s="12"/>
    </row>
    <row r="11" spans="1:11" ht="18" customHeight="1" x14ac:dyDescent="0.25">
      <c r="A11" s="34" t="s">
        <v>50</v>
      </c>
      <c r="B11" s="35" t="s">
        <v>51</v>
      </c>
      <c r="C11" s="14"/>
      <c r="D11" s="15">
        <v>1</v>
      </c>
      <c r="E11" s="16" t="s">
        <v>65</v>
      </c>
      <c r="F11" s="15"/>
      <c r="G11" s="12"/>
      <c r="H11" s="12"/>
    </row>
    <row r="12" spans="1:11" ht="20.25" customHeight="1" x14ac:dyDescent="0.25">
      <c r="A12" s="19"/>
      <c r="B12" s="18"/>
      <c r="C12" s="18"/>
      <c r="D12" s="15"/>
      <c r="E12" s="20"/>
      <c r="F12" s="18"/>
      <c r="G12" s="18"/>
      <c r="H12" s="12"/>
      <c r="K12" s="21"/>
    </row>
    <row r="13" spans="1:11" ht="5.25" customHeight="1" x14ac:dyDescent="0.25">
      <c r="A13" s="36"/>
      <c r="B13" s="37"/>
      <c r="C13" s="37"/>
      <c r="D13" s="38"/>
      <c r="E13" s="22"/>
      <c r="F13" s="37"/>
      <c r="G13" s="37"/>
      <c r="H13" s="36"/>
      <c r="K13" s="21"/>
    </row>
    <row r="14" spans="1:11" ht="20.25" customHeight="1" x14ac:dyDescent="0.25">
      <c r="A14" s="312" t="s">
        <v>23</v>
      </c>
      <c r="B14" s="312"/>
      <c r="C14" s="313" t="s">
        <v>24</v>
      </c>
      <c r="D14" s="313"/>
      <c r="E14" s="312" t="s">
        <v>25</v>
      </c>
      <c r="F14" s="312"/>
      <c r="G14" s="41"/>
      <c r="H14" s="41"/>
      <c r="K14" s="21"/>
    </row>
    <row r="15" spans="1:11" ht="20.25" customHeight="1" x14ac:dyDescent="0.25">
      <c r="A15" s="312" t="s">
        <v>26</v>
      </c>
      <c r="B15" s="312"/>
      <c r="C15" s="313" t="s">
        <v>66</v>
      </c>
      <c r="D15" s="313"/>
      <c r="E15" s="316" t="s">
        <v>27</v>
      </c>
      <c r="F15" s="316"/>
      <c r="G15" s="25"/>
      <c r="H15" s="24"/>
      <c r="K15" s="21"/>
    </row>
    <row r="16" spans="1:11" ht="20.25" customHeight="1" x14ac:dyDescent="0.25">
      <c r="A16" s="312" t="s">
        <v>28</v>
      </c>
      <c r="B16" s="312"/>
      <c r="C16" s="313"/>
      <c r="D16" s="313"/>
      <c r="E16" s="317" t="s">
        <v>29</v>
      </c>
      <c r="F16" s="317"/>
      <c r="G16" s="26"/>
      <c r="H16" s="23"/>
      <c r="K16" s="21"/>
    </row>
    <row r="17" spans="1:11" ht="17.25" customHeight="1" x14ac:dyDescent="0.25">
      <c r="A17" s="312"/>
      <c r="B17" s="312"/>
      <c r="C17" s="39"/>
      <c r="D17" s="37"/>
      <c r="E17" s="37"/>
      <c r="F17" s="37"/>
      <c r="G17" s="37"/>
      <c r="H17" s="37"/>
      <c r="K17" s="21"/>
    </row>
    <row r="18" spans="1:11" ht="20.100000000000001" customHeight="1" x14ac:dyDescent="0.25">
      <c r="A18" s="40" t="s">
        <v>30</v>
      </c>
      <c r="B18" s="37"/>
      <c r="C18" s="37"/>
      <c r="D18" s="37"/>
      <c r="E18" s="37"/>
      <c r="F18" s="37"/>
      <c r="G18" s="37"/>
      <c r="H18" s="37"/>
    </row>
    <row r="19" spans="1:11" ht="20.100000000000001" customHeight="1" x14ac:dyDescent="0.25">
      <c r="A19" s="318" t="s">
        <v>67</v>
      </c>
      <c r="B19" s="318"/>
      <c r="C19" s="318"/>
      <c r="D19" s="318"/>
      <c r="E19" s="318"/>
      <c r="F19" s="318"/>
      <c r="G19" s="318"/>
      <c r="H19" s="27"/>
    </row>
    <row r="20" spans="1:11" ht="20.100000000000001" customHeight="1" x14ac:dyDescent="0.25">
      <c r="A20" s="228" t="s">
        <v>68</v>
      </c>
      <c r="B20" s="228"/>
      <c r="C20" s="228"/>
      <c r="D20" s="228"/>
      <c r="E20" s="228"/>
      <c r="F20" s="228"/>
      <c r="G20" s="228"/>
      <c r="H20" s="228"/>
    </row>
    <row r="21" spans="1:11" ht="20.100000000000001" customHeight="1" x14ac:dyDescent="0.25">
      <c r="A21" s="228" t="s">
        <v>69</v>
      </c>
      <c r="B21" s="228"/>
      <c r="C21" s="228"/>
      <c r="D21" s="228"/>
      <c r="E21" s="228"/>
      <c r="F21" s="228"/>
      <c r="G21" s="228"/>
      <c r="H21" s="228"/>
    </row>
    <row r="22" spans="1:11" ht="20.100000000000001" customHeight="1" x14ac:dyDescent="0.25"/>
    <row r="23" spans="1:11" x14ac:dyDescent="0.25">
      <c r="A23" s="29"/>
      <c r="B23" s="29"/>
    </row>
  </sheetData>
  <mergeCells count="26">
    <mergeCell ref="A17:B17"/>
    <mergeCell ref="A19:G19"/>
    <mergeCell ref="A20:H20"/>
    <mergeCell ref="A21:H21"/>
    <mergeCell ref="A15:B15"/>
    <mergeCell ref="C15:D15"/>
    <mergeCell ref="E15:F15"/>
    <mergeCell ref="A16:B16"/>
    <mergeCell ref="C16:D16"/>
    <mergeCell ref="E16:F16"/>
    <mergeCell ref="F7:G7"/>
    <mergeCell ref="A14:B14"/>
    <mergeCell ref="C14:D14"/>
    <mergeCell ref="E14:F14"/>
    <mergeCell ref="A7:A8"/>
    <mergeCell ref="B7:B8"/>
    <mergeCell ref="C7:C8"/>
    <mergeCell ref="D7:E7"/>
    <mergeCell ref="H3:H4"/>
    <mergeCell ref="C4:F4"/>
    <mergeCell ref="C5:H5"/>
    <mergeCell ref="A1:A5"/>
    <mergeCell ref="B1:F1"/>
    <mergeCell ref="B2:F2"/>
    <mergeCell ref="B3:F3"/>
    <mergeCell ref="G3:G4"/>
  </mergeCells>
  <phoneticPr fontId="15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EE40-88B4-4B67-A112-831C77A3F657}">
  <dimension ref="A1:Q91"/>
  <sheetViews>
    <sheetView topLeftCell="A58" workbookViewId="0">
      <selection activeCell="B66" sqref="B66:E66"/>
    </sheetView>
  </sheetViews>
  <sheetFormatPr baseColWidth="10" defaultColWidth="8.42578125" defaultRowHeight="12.75" x14ac:dyDescent="0.2"/>
  <cols>
    <col min="1" max="1" width="10" style="95" bestFit="1" customWidth="1"/>
    <col min="2" max="2" width="44.28515625" style="95" bestFit="1" customWidth="1"/>
    <col min="3" max="3" width="10.42578125" style="95" bestFit="1" customWidth="1"/>
    <col min="4" max="4" width="10.42578125" style="95" customWidth="1"/>
    <col min="5" max="5" width="11" style="95" customWidth="1"/>
    <col min="6" max="6" width="9.5703125" style="95" bestFit="1" customWidth="1"/>
    <col min="7" max="7" width="10.85546875" style="176" customWidth="1"/>
    <col min="8" max="8" width="10.42578125" style="167" bestFit="1" customWidth="1"/>
    <col min="9" max="9" width="4.5703125" style="167" customWidth="1"/>
    <col min="10" max="10" width="1.85546875" style="94" customWidth="1"/>
    <col min="11" max="11" width="7" style="95" bestFit="1" customWidth="1"/>
    <col min="12" max="12" width="6.28515625" style="95" customWidth="1"/>
    <col min="13" max="13" width="20.42578125" style="95" customWidth="1"/>
    <col min="14" max="14" width="6.42578125" style="95" bestFit="1" customWidth="1"/>
    <col min="15" max="16" width="8.42578125" style="95"/>
    <col min="17" max="17" width="3.28515625" style="95" customWidth="1"/>
    <col min="18" max="16384" width="8.42578125" style="95"/>
  </cols>
  <sheetData>
    <row r="1" spans="1:10" ht="27.75" customHeight="1" x14ac:dyDescent="0.2">
      <c r="A1" s="90"/>
      <c r="B1" s="90"/>
      <c r="C1" s="90"/>
      <c r="D1" s="90"/>
      <c r="E1" s="91" t="s">
        <v>113</v>
      </c>
      <c r="F1" s="92" t="s">
        <v>114</v>
      </c>
      <c r="G1" s="92" t="s">
        <v>115</v>
      </c>
      <c r="H1" s="92" t="s">
        <v>116</v>
      </c>
      <c r="I1" s="93"/>
    </row>
    <row r="2" spans="1:10" ht="30.75" customHeight="1" x14ac:dyDescent="0.2">
      <c r="A2" s="90"/>
      <c r="B2" s="90"/>
      <c r="C2" s="90"/>
      <c r="D2" s="90"/>
      <c r="E2" s="96">
        <f>IFERROR(O62,"")</f>
        <v>1910</v>
      </c>
      <c r="F2" s="96">
        <f>IFERROR(H53,"")</f>
        <v>1110</v>
      </c>
      <c r="G2" s="96">
        <f>IFERROR(H54,"")</f>
        <v>0</v>
      </c>
      <c r="H2" s="96">
        <f>IFERROR(H56,"")</f>
        <v>385</v>
      </c>
      <c r="I2" s="97"/>
    </row>
    <row r="3" spans="1:10" ht="15" customHeight="1" x14ac:dyDescent="0.2">
      <c r="A3" s="90"/>
      <c r="B3" s="90"/>
      <c r="C3" s="90"/>
      <c r="D3" s="90"/>
      <c r="E3" s="90"/>
      <c r="F3" s="98"/>
      <c r="G3" s="98"/>
      <c r="H3" s="98"/>
      <c r="I3" s="98"/>
    </row>
    <row r="4" spans="1:10" ht="24.75" customHeight="1" thickBot="1" x14ac:dyDescent="0.25">
      <c r="A4" s="322"/>
      <c r="B4" s="322"/>
      <c r="C4" s="322"/>
      <c r="D4" s="322"/>
      <c r="E4" s="322"/>
      <c r="F4" s="322"/>
      <c r="G4" s="322"/>
      <c r="H4" s="322"/>
      <c r="I4" s="99"/>
    </row>
    <row r="5" spans="1:10" ht="19.5" customHeight="1" thickBot="1" x14ac:dyDescent="0.25">
      <c r="A5" s="323" t="s">
        <v>117</v>
      </c>
      <c r="B5" s="324"/>
      <c r="C5" s="324"/>
      <c r="D5" s="324"/>
      <c r="E5" s="324"/>
      <c r="F5" s="324"/>
      <c r="G5" s="324"/>
      <c r="H5" s="325"/>
      <c r="I5" s="100"/>
    </row>
    <row r="6" spans="1:10" ht="19.5" thickBot="1" x14ac:dyDescent="0.25">
      <c r="A6" s="100"/>
      <c r="B6" s="100"/>
      <c r="C6" s="100"/>
      <c r="D6" s="100"/>
      <c r="E6" s="100"/>
      <c r="F6" s="326" t="s">
        <v>118</v>
      </c>
      <c r="G6" s="326"/>
      <c r="H6" s="101">
        <f ca="1">TODAY()</f>
        <v>46099</v>
      </c>
      <c r="I6" s="101"/>
    </row>
    <row r="7" spans="1:10" ht="26.25" thickBot="1" x14ac:dyDescent="0.25">
      <c r="A7" s="102" t="s">
        <v>119</v>
      </c>
      <c r="B7" s="103" t="s">
        <v>120</v>
      </c>
      <c r="C7" s="103" t="s">
        <v>119</v>
      </c>
      <c r="D7" s="104" t="s">
        <v>121</v>
      </c>
      <c r="E7" s="104" t="s">
        <v>122</v>
      </c>
      <c r="F7" s="104" t="s">
        <v>123</v>
      </c>
      <c r="G7" s="104" t="s">
        <v>124</v>
      </c>
      <c r="H7" s="105" t="s">
        <v>125</v>
      </c>
      <c r="I7" s="106"/>
    </row>
    <row r="8" spans="1:10" ht="14.25" thickBot="1" x14ac:dyDescent="0.3">
      <c r="A8" s="107">
        <v>1000</v>
      </c>
      <c r="B8" s="95" t="s">
        <v>101</v>
      </c>
      <c r="C8" s="108">
        <f>+A8</f>
        <v>1000</v>
      </c>
      <c r="D8" s="109" t="s">
        <v>18</v>
      </c>
      <c r="E8" s="109">
        <v>1.1100000000000001</v>
      </c>
      <c r="F8" s="109">
        <f>IFERROR(C8*E8,"")</f>
        <v>1110</v>
      </c>
      <c r="G8" s="110">
        <f t="shared" ref="G8:G14" si="0">IFERROR(F8/$F$66,"")</f>
        <v>0.73161086211442128</v>
      </c>
      <c r="H8" s="111" t="s">
        <v>165</v>
      </c>
      <c r="I8" s="111"/>
      <c r="J8" s="112"/>
    </row>
    <row r="9" spans="1:10" ht="13.5" hidden="1" x14ac:dyDescent="0.25">
      <c r="A9" s="107"/>
      <c r="B9" s="95" t="str">
        <f>IFERROR(VLOOKUP(H9,'[1]Consolidado MP Planta'!$A$2:$M$823,3,0),"")</f>
        <v/>
      </c>
      <c r="C9" s="108">
        <f t="shared" ref="C9:C14" si="1">+A9</f>
        <v>0</v>
      </c>
      <c r="D9" s="109" t="str">
        <f>IFERROR(VLOOKUP(H9,'[1]Consolidado MP Planta'!$A$2:$M$823,13,0),"")</f>
        <v/>
      </c>
      <c r="E9" s="109" t="str">
        <f>IFERROR(VLOOKUP(H9,'[1]Consolidado MP Planta'!$A$2:$M$823,12,0),"")</f>
        <v/>
      </c>
      <c r="F9" s="109" t="str">
        <f t="shared" ref="F9:F14" si="2">IFERROR(C9*E9,"")</f>
        <v/>
      </c>
      <c r="G9" s="110" t="str">
        <f t="shared" si="0"/>
        <v/>
      </c>
      <c r="H9" s="111"/>
      <c r="I9" s="111"/>
      <c r="J9" s="112"/>
    </row>
    <row r="10" spans="1:10" ht="13.5" hidden="1" x14ac:dyDescent="0.25">
      <c r="A10" s="107"/>
      <c r="B10" s="95" t="str">
        <f>IFERROR(VLOOKUP(H10,'[1]Consolidado MP Planta'!$A$2:$M$823,3,0),"")</f>
        <v/>
      </c>
      <c r="C10" s="108">
        <f t="shared" si="1"/>
        <v>0</v>
      </c>
      <c r="D10" s="109" t="str">
        <f>IFERROR(VLOOKUP(H10,'[1]Consolidado MP Planta'!$A$2:$M$823,13,0),"")</f>
        <v/>
      </c>
      <c r="E10" s="109" t="str">
        <f>IFERROR(VLOOKUP(H10,'[1]Consolidado MP Planta'!$A$2:$M$823,12,0),"")</f>
        <v/>
      </c>
      <c r="F10" s="109" t="str">
        <f t="shared" si="2"/>
        <v/>
      </c>
      <c r="G10" s="110" t="str">
        <f t="shared" si="0"/>
        <v/>
      </c>
      <c r="H10" s="111"/>
      <c r="I10" s="111"/>
      <c r="J10" s="112"/>
    </row>
    <row r="11" spans="1:10" ht="13.5" hidden="1" x14ac:dyDescent="0.25">
      <c r="A11" s="107"/>
      <c r="B11" s="95" t="str">
        <f>IFERROR(VLOOKUP(H11,'[1]Consolidado MP Planta'!$A$2:$M$823,3,0),"")</f>
        <v/>
      </c>
      <c r="C11" s="108">
        <f t="shared" si="1"/>
        <v>0</v>
      </c>
      <c r="D11" s="109" t="str">
        <f>IFERROR(VLOOKUP(H11,'[1]Consolidado MP Planta'!$A$2:$M$823,13,0),"")</f>
        <v/>
      </c>
      <c r="E11" s="109" t="str">
        <f>IFERROR(VLOOKUP(H11,'[1]Consolidado MP Planta'!$A$2:$M$823,12,0),"")</f>
        <v/>
      </c>
      <c r="F11" s="109" t="str">
        <f t="shared" si="2"/>
        <v/>
      </c>
      <c r="G11" s="110" t="str">
        <f t="shared" si="0"/>
        <v/>
      </c>
      <c r="H11" s="111"/>
      <c r="I11" s="111"/>
      <c r="J11" s="112"/>
    </row>
    <row r="12" spans="1:10" ht="13.5" hidden="1" x14ac:dyDescent="0.25">
      <c r="A12" s="107"/>
      <c r="B12" s="95" t="str">
        <f>IFERROR(VLOOKUP(H12,'[1]Consolidado MP Planta'!$A$2:$M$823,3,0),"")</f>
        <v/>
      </c>
      <c r="C12" s="108">
        <f t="shared" si="1"/>
        <v>0</v>
      </c>
      <c r="D12" s="109" t="str">
        <f>IFERROR(VLOOKUP(H12,'[1]Consolidado MP Planta'!$A$2:$M$823,13,0),"")</f>
        <v/>
      </c>
      <c r="E12" s="109" t="str">
        <f>IFERROR(VLOOKUP(H12,'[1]Consolidado MP Planta'!$A$2:$M$823,12,0),"")</f>
        <v/>
      </c>
      <c r="F12" s="109" t="str">
        <f t="shared" si="2"/>
        <v/>
      </c>
      <c r="G12" s="110" t="str">
        <f t="shared" si="0"/>
        <v/>
      </c>
      <c r="H12" s="111"/>
      <c r="I12" s="111"/>
      <c r="J12" s="112"/>
    </row>
    <row r="13" spans="1:10" ht="13.5" hidden="1" x14ac:dyDescent="0.25">
      <c r="A13" s="107"/>
      <c r="B13" s="95" t="str">
        <f>IFERROR(VLOOKUP(H13,'[1]Consolidado MP Planta'!$A$2:$M$823,3,0),"")</f>
        <v/>
      </c>
      <c r="C13" s="108">
        <f t="shared" si="1"/>
        <v>0</v>
      </c>
      <c r="D13" s="109" t="str">
        <f>IFERROR(VLOOKUP(H13,'[1]Consolidado MP Planta'!$A$2:$M$823,13,0),"")</f>
        <v/>
      </c>
      <c r="E13" s="109" t="str">
        <f>IFERROR(VLOOKUP(H13,'[1]Consolidado MP Planta'!$A$2:$M$823,12,0),"")</f>
        <v/>
      </c>
      <c r="F13" s="109" t="str">
        <f t="shared" si="2"/>
        <v/>
      </c>
      <c r="G13" s="110" t="str">
        <f t="shared" si="0"/>
        <v/>
      </c>
      <c r="H13" s="111"/>
      <c r="I13" s="111"/>
      <c r="J13" s="112"/>
    </row>
    <row r="14" spans="1:10" ht="13.5" hidden="1" x14ac:dyDescent="0.25">
      <c r="A14" s="107"/>
      <c r="B14" s="95" t="str">
        <f>IFERROR(VLOOKUP(H14,'[1]Consolidado MP Planta'!$A$2:$M$823,3,0),"")</f>
        <v/>
      </c>
      <c r="C14" s="108">
        <f t="shared" si="1"/>
        <v>0</v>
      </c>
      <c r="D14" s="109" t="str">
        <f>IFERROR(VLOOKUP(H14,'[1]Consolidado MP Planta'!$A$2:$M$823,13,0),"")</f>
        <v/>
      </c>
      <c r="E14" s="109" t="str">
        <f>IFERROR(VLOOKUP(H14,'[1]Consolidado MP Planta'!$A$2:$M$823,12,0),"")</f>
        <v/>
      </c>
      <c r="F14" s="109" t="str">
        <f t="shared" si="2"/>
        <v/>
      </c>
      <c r="G14" s="110" t="str">
        <f t="shared" si="0"/>
        <v/>
      </c>
      <c r="H14" s="111"/>
      <c r="I14" s="111"/>
      <c r="J14" s="112"/>
    </row>
    <row r="15" spans="1:10" ht="14.25" hidden="1" thickBot="1" x14ac:dyDescent="0.3">
      <c r="A15" s="107"/>
      <c r="B15" s="95" t="str">
        <f>IFERROR(VLOOKUP(H15,[2]Hoja2!$A$2:$G$589,2,0),"")</f>
        <v/>
      </c>
      <c r="C15" s="108"/>
      <c r="D15" s="109"/>
      <c r="E15" s="109"/>
      <c r="F15" s="109"/>
      <c r="G15" s="110"/>
      <c r="H15" s="111"/>
      <c r="I15" s="111"/>
      <c r="J15" s="112"/>
    </row>
    <row r="16" spans="1:10" ht="26.25" hidden="1" thickBot="1" x14ac:dyDescent="0.25">
      <c r="A16" s="102" t="s">
        <v>119</v>
      </c>
      <c r="B16" s="103" t="s">
        <v>126</v>
      </c>
      <c r="C16" s="103" t="s">
        <v>119</v>
      </c>
      <c r="D16" s="104" t="s">
        <v>121</v>
      </c>
      <c r="E16" s="104" t="s">
        <v>122</v>
      </c>
      <c r="F16" s="104" t="s">
        <v>123</v>
      </c>
      <c r="G16" s="104" t="s">
        <v>124</v>
      </c>
      <c r="H16" s="105" t="s">
        <v>125</v>
      </c>
      <c r="I16" s="106"/>
      <c r="J16" s="112"/>
    </row>
    <row r="17" spans="1:12" ht="13.5" hidden="1" x14ac:dyDescent="0.25">
      <c r="A17" s="107"/>
      <c r="B17" s="95" t="str">
        <f>IFERROR(VLOOKUP(H17,[1]SEMIELABORADOS!$A$2:$M$6000,2,0),"")</f>
        <v/>
      </c>
      <c r="C17" s="108">
        <f>+A17</f>
        <v>0</v>
      </c>
      <c r="D17" s="108" t="str">
        <f>IFERROR(VLOOKUP(H17,[1]SEMIELABORADOS!$A$2:$M$6000,6,0),"")</f>
        <v/>
      </c>
      <c r="E17" s="109" t="str">
        <f>IFERROR(VLOOKUP(H17,[1]SEMIELABORADOS!$A$2:$H$65536,8,0),"")</f>
        <v/>
      </c>
      <c r="F17" s="109" t="str">
        <f>IFERROR(E17*C17,"")</f>
        <v/>
      </c>
      <c r="G17" s="110" t="str">
        <f t="shared" ref="G17:G24" si="3">IFERROR(F17/$F$66,"")</f>
        <v/>
      </c>
      <c r="H17" s="111"/>
      <c r="I17" s="111"/>
      <c r="J17" s="112"/>
    </row>
    <row r="18" spans="1:12" ht="13.5" hidden="1" x14ac:dyDescent="0.25">
      <c r="A18" s="107"/>
      <c r="B18" s="95" t="str">
        <f>IFERROR(VLOOKUP(H18,[1]SEMIELABORADOS!$A$2:$M$6000,2,0),"")</f>
        <v/>
      </c>
      <c r="C18" s="108">
        <f t="shared" ref="C18:C24" si="4">+A18</f>
        <v>0</v>
      </c>
      <c r="D18" s="108" t="str">
        <f>IFERROR(VLOOKUP(H18,[1]SEMIELABORADOS!$A$2:$M$6000,6,0),"")</f>
        <v/>
      </c>
      <c r="E18" s="109" t="str">
        <f>IFERROR(VLOOKUP(H18,[1]SEMIELABORADOS!$A$2:$H$65536,8,0),"")</f>
        <v/>
      </c>
      <c r="F18" s="109" t="str">
        <f t="shared" ref="F18:F24" si="5">IFERROR(E18*C18,"")</f>
        <v/>
      </c>
      <c r="G18" s="110" t="str">
        <f t="shared" si="3"/>
        <v/>
      </c>
      <c r="H18" s="111"/>
      <c r="I18" s="111"/>
      <c r="J18" s="112"/>
    </row>
    <row r="19" spans="1:12" ht="13.5" hidden="1" x14ac:dyDescent="0.25">
      <c r="A19" s="107"/>
      <c r="B19" s="95" t="str">
        <f>IFERROR(VLOOKUP(H19,[1]SEMIELABORADOS!$A$2:$M$6000,2,0),"")</f>
        <v/>
      </c>
      <c r="C19" s="108">
        <f>+A19</f>
        <v>0</v>
      </c>
      <c r="D19" s="108" t="str">
        <f>IFERROR(VLOOKUP(H19,[1]SEMIELABORADOS!$A$2:$M$6000,6,0),"")</f>
        <v/>
      </c>
      <c r="E19" s="109" t="str">
        <f>IFERROR(VLOOKUP(H19,[1]SEMIELABORADOS!$A$2:$H$65536,8,0),"")</f>
        <v/>
      </c>
      <c r="F19" s="109" t="str">
        <f>IFERROR(E19*C19,"")</f>
        <v/>
      </c>
      <c r="G19" s="110" t="str">
        <f t="shared" si="3"/>
        <v/>
      </c>
      <c r="H19" s="111"/>
      <c r="I19" s="111"/>
      <c r="J19" s="112"/>
    </row>
    <row r="20" spans="1:12" ht="13.5" hidden="1" x14ac:dyDescent="0.25">
      <c r="A20" s="107"/>
      <c r="B20" s="95" t="str">
        <f>IFERROR(VLOOKUP(H20,[1]SEMIELABORADOS!$A$2:$M$6000,2,0),"")</f>
        <v/>
      </c>
      <c r="C20" s="108">
        <f>+A20</f>
        <v>0</v>
      </c>
      <c r="D20" s="108" t="str">
        <f>IFERROR(VLOOKUP(H20,[1]SEMIELABORADOS!$A$2:$M$6000,6,0),"")</f>
        <v/>
      </c>
      <c r="E20" s="109" t="str">
        <f>IFERROR(VLOOKUP(H20,[1]SEMIELABORADOS!$A$2:$H$65536,8,0),"")</f>
        <v/>
      </c>
      <c r="F20" s="109" t="str">
        <f>IFERROR(E20*C20,"")</f>
        <v/>
      </c>
      <c r="G20" s="110" t="str">
        <f t="shared" si="3"/>
        <v/>
      </c>
      <c r="H20" s="111"/>
      <c r="I20" s="111"/>
      <c r="J20" s="112"/>
    </row>
    <row r="21" spans="1:12" ht="13.5" hidden="1" x14ac:dyDescent="0.25">
      <c r="A21" s="107"/>
      <c r="B21" s="95" t="str">
        <f>IFERROR(VLOOKUP(H21,[1]SEMIELABORADOS!$A$2:$M$6000,2,0),"")</f>
        <v/>
      </c>
      <c r="C21" s="108">
        <f>+A21</f>
        <v>0</v>
      </c>
      <c r="D21" s="108" t="str">
        <f>IFERROR(VLOOKUP(H21,[1]SEMIELABORADOS!$A$2:$M$6000,6,0),"")</f>
        <v/>
      </c>
      <c r="E21" s="109" t="str">
        <f>IFERROR(VLOOKUP(H21,[1]SEMIELABORADOS!$A$2:$H$65536,8,0),"")</f>
        <v/>
      </c>
      <c r="F21" s="109" t="str">
        <f>IFERROR(E21*C21,"")</f>
        <v/>
      </c>
      <c r="G21" s="110" t="str">
        <f t="shared" si="3"/>
        <v/>
      </c>
      <c r="H21" s="111"/>
      <c r="I21" s="111"/>
      <c r="J21" s="112"/>
    </row>
    <row r="22" spans="1:12" ht="13.5" hidden="1" x14ac:dyDescent="0.25">
      <c r="A22" s="107"/>
      <c r="B22" s="95" t="str">
        <f>IFERROR(VLOOKUP(H22,[1]SEMIELABORADOS!$A$2:$M$6000,2,0),"")</f>
        <v/>
      </c>
      <c r="C22" s="108">
        <f t="shared" si="4"/>
        <v>0</v>
      </c>
      <c r="D22" s="108" t="str">
        <f>IFERROR(VLOOKUP(H22,[1]SEMIELABORADOS!$A$2:$M$6000,6,0),"")</f>
        <v/>
      </c>
      <c r="E22" s="109" t="str">
        <f>IFERROR(VLOOKUP(H22,[1]SEMIELABORADOS!$A$2:$H$65536,8,0),"")</f>
        <v/>
      </c>
      <c r="F22" s="109" t="str">
        <f t="shared" si="5"/>
        <v/>
      </c>
      <c r="G22" s="110" t="str">
        <f t="shared" si="3"/>
        <v/>
      </c>
      <c r="H22" s="111"/>
      <c r="I22" s="111"/>
      <c r="J22" s="112"/>
    </row>
    <row r="23" spans="1:12" ht="13.5" hidden="1" x14ac:dyDescent="0.25">
      <c r="A23" s="107"/>
      <c r="B23" s="95" t="str">
        <f>IFERROR(VLOOKUP(H23,[1]SEMIELABORADOS!$A$2:$M$6000,2,0),"")</f>
        <v/>
      </c>
      <c r="C23" s="108">
        <f t="shared" si="4"/>
        <v>0</v>
      </c>
      <c r="D23" s="108" t="str">
        <f>IFERROR(VLOOKUP(H23,[1]SEMIELABORADOS!$A$2:$M$6000,6,0),"")</f>
        <v/>
      </c>
      <c r="E23" s="109" t="str">
        <f>IFERROR(VLOOKUP(H23,[1]SEMIELABORADOS!$A$2:$H$65536,8,0),"")</f>
        <v/>
      </c>
      <c r="F23" s="109" t="str">
        <f t="shared" si="5"/>
        <v/>
      </c>
      <c r="G23" s="110" t="str">
        <f t="shared" si="3"/>
        <v/>
      </c>
      <c r="H23" s="111"/>
      <c r="I23" s="111"/>
      <c r="J23" s="112"/>
    </row>
    <row r="24" spans="1:12" ht="13.5" hidden="1" x14ac:dyDescent="0.25">
      <c r="A24" s="107"/>
      <c r="B24" s="95" t="str">
        <f>IFERROR(VLOOKUP(H24,[1]SEMIELABORADOS!$A$2:$M$6000,2,0),"")</f>
        <v/>
      </c>
      <c r="C24" s="108">
        <f t="shared" si="4"/>
        <v>0</v>
      </c>
      <c r="D24" s="108" t="str">
        <f>IFERROR(VLOOKUP(H24,[1]SEMIELABORADOS!$A$2:$M$6000,6,0),"")</f>
        <v/>
      </c>
      <c r="E24" s="109" t="str">
        <f>IFERROR(VLOOKUP(H24,[1]SEMIELABORADOS!$A$2:$H$65536,8,0),"")</f>
        <v/>
      </c>
      <c r="F24" s="109" t="str">
        <f t="shared" si="5"/>
        <v/>
      </c>
      <c r="G24" s="110" t="str">
        <f t="shared" si="3"/>
        <v/>
      </c>
      <c r="H24" s="111"/>
      <c r="I24" s="111"/>
      <c r="J24" s="112"/>
    </row>
    <row r="25" spans="1:12" ht="14.25" hidden="1" thickBot="1" x14ac:dyDescent="0.3">
      <c r="A25" s="107"/>
      <c r="C25" s="108"/>
      <c r="D25" s="108"/>
      <c r="E25" s="109"/>
      <c r="F25" s="109"/>
      <c r="G25" s="110"/>
      <c r="H25" s="111"/>
      <c r="I25" s="111"/>
      <c r="J25" s="112"/>
    </row>
    <row r="26" spans="1:12" ht="26.25" hidden="1" thickBot="1" x14ac:dyDescent="0.25">
      <c r="A26" s="102" t="s">
        <v>119</v>
      </c>
      <c r="B26" s="103" t="s">
        <v>127</v>
      </c>
      <c r="C26" s="103" t="s">
        <v>119</v>
      </c>
      <c r="D26" s="104" t="s">
        <v>121</v>
      </c>
      <c r="E26" s="104" t="s">
        <v>122</v>
      </c>
      <c r="F26" s="104" t="s">
        <v>123</v>
      </c>
      <c r="G26" s="104" t="s">
        <v>124</v>
      </c>
      <c r="H26" s="105" t="s">
        <v>125</v>
      </c>
      <c r="I26" s="106"/>
    </row>
    <row r="27" spans="1:12" ht="13.5" hidden="1" x14ac:dyDescent="0.25">
      <c r="A27" s="107">
        <v>0</v>
      </c>
      <c r="B27" s="28" t="str">
        <f>IFERROR(VLOOKUP(H27,'[1]Consolidado MP Planta'!$A$2:$M$823,3,0),"")</f>
        <v/>
      </c>
      <c r="C27" s="108">
        <f t="shared" ref="C27:C32" si="6">+A27</f>
        <v>0</v>
      </c>
      <c r="D27" s="109" t="str">
        <f>IFERROR(VLOOKUP(H27,'[1]Consolidado MP Planta'!$A$2:$M$823,13,0),"")</f>
        <v/>
      </c>
      <c r="E27" s="109" t="str">
        <f>IFERROR(VLOOKUP(H27,'[1]Consolidado MP Planta'!$A$2:$M$823,12,0),"")</f>
        <v/>
      </c>
      <c r="F27" s="109" t="str">
        <f t="shared" ref="F27:F32" si="7">IFERROR(C27*E27,"")</f>
        <v/>
      </c>
      <c r="G27" s="110" t="str">
        <f t="shared" ref="G27:G32" si="8">IFERROR(F27/$F$66,"")</f>
        <v/>
      </c>
      <c r="H27" s="113"/>
      <c r="I27" s="113"/>
      <c r="J27" s="112"/>
      <c r="K27" s="321"/>
      <c r="L27" s="321"/>
    </row>
    <row r="28" spans="1:12" ht="13.5" hidden="1" x14ac:dyDescent="0.25">
      <c r="A28" s="107"/>
      <c r="B28" s="28" t="str">
        <f>IFERROR(VLOOKUP(H28,'[1]Consolidado MP Planta'!$A$2:$M$823,3,0),"")</f>
        <v/>
      </c>
      <c r="C28" s="108">
        <f t="shared" si="6"/>
        <v>0</v>
      </c>
      <c r="D28" s="109" t="str">
        <f>IFERROR(VLOOKUP(H28,'[1]Consolidado MP Planta'!$A$2:$M$823,13,0),"")</f>
        <v/>
      </c>
      <c r="E28" s="109" t="str">
        <f>IFERROR(VLOOKUP(H28,'[1]Consolidado MP Planta'!$A$2:$M$823,12,0),"")</f>
        <v/>
      </c>
      <c r="F28" s="109" t="str">
        <f t="shared" si="7"/>
        <v/>
      </c>
      <c r="G28" s="110" t="str">
        <f t="shared" si="8"/>
        <v/>
      </c>
      <c r="H28" s="113"/>
      <c r="I28" s="113"/>
      <c r="J28" s="112"/>
      <c r="K28" s="321"/>
      <c r="L28" s="321"/>
    </row>
    <row r="29" spans="1:12" ht="13.5" hidden="1" x14ac:dyDescent="0.25">
      <c r="A29" s="107"/>
      <c r="B29" s="28" t="str">
        <f>IFERROR(VLOOKUP(H29,'[1]Consolidado MP Planta'!$A$2:$M$823,3,0),"")</f>
        <v/>
      </c>
      <c r="C29" s="108">
        <f t="shared" si="6"/>
        <v>0</v>
      </c>
      <c r="D29" s="109" t="str">
        <f>IFERROR(VLOOKUP(H29,'[1]Consolidado MP Planta'!$A$2:$M$823,13,0),"")</f>
        <v/>
      </c>
      <c r="E29" s="109" t="str">
        <f>IFERROR(VLOOKUP(H29,'[1]Consolidado MP Planta'!$A$2:$M$823,12,0),"")</f>
        <v/>
      </c>
      <c r="F29" s="109" t="str">
        <f t="shared" si="7"/>
        <v/>
      </c>
      <c r="G29" s="110" t="str">
        <f t="shared" si="8"/>
        <v/>
      </c>
      <c r="H29" s="113"/>
      <c r="I29" s="113"/>
      <c r="J29" s="112"/>
      <c r="K29" s="321"/>
      <c r="L29" s="321"/>
    </row>
    <row r="30" spans="1:12" ht="13.5" hidden="1" x14ac:dyDescent="0.25">
      <c r="A30" s="107"/>
      <c r="B30" s="28" t="str">
        <f>IFERROR(VLOOKUP(H30,'[1]Consolidado MP Planta'!$A$2:$M$823,3,0),"")</f>
        <v/>
      </c>
      <c r="C30" s="108">
        <f t="shared" si="6"/>
        <v>0</v>
      </c>
      <c r="D30" s="109" t="str">
        <f>IFERROR(VLOOKUP(H30,'[1]Consolidado MP Planta'!$A$2:$M$823,13,0),"")</f>
        <v/>
      </c>
      <c r="E30" s="109" t="str">
        <f>IFERROR(VLOOKUP(H30,'[1]Consolidado MP Planta'!$A$2:$M$823,12,0),"")</f>
        <v/>
      </c>
      <c r="F30" s="109" t="str">
        <f t="shared" si="7"/>
        <v/>
      </c>
      <c r="G30" s="110" t="str">
        <f t="shared" si="8"/>
        <v/>
      </c>
      <c r="H30" s="113"/>
      <c r="I30" s="113"/>
      <c r="J30" s="112"/>
      <c r="K30" s="321"/>
      <c r="L30" s="321"/>
    </row>
    <row r="31" spans="1:12" ht="13.5" hidden="1" x14ac:dyDescent="0.25">
      <c r="A31" s="107"/>
      <c r="B31" s="28" t="str">
        <f>IFERROR(VLOOKUP(H31,'[1]Consolidado MP Planta'!$A$2:$M$823,3,0),"")</f>
        <v/>
      </c>
      <c r="C31" s="108">
        <f t="shared" si="6"/>
        <v>0</v>
      </c>
      <c r="D31" s="109" t="str">
        <f>IFERROR(VLOOKUP(H31,'[1]Consolidado MP Planta'!$A$2:$M$823,13,0),"")</f>
        <v/>
      </c>
      <c r="E31" s="109" t="str">
        <f>IFERROR(VLOOKUP(H31,'[1]Consolidado MP Planta'!$A$2:$M$823,12,0),"")</f>
        <v/>
      </c>
      <c r="F31" s="109" t="str">
        <f t="shared" si="7"/>
        <v/>
      </c>
      <c r="G31" s="110" t="str">
        <f t="shared" si="8"/>
        <v/>
      </c>
      <c r="H31" s="113"/>
      <c r="I31" s="113"/>
      <c r="J31" s="112"/>
      <c r="K31" s="114"/>
      <c r="L31" s="115"/>
    </row>
    <row r="32" spans="1:12" ht="13.5" hidden="1" x14ac:dyDescent="0.25">
      <c r="A32" s="107"/>
      <c r="B32" s="28" t="str">
        <f>IFERROR(VLOOKUP(H32,'[1]Consolidado MP Planta'!$A$2:$M$823,3,0),"")</f>
        <v/>
      </c>
      <c r="C32" s="108">
        <f t="shared" si="6"/>
        <v>0</v>
      </c>
      <c r="D32" s="109" t="str">
        <f>IFERROR(VLOOKUP(H32,'[1]Consolidado MP Planta'!$A$2:$M$823,13,0),"")</f>
        <v/>
      </c>
      <c r="E32" s="109" t="str">
        <f>IFERROR(VLOOKUP(H32,'[1]Consolidado MP Planta'!$A$2:$M$823,12,0),"")</f>
        <v/>
      </c>
      <c r="F32" s="109" t="str">
        <f t="shared" si="7"/>
        <v/>
      </c>
      <c r="G32" s="110" t="str">
        <f t="shared" si="8"/>
        <v/>
      </c>
      <c r="H32" s="113"/>
      <c r="I32" s="113"/>
      <c r="J32" s="112"/>
    </row>
    <row r="33" spans="1:13" ht="14.25" hidden="1" thickBot="1" x14ac:dyDescent="0.3">
      <c r="A33" s="107"/>
      <c r="B33" s="28"/>
      <c r="C33" s="108"/>
      <c r="D33" s="109"/>
      <c r="E33" s="109"/>
      <c r="F33" s="109"/>
      <c r="G33" s="110"/>
      <c r="H33" s="113"/>
      <c r="I33" s="113"/>
      <c r="J33" s="112"/>
    </row>
    <row r="34" spans="1:13" ht="26.25" hidden="1" thickBot="1" x14ac:dyDescent="0.25">
      <c r="A34" s="102" t="s">
        <v>119</v>
      </c>
      <c r="B34" s="103" t="s">
        <v>128</v>
      </c>
      <c r="C34" s="103" t="s">
        <v>119</v>
      </c>
      <c r="D34" s="104" t="s">
        <v>121</v>
      </c>
      <c r="E34" s="104" t="s">
        <v>122</v>
      </c>
      <c r="F34" s="104" t="s">
        <v>123</v>
      </c>
      <c r="G34" s="104" t="s">
        <v>124</v>
      </c>
      <c r="H34" s="105" t="s">
        <v>125</v>
      </c>
      <c r="I34" s="113"/>
      <c r="J34" s="112"/>
    </row>
    <row r="35" spans="1:13" ht="13.5" hidden="1" x14ac:dyDescent="0.25">
      <c r="A35" s="107">
        <f>+A17</f>
        <v>0</v>
      </c>
      <c r="B35" s="28" t="str">
        <f>IFERROR(VLOOKUP(H35,[1]SEMIELABORADOS!$A$2:$M$6000,2,0),"")</f>
        <v/>
      </c>
      <c r="C35" s="108">
        <f>+A35</f>
        <v>0</v>
      </c>
      <c r="D35" s="109" t="str">
        <f>IFERROR(VLOOKUP(H35,[1]SEMIELABORADOS!$A$2:$M$6000,6,0),"")</f>
        <v/>
      </c>
      <c r="E35" s="109" t="str">
        <f>IFERROR(VLOOKUP(H35,[1]SEMIELABORADOS!$A$2:$M$65536,10,0),"")</f>
        <v/>
      </c>
      <c r="F35" s="109" t="str">
        <f>IFERROR(E35*C35,"")</f>
        <v/>
      </c>
      <c r="G35" s="110" t="str">
        <f t="shared" ref="G35:G41" si="9">IFERROR(F35/$F$66,"")</f>
        <v/>
      </c>
      <c r="H35" s="113"/>
      <c r="I35" s="113"/>
      <c r="J35" s="112"/>
    </row>
    <row r="36" spans="1:13" ht="13.5" hidden="1" x14ac:dyDescent="0.25">
      <c r="A36" s="107">
        <f t="shared" ref="A36:A41" si="10">+A18</f>
        <v>0</v>
      </c>
      <c r="B36" s="28" t="str">
        <f>IFERROR(VLOOKUP(H36,[1]SEMIELABORADOS!$A$2:$M$6000,2,0),"")</f>
        <v/>
      </c>
      <c r="C36" s="108">
        <f t="shared" ref="C36:C41" si="11">+A36</f>
        <v>0</v>
      </c>
      <c r="D36" s="109" t="str">
        <f>IFERROR(VLOOKUP(H36,[1]SEMIELABORADOS!$A$2:$M$6000,6,0),"")</f>
        <v/>
      </c>
      <c r="E36" s="109" t="str">
        <f>IFERROR(VLOOKUP(H36,[1]SEMIELABORADOS!$A$2:$M$65536,10,0),"")</f>
        <v/>
      </c>
      <c r="F36" s="109" t="str">
        <f t="shared" ref="F36:F41" si="12">IFERROR(E36*C36,"")</f>
        <v/>
      </c>
      <c r="G36" s="110" t="str">
        <f t="shared" si="9"/>
        <v/>
      </c>
      <c r="H36" s="113"/>
      <c r="I36" s="113"/>
      <c r="J36" s="112"/>
    </row>
    <row r="37" spans="1:13" ht="13.5" hidden="1" x14ac:dyDescent="0.25">
      <c r="A37" s="107">
        <f t="shared" si="10"/>
        <v>0</v>
      </c>
      <c r="B37" s="28" t="str">
        <f>IFERROR(VLOOKUP(H37,[1]SEMIELABORADOS!$A$2:$M$6000,2,0),"")</f>
        <v/>
      </c>
      <c r="C37" s="108">
        <f t="shared" si="11"/>
        <v>0</v>
      </c>
      <c r="D37" s="109" t="str">
        <f>IFERROR(VLOOKUP(H37,[1]SEMIELABORADOS!$A$2:$M$6000,6,0),"")</f>
        <v/>
      </c>
      <c r="E37" s="109" t="str">
        <f>IFERROR(VLOOKUP(H37,[1]SEMIELABORADOS!$A$2:$M$65536,10,0),"")</f>
        <v/>
      </c>
      <c r="F37" s="109" t="str">
        <f t="shared" si="12"/>
        <v/>
      </c>
      <c r="G37" s="110" t="str">
        <f t="shared" si="9"/>
        <v/>
      </c>
      <c r="H37" s="113"/>
      <c r="I37" s="113"/>
      <c r="J37" s="112"/>
    </row>
    <row r="38" spans="1:13" ht="13.5" hidden="1" x14ac:dyDescent="0.25">
      <c r="A38" s="107">
        <f t="shared" si="10"/>
        <v>0</v>
      </c>
      <c r="B38" s="28" t="str">
        <f>IFERROR(VLOOKUP(H38,[1]SEMIELABORADOS!$A$2:$M$6000,2,0),"")</f>
        <v/>
      </c>
      <c r="C38" s="108">
        <f>+A38</f>
        <v>0</v>
      </c>
      <c r="D38" s="109" t="str">
        <f>IFERROR(VLOOKUP(H38,[1]SEMIELABORADOS!$A$2:$M$6000,6,0),"")</f>
        <v/>
      </c>
      <c r="E38" s="109" t="str">
        <f>IFERROR(VLOOKUP(H38,[1]SEMIELABORADOS!$A$2:$M$65536,10,0),"")</f>
        <v/>
      </c>
      <c r="F38" s="109" t="str">
        <f>IFERROR(E38*C38,"")</f>
        <v/>
      </c>
      <c r="G38" s="110" t="str">
        <f t="shared" si="9"/>
        <v/>
      </c>
      <c r="H38" s="113"/>
      <c r="I38" s="113"/>
      <c r="J38" s="112"/>
    </row>
    <row r="39" spans="1:13" ht="13.5" hidden="1" x14ac:dyDescent="0.25">
      <c r="A39" s="107">
        <f t="shared" si="10"/>
        <v>0</v>
      </c>
      <c r="B39" s="28" t="str">
        <f>IFERROR(VLOOKUP(H39,[1]SEMIELABORADOS!$A$2:$M$6000,2,0),"")</f>
        <v/>
      </c>
      <c r="C39" s="108">
        <f>+A39</f>
        <v>0</v>
      </c>
      <c r="D39" s="109" t="str">
        <f>IFERROR(VLOOKUP(H39,[1]SEMIELABORADOS!$A$2:$M$6000,6,0),"")</f>
        <v/>
      </c>
      <c r="E39" s="109" t="str">
        <f>IFERROR(VLOOKUP(H39,[1]SEMIELABORADOS!$A$2:$M$65536,10,0),"")</f>
        <v/>
      </c>
      <c r="F39" s="109" t="str">
        <f>IFERROR(E39*C39,"")</f>
        <v/>
      </c>
      <c r="G39" s="110" t="str">
        <f t="shared" si="9"/>
        <v/>
      </c>
      <c r="H39" s="113"/>
      <c r="I39" s="113"/>
      <c r="J39" s="112"/>
    </row>
    <row r="40" spans="1:13" ht="13.5" hidden="1" x14ac:dyDescent="0.25">
      <c r="A40" s="107">
        <f t="shared" si="10"/>
        <v>0</v>
      </c>
      <c r="B40" s="28" t="str">
        <f>IFERROR(VLOOKUP(H40,[1]SEMIELABORADOS!$A$2:$M$6000,2,0),"")</f>
        <v/>
      </c>
      <c r="C40" s="108">
        <f t="shared" si="11"/>
        <v>0</v>
      </c>
      <c r="D40" s="109" t="str">
        <f>IFERROR(VLOOKUP(H40,[1]SEMIELABORADOS!$A$2:$M$6000,6,0),"")</f>
        <v/>
      </c>
      <c r="E40" s="109" t="str">
        <f>IFERROR(VLOOKUP(H40,[1]SEMIELABORADOS!$A$2:$M$65536,10,0),"")</f>
        <v/>
      </c>
      <c r="F40" s="109" t="str">
        <f t="shared" si="12"/>
        <v/>
      </c>
      <c r="G40" s="110" t="str">
        <f t="shared" si="9"/>
        <v/>
      </c>
      <c r="H40" s="113"/>
      <c r="I40" s="113"/>
      <c r="J40" s="112"/>
    </row>
    <row r="41" spans="1:13" ht="13.5" hidden="1" x14ac:dyDescent="0.25">
      <c r="A41" s="107">
        <f t="shared" si="10"/>
        <v>0</v>
      </c>
      <c r="B41" s="28" t="str">
        <f>IFERROR(VLOOKUP(H41,[1]SEMIELABORADOS!$A$2:$M$6000,2,0),"")</f>
        <v/>
      </c>
      <c r="C41" s="108">
        <f t="shared" si="11"/>
        <v>0</v>
      </c>
      <c r="D41" s="109" t="str">
        <f>IFERROR(VLOOKUP(H41,[1]SEMIELABORADOS!$A$2:$M$6000,6,0),"")</f>
        <v/>
      </c>
      <c r="E41" s="109" t="str">
        <f>IFERROR(VLOOKUP(H41,[1]SEMIELABORADOS!$A$2:$M$65536,10,0),"")</f>
        <v/>
      </c>
      <c r="F41" s="109" t="str">
        <f t="shared" si="12"/>
        <v/>
      </c>
      <c r="G41" s="110" t="str">
        <f t="shared" si="9"/>
        <v/>
      </c>
      <c r="H41" s="113"/>
      <c r="I41" s="113"/>
      <c r="J41" s="112"/>
    </row>
    <row r="42" spans="1:13" ht="14.25" hidden="1" thickBot="1" x14ac:dyDescent="0.3">
      <c r="A42" s="107"/>
      <c r="B42" s="28"/>
      <c r="C42" s="108"/>
      <c r="D42" s="109"/>
      <c r="E42" s="109"/>
      <c r="F42" s="109"/>
      <c r="G42" s="110"/>
      <c r="H42" s="113"/>
      <c r="I42" s="113"/>
      <c r="J42" s="112"/>
    </row>
    <row r="43" spans="1:13" ht="26.25" thickBot="1" x14ac:dyDescent="0.25">
      <c r="A43" s="102" t="s">
        <v>119</v>
      </c>
      <c r="B43" s="103" t="s">
        <v>129</v>
      </c>
      <c r="C43" s="103" t="s">
        <v>119</v>
      </c>
      <c r="D43" s="104" t="s">
        <v>121</v>
      </c>
      <c r="E43" s="104" t="s">
        <v>122</v>
      </c>
      <c r="F43" s="104" t="s">
        <v>123</v>
      </c>
      <c r="G43" s="104" t="s">
        <v>124</v>
      </c>
      <c r="H43" s="105" t="s">
        <v>125</v>
      </c>
      <c r="I43" s="106"/>
      <c r="J43" s="112"/>
    </row>
    <row r="44" spans="1:13" ht="13.5" hidden="1" x14ac:dyDescent="0.25">
      <c r="A44" s="107">
        <f>+A35</f>
        <v>0</v>
      </c>
      <c r="B44" s="28" t="str">
        <f>IFERROR(VLOOKUP(H44,[1]SEMIELABORADOS!$A$2:$M$6000,2,0),"")</f>
        <v/>
      </c>
      <c r="C44" s="108">
        <f>+A44</f>
        <v>0</v>
      </c>
      <c r="D44" s="109" t="str">
        <f>IFERROR(VLOOKUP(H44,[1]SEMIELABORADOS!$A$2:$M$6000,6,0),"")</f>
        <v/>
      </c>
      <c r="E44" s="109" t="str">
        <f>IFERROR(VLOOKUP(H44,[1]SEMIELABORADOS!$A$2:$M$65536,12,0),"")</f>
        <v/>
      </c>
      <c r="F44" s="109" t="str">
        <f>IFERROR(E44*C44,"")</f>
        <v/>
      </c>
      <c r="G44" s="110" t="str">
        <f>IFERROR(F44/$F$66,"")</f>
        <v/>
      </c>
      <c r="H44" s="113"/>
      <c r="I44" s="106"/>
      <c r="J44" s="112"/>
    </row>
    <row r="45" spans="1:13" ht="13.5" hidden="1" x14ac:dyDescent="0.25">
      <c r="A45" s="107">
        <f t="shared" ref="A45:A50" si="13">+A36</f>
        <v>0</v>
      </c>
      <c r="B45" s="28" t="str">
        <f>IFERROR(VLOOKUP(H45,[1]SEMIELABORADOS!$A$2:$M$6000,2,0),"")</f>
        <v/>
      </c>
      <c r="C45" s="108">
        <f t="shared" ref="C45:C50" si="14">+A45</f>
        <v>0</v>
      </c>
      <c r="D45" s="109" t="str">
        <f>IFERROR(VLOOKUP(H45,[1]SEMIELABORADOS!$A$2:$M$6000,6,0),"")</f>
        <v/>
      </c>
      <c r="E45" s="109" t="str">
        <f>IFERROR(VLOOKUP(H45,[1]SEMIELABORADOS!$A$2:$M$65536,12,0),"")</f>
        <v/>
      </c>
      <c r="F45" s="109" t="str">
        <f t="shared" ref="F45:F50" si="15">IFERROR(E45*C45,"")</f>
        <v/>
      </c>
      <c r="G45" s="110" t="str">
        <f t="shared" ref="G45:G50" si="16">IFERROR(F45/$F$66,"")</f>
        <v/>
      </c>
      <c r="H45" s="113"/>
      <c r="I45" s="106"/>
      <c r="J45" s="112"/>
      <c r="M45" s="116"/>
    </row>
    <row r="46" spans="1:13" ht="13.5" hidden="1" x14ac:dyDescent="0.25">
      <c r="A46" s="107">
        <f t="shared" si="13"/>
        <v>0</v>
      </c>
      <c r="B46" s="28" t="str">
        <f>IFERROR(VLOOKUP(H46,[1]SEMIELABORADOS!$A$2:$M$6000,2,0),"")</f>
        <v/>
      </c>
      <c r="C46" s="108">
        <f t="shared" si="14"/>
        <v>0</v>
      </c>
      <c r="D46" s="109" t="str">
        <f>IFERROR(VLOOKUP(H46,[1]SEMIELABORADOS!$A$2:$M$6000,6,0),"")</f>
        <v/>
      </c>
      <c r="E46" s="109" t="str">
        <f>IFERROR(VLOOKUP(H46,[1]SEMIELABORADOS!$A$2:$M$65536,12,0),"")</f>
        <v/>
      </c>
      <c r="F46" s="109" t="str">
        <f t="shared" si="15"/>
        <v/>
      </c>
      <c r="G46" s="110" t="str">
        <f t="shared" si="16"/>
        <v/>
      </c>
      <c r="H46" s="113"/>
      <c r="I46" s="106"/>
      <c r="J46" s="112"/>
    </row>
    <row r="47" spans="1:13" ht="13.5" hidden="1" x14ac:dyDescent="0.25">
      <c r="A47" s="107">
        <f t="shared" si="13"/>
        <v>0</v>
      </c>
      <c r="B47" s="28" t="str">
        <f>IFERROR(VLOOKUP(H47,[1]SEMIELABORADOS!$A$2:$M$6000,2,0),"")</f>
        <v/>
      </c>
      <c r="C47" s="108">
        <f t="shared" si="14"/>
        <v>0</v>
      </c>
      <c r="D47" s="109" t="str">
        <f>IFERROR(VLOOKUP(H47,[1]SEMIELABORADOS!$A$2:$M$6000,6,0),"")</f>
        <v/>
      </c>
      <c r="E47" s="109" t="str">
        <f>IFERROR(VLOOKUP(H47,[1]SEMIELABORADOS!$A$2:$M$65536,12,0),"")</f>
        <v/>
      </c>
      <c r="F47" s="109" t="str">
        <f t="shared" si="15"/>
        <v/>
      </c>
      <c r="G47" s="110" t="str">
        <f t="shared" si="16"/>
        <v/>
      </c>
      <c r="H47" s="113"/>
      <c r="I47" s="106"/>
      <c r="J47" s="112"/>
    </row>
    <row r="48" spans="1:13" ht="13.5" hidden="1" x14ac:dyDescent="0.25">
      <c r="A48" s="107">
        <f t="shared" si="13"/>
        <v>0</v>
      </c>
      <c r="B48" s="28" t="str">
        <f>IFERROR(VLOOKUP(H48,[1]SEMIELABORADOS!$A$2:$M$6000,2,0),"")</f>
        <v/>
      </c>
      <c r="C48" s="108">
        <f t="shared" si="14"/>
        <v>0</v>
      </c>
      <c r="D48" s="109" t="str">
        <f>IFERROR(VLOOKUP(H48,[1]SEMIELABORADOS!$A$2:$M$6000,6,0),"")</f>
        <v/>
      </c>
      <c r="E48" s="109" t="str">
        <f>IFERROR(VLOOKUP(H48,[1]SEMIELABORADOS!$A$2:$M$65536,12,0),"")</f>
        <v/>
      </c>
      <c r="F48" s="109" t="str">
        <f t="shared" si="15"/>
        <v/>
      </c>
      <c r="G48" s="110" t="str">
        <f t="shared" si="16"/>
        <v/>
      </c>
      <c r="H48" s="113"/>
      <c r="I48" s="106"/>
      <c r="J48" s="112"/>
    </row>
    <row r="49" spans="1:17" ht="13.5" hidden="1" x14ac:dyDescent="0.25">
      <c r="A49" s="107">
        <f t="shared" si="13"/>
        <v>0</v>
      </c>
      <c r="B49" s="28" t="str">
        <f>IFERROR(VLOOKUP(H49,[1]SEMIELABORADOS!$A$2:$M$6000,2,0),"")</f>
        <v/>
      </c>
      <c r="C49" s="108">
        <f t="shared" si="14"/>
        <v>0</v>
      </c>
      <c r="D49" s="109" t="str">
        <f>IFERROR(VLOOKUP(H49,[1]SEMIELABORADOS!$A$2:$M$6000,6,0),"")</f>
        <v/>
      </c>
      <c r="E49" s="109" t="str">
        <f>IFERROR(VLOOKUP(H49,[1]SEMIELABORADOS!$A$2:$M$65536,12,0),"")</f>
        <v/>
      </c>
      <c r="F49" s="109" t="str">
        <f t="shared" si="15"/>
        <v/>
      </c>
      <c r="G49" s="110" t="str">
        <f t="shared" si="16"/>
        <v/>
      </c>
      <c r="H49" s="113"/>
      <c r="I49" s="106"/>
      <c r="J49" s="112"/>
    </row>
    <row r="50" spans="1:17" ht="13.5" hidden="1" x14ac:dyDescent="0.25">
      <c r="A50" s="107">
        <f t="shared" si="13"/>
        <v>0</v>
      </c>
      <c r="B50" s="28" t="str">
        <f>IFERROR(VLOOKUP(H50,[1]SEMIELABORADOS!$A$2:$M$6000,2,0),"")</f>
        <v/>
      </c>
      <c r="C50" s="108">
        <f t="shared" si="14"/>
        <v>0</v>
      </c>
      <c r="D50" s="109" t="str">
        <f>IFERROR(VLOOKUP(H50,[1]SEMIELABORADOS!$A$2:$M$6000,6,0),"")</f>
        <v/>
      </c>
      <c r="E50" s="109" t="str">
        <f>IFERROR(VLOOKUP(H50,[1]SEMIELABORADOS!$A$2:$M$65536,12,0),"")</f>
        <v/>
      </c>
      <c r="F50" s="109" t="str">
        <f t="shared" si="15"/>
        <v/>
      </c>
      <c r="G50" s="110" t="str">
        <f t="shared" si="16"/>
        <v/>
      </c>
      <c r="H50" s="28"/>
      <c r="I50" s="106"/>
      <c r="J50" s="112"/>
    </row>
    <row r="51" spans="1:17" ht="13.5" x14ac:dyDescent="0.25">
      <c r="A51" s="107">
        <v>1</v>
      </c>
      <c r="B51" s="28" t="s">
        <v>130</v>
      </c>
      <c r="C51" s="108">
        <f>+A51</f>
        <v>1</v>
      </c>
      <c r="D51" s="108" t="s">
        <v>131</v>
      </c>
      <c r="E51" s="109">
        <f>+F65</f>
        <v>385</v>
      </c>
      <c r="F51" s="109">
        <f>IFERROR(C51*E51,"")</f>
        <v>385</v>
      </c>
      <c r="G51" s="110">
        <f>IFERROR(F51/$F$66,"")</f>
        <v>0.25375692064329025</v>
      </c>
      <c r="H51" s="117"/>
      <c r="I51" s="117"/>
      <c r="J51" s="112"/>
    </row>
    <row r="52" spans="1:17" ht="14.25" thickBot="1" x14ac:dyDescent="0.3">
      <c r="A52" s="107"/>
      <c r="B52" s="28"/>
      <c r="C52" s="108"/>
      <c r="D52" s="108"/>
      <c r="E52" s="109"/>
      <c r="F52" s="109"/>
      <c r="G52" s="110"/>
      <c r="H52" s="117"/>
      <c r="I52" s="117"/>
      <c r="J52" s="112"/>
    </row>
    <row r="53" spans="1:17" ht="13.5" thickBot="1" x14ac:dyDescent="0.25">
      <c r="A53" s="118"/>
      <c r="B53" s="331" t="s">
        <v>132</v>
      </c>
      <c r="C53" s="331"/>
      <c r="D53" s="331"/>
      <c r="E53" s="331"/>
      <c r="F53" s="120">
        <f>SUM(F8:F14,F17:F24)</f>
        <v>1110</v>
      </c>
      <c r="G53" s="110">
        <f>+F53/$F$66</f>
        <v>0.73161086211442128</v>
      </c>
      <c r="H53" s="121">
        <f>+F53/$D$60</f>
        <v>1110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31" t="s">
        <v>133</v>
      </c>
      <c r="C54" s="331"/>
      <c r="D54" s="331"/>
      <c r="E54" s="331"/>
      <c r="F54" s="120">
        <f>SUM(F27:F32,F35:F41)</f>
        <v>0</v>
      </c>
      <c r="G54" s="110">
        <f>+F54/$F$66</f>
        <v>0</v>
      </c>
      <c r="H54" s="121">
        <f>+F54/$D$60</f>
        <v>0</v>
      </c>
      <c r="I54" s="121"/>
      <c r="J54" s="125"/>
      <c r="K54" s="332" t="s">
        <v>134</v>
      </c>
      <c r="L54" s="333"/>
      <c r="M54" s="333"/>
      <c r="N54" s="333"/>
      <c r="O54" s="126">
        <f>+F55</f>
        <v>1110</v>
      </c>
      <c r="P54" s="126"/>
      <c r="Q54" s="127"/>
    </row>
    <row r="55" spans="1:17" x14ac:dyDescent="0.2">
      <c r="A55" s="118"/>
      <c r="B55" s="331" t="s">
        <v>135</v>
      </c>
      <c r="C55" s="331"/>
      <c r="D55" s="331"/>
      <c r="E55" s="331"/>
      <c r="F55" s="120">
        <f>+F53+F54</f>
        <v>1110</v>
      </c>
      <c r="G55" s="110">
        <f>+F55/$F$66</f>
        <v>0.73161086211442128</v>
      </c>
      <c r="H55" s="121">
        <f>+F55/$D$60</f>
        <v>1110</v>
      </c>
      <c r="I55" s="121"/>
      <c r="J55" s="128"/>
      <c r="K55" s="129"/>
      <c r="M55" s="130" t="s">
        <v>136</v>
      </c>
      <c r="N55" s="131"/>
      <c r="O55" s="126">
        <f>+H56</f>
        <v>385</v>
      </c>
      <c r="P55" s="126"/>
      <c r="Q55" s="127"/>
    </row>
    <row r="56" spans="1:17" ht="13.5" thickBot="1" x14ac:dyDescent="0.25">
      <c r="A56" s="118"/>
      <c r="B56" s="119"/>
      <c r="C56" s="331" t="s">
        <v>137</v>
      </c>
      <c r="D56" s="331"/>
      <c r="E56" s="331"/>
      <c r="F56" s="120">
        <f>SUM(F44:F51)</f>
        <v>385</v>
      </c>
      <c r="G56" s="110">
        <f>+F56/$F$66</f>
        <v>0.25375692064329025</v>
      </c>
      <c r="H56" s="121">
        <f>+F56/$D$60</f>
        <v>385</v>
      </c>
      <c r="I56" s="121"/>
      <c r="J56" s="128"/>
      <c r="K56" s="129"/>
      <c r="L56" s="129"/>
      <c r="M56" s="129" t="s">
        <v>138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10"/>
      <c r="H57" s="135"/>
      <c r="I57" s="121"/>
      <c r="J57" s="128"/>
      <c r="K57" s="136"/>
      <c r="M57" s="137" t="s">
        <v>139</v>
      </c>
      <c r="N57" s="138"/>
      <c r="O57" s="139">
        <f>SUM(O54:O56)</f>
        <v>1495</v>
      </c>
      <c r="P57" s="140"/>
      <c r="Q57" s="127"/>
    </row>
    <row r="58" spans="1:17" x14ac:dyDescent="0.2">
      <c r="B58" s="334" t="s">
        <v>140</v>
      </c>
      <c r="C58" s="334"/>
      <c r="D58" s="141">
        <v>950</v>
      </c>
      <c r="E58" s="142"/>
      <c r="G58" s="110"/>
      <c r="H58" s="135">
        <f>+H56/77</f>
        <v>5</v>
      </c>
      <c r="I58" s="143"/>
      <c r="J58" s="128"/>
      <c r="K58" s="136"/>
      <c r="L58" s="129"/>
      <c r="M58" s="129" t="s">
        <v>141</v>
      </c>
      <c r="N58" s="144"/>
      <c r="O58" s="126">
        <f>+H59</f>
        <v>415</v>
      </c>
      <c r="P58" s="126"/>
      <c r="Q58" s="127"/>
    </row>
    <row r="59" spans="1:17" x14ac:dyDescent="0.2">
      <c r="B59" s="334" t="s">
        <v>142</v>
      </c>
      <c r="C59" s="334"/>
      <c r="D59" s="145">
        <v>950</v>
      </c>
      <c r="E59" s="142"/>
      <c r="G59" s="110"/>
      <c r="H59" s="135">
        <f>+H58*83</f>
        <v>415</v>
      </c>
      <c r="I59" s="143"/>
      <c r="J59" s="128"/>
      <c r="K59" s="136"/>
      <c r="L59" s="129"/>
      <c r="M59" s="335" t="s">
        <v>139</v>
      </c>
      <c r="N59" s="335"/>
      <c r="O59" s="126">
        <f>SUM(O57:O58)</f>
        <v>1910</v>
      </c>
      <c r="P59" s="126"/>
      <c r="Q59" s="127"/>
    </row>
    <row r="60" spans="1:17" ht="13.5" thickBot="1" x14ac:dyDescent="0.25">
      <c r="B60" s="327" t="s">
        <v>143</v>
      </c>
      <c r="C60" s="327"/>
      <c r="D60" s="141">
        <f>+D58/D59</f>
        <v>1</v>
      </c>
      <c r="E60" s="142"/>
      <c r="F60" s="146"/>
      <c r="G60" s="110"/>
      <c r="H60" s="135"/>
      <c r="I60" s="143"/>
      <c r="J60" s="128"/>
      <c r="K60" s="136"/>
      <c r="L60" s="335"/>
      <c r="M60" s="335"/>
      <c r="N60" s="144"/>
      <c r="O60" s="126">
        <f>+O59*N60</f>
        <v>0</v>
      </c>
      <c r="P60" s="126"/>
      <c r="Q60" s="127"/>
    </row>
    <row r="61" spans="1:17" ht="13.5" thickBot="1" x14ac:dyDescent="0.25">
      <c r="B61" s="327" t="s">
        <v>144</v>
      </c>
      <c r="C61" s="327"/>
      <c r="D61" s="147"/>
      <c r="E61" s="142"/>
      <c r="F61" s="146"/>
      <c r="G61" s="110"/>
      <c r="H61" s="135"/>
      <c r="I61" s="143"/>
      <c r="J61" s="128"/>
      <c r="K61" s="328" t="s">
        <v>145</v>
      </c>
      <c r="L61" s="329"/>
      <c r="M61" s="329"/>
      <c r="N61" s="330"/>
      <c r="O61" s="139">
        <f>SUM(O59:O60)</f>
        <v>1910</v>
      </c>
      <c r="P61" s="148" t="s">
        <v>146</v>
      </c>
      <c r="Q61" s="127"/>
    </row>
    <row r="62" spans="1:17" ht="13.5" thickBot="1" x14ac:dyDescent="0.25">
      <c r="C62" s="118" t="s">
        <v>147</v>
      </c>
      <c r="D62" s="149"/>
      <c r="E62" s="93" t="s">
        <v>148</v>
      </c>
      <c r="F62" s="150" t="s">
        <v>149</v>
      </c>
      <c r="G62" s="110"/>
      <c r="H62" s="135"/>
      <c r="I62" s="143"/>
      <c r="J62" s="151"/>
      <c r="K62" s="152"/>
      <c r="L62" s="341" t="s">
        <v>150</v>
      </c>
      <c r="M62" s="341"/>
      <c r="N62" s="341"/>
      <c r="O62" s="153">
        <f>+O61/D60</f>
        <v>1910</v>
      </c>
      <c r="P62" s="154">
        <f>+O62/D59</f>
        <v>2.0105263157894737</v>
      </c>
      <c r="Q62" s="155"/>
    </row>
    <row r="63" spans="1:17" ht="13.5" thickBot="1" x14ac:dyDescent="0.25">
      <c r="B63" s="342" t="s">
        <v>135</v>
      </c>
      <c r="C63" s="342"/>
      <c r="D63" s="342"/>
      <c r="E63" s="156">
        <f>+F63/F63</f>
        <v>1</v>
      </c>
      <c r="F63" s="157">
        <f>SUM(F55)</f>
        <v>1110</v>
      </c>
      <c r="G63" s="110">
        <f>+F63/$F$66</f>
        <v>0.73161086211442128</v>
      </c>
      <c r="H63" s="135"/>
      <c r="I63" s="143"/>
      <c r="K63" s="343"/>
      <c r="L63" s="344"/>
      <c r="M63" s="344"/>
      <c r="N63" s="344"/>
      <c r="O63" s="158"/>
      <c r="P63" s="159"/>
    </row>
    <row r="64" spans="1:17" ht="13.5" thickBot="1" x14ac:dyDescent="0.25">
      <c r="B64" s="345" t="s">
        <v>151</v>
      </c>
      <c r="C64" s="345"/>
      <c r="D64" s="345"/>
      <c r="E64" s="160">
        <v>0.02</v>
      </c>
      <c r="F64" s="157">
        <f>+F53*E64</f>
        <v>22.2</v>
      </c>
      <c r="G64" s="110">
        <f>+F64/$F$66</f>
        <v>1.4632217242288425E-2</v>
      </c>
      <c r="H64" s="121"/>
      <c r="I64" s="143"/>
      <c r="J64" s="161"/>
      <c r="O64" s="162"/>
      <c r="P64" s="119"/>
    </row>
    <row r="65" spans="2:13" ht="13.5" thickBot="1" x14ac:dyDescent="0.25">
      <c r="B65" s="346" t="s">
        <v>152</v>
      </c>
      <c r="C65" s="347"/>
      <c r="D65" s="163">
        <v>5</v>
      </c>
      <c r="E65" s="164">
        <v>77</v>
      </c>
      <c r="F65" s="157">
        <f>+E65*D65</f>
        <v>385</v>
      </c>
      <c r="G65" s="110">
        <f>+F65/$F$66</f>
        <v>0.25375692064329025</v>
      </c>
      <c r="H65" s="121"/>
      <c r="I65" s="121"/>
      <c r="J65" s="112"/>
    </row>
    <row r="66" spans="2:13" ht="13.5" thickBot="1" x14ac:dyDescent="0.25">
      <c r="B66" s="348" t="s">
        <v>153</v>
      </c>
      <c r="C66" s="349"/>
      <c r="D66" s="349"/>
      <c r="E66" s="350"/>
      <c r="F66" s="134">
        <f>SUM(F63:F65)</f>
        <v>1517.2</v>
      </c>
      <c r="G66" s="110">
        <f>+F66/$F$66</f>
        <v>1</v>
      </c>
      <c r="H66" s="351"/>
      <c r="I66" s="121"/>
      <c r="J66" s="112"/>
      <c r="M66" s="95" t="s">
        <v>154</v>
      </c>
    </row>
    <row r="67" spans="2:13" x14ac:dyDescent="0.2">
      <c r="C67" s="116"/>
      <c r="D67" s="116"/>
      <c r="E67" s="166"/>
      <c r="F67" s="157"/>
      <c r="G67" s="110"/>
      <c r="H67" s="351"/>
      <c r="I67" s="165"/>
      <c r="J67" s="95"/>
      <c r="M67" s="95" t="s">
        <v>155</v>
      </c>
    </row>
    <row r="68" spans="2:13" ht="13.5" thickBot="1" x14ac:dyDescent="0.25">
      <c r="B68" s="336" t="s">
        <v>156</v>
      </c>
      <c r="C68" s="336"/>
      <c r="D68" s="336"/>
      <c r="E68" s="336"/>
      <c r="F68" s="336"/>
      <c r="G68" s="110"/>
      <c r="H68" s="168"/>
      <c r="I68" s="165"/>
      <c r="J68" s="95"/>
      <c r="M68" s="95" t="s">
        <v>157</v>
      </c>
    </row>
    <row r="69" spans="2:13" ht="13.5" thickBot="1" x14ac:dyDescent="0.25">
      <c r="B69" s="169" t="s">
        <v>158</v>
      </c>
      <c r="C69" s="170">
        <f>+F53</f>
        <v>1110</v>
      </c>
      <c r="D69" s="170">
        <f>+D58</f>
        <v>950</v>
      </c>
      <c r="E69" s="171">
        <f>+C69/D69</f>
        <v>1.168421052631579</v>
      </c>
      <c r="F69" s="110"/>
      <c r="G69" s="168"/>
      <c r="H69" s="112"/>
      <c r="I69" s="168"/>
      <c r="J69" s="95"/>
    </row>
    <row r="70" spans="2:13" x14ac:dyDescent="0.2">
      <c r="B70" s="172"/>
      <c r="C70" s="173"/>
      <c r="D70" s="174"/>
      <c r="E70" s="157"/>
      <c r="F70" s="110"/>
      <c r="G70" s="168"/>
      <c r="H70" s="112"/>
      <c r="I70" s="112"/>
      <c r="J70" s="95"/>
    </row>
    <row r="71" spans="2:13" x14ac:dyDescent="0.2">
      <c r="B71" s="169" t="s">
        <v>159</v>
      </c>
      <c r="C71" s="170">
        <f>SUM(F63:F64)</f>
        <v>1132.2</v>
      </c>
      <c r="D71" s="170">
        <f>+D58</f>
        <v>950</v>
      </c>
      <c r="E71" s="175">
        <f>+C71/D71</f>
        <v>1.1917894736842105</v>
      </c>
      <c r="F71" s="110"/>
      <c r="G71" s="168"/>
      <c r="H71" s="112"/>
      <c r="I71" s="112"/>
      <c r="J71" s="95"/>
    </row>
    <row r="72" spans="2:13" x14ac:dyDescent="0.2">
      <c r="B72" s="169"/>
      <c r="C72" s="170"/>
      <c r="D72" s="170"/>
      <c r="E72" s="175"/>
      <c r="F72" s="110"/>
      <c r="G72" s="168"/>
      <c r="H72" s="112"/>
      <c r="I72" s="112"/>
      <c r="J72" s="95"/>
    </row>
    <row r="73" spans="2:13" ht="13.5" thickBot="1" x14ac:dyDescent="0.25">
      <c r="B73" s="169" t="s">
        <v>160</v>
      </c>
      <c r="C73" s="170">
        <f>+F65</f>
        <v>385</v>
      </c>
      <c r="D73" s="170">
        <f>+D58</f>
        <v>950</v>
      </c>
      <c r="E73" s="175">
        <f>+C73/D73</f>
        <v>0.40526315789473683</v>
      </c>
      <c r="F73" s="110"/>
      <c r="G73" s="168"/>
      <c r="H73" s="112"/>
      <c r="I73" s="112"/>
      <c r="J73" s="95"/>
    </row>
    <row r="74" spans="2:13" ht="13.5" thickBot="1" x14ac:dyDescent="0.25">
      <c r="B74" s="169" t="s">
        <v>161</v>
      </c>
      <c r="C74" s="170">
        <f>+F56</f>
        <v>385</v>
      </c>
      <c r="D74" s="170">
        <f>+D73</f>
        <v>950</v>
      </c>
      <c r="E74" s="171">
        <f>+C74/D74</f>
        <v>0.40526315789473683</v>
      </c>
      <c r="F74" s="110"/>
      <c r="G74" s="168"/>
      <c r="H74" s="112"/>
      <c r="I74" s="112"/>
      <c r="J74" s="95"/>
    </row>
    <row r="75" spans="2:13" ht="13.5" thickBot="1" x14ac:dyDescent="0.25">
      <c r="B75" s="133"/>
      <c r="C75" s="134"/>
      <c r="D75" s="134"/>
      <c r="E75" s="175"/>
      <c r="F75" s="110"/>
      <c r="G75" s="168"/>
      <c r="H75" s="112"/>
      <c r="I75" s="112"/>
      <c r="J75" s="95"/>
    </row>
    <row r="76" spans="2:13" ht="13.5" thickBot="1" x14ac:dyDescent="0.25">
      <c r="B76" s="169" t="s">
        <v>162</v>
      </c>
      <c r="C76" s="170">
        <f>+F54</f>
        <v>0</v>
      </c>
      <c r="D76" s="170">
        <f>+D74</f>
        <v>950</v>
      </c>
      <c r="E76" s="171">
        <f>+C76/D76</f>
        <v>0</v>
      </c>
      <c r="F76" s="110"/>
      <c r="G76" s="168"/>
      <c r="H76" s="112"/>
      <c r="I76" s="112"/>
      <c r="J76" s="112"/>
    </row>
    <row r="77" spans="2:13" ht="13.5" thickBot="1" x14ac:dyDescent="0.25">
      <c r="B77" s="133"/>
      <c r="C77" s="134"/>
      <c r="D77" s="134"/>
      <c r="E77" s="175"/>
      <c r="F77" s="110"/>
      <c r="G77" s="168"/>
      <c r="H77" s="112"/>
      <c r="I77" s="112"/>
    </row>
    <row r="78" spans="2:13" ht="13.5" thickBot="1" x14ac:dyDescent="0.25">
      <c r="B78" s="337" t="s">
        <v>163</v>
      </c>
      <c r="C78" s="338"/>
      <c r="D78" s="339"/>
      <c r="E78" s="171">
        <f>+E69+E74</f>
        <v>1.5736842105263158</v>
      </c>
      <c r="G78" s="110"/>
      <c r="H78" s="168"/>
      <c r="I78" s="112"/>
      <c r="J78" s="175"/>
    </row>
    <row r="79" spans="2:13" x14ac:dyDescent="0.2">
      <c r="I79" s="168"/>
      <c r="J79" s="95"/>
    </row>
    <row r="80" spans="2:13" ht="13.5" thickBot="1" x14ac:dyDescent="0.25">
      <c r="B80" s="336" t="s">
        <v>164</v>
      </c>
      <c r="C80" s="336"/>
      <c r="D80" s="336"/>
      <c r="E80" s="336"/>
      <c r="F80" s="336"/>
      <c r="G80" s="110"/>
      <c r="H80" s="168"/>
      <c r="J80" s="95"/>
    </row>
    <row r="81" spans="1:10" ht="13.5" thickBot="1" x14ac:dyDescent="0.25">
      <c r="B81" s="169" t="s">
        <v>158</v>
      </c>
      <c r="C81" s="170">
        <f>+C69</f>
        <v>1110</v>
      </c>
      <c r="D81" s="170">
        <f>+D60</f>
        <v>1</v>
      </c>
      <c r="E81" s="171">
        <f>+C81/D81</f>
        <v>1110</v>
      </c>
      <c r="F81" s="110"/>
      <c r="G81" s="168"/>
      <c r="H81" s="112"/>
      <c r="I81" s="168"/>
      <c r="J81" s="95"/>
    </row>
    <row r="82" spans="1:10" x14ac:dyDescent="0.2">
      <c r="B82" s="172"/>
      <c r="C82" s="173"/>
      <c r="D82" s="174"/>
      <c r="E82" s="157"/>
      <c r="F82" s="110"/>
      <c r="G82" s="168"/>
      <c r="H82" s="112"/>
      <c r="I82" s="112"/>
      <c r="J82" s="95"/>
    </row>
    <row r="83" spans="1:10" x14ac:dyDescent="0.2">
      <c r="B83" s="169" t="s">
        <v>159</v>
      </c>
      <c r="C83" s="170">
        <f>+C71</f>
        <v>1132.2</v>
      </c>
      <c r="D83" s="170">
        <f>+D60</f>
        <v>1</v>
      </c>
      <c r="E83" s="175">
        <f>+C83/D83</f>
        <v>1132.2</v>
      </c>
      <c r="F83" s="110"/>
      <c r="G83" s="168"/>
      <c r="H83" s="112"/>
      <c r="I83" s="112"/>
      <c r="J83" s="95"/>
    </row>
    <row r="84" spans="1:10" x14ac:dyDescent="0.2">
      <c r="B84" s="169"/>
      <c r="C84" s="170"/>
      <c r="D84" s="170"/>
      <c r="E84" s="175"/>
      <c r="F84" s="110"/>
      <c r="G84" s="168"/>
      <c r="H84" s="112"/>
      <c r="I84" s="112"/>
      <c r="J84" s="95"/>
    </row>
    <row r="85" spans="1:10" ht="13.5" thickBot="1" x14ac:dyDescent="0.25">
      <c r="B85" s="169" t="s">
        <v>161</v>
      </c>
      <c r="C85" s="170">
        <f>+C73</f>
        <v>385</v>
      </c>
      <c r="D85" s="170">
        <f>+D60</f>
        <v>1</v>
      </c>
      <c r="E85" s="175">
        <f>+C85/D85</f>
        <v>385</v>
      </c>
      <c r="F85" s="177"/>
      <c r="G85" s="167"/>
      <c r="H85" s="94"/>
      <c r="I85" s="112"/>
    </row>
    <row r="86" spans="1:10" ht="13.5" thickBot="1" x14ac:dyDescent="0.25">
      <c r="B86" s="169" t="s">
        <v>161</v>
      </c>
      <c r="C86" s="170">
        <f>+C74</f>
        <v>385</v>
      </c>
      <c r="D86" s="170">
        <f>+D85</f>
        <v>1</v>
      </c>
      <c r="E86" s="171">
        <f>+C86/D86</f>
        <v>385</v>
      </c>
      <c r="F86" s="176"/>
      <c r="G86" s="167"/>
      <c r="H86" s="94"/>
      <c r="I86" s="94"/>
    </row>
    <row r="87" spans="1:10" x14ac:dyDescent="0.2">
      <c r="I87" s="94"/>
    </row>
    <row r="88" spans="1:10" x14ac:dyDescent="0.2">
      <c r="A88" s="340"/>
      <c r="B88" s="340"/>
      <c r="C88" s="178"/>
      <c r="D88" s="178"/>
      <c r="E88" s="179"/>
      <c r="G88" s="180"/>
    </row>
    <row r="89" spans="1:10" x14ac:dyDescent="0.2">
      <c r="A89" s="28"/>
      <c r="B89" s="181"/>
      <c r="C89" s="182"/>
      <c r="D89" s="182"/>
      <c r="E89" s="183"/>
      <c r="G89" s="180"/>
    </row>
    <row r="90" spans="1:10" x14ac:dyDescent="0.2">
      <c r="A90" s="28"/>
      <c r="B90" s="181"/>
      <c r="C90" s="184"/>
      <c r="D90" s="184"/>
      <c r="E90" s="28"/>
      <c r="G90" s="180"/>
    </row>
    <row r="91" spans="1:10" x14ac:dyDescent="0.2">
      <c r="A91" s="28"/>
      <c r="B91" s="181"/>
      <c r="C91" s="185"/>
      <c r="D91" s="185"/>
      <c r="E91" s="28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B829-A05D-4F2C-8E80-51C62C1E4D59}">
  <sheetPr>
    <pageSetUpPr fitToPage="1"/>
  </sheetPr>
  <dimension ref="A1:I41"/>
  <sheetViews>
    <sheetView tabSelected="1" zoomScaleNormal="100" workbookViewId="0">
      <selection activeCell="C12" sqref="C12"/>
    </sheetView>
  </sheetViews>
  <sheetFormatPr baseColWidth="10" defaultRowHeight="12.75" x14ac:dyDescent="0.2"/>
  <cols>
    <col min="3" max="3" width="47.140625" customWidth="1"/>
    <col min="4" max="4" width="15.42578125" bestFit="1" customWidth="1"/>
    <col min="7" max="7" width="15" customWidth="1"/>
    <col min="8" max="8" width="24" bestFit="1" customWidth="1"/>
    <col min="9" max="9" width="17.7109375" bestFit="1" customWidth="1"/>
  </cols>
  <sheetData>
    <row r="1" spans="1:9" ht="15" x14ac:dyDescent="0.2">
      <c r="A1" s="281"/>
      <c r="B1" s="282"/>
      <c r="C1" s="287" t="s">
        <v>88</v>
      </c>
      <c r="D1" s="287"/>
      <c r="E1" s="287"/>
      <c r="F1" s="287"/>
      <c r="G1" s="287"/>
      <c r="H1" s="49" t="s">
        <v>87</v>
      </c>
      <c r="I1" s="50" t="s">
        <v>170</v>
      </c>
    </row>
    <row r="2" spans="1:9" ht="16.5" thickBot="1" x14ac:dyDescent="0.3">
      <c r="A2" s="283"/>
      <c r="B2" s="284"/>
      <c r="C2" s="288" t="s">
        <v>3</v>
      </c>
      <c r="D2" s="288"/>
      <c r="E2" s="288"/>
      <c r="F2" s="288"/>
      <c r="G2" s="288"/>
      <c r="H2" s="51" t="s">
        <v>86</v>
      </c>
      <c r="I2" s="52" t="s">
        <v>5</v>
      </c>
    </row>
    <row r="3" spans="1:9" ht="18.75" thickBot="1" x14ac:dyDescent="0.25">
      <c r="A3" s="283"/>
      <c r="B3" s="284"/>
      <c r="C3" s="289" t="s">
        <v>171</v>
      </c>
      <c r="D3" s="289"/>
      <c r="E3" s="289"/>
      <c r="F3" s="289"/>
      <c r="G3" s="290"/>
      <c r="H3" s="291" t="s">
        <v>85</v>
      </c>
      <c r="I3" s="272">
        <v>45835</v>
      </c>
    </row>
    <row r="4" spans="1:9" ht="13.5" x14ac:dyDescent="0.25">
      <c r="A4" s="283"/>
      <c r="B4" s="284"/>
      <c r="C4" s="53" t="s">
        <v>84</v>
      </c>
      <c r="D4" s="275" t="s">
        <v>100</v>
      </c>
      <c r="E4" s="276"/>
      <c r="F4" s="276"/>
      <c r="G4" s="277"/>
      <c r="H4" s="292"/>
      <c r="I4" s="273"/>
    </row>
    <row r="5" spans="1:9" ht="14.25" thickBot="1" x14ac:dyDescent="0.3">
      <c r="A5" s="285"/>
      <c r="B5" s="286"/>
      <c r="C5" s="54" t="s">
        <v>83</v>
      </c>
      <c r="D5" s="278" t="s">
        <v>93</v>
      </c>
      <c r="E5" s="279"/>
      <c r="F5" s="279"/>
      <c r="G5" s="280"/>
      <c r="H5" s="293"/>
      <c r="I5" s="274"/>
    </row>
    <row r="6" spans="1:9" ht="18.75" thickBot="1" x14ac:dyDescent="0.3">
      <c r="A6" s="263" t="s">
        <v>82</v>
      </c>
      <c r="B6" s="263"/>
      <c r="C6" s="263"/>
      <c r="D6" s="264" t="s">
        <v>81</v>
      </c>
      <c r="E6" s="264"/>
      <c r="F6" s="264"/>
      <c r="G6" s="265" t="s">
        <v>80</v>
      </c>
      <c r="H6" s="265"/>
      <c r="I6" s="44" t="s">
        <v>79</v>
      </c>
    </row>
    <row r="7" spans="1:9" ht="25.5" x14ac:dyDescent="0.2">
      <c r="A7" s="266" t="s">
        <v>9</v>
      </c>
      <c r="B7" s="268" t="s">
        <v>92</v>
      </c>
      <c r="C7" s="270" t="s">
        <v>10</v>
      </c>
      <c r="D7" s="270" t="s">
        <v>11</v>
      </c>
      <c r="E7" s="270" t="s">
        <v>12</v>
      </c>
      <c r="F7" s="270"/>
      <c r="G7" s="270" t="s">
        <v>78</v>
      </c>
      <c r="H7" s="270"/>
      <c r="I7" s="55" t="s">
        <v>14</v>
      </c>
    </row>
    <row r="8" spans="1:9" ht="26.25" thickBot="1" x14ac:dyDescent="0.25">
      <c r="A8" s="267"/>
      <c r="B8" s="269"/>
      <c r="C8" s="271"/>
      <c r="D8" s="271"/>
      <c r="E8" s="56" t="s">
        <v>15</v>
      </c>
      <c r="F8" s="57" t="s">
        <v>16</v>
      </c>
      <c r="G8" s="56" t="s">
        <v>15</v>
      </c>
      <c r="H8" s="57" t="s">
        <v>16</v>
      </c>
      <c r="I8" s="58" t="s">
        <v>17</v>
      </c>
    </row>
    <row r="9" spans="1:9" ht="15" x14ac:dyDescent="0.25">
      <c r="A9" s="59"/>
      <c r="B9" s="60"/>
      <c r="C9" s="61" t="s">
        <v>94</v>
      </c>
      <c r="D9" s="62"/>
      <c r="E9" s="63"/>
      <c r="F9" s="64"/>
      <c r="G9" s="63"/>
      <c r="H9" s="64"/>
      <c r="I9" s="65"/>
    </row>
    <row r="10" spans="1:9" ht="15" x14ac:dyDescent="0.25">
      <c r="A10" s="186"/>
      <c r="B10" s="88" t="s">
        <v>169</v>
      </c>
      <c r="C10" s="187" t="s">
        <v>107</v>
      </c>
      <c r="D10" s="66" t="s">
        <v>102</v>
      </c>
      <c r="E10" s="67">
        <v>200</v>
      </c>
      <c r="F10" s="68" t="s">
        <v>71</v>
      </c>
      <c r="G10" s="69"/>
      <c r="H10" s="64"/>
      <c r="I10" s="65"/>
    </row>
    <row r="11" spans="1:9" ht="15" x14ac:dyDescent="0.25">
      <c r="A11" s="82"/>
      <c r="B11" s="82"/>
      <c r="C11" s="83"/>
      <c r="D11" s="12"/>
      <c r="E11" s="15"/>
      <c r="F11" s="16"/>
      <c r="G11" s="69"/>
      <c r="H11" s="64"/>
      <c r="I11" s="65"/>
    </row>
    <row r="12" spans="1:9" ht="15" x14ac:dyDescent="0.25">
      <c r="A12" s="188"/>
      <c r="B12" s="88"/>
      <c r="C12" s="189"/>
      <c r="D12" s="12"/>
      <c r="E12" s="15"/>
      <c r="F12" s="16"/>
      <c r="G12" s="69"/>
      <c r="H12" s="64"/>
      <c r="I12" s="65"/>
    </row>
    <row r="13" spans="1:9" ht="15" x14ac:dyDescent="0.25">
      <c r="A13" s="188"/>
      <c r="B13" s="88"/>
      <c r="C13" s="189"/>
      <c r="D13" s="12"/>
      <c r="E13" s="12"/>
      <c r="F13" s="16"/>
      <c r="G13" s="69"/>
      <c r="H13" s="64"/>
      <c r="I13" s="65"/>
    </row>
    <row r="14" spans="1:9" ht="15" x14ac:dyDescent="0.25">
      <c r="A14" s="72"/>
      <c r="B14" s="73"/>
      <c r="C14" s="190" t="s">
        <v>95</v>
      </c>
      <c r="D14" s="74"/>
      <c r="E14" s="75"/>
      <c r="F14" s="71"/>
      <c r="G14" s="63"/>
      <c r="H14" s="64"/>
      <c r="I14" s="65"/>
    </row>
    <row r="15" spans="1:9" ht="15" x14ac:dyDescent="0.25">
      <c r="A15" s="191"/>
      <c r="B15" s="192"/>
      <c r="C15" s="193"/>
      <c r="D15" s="76"/>
      <c r="E15" s="70"/>
      <c r="F15" s="71"/>
      <c r="G15" s="63"/>
      <c r="H15" s="64"/>
      <c r="I15" s="65"/>
    </row>
    <row r="16" spans="1:9" ht="15" x14ac:dyDescent="0.25">
      <c r="A16" s="88"/>
      <c r="B16" s="88"/>
      <c r="C16" s="194"/>
      <c r="D16" s="14"/>
      <c r="E16" s="77"/>
      <c r="F16" s="78"/>
      <c r="G16" s="63"/>
      <c r="H16" s="64"/>
      <c r="I16" s="65"/>
    </row>
    <row r="17" spans="1:9" ht="15" x14ac:dyDescent="0.25">
      <c r="A17" s="79"/>
      <c r="B17" s="80"/>
      <c r="C17" s="195" t="s">
        <v>79</v>
      </c>
      <c r="D17" s="81"/>
      <c r="E17" s="63"/>
      <c r="F17" s="64"/>
      <c r="G17" s="63"/>
      <c r="H17" s="64"/>
      <c r="I17" s="65"/>
    </row>
    <row r="18" spans="1:9" ht="15" x14ac:dyDescent="0.25">
      <c r="A18" s="88">
        <v>1950705</v>
      </c>
      <c r="B18" s="88" t="s">
        <v>108</v>
      </c>
      <c r="C18" s="88" t="s">
        <v>109</v>
      </c>
      <c r="D18" s="84" t="s">
        <v>110</v>
      </c>
      <c r="E18" s="84">
        <v>1</v>
      </c>
      <c r="F18" s="84" t="s">
        <v>77</v>
      </c>
      <c r="G18" s="63"/>
      <c r="H18" s="64"/>
      <c r="I18" s="65"/>
    </row>
    <row r="19" spans="1:9" ht="15" x14ac:dyDescent="0.25">
      <c r="A19" s="85">
        <v>702069</v>
      </c>
      <c r="B19" s="86" t="s">
        <v>103</v>
      </c>
      <c r="C19" s="87" t="s">
        <v>104</v>
      </c>
      <c r="D19" s="84"/>
      <c r="E19" s="84">
        <v>1</v>
      </c>
      <c r="F19" s="84" t="s">
        <v>77</v>
      </c>
      <c r="G19" s="63"/>
      <c r="H19" s="64"/>
      <c r="I19" s="65"/>
    </row>
    <row r="20" spans="1:9" ht="15" x14ac:dyDescent="0.25">
      <c r="A20" s="85">
        <v>702007</v>
      </c>
      <c r="B20" s="86" t="s">
        <v>105</v>
      </c>
      <c r="C20" s="87" t="s">
        <v>106</v>
      </c>
      <c r="D20" s="84"/>
      <c r="E20" s="88">
        <v>1</v>
      </c>
      <c r="F20" s="89" t="s">
        <v>77</v>
      </c>
      <c r="G20" s="63"/>
      <c r="H20" s="64"/>
      <c r="I20" s="65"/>
    </row>
    <row r="21" spans="1:9" ht="15" x14ac:dyDescent="0.25">
      <c r="A21" s="72"/>
      <c r="B21" s="73"/>
      <c r="C21" s="196"/>
      <c r="D21" s="74"/>
      <c r="E21" s="74"/>
      <c r="F21" s="71"/>
      <c r="G21" s="74"/>
      <c r="H21" s="74"/>
      <c r="I21" s="65"/>
    </row>
    <row r="22" spans="1:9" ht="17.25" thickBot="1" x14ac:dyDescent="0.35">
      <c r="A22" s="197"/>
      <c r="B22" s="198"/>
      <c r="C22" s="199"/>
      <c r="D22" s="199"/>
      <c r="E22" s="200"/>
      <c r="F22" s="201"/>
      <c r="G22" s="199"/>
      <c r="H22" s="199"/>
      <c r="I22" s="202"/>
    </row>
    <row r="23" spans="1:9" ht="17.25" thickBot="1" x14ac:dyDescent="0.35">
      <c r="A23" s="203"/>
      <c r="B23" s="204"/>
      <c r="C23" s="205"/>
      <c r="D23" s="206" t="s">
        <v>15</v>
      </c>
      <c r="E23" s="207" t="s">
        <v>65</v>
      </c>
      <c r="F23" s="208"/>
      <c r="G23" s="205"/>
      <c r="H23" s="205"/>
      <c r="I23" s="209"/>
    </row>
    <row r="24" spans="1:9" ht="16.5" x14ac:dyDescent="0.3">
      <c r="A24" s="257" t="s">
        <v>26</v>
      </c>
      <c r="B24" s="258"/>
      <c r="C24" s="259"/>
      <c r="D24" s="210">
        <v>200</v>
      </c>
      <c r="E24" s="211" t="s">
        <v>71</v>
      </c>
      <c r="F24" s="260" t="s">
        <v>96</v>
      </c>
      <c r="G24" s="260"/>
      <c r="H24" s="261"/>
      <c r="I24" s="262"/>
    </row>
    <row r="25" spans="1:9" ht="16.5" x14ac:dyDescent="0.3">
      <c r="A25" s="237" t="s">
        <v>23</v>
      </c>
      <c r="B25" s="238"/>
      <c r="C25" s="239"/>
      <c r="D25" s="212">
        <v>1</v>
      </c>
      <c r="E25" s="88" t="s">
        <v>76</v>
      </c>
      <c r="F25" s="240" t="s">
        <v>97</v>
      </c>
      <c r="G25" s="240"/>
      <c r="H25" s="241"/>
      <c r="I25" s="242"/>
    </row>
    <row r="26" spans="1:9" ht="16.5" x14ac:dyDescent="0.3">
      <c r="A26" s="237" t="s">
        <v>75</v>
      </c>
      <c r="B26" s="238"/>
      <c r="C26" s="239"/>
      <c r="D26" s="88">
        <v>1</v>
      </c>
      <c r="E26" s="88" t="s">
        <v>74</v>
      </c>
      <c r="F26" s="240" t="s">
        <v>98</v>
      </c>
      <c r="G26" s="240"/>
      <c r="H26" s="241"/>
      <c r="I26" s="242"/>
    </row>
    <row r="27" spans="1:9" ht="16.5" x14ac:dyDescent="0.3">
      <c r="A27" s="237" t="s">
        <v>73</v>
      </c>
      <c r="B27" s="238"/>
      <c r="C27" s="239"/>
      <c r="D27" s="210">
        <v>200</v>
      </c>
      <c r="E27" s="88" t="s">
        <v>71</v>
      </c>
      <c r="F27" s="243" t="s">
        <v>29</v>
      </c>
      <c r="G27" s="244"/>
      <c r="H27" s="241"/>
      <c r="I27" s="242"/>
    </row>
    <row r="28" spans="1:9" ht="17.25" thickBot="1" x14ac:dyDescent="0.35">
      <c r="A28" s="245" t="s">
        <v>70</v>
      </c>
      <c r="B28" s="246"/>
      <c r="C28" s="247"/>
      <c r="D28" s="213">
        <f>SUM(E10)-D24</f>
        <v>0</v>
      </c>
      <c r="E28" s="214" t="s">
        <v>71</v>
      </c>
      <c r="F28" s="248"/>
      <c r="G28" s="248"/>
      <c r="H28" s="249"/>
      <c r="I28" s="250"/>
    </row>
    <row r="29" spans="1:9" ht="15" thickBot="1" x14ac:dyDescent="0.25">
      <c r="A29" s="251" t="s">
        <v>72</v>
      </c>
      <c r="B29" s="252"/>
      <c r="C29" s="252"/>
      <c r="D29" s="252"/>
      <c r="E29" s="252"/>
      <c r="F29" s="252"/>
      <c r="G29" s="252"/>
      <c r="H29" s="252"/>
      <c r="I29" s="253"/>
    </row>
    <row r="30" spans="1:9" ht="15" x14ac:dyDescent="0.25">
      <c r="A30" s="254" t="s">
        <v>112</v>
      </c>
      <c r="B30" s="255"/>
      <c r="C30" s="255"/>
      <c r="D30" s="255"/>
      <c r="E30" s="255"/>
      <c r="F30" s="255"/>
      <c r="G30" s="255"/>
      <c r="H30" s="255"/>
      <c r="I30" s="256"/>
    </row>
    <row r="31" spans="1:9" ht="15" x14ac:dyDescent="0.25">
      <c r="A31" s="227" t="s">
        <v>111</v>
      </c>
      <c r="B31" s="228"/>
      <c r="C31" s="228"/>
      <c r="D31" s="228"/>
      <c r="E31" s="228"/>
      <c r="F31" s="228"/>
      <c r="G31" s="228"/>
      <c r="H31" s="228"/>
      <c r="I31" s="229"/>
    </row>
    <row r="32" spans="1:9" ht="15" x14ac:dyDescent="0.25">
      <c r="A32" s="224"/>
      <c r="B32" s="225"/>
      <c r="C32" s="225"/>
      <c r="D32" s="225"/>
      <c r="E32" s="225"/>
      <c r="F32" s="225"/>
      <c r="G32" s="225"/>
      <c r="H32" s="225"/>
      <c r="I32" s="226"/>
    </row>
    <row r="33" spans="1:9" ht="15" x14ac:dyDescent="0.25">
      <c r="A33" s="227"/>
      <c r="B33" s="228"/>
      <c r="C33" s="228"/>
      <c r="D33" s="228"/>
      <c r="E33" s="228"/>
      <c r="F33" s="228"/>
      <c r="G33" s="228"/>
      <c r="H33" s="228"/>
      <c r="I33" s="229"/>
    </row>
    <row r="34" spans="1:9" ht="16.5" x14ac:dyDescent="0.3">
      <c r="A34" s="230"/>
      <c r="B34" s="231"/>
      <c r="C34" s="232"/>
      <c r="D34" s="232"/>
      <c r="E34" s="232"/>
      <c r="F34" s="232"/>
      <c r="G34" s="232"/>
      <c r="H34" s="232"/>
      <c r="I34" s="233"/>
    </row>
    <row r="35" spans="1:9" ht="15" x14ac:dyDescent="0.25">
      <c r="A35" s="227"/>
      <c r="B35" s="228"/>
      <c r="C35" s="228"/>
      <c r="D35" s="228"/>
      <c r="E35" s="228"/>
      <c r="F35" s="228"/>
      <c r="G35" s="228"/>
      <c r="H35" s="228"/>
      <c r="I35" s="229"/>
    </row>
    <row r="36" spans="1:9" ht="15" x14ac:dyDescent="0.25">
      <c r="A36" s="227"/>
      <c r="B36" s="228"/>
      <c r="C36" s="228"/>
      <c r="D36" s="228"/>
      <c r="E36" s="228"/>
      <c r="F36" s="228"/>
      <c r="G36" s="228"/>
      <c r="H36" s="228"/>
      <c r="I36" s="229"/>
    </row>
    <row r="37" spans="1:9" ht="16.5" x14ac:dyDescent="0.3">
      <c r="A37" s="234"/>
      <c r="B37" s="235"/>
      <c r="C37" s="235"/>
      <c r="D37" s="235"/>
      <c r="E37" s="235"/>
      <c r="F37" s="235"/>
      <c r="G37" s="235"/>
      <c r="H37" s="235"/>
      <c r="I37" s="236"/>
    </row>
    <row r="38" spans="1:9" ht="17.25" thickBot="1" x14ac:dyDescent="0.35">
      <c r="A38" s="215"/>
      <c r="B38" s="216"/>
      <c r="C38" s="216"/>
      <c r="D38" s="216"/>
      <c r="E38" s="216"/>
      <c r="F38" s="216"/>
      <c r="G38" s="216"/>
      <c r="H38" s="216"/>
      <c r="I38" s="217"/>
    </row>
    <row r="39" spans="1:9" ht="14.25" x14ac:dyDescent="0.2">
      <c r="A39" s="218" t="s">
        <v>99</v>
      </c>
      <c r="B39" s="219"/>
      <c r="C39" s="219"/>
      <c r="D39" s="219"/>
      <c r="E39" s="219"/>
      <c r="F39" s="219"/>
      <c r="G39" s="219"/>
      <c r="H39" s="219"/>
      <c r="I39" s="219"/>
    </row>
    <row r="40" spans="1:9" ht="16.5" x14ac:dyDescent="0.3">
      <c r="A40" s="220"/>
      <c r="B40" s="221"/>
      <c r="C40" s="221"/>
      <c r="D40" s="221"/>
      <c r="E40" s="221"/>
      <c r="F40" s="221"/>
      <c r="G40" s="221"/>
      <c r="H40" s="221"/>
      <c r="I40" s="221"/>
    </row>
    <row r="41" spans="1:9" ht="13.5" x14ac:dyDescent="0.25">
      <c r="A41" s="222"/>
      <c r="B41" s="223"/>
      <c r="C41" s="223"/>
      <c r="D41" s="223"/>
      <c r="E41" s="223"/>
      <c r="F41" s="223"/>
      <c r="G41" s="223"/>
      <c r="H41" s="223"/>
      <c r="I41" s="22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38:I38"/>
    <mergeCell ref="A39:I39"/>
    <mergeCell ref="A40:I40"/>
    <mergeCell ref="A41:I41"/>
    <mergeCell ref="A32:I32"/>
    <mergeCell ref="A33:I33"/>
    <mergeCell ref="A34:I34"/>
    <mergeCell ref="A35:I35"/>
    <mergeCell ref="A36:I36"/>
    <mergeCell ref="A37:I37"/>
  </mergeCells>
  <pageMargins left="0.7" right="0.7" top="0.75" bottom="0.75" header="0.3" footer="0.3"/>
  <pageSetup scale="5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98C4-E2F2-4FDB-B2F0-7448BE59D3F3}">
  <dimension ref="A1:Q91"/>
  <sheetViews>
    <sheetView topLeftCell="A2" workbookViewId="0">
      <selection activeCell="M34" sqref="M34"/>
    </sheetView>
  </sheetViews>
  <sheetFormatPr baseColWidth="10" defaultColWidth="8.42578125" defaultRowHeight="12.75" x14ac:dyDescent="0.2"/>
  <cols>
    <col min="1" max="1" width="10" style="95" bestFit="1" customWidth="1"/>
    <col min="2" max="2" width="44.28515625" style="95" bestFit="1" customWidth="1"/>
    <col min="3" max="3" width="10.42578125" style="95" bestFit="1" customWidth="1"/>
    <col min="4" max="4" width="10.42578125" style="95" customWidth="1"/>
    <col min="5" max="5" width="11" style="95" customWidth="1"/>
    <col min="6" max="6" width="9.5703125" style="95" bestFit="1" customWidth="1"/>
    <col min="7" max="7" width="10.85546875" style="176" customWidth="1"/>
    <col min="8" max="8" width="10.42578125" style="167" bestFit="1" customWidth="1"/>
    <col min="9" max="9" width="4.5703125" style="167" customWidth="1"/>
    <col min="10" max="10" width="1.85546875" style="94" customWidth="1"/>
    <col min="11" max="11" width="7" style="95" bestFit="1" customWidth="1"/>
    <col min="12" max="12" width="6.28515625" style="95" customWidth="1"/>
    <col min="13" max="13" width="20.42578125" style="95" customWidth="1"/>
    <col min="14" max="14" width="6.42578125" style="95" bestFit="1" customWidth="1"/>
    <col min="15" max="16" width="8.42578125" style="95"/>
    <col min="17" max="17" width="3.28515625" style="95" customWidth="1"/>
    <col min="18" max="16384" width="8.42578125" style="95"/>
  </cols>
  <sheetData>
    <row r="1" spans="1:10" ht="27.75" customHeight="1" x14ac:dyDescent="0.2">
      <c r="A1" s="90"/>
      <c r="B1" s="90"/>
      <c r="C1" s="90"/>
      <c r="D1" s="90"/>
      <c r="E1" s="91" t="s">
        <v>113</v>
      </c>
      <c r="F1" s="92" t="s">
        <v>114</v>
      </c>
      <c r="G1" s="92" t="s">
        <v>115</v>
      </c>
      <c r="H1" s="92" t="s">
        <v>116</v>
      </c>
      <c r="I1" s="93"/>
    </row>
    <row r="2" spans="1:10" ht="30.75" customHeight="1" x14ac:dyDescent="0.2">
      <c r="A2" s="90"/>
      <c r="B2" s="90"/>
      <c r="C2" s="90"/>
      <c r="D2" s="90"/>
      <c r="E2" s="96">
        <f>IFERROR(O62,"")</f>
        <v>573.0185964912281</v>
      </c>
      <c r="F2" s="96">
        <f>IFERROR(H53,"")</f>
        <v>233.68421052631581</v>
      </c>
      <c r="G2" s="96">
        <f>IFERROR(H54,"")</f>
        <v>10.913333333333334</v>
      </c>
      <c r="H2" s="96">
        <f>IFERROR(H56,"")</f>
        <v>158.05263157894737</v>
      </c>
      <c r="I2" s="97"/>
    </row>
    <row r="3" spans="1:10" ht="15" customHeight="1" x14ac:dyDescent="0.2">
      <c r="A3" s="90"/>
      <c r="B3" s="90"/>
      <c r="C3" s="90"/>
      <c r="D3" s="90"/>
      <c r="E3" s="90"/>
      <c r="F3" s="98"/>
      <c r="G3" s="98"/>
      <c r="H3" s="98"/>
      <c r="I3" s="98"/>
    </row>
    <row r="4" spans="1:10" ht="24.75" customHeight="1" thickBot="1" x14ac:dyDescent="0.25">
      <c r="A4" s="322"/>
      <c r="B4" s="322"/>
      <c r="C4" s="322"/>
      <c r="D4" s="322"/>
      <c r="E4" s="322"/>
      <c r="F4" s="322"/>
      <c r="G4" s="322"/>
      <c r="H4" s="322"/>
      <c r="I4" s="99"/>
    </row>
    <row r="5" spans="1:10" ht="19.5" customHeight="1" thickBot="1" x14ac:dyDescent="0.25">
      <c r="A5" s="323" t="s">
        <v>117</v>
      </c>
      <c r="B5" s="324"/>
      <c r="C5" s="324"/>
      <c r="D5" s="324"/>
      <c r="E5" s="324"/>
      <c r="F5" s="324"/>
      <c r="G5" s="324"/>
      <c r="H5" s="325"/>
      <c r="I5" s="100"/>
    </row>
    <row r="6" spans="1:10" ht="19.5" thickBot="1" x14ac:dyDescent="0.25">
      <c r="A6" s="100"/>
      <c r="B6" s="100"/>
      <c r="C6" s="100"/>
      <c r="D6" s="100"/>
      <c r="E6" s="100"/>
      <c r="F6" s="326" t="s">
        <v>118</v>
      </c>
      <c r="G6" s="326"/>
      <c r="H6" s="101">
        <f ca="1">TODAY()</f>
        <v>46099</v>
      </c>
      <c r="I6" s="101"/>
    </row>
    <row r="7" spans="1:10" ht="26.25" hidden="1" thickBot="1" x14ac:dyDescent="0.25">
      <c r="A7" s="102" t="s">
        <v>119</v>
      </c>
      <c r="B7" s="103" t="s">
        <v>120</v>
      </c>
      <c r="C7" s="103" t="s">
        <v>119</v>
      </c>
      <c r="D7" s="104" t="s">
        <v>121</v>
      </c>
      <c r="E7" s="104" t="s">
        <v>122</v>
      </c>
      <c r="F7" s="104" t="s">
        <v>123</v>
      </c>
      <c r="G7" s="104" t="s">
        <v>124</v>
      </c>
      <c r="H7" s="105" t="s">
        <v>125</v>
      </c>
      <c r="I7" s="106"/>
    </row>
    <row r="8" spans="1:10" ht="13.5" hidden="1" x14ac:dyDescent="0.25">
      <c r="A8" s="107"/>
      <c r="B8" s="95" t="str">
        <f>IFERROR(VLOOKUP(H8,'[1]Consolidado MP Planta'!$A$2:$M$823,3,0),"")</f>
        <v/>
      </c>
      <c r="C8" s="108">
        <f>+A8</f>
        <v>0</v>
      </c>
      <c r="D8" s="109" t="str">
        <f>IFERROR(VLOOKUP(H8,'[1]Consolidado MP Planta'!$A$2:$M$823,13,0),"")</f>
        <v/>
      </c>
      <c r="E8" s="109" t="str">
        <f>IFERROR(VLOOKUP(H8,'[1]Consolidado MP Planta'!$A$2:$M$823,12,0),"")</f>
        <v/>
      </c>
      <c r="F8" s="109" t="str">
        <f>IFERROR(C8*E8,"")</f>
        <v/>
      </c>
      <c r="G8" s="110" t="str">
        <f t="shared" ref="G8:G14" si="0">IFERROR(F8/$F$66,"")</f>
        <v/>
      </c>
      <c r="H8" s="111"/>
      <c r="I8" s="111"/>
      <c r="J8" s="112"/>
    </row>
    <row r="9" spans="1:10" ht="13.5" hidden="1" x14ac:dyDescent="0.25">
      <c r="A9" s="107"/>
      <c r="B9" s="95" t="str">
        <f>IFERROR(VLOOKUP(H9,'[1]Consolidado MP Planta'!$A$2:$M$823,3,0),"")</f>
        <v/>
      </c>
      <c r="C9" s="108">
        <f t="shared" ref="C9:C14" si="1">+A9</f>
        <v>0</v>
      </c>
      <c r="D9" s="109" t="str">
        <f>IFERROR(VLOOKUP(H9,'[1]Consolidado MP Planta'!$A$2:$M$823,13,0),"")</f>
        <v/>
      </c>
      <c r="E9" s="109" t="str">
        <f>IFERROR(VLOOKUP(H9,'[1]Consolidado MP Planta'!$A$2:$M$823,12,0),"")</f>
        <v/>
      </c>
      <c r="F9" s="109" t="str">
        <f t="shared" ref="F9:F14" si="2">IFERROR(C9*E9,"")</f>
        <v/>
      </c>
      <c r="G9" s="110" t="str">
        <f t="shared" si="0"/>
        <v/>
      </c>
      <c r="H9" s="111"/>
      <c r="I9" s="111"/>
      <c r="J9" s="112"/>
    </row>
    <row r="10" spans="1:10" ht="13.5" hidden="1" x14ac:dyDescent="0.25">
      <c r="A10" s="107"/>
      <c r="B10" s="95" t="str">
        <f>IFERROR(VLOOKUP(H10,'[1]Consolidado MP Planta'!$A$2:$M$823,3,0),"")</f>
        <v/>
      </c>
      <c r="C10" s="108">
        <f t="shared" si="1"/>
        <v>0</v>
      </c>
      <c r="D10" s="109" t="str">
        <f>IFERROR(VLOOKUP(H10,'[1]Consolidado MP Planta'!$A$2:$M$823,13,0),"")</f>
        <v/>
      </c>
      <c r="E10" s="109" t="str">
        <f>IFERROR(VLOOKUP(H10,'[1]Consolidado MP Planta'!$A$2:$M$823,12,0),"")</f>
        <v/>
      </c>
      <c r="F10" s="109" t="str">
        <f t="shared" si="2"/>
        <v/>
      </c>
      <c r="G10" s="110" t="str">
        <f t="shared" si="0"/>
        <v/>
      </c>
      <c r="H10" s="111"/>
      <c r="I10" s="111"/>
      <c r="J10" s="112"/>
    </row>
    <row r="11" spans="1:10" ht="13.5" hidden="1" x14ac:dyDescent="0.25">
      <c r="A11" s="107"/>
      <c r="B11" s="95" t="str">
        <f>IFERROR(VLOOKUP(H11,'[1]Consolidado MP Planta'!$A$2:$M$823,3,0),"")</f>
        <v/>
      </c>
      <c r="C11" s="108">
        <f t="shared" si="1"/>
        <v>0</v>
      </c>
      <c r="D11" s="109" t="str">
        <f>IFERROR(VLOOKUP(H11,'[1]Consolidado MP Planta'!$A$2:$M$823,13,0),"")</f>
        <v/>
      </c>
      <c r="E11" s="109" t="str">
        <f>IFERROR(VLOOKUP(H11,'[1]Consolidado MP Planta'!$A$2:$M$823,12,0),"")</f>
        <v/>
      </c>
      <c r="F11" s="109" t="str">
        <f t="shared" si="2"/>
        <v/>
      </c>
      <c r="G11" s="110" t="str">
        <f t="shared" si="0"/>
        <v/>
      </c>
      <c r="H11" s="111"/>
      <c r="I11" s="111"/>
      <c r="J11" s="112"/>
    </row>
    <row r="12" spans="1:10" ht="13.5" hidden="1" x14ac:dyDescent="0.25">
      <c r="A12" s="107"/>
      <c r="B12" s="95" t="str">
        <f>IFERROR(VLOOKUP(H12,'[1]Consolidado MP Planta'!$A$2:$M$823,3,0),"")</f>
        <v/>
      </c>
      <c r="C12" s="108">
        <f t="shared" si="1"/>
        <v>0</v>
      </c>
      <c r="D12" s="109" t="str">
        <f>IFERROR(VLOOKUP(H12,'[1]Consolidado MP Planta'!$A$2:$M$823,13,0),"")</f>
        <v/>
      </c>
      <c r="E12" s="109" t="str">
        <f>IFERROR(VLOOKUP(H12,'[1]Consolidado MP Planta'!$A$2:$M$823,12,0),"")</f>
        <v/>
      </c>
      <c r="F12" s="109" t="str">
        <f t="shared" si="2"/>
        <v/>
      </c>
      <c r="G12" s="110" t="str">
        <f t="shared" si="0"/>
        <v/>
      </c>
      <c r="H12" s="111"/>
      <c r="I12" s="111"/>
      <c r="J12" s="112"/>
    </row>
    <row r="13" spans="1:10" ht="13.5" hidden="1" x14ac:dyDescent="0.25">
      <c r="A13" s="107"/>
      <c r="B13" s="95" t="str">
        <f>IFERROR(VLOOKUP(H13,'[1]Consolidado MP Planta'!$A$2:$M$823,3,0),"")</f>
        <v/>
      </c>
      <c r="C13" s="108">
        <f t="shared" si="1"/>
        <v>0</v>
      </c>
      <c r="D13" s="109" t="str">
        <f>IFERROR(VLOOKUP(H13,'[1]Consolidado MP Planta'!$A$2:$M$823,13,0),"")</f>
        <v/>
      </c>
      <c r="E13" s="109" t="str">
        <f>IFERROR(VLOOKUP(H13,'[1]Consolidado MP Planta'!$A$2:$M$823,12,0),"")</f>
        <v/>
      </c>
      <c r="F13" s="109" t="str">
        <f t="shared" si="2"/>
        <v/>
      </c>
      <c r="G13" s="110" t="str">
        <f t="shared" si="0"/>
        <v/>
      </c>
      <c r="H13" s="111"/>
      <c r="I13" s="111"/>
      <c r="J13" s="112"/>
    </row>
    <row r="14" spans="1:10" ht="13.5" hidden="1" x14ac:dyDescent="0.25">
      <c r="A14" s="107"/>
      <c r="B14" s="95" t="str">
        <f>IFERROR(VLOOKUP(H14,'[1]Consolidado MP Planta'!$A$2:$M$823,3,0),"")</f>
        <v/>
      </c>
      <c r="C14" s="108">
        <f t="shared" si="1"/>
        <v>0</v>
      </c>
      <c r="D14" s="109" t="str">
        <f>IFERROR(VLOOKUP(H14,'[1]Consolidado MP Planta'!$A$2:$M$823,13,0),"")</f>
        <v/>
      </c>
      <c r="E14" s="109" t="str">
        <f>IFERROR(VLOOKUP(H14,'[1]Consolidado MP Planta'!$A$2:$M$823,12,0),"")</f>
        <v/>
      </c>
      <c r="F14" s="109" t="str">
        <f t="shared" si="2"/>
        <v/>
      </c>
      <c r="G14" s="110" t="str">
        <f t="shared" si="0"/>
        <v/>
      </c>
      <c r="H14" s="111"/>
      <c r="I14" s="111"/>
      <c r="J14" s="112"/>
    </row>
    <row r="15" spans="1:10" ht="14.25" hidden="1" thickBot="1" x14ac:dyDescent="0.3">
      <c r="A15" s="107"/>
      <c r="B15" s="95" t="str">
        <f>IFERROR(VLOOKUP(H15,[2]Hoja2!$A$2:$G$589,2,0),"")</f>
        <v/>
      </c>
      <c r="C15" s="108"/>
      <c r="D15" s="109"/>
      <c r="E15" s="109"/>
      <c r="F15" s="109"/>
      <c r="G15" s="110"/>
      <c r="H15" s="111"/>
      <c r="I15" s="111"/>
      <c r="J15" s="112"/>
    </row>
    <row r="16" spans="1:10" ht="26.25" thickBot="1" x14ac:dyDescent="0.25">
      <c r="A16" s="102" t="s">
        <v>119</v>
      </c>
      <c r="B16" s="103" t="s">
        <v>126</v>
      </c>
      <c r="C16" s="103" t="s">
        <v>119</v>
      </c>
      <c r="D16" s="104" t="s">
        <v>121</v>
      </c>
      <c r="E16" s="104" t="s">
        <v>122</v>
      </c>
      <c r="F16" s="104" t="s">
        <v>123</v>
      </c>
      <c r="G16" s="104" t="s">
        <v>124</v>
      </c>
      <c r="H16" s="105" t="s">
        <v>125</v>
      </c>
      <c r="I16" s="106"/>
      <c r="J16" s="112"/>
    </row>
    <row r="17" spans="1:12" ht="13.5" x14ac:dyDescent="0.25">
      <c r="A17" s="107">
        <v>200</v>
      </c>
      <c r="B17" s="95" t="s">
        <v>107</v>
      </c>
      <c r="C17" s="108">
        <f>+A17</f>
        <v>200</v>
      </c>
      <c r="D17" s="108" t="s">
        <v>18</v>
      </c>
      <c r="E17" s="109">
        <f>+'Costo coccion'!E69</f>
        <v>1.168421052631579</v>
      </c>
      <c r="F17" s="109">
        <f>IFERROR(E17*C17,"")</f>
        <v>233.68421052631581</v>
      </c>
      <c r="G17" s="110">
        <f t="shared" ref="G17:G24" si="3">IFERROR(F17/$F$66,"")</f>
        <v>0.71622683957916844</v>
      </c>
      <c r="H17" s="111"/>
      <c r="I17" s="111"/>
      <c r="J17" s="112"/>
    </row>
    <row r="18" spans="1:12" ht="13.5" hidden="1" x14ac:dyDescent="0.25">
      <c r="A18" s="107"/>
      <c r="B18" s="95" t="str">
        <f>IFERROR(VLOOKUP(H18,[1]SEMIELABORADOS!$A$2:$M$6000,2,0),"")</f>
        <v/>
      </c>
      <c r="C18" s="108">
        <f t="shared" ref="C18:C24" si="4">+A18</f>
        <v>0</v>
      </c>
      <c r="D18" s="108" t="str">
        <f>IFERROR(VLOOKUP(H18,[1]SEMIELABORADOS!$A$2:$M$6000,6,0),"")</f>
        <v/>
      </c>
      <c r="E18" s="109" t="str">
        <f>IFERROR(VLOOKUP(H18,[1]SEMIELABORADOS!$A$2:$H$65536,8,0),"")</f>
        <v/>
      </c>
      <c r="F18" s="109" t="str">
        <f t="shared" ref="F18:F24" si="5">IFERROR(E18*C18,"")</f>
        <v/>
      </c>
      <c r="G18" s="110" t="str">
        <f t="shared" si="3"/>
        <v/>
      </c>
      <c r="H18" s="111"/>
      <c r="I18" s="111"/>
      <c r="J18" s="112"/>
    </row>
    <row r="19" spans="1:12" ht="13.5" hidden="1" x14ac:dyDescent="0.25">
      <c r="A19" s="107"/>
      <c r="B19" s="95" t="str">
        <f>IFERROR(VLOOKUP(H19,[1]SEMIELABORADOS!$A$2:$M$6000,2,0),"")</f>
        <v/>
      </c>
      <c r="C19" s="108">
        <f>+A19</f>
        <v>0</v>
      </c>
      <c r="D19" s="108" t="str">
        <f>IFERROR(VLOOKUP(H19,[1]SEMIELABORADOS!$A$2:$M$6000,6,0),"")</f>
        <v/>
      </c>
      <c r="E19" s="109" t="str">
        <f>IFERROR(VLOOKUP(H19,[1]SEMIELABORADOS!$A$2:$H$65536,8,0),"")</f>
        <v/>
      </c>
      <c r="F19" s="109" t="str">
        <f>IFERROR(E19*C19,"")</f>
        <v/>
      </c>
      <c r="G19" s="110" t="str">
        <f t="shared" si="3"/>
        <v/>
      </c>
      <c r="H19" s="111"/>
      <c r="I19" s="111"/>
      <c r="J19" s="112"/>
    </row>
    <row r="20" spans="1:12" ht="13.5" hidden="1" x14ac:dyDescent="0.25">
      <c r="A20" s="107"/>
      <c r="B20" s="95" t="str">
        <f>IFERROR(VLOOKUP(H20,[1]SEMIELABORADOS!$A$2:$M$6000,2,0),"")</f>
        <v/>
      </c>
      <c r="C20" s="108">
        <f>+A20</f>
        <v>0</v>
      </c>
      <c r="D20" s="108" t="str">
        <f>IFERROR(VLOOKUP(H20,[1]SEMIELABORADOS!$A$2:$M$6000,6,0),"")</f>
        <v/>
      </c>
      <c r="E20" s="109" t="str">
        <f>IFERROR(VLOOKUP(H20,[1]SEMIELABORADOS!$A$2:$H$65536,8,0),"")</f>
        <v/>
      </c>
      <c r="F20" s="109" t="str">
        <f>IFERROR(E20*C20,"")</f>
        <v/>
      </c>
      <c r="G20" s="110" t="str">
        <f t="shared" si="3"/>
        <v/>
      </c>
      <c r="H20" s="111"/>
      <c r="I20" s="111"/>
      <c r="J20" s="112"/>
    </row>
    <row r="21" spans="1:12" ht="13.5" hidden="1" x14ac:dyDescent="0.25">
      <c r="A21" s="107"/>
      <c r="B21" s="95" t="str">
        <f>IFERROR(VLOOKUP(H21,[1]SEMIELABORADOS!$A$2:$M$6000,2,0),"")</f>
        <v/>
      </c>
      <c r="C21" s="108">
        <f>+A21</f>
        <v>0</v>
      </c>
      <c r="D21" s="108" t="str">
        <f>IFERROR(VLOOKUP(H21,[1]SEMIELABORADOS!$A$2:$M$6000,6,0),"")</f>
        <v/>
      </c>
      <c r="E21" s="109" t="str">
        <f>IFERROR(VLOOKUP(H21,[1]SEMIELABORADOS!$A$2:$H$65536,8,0),"")</f>
        <v/>
      </c>
      <c r="F21" s="109" t="str">
        <f>IFERROR(E21*C21,"")</f>
        <v/>
      </c>
      <c r="G21" s="110" t="str">
        <f t="shared" si="3"/>
        <v/>
      </c>
      <c r="H21" s="111"/>
      <c r="I21" s="111"/>
      <c r="J21" s="112"/>
    </row>
    <row r="22" spans="1:12" ht="13.5" hidden="1" x14ac:dyDescent="0.25">
      <c r="A22" s="107"/>
      <c r="B22" s="95" t="str">
        <f>IFERROR(VLOOKUP(H22,[1]SEMIELABORADOS!$A$2:$M$6000,2,0),"")</f>
        <v/>
      </c>
      <c r="C22" s="108">
        <f t="shared" si="4"/>
        <v>0</v>
      </c>
      <c r="D22" s="108" t="str">
        <f>IFERROR(VLOOKUP(H22,[1]SEMIELABORADOS!$A$2:$M$6000,6,0),"")</f>
        <v/>
      </c>
      <c r="E22" s="109" t="str">
        <f>IFERROR(VLOOKUP(H22,[1]SEMIELABORADOS!$A$2:$H$65536,8,0),"")</f>
        <v/>
      </c>
      <c r="F22" s="109" t="str">
        <f t="shared" si="5"/>
        <v/>
      </c>
      <c r="G22" s="110" t="str">
        <f t="shared" si="3"/>
        <v/>
      </c>
      <c r="H22" s="111"/>
      <c r="I22" s="111"/>
      <c r="J22" s="112"/>
    </row>
    <row r="23" spans="1:12" ht="13.5" hidden="1" x14ac:dyDescent="0.25">
      <c r="A23" s="107"/>
      <c r="B23" s="95" t="str">
        <f>IFERROR(VLOOKUP(H23,[1]SEMIELABORADOS!$A$2:$M$6000,2,0),"")</f>
        <v/>
      </c>
      <c r="C23" s="108">
        <f t="shared" si="4"/>
        <v>0</v>
      </c>
      <c r="D23" s="108" t="str">
        <f>IFERROR(VLOOKUP(H23,[1]SEMIELABORADOS!$A$2:$M$6000,6,0),"")</f>
        <v/>
      </c>
      <c r="E23" s="109" t="str">
        <f>IFERROR(VLOOKUP(H23,[1]SEMIELABORADOS!$A$2:$H$65536,8,0),"")</f>
        <v/>
      </c>
      <c r="F23" s="109" t="str">
        <f t="shared" si="5"/>
        <v/>
      </c>
      <c r="G23" s="110" t="str">
        <f t="shared" si="3"/>
        <v/>
      </c>
      <c r="H23" s="111"/>
      <c r="I23" s="111"/>
      <c r="J23" s="112"/>
    </row>
    <row r="24" spans="1:12" ht="13.5" hidden="1" x14ac:dyDescent="0.25">
      <c r="A24" s="107"/>
      <c r="B24" s="95" t="str">
        <f>IFERROR(VLOOKUP(H24,[1]SEMIELABORADOS!$A$2:$M$6000,2,0),"")</f>
        <v/>
      </c>
      <c r="C24" s="108">
        <f t="shared" si="4"/>
        <v>0</v>
      </c>
      <c r="D24" s="108" t="str">
        <f>IFERROR(VLOOKUP(H24,[1]SEMIELABORADOS!$A$2:$M$6000,6,0),"")</f>
        <v/>
      </c>
      <c r="E24" s="109" t="str">
        <f>IFERROR(VLOOKUP(H24,[1]SEMIELABORADOS!$A$2:$H$65536,8,0),"")</f>
        <v/>
      </c>
      <c r="F24" s="109" t="str">
        <f t="shared" si="5"/>
        <v/>
      </c>
      <c r="G24" s="110" t="str">
        <f t="shared" si="3"/>
        <v/>
      </c>
      <c r="H24" s="111"/>
      <c r="I24" s="111"/>
      <c r="J24" s="112"/>
    </row>
    <row r="25" spans="1:12" ht="14.25" thickBot="1" x14ac:dyDescent="0.3">
      <c r="A25" s="107"/>
      <c r="C25" s="108"/>
      <c r="D25" s="108"/>
      <c r="E25" s="109"/>
      <c r="F25" s="109"/>
      <c r="G25" s="110"/>
      <c r="H25" s="111"/>
      <c r="I25" s="111"/>
      <c r="J25" s="112"/>
    </row>
    <row r="26" spans="1:12" ht="26.25" thickBot="1" x14ac:dyDescent="0.25">
      <c r="A26" s="102" t="s">
        <v>119</v>
      </c>
      <c r="B26" s="103" t="s">
        <v>127</v>
      </c>
      <c r="C26" s="103" t="s">
        <v>119</v>
      </c>
      <c r="D26" s="104" t="s">
        <v>121</v>
      </c>
      <c r="E26" s="104" t="s">
        <v>122</v>
      </c>
      <c r="F26" s="104" t="s">
        <v>123</v>
      </c>
      <c r="G26" s="104" t="s">
        <v>124</v>
      </c>
      <c r="H26" s="105" t="s">
        <v>125</v>
      </c>
      <c r="I26" s="106"/>
    </row>
    <row r="27" spans="1:12" ht="13.5" x14ac:dyDescent="0.25">
      <c r="A27" s="107">
        <v>1</v>
      </c>
      <c r="B27" s="28" t="str">
        <f>IFERROR(VLOOKUP(H27,'[1]Consolidado MP Planta'!$A$2:$M$823,3,0),"")</f>
        <v>BOLSA 8x12 TRANSPARENTE KILO</v>
      </c>
      <c r="C27" s="108">
        <f t="shared" ref="C27:C32" si="6">+A27</f>
        <v>1</v>
      </c>
      <c r="D27" s="109" t="str">
        <f>IFERROR(VLOOKUP(H27,'[1]Consolidado MP Planta'!$A$2:$M$823,13,0),"")</f>
        <v>Und</v>
      </c>
      <c r="E27" s="109">
        <f>IFERROR(VLOOKUP(H27,'[1]Consolidado MP Planta'!$A$2:$M$823,12,0),"")</f>
        <v>10</v>
      </c>
      <c r="F27" s="109">
        <f t="shared" ref="F27:F32" si="7">IFERROR(C27*E27,"")</f>
        <v>10</v>
      </c>
      <c r="G27" s="110">
        <f t="shared" ref="G27:G32" si="8">IFERROR(F27/$F$66,"")</f>
        <v>3.0649346738748195E-2</v>
      </c>
      <c r="H27" s="113" t="s">
        <v>166</v>
      </c>
      <c r="I27" s="113"/>
      <c r="J27" s="112"/>
      <c r="K27" s="321"/>
      <c r="L27" s="321"/>
    </row>
    <row r="28" spans="1:12" ht="13.5" x14ac:dyDescent="0.25">
      <c r="A28" s="107">
        <v>1</v>
      </c>
      <c r="B28" s="28" t="str">
        <f>IFERROR(VLOOKUP(H28,'[1]Consolidado MP Planta'!$A$2:$M$823,3,0),"")</f>
        <v>ETIQ.BLANCA 1 1/4 * 3/4 (UND)</v>
      </c>
      <c r="C28" s="108">
        <f t="shared" si="6"/>
        <v>1</v>
      </c>
      <c r="D28" s="109" t="str">
        <f>IFERROR(VLOOKUP(H28,'[1]Consolidado MP Planta'!$A$2:$M$823,13,0),"")</f>
        <v>Und</v>
      </c>
      <c r="E28" s="109">
        <f>IFERROR(VLOOKUP(H28,'[1]Consolidado MP Planta'!$A$2:$M$823,12,0),"")</f>
        <v>0.57999999999999996</v>
      </c>
      <c r="F28" s="109">
        <f t="shared" si="7"/>
        <v>0.57999999999999996</v>
      </c>
      <c r="G28" s="110">
        <f t="shared" si="8"/>
        <v>1.7776621108473952E-3</v>
      </c>
      <c r="H28" s="113" t="s">
        <v>167</v>
      </c>
      <c r="I28" s="113"/>
      <c r="J28" s="112"/>
      <c r="K28" s="321"/>
      <c r="L28" s="321"/>
    </row>
    <row r="29" spans="1:12" ht="13.5" x14ac:dyDescent="0.25">
      <c r="A29" s="107">
        <v>1</v>
      </c>
      <c r="B29" s="28" t="str">
        <f>IFERROR(VLOOKUP(H29,'[1]Consolidado MP Planta'!$A$2:$M$823,3,0),"")</f>
        <v>ETIQ.FECHA VENCIMIENTO BLANCO (ROLLO)</v>
      </c>
      <c r="C29" s="108">
        <f t="shared" si="6"/>
        <v>1</v>
      </c>
      <c r="D29" s="109" t="str">
        <f>IFERROR(VLOOKUP(H29,'[1]Consolidado MP Planta'!$A$2:$M$823,13,0),"")</f>
        <v>Gramos</v>
      </c>
      <c r="E29" s="109">
        <f>IFERROR(VLOOKUP(H29,'[1]Consolidado MP Planta'!$A$2:$M$823,12,0),"")</f>
        <v>0.33333333333333331</v>
      </c>
      <c r="F29" s="109">
        <f t="shared" si="7"/>
        <v>0.33333333333333331</v>
      </c>
      <c r="G29" s="110">
        <f t="shared" si="8"/>
        <v>1.0216448912916064E-3</v>
      </c>
      <c r="H29" s="113" t="s">
        <v>168</v>
      </c>
      <c r="I29" s="113"/>
      <c r="J29" s="112"/>
      <c r="K29" s="321"/>
      <c r="L29" s="321"/>
    </row>
    <row r="30" spans="1:12" ht="13.5" hidden="1" x14ac:dyDescent="0.25">
      <c r="A30" s="107"/>
      <c r="B30" s="28" t="str">
        <f>IFERROR(VLOOKUP(H30,'[1]Consolidado MP Planta'!$A$2:$M$823,3,0),"")</f>
        <v/>
      </c>
      <c r="C30" s="108">
        <f t="shared" si="6"/>
        <v>0</v>
      </c>
      <c r="D30" s="109" t="str">
        <f>IFERROR(VLOOKUP(H30,'[1]Consolidado MP Planta'!$A$2:$M$823,13,0),"")</f>
        <v/>
      </c>
      <c r="E30" s="109" t="str">
        <f>IFERROR(VLOOKUP(H30,'[1]Consolidado MP Planta'!$A$2:$M$823,12,0),"")</f>
        <v/>
      </c>
      <c r="F30" s="109" t="str">
        <f t="shared" si="7"/>
        <v/>
      </c>
      <c r="G30" s="110" t="str">
        <f t="shared" si="8"/>
        <v/>
      </c>
      <c r="H30" s="113"/>
      <c r="I30" s="113"/>
      <c r="J30" s="112"/>
      <c r="K30" s="321"/>
      <c r="L30" s="321"/>
    </row>
    <row r="31" spans="1:12" ht="13.5" hidden="1" x14ac:dyDescent="0.25">
      <c r="A31" s="107"/>
      <c r="B31" s="28" t="str">
        <f>IFERROR(VLOOKUP(H31,'[1]Consolidado MP Planta'!$A$2:$M$823,3,0),"")</f>
        <v/>
      </c>
      <c r="C31" s="108">
        <f t="shared" si="6"/>
        <v>0</v>
      </c>
      <c r="D31" s="109" t="str">
        <f>IFERROR(VLOOKUP(H31,'[1]Consolidado MP Planta'!$A$2:$M$823,13,0),"")</f>
        <v/>
      </c>
      <c r="E31" s="109" t="str">
        <f>IFERROR(VLOOKUP(H31,'[1]Consolidado MP Planta'!$A$2:$M$823,12,0),"")</f>
        <v/>
      </c>
      <c r="F31" s="109" t="str">
        <f t="shared" si="7"/>
        <v/>
      </c>
      <c r="G31" s="110" t="str">
        <f t="shared" si="8"/>
        <v/>
      </c>
      <c r="H31" s="113"/>
      <c r="I31" s="113"/>
      <c r="J31" s="112"/>
      <c r="K31" s="114"/>
      <c r="L31" s="115"/>
    </row>
    <row r="32" spans="1:12" ht="13.5" hidden="1" x14ac:dyDescent="0.25">
      <c r="A32" s="107"/>
      <c r="B32" s="28" t="str">
        <f>IFERROR(VLOOKUP(H32,'[1]Consolidado MP Planta'!$A$2:$M$823,3,0),"")</f>
        <v/>
      </c>
      <c r="C32" s="108">
        <f t="shared" si="6"/>
        <v>0</v>
      </c>
      <c r="D32" s="109" t="str">
        <f>IFERROR(VLOOKUP(H32,'[1]Consolidado MP Planta'!$A$2:$M$823,13,0),"")</f>
        <v/>
      </c>
      <c r="E32" s="109" t="str">
        <f>IFERROR(VLOOKUP(H32,'[1]Consolidado MP Planta'!$A$2:$M$823,12,0),"")</f>
        <v/>
      </c>
      <c r="F32" s="109" t="str">
        <f t="shared" si="7"/>
        <v/>
      </c>
      <c r="G32" s="110" t="str">
        <f t="shared" si="8"/>
        <v/>
      </c>
      <c r="H32" s="113"/>
      <c r="I32" s="113"/>
      <c r="J32" s="112"/>
    </row>
    <row r="33" spans="1:13" ht="14.25" thickBot="1" x14ac:dyDescent="0.3">
      <c r="A33" s="107"/>
      <c r="B33" s="28"/>
      <c r="C33" s="108"/>
      <c r="D33" s="109"/>
      <c r="E33" s="109"/>
      <c r="F33" s="109"/>
      <c r="G33" s="110"/>
      <c r="H33" s="113"/>
      <c r="I33" s="113"/>
      <c r="J33" s="112"/>
    </row>
    <row r="34" spans="1:13" ht="26.25" thickBot="1" x14ac:dyDescent="0.25">
      <c r="A34" s="102" t="s">
        <v>119</v>
      </c>
      <c r="B34" s="103" t="s">
        <v>128</v>
      </c>
      <c r="C34" s="103" t="s">
        <v>119</v>
      </c>
      <c r="D34" s="104" t="s">
        <v>121</v>
      </c>
      <c r="E34" s="104" t="s">
        <v>122</v>
      </c>
      <c r="F34" s="104" t="s">
        <v>123</v>
      </c>
      <c r="G34" s="104" t="s">
        <v>124</v>
      </c>
      <c r="H34" s="105" t="s">
        <v>125</v>
      </c>
      <c r="I34" s="113"/>
      <c r="J34" s="112"/>
    </row>
    <row r="35" spans="1:13" ht="13.5" x14ac:dyDescent="0.25">
      <c r="A35" s="107">
        <f>+A17</f>
        <v>200</v>
      </c>
      <c r="B35" s="28" t="s">
        <v>107</v>
      </c>
      <c r="C35" s="108">
        <f>+A35</f>
        <v>200</v>
      </c>
      <c r="D35" s="109" t="s">
        <v>18</v>
      </c>
      <c r="E35" s="109">
        <f>+'Costo coccion'!E76</f>
        <v>0</v>
      </c>
      <c r="F35" s="109">
        <f>IFERROR(E35*C35,"")</f>
        <v>0</v>
      </c>
      <c r="G35" s="110">
        <f t="shared" ref="G35:G41" si="9">IFERROR(F35/$F$66,"")</f>
        <v>0</v>
      </c>
      <c r="H35" s="113"/>
      <c r="I35" s="113"/>
      <c r="J35" s="112"/>
    </row>
    <row r="36" spans="1:13" ht="13.5" hidden="1" x14ac:dyDescent="0.25">
      <c r="A36" s="107">
        <f t="shared" ref="A36:A41" si="10">+A18</f>
        <v>0</v>
      </c>
      <c r="B36" s="28" t="str">
        <f>IFERROR(VLOOKUP(H36,[1]SEMIELABORADOS!$A$2:$M$6000,2,0),"")</f>
        <v/>
      </c>
      <c r="C36" s="108">
        <f t="shared" ref="C36:C41" si="11">+A36</f>
        <v>0</v>
      </c>
      <c r="D36" s="109" t="str">
        <f>IFERROR(VLOOKUP(H36,[1]SEMIELABORADOS!$A$2:$M$6000,6,0),"")</f>
        <v/>
      </c>
      <c r="E36" s="109" t="str">
        <f>IFERROR(VLOOKUP(H36,[1]SEMIELABORADOS!$A$2:$M$65536,10,0),"")</f>
        <v/>
      </c>
      <c r="F36" s="109" t="str">
        <f t="shared" ref="F36:F41" si="12">IFERROR(E36*C36,"")</f>
        <v/>
      </c>
      <c r="G36" s="110" t="str">
        <f t="shared" si="9"/>
        <v/>
      </c>
      <c r="H36" s="113"/>
      <c r="I36" s="113"/>
      <c r="J36" s="112"/>
    </row>
    <row r="37" spans="1:13" ht="13.5" hidden="1" x14ac:dyDescent="0.25">
      <c r="A37" s="107">
        <f t="shared" si="10"/>
        <v>0</v>
      </c>
      <c r="B37" s="28" t="str">
        <f>IFERROR(VLOOKUP(H37,[1]SEMIELABORADOS!$A$2:$M$6000,2,0),"")</f>
        <v/>
      </c>
      <c r="C37" s="108">
        <f t="shared" si="11"/>
        <v>0</v>
      </c>
      <c r="D37" s="109" t="str">
        <f>IFERROR(VLOOKUP(H37,[1]SEMIELABORADOS!$A$2:$M$6000,6,0),"")</f>
        <v/>
      </c>
      <c r="E37" s="109" t="str">
        <f>IFERROR(VLOOKUP(H37,[1]SEMIELABORADOS!$A$2:$M$65536,10,0),"")</f>
        <v/>
      </c>
      <c r="F37" s="109" t="str">
        <f t="shared" si="12"/>
        <v/>
      </c>
      <c r="G37" s="110" t="str">
        <f t="shared" si="9"/>
        <v/>
      </c>
      <c r="H37" s="113"/>
      <c r="I37" s="113"/>
      <c r="J37" s="112"/>
    </row>
    <row r="38" spans="1:13" ht="13.5" hidden="1" x14ac:dyDescent="0.25">
      <c r="A38" s="107">
        <f t="shared" si="10"/>
        <v>0</v>
      </c>
      <c r="B38" s="28" t="str">
        <f>IFERROR(VLOOKUP(H38,[1]SEMIELABORADOS!$A$2:$M$6000,2,0),"")</f>
        <v/>
      </c>
      <c r="C38" s="108">
        <f>+A38</f>
        <v>0</v>
      </c>
      <c r="D38" s="109" t="str">
        <f>IFERROR(VLOOKUP(H38,[1]SEMIELABORADOS!$A$2:$M$6000,6,0),"")</f>
        <v/>
      </c>
      <c r="E38" s="109" t="str">
        <f>IFERROR(VLOOKUP(H38,[1]SEMIELABORADOS!$A$2:$M$65536,10,0),"")</f>
        <v/>
      </c>
      <c r="F38" s="109" t="str">
        <f>IFERROR(E38*C38,"")</f>
        <v/>
      </c>
      <c r="G38" s="110" t="str">
        <f t="shared" si="9"/>
        <v/>
      </c>
      <c r="H38" s="113"/>
      <c r="I38" s="113"/>
      <c r="J38" s="112"/>
    </row>
    <row r="39" spans="1:13" ht="13.5" hidden="1" x14ac:dyDescent="0.25">
      <c r="A39" s="107">
        <f t="shared" si="10"/>
        <v>0</v>
      </c>
      <c r="B39" s="28" t="str">
        <f>IFERROR(VLOOKUP(H39,[1]SEMIELABORADOS!$A$2:$M$6000,2,0),"")</f>
        <v/>
      </c>
      <c r="C39" s="108">
        <f>+A39</f>
        <v>0</v>
      </c>
      <c r="D39" s="109" t="str">
        <f>IFERROR(VLOOKUP(H39,[1]SEMIELABORADOS!$A$2:$M$6000,6,0),"")</f>
        <v/>
      </c>
      <c r="E39" s="109" t="str">
        <f>IFERROR(VLOOKUP(H39,[1]SEMIELABORADOS!$A$2:$M$65536,10,0),"")</f>
        <v/>
      </c>
      <c r="F39" s="109" t="str">
        <f>IFERROR(E39*C39,"")</f>
        <v/>
      </c>
      <c r="G39" s="110" t="str">
        <f t="shared" si="9"/>
        <v/>
      </c>
      <c r="H39" s="113"/>
      <c r="I39" s="113"/>
      <c r="J39" s="112"/>
    </row>
    <row r="40" spans="1:13" ht="13.5" hidden="1" x14ac:dyDescent="0.25">
      <c r="A40" s="107">
        <f t="shared" si="10"/>
        <v>0</v>
      </c>
      <c r="B40" s="28" t="str">
        <f>IFERROR(VLOOKUP(H40,[1]SEMIELABORADOS!$A$2:$M$6000,2,0),"")</f>
        <v/>
      </c>
      <c r="C40" s="108">
        <f t="shared" si="11"/>
        <v>0</v>
      </c>
      <c r="D40" s="109" t="str">
        <f>IFERROR(VLOOKUP(H40,[1]SEMIELABORADOS!$A$2:$M$6000,6,0),"")</f>
        <v/>
      </c>
      <c r="E40" s="109" t="str">
        <f>IFERROR(VLOOKUP(H40,[1]SEMIELABORADOS!$A$2:$M$65536,10,0),"")</f>
        <v/>
      </c>
      <c r="F40" s="109" t="str">
        <f t="shared" si="12"/>
        <v/>
      </c>
      <c r="G40" s="110" t="str">
        <f t="shared" si="9"/>
        <v/>
      </c>
      <c r="H40" s="113"/>
      <c r="I40" s="113"/>
      <c r="J40" s="112"/>
    </row>
    <row r="41" spans="1:13" ht="13.5" hidden="1" x14ac:dyDescent="0.25">
      <c r="A41" s="107">
        <f t="shared" si="10"/>
        <v>0</v>
      </c>
      <c r="B41" s="28" t="str">
        <f>IFERROR(VLOOKUP(H41,[1]SEMIELABORADOS!$A$2:$M$6000,2,0),"")</f>
        <v/>
      </c>
      <c r="C41" s="108">
        <f t="shared" si="11"/>
        <v>0</v>
      </c>
      <c r="D41" s="109" t="str">
        <f>IFERROR(VLOOKUP(H41,[1]SEMIELABORADOS!$A$2:$M$6000,6,0),"")</f>
        <v/>
      </c>
      <c r="E41" s="109" t="str">
        <f>IFERROR(VLOOKUP(H41,[1]SEMIELABORADOS!$A$2:$M$65536,10,0),"")</f>
        <v/>
      </c>
      <c r="F41" s="109" t="str">
        <f t="shared" si="12"/>
        <v/>
      </c>
      <c r="G41" s="110" t="str">
        <f t="shared" si="9"/>
        <v/>
      </c>
      <c r="H41" s="113"/>
      <c r="I41" s="113"/>
      <c r="J41" s="112"/>
    </row>
    <row r="42" spans="1:13" ht="14.25" thickBot="1" x14ac:dyDescent="0.3">
      <c r="A42" s="107"/>
      <c r="B42" s="28"/>
      <c r="C42" s="108"/>
      <c r="D42" s="109"/>
      <c r="E42" s="109"/>
      <c r="F42" s="109"/>
      <c r="G42" s="110"/>
      <c r="H42" s="113"/>
      <c r="I42" s="113"/>
      <c r="J42" s="112"/>
    </row>
    <row r="43" spans="1:13" ht="26.25" thickBot="1" x14ac:dyDescent="0.25">
      <c r="A43" s="102" t="s">
        <v>119</v>
      </c>
      <c r="B43" s="103" t="s">
        <v>129</v>
      </c>
      <c r="C43" s="103" t="s">
        <v>119</v>
      </c>
      <c r="D43" s="104" t="s">
        <v>121</v>
      </c>
      <c r="E43" s="104" t="s">
        <v>122</v>
      </c>
      <c r="F43" s="104" t="s">
        <v>123</v>
      </c>
      <c r="G43" s="104" t="s">
        <v>124</v>
      </c>
      <c r="H43" s="105" t="s">
        <v>125</v>
      </c>
      <c r="I43" s="106"/>
      <c r="J43" s="112"/>
    </row>
    <row r="44" spans="1:13" ht="13.5" x14ac:dyDescent="0.25">
      <c r="A44" s="107">
        <f>+A35</f>
        <v>200</v>
      </c>
      <c r="B44" s="28" t="s">
        <v>107</v>
      </c>
      <c r="C44" s="108">
        <f>+A44</f>
        <v>200</v>
      </c>
      <c r="D44" s="109" t="s">
        <v>18</v>
      </c>
      <c r="E44" s="109">
        <f>+'Costo coccion'!E74</f>
        <v>0.40526315789473683</v>
      </c>
      <c r="F44" s="109">
        <f>IFERROR(E44*C44,"")</f>
        <v>81.05263157894737</v>
      </c>
      <c r="G44" s="110">
        <f>IFERROR(F44/$F$66,"")</f>
        <v>0.24842102093511695</v>
      </c>
      <c r="H44" s="113"/>
      <c r="I44" s="106"/>
      <c r="J44" s="112"/>
    </row>
    <row r="45" spans="1:13" ht="13.5" hidden="1" x14ac:dyDescent="0.25">
      <c r="A45" s="107">
        <f t="shared" ref="A45:A50" si="13">+A36</f>
        <v>0</v>
      </c>
      <c r="B45" s="28" t="str">
        <f>IFERROR(VLOOKUP(H45,[1]SEMIELABORADOS!$A$2:$M$6000,2,0),"")</f>
        <v/>
      </c>
      <c r="C45" s="108">
        <f t="shared" ref="C45:C50" si="14">+A45</f>
        <v>0</v>
      </c>
      <c r="D45" s="109" t="str">
        <f>IFERROR(VLOOKUP(H45,[1]SEMIELABORADOS!$A$2:$M$6000,6,0),"")</f>
        <v/>
      </c>
      <c r="E45" s="109" t="str">
        <f>IFERROR(VLOOKUP(H45,[1]SEMIELABORADOS!$A$2:$M$65536,12,0),"")</f>
        <v/>
      </c>
      <c r="F45" s="109" t="str">
        <f t="shared" ref="F45:F50" si="15">IFERROR(E45*C45,"")</f>
        <v/>
      </c>
      <c r="G45" s="110" t="str">
        <f t="shared" ref="G45:G50" si="16">IFERROR(F45/$F$66,"")</f>
        <v/>
      </c>
      <c r="H45" s="113"/>
      <c r="I45" s="106"/>
      <c r="J45" s="112"/>
      <c r="M45" s="116"/>
    </row>
    <row r="46" spans="1:13" ht="13.5" hidden="1" x14ac:dyDescent="0.25">
      <c r="A46" s="107">
        <f t="shared" si="13"/>
        <v>0</v>
      </c>
      <c r="B46" s="28" t="str">
        <f>IFERROR(VLOOKUP(H46,[1]SEMIELABORADOS!$A$2:$M$6000,2,0),"")</f>
        <v/>
      </c>
      <c r="C46" s="108">
        <f t="shared" si="14"/>
        <v>0</v>
      </c>
      <c r="D46" s="109" t="str">
        <f>IFERROR(VLOOKUP(H46,[1]SEMIELABORADOS!$A$2:$M$6000,6,0),"")</f>
        <v/>
      </c>
      <c r="E46" s="109" t="str">
        <f>IFERROR(VLOOKUP(H46,[1]SEMIELABORADOS!$A$2:$M$65536,12,0),"")</f>
        <v/>
      </c>
      <c r="F46" s="109" t="str">
        <f t="shared" si="15"/>
        <v/>
      </c>
      <c r="G46" s="110" t="str">
        <f t="shared" si="16"/>
        <v/>
      </c>
      <c r="H46" s="113"/>
      <c r="I46" s="106"/>
      <c r="J46" s="112"/>
    </row>
    <row r="47" spans="1:13" ht="13.5" hidden="1" x14ac:dyDescent="0.25">
      <c r="A47" s="107">
        <f t="shared" si="13"/>
        <v>0</v>
      </c>
      <c r="B47" s="28" t="str">
        <f>IFERROR(VLOOKUP(H47,[1]SEMIELABORADOS!$A$2:$M$6000,2,0),"")</f>
        <v/>
      </c>
      <c r="C47" s="108">
        <f t="shared" si="14"/>
        <v>0</v>
      </c>
      <c r="D47" s="109" t="str">
        <f>IFERROR(VLOOKUP(H47,[1]SEMIELABORADOS!$A$2:$M$6000,6,0),"")</f>
        <v/>
      </c>
      <c r="E47" s="109" t="str">
        <f>IFERROR(VLOOKUP(H47,[1]SEMIELABORADOS!$A$2:$M$65536,12,0),"")</f>
        <v/>
      </c>
      <c r="F47" s="109" t="str">
        <f t="shared" si="15"/>
        <v/>
      </c>
      <c r="G47" s="110" t="str">
        <f t="shared" si="16"/>
        <v/>
      </c>
      <c r="H47" s="113"/>
      <c r="I47" s="106"/>
      <c r="J47" s="112"/>
    </row>
    <row r="48" spans="1:13" ht="13.5" hidden="1" x14ac:dyDescent="0.25">
      <c r="A48" s="107">
        <f t="shared" si="13"/>
        <v>0</v>
      </c>
      <c r="B48" s="28" t="str">
        <f>IFERROR(VLOOKUP(H48,[1]SEMIELABORADOS!$A$2:$M$6000,2,0),"")</f>
        <v/>
      </c>
      <c r="C48" s="108">
        <f t="shared" si="14"/>
        <v>0</v>
      </c>
      <c r="D48" s="109" t="str">
        <f>IFERROR(VLOOKUP(H48,[1]SEMIELABORADOS!$A$2:$M$6000,6,0),"")</f>
        <v/>
      </c>
      <c r="E48" s="109" t="str">
        <f>IFERROR(VLOOKUP(H48,[1]SEMIELABORADOS!$A$2:$M$65536,12,0),"")</f>
        <v/>
      </c>
      <c r="F48" s="109" t="str">
        <f t="shared" si="15"/>
        <v/>
      </c>
      <c r="G48" s="110" t="str">
        <f t="shared" si="16"/>
        <v/>
      </c>
      <c r="H48" s="113"/>
      <c r="I48" s="106"/>
      <c r="J48" s="112"/>
    </row>
    <row r="49" spans="1:17" ht="13.5" hidden="1" x14ac:dyDescent="0.25">
      <c r="A49" s="107">
        <f t="shared" si="13"/>
        <v>0</v>
      </c>
      <c r="B49" s="28" t="str">
        <f>IFERROR(VLOOKUP(H49,[1]SEMIELABORADOS!$A$2:$M$6000,2,0),"")</f>
        <v/>
      </c>
      <c r="C49" s="108">
        <f t="shared" si="14"/>
        <v>0</v>
      </c>
      <c r="D49" s="109" t="str">
        <f>IFERROR(VLOOKUP(H49,[1]SEMIELABORADOS!$A$2:$M$6000,6,0),"")</f>
        <v/>
      </c>
      <c r="E49" s="109" t="str">
        <f>IFERROR(VLOOKUP(H49,[1]SEMIELABORADOS!$A$2:$M$65536,12,0),"")</f>
        <v/>
      </c>
      <c r="F49" s="109" t="str">
        <f t="shared" si="15"/>
        <v/>
      </c>
      <c r="G49" s="110" t="str">
        <f t="shared" si="16"/>
        <v/>
      </c>
      <c r="H49" s="113"/>
      <c r="I49" s="106"/>
      <c r="J49" s="112"/>
    </row>
    <row r="50" spans="1:17" ht="13.5" hidden="1" x14ac:dyDescent="0.25">
      <c r="A50" s="107">
        <f t="shared" si="13"/>
        <v>0</v>
      </c>
      <c r="B50" s="28" t="str">
        <f>IFERROR(VLOOKUP(H50,[1]SEMIELABORADOS!$A$2:$M$6000,2,0),"")</f>
        <v/>
      </c>
      <c r="C50" s="108">
        <f t="shared" si="14"/>
        <v>0</v>
      </c>
      <c r="D50" s="109" t="str">
        <f>IFERROR(VLOOKUP(H50,[1]SEMIELABORADOS!$A$2:$M$6000,6,0),"")</f>
        <v/>
      </c>
      <c r="E50" s="109" t="str">
        <f>IFERROR(VLOOKUP(H50,[1]SEMIELABORADOS!$A$2:$M$65536,12,0),"")</f>
        <v/>
      </c>
      <c r="F50" s="109" t="str">
        <f t="shared" si="15"/>
        <v/>
      </c>
      <c r="G50" s="110" t="str">
        <f t="shared" si="16"/>
        <v/>
      </c>
      <c r="H50" s="28"/>
      <c r="I50" s="106"/>
      <c r="J50" s="112"/>
    </row>
    <row r="51" spans="1:17" ht="13.5" x14ac:dyDescent="0.25">
      <c r="A51" s="107">
        <v>1</v>
      </c>
      <c r="B51" s="28" t="s">
        <v>130</v>
      </c>
      <c r="C51" s="108">
        <f>+A51</f>
        <v>1</v>
      </c>
      <c r="D51" s="108" t="s">
        <v>131</v>
      </c>
      <c r="E51" s="109">
        <f>+F65</f>
        <v>77</v>
      </c>
      <c r="F51" s="109">
        <f>IFERROR(C51*E51,"")</f>
        <v>77</v>
      </c>
      <c r="G51" s="110">
        <f>IFERROR(F51/$F$66,"")</f>
        <v>0.23599996988836111</v>
      </c>
      <c r="H51" s="117"/>
      <c r="I51" s="117"/>
      <c r="J51" s="112"/>
    </row>
    <row r="52" spans="1:17" ht="14.25" thickBot="1" x14ac:dyDescent="0.3">
      <c r="A52" s="107"/>
      <c r="B52" s="28"/>
      <c r="C52" s="108"/>
      <c r="D52" s="108"/>
      <c r="E52" s="109"/>
      <c r="F52" s="109"/>
      <c r="G52" s="110"/>
      <c r="H52" s="117"/>
      <c r="I52" s="117"/>
      <c r="J52" s="112"/>
    </row>
    <row r="53" spans="1:17" ht="13.5" thickBot="1" x14ac:dyDescent="0.25">
      <c r="A53" s="118"/>
      <c r="B53" s="331" t="s">
        <v>132</v>
      </c>
      <c r="C53" s="331"/>
      <c r="D53" s="331"/>
      <c r="E53" s="331"/>
      <c r="F53" s="120">
        <f>SUM(F8:F14,F17:F24)</f>
        <v>233.68421052631581</v>
      </c>
      <c r="G53" s="110">
        <f>+F53/$F$66</f>
        <v>0.71622683957916844</v>
      </c>
      <c r="H53" s="121">
        <f>+F53/$D$60</f>
        <v>233.68421052631581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31" t="s">
        <v>133</v>
      </c>
      <c r="C54" s="331"/>
      <c r="D54" s="331"/>
      <c r="E54" s="331"/>
      <c r="F54" s="120">
        <f>SUM(F27:F32,F35:F41)</f>
        <v>10.913333333333334</v>
      </c>
      <c r="G54" s="110">
        <f>+F54/$F$66</f>
        <v>3.3448653740887201E-2</v>
      </c>
      <c r="H54" s="121">
        <f>+F54/$D$60</f>
        <v>10.913333333333334</v>
      </c>
      <c r="I54" s="121"/>
      <c r="J54" s="125"/>
      <c r="K54" s="332" t="s">
        <v>134</v>
      </c>
      <c r="L54" s="333"/>
      <c r="M54" s="333"/>
      <c r="N54" s="333"/>
      <c r="O54" s="126">
        <f>+F55</f>
        <v>244.59754385964914</v>
      </c>
      <c r="P54" s="126"/>
      <c r="Q54" s="127"/>
    </row>
    <row r="55" spans="1:17" x14ac:dyDescent="0.2">
      <c r="A55" s="118"/>
      <c r="B55" s="331" t="s">
        <v>135</v>
      </c>
      <c r="C55" s="331"/>
      <c r="D55" s="331"/>
      <c r="E55" s="331"/>
      <c r="F55" s="120">
        <f>+F53+F54</f>
        <v>244.59754385964914</v>
      </c>
      <c r="G55" s="110">
        <f>+F55/$F$66</f>
        <v>0.74967549332005556</v>
      </c>
      <c r="H55" s="121">
        <f>+F55/$D$60</f>
        <v>244.59754385964914</v>
      </c>
      <c r="I55" s="121"/>
      <c r="J55" s="128"/>
      <c r="K55" s="129"/>
      <c r="M55" s="130" t="s">
        <v>136</v>
      </c>
      <c r="N55" s="131"/>
      <c r="O55" s="126">
        <f>+H56</f>
        <v>158.05263157894737</v>
      </c>
      <c r="P55" s="126"/>
      <c r="Q55" s="127"/>
    </row>
    <row r="56" spans="1:17" ht="13.5" thickBot="1" x14ac:dyDescent="0.25">
      <c r="A56" s="118"/>
      <c r="B56" s="119"/>
      <c r="C56" s="331" t="s">
        <v>137</v>
      </c>
      <c r="D56" s="331"/>
      <c r="E56" s="331"/>
      <c r="F56" s="120">
        <f>SUM(F44:F51)</f>
        <v>158.05263157894737</v>
      </c>
      <c r="G56" s="110">
        <f>+F56/$F$66</f>
        <v>0.48442099082347806</v>
      </c>
      <c r="H56" s="121">
        <f>+F56/$D$60</f>
        <v>158.05263157894737</v>
      </c>
      <c r="I56" s="121"/>
      <c r="J56" s="128"/>
      <c r="K56" s="129"/>
      <c r="L56" s="129"/>
      <c r="M56" s="129" t="s">
        <v>138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10"/>
      <c r="H57" s="135"/>
      <c r="I57" s="121"/>
      <c r="J57" s="128"/>
      <c r="K57" s="136"/>
      <c r="M57" s="137" t="s">
        <v>139</v>
      </c>
      <c r="N57" s="138"/>
      <c r="O57" s="139">
        <f>SUM(O54:O56)</f>
        <v>402.65017543859653</v>
      </c>
      <c r="P57" s="140"/>
      <c r="Q57" s="127"/>
    </row>
    <row r="58" spans="1:17" x14ac:dyDescent="0.2">
      <c r="B58" s="334" t="s">
        <v>140</v>
      </c>
      <c r="C58" s="334"/>
      <c r="D58" s="141">
        <v>200</v>
      </c>
      <c r="E58" s="142"/>
      <c r="G58" s="110"/>
      <c r="H58" s="135">
        <f>+H56/77</f>
        <v>2.0526315789473686</v>
      </c>
      <c r="I58" s="143"/>
      <c r="J58" s="128"/>
      <c r="K58" s="136"/>
      <c r="L58" s="129"/>
      <c r="M58" s="129" t="s">
        <v>141</v>
      </c>
      <c r="N58" s="144"/>
      <c r="O58" s="126">
        <f>+H59</f>
        <v>170.36842105263159</v>
      </c>
      <c r="P58" s="126"/>
      <c r="Q58" s="127"/>
    </row>
    <row r="59" spans="1:17" x14ac:dyDescent="0.2">
      <c r="B59" s="334" t="s">
        <v>142</v>
      </c>
      <c r="C59" s="334"/>
      <c r="D59" s="145">
        <v>200</v>
      </c>
      <c r="E59" s="142"/>
      <c r="G59" s="110"/>
      <c r="H59" s="135">
        <f>+H58*83</f>
        <v>170.36842105263159</v>
      </c>
      <c r="I59" s="143"/>
      <c r="J59" s="128"/>
      <c r="K59" s="136"/>
      <c r="L59" s="129"/>
      <c r="M59" s="335" t="s">
        <v>139</v>
      </c>
      <c r="N59" s="335"/>
      <c r="O59" s="126">
        <f>SUM(O57:O58)</f>
        <v>573.0185964912281</v>
      </c>
      <c r="P59" s="126"/>
      <c r="Q59" s="127"/>
    </row>
    <row r="60" spans="1:17" ht="13.5" thickBot="1" x14ac:dyDescent="0.25">
      <c r="B60" s="327" t="s">
        <v>143</v>
      </c>
      <c r="C60" s="327"/>
      <c r="D60" s="141">
        <f>+D58/D59</f>
        <v>1</v>
      </c>
      <c r="E60" s="142"/>
      <c r="F60" s="146"/>
      <c r="G60" s="110"/>
      <c r="H60" s="135"/>
      <c r="I60" s="143"/>
      <c r="J60" s="128"/>
      <c r="K60" s="136"/>
      <c r="L60" s="335"/>
      <c r="M60" s="335"/>
      <c r="N60" s="144"/>
      <c r="O60" s="126">
        <f>+O59*N60</f>
        <v>0</v>
      </c>
      <c r="P60" s="126"/>
      <c r="Q60" s="127"/>
    </row>
    <row r="61" spans="1:17" ht="13.5" thickBot="1" x14ac:dyDescent="0.25">
      <c r="B61" s="327" t="s">
        <v>144</v>
      </c>
      <c r="C61" s="327"/>
      <c r="D61" s="147"/>
      <c r="E61" s="142"/>
      <c r="F61" s="146"/>
      <c r="G61" s="110"/>
      <c r="H61" s="135"/>
      <c r="I61" s="143"/>
      <c r="J61" s="128"/>
      <c r="K61" s="328" t="s">
        <v>145</v>
      </c>
      <c r="L61" s="329"/>
      <c r="M61" s="329"/>
      <c r="N61" s="330"/>
      <c r="O61" s="139">
        <f>SUM(O59:O60)</f>
        <v>573.0185964912281</v>
      </c>
      <c r="P61" s="148" t="s">
        <v>146</v>
      </c>
      <c r="Q61" s="127"/>
    </row>
    <row r="62" spans="1:17" ht="13.5" thickBot="1" x14ac:dyDescent="0.25">
      <c r="C62" s="118" t="s">
        <v>147</v>
      </c>
      <c r="D62" s="149"/>
      <c r="E62" s="93" t="s">
        <v>148</v>
      </c>
      <c r="F62" s="150" t="s">
        <v>149</v>
      </c>
      <c r="G62" s="110"/>
      <c r="H62" s="135"/>
      <c r="I62" s="143"/>
      <c r="J62" s="151"/>
      <c r="K62" s="152"/>
      <c r="L62" s="341" t="s">
        <v>150</v>
      </c>
      <c r="M62" s="341"/>
      <c r="N62" s="341"/>
      <c r="O62" s="153">
        <f>+O61/D60</f>
        <v>573.0185964912281</v>
      </c>
      <c r="P62" s="154">
        <f>+O62/D59</f>
        <v>2.8650929824561406</v>
      </c>
      <c r="Q62" s="155"/>
    </row>
    <row r="63" spans="1:17" ht="13.5" thickBot="1" x14ac:dyDescent="0.25">
      <c r="B63" s="342" t="s">
        <v>135</v>
      </c>
      <c r="C63" s="342"/>
      <c r="D63" s="342"/>
      <c r="E63" s="156">
        <f>+F63/F63</f>
        <v>1</v>
      </c>
      <c r="F63" s="157">
        <f>SUM(F55)</f>
        <v>244.59754385964914</v>
      </c>
      <c r="G63" s="110">
        <f>+F63/$F$66</f>
        <v>0.74967549332005556</v>
      </c>
      <c r="H63" s="135"/>
      <c r="I63" s="143"/>
      <c r="K63" s="343"/>
      <c r="L63" s="344"/>
      <c r="M63" s="344"/>
      <c r="N63" s="344"/>
      <c r="O63" s="158"/>
      <c r="P63" s="159"/>
    </row>
    <row r="64" spans="1:17" ht="13.5" thickBot="1" x14ac:dyDescent="0.25">
      <c r="B64" s="345" t="s">
        <v>151</v>
      </c>
      <c r="C64" s="345"/>
      <c r="D64" s="345"/>
      <c r="E64" s="160">
        <v>0.02</v>
      </c>
      <c r="F64" s="157">
        <f>+F53*E64</f>
        <v>4.6736842105263161</v>
      </c>
      <c r="G64" s="110">
        <f>+F64/$F$66</f>
        <v>1.4324536791583369E-2</v>
      </c>
      <c r="H64" s="121"/>
      <c r="I64" s="143"/>
      <c r="J64" s="161"/>
      <c r="O64" s="162"/>
      <c r="P64" s="119"/>
    </row>
    <row r="65" spans="2:13" ht="13.5" thickBot="1" x14ac:dyDescent="0.25">
      <c r="B65" s="346" t="s">
        <v>152</v>
      </c>
      <c r="C65" s="347"/>
      <c r="D65" s="163">
        <v>1</v>
      </c>
      <c r="E65" s="164">
        <v>77</v>
      </c>
      <c r="F65" s="157">
        <f>+E65*D65</f>
        <v>77</v>
      </c>
      <c r="G65" s="110">
        <f>+F65/$F$66</f>
        <v>0.23599996988836111</v>
      </c>
      <c r="H65" s="121"/>
      <c r="I65" s="121"/>
      <c r="J65" s="112"/>
    </row>
    <row r="66" spans="2:13" ht="13.5" thickBot="1" x14ac:dyDescent="0.25">
      <c r="B66" s="348" t="s">
        <v>153</v>
      </c>
      <c r="C66" s="349"/>
      <c r="D66" s="349"/>
      <c r="E66" s="350"/>
      <c r="F66" s="134">
        <f>SUM(F63:F65)</f>
        <v>326.27122807017543</v>
      </c>
      <c r="G66" s="110">
        <f>+F66/$F$66</f>
        <v>1</v>
      </c>
      <c r="H66" s="351"/>
      <c r="I66" s="121"/>
      <c r="J66" s="112"/>
      <c r="M66" s="95" t="s">
        <v>154</v>
      </c>
    </row>
    <row r="67" spans="2:13" x14ac:dyDescent="0.2">
      <c r="C67" s="116"/>
      <c r="D67" s="116"/>
      <c r="E67" s="166"/>
      <c r="F67" s="157"/>
      <c r="G67" s="110"/>
      <c r="H67" s="351"/>
      <c r="I67" s="165"/>
      <c r="J67" s="95"/>
      <c r="M67" s="95" t="s">
        <v>155</v>
      </c>
    </row>
    <row r="68" spans="2:13" ht="13.5" thickBot="1" x14ac:dyDescent="0.25">
      <c r="B68" s="336" t="s">
        <v>156</v>
      </c>
      <c r="C68" s="336"/>
      <c r="D68" s="336"/>
      <c r="E68" s="336"/>
      <c r="F68" s="336"/>
      <c r="G68" s="110"/>
      <c r="H68" s="168"/>
      <c r="I68" s="165"/>
      <c r="J68" s="95"/>
      <c r="M68" s="95" t="s">
        <v>157</v>
      </c>
    </row>
    <row r="69" spans="2:13" ht="13.5" thickBot="1" x14ac:dyDescent="0.25">
      <c r="B69" s="169" t="s">
        <v>158</v>
      </c>
      <c r="C69" s="170">
        <f>+F53</f>
        <v>233.68421052631581</v>
      </c>
      <c r="D69" s="170">
        <f>+D58</f>
        <v>200</v>
      </c>
      <c r="E69" s="171">
        <f>+C69/D69</f>
        <v>1.168421052631579</v>
      </c>
      <c r="F69" s="110"/>
      <c r="G69" s="168"/>
      <c r="H69" s="112"/>
      <c r="I69" s="168"/>
      <c r="J69" s="95"/>
    </row>
    <row r="70" spans="2:13" x14ac:dyDescent="0.2">
      <c r="B70" s="172"/>
      <c r="C70" s="173"/>
      <c r="D70" s="174"/>
      <c r="E70" s="157"/>
      <c r="F70" s="110"/>
      <c r="G70" s="168"/>
      <c r="H70" s="112"/>
      <c r="I70" s="112"/>
      <c r="J70" s="95"/>
    </row>
    <row r="71" spans="2:13" x14ac:dyDescent="0.2">
      <c r="B71" s="169" t="s">
        <v>159</v>
      </c>
      <c r="C71" s="170">
        <f>SUM(F63:F64)</f>
        <v>249.27122807017545</v>
      </c>
      <c r="D71" s="170">
        <f>+D58</f>
        <v>200</v>
      </c>
      <c r="E71" s="175">
        <f>+C71/D71</f>
        <v>1.2463561403508772</v>
      </c>
      <c r="F71" s="110"/>
      <c r="G71" s="168"/>
      <c r="H71" s="112"/>
      <c r="I71" s="112"/>
      <c r="J71" s="95"/>
    </row>
    <row r="72" spans="2:13" x14ac:dyDescent="0.2">
      <c r="B72" s="169"/>
      <c r="C72" s="170"/>
      <c r="D72" s="170"/>
      <c r="E72" s="175"/>
      <c r="F72" s="110"/>
      <c r="G72" s="168"/>
      <c r="H72" s="112"/>
      <c r="I72" s="112"/>
      <c r="J72" s="95"/>
    </row>
    <row r="73" spans="2:13" ht="13.5" thickBot="1" x14ac:dyDescent="0.25">
      <c r="B73" s="169" t="s">
        <v>160</v>
      </c>
      <c r="C73" s="170">
        <f>+F65</f>
        <v>77</v>
      </c>
      <c r="D73" s="170">
        <f>+D58</f>
        <v>200</v>
      </c>
      <c r="E73" s="175">
        <f>+C73/D73</f>
        <v>0.38500000000000001</v>
      </c>
      <c r="F73" s="110"/>
      <c r="G73" s="168"/>
      <c r="H73" s="112"/>
      <c r="I73" s="112"/>
      <c r="J73" s="95"/>
    </row>
    <row r="74" spans="2:13" ht="13.5" thickBot="1" x14ac:dyDescent="0.25">
      <c r="B74" s="169" t="s">
        <v>161</v>
      </c>
      <c r="C74" s="170">
        <f>+F56</f>
        <v>158.05263157894737</v>
      </c>
      <c r="D74" s="170">
        <f>+D73</f>
        <v>200</v>
      </c>
      <c r="E74" s="171">
        <f>+C74/D74</f>
        <v>0.79026315789473689</v>
      </c>
      <c r="F74" s="110"/>
      <c r="G74" s="168"/>
      <c r="H74" s="112"/>
      <c r="I74" s="112"/>
      <c r="J74" s="95"/>
    </row>
    <row r="75" spans="2:13" ht="13.5" thickBot="1" x14ac:dyDescent="0.25">
      <c r="B75" s="133"/>
      <c r="C75" s="134"/>
      <c r="D75" s="134"/>
      <c r="E75" s="175"/>
      <c r="F75" s="110"/>
      <c r="G75" s="168"/>
      <c r="H75" s="112"/>
      <c r="I75" s="112"/>
      <c r="J75" s="95"/>
    </row>
    <row r="76" spans="2:13" ht="13.5" thickBot="1" x14ac:dyDescent="0.25">
      <c r="B76" s="169" t="s">
        <v>162</v>
      </c>
      <c r="C76" s="170">
        <f>+F54</f>
        <v>10.913333333333334</v>
      </c>
      <c r="D76" s="170">
        <f>+D74</f>
        <v>200</v>
      </c>
      <c r="E76" s="171">
        <f>+C76/D76</f>
        <v>5.4566666666666673E-2</v>
      </c>
      <c r="F76" s="110"/>
      <c r="G76" s="168"/>
      <c r="H76" s="112"/>
      <c r="I76" s="112"/>
      <c r="J76" s="112"/>
    </row>
    <row r="77" spans="2:13" ht="13.5" thickBot="1" x14ac:dyDescent="0.25">
      <c r="B77" s="133"/>
      <c r="C77" s="134"/>
      <c r="D77" s="134"/>
      <c r="E77" s="175"/>
      <c r="F77" s="110"/>
      <c r="G77" s="168"/>
      <c r="H77" s="112"/>
      <c r="I77" s="112"/>
    </row>
    <row r="78" spans="2:13" ht="13.5" thickBot="1" x14ac:dyDescent="0.25">
      <c r="B78" s="337" t="s">
        <v>163</v>
      </c>
      <c r="C78" s="338"/>
      <c r="D78" s="339"/>
      <c r="E78" s="171">
        <f>+E69+E74</f>
        <v>1.9586842105263158</v>
      </c>
      <c r="G78" s="110"/>
      <c r="H78" s="168"/>
      <c r="I78" s="112"/>
      <c r="J78" s="175"/>
    </row>
    <row r="79" spans="2:13" x14ac:dyDescent="0.2">
      <c r="I79" s="168"/>
      <c r="J79" s="95"/>
    </row>
    <row r="80" spans="2:13" ht="13.5" thickBot="1" x14ac:dyDescent="0.25">
      <c r="B80" s="336" t="s">
        <v>164</v>
      </c>
      <c r="C80" s="336"/>
      <c r="D80" s="336"/>
      <c r="E80" s="336"/>
      <c r="F80" s="336"/>
      <c r="G80" s="110"/>
      <c r="H80" s="168"/>
      <c r="J80" s="95"/>
    </row>
    <row r="81" spans="1:10" ht="13.5" thickBot="1" x14ac:dyDescent="0.25">
      <c r="B81" s="169" t="s">
        <v>158</v>
      </c>
      <c r="C81" s="170">
        <f>+C69</f>
        <v>233.68421052631581</v>
      </c>
      <c r="D81" s="170">
        <f>+D60</f>
        <v>1</v>
      </c>
      <c r="E81" s="171">
        <f>+C81/D81</f>
        <v>233.68421052631581</v>
      </c>
      <c r="F81" s="110"/>
      <c r="G81" s="168"/>
      <c r="H81" s="112"/>
      <c r="I81" s="168"/>
      <c r="J81" s="95"/>
    </row>
    <row r="82" spans="1:10" x14ac:dyDescent="0.2">
      <c r="B82" s="172"/>
      <c r="C82" s="173"/>
      <c r="D82" s="174"/>
      <c r="E82" s="157"/>
      <c r="F82" s="110"/>
      <c r="G82" s="168"/>
      <c r="H82" s="112"/>
      <c r="I82" s="112"/>
      <c r="J82" s="95"/>
    </row>
    <row r="83" spans="1:10" x14ac:dyDescent="0.2">
      <c r="B83" s="169" t="s">
        <v>159</v>
      </c>
      <c r="C83" s="170">
        <f>+C71</f>
        <v>249.27122807017545</v>
      </c>
      <c r="D83" s="170">
        <f>+D60</f>
        <v>1</v>
      </c>
      <c r="E83" s="175">
        <f>+C83/D83</f>
        <v>249.27122807017545</v>
      </c>
      <c r="F83" s="110"/>
      <c r="G83" s="168"/>
      <c r="H83" s="112"/>
      <c r="I83" s="112"/>
      <c r="J83" s="95"/>
    </row>
    <row r="84" spans="1:10" x14ac:dyDescent="0.2">
      <c r="B84" s="169"/>
      <c r="C84" s="170"/>
      <c r="D84" s="170"/>
      <c r="E84" s="175"/>
      <c r="F84" s="110"/>
      <c r="G84" s="168"/>
      <c r="H84" s="112"/>
      <c r="I84" s="112"/>
      <c r="J84" s="95"/>
    </row>
    <row r="85" spans="1:10" ht="13.5" thickBot="1" x14ac:dyDescent="0.25">
      <c r="B85" s="169" t="s">
        <v>161</v>
      </c>
      <c r="C85" s="170">
        <f>+C73</f>
        <v>77</v>
      </c>
      <c r="D85" s="170">
        <f>+D60</f>
        <v>1</v>
      </c>
      <c r="E85" s="175">
        <f>+C85/D85</f>
        <v>77</v>
      </c>
      <c r="F85" s="177"/>
      <c r="G85" s="167"/>
      <c r="H85" s="94"/>
      <c r="I85" s="112"/>
    </row>
    <row r="86" spans="1:10" ht="13.5" thickBot="1" x14ac:dyDescent="0.25">
      <c r="B86" s="169" t="s">
        <v>161</v>
      </c>
      <c r="C86" s="170">
        <f>+C74</f>
        <v>158.05263157894737</v>
      </c>
      <c r="D86" s="170">
        <f>+D85</f>
        <v>1</v>
      </c>
      <c r="E86" s="171">
        <f>+C86/D86</f>
        <v>158.05263157894737</v>
      </c>
      <c r="F86" s="176"/>
      <c r="G86" s="167"/>
      <c r="H86" s="94"/>
      <c r="I86" s="94"/>
    </row>
    <row r="87" spans="1:10" x14ac:dyDescent="0.2">
      <c r="I87" s="94"/>
    </row>
    <row r="88" spans="1:10" x14ac:dyDescent="0.2">
      <c r="A88" s="340"/>
      <c r="B88" s="340"/>
      <c r="C88" s="178"/>
      <c r="D88" s="178"/>
      <c r="E88" s="179"/>
      <c r="G88" s="180"/>
    </row>
    <row r="89" spans="1:10" x14ac:dyDescent="0.2">
      <c r="A89" s="28"/>
      <c r="B89" s="181"/>
      <c r="C89" s="182"/>
      <c r="D89" s="182"/>
      <c r="E89" s="183"/>
      <c r="G89" s="180"/>
    </row>
    <row r="90" spans="1:10" x14ac:dyDescent="0.2">
      <c r="A90" s="28"/>
      <c r="B90" s="181"/>
      <c r="C90" s="184"/>
      <c r="D90" s="184"/>
      <c r="E90" s="28"/>
      <c r="G90" s="180"/>
    </row>
    <row r="91" spans="1:10" x14ac:dyDescent="0.2">
      <c r="A91" s="28"/>
      <c r="B91" s="181"/>
      <c r="C91" s="185"/>
      <c r="D91" s="185"/>
      <c r="E91" s="28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80733-BDDB-4E56-9219-FFD62ABC6B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560980-A635-44D1-9DEB-B0DB1BB828E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DCFC64A-0E2D-4460-9F96-510F9DF8F611}">
  <ds:schemaRefs>
    <ds:schemaRef ds:uri="eae225b5-53a6-4b69-be5f-a92fedf9fd97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7b4e74ba-38a7-42d4-a9ca-1da0fc041db0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1F9BE1A-7580-40D6-BF22-1D20649F3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Hoja17</vt:lpstr>
      <vt:lpstr>Hoja7</vt:lpstr>
      <vt:lpstr>Costo coccion</vt:lpstr>
      <vt:lpstr>Empaque 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2025-06-27T18:58:33Z</cp:lastPrinted>
  <dcterms:created xsi:type="dcterms:W3CDTF">2009-02-04T17:12:36Z</dcterms:created>
  <dcterms:modified xsi:type="dcterms:W3CDTF">2026-03-18T15:32:34Z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r8>106000</vt:r8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
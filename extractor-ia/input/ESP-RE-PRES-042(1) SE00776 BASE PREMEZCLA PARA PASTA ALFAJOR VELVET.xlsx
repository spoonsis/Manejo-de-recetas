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12" documentId="8_{5B8DB96D-D9E7-4DCA-B6BA-D07E759ACB99}" xr6:coauthVersionLast="47" xr6:coauthVersionMax="47" xr10:uidLastSave="{5C274155-70CE-435B-9C23-6AB9F73EE6DD}"/>
  <bookViews>
    <workbookView xWindow="-120" yWindow="-120" windowWidth="20730" windowHeight="11040" tabRatio="791" firstSheet="3" activeTab="3" xr2:uid="{00000000-000D-0000-FFFF-FFFF00000000}"/>
  </bookViews>
  <sheets>
    <sheet name="Costo empaque " sheetId="12" state="hidden" r:id="rId1"/>
    <sheet name="Costo corte Mini chilena Velvet" sheetId="11" state="hidden" r:id="rId2"/>
    <sheet name="Costo Pasta alfajor Velvet" sheetId="10" state="hidden" r:id="rId3"/>
    <sheet name="Premezcla Velvet" sheetId="6" r:id="rId4"/>
    <sheet name="Costo Premezcla Velvet" sheetId="9" state="hidden" r:id="rId5"/>
  </sheets>
  <externalReferences>
    <externalReference r:id="rId6"/>
    <externalReference r:id="rId7"/>
  </externalReferences>
  <definedNames>
    <definedName name="_xlnm.Print_Area" localSheetId="3">'Premezcla Velvet'!$A$1:$I$39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2" l="1"/>
  <c r="B41" i="12"/>
  <c r="C41" i="12"/>
  <c r="D41" i="12"/>
  <c r="E41" i="12"/>
  <c r="F41" i="12" s="1"/>
  <c r="M20" i="11" l="1"/>
  <c r="D73" i="12"/>
  <c r="D74" i="12" s="1"/>
  <c r="D76" i="12" s="1"/>
  <c r="D71" i="12"/>
  <c r="D69" i="12"/>
  <c r="F65" i="12"/>
  <c r="E51" i="12" s="1"/>
  <c r="D60" i="12"/>
  <c r="D85" i="12" s="1"/>
  <c r="D86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A50" i="12"/>
  <c r="C50" i="12" s="1"/>
  <c r="E40" i="12"/>
  <c r="D40" i="12"/>
  <c r="B40" i="12"/>
  <c r="A40" i="12"/>
  <c r="C40" i="12" s="1"/>
  <c r="E39" i="12"/>
  <c r="D39" i="12"/>
  <c r="B39" i="12"/>
  <c r="A39" i="12"/>
  <c r="C39" i="12" s="1"/>
  <c r="E38" i="12"/>
  <c r="D38" i="12"/>
  <c r="B38" i="12"/>
  <c r="A38" i="12"/>
  <c r="C38" i="12" s="1"/>
  <c r="E37" i="12"/>
  <c r="D37" i="12"/>
  <c r="C37" i="12"/>
  <c r="B37" i="12"/>
  <c r="A37" i="12"/>
  <c r="A46" i="12" s="1"/>
  <c r="C46" i="12" s="1"/>
  <c r="E36" i="12"/>
  <c r="D36" i="12"/>
  <c r="B36" i="12"/>
  <c r="A36" i="12"/>
  <c r="A45" i="12" s="1"/>
  <c r="C45" i="12" s="1"/>
  <c r="A35" i="12"/>
  <c r="C35" i="12" s="1"/>
  <c r="E32" i="12"/>
  <c r="F32" i="12" s="1"/>
  <c r="D32" i="12"/>
  <c r="C32" i="12"/>
  <c r="B32" i="12"/>
  <c r="F31" i="12"/>
  <c r="D31" i="12"/>
  <c r="C31" i="12"/>
  <c r="B31" i="12"/>
  <c r="D30" i="12"/>
  <c r="C30" i="12"/>
  <c r="B30" i="12"/>
  <c r="D29" i="12"/>
  <c r="C29" i="12"/>
  <c r="B29" i="12"/>
  <c r="D28" i="12"/>
  <c r="C28" i="12"/>
  <c r="B28" i="12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E18" i="12"/>
  <c r="F18" i="12" s="1"/>
  <c r="D18" i="12"/>
  <c r="C18" i="12"/>
  <c r="B18" i="12"/>
  <c r="C17" i="12"/>
  <c r="B15" i="12"/>
  <c r="E14" i="12"/>
  <c r="F14" i="12" s="1"/>
  <c r="D14" i="12"/>
  <c r="C14" i="12"/>
  <c r="B14" i="12"/>
  <c r="E13" i="12"/>
  <c r="F13" i="12" s="1"/>
  <c r="D13" i="12"/>
  <c r="C13" i="12"/>
  <c r="B13" i="12"/>
  <c r="E12" i="12"/>
  <c r="F12" i="12" s="1"/>
  <c r="D12" i="12"/>
  <c r="C12" i="12"/>
  <c r="B12" i="12"/>
  <c r="E11" i="12"/>
  <c r="F11" i="12" s="1"/>
  <c r="D11" i="12"/>
  <c r="C11" i="12"/>
  <c r="B11" i="12"/>
  <c r="E10" i="12"/>
  <c r="F10" i="12" s="1"/>
  <c r="D10" i="12"/>
  <c r="C10" i="12"/>
  <c r="B10" i="12"/>
  <c r="E9" i="12"/>
  <c r="F9" i="12" s="1"/>
  <c r="D9" i="12"/>
  <c r="C9" i="12"/>
  <c r="B9" i="12"/>
  <c r="E8" i="12"/>
  <c r="F8" i="12" s="1"/>
  <c r="D8" i="12"/>
  <c r="C8" i="12"/>
  <c r="B8" i="12"/>
  <c r="H6" i="12"/>
  <c r="D73" i="11"/>
  <c r="D74" i="11" s="1"/>
  <c r="D76" i="11" s="1"/>
  <c r="D71" i="11"/>
  <c r="D69" i="11"/>
  <c r="F65" i="11"/>
  <c r="E51" i="11" s="1"/>
  <c r="D60" i="11"/>
  <c r="D85" i="11" s="1"/>
  <c r="D86" i="11" s="1"/>
  <c r="C51" i="11"/>
  <c r="F51" i="11" s="1"/>
  <c r="E50" i="11"/>
  <c r="F50" i="11" s="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1" i="11"/>
  <c r="F41" i="11" s="1"/>
  <c r="D41" i="11"/>
  <c r="C41" i="11"/>
  <c r="B41" i="11"/>
  <c r="A41" i="11"/>
  <c r="A50" i="11" s="1"/>
  <c r="C50" i="11" s="1"/>
  <c r="E40" i="11"/>
  <c r="D40" i="11"/>
  <c r="B40" i="11"/>
  <c r="A40" i="11"/>
  <c r="C40" i="11" s="1"/>
  <c r="E39" i="11"/>
  <c r="D39" i="11"/>
  <c r="B39" i="11"/>
  <c r="A39" i="11"/>
  <c r="C39" i="11" s="1"/>
  <c r="E38" i="11"/>
  <c r="D38" i="11"/>
  <c r="B38" i="11"/>
  <c r="A38" i="11"/>
  <c r="C38" i="11" s="1"/>
  <c r="E37" i="11"/>
  <c r="D37" i="11"/>
  <c r="B37" i="11"/>
  <c r="A37" i="11"/>
  <c r="C37" i="11" s="1"/>
  <c r="C36" i="11"/>
  <c r="A36" i="11"/>
  <c r="A45" i="11" s="1"/>
  <c r="C45" i="11" s="1"/>
  <c r="A35" i="11"/>
  <c r="A44" i="11" s="1"/>
  <c r="C44" i="11" s="1"/>
  <c r="E32" i="11"/>
  <c r="D32" i="11"/>
  <c r="C32" i="11"/>
  <c r="B32" i="11"/>
  <c r="E31" i="11"/>
  <c r="F31" i="11" s="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F27" i="11" s="1"/>
  <c r="D27" i="11"/>
  <c r="C27" i="11"/>
  <c r="B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C18" i="11"/>
  <c r="C17" i="11"/>
  <c r="B15" i="11"/>
  <c r="E14" i="11"/>
  <c r="F14" i="11" s="1"/>
  <c r="D14" i="11"/>
  <c r="C14" i="11"/>
  <c r="B14" i="11"/>
  <c r="E13" i="11"/>
  <c r="F13" i="11" s="1"/>
  <c r="D13" i="11"/>
  <c r="C13" i="11"/>
  <c r="B13" i="11"/>
  <c r="E12" i="11"/>
  <c r="F12" i="11" s="1"/>
  <c r="D12" i="11"/>
  <c r="C12" i="11"/>
  <c r="B12" i="11"/>
  <c r="E11" i="11"/>
  <c r="F11" i="11" s="1"/>
  <c r="D11" i="11"/>
  <c r="C11" i="11"/>
  <c r="B11" i="11"/>
  <c r="E10" i="11"/>
  <c r="F10" i="11" s="1"/>
  <c r="D10" i="11"/>
  <c r="C10" i="11"/>
  <c r="B10" i="11"/>
  <c r="E9" i="11"/>
  <c r="F9" i="11" s="1"/>
  <c r="D9" i="11"/>
  <c r="C9" i="11"/>
  <c r="B9" i="11"/>
  <c r="E8" i="11"/>
  <c r="F8" i="11" s="1"/>
  <c r="D8" i="11"/>
  <c r="C8" i="11"/>
  <c r="B8" i="11"/>
  <c r="H6" i="11"/>
  <c r="D73" i="10"/>
  <c r="D74" i="10" s="1"/>
  <c r="D76" i="10" s="1"/>
  <c r="D71" i="10"/>
  <c r="D69" i="10"/>
  <c r="F65" i="10"/>
  <c r="C73" i="10" s="1"/>
  <c r="D60" i="10"/>
  <c r="D83" i="10" s="1"/>
  <c r="E51" i="10"/>
  <c r="F51" i="10" s="1"/>
  <c r="C51" i="10"/>
  <c r="E50" i="10"/>
  <c r="D50" i="10"/>
  <c r="B50" i="10"/>
  <c r="A50" i="10"/>
  <c r="C50" i="10" s="1"/>
  <c r="E49" i="10"/>
  <c r="D49" i="10"/>
  <c r="B49" i="10"/>
  <c r="A49" i="10"/>
  <c r="C49" i="10" s="1"/>
  <c r="E48" i="10"/>
  <c r="D48" i="10"/>
  <c r="B48" i="10"/>
  <c r="E47" i="10"/>
  <c r="D47" i="10"/>
  <c r="B47" i="10"/>
  <c r="E46" i="10"/>
  <c r="D46" i="10"/>
  <c r="B46" i="10"/>
  <c r="A46" i="10"/>
  <c r="C46" i="10" s="1"/>
  <c r="E45" i="10"/>
  <c r="D45" i="10"/>
  <c r="B45" i="10"/>
  <c r="A45" i="10"/>
  <c r="C45" i="10" s="1"/>
  <c r="E41" i="10"/>
  <c r="F41" i="10" s="1"/>
  <c r="D41" i="10"/>
  <c r="C41" i="10"/>
  <c r="B41" i="10"/>
  <c r="A41" i="10"/>
  <c r="E40" i="10"/>
  <c r="D40" i="10"/>
  <c r="C40" i="10"/>
  <c r="B40" i="10"/>
  <c r="A40" i="10"/>
  <c r="E39" i="10"/>
  <c r="D39" i="10"/>
  <c r="C39" i="10"/>
  <c r="B39" i="10"/>
  <c r="A39" i="10"/>
  <c r="A48" i="10" s="1"/>
  <c r="C48" i="10" s="1"/>
  <c r="E38" i="10"/>
  <c r="D38" i="10"/>
  <c r="C38" i="10"/>
  <c r="B38" i="10"/>
  <c r="A38" i="10"/>
  <c r="A47" i="10" s="1"/>
  <c r="C47" i="10" s="1"/>
  <c r="E37" i="10"/>
  <c r="D37" i="10"/>
  <c r="C37" i="10"/>
  <c r="B37" i="10"/>
  <c r="A37" i="10"/>
  <c r="E36" i="10"/>
  <c r="D36" i="10"/>
  <c r="C36" i="10"/>
  <c r="B36" i="10"/>
  <c r="A36" i="10"/>
  <c r="A35" i="10"/>
  <c r="C35" i="10" s="1"/>
  <c r="E32" i="10"/>
  <c r="F32" i="10" s="1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F27" i="10" s="1"/>
  <c r="D27" i="10"/>
  <c r="C27" i="10"/>
  <c r="B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C17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F9" i="10" s="1"/>
  <c r="D9" i="10"/>
  <c r="C9" i="10"/>
  <c r="B9" i="10"/>
  <c r="C8" i="10"/>
  <c r="H6" i="10"/>
  <c r="D72" i="9"/>
  <c r="D73" i="9" s="1"/>
  <c r="D75" i="9" s="1"/>
  <c r="C72" i="9"/>
  <c r="D70" i="9"/>
  <c r="D68" i="9"/>
  <c r="F64" i="9"/>
  <c r="E50" i="9" s="1"/>
  <c r="D59" i="9"/>
  <c r="D84" i="9" s="1"/>
  <c r="C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E44" i="9"/>
  <c r="D44" i="9"/>
  <c r="B44" i="9"/>
  <c r="E43" i="9"/>
  <c r="D43" i="9"/>
  <c r="B43" i="9"/>
  <c r="E40" i="9"/>
  <c r="D40" i="9"/>
  <c r="B40" i="9"/>
  <c r="A40" i="9"/>
  <c r="A49" i="9" s="1"/>
  <c r="C49" i="9" s="1"/>
  <c r="E39" i="9"/>
  <c r="D39" i="9"/>
  <c r="B39" i="9"/>
  <c r="A39" i="9"/>
  <c r="C39" i="9" s="1"/>
  <c r="E38" i="9"/>
  <c r="D38" i="9"/>
  <c r="B38" i="9"/>
  <c r="A38" i="9"/>
  <c r="C38" i="9" s="1"/>
  <c r="E37" i="9"/>
  <c r="D37" i="9"/>
  <c r="B37" i="9"/>
  <c r="A37" i="9"/>
  <c r="A46" i="9" s="1"/>
  <c r="C46" i="9" s="1"/>
  <c r="E36" i="9"/>
  <c r="D36" i="9"/>
  <c r="B36" i="9"/>
  <c r="A36" i="9"/>
  <c r="C36" i="9" s="1"/>
  <c r="E35" i="9"/>
  <c r="D35" i="9"/>
  <c r="B35" i="9"/>
  <c r="A35" i="9"/>
  <c r="C35" i="9" s="1"/>
  <c r="E34" i="9"/>
  <c r="D34" i="9"/>
  <c r="B34" i="9"/>
  <c r="A34" i="9"/>
  <c r="A43" i="9" s="1"/>
  <c r="C43" i="9" s="1"/>
  <c r="D31" i="9"/>
  <c r="C31" i="9"/>
  <c r="B31" i="9"/>
  <c r="D30" i="9"/>
  <c r="C30" i="9"/>
  <c r="B30" i="9"/>
  <c r="D29" i="9"/>
  <c r="C29" i="9"/>
  <c r="B29" i="9"/>
  <c r="F28" i="9"/>
  <c r="D28" i="9"/>
  <c r="C28" i="9"/>
  <c r="B28" i="9"/>
  <c r="F27" i="9"/>
  <c r="D27" i="9"/>
  <c r="C27" i="9"/>
  <c r="B27" i="9"/>
  <c r="E24" i="9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E17" i="9"/>
  <c r="F17" i="9" s="1"/>
  <c r="D17" i="9"/>
  <c r="C17" i="9"/>
  <c r="B17" i="9"/>
  <c r="B15" i="9"/>
  <c r="E14" i="9"/>
  <c r="D14" i="9"/>
  <c r="C14" i="9"/>
  <c r="B14" i="9"/>
  <c r="E13" i="9"/>
  <c r="D13" i="9"/>
  <c r="C13" i="9"/>
  <c r="B13" i="9"/>
  <c r="C12" i="9"/>
  <c r="C11" i="9"/>
  <c r="F10" i="9"/>
  <c r="C10" i="9"/>
  <c r="C9" i="9"/>
  <c r="C8" i="9"/>
  <c r="H6" i="9"/>
  <c r="J28" i="6"/>
  <c r="E14" i="6"/>
  <c r="E12" i="6"/>
  <c r="E11" i="6"/>
  <c r="E10" i="6"/>
  <c r="D32" i="6" l="1"/>
  <c r="F51" i="12"/>
  <c r="C73" i="12"/>
  <c r="C85" i="12" s="1"/>
  <c r="D81" i="12"/>
  <c r="D83" i="12"/>
  <c r="F37" i="12"/>
  <c r="C36" i="12"/>
  <c r="F36" i="12" s="1"/>
  <c r="F30" i="12"/>
  <c r="F29" i="12"/>
  <c r="F28" i="12"/>
  <c r="F27" i="12"/>
  <c r="F28" i="10"/>
  <c r="F31" i="10"/>
  <c r="F30" i="10"/>
  <c r="F28" i="11"/>
  <c r="F29" i="10"/>
  <c r="F30" i="11"/>
  <c r="F39" i="12"/>
  <c r="F10" i="10"/>
  <c r="F13" i="10"/>
  <c r="F40" i="12"/>
  <c r="F11" i="10"/>
  <c r="F14" i="10"/>
  <c r="F38" i="12"/>
  <c r="F12" i="10"/>
  <c r="F29" i="11"/>
  <c r="F32" i="11"/>
  <c r="F37" i="11"/>
  <c r="F40" i="11"/>
  <c r="F38" i="11"/>
  <c r="F39" i="11"/>
  <c r="D83" i="11"/>
  <c r="F36" i="11"/>
  <c r="F18" i="11"/>
  <c r="C35" i="11"/>
  <c r="E73" i="10"/>
  <c r="C85" i="10"/>
  <c r="D81" i="10"/>
  <c r="D85" i="10"/>
  <c r="D86" i="10" s="1"/>
  <c r="E85" i="10"/>
  <c r="F45" i="10"/>
  <c r="F49" i="10"/>
  <c r="F47" i="10"/>
  <c r="F46" i="10"/>
  <c r="F50" i="10"/>
  <c r="F48" i="10"/>
  <c r="F36" i="10"/>
  <c r="F40" i="10"/>
  <c r="F39" i="10"/>
  <c r="F37" i="10"/>
  <c r="F38" i="10"/>
  <c r="F8" i="10"/>
  <c r="A44" i="10"/>
  <c r="C44" i="10" s="1"/>
  <c r="C40" i="9"/>
  <c r="F40" i="9" s="1"/>
  <c r="F39" i="9"/>
  <c r="F50" i="9"/>
  <c r="E72" i="9"/>
  <c r="F31" i="9"/>
  <c r="F30" i="9"/>
  <c r="F13" i="9"/>
  <c r="C34" i="9"/>
  <c r="F34" i="9" s="1"/>
  <c r="F24" i="9"/>
  <c r="F29" i="9"/>
  <c r="C37" i="9"/>
  <c r="F37" i="9" s="1"/>
  <c r="C84" i="9"/>
  <c r="E84" i="9" s="1"/>
  <c r="F14" i="9"/>
  <c r="F11" i="9"/>
  <c r="F8" i="9"/>
  <c r="F12" i="9"/>
  <c r="F9" i="9"/>
  <c r="F46" i="12"/>
  <c r="F50" i="12"/>
  <c r="E85" i="12"/>
  <c r="F45" i="12"/>
  <c r="A47" i="12"/>
  <c r="C47" i="12" s="1"/>
  <c r="F47" i="12" s="1"/>
  <c r="A49" i="12"/>
  <c r="C49" i="12" s="1"/>
  <c r="F49" i="12" s="1"/>
  <c r="E73" i="12"/>
  <c r="A44" i="12"/>
  <c r="C44" i="12" s="1"/>
  <c r="A48" i="12"/>
  <c r="C48" i="12" s="1"/>
  <c r="F48" i="12" s="1"/>
  <c r="F45" i="11"/>
  <c r="D81" i="11"/>
  <c r="A47" i="11"/>
  <c r="C47" i="11" s="1"/>
  <c r="F47" i="11" s="1"/>
  <c r="C73" i="11"/>
  <c r="A49" i="11"/>
  <c r="C49" i="11" s="1"/>
  <c r="F49" i="11" s="1"/>
  <c r="A46" i="11"/>
  <c r="C46" i="11" s="1"/>
  <c r="F46" i="11" s="1"/>
  <c r="A48" i="11"/>
  <c r="C48" i="11" s="1"/>
  <c r="F48" i="11" s="1"/>
  <c r="F46" i="9"/>
  <c r="F35" i="9"/>
  <c r="D85" i="9"/>
  <c r="F38" i="9"/>
  <c r="F43" i="9"/>
  <c r="F36" i="9"/>
  <c r="F49" i="9"/>
  <c r="A44" i="9"/>
  <c r="C44" i="9" s="1"/>
  <c r="F44" i="9" s="1"/>
  <c r="D80" i="9"/>
  <c r="A48" i="9"/>
  <c r="C48" i="9" s="1"/>
  <c r="F48" i="9" s="1"/>
  <c r="D82" i="9"/>
  <c r="A45" i="9"/>
  <c r="C45" i="9" s="1"/>
  <c r="F45" i="9" s="1"/>
  <c r="A47" i="9"/>
  <c r="C47" i="9" s="1"/>
  <c r="F47" i="9" s="1"/>
  <c r="F52" i="9" l="1"/>
  <c r="C68" i="9" s="1"/>
  <c r="C85" i="11"/>
  <c r="E85" i="11" s="1"/>
  <c r="E73" i="11"/>
  <c r="F55" i="9"/>
  <c r="F53" i="9"/>
  <c r="H52" i="9" l="1"/>
  <c r="F2" i="9" s="1"/>
  <c r="F63" i="9"/>
  <c r="C75" i="9"/>
  <c r="E75" i="9" s="1"/>
  <c r="E35" i="10" s="1"/>
  <c r="F35" i="10" s="1"/>
  <c r="F54" i="10" s="1"/>
  <c r="C76" i="10" s="1"/>
  <c r="E76" i="10" s="1"/>
  <c r="E35" i="11" s="1"/>
  <c r="F35" i="11" s="1"/>
  <c r="F54" i="11" s="1"/>
  <c r="C76" i="11" s="1"/>
  <c r="E76" i="11" s="1"/>
  <c r="H53" i="9"/>
  <c r="G2" i="9" s="1"/>
  <c r="H55" i="9"/>
  <c r="C73" i="9"/>
  <c r="F54" i="9"/>
  <c r="E68" i="9"/>
  <c r="E17" i="10" s="1"/>
  <c r="F17" i="10" s="1"/>
  <c r="F53" i="10" s="1"/>
  <c r="C69" i="10" s="1"/>
  <c r="E69" i="10" s="1"/>
  <c r="E17" i="11" s="1"/>
  <c r="F17" i="11" s="1"/>
  <c r="F53" i="11" s="1"/>
  <c r="C80" i="9"/>
  <c r="E80" i="9" s="1"/>
  <c r="F55" i="11" l="1"/>
  <c r="H55" i="11" s="1"/>
  <c r="H53" i="10"/>
  <c r="F2" i="10" s="1"/>
  <c r="F64" i="10"/>
  <c r="F55" i="10"/>
  <c r="O54" i="10" s="1"/>
  <c r="O56" i="10" s="1"/>
  <c r="H54" i="10"/>
  <c r="G2" i="10" s="1"/>
  <c r="H54" i="11"/>
  <c r="C69" i="11"/>
  <c r="F64" i="11"/>
  <c r="H53" i="11"/>
  <c r="C81" i="10"/>
  <c r="E81" i="10" s="1"/>
  <c r="H54" i="9"/>
  <c r="O53" i="9"/>
  <c r="F62" i="9"/>
  <c r="C85" i="9"/>
  <c r="E85" i="9" s="1"/>
  <c r="E73" i="9"/>
  <c r="H2" i="9"/>
  <c r="O54" i="9"/>
  <c r="H57" i="9"/>
  <c r="H58" i="9" s="1"/>
  <c r="O57" i="9" s="1"/>
  <c r="G2" i="11" l="1"/>
  <c r="E35" i="12"/>
  <c r="F35" i="12" s="1"/>
  <c r="F54" i="12" s="1"/>
  <c r="F2" i="11"/>
  <c r="E17" i="12"/>
  <c r="F17" i="12" s="1"/>
  <c r="F53" i="12" s="1"/>
  <c r="O54" i="11"/>
  <c r="O56" i="11" s="1"/>
  <c r="F63" i="11"/>
  <c r="E63" i="11" s="1"/>
  <c r="H55" i="10"/>
  <c r="E77" i="9"/>
  <c r="E44" i="10"/>
  <c r="F44" i="10" s="1"/>
  <c r="F56" i="10" s="1"/>
  <c r="E69" i="11"/>
  <c r="C81" i="11"/>
  <c r="E81" i="11" s="1"/>
  <c r="F63" i="10"/>
  <c r="C70" i="9"/>
  <c r="E62" i="9"/>
  <c r="F65" i="9"/>
  <c r="G62" i="9" s="1"/>
  <c r="O55" i="9"/>
  <c r="O56" i="9" s="1"/>
  <c r="O58" i="9" s="1"/>
  <c r="C71" i="11" l="1"/>
  <c r="C83" i="11" s="1"/>
  <c r="E83" i="11" s="1"/>
  <c r="F66" i="11"/>
  <c r="G63" i="11" s="1"/>
  <c r="F64" i="12"/>
  <c r="H53" i="12"/>
  <c r="F2" i="12" s="1"/>
  <c r="C69" i="12"/>
  <c r="F55" i="12"/>
  <c r="C76" i="12"/>
  <c r="E76" i="12" s="1"/>
  <c r="H54" i="12"/>
  <c r="G2" i="12" s="1"/>
  <c r="C71" i="10"/>
  <c r="F66" i="10"/>
  <c r="G44" i="10" s="1"/>
  <c r="E63" i="10"/>
  <c r="C74" i="10"/>
  <c r="H56" i="10"/>
  <c r="G37" i="11"/>
  <c r="O59" i="9"/>
  <c r="O60" i="9" s="1"/>
  <c r="O61" i="9" s="1"/>
  <c r="G65" i="9"/>
  <c r="G64" i="9"/>
  <c r="G19" i="9"/>
  <c r="G24" i="9"/>
  <c r="G22" i="9"/>
  <c r="G34" i="9"/>
  <c r="G37" i="9"/>
  <c r="G29" i="9"/>
  <c r="G23" i="9"/>
  <c r="G39" i="9"/>
  <c r="G27" i="9"/>
  <c r="G21" i="9"/>
  <c r="G12" i="9"/>
  <c r="G9" i="9"/>
  <c r="G13" i="9"/>
  <c r="G20" i="9"/>
  <c r="G28" i="9"/>
  <c r="G31" i="9"/>
  <c r="G30" i="9"/>
  <c r="G18" i="9"/>
  <c r="G17" i="9"/>
  <c r="G8" i="9"/>
  <c r="G10" i="9"/>
  <c r="G14" i="9"/>
  <c r="G50" i="9"/>
  <c r="G40" i="9"/>
  <c r="G11" i="9"/>
  <c r="G47" i="9"/>
  <c r="G52" i="9"/>
  <c r="G45" i="9"/>
  <c r="G46" i="9"/>
  <c r="G44" i="9"/>
  <c r="G48" i="9"/>
  <c r="G38" i="9"/>
  <c r="G36" i="9"/>
  <c r="G35" i="9"/>
  <c r="G49" i="9"/>
  <c r="G43" i="9"/>
  <c r="G53" i="9"/>
  <c r="G63" i="9"/>
  <c r="G55" i="9"/>
  <c r="G54" i="9"/>
  <c r="C82" i="9"/>
  <c r="E82" i="9" s="1"/>
  <c r="E70" i="9"/>
  <c r="G35" i="11" l="1"/>
  <c r="G49" i="11"/>
  <c r="G55" i="11"/>
  <c r="G51" i="11"/>
  <c r="G46" i="11"/>
  <c r="G24" i="11"/>
  <c r="G9" i="11"/>
  <c r="G47" i="11"/>
  <c r="G54" i="11"/>
  <c r="G45" i="11"/>
  <c r="G65" i="11"/>
  <c r="G66" i="11"/>
  <c r="G10" i="11"/>
  <c r="G17" i="11"/>
  <c r="G30" i="11"/>
  <c r="E71" i="11"/>
  <c r="G28" i="11"/>
  <c r="G19" i="11"/>
  <c r="G48" i="11"/>
  <c r="G27" i="11"/>
  <c r="G29" i="11"/>
  <c r="G23" i="11"/>
  <c r="G36" i="11"/>
  <c r="G12" i="11"/>
  <c r="G22" i="11"/>
  <c r="G53" i="11"/>
  <c r="G39" i="11"/>
  <c r="G38" i="11"/>
  <c r="G32" i="11"/>
  <c r="G50" i="11"/>
  <c r="G14" i="11"/>
  <c r="G8" i="11"/>
  <c r="G31" i="11"/>
  <c r="G20" i="11"/>
  <c r="G64" i="11"/>
  <c r="G40" i="11"/>
  <c r="G13" i="11"/>
  <c r="G21" i="11"/>
  <c r="G11" i="11"/>
  <c r="G41" i="11"/>
  <c r="G18" i="11"/>
  <c r="O54" i="12"/>
  <c r="H55" i="12"/>
  <c r="F63" i="12"/>
  <c r="E69" i="12"/>
  <c r="C81" i="12"/>
  <c r="E81" i="12" s="1"/>
  <c r="O55" i="10"/>
  <c r="O57" i="10" s="1"/>
  <c r="H58" i="10"/>
  <c r="H59" i="10" s="1"/>
  <c r="O58" i="10" s="1"/>
  <c r="H2" i="10"/>
  <c r="E74" i="10"/>
  <c r="C86" i="10"/>
  <c r="E86" i="10" s="1"/>
  <c r="G32" i="10"/>
  <c r="G28" i="10"/>
  <c r="G14" i="10"/>
  <c r="G37" i="10"/>
  <c r="G53" i="10"/>
  <c r="G36" i="10"/>
  <c r="G18" i="10"/>
  <c r="G10" i="10"/>
  <c r="G35" i="10"/>
  <c r="G46" i="10"/>
  <c r="G24" i="10"/>
  <c r="G27" i="10"/>
  <c r="G65" i="10"/>
  <c r="G31" i="10"/>
  <c r="G20" i="10"/>
  <c r="G17" i="10"/>
  <c r="G38" i="10"/>
  <c r="G12" i="10"/>
  <c r="G22" i="10"/>
  <c r="G49" i="10"/>
  <c r="G45" i="10"/>
  <c r="G64" i="10"/>
  <c r="G8" i="10"/>
  <c r="G23" i="10"/>
  <c r="G47" i="10"/>
  <c r="G11" i="10"/>
  <c r="G19" i="10"/>
  <c r="G39" i="10"/>
  <c r="G66" i="10"/>
  <c r="G41" i="10"/>
  <c r="G30" i="10"/>
  <c r="G9" i="10"/>
  <c r="G21" i="10"/>
  <c r="G50" i="10"/>
  <c r="G63" i="10"/>
  <c r="G48" i="10"/>
  <c r="G55" i="10"/>
  <c r="G29" i="10"/>
  <c r="G13" i="10"/>
  <c r="G54" i="10"/>
  <c r="G51" i="10"/>
  <c r="G40" i="10"/>
  <c r="C83" i="10"/>
  <c r="E83" i="10" s="1"/>
  <c r="E71" i="10"/>
  <c r="G56" i="10"/>
  <c r="P61" i="9"/>
  <c r="E2" i="9"/>
  <c r="E63" i="12" l="1"/>
  <c r="C71" i="12"/>
  <c r="F66" i="12"/>
  <c r="O56" i="12"/>
  <c r="E78" i="10"/>
  <c r="E44" i="11"/>
  <c r="F44" i="11" s="1"/>
  <c r="O59" i="10"/>
  <c r="O60" i="10" s="1"/>
  <c r="O61" i="10" s="1"/>
  <c r="O62" i="10" s="1"/>
  <c r="G41" i="12" l="1"/>
  <c r="G12" i="12"/>
  <c r="G11" i="12"/>
  <c r="G45" i="12"/>
  <c r="G23" i="12"/>
  <c r="G8" i="12"/>
  <c r="G50" i="12"/>
  <c r="G30" i="12"/>
  <c r="G51" i="12"/>
  <c r="G46" i="12"/>
  <c r="G28" i="12"/>
  <c r="G29" i="12"/>
  <c r="G35" i="12"/>
  <c r="G66" i="12"/>
  <c r="G38" i="12"/>
  <c r="G22" i="12"/>
  <c r="G47" i="12"/>
  <c r="G18" i="12"/>
  <c r="G21" i="12"/>
  <c r="G32" i="12"/>
  <c r="G10" i="12"/>
  <c r="G19" i="12"/>
  <c r="G39" i="12"/>
  <c r="G9" i="12"/>
  <c r="G24" i="12"/>
  <c r="G31" i="12"/>
  <c r="G17" i="12"/>
  <c r="G13" i="12"/>
  <c r="G37" i="12"/>
  <c r="G54" i="12"/>
  <c r="G14" i="12"/>
  <c r="G40" i="12"/>
  <c r="G49" i="12"/>
  <c r="G20" i="12"/>
  <c r="G27" i="12"/>
  <c r="G48" i="12"/>
  <c r="G36" i="12"/>
  <c r="G65" i="12"/>
  <c r="G53" i="12"/>
  <c r="G55" i="12"/>
  <c r="G64" i="12"/>
  <c r="G63" i="12"/>
  <c r="E71" i="12"/>
  <c r="C83" i="12"/>
  <c r="E83" i="12" s="1"/>
  <c r="P62" i="10"/>
  <c r="E2" i="10"/>
  <c r="F56" i="11"/>
  <c r="G44" i="11"/>
  <c r="C74" i="11" l="1"/>
  <c r="H56" i="11"/>
  <c r="E44" i="12" s="1"/>
  <c r="F44" i="12" s="1"/>
  <c r="G56" i="11"/>
  <c r="F56" i="12" l="1"/>
  <c r="G44" i="12"/>
  <c r="O55" i="11"/>
  <c r="O57" i="11" s="1"/>
  <c r="H2" i="11"/>
  <c r="H58" i="11"/>
  <c r="H59" i="11" s="1"/>
  <c r="O58" i="11" s="1"/>
  <c r="C86" i="11"/>
  <c r="E86" i="11" s="1"/>
  <c r="E74" i="11"/>
  <c r="E78" i="11" s="1"/>
  <c r="H56" i="12" l="1"/>
  <c r="C74" i="12"/>
  <c r="G56" i="12"/>
  <c r="O59" i="11"/>
  <c r="O60" i="11" s="1"/>
  <c r="O61" i="11" s="1"/>
  <c r="O62" i="11" s="1"/>
  <c r="C86" i="12" l="1"/>
  <c r="E86" i="12" s="1"/>
  <c r="E74" i="12"/>
  <c r="E78" i="12" s="1"/>
  <c r="H2" i="12"/>
  <c r="H58" i="12"/>
  <c r="H59" i="12" s="1"/>
  <c r="O58" i="12" s="1"/>
  <c r="O55" i="12"/>
  <c r="O57" i="12" s="1"/>
  <c r="P62" i="11"/>
  <c r="E2" i="11"/>
  <c r="O59" i="12" l="1"/>
  <c r="O60" i="12" s="1"/>
  <c r="O61" i="12" s="1"/>
  <c r="O62" i="12" s="1"/>
  <c r="O64" i="12" s="1"/>
  <c r="P62" i="12" l="1"/>
  <c r="E2" i="12"/>
</calcChain>
</file>

<file path=xl/sharedStrings.xml><?xml version="1.0" encoding="utf-8"?>
<sst xmlns="http://schemas.openxmlformats.org/spreadsheetml/2006/main" count="513" uniqueCount="153">
  <si>
    <t>CÓDIGO:</t>
  </si>
  <si>
    <t>FECHA DE APROBACIÓN: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</si>
  <si>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</si>
  <si>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</si>
  <si>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</si>
  <si>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</si>
  <si>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</si>
  <si>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</si>
  <si>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</si>
  <si>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</si>
  <si>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 xml:space="preserve">g </t>
  </si>
  <si>
    <t>TIEMPO TOTAL DE PREPARACION</t>
  </si>
  <si>
    <t>PESO TOTAL OBTENIDO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</si>
  <si>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</si>
  <si>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</si>
  <si>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</si>
  <si>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</si>
  <si>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</si>
  <si>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</si>
  <si>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</si>
  <si>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</si>
  <si>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</si>
  <si>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Min.</t>
  </si>
  <si>
    <t>Tiempo de Horneo:</t>
  </si>
  <si>
    <t>Unidad</t>
  </si>
  <si>
    <t>Aprobado</t>
  </si>
  <si>
    <t>Elaborado</t>
  </si>
  <si>
    <t>REVISIÓN:</t>
  </si>
  <si>
    <t>ESPECIFICACION DE RECETA</t>
  </si>
  <si>
    <t>SERVICIOS DE PASTELERIA S.A.</t>
  </si>
  <si>
    <t>CONTROL DE CAMBIOS</t>
  </si>
  <si>
    <t>AREA QUE PRODUCE:</t>
  </si>
  <si>
    <t xml:space="preserve">AREA QUE EMPACA: </t>
  </si>
  <si>
    <t># Código Netsuite</t>
  </si>
  <si>
    <t>Medida alternativa</t>
  </si>
  <si>
    <t>Ensamble</t>
  </si>
  <si>
    <t>Decoración</t>
  </si>
  <si>
    <t>Empaque</t>
  </si>
  <si>
    <t>Mariela Barrantes Sánchez, Chef</t>
  </si>
  <si>
    <t>Sebastian Díaz, Gte Manufactura</t>
  </si>
  <si>
    <t>MP10157</t>
  </si>
  <si>
    <t>Colorante Gel Super Red</t>
  </si>
  <si>
    <t>Premezclas</t>
  </si>
  <si>
    <t>MP10040</t>
  </si>
  <si>
    <t>MARGARINA BAKER TABLETA (CAJA: 25 K)</t>
  </si>
  <si>
    <t>NUMAR</t>
  </si>
  <si>
    <t>MP10206</t>
  </si>
  <si>
    <t>HARINA HARISOL HOJALDRE (SACO25KG)</t>
  </si>
  <si>
    <t>FACCASA</t>
  </si>
  <si>
    <t>10100003</t>
  </si>
  <si>
    <t>MP10049</t>
  </si>
  <si>
    <t>AZUCAR POLVO P.REAL (PAQ:2.5 Kg)</t>
  </si>
  <si>
    <t>PASTELERO REAL</t>
  </si>
  <si>
    <t>1212410</t>
  </si>
  <si>
    <t>MP10008</t>
  </si>
  <si>
    <t xml:space="preserve">PRESERVANTE 1047S KILO </t>
  </si>
  <si>
    <t>ASEAL</t>
  </si>
  <si>
    <t>MP10146</t>
  </si>
  <si>
    <t>Cocoa Dutch Process</t>
  </si>
  <si>
    <t>1950702</t>
  </si>
  <si>
    <t>EM10016</t>
  </si>
  <si>
    <t>BOLSA 12x18 TRANSP (KILO)</t>
  </si>
  <si>
    <t>PLASTICOS P</t>
  </si>
  <si>
    <t>ud</t>
  </si>
  <si>
    <t>1950708</t>
  </si>
  <si>
    <t>EM10013</t>
  </si>
  <si>
    <t xml:space="preserve">BOLSA 17x25 TRANSP </t>
  </si>
  <si>
    <t>0702012</t>
  </si>
  <si>
    <t>EM10005</t>
  </si>
  <si>
    <t xml:space="preserve">ETIQ.FECHA VENCIMIENTO </t>
  </si>
  <si>
    <t>ETIPLAST</t>
  </si>
  <si>
    <t>0702123</t>
  </si>
  <si>
    <t>EM10011</t>
  </si>
  <si>
    <t>ETIQUETA BLANCA 2 5/8X1 15/16 (UND)</t>
  </si>
  <si>
    <t>AS00020</t>
  </si>
  <si>
    <t>GUANTE LATEX CORRIENTE (CAJA:100 UND)</t>
  </si>
  <si>
    <t>MAYCA</t>
  </si>
  <si>
    <t>60100010</t>
  </si>
  <si>
    <t>EM10133</t>
  </si>
  <si>
    <t>ETIQUETA ROJA LETRA ALERJENO (UND)</t>
  </si>
  <si>
    <t xml:space="preserve">1.- Pesar en una bolsa 17*25 harina y preservante. Etiquetar con fecha de vencimiento. </t>
  </si>
  <si>
    <t xml:space="preserve">2.- Pesar en otra bolsa 17*25  la margarina. Y Pesar en una bolsa 12*18 el azúcar en polvo. </t>
  </si>
  <si>
    <t xml:space="preserve">PASTA ALFAJOR VELVET  </t>
  </si>
  <si>
    <t>SE00183</t>
  </si>
  <si>
    <t>EMPAQUE HARINA ESTANDAR (KILO)</t>
  </si>
  <si>
    <t xml:space="preserve">CORTE CIRCULO Galleta Mini Chilena Velvet </t>
  </si>
  <si>
    <t>0702069</t>
  </si>
  <si>
    <t>SE00776 BASE PREMEZCLA P/PASTA ALFAJOR VELVET</t>
  </si>
  <si>
    <t>SE00777</t>
  </si>
  <si>
    <t>SE00778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</si>
  <si>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</si>
  <si>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</si>
  <si>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</si>
  <si>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</si>
  <si>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</si>
  <si>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</si>
  <si>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</si>
  <si>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</si>
  <si>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</si>
  <si>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</si>
  <si>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</si>
  <si>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</si>
  <si>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</si>
  <si>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</si>
  <si>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</si>
  <si>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</si>
  <si>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</si>
  <si>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</si>
  <si>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</si>
  <si>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</si>
  <si>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</si>
  <si>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</si>
  <si>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</si>
  <si>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</si>
  <si>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</si>
  <si>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</si>
  <si>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</si>
  <si>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</si>
  <si>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</si>
  <si>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</si>
  <si>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</si>
  <si>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</si>
  <si>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</si>
  <si>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</si>
  <si>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</si>
  <si>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</si>
  <si>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</si>
  <si>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</si>
  <si>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</si>
  <si>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</si>
  <si>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</si>
  <si>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</si>
  <si>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</si>
  <si>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</si>
  <si>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</si>
  <si>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</si>
  <si>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</si>
  <si>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</si>
  <si>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</si>
  <si>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</si>
  <si>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</si>
  <si>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</si>
  <si>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</si>
  <si>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SE00776</t>
  </si>
  <si>
    <t>BASE PREMEZCLA VELVET P/PASTA ALFAJOR (23.360g)</t>
  </si>
  <si>
    <t xml:space="preserve">UND </t>
  </si>
  <si>
    <t>UND</t>
  </si>
  <si>
    <t>1950769</t>
  </si>
  <si>
    <t>1950672</t>
  </si>
  <si>
    <t>701096</t>
  </si>
  <si>
    <t>0702007</t>
  </si>
  <si>
    <t>01</t>
  </si>
  <si>
    <t>ESP-RE-PRES-042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</si>
</sst>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4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Century Gothic"/>
      <family val="2"/>
    </font>
    <font>
      <sz val="14"/>
      <name val="Century Gothic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41" fontId="9" fillId="0" borderId="0" applyFont="0" applyFill="0" applyBorder="0" applyAlignment="0" applyProtection="0"/>
  </cellStyleXfs>
  <cellXfs count="271">
    <xf numFmtId="0" fontId="0" fillId="0" borderId="0" xfId="0"/>
    <xf numFmtId="0" fontId="4" fillId="2" borderId="14" xfId="2" applyFont="1" applyFill="1" applyBorder="1" applyAlignment="1">
      <alignment horizontal="right"/>
    </xf>
    <xf numFmtId="0" fontId="8" fillId="2" borderId="12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right"/>
    </xf>
    <xf numFmtId="49" fontId="8" fillId="2" borderId="8" xfId="2" applyNumberFormat="1" applyFont="1" applyFill="1" applyBorder="1" applyAlignment="1">
      <alignment horizontal="center"/>
    </xf>
    <xf numFmtId="0" fontId="8" fillId="2" borderId="13" xfId="2" applyFont="1" applyFill="1" applyBorder="1" applyAlignment="1">
      <alignment horizontal="right"/>
    </xf>
    <xf numFmtId="0" fontId="8" fillId="2" borderId="1" xfId="2" applyFont="1" applyFill="1" applyBorder="1" applyAlignment="1">
      <alignment horizontal="right"/>
    </xf>
    <xf numFmtId="0" fontId="4" fillId="3" borderId="12" xfId="1" applyFont="1" applyFill="1" applyBorder="1" applyAlignment="1">
      <alignment horizontal="center" vertical="center" wrapText="1"/>
    </xf>
    <xf numFmtId="1" fontId="4" fillId="3" borderId="11" xfId="1" applyNumberFormat="1" applyFont="1" applyFill="1" applyBorder="1" applyAlignment="1">
      <alignment horizontal="center"/>
    </xf>
    <xf numFmtId="1" fontId="4" fillId="3" borderId="11" xfId="1" applyNumberFormat="1" applyFont="1" applyFill="1" applyBorder="1" applyAlignment="1">
      <alignment horizontal="center" wrapText="1"/>
    </xf>
    <xf numFmtId="0" fontId="4" fillId="3" borderId="10" xfId="1" applyFont="1" applyFill="1" applyBorder="1" applyAlignment="1">
      <alignment horizontal="center"/>
    </xf>
    <xf numFmtId="0" fontId="3" fillId="5" borderId="0" xfId="0" applyFont="1" applyFill="1" applyAlignment="1">
      <alignment vertic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3" fontId="10" fillId="0" borderId="1" xfId="4" applyFont="1" applyFill="1" applyBorder="1" applyAlignment="1">
      <alignment horizontal="center" vertical="center"/>
    </xf>
    <xf numFmtId="43" fontId="10" fillId="0" borderId="0" xfId="4" applyFont="1" applyFill="1" applyBorder="1" applyAlignment="1">
      <alignment horizontal="center" vertical="center"/>
    </xf>
    <xf numFmtId="43" fontId="12" fillId="0" borderId="0" xfId="4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 wrapText="1"/>
    </xf>
    <xf numFmtId="0" fontId="10" fillId="8" borderId="43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 vertical="center" wrapText="1"/>
    </xf>
    <xf numFmtId="0" fontId="10" fillId="8" borderId="4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6" applyNumberFormat="1" applyFont="1" applyFill="1" applyAlignment="1">
      <alignment horizontal="center" vertical="center"/>
    </xf>
    <xf numFmtId="4" fontId="10" fillId="0" borderId="0" xfId="6" applyNumberFormat="1" applyFont="1" applyFill="1" applyAlignment="1">
      <alignment horizontal="center" vertical="center"/>
    </xf>
    <xf numFmtId="10" fontId="10" fillId="0" borderId="0" xfId="3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3" applyNumberFormat="1" applyFont="1" applyFill="1" applyAlignment="1">
      <alignment vertical="center"/>
    </xf>
    <xf numFmtId="0" fontId="3" fillId="0" borderId="0" xfId="0" applyFont="1"/>
    <xf numFmtId="49" fontId="10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43" fontId="3" fillId="0" borderId="0" xfId="4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4" applyNumberFormat="1" applyFont="1" applyFill="1" applyAlignment="1">
      <alignment vertical="center"/>
    </xf>
    <xf numFmtId="43" fontId="18" fillId="0" borderId="0" xfId="4" applyFont="1" applyFill="1" applyAlignment="1">
      <alignment horizontal="center" vertical="center"/>
    </xf>
    <xf numFmtId="10" fontId="11" fillId="8" borderId="46" xfId="3" applyNumberFormat="1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46" xfId="0" applyFont="1" applyFill="1" applyBorder="1" applyAlignment="1">
      <alignment vertical="center"/>
    </xf>
    <xf numFmtId="43" fontId="18" fillId="8" borderId="47" xfId="4" applyFont="1" applyFill="1" applyBorder="1" applyAlignment="1">
      <alignment horizontal="center" vertical="center"/>
    </xf>
    <xf numFmtId="43" fontId="20" fillId="0" borderId="0" xfId="4" applyFont="1" applyFill="1" applyBorder="1" applyAlignment="1">
      <alignment horizontal="right"/>
    </xf>
    <xf numFmtId="0" fontId="3" fillId="8" borderId="47" xfId="0" applyFont="1" applyFill="1" applyBorder="1" applyAlignment="1">
      <alignment vertical="center"/>
    </xf>
    <xf numFmtId="10" fontId="11" fillId="8" borderId="47" xfId="3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3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4" applyNumberFormat="1" applyFont="1" applyFill="1" applyAlignment="1">
      <alignment vertical="center"/>
    </xf>
    <xf numFmtId="4" fontId="18" fillId="0" borderId="0" xfId="6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6" xfId="0" applyFont="1" applyBorder="1" applyAlignment="1">
      <alignment horizontal="right"/>
    </xf>
    <xf numFmtId="43" fontId="24" fillId="4" borderId="48" xfId="4" applyFont="1" applyFill="1" applyBorder="1" applyAlignment="1">
      <alignment horizontal="right"/>
    </xf>
    <xf numFmtId="43" fontId="24" fillId="0" borderId="0" xfId="4" applyFont="1" applyFill="1" applyBorder="1" applyAlignment="1">
      <alignment horizontal="right"/>
    </xf>
    <xf numFmtId="43" fontId="10" fillId="0" borderId="1" xfId="4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6" applyNumberFormat="1" applyFont="1" applyFill="1" applyAlignment="1">
      <alignment horizontal="center" vertical="center"/>
    </xf>
    <xf numFmtId="10" fontId="26" fillId="0" borderId="0" xfId="3" applyNumberFormat="1" applyFont="1" applyFill="1" applyAlignment="1">
      <alignment horizontal="right"/>
    </xf>
    <xf numFmtId="170" fontId="10" fillId="8" borderId="1" xfId="4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43" fontId="10" fillId="9" borderId="1" xfId="4" applyFont="1" applyFill="1" applyBorder="1" applyAlignment="1">
      <alignment vertical="center"/>
    </xf>
    <xf numFmtId="167" fontId="27" fillId="0" borderId="0" xfId="0" applyNumberFormat="1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8" borderId="49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4" applyNumberFormat="1" applyFont="1" applyFill="1" applyBorder="1" applyAlignment="1">
      <alignment horizontal="center"/>
    </xf>
    <xf numFmtId="2" fontId="23" fillId="0" borderId="0" xfId="4" applyNumberFormat="1" applyFont="1" applyFill="1" applyBorder="1" applyAlignment="1">
      <alignment horizontal="center"/>
    </xf>
    <xf numFmtId="0" fontId="3" fillId="8" borderId="49" xfId="0" applyFont="1" applyFill="1" applyBorder="1" applyAlignment="1">
      <alignment vertical="center"/>
    </xf>
    <xf numFmtId="10" fontId="3" fillId="0" borderId="0" xfId="3" applyNumberFormat="1" applyFont="1" applyFill="1" applyAlignment="1">
      <alignment vertical="center"/>
    </xf>
    <xf numFmtId="4" fontId="3" fillId="0" borderId="0" xfId="4" applyNumberFormat="1" applyFont="1" applyFill="1" applyAlignment="1">
      <alignment vertical="center"/>
    </xf>
    <xf numFmtId="43" fontId="24" fillId="8" borderId="4" xfId="4" applyFont="1" applyFill="1" applyBorder="1" applyAlignment="1">
      <alignment horizontal="right"/>
    </xf>
    <xf numFmtId="0" fontId="10" fillId="8" borderId="3" xfId="0" applyFont="1" applyFill="1" applyBorder="1" applyAlignment="1">
      <alignment horizontal="right" vertical="center"/>
    </xf>
    <xf numFmtId="10" fontId="30" fillId="0" borderId="0" xfId="4" applyNumberFormat="1" applyFont="1" applyFill="1" applyAlignment="1">
      <alignment vertical="center"/>
    </xf>
    <xf numFmtId="10" fontId="11" fillId="0" borderId="0" xfId="3" applyNumberFormat="1" applyFont="1" applyFill="1" applyBorder="1" applyAlignment="1">
      <alignment vertical="center"/>
    </xf>
    <xf numFmtId="167" fontId="31" fillId="0" borderId="0" xfId="0" applyNumberFormat="1" applyFont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43" fontId="32" fillId="0" borderId="0" xfId="4" applyFont="1" applyFill="1" applyAlignment="1">
      <alignment vertical="center"/>
    </xf>
    <xf numFmtId="4" fontId="33" fillId="0" borderId="0" xfId="6" applyNumberFormat="1" applyFont="1" applyFill="1" applyAlignment="1">
      <alignment horizontal="center" vertical="center" wrapText="1"/>
    </xf>
    <xf numFmtId="9" fontId="3" fillId="0" borderId="0" xfId="4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4" applyNumberFormat="1" applyFont="1" applyFill="1" applyAlignment="1">
      <alignment vertical="center"/>
    </xf>
    <xf numFmtId="4" fontId="10" fillId="11" borderId="48" xfId="4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4" applyFont="1" applyFill="1" applyAlignment="1">
      <alignment vertical="center"/>
    </xf>
    <xf numFmtId="9" fontId="34" fillId="0" borderId="0" xfId="4" applyNumberFormat="1" applyFont="1" applyFill="1" applyAlignment="1">
      <alignment vertical="center"/>
    </xf>
    <xf numFmtId="4" fontId="10" fillId="0" borderId="0" xfId="4" applyNumberFormat="1" applyFont="1" applyFill="1" applyAlignment="1">
      <alignment horizontal="center" vertical="center"/>
    </xf>
    <xf numFmtId="10" fontId="27" fillId="0" borderId="0" xfId="3" applyNumberFormat="1" applyFont="1" applyFill="1" applyAlignment="1">
      <alignment vertical="center"/>
    </xf>
    <xf numFmtId="43" fontId="27" fillId="0" borderId="0" xfId="4" applyFont="1" applyFill="1" applyBorder="1" applyAlignment="1">
      <alignment vertical="center"/>
    </xf>
    <xf numFmtId="4" fontId="3" fillId="0" borderId="0" xfId="0" applyNumberFormat="1" applyFont="1" applyAlignment="1">
      <alignment horizontal="center"/>
    </xf>
    <xf numFmtId="43" fontId="3" fillId="0" borderId="0" xfId="4" applyFont="1" applyFill="1" applyBorder="1"/>
    <xf numFmtId="10" fontId="27" fillId="0" borderId="0" xfId="3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3" fillId="0" borderId="0" xfId="4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7" fontId="10" fillId="0" borderId="0" xfId="0" applyNumberFormat="1" applyFont="1"/>
    <xf numFmtId="14" fontId="39" fillId="2" borderId="0" xfId="2" applyNumberFormat="1" applyFont="1" applyFill="1" applyAlignment="1">
      <alignment horizontal="center" vertical="center" wrapText="1"/>
    </xf>
    <xf numFmtId="0" fontId="40" fillId="0" borderId="15" xfId="1" applyFont="1" applyBorder="1" applyAlignment="1">
      <alignment horizontal="center" vertical="center"/>
    </xf>
    <xf numFmtId="0" fontId="40" fillId="0" borderId="1" xfId="1" applyFont="1" applyBorder="1" applyAlignment="1">
      <alignment horizontal="center" vertical="center"/>
    </xf>
    <xf numFmtId="1" fontId="40" fillId="0" borderId="1" xfId="1" applyNumberFormat="1" applyFont="1" applyBorder="1" applyAlignment="1">
      <alignment horizontal="center"/>
    </xf>
    <xf numFmtId="1" fontId="40" fillId="0" borderId="1" xfId="1" applyNumberFormat="1" applyFont="1" applyBorder="1" applyAlignment="1">
      <alignment horizontal="center" wrapText="1"/>
    </xf>
    <xf numFmtId="0" fontId="42" fillId="0" borderId="8" xfId="1" applyFont="1" applyBorder="1" applyAlignment="1">
      <alignment horizontal="center"/>
    </xf>
    <xf numFmtId="0" fontId="42" fillId="0" borderId="1" xfId="0" applyFont="1" applyBorder="1"/>
    <xf numFmtId="1" fontId="42" fillId="0" borderId="13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49" fontId="42" fillId="0" borderId="1" xfId="1" applyNumberFormat="1" applyFont="1" applyBorder="1"/>
    <xf numFmtId="0" fontId="42" fillId="0" borderId="1" xfId="1" applyFont="1" applyBorder="1" applyAlignment="1">
      <alignment horizontal="center"/>
    </xf>
    <xf numFmtId="1" fontId="42" fillId="0" borderId="1" xfId="0" applyNumberFormat="1" applyFont="1" applyBorder="1" applyAlignment="1">
      <alignment horizontal="center"/>
    </xf>
    <xf numFmtId="1" fontId="42" fillId="0" borderId="1" xfId="0" applyNumberFormat="1" applyFont="1" applyBorder="1" applyAlignment="1">
      <alignment horizontal="center" wrapText="1"/>
    </xf>
    <xf numFmtId="1" fontId="42" fillId="0" borderId="1" xfId="1" applyNumberFormat="1" applyFont="1" applyBorder="1" applyAlignment="1">
      <alignment horizontal="center" wrapText="1"/>
    </xf>
    <xf numFmtId="0" fontId="40" fillId="5" borderId="1" xfId="1" applyFont="1" applyFill="1" applyBorder="1" applyAlignment="1">
      <alignment horizontal="left"/>
    </xf>
    <xf numFmtId="165" fontId="42" fillId="0" borderId="1" xfId="1" applyNumberFormat="1" applyFont="1" applyBorder="1" applyAlignment="1">
      <alignment horizontal="center"/>
    </xf>
    <xf numFmtId="16" fontId="42" fillId="0" borderId="1" xfId="0" applyNumberFormat="1" applyFont="1" applyBorder="1" applyAlignment="1">
      <alignment horizontal="center"/>
    </xf>
    <xf numFmtId="0" fontId="41" fillId="5" borderId="1" xfId="1" applyFont="1" applyFill="1" applyBorder="1" applyAlignment="1">
      <alignment vertical="center"/>
    </xf>
    <xf numFmtId="0" fontId="40" fillId="0" borderId="29" xfId="1" applyFont="1" applyBorder="1" applyAlignment="1">
      <alignment horizontal="center"/>
    </xf>
    <xf numFmtId="165" fontId="40" fillId="0" borderId="1" xfId="1" applyNumberFormat="1" applyFont="1" applyBorder="1" applyAlignment="1">
      <alignment horizontal="center"/>
    </xf>
    <xf numFmtId="0" fontId="42" fillId="0" borderId="0" xfId="0" applyFont="1"/>
    <xf numFmtId="166" fontId="40" fillId="5" borderId="1" xfId="4" applyNumberFormat="1" applyFont="1" applyFill="1" applyBorder="1" applyAlignment="1">
      <alignment horizontal="center"/>
    </xf>
    <xf numFmtId="0" fontId="42" fillId="0" borderId="13" xfId="0" applyFont="1" applyBorder="1" applyAlignment="1">
      <alignment horizontal="center"/>
    </xf>
    <xf numFmtId="12" fontId="42" fillId="0" borderId="1" xfId="1" applyNumberFormat="1" applyFont="1" applyBorder="1" applyAlignment="1">
      <alignment horizontal="center"/>
    </xf>
    <xf numFmtId="49" fontId="42" fillId="0" borderId="15" xfId="1" applyNumberFormat="1" applyFont="1" applyBorder="1" applyAlignment="1">
      <alignment horizontal="center"/>
    </xf>
    <xf numFmtId="49" fontId="42" fillId="0" borderId="29" xfId="1" applyNumberFormat="1" applyFont="1" applyBorder="1" applyAlignment="1">
      <alignment horizontal="center"/>
    </xf>
    <xf numFmtId="49" fontId="43" fillId="2" borderId="7" xfId="1" applyNumberFormat="1" applyFont="1" applyFill="1" applyBorder="1" applyAlignment="1">
      <alignment horizontal="center" vertical="center"/>
    </xf>
    <xf numFmtId="49" fontId="43" fillId="2" borderId="0" xfId="1" applyNumberFormat="1" applyFont="1" applyFill="1" applyAlignment="1">
      <alignment horizontal="center" vertical="center"/>
    </xf>
    <xf numFmtId="0" fontId="42" fillId="2" borderId="0" xfId="1" applyFont="1" applyFill="1"/>
    <xf numFmtId="1" fontId="42" fillId="2" borderId="0" xfId="1" applyNumberFormat="1" applyFont="1" applyFill="1" applyAlignment="1">
      <alignment horizontal="center"/>
    </xf>
    <xf numFmtId="164" fontId="42" fillId="2" borderId="0" xfId="1" applyNumberFormat="1" applyFont="1" applyFill="1" applyAlignment="1">
      <alignment horizontal="center" wrapText="1"/>
    </xf>
    <xf numFmtId="0" fontId="42" fillId="2" borderId="6" xfId="1" applyFont="1" applyFill="1" applyBorder="1" applyAlignment="1">
      <alignment horizontal="center"/>
    </xf>
    <xf numFmtId="0" fontId="42" fillId="3" borderId="5" xfId="1" applyFont="1" applyFill="1" applyBorder="1" applyAlignment="1">
      <alignment horizontal="center"/>
    </xf>
    <xf numFmtId="0" fontId="42" fillId="3" borderId="4" xfId="1" applyFont="1" applyFill="1" applyBorder="1" applyAlignment="1">
      <alignment horizontal="center"/>
    </xf>
    <xf numFmtId="0" fontId="42" fillId="3" borderId="4" xfId="1" applyFont="1" applyFill="1" applyBorder="1"/>
    <xf numFmtId="0" fontId="40" fillId="3" borderId="4" xfId="1" applyFont="1" applyFill="1" applyBorder="1" applyAlignment="1">
      <alignment horizontal="center"/>
    </xf>
    <xf numFmtId="1" fontId="40" fillId="3" borderId="4" xfId="1" applyNumberFormat="1" applyFont="1" applyFill="1" applyBorder="1" applyAlignment="1">
      <alignment horizontal="center"/>
    </xf>
    <xf numFmtId="164" fontId="42" fillId="3" borderId="4" xfId="1" applyNumberFormat="1" applyFont="1" applyFill="1" applyBorder="1" applyAlignment="1">
      <alignment horizontal="center" wrapText="1"/>
    </xf>
    <xf numFmtId="0" fontId="42" fillId="3" borderId="3" xfId="1" applyFont="1" applyFill="1" applyBorder="1" applyAlignment="1">
      <alignment horizontal="center"/>
    </xf>
    <xf numFmtId="0" fontId="42" fillId="0" borderId="2" xfId="0" applyFont="1" applyBorder="1" applyAlignment="1">
      <alignment horizontal="center"/>
    </xf>
    <xf numFmtId="1" fontId="42" fillId="0" borderId="11" xfId="0" applyNumberFormat="1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42" fillId="0" borderId="1" xfId="1" applyFont="1" applyBorder="1" applyAlignment="1">
      <alignment horizontal="center" vertical="center"/>
    </xf>
    <xf numFmtId="0" fontId="41" fillId="0" borderId="29" xfId="1" applyFont="1" applyBorder="1" applyAlignment="1">
      <alignment vertical="center"/>
    </xf>
    <xf numFmtId="0" fontId="43" fillId="0" borderId="1" xfId="0" applyFont="1" applyBorder="1" applyAlignment="1">
      <alignment horizontal="center" vertical="center"/>
    </xf>
    <xf numFmtId="0" fontId="43" fillId="0" borderId="29" xfId="0" applyFont="1" applyBorder="1" applyAlignment="1">
      <alignment horizontal="left" vertical="center"/>
    </xf>
    <xf numFmtId="1" fontId="42" fillId="0" borderId="13" xfId="0" applyNumberFormat="1" applyFont="1" applyBorder="1" applyAlignment="1">
      <alignment horizontal="center" wrapText="1"/>
    </xf>
    <xf numFmtId="0" fontId="42" fillId="0" borderId="13" xfId="0" applyFont="1" applyBorder="1" applyAlignment="1">
      <alignment horizontal="center" wrapText="1"/>
    </xf>
    <xf numFmtId="12" fontId="42" fillId="0" borderId="13" xfId="0" applyNumberFormat="1" applyFont="1" applyBorder="1" applyAlignment="1">
      <alignment horizontal="center"/>
    </xf>
    <xf numFmtId="0" fontId="42" fillId="0" borderId="29" xfId="0" applyFont="1" applyBorder="1" applyAlignment="1">
      <alignment horizontal="left"/>
    </xf>
    <xf numFmtId="1" fontId="42" fillId="0" borderId="1" xfId="0" applyNumberFormat="1" applyFont="1" applyBorder="1"/>
    <xf numFmtId="0" fontId="42" fillId="5" borderId="1" xfId="1" applyFont="1" applyFill="1" applyBorder="1" applyAlignment="1">
      <alignment horizontal="center"/>
    </xf>
    <xf numFmtId="49" fontId="40" fillId="0" borderId="32" xfId="1" applyNumberFormat="1" applyFont="1" applyBorder="1" applyAlignment="1">
      <alignment horizontal="center"/>
    </xf>
    <xf numFmtId="49" fontId="40" fillId="0" borderId="28" xfId="1" applyNumberFormat="1" applyFont="1" applyBorder="1" applyAlignment="1">
      <alignment horizontal="center"/>
    </xf>
    <xf numFmtId="49" fontId="42" fillId="0" borderId="15" xfId="0" applyNumberFormat="1" applyFont="1" applyBorder="1" applyAlignment="1">
      <alignment horizontal="center"/>
    </xf>
    <xf numFmtId="49" fontId="42" fillId="0" borderId="29" xfId="0" applyNumberFormat="1" applyFont="1" applyBorder="1" applyAlignment="1">
      <alignment horizontal="center"/>
    </xf>
    <xf numFmtId="49" fontId="40" fillId="0" borderId="1" xfId="0" applyNumberFormat="1" applyFont="1" applyBorder="1"/>
    <xf numFmtId="0" fontId="43" fillId="0" borderId="15" xfId="0" applyFont="1" applyBorder="1" applyAlignment="1">
      <alignment horizontal="center"/>
    </xf>
    <xf numFmtId="0" fontId="43" fillId="0" borderId="29" xfId="0" applyFont="1" applyBorder="1" applyAlignment="1">
      <alignment horizontal="center"/>
    </xf>
    <xf numFmtId="0" fontId="43" fillId="0" borderId="1" xfId="0" applyFont="1" applyBorder="1"/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right" vertical="center"/>
    </xf>
    <xf numFmtId="0" fontId="35" fillId="0" borderId="4" xfId="0" applyFont="1" applyBorder="1" applyAlignment="1">
      <alignment horizontal="right" vertical="center"/>
    </xf>
    <xf numFmtId="0" fontId="35" fillId="0" borderId="3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40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8" borderId="5" xfId="0" applyFont="1" applyFill="1" applyBorder="1" applyAlignment="1">
      <alignment horizontal="right"/>
    </xf>
    <xf numFmtId="0" fontId="24" fillId="8" borderId="4" xfId="0" applyFont="1" applyFill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10" fillId="0" borderId="40" xfId="0" applyFont="1" applyBorder="1" applyAlignment="1">
      <alignment horizontal="right" vertical="center"/>
    </xf>
    <xf numFmtId="0" fontId="10" fillId="0" borderId="50" xfId="0" applyFont="1" applyBorder="1" applyAlignment="1">
      <alignment horizontal="right" vertical="center"/>
    </xf>
    <xf numFmtId="0" fontId="10" fillId="10" borderId="5" xfId="0" applyFont="1" applyFill="1" applyBorder="1" applyAlignment="1">
      <alignment horizontal="right" vertical="center"/>
    </xf>
    <xf numFmtId="0" fontId="10" fillId="10" borderId="4" xfId="0" applyFont="1" applyFill="1" applyBorder="1" applyAlignment="1">
      <alignment horizontal="right" vertical="center"/>
    </xf>
    <xf numFmtId="0" fontId="10" fillId="10" borderId="3" xfId="0" applyFont="1" applyFill="1" applyBorder="1" applyAlignment="1">
      <alignment horizontal="right" vertical="center"/>
    </xf>
    <xf numFmtId="4" fontId="33" fillId="0" borderId="0" xfId="6" applyNumberFormat="1" applyFont="1" applyFill="1" applyAlignment="1">
      <alignment horizontal="center" vertical="center" wrapText="1"/>
    </xf>
    <xf numFmtId="0" fontId="27" fillId="0" borderId="27" xfId="0" applyFont="1" applyBorder="1" applyAlignment="1">
      <alignment horizontal="right" vertical="center"/>
    </xf>
    <xf numFmtId="0" fontId="27" fillId="0" borderId="29" xfId="0" applyFont="1" applyBorder="1" applyAlignment="1">
      <alignment horizontal="right" vertical="center"/>
    </xf>
    <xf numFmtId="0" fontId="28" fillId="0" borderId="7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6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9" fillId="0" borderId="38" xfId="0" applyFont="1" applyBorder="1" applyAlignment="1">
      <alignment horizontal="right"/>
    </xf>
    <xf numFmtId="0" fontId="19" fillId="0" borderId="39" xfId="0" applyFont="1" applyBorder="1" applyAlignment="1">
      <alignment horizontal="right"/>
    </xf>
    <xf numFmtId="0" fontId="3" fillId="0" borderId="27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3" fillId="0" borderId="40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right" vertical="center" wrapText="1"/>
    </xf>
    <xf numFmtId="0" fontId="27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0" fillId="6" borderId="1" xfId="2" applyFont="1" applyFill="1" applyBorder="1" applyAlignment="1">
      <alignment horizontal="center"/>
    </xf>
    <xf numFmtId="0" fontId="42" fillId="2" borderId="1" xfId="2" applyFont="1" applyFill="1" applyBorder="1" applyAlignment="1">
      <alignment horizontal="left"/>
    </xf>
    <xf numFmtId="0" fontId="42" fillId="0" borderId="7" xfId="1" applyFont="1" applyBorder="1" applyAlignment="1">
      <alignment horizontal="left"/>
    </xf>
    <xf numFmtId="0" fontId="42" fillId="0" borderId="0" xfId="1" applyFont="1" applyAlignment="1">
      <alignment horizontal="left"/>
    </xf>
    <xf numFmtId="0" fontId="42" fillId="0" borderId="6" xfId="1" applyFont="1" applyBorder="1" applyAlignment="1">
      <alignment horizontal="left"/>
    </xf>
    <xf numFmtId="0" fontId="42" fillId="0" borderId="35" xfId="1" applyFont="1" applyBorder="1" applyAlignment="1">
      <alignment horizontal="left"/>
    </xf>
    <xf numFmtId="0" fontId="42" fillId="0" borderId="17" xfId="1" applyFont="1" applyBorder="1" applyAlignment="1">
      <alignment horizontal="left"/>
    </xf>
    <xf numFmtId="0" fontId="42" fillId="0" borderId="13" xfId="1" applyFont="1" applyBorder="1" applyAlignment="1">
      <alignment horizontal="left"/>
    </xf>
    <xf numFmtId="0" fontId="42" fillId="0" borderId="9" xfId="1" applyFont="1" applyBorder="1" applyAlignment="1">
      <alignment horizontal="left"/>
    </xf>
    <xf numFmtId="0" fontId="40" fillId="0" borderId="32" xfId="1" applyFont="1" applyBorder="1" applyAlignment="1">
      <alignment horizontal="right"/>
    </xf>
    <xf numFmtId="0" fontId="40" fillId="0" borderId="28" xfId="1" applyFont="1" applyBorder="1" applyAlignment="1">
      <alignment horizontal="right"/>
    </xf>
    <xf numFmtId="0" fontId="40" fillId="0" borderId="29" xfId="1" applyFont="1" applyBorder="1" applyAlignment="1">
      <alignment horizontal="right"/>
    </xf>
    <xf numFmtId="0" fontId="42" fillId="0" borderId="1" xfId="1" applyFont="1" applyBorder="1" applyAlignment="1">
      <alignment horizontal="right"/>
    </xf>
    <xf numFmtId="164" fontId="42" fillId="0" borderId="27" xfId="1" applyNumberFormat="1" applyFont="1" applyBorder="1" applyAlignment="1">
      <alignment horizontal="center"/>
    </xf>
    <xf numFmtId="164" fontId="42" fillId="0" borderId="33" xfId="1" applyNumberFormat="1" applyFont="1" applyBorder="1" applyAlignment="1">
      <alignment horizontal="center"/>
    </xf>
    <xf numFmtId="164" fontId="42" fillId="0" borderId="27" xfId="1" applyNumberFormat="1" applyFont="1" applyBorder="1" applyAlignment="1">
      <alignment horizontal="right" wrapText="1"/>
    </xf>
    <xf numFmtId="164" fontId="42" fillId="0" borderId="29" xfId="1" applyNumberFormat="1" applyFont="1" applyBorder="1" applyAlignment="1">
      <alignment horizontal="right" wrapText="1"/>
    </xf>
    <xf numFmtId="164" fontId="42" fillId="0" borderId="27" xfId="0" applyNumberFormat="1" applyFont="1" applyBorder="1" applyAlignment="1">
      <alignment horizontal="center" wrapText="1"/>
    </xf>
    <xf numFmtId="164" fontId="42" fillId="0" borderId="33" xfId="0" applyNumberFormat="1" applyFont="1" applyBorder="1" applyAlignment="1">
      <alignment horizontal="center" wrapText="1"/>
    </xf>
    <xf numFmtId="0" fontId="40" fillId="0" borderId="31" xfId="1" applyFont="1" applyBorder="1" applyAlignment="1">
      <alignment horizontal="right"/>
    </xf>
    <xf numFmtId="0" fontId="40" fillId="0" borderId="36" xfId="1" applyFont="1" applyBorder="1" applyAlignment="1">
      <alignment horizontal="right"/>
    </xf>
    <xf numFmtId="0" fontId="40" fillId="0" borderId="11" xfId="1" applyFont="1" applyBorder="1" applyAlignment="1">
      <alignment horizontal="right"/>
    </xf>
    <xf numFmtId="0" fontId="42" fillId="0" borderId="11" xfId="1" applyFont="1" applyBorder="1" applyAlignment="1">
      <alignment horizontal="right"/>
    </xf>
    <xf numFmtId="0" fontId="40" fillId="3" borderId="5" xfId="1" applyFont="1" applyFill="1" applyBorder="1" applyAlignment="1">
      <alignment horizontal="center"/>
    </xf>
    <xf numFmtId="0" fontId="40" fillId="3" borderId="4" xfId="1" applyFont="1" applyFill="1" applyBorder="1" applyAlignment="1">
      <alignment horizontal="center"/>
    </xf>
    <xf numFmtId="0" fontId="40" fillId="3" borderId="3" xfId="1" applyFont="1" applyFill="1" applyBorder="1" applyAlignment="1">
      <alignment horizontal="center"/>
    </xf>
    <xf numFmtId="0" fontId="40" fillId="0" borderId="16" xfId="1" applyFont="1" applyBorder="1" applyAlignment="1">
      <alignment horizontal="right"/>
    </xf>
    <xf numFmtId="0" fontId="40" fillId="0" borderId="37" xfId="1" applyFont="1" applyBorder="1" applyAlignment="1">
      <alignment horizontal="right"/>
    </xf>
    <xf numFmtId="0" fontId="40" fillId="0" borderId="17" xfId="1" applyFont="1" applyBorder="1" applyAlignment="1">
      <alignment horizontal="right"/>
    </xf>
    <xf numFmtId="164" fontId="42" fillId="0" borderId="13" xfId="1" applyNumberFormat="1" applyFont="1" applyBorder="1" applyAlignment="1">
      <alignment horizontal="right"/>
    </xf>
    <xf numFmtId="0" fontId="42" fillId="2" borderId="2" xfId="1" applyFont="1" applyFill="1" applyBorder="1" applyAlignment="1">
      <alignment horizontal="center"/>
    </xf>
    <xf numFmtId="0" fontId="42" fillId="2" borderId="18" xfId="1" applyFont="1" applyFill="1" applyBorder="1" applyAlignment="1">
      <alignment horizontal="center"/>
    </xf>
    <xf numFmtId="0" fontId="6" fillId="2" borderId="0" xfId="2" applyFont="1" applyFill="1" applyAlignment="1">
      <alignment horizontal="right"/>
    </xf>
    <xf numFmtId="0" fontId="39" fillId="2" borderId="40" xfId="2" applyFont="1" applyFill="1" applyBorder="1" applyAlignment="1">
      <alignment horizontal="center"/>
    </xf>
    <xf numFmtId="0" fontId="6" fillId="2" borderId="0" xfId="2" applyFont="1" applyFill="1"/>
    <xf numFmtId="0" fontId="4" fillId="3" borderId="30" xfId="1" applyFont="1" applyFill="1" applyBorder="1" applyAlignment="1">
      <alignment horizontal="center" vertical="center"/>
    </xf>
    <xf numFmtId="0" fontId="4" fillId="3" borderId="31" xfId="1" applyFont="1" applyFill="1" applyBorder="1" applyAlignment="1">
      <alignment horizontal="center" vertical="center"/>
    </xf>
    <xf numFmtId="0" fontId="4" fillId="3" borderId="30" xfId="1" applyFont="1" applyFill="1" applyBorder="1" applyAlignment="1">
      <alignment horizontal="center" vertical="center" wrapText="1"/>
    </xf>
    <xf numFmtId="0" fontId="4" fillId="3" borderId="42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14" fontId="8" fillId="2" borderId="25" xfId="2" applyNumberFormat="1" applyFont="1" applyFill="1" applyBorder="1" applyAlignment="1">
      <alignment horizontal="center" vertical="center" wrapText="1"/>
    </xf>
    <xf numFmtId="14" fontId="8" fillId="2" borderId="26" xfId="2" applyNumberFormat="1" applyFont="1" applyFill="1" applyBorder="1" applyAlignment="1">
      <alignment horizontal="center" vertical="center" wrapText="1"/>
    </xf>
    <xf numFmtId="14" fontId="8" fillId="2" borderId="9" xfId="2" applyNumberFormat="1" applyFont="1" applyFill="1" applyBorder="1" applyAlignment="1">
      <alignment horizontal="center" vertical="center" wrapText="1"/>
    </xf>
    <xf numFmtId="0" fontId="7" fillId="2" borderId="19" xfId="2" applyFont="1" applyFill="1" applyBorder="1" applyAlignment="1">
      <alignment horizontal="left"/>
    </xf>
    <xf numFmtId="0" fontId="7" fillId="2" borderId="20" xfId="2" applyFont="1" applyFill="1" applyBorder="1" applyAlignment="1">
      <alignment horizontal="left"/>
    </xf>
    <xf numFmtId="0" fontId="7" fillId="2" borderId="21" xfId="2" applyFont="1" applyFill="1" applyBorder="1" applyAlignment="1">
      <alignment horizontal="left"/>
    </xf>
    <xf numFmtId="0" fontId="7" fillId="2" borderId="27" xfId="2" applyFont="1" applyFill="1" applyBorder="1" applyAlignment="1">
      <alignment horizontal="left"/>
    </xf>
    <xf numFmtId="0" fontId="7" fillId="2" borderId="28" xfId="2" applyFont="1" applyFill="1" applyBorder="1" applyAlignment="1">
      <alignment horizontal="left"/>
    </xf>
    <xf numFmtId="0" fontId="7" fillId="2" borderId="29" xfId="2" applyFont="1" applyFill="1" applyBorder="1" applyAlignment="1">
      <alignment horizontal="left"/>
    </xf>
    <xf numFmtId="0" fontId="8" fillId="2" borderId="38" xfId="2" applyFont="1" applyFill="1" applyBorder="1" applyAlignment="1">
      <alignment horizontal="center"/>
    </xf>
    <xf numFmtId="0" fontId="8" fillId="2" borderId="39" xfId="2" applyFont="1" applyFill="1" applyBorder="1" applyAlignment="1">
      <alignment horizontal="center"/>
    </xf>
    <xf numFmtId="0" fontId="8" fillId="2" borderId="7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16" xfId="2" applyFont="1" applyFill="1" applyBorder="1" applyAlignment="1">
      <alignment horizontal="center"/>
    </xf>
    <xf numFmtId="0" fontId="8" fillId="2" borderId="37" xfId="2" applyFont="1" applyFill="1" applyBorder="1" applyAlignment="1">
      <alignment horizontal="center"/>
    </xf>
    <xf numFmtId="0" fontId="4" fillId="2" borderId="14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0" fontId="4" fillId="2" borderId="41" xfId="2" applyFont="1" applyFill="1" applyBorder="1" applyAlignment="1">
      <alignment horizontal="center"/>
    </xf>
    <xf numFmtId="0" fontId="4" fillId="2" borderId="36" xfId="2" applyFont="1" applyFill="1" applyBorder="1" applyAlignment="1">
      <alignment horizontal="center"/>
    </xf>
    <xf numFmtId="0" fontId="38" fillId="4" borderId="5" xfId="2" applyFont="1" applyFill="1" applyBorder="1" applyAlignment="1">
      <alignment horizontal="center" vertical="center" wrapText="1"/>
    </xf>
    <xf numFmtId="0" fontId="38" fillId="4" borderId="4" xfId="2" applyFont="1" applyFill="1" applyBorder="1" applyAlignment="1">
      <alignment horizontal="center" vertical="center" wrapText="1"/>
    </xf>
    <xf numFmtId="0" fontId="38" fillId="4" borderId="3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right" vertical="top" wrapText="1"/>
    </xf>
    <xf numFmtId="0" fontId="4" fillId="2" borderId="23" xfId="2" applyFont="1" applyFill="1" applyBorder="1" applyAlignment="1">
      <alignment horizontal="right" vertical="top" wrapText="1"/>
    </xf>
    <xf numFmtId="0" fontId="4" fillId="2" borderId="24" xfId="2" applyFont="1" applyFill="1" applyBorder="1" applyAlignment="1">
      <alignment horizontal="right" vertical="top" wrapText="1"/>
    </xf>
  </cellXfs>
  <cellStyles count="7">
    <cellStyle name="Millares" xfId="4" builtinId="3"/>
    <cellStyle name="Millares [0]" xfId="6" builtinId="6"/>
    <cellStyle name="Normal" xfId="0" builtinId="0"/>
    <cellStyle name="Normal 2" xfId="1" xr:uid="{00000000-0005-0000-0000-000001000000}"/>
    <cellStyle name="Normal 3 2" xfId="5" xr:uid="{12BE857A-6A5A-4AEE-A7E8-70E673124B63}"/>
    <cellStyle name="Normal_CRITERIOS DE EVALUACION PT DE GB 2" xfId="2" xr:uid="{00000000-0005-0000-0000-000002000000}"/>
    <cellStyle name="Porcentaje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87631</xdr:colOff>
      <xdr:row>1</xdr:row>
      <xdr:rowOff>11906</xdr:rowOff>
    </xdr:from>
    <xdr:to>
      <xdr:col>1</xdr:col>
      <xdr:colOff>1022578</xdr:colOff>
      <xdr:row>4</xdr:row>
      <xdr:rowOff>83344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94C4DB8-26FC-4E67-9A5E-27D1BDDC3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1" y="238125"/>
          <a:ext cx="2054135" cy="928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BC0A-4B4A-4BA9-9C27-57DA14553963}">
  <dimension ref="A1:Q91"/>
  <sheetViews>
    <sheetView workbookViewId="0">
      <selection sqref="A1:XFD1048576"/>
    </sheetView>
  </sheetViews>
  <sheetFormatPr baseColWidth="10" defaultColWidth="8.42578125" defaultRowHeight="12.75" x14ac:dyDescent="0.2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5.5" x14ac:dyDescent="0.2">
      <c r="A1" s="11"/>
      <c r="B1" s="11"/>
      <c r="C1" s="11"/>
      <c r="D1" s="11"/>
      <c r="E1" s="12" t="s">
        <v>90</v>
      </c>
      <c r="F1" s="13" t="s">
        <v>91</v>
      </c>
      <c r="G1" s="13" t="s">
        <v>92</v>
      </c>
      <c r="H1" s="13" t="s">
        <v>93</v>
      </c>
      <c r="I1" s="14"/>
    </row>
    <row r="2" spans="1:10" x14ac:dyDescent="0.2">
      <c r="A2" s="11"/>
      <c r="B2" s="11"/>
      <c r="C2" s="11"/>
      <c r="D2" s="11"/>
      <c r="E2" s="17">
        <f>IFERROR(O62,"")</f>
        <v>1868.68004276896</v>
      </c>
      <c r="F2" s="17">
        <f>IFERROR(H53,"")</f>
        <v>376.7003409763434</v>
      </c>
      <c r="G2" s="17">
        <f>IFERROR(H54,"")</f>
        <v>466.43448782832616</v>
      </c>
      <c r="H2" s="17">
        <f>IFERROR(H56,"")</f>
        <v>493.54363422031474</v>
      </c>
      <c r="I2" s="18"/>
    </row>
    <row r="3" spans="1:10" ht="15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0" ht="23.25" thickBot="1" x14ac:dyDescent="0.25">
      <c r="A4" s="198"/>
      <c r="B4" s="198"/>
      <c r="C4" s="198"/>
      <c r="D4" s="198"/>
      <c r="E4" s="198"/>
      <c r="F4" s="198"/>
      <c r="G4" s="198"/>
      <c r="H4" s="198"/>
      <c r="I4" s="20"/>
    </row>
    <row r="5" spans="1:10" ht="19.5" thickBot="1" x14ac:dyDescent="0.25">
      <c r="A5" s="199" t="s">
        <v>94</v>
      </c>
      <c r="B5" s="200"/>
      <c r="C5" s="200"/>
      <c r="D5" s="200"/>
      <c r="E5" s="200"/>
      <c r="F5" s="200"/>
      <c r="G5" s="200"/>
      <c r="H5" s="201"/>
      <c r="I5" s="21"/>
    </row>
    <row r="6" spans="1:10" ht="19.5" thickBot="1" x14ac:dyDescent="0.25">
      <c r="A6" s="21"/>
      <c r="B6" s="21"/>
      <c r="C6" s="21"/>
      <c r="D6" s="21"/>
      <c r="E6" s="21"/>
      <c r="F6" s="202" t="s">
        <v>95</v>
      </c>
      <c r="G6" s="202"/>
      <c r="H6" s="22">
        <f ca="1">TODAY()</f>
        <v>46059</v>
      </c>
      <c r="I6" s="22"/>
    </row>
    <row r="7" spans="1:10" ht="26.25" hidden="1" thickBot="1" x14ac:dyDescent="0.25">
      <c r="A7" s="23" t="s">
        <v>96</v>
      </c>
      <c r="B7" s="24" t="s">
        <v>97</v>
      </c>
      <c r="C7" s="24" t="s">
        <v>96</v>
      </c>
      <c r="D7" s="25" t="s">
        <v>98</v>
      </c>
      <c r="E7" s="25" t="s">
        <v>99</v>
      </c>
      <c r="F7" s="25" t="s">
        <v>100</v>
      </c>
      <c r="G7" s="25" t="s">
        <v>101</v>
      </c>
      <c r="H7" s="26" t="s">
        <v>102</v>
      </c>
      <c r="I7" s="27"/>
    </row>
    <row r="8" spans="1:10" ht="13.5" hidden="1" x14ac:dyDescent="0.25">
      <c r="A8" s="28"/>
      <c r="B8" s="16" t="str">
        <f>IFERROR(VLOOKUP(H8,'[1]Consolidado MP Planta'!$A$2:$M$823,3,0),"")</f>
        <v/>
      </c>
      <c r="C8" s="29">
        <f>+A8</f>
        <v>0</v>
      </c>
      <c r="D8" s="30" t="str">
        <f>IFERROR(VLOOKUP(H8,'[1]Consolidado MP Planta'!$A$2:$M$823,13,0),"")</f>
        <v/>
      </c>
      <c r="E8" s="30" t="str">
        <f>IFERROR(VLOOKUP(H8,'[1]Consolidado MP Planta'!$A$2:$M$823,12,0),"")</f>
        <v/>
      </c>
      <c r="F8" s="30" t="str">
        <f>IFERROR(C8*E8,"")</f>
        <v/>
      </c>
      <c r="G8" s="31" t="str">
        <f t="shared" ref="G8:G14" si="0">IFERROR(F8/$F$66,"")</f>
        <v/>
      </c>
      <c r="H8" s="32"/>
      <c r="I8" s="32"/>
      <c r="J8" s="33"/>
    </row>
    <row r="9" spans="1:10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hidden="1" thickBot="1" x14ac:dyDescent="0.3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25">
      <c r="A16" s="23" t="s">
        <v>96</v>
      </c>
      <c r="B16" s="24" t="s">
        <v>103</v>
      </c>
      <c r="C16" s="24" t="s">
        <v>96</v>
      </c>
      <c r="D16" s="25" t="s">
        <v>98</v>
      </c>
      <c r="E16" s="25" t="s">
        <v>99</v>
      </c>
      <c r="F16" s="25" t="s">
        <v>100</v>
      </c>
      <c r="G16" s="25" t="s">
        <v>101</v>
      </c>
      <c r="H16" s="26" t="s">
        <v>102</v>
      </c>
      <c r="I16" s="27"/>
      <c r="J16" s="33"/>
    </row>
    <row r="17" spans="1:12" ht="13.5" x14ac:dyDescent="0.25">
      <c r="A17" s="28">
        <v>32</v>
      </c>
      <c r="B17" s="16" t="s">
        <v>85</v>
      </c>
      <c r="C17" s="29">
        <f>+A17</f>
        <v>32</v>
      </c>
      <c r="D17" s="29" t="s">
        <v>145</v>
      </c>
      <c r="E17" s="30">
        <f>+'Costo corte Mini chilena Velvet'!H53</f>
        <v>11.771885655510731</v>
      </c>
      <c r="F17" s="30">
        <f>IFERROR(E17*C17,"")</f>
        <v>376.7003409763434</v>
      </c>
      <c r="G17" s="31">
        <f t="shared" ref="G17:G24" si="3">IFERROR(F17/$F$66,"")</f>
        <v>0.37494976216944276</v>
      </c>
      <c r="H17" s="32" t="s">
        <v>89</v>
      </c>
      <c r="I17" s="32"/>
      <c r="J17" s="33"/>
    </row>
    <row r="18" spans="1:12" ht="13.5" hidden="1" x14ac:dyDescent="0.25">
      <c r="A18" s="28"/>
      <c r="B18" s="16" t="str">
        <f>IFERROR(VLOOKUP(H18,[1]SEMIELABORADOS!$A$2:$M$6000,2,0),"")</f>
        <v/>
      </c>
      <c r="C18" s="29">
        <f t="shared" ref="C18:C24" si="4">+A18</f>
        <v>0</v>
      </c>
      <c r="D18" s="29" t="str">
        <f>IFERROR(VLOOKUP(H18,[1]SEMIELABORADOS!$A$2:$M$6000,6,0),"")</f>
        <v/>
      </c>
      <c r="E18" s="30" t="str">
        <f>IFERROR(VLOOKUP(H18,[1]SEMIELABORADOS!$A$2:$H$65536,8,0),"")</f>
        <v/>
      </c>
      <c r="F18" s="30" t="str">
        <f t="shared" ref="F18:F24" si="5">IFERROR(E18*C18,"")</f>
        <v/>
      </c>
      <c r="G18" s="31" t="str">
        <f t="shared" si="3"/>
        <v/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thickBot="1" x14ac:dyDescent="0.25">
      <c r="A26" s="23" t="s">
        <v>96</v>
      </c>
      <c r="B26" s="24" t="s">
        <v>104</v>
      </c>
      <c r="C26" s="24" t="s">
        <v>96</v>
      </c>
      <c r="D26" s="25" t="s">
        <v>98</v>
      </c>
      <c r="E26" s="25" t="s">
        <v>99</v>
      </c>
      <c r="F26" s="25" t="s">
        <v>100</v>
      </c>
      <c r="G26" s="25" t="s">
        <v>101</v>
      </c>
      <c r="H26" s="26" t="s">
        <v>102</v>
      </c>
      <c r="I26" s="27"/>
    </row>
    <row r="27" spans="1:12" ht="13.5" x14ac:dyDescent="0.25">
      <c r="A27" s="28">
        <v>8</v>
      </c>
      <c r="B27" s="34" t="str">
        <f>IFERROR(VLOOKUP(H27,'[1]Consolidado MP Planta'!$A$2:$M$823,3,0),"")</f>
        <v>ORLA N°3 DORADA (UND)</v>
      </c>
      <c r="C27" s="29">
        <f t="shared" ref="C27:C32" si="6">+A27</f>
        <v>8</v>
      </c>
      <c r="D27" s="30" t="str">
        <f>IFERROR(VLOOKUP(H27,'[1]Consolidado MP Planta'!$A$2:$M$823,13,0),"")</f>
        <v>Und</v>
      </c>
      <c r="E27" s="30">
        <v>34</v>
      </c>
      <c r="F27" s="30">
        <f t="shared" ref="F27:F32" si="7">IFERROR(C27*E27,"")</f>
        <v>272</v>
      </c>
      <c r="G27" s="31">
        <f t="shared" ref="G27:G32" si="8">IFERROR(F27/$F$66,"")</f>
        <v>0.27073597822013418</v>
      </c>
      <c r="H27" s="35" t="s">
        <v>147</v>
      </c>
      <c r="I27" s="35"/>
      <c r="J27" s="33"/>
      <c r="K27" s="191"/>
      <c r="L27" s="191"/>
    </row>
    <row r="28" spans="1:12" ht="13.5" x14ac:dyDescent="0.25">
      <c r="A28" s="28">
        <v>1</v>
      </c>
      <c r="B28" s="34" t="str">
        <f>IFERROR(VLOOKUP(H28,'[1]Consolidado MP Planta'!$A$2:$M$823,3,0),"")</f>
        <v>CONT.48 ON TRAN.TAPA PLANA (CAJA:200UND)</v>
      </c>
      <c r="C28" s="29">
        <f t="shared" si="6"/>
        <v>1</v>
      </c>
      <c r="D28" s="30" t="str">
        <f>IFERROR(VLOOKUP(H28,'[1]Consolidado MP Planta'!$A$2:$M$823,13,0),"")</f>
        <v>Und</v>
      </c>
      <c r="E28" s="30">
        <v>190.75</v>
      </c>
      <c r="F28" s="30">
        <f t="shared" si="7"/>
        <v>190.75</v>
      </c>
      <c r="G28" s="31">
        <f t="shared" si="8"/>
        <v>0.18986355825548012</v>
      </c>
      <c r="H28" s="35" t="s">
        <v>148</v>
      </c>
      <c r="I28" s="35"/>
      <c r="J28" s="33"/>
      <c r="K28" s="191"/>
      <c r="L28" s="191"/>
    </row>
    <row r="29" spans="1:12" ht="13.5" x14ac:dyDescent="0.25">
      <c r="A29" s="28">
        <v>1</v>
      </c>
      <c r="B29" s="34" t="str">
        <f>IFERROR(VLOOKUP(H29,'[1]Consolidado MP Planta'!$A$2:$M$823,3,0),"")</f>
        <v>ETIQ.FECHA VENCIMIENTO BLANCO (ROLLO)</v>
      </c>
      <c r="C29" s="29">
        <f t="shared" si="6"/>
        <v>1</v>
      </c>
      <c r="D29" s="30" t="str">
        <f>IFERROR(VLOOKUP(H29,'[1]Consolidado MP Planta'!$A$2:$M$823,13,0),"")</f>
        <v>Gramos</v>
      </c>
      <c r="E29" s="30">
        <v>0.22</v>
      </c>
      <c r="F29" s="30">
        <f t="shared" si="7"/>
        <v>0.22</v>
      </c>
      <c r="G29" s="31">
        <f t="shared" si="8"/>
        <v>2.189776294427556E-4</v>
      </c>
      <c r="H29" s="35" t="s">
        <v>150</v>
      </c>
      <c r="I29" s="35"/>
      <c r="J29" s="33"/>
      <c r="K29" s="191"/>
      <c r="L29" s="191"/>
    </row>
    <row r="30" spans="1:12" ht="13.5" x14ac:dyDescent="0.25">
      <c r="A30" s="28">
        <v>1</v>
      </c>
      <c r="B30" s="34" t="str">
        <f>IFERROR(VLOOKUP(H30,'[1]Consolidado MP Planta'!$A$2:$M$823,3,0),"")</f>
        <v>ETIQ.BLANCA 1 1/4 * 3/4 (UND)</v>
      </c>
      <c r="C30" s="29">
        <f t="shared" si="6"/>
        <v>1</v>
      </c>
      <c r="D30" s="30" t="str">
        <f>IFERROR(VLOOKUP(H30,'[1]Consolidado MP Planta'!$A$2:$M$823,13,0),"")</f>
        <v>Und</v>
      </c>
      <c r="E30" s="30">
        <v>0.57999999999999996</v>
      </c>
      <c r="F30" s="30">
        <f t="shared" si="7"/>
        <v>0.57999999999999996</v>
      </c>
      <c r="G30" s="31">
        <f t="shared" si="8"/>
        <v>5.7730465943999193E-4</v>
      </c>
      <c r="H30" s="35" t="s">
        <v>86</v>
      </c>
      <c r="I30" s="35"/>
      <c r="J30" s="33"/>
      <c r="K30" s="191"/>
      <c r="L30" s="191"/>
    </row>
    <row r="31" spans="1:12" ht="13.5" x14ac:dyDescent="0.25">
      <c r="A31" s="28">
        <v>1</v>
      </c>
      <c r="B31" s="34" t="str">
        <f>IFERROR(VLOOKUP(H31,'[1]Consolidado MP Planta'!$A$2:$M$823,3,0),"")</f>
        <v>ETIQUETA BLANCA R-153 (UND)</v>
      </c>
      <c r="C31" s="29">
        <f t="shared" si="6"/>
        <v>1</v>
      </c>
      <c r="D31" s="30" t="str">
        <f>IFERROR(VLOOKUP(H31,'[1]Consolidado MP Planta'!$A$2:$M$823,13,0),"")</f>
        <v>Und</v>
      </c>
      <c r="E31" s="30">
        <v>0.39</v>
      </c>
      <c r="F31" s="30">
        <f t="shared" si="7"/>
        <v>0.39</v>
      </c>
      <c r="G31" s="31">
        <f t="shared" si="8"/>
        <v>3.8818761583033948E-4</v>
      </c>
      <c r="H31" s="35" t="s">
        <v>149</v>
      </c>
      <c r="I31" s="35"/>
      <c r="J31" s="33"/>
      <c r="K31" s="36"/>
      <c r="L31" s="37"/>
    </row>
    <row r="32" spans="1:12" ht="13.5" x14ac:dyDescent="0.25">
      <c r="A32" s="28"/>
      <c r="B32" s="34" t="str">
        <f>IFERROR(VLOOKUP(H32,'[1]Consolidado MP Planta'!$A$2:$M$823,3,0),"")</f>
        <v/>
      </c>
      <c r="C32" s="29">
        <f t="shared" si="6"/>
        <v>0</v>
      </c>
      <c r="D32" s="30" t="str">
        <f>IFERROR(VLOOKUP(H32,'[1]Consolidado MP Planta'!$A$2:$M$823,13,0),"")</f>
        <v/>
      </c>
      <c r="E32" s="30" t="str">
        <f>IFERROR(VLOOKUP(H32,'[1]Consolidado MP Planta'!$A$2:$M$823,12,0),"")</f>
        <v/>
      </c>
      <c r="F32" s="30" t="str">
        <f t="shared" si="7"/>
        <v/>
      </c>
      <c r="G32" s="31" t="str">
        <f t="shared" si="8"/>
        <v/>
      </c>
      <c r="H32" s="35"/>
      <c r="I32" s="35"/>
      <c r="J32" s="33"/>
    </row>
    <row r="33" spans="1:13" ht="14.25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thickBot="1" x14ac:dyDescent="0.25">
      <c r="A34" s="23" t="s">
        <v>96</v>
      </c>
      <c r="B34" s="24" t="s">
        <v>105</v>
      </c>
      <c r="C34" s="24" t="s">
        <v>96</v>
      </c>
      <c r="D34" s="25" t="s">
        <v>98</v>
      </c>
      <c r="E34" s="25" t="s">
        <v>99</v>
      </c>
      <c r="F34" s="25" t="s">
        <v>100</v>
      </c>
      <c r="G34" s="25" t="s">
        <v>101</v>
      </c>
      <c r="H34" s="26" t="s">
        <v>102</v>
      </c>
      <c r="I34" s="35"/>
      <c r="J34" s="33"/>
    </row>
    <row r="35" spans="1:13" ht="13.5" x14ac:dyDescent="0.25">
      <c r="A35" s="28">
        <f>+A17</f>
        <v>32</v>
      </c>
      <c r="B35" s="34" t="s">
        <v>85</v>
      </c>
      <c r="C35" s="29">
        <f>+A35</f>
        <v>32</v>
      </c>
      <c r="D35" s="30" t="s">
        <v>146</v>
      </c>
      <c r="E35" s="30">
        <f>+'Costo corte Mini chilena Velvet'!H54</f>
        <v>7.7952744635193125E-2</v>
      </c>
      <c r="F35" s="30">
        <f>IFERROR(E35*C35,"")</f>
        <v>2.49448782832618</v>
      </c>
      <c r="G35" s="31">
        <f t="shared" ref="G35:G41" si="9">IFERROR(F35/$F$66,"")</f>
        <v>2.4828955969121561E-3</v>
      </c>
      <c r="H35" s="35" t="s">
        <v>89</v>
      </c>
      <c r="I35" s="35"/>
      <c r="J35" s="33"/>
    </row>
    <row r="36" spans="1:13" ht="13.5" hidden="1" x14ac:dyDescent="0.25">
      <c r="A36" s="28">
        <f t="shared" ref="A36:A41" si="10">+A18</f>
        <v>0</v>
      </c>
      <c r="B36" s="34" t="str">
        <f>IFERROR(VLOOKUP(H36,[1]SEMIELABORADOS!$A$2:$M$6000,2,0),"")</f>
        <v/>
      </c>
      <c r="C36" s="29">
        <f t="shared" ref="C36:C41" si="11">+A36</f>
        <v>0</v>
      </c>
      <c r="D36" s="30" t="str">
        <f>IFERROR(VLOOKUP(H36,[1]SEMIELABORADOS!$A$2:$M$6000,6,0),"")</f>
        <v/>
      </c>
      <c r="E36" s="30" t="str">
        <f>IFERROR(VLOOKUP(H36,[1]SEMIELABORADOS!$A$2:$M$65536,10,0),"")</f>
        <v/>
      </c>
      <c r="F36" s="30" t="str">
        <f t="shared" ref="F36:F41" si="12">IFERROR(E36*C36,"")</f>
        <v/>
      </c>
      <c r="G36" s="31" t="str">
        <f t="shared" si="9"/>
        <v/>
      </c>
      <c r="H36" s="35"/>
      <c r="I36" s="35"/>
      <c r="J36" s="33"/>
    </row>
    <row r="37" spans="1:13" ht="13.5" hidden="1" x14ac:dyDescent="0.25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25">
      <c r="A43" s="23" t="s">
        <v>96</v>
      </c>
      <c r="B43" s="24" t="s">
        <v>106</v>
      </c>
      <c r="C43" s="24" t="s">
        <v>96</v>
      </c>
      <c r="D43" s="25" t="s">
        <v>98</v>
      </c>
      <c r="E43" s="25" t="s">
        <v>99</v>
      </c>
      <c r="F43" s="25" t="s">
        <v>100</v>
      </c>
      <c r="G43" s="25" t="s">
        <v>101</v>
      </c>
      <c r="H43" s="26" t="s">
        <v>102</v>
      </c>
      <c r="I43" s="27"/>
      <c r="J43" s="33"/>
    </row>
    <row r="44" spans="1:13" ht="13.5" x14ac:dyDescent="0.25">
      <c r="A44" s="28">
        <f>+A35</f>
        <v>32</v>
      </c>
      <c r="B44" s="34" t="s">
        <v>85</v>
      </c>
      <c r="C44" s="29">
        <f>+A44</f>
        <v>32</v>
      </c>
      <c r="D44" s="30" t="s">
        <v>146</v>
      </c>
      <c r="E44" s="30">
        <f>+'Costo corte Mini chilena Velvet'!H56</f>
        <v>10.610738569384836</v>
      </c>
      <c r="F44" s="30">
        <f>IFERROR(E44*C44,"")</f>
        <v>339.54363422031474</v>
      </c>
      <c r="G44" s="31">
        <f>IFERROR(F44/$F$66,"")</f>
        <v>0.33796572779064832</v>
      </c>
      <c r="H44" s="35" t="s">
        <v>89</v>
      </c>
      <c r="I44" s="27"/>
      <c r="J44" s="33"/>
    </row>
    <row r="45" spans="1:13" ht="13.5" hidden="1" x14ac:dyDescent="0.25">
      <c r="A45" s="28">
        <f t="shared" ref="A45:A50" si="13">+A36</f>
        <v>0</v>
      </c>
      <c r="B45" s="34" t="str">
        <f>IFERROR(VLOOKUP(H45,[1]SEMIELABORADOS!$A$2:$M$6000,2,0),"")</f>
        <v/>
      </c>
      <c r="C45" s="29">
        <f t="shared" ref="C45:C50" si="14">+A45</f>
        <v>0</v>
      </c>
      <c r="D45" s="30" t="str">
        <f>IFERROR(VLOOKUP(H45,[1]SEMIELABORADOS!$A$2:$M$6000,6,0),"")</f>
        <v/>
      </c>
      <c r="E45" s="30" t="str">
        <f>IFERROR(VLOOKUP(H45,[1]SEMIELABORADOS!$A$2:$M$65536,12,0),"")</f>
        <v/>
      </c>
      <c r="F45" s="30" t="str">
        <f t="shared" ref="F45:F50" si="15">IFERROR(E45*C45,"")</f>
        <v/>
      </c>
      <c r="G45" s="31" t="str">
        <f t="shared" ref="G45:G50" si="16">IFERROR(F45/$F$66,"")</f>
        <v/>
      </c>
      <c r="H45" s="35"/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107</v>
      </c>
      <c r="C51" s="29">
        <f>+A51</f>
        <v>1</v>
      </c>
      <c r="D51" s="29" t="s">
        <v>108</v>
      </c>
      <c r="E51" s="30">
        <f>+F65</f>
        <v>154</v>
      </c>
      <c r="F51" s="30">
        <f>IFERROR(C51*E51,"")</f>
        <v>154</v>
      </c>
      <c r="G51" s="31">
        <f>IFERROR(F51/$F$66,"")</f>
        <v>0.1532843406099289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25">
      <c r="A53" s="40"/>
      <c r="B53" s="192" t="s">
        <v>109</v>
      </c>
      <c r="C53" s="192"/>
      <c r="D53" s="192"/>
      <c r="E53" s="192"/>
      <c r="F53" s="42">
        <f>SUM(F8:F14,F17:F24)</f>
        <v>376.7003409763434</v>
      </c>
      <c r="G53" s="31">
        <f>+F53/$F$66</f>
        <v>0.37494976216944276</v>
      </c>
      <c r="H53" s="43">
        <f>+F53/$D$60</f>
        <v>376.7003409763434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192" t="s">
        <v>110</v>
      </c>
      <c r="C54" s="192"/>
      <c r="D54" s="192"/>
      <c r="E54" s="192"/>
      <c r="F54" s="42">
        <f>SUM(F27:F32,F35:F41)</f>
        <v>466.43448782832616</v>
      </c>
      <c r="G54" s="31">
        <f>+F54/$F$66</f>
        <v>0.46426690197723952</v>
      </c>
      <c r="H54" s="43">
        <f>+F54/$D$60</f>
        <v>466.43448782832616</v>
      </c>
      <c r="I54" s="43"/>
      <c r="J54" s="47"/>
      <c r="K54" s="193" t="s">
        <v>111</v>
      </c>
      <c r="L54" s="194"/>
      <c r="M54" s="194"/>
      <c r="N54" s="194"/>
      <c r="O54" s="48">
        <f>+F55</f>
        <v>843.1348288046695</v>
      </c>
      <c r="P54" s="48"/>
      <c r="Q54" s="49"/>
    </row>
    <row r="55" spans="1:17" x14ac:dyDescent="0.2">
      <c r="A55" s="40"/>
      <c r="B55" s="192" t="s">
        <v>112</v>
      </c>
      <c r="C55" s="192"/>
      <c r="D55" s="192"/>
      <c r="E55" s="192"/>
      <c r="F55" s="42">
        <f>+F53+F54</f>
        <v>843.1348288046695</v>
      </c>
      <c r="G55" s="31">
        <f>+F55/$F$66</f>
        <v>0.83921666414668217</v>
      </c>
      <c r="H55" s="43">
        <f>+F55/$D$60</f>
        <v>843.1348288046695</v>
      </c>
      <c r="I55" s="43"/>
      <c r="J55" s="50"/>
      <c r="K55" s="51"/>
      <c r="M55" s="52" t="s">
        <v>113</v>
      </c>
      <c r="N55" s="53"/>
      <c r="O55" s="48">
        <f>+H56</f>
        <v>493.54363422031474</v>
      </c>
      <c r="P55" s="48"/>
      <c r="Q55" s="49"/>
    </row>
    <row r="56" spans="1:17" ht="13.5" thickBot="1" x14ac:dyDescent="0.25">
      <c r="A56" s="40"/>
      <c r="B56" s="41"/>
      <c r="C56" s="192" t="s">
        <v>114</v>
      </c>
      <c r="D56" s="192"/>
      <c r="E56" s="192"/>
      <c r="F56" s="42">
        <f>SUM(F44:F51)</f>
        <v>493.54363422031474</v>
      </c>
      <c r="G56" s="31">
        <f>+F56/$F$66</f>
        <v>0.49125006840057722</v>
      </c>
      <c r="H56" s="43">
        <f>+F56/$D$60</f>
        <v>493.54363422031474</v>
      </c>
      <c r="I56" s="43"/>
      <c r="J56" s="50"/>
      <c r="K56" s="51"/>
      <c r="L56" s="51"/>
      <c r="M56" s="51" t="s">
        <v>115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116</v>
      </c>
      <c r="N57" s="60"/>
      <c r="O57" s="61">
        <f>SUM(O54:O56)</f>
        <v>1336.6784630249842</v>
      </c>
      <c r="P57" s="62"/>
      <c r="Q57" s="49"/>
    </row>
    <row r="58" spans="1:17" x14ac:dyDescent="0.2">
      <c r="B58" s="195" t="s">
        <v>117</v>
      </c>
      <c r="C58" s="196"/>
      <c r="D58" s="63">
        <v>576</v>
      </c>
      <c r="E58" s="64"/>
      <c r="G58" s="31"/>
      <c r="H58" s="57">
        <f>+H56/77</f>
        <v>6.4096575872768149</v>
      </c>
      <c r="I58" s="65"/>
      <c r="J58" s="50"/>
      <c r="K58" s="58"/>
      <c r="L58" s="51"/>
      <c r="M58" s="51" t="s">
        <v>118</v>
      </c>
      <c r="N58" s="66"/>
      <c r="O58" s="48">
        <f>+H59</f>
        <v>532.00157974397564</v>
      </c>
      <c r="P58" s="48"/>
      <c r="Q58" s="49"/>
    </row>
    <row r="59" spans="1:17" x14ac:dyDescent="0.2">
      <c r="B59" s="195" t="s">
        <v>119</v>
      </c>
      <c r="C59" s="196"/>
      <c r="D59" s="67">
        <v>576</v>
      </c>
      <c r="E59" s="64"/>
      <c r="G59" s="31"/>
      <c r="H59" s="57">
        <f>+H58*83</f>
        <v>532.00157974397564</v>
      </c>
      <c r="I59" s="65"/>
      <c r="J59" s="50"/>
      <c r="K59" s="58"/>
      <c r="L59" s="51"/>
      <c r="M59" s="197" t="s">
        <v>116</v>
      </c>
      <c r="N59" s="197"/>
      <c r="O59" s="48">
        <f>SUM(O57:O58)</f>
        <v>1868.68004276896</v>
      </c>
      <c r="P59" s="48"/>
      <c r="Q59" s="49"/>
    </row>
    <row r="60" spans="1:17" ht="13.5" thickBot="1" x14ac:dyDescent="0.25">
      <c r="B60" s="186" t="s">
        <v>120</v>
      </c>
      <c r="C60" s="187"/>
      <c r="D60" s="63">
        <f>+D58/D59</f>
        <v>1</v>
      </c>
      <c r="E60" s="64"/>
      <c r="F60" s="68"/>
      <c r="G60" s="31"/>
      <c r="H60" s="57"/>
      <c r="I60" s="65"/>
      <c r="J60" s="50"/>
      <c r="K60" s="58"/>
      <c r="L60" s="197"/>
      <c r="M60" s="197"/>
      <c r="N60" s="66"/>
      <c r="O60" s="48">
        <f>+O59*N60</f>
        <v>0</v>
      </c>
      <c r="P60" s="48"/>
      <c r="Q60" s="49"/>
    </row>
    <row r="61" spans="1:17" ht="13.5" thickBot="1" x14ac:dyDescent="0.25">
      <c r="B61" s="186" t="s">
        <v>121</v>
      </c>
      <c r="C61" s="187"/>
      <c r="D61" s="69"/>
      <c r="E61" s="64"/>
      <c r="F61" s="68"/>
      <c r="G61" s="31"/>
      <c r="H61" s="57"/>
      <c r="I61" s="65"/>
      <c r="J61" s="50"/>
      <c r="K61" s="188" t="s">
        <v>122</v>
      </c>
      <c r="L61" s="189"/>
      <c r="M61" s="189"/>
      <c r="N61" s="190"/>
      <c r="O61" s="61">
        <f>SUM(O59:O60)</f>
        <v>1868.68004276896</v>
      </c>
      <c r="P61" s="70" t="s">
        <v>123</v>
      </c>
      <c r="Q61" s="49"/>
    </row>
    <row r="62" spans="1:17" ht="13.5" thickBot="1" x14ac:dyDescent="0.25">
      <c r="C62" s="40" t="s">
        <v>124</v>
      </c>
      <c r="D62" s="71"/>
      <c r="E62" s="14" t="s">
        <v>125</v>
      </c>
      <c r="F62" s="72" t="s">
        <v>126</v>
      </c>
      <c r="G62" s="31"/>
      <c r="H62" s="57"/>
      <c r="I62" s="65"/>
      <c r="J62" s="73"/>
      <c r="K62" s="74"/>
      <c r="L62" s="175" t="s">
        <v>127</v>
      </c>
      <c r="M62" s="175"/>
      <c r="N62" s="175"/>
      <c r="O62" s="75">
        <f>+O61/D60</f>
        <v>1868.68004276896</v>
      </c>
      <c r="P62" s="76">
        <f>+O62/D59</f>
        <v>3.2442361853627779</v>
      </c>
      <c r="Q62" s="77"/>
    </row>
    <row r="63" spans="1:17" ht="13.5" thickBot="1" x14ac:dyDescent="0.25">
      <c r="B63" s="176" t="s">
        <v>112</v>
      </c>
      <c r="C63" s="176"/>
      <c r="D63" s="176"/>
      <c r="E63" s="78">
        <f>+F63/F63</f>
        <v>1</v>
      </c>
      <c r="F63" s="79">
        <f>SUM(F55)</f>
        <v>843.1348288046695</v>
      </c>
      <c r="G63" s="31">
        <f>+F63/$F$66</f>
        <v>0.83921666414668217</v>
      </c>
      <c r="H63" s="57"/>
      <c r="I63" s="65"/>
      <c r="K63" s="177"/>
      <c r="L63" s="178"/>
      <c r="M63" s="178"/>
      <c r="N63" s="178"/>
      <c r="O63" s="80"/>
      <c r="P63" s="81"/>
    </row>
    <row r="64" spans="1:17" ht="13.5" thickBot="1" x14ac:dyDescent="0.25">
      <c r="B64" s="179" t="s">
        <v>128</v>
      </c>
      <c r="C64" s="179"/>
      <c r="D64" s="179"/>
      <c r="E64" s="82">
        <v>0.02</v>
      </c>
      <c r="F64" s="79">
        <f>+F53*E64</f>
        <v>7.5340068195268683</v>
      </c>
      <c r="G64" s="31">
        <f>+F64/$F$66</f>
        <v>7.4989952433888556E-3</v>
      </c>
      <c r="H64" s="43"/>
      <c r="I64" s="65"/>
      <c r="J64" s="83"/>
      <c r="O64" s="84">
        <f>+O62/32</f>
        <v>58.39625133653</v>
      </c>
      <c r="P64" s="41"/>
    </row>
    <row r="65" spans="2:13" ht="13.5" thickBot="1" x14ac:dyDescent="0.25">
      <c r="B65" s="180" t="s">
        <v>129</v>
      </c>
      <c r="C65" s="181"/>
      <c r="D65" s="85">
        <v>2</v>
      </c>
      <c r="E65" s="86">
        <v>77</v>
      </c>
      <c r="F65" s="79">
        <f>+E65*D65</f>
        <v>154</v>
      </c>
      <c r="G65" s="31">
        <f>+F65/$F$66</f>
        <v>0.1532843406099289</v>
      </c>
      <c r="H65" s="43"/>
      <c r="I65" s="43"/>
      <c r="J65" s="33"/>
    </row>
    <row r="66" spans="2:13" ht="13.5" thickBot="1" x14ac:dyDescent="0.25">
      <c r="B66" s="182" t="s">
        <v>130</v>
      </c>
      <c r="C66" s="183"/>
      <c r="D66" s="183"/>
      <c r="E66" s="184"/>
      <c r="F66" s="56">
        <f>SUM(F63:F65)</f>
        <v>1004.6688356241964</v>
      </c>
      <c r="G66" s="31">
        <f>+F66/$F$66</f>
        <v>1</v>
      </c>
      <c r="H66" s="185"/>
      <c r="I66" s="43"/>
      <c r="J66" s="33"/>
      <c r="M66" s="16" t="s">
        <v>131</v>
      </c>
    </row>
    <row r="67" spans="2:13" x14ac:dyDescent="0.2">
      <c r="C67" s="38"/>
      <c r="D67" s="38"/>
      <c r="E67" s="88"/>
      <c r="F67" s="79"/>
      <c r="G67" s="31"/>
      <c r="H67" s="185"/>
      <c r="I67" s="87"/>
      <c r="J67" s="16"/>
      <c r="M67" s="16" t="s">
        <v>132</v>
      </c>
    </row>
    <row r="68" spans="2:13" ht="13.5" thickBot="1" x14ac:dyDescent="0.25">
      <c r="B68" s="170" t="s">
        <v>133</v>
      </c>
      <c r="C68" s="170"/>
      <c r="D68" s="170"/>
      <c r="E68" s="170"/>
      <c r="F68" s="170"/>
      <c r="G68" s="31"/>
      <c r="H68" s="90"/>
      <c r="I68" s="87"/>
      <c r="J68" s="16"/>
      <c r="M68" s="16" t="s">
        <v>134</v>
      </c>
    </row>
    <row r="69" spans="2:13" ht="13.5" thickBot="1" x14ac:dyDescent="0.25">
      <c r="B69" s="91" t="s">
        <v>135</v>
      </c>
      <c r="C69" s="92">
        <f>+F53</f>
        <v>376.7003409763434</v>
      </c>
      <c r="D69" s="92">
        <f>+D58</f>
        <v>576</v>
      </c>
      <c r="E69" s="93">
        <f>+C69/D69</f>
        <v>0.65399364752837397</v>
      </c>
      <c r="F69" s="31"/>
      <c r="G69" s="90"/>
      <c r="H69" s="33"/>
      <c r="I69" s="90"/>
      <c r="J69" s="16"/>
    </row>
    <row r="70" spans="2:13" x14ac:dyDescent="0.2">
      <c r="B70" s="94"/>
      <c r="C70" s="95"/>
      <c r="D70" s="96"/>
      <c r="E70" s="79"/>
      <c r="F70" s="31"/>
      <c r="G70" s="90"/>
      <c r="H70" s="33"/>
      <c r="I70" s="33"/>
      <c r="J70" s="16"/>
    </row>
    <row r="71" spans="2:13" x14ac:dyDescent="0.2">
      <c r="B71" s="91" t="s">
        <v>136</v>
      </c>
      <c r="C71" s="92">
        <f>SUM(F63:F64)</f>
        <v>850.66883562419639</v>
      </c>
      <c r="D71" s="92">
        <f>+D58</f>
        <v>576</v>
      </c>
      <c r="E71" s="97">
        <f>+C71/D71</f>
        <v>1.4768556174031187</v>
      </c>
      <c r="F71" s="31"/>
      <c r="G71" s="90"/>
      <c r="H71" s="33"/>
      <c r="I71" s="33"/>
      <c r="J71" s="16"/>
    </row>
    <row r="72" spans="2:13" x14ac:dyDescent="0.2">
      <c r="B72" s="91"/>
      <c r="C72" s="92"/>
      <c r="D72" s="92"/>
      <c r="E72" s="97"/>
      <c r="F72" s="31"/>
      <c r="G72" s="90"/>
      <c r="H72" s="33"/>
      <c r="I72" s="33"/>
      <c r="J72" s="16"/>
    </row>
    <row r="73" spans="2:13" ht="13.5" thickBot="1" x14ac:dyDescent="0.25">
      <c r="B73" s="91" t="s">
        <v>137</v>
      </c>
      <c r="C73" s="92">
        <f>+F65</f>
        <v>154</v>
      </c>
      <c r="D73" s="92">
        <f>+D58</f>
        <v>576</v>
      </c>
      <c r="E73" s="97">
        <f>+C73/D73</f>
        <v>0.2673611111111111</v>
      </c>
      <c r="F73" s="31"/>
      <c r="G73" s="90"/>
      <c r="H73" s="33"/>
      <c r="I73" s="33"/>
      <c r="J73" s="16"/>
    </row>
    <row r="74" spans="2:13" ht="13.5" thickBot="1" x14ac:dyDescent="0.25">
      <c r="B74" s="91" t="s">
        <v>138</v>
      </c>
      <c r="C74" s="92">
        <f>+F56</f>
        <v>493.54363422031474</v>
      </c>
      <c r="D74" s="92">
        <f>+D73</f>
        <v>576</v>
      </c>
      <c r="E74" s="93">
        <f>+C74/D74</f>
        <v>0.8568465871880464</v>
      </c>
      <c r="F74" s="31"/>
      <c r="G74" s="90"/>
      <c r="H74" s="33"/>
      <c r="I74" s="33"/>
      <c r="J74" s="16"/>
    </row>
    <row r="75" spans="2:13" ht="13.5" thickBot="1" x14ac:dyDescent="0.25">
      <c r="B75" s="55"/>
      <c r="C75" s="56"/>
      <c r="D75" s="56"/>
      <c r="E75" s="97"/>
      <c r="F75" s="31"/>
      <c r="G75" s="90"/>
      <c r="H75" s="33"/>
      <c r="I75" s="33"/>
      <c r="J75" s="16"/>
    </row>
    <row r="76" spans="2:13" ht="13.5" thickBot="1" x14ac:dyDescent="0.25">
      <c r="B76" s="91" t="s">
        <v>139</v>
      </c>
      <c r="C76" s="92">
        <f>+F54</f>
        <v>466.43448782832616</v>
      </c>
      <c r="D76" s="92">
        <f>+D74</f>
        <v>576</v>
      </c>
      <c r="E76" s="93">
        <f>+C76/D76</f>
        <v>0.80978209692417735</v>
      </c>
      <c r="F76" s="31"/>
      <c r="G76" s="90"/>
      <c r="H76" s="33"/>
      <c r="I76" s="33"/>
      <c r="J76" s="33"/>
    </row>
    <row r="77" spans="2:13" ht="13.5" thickBot="1" x14ac:dyDescent="0.25">
      <c r="B77" s="55"/>
      <c r="C77" s="56"/>
      <c r="D77" s="56"/>
      <c r="E77" s="97"/>
      <c r="F77" s="31"/>
      <c r="G77" s="90"/>
      <c r="H77" s="33"/>
      <c r="I77" s="33"/>
    </row>
    <row r="78" spans="2:13" ht="13.5" thickBot="1" x14ac:dyDescent="0.25">
      <c r="B78" s="171" t="s">
        <v>140</v>
      </c>
      <c r="C78" s="172"/>
      <c r="D78" s="173"/>
      <c r="E78" s="93">
        <f>+E69+E74</f>
        <v>1.5108402347164205</v>
      </c>
      <c r="G78" s="31"/>
      <c r="H78" s="90"/>
      <c r="I78" s="33"/>
      <c r="J78" s="97"/>
    </row>
    <row r="79" spans="2:13" x14ac:dyDescent="0.2">
      <c r="I79" s="90"/>
      <c r="J79" s="16"/>
    </row>
    <row r="80" spans="2:13" ht="13.5" thickBot="1" x14ac:dyDescent="0.25">
      <c r="B80" s="170" t="s">
        <v>141</v>
      </c>
      <c r="C80" s="170"/>
      <c r="D80" s="170"/>
      <c r="E80" s="170"/>
      <c r="F80" s="170"/>
      <c r="G80" s="31"/>
      <c r="H80" s="90"/>
      <c r="J80" s="16"/>
    </row>
    <row r="81" spans="1:10" ht="13.5" thickBot="1" x14ac:dyDescent="0.25">
      <c r="B81" s="91" t="s">
        <v>135</v>
      </c>
      <c r="C81" s="92">
        <f>+C69</f>
        <v>376.7003409763434</v>
      </c>
      <c r="D81" s="92">
        <f>+D60</f>
        <v>1</v>
      </c>
      <c r="E81" s="93">
        <f>+C81/D81</f>
        <v>376.7003409763434</v>
      </c>
      <c r="F81" s="31"/>
      <c r="G81" s="90"/>
      <c r="H81" s="33"/>
      <c r="I81" s="90"/>
      <c r="J81" s="16"/>
    </row>
    <row r="82" spans="1:10" x14ac:dyDescent="0.2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">
      <c r="B83" s="91" t="s">
        <v>136</v>
      </c>
      <c r="C83" s="92">
        <f>+C71</f>
        <v>850.66883562419639</v>
      </c>
      <c r="D83" s="92">
        <f>+D60</f>
        <v>1</v>
      </c>
      <c r="E83" s="97">
        <f>+C83/D83</f>
        <v>850.66883562419639</v>
      </c>
      <c r="F83" s="31"/>
      <c r="G83" s="90"/>
      <c r="H83" s="33"/>
      <c r="I83" s="33"/>
      <c r="J83" s="16"/>
    </row>
    <row r="84" spans="1:10" x14ac:dyDescent="0.2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25">
      <c r="B85" s="91" t="s">
        <v>138</v>
      </c>
      <c r="C85" s="92">
        <f>+C73</f>
        <v>154</v>
      </c>
      <c r="D85" s="92">
        <f>+D60</f>
        <v>1</v>
      </c>
      <c r="E85" s="97">
        <f>+C85/D85</f>
        <v>154</v>
      </c>
      <c r="F85" s="99"/>
      <c r="G85" s="89"/>
      <c r="H85" s="15"/>
      <c r="I85" s="33"/>
    </row>
    <row r="86" spans="1:10" ht="13.5" thickBot="1" x14ac:dyDescent="0.25">
      <c r="B86" s="91" t="s">
        <v>138</v>
      </c>
      <c r="C86" s="92">
        <f>+C74</f>
        <v>493.54363422031474</v>
      </c>
      <c r="D86" s="92">
        <f>+D85</f>
        <v>1</v>
      </c>
      <c r="E86" s="93">
        <f>+C86/D86</f>
        <v>493.54363422031474</v>
      </c>
      <c r="F86" s="98"/>
      <c r="G86" s="89"/>
      <c r="H86" s="15"/>
      <c r="I86" s="15"/>
    </row>
    <row r="87" spans="1:10" x14ac:dyDescent="0.2">
      <c r="I87" s="15"/>
    </row>
    <row r="88" spans="1:10" x14ac:dyDescent="0.2">
      <c r="A88" s="174"/>
      <c r="B88" s="174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198C-DF35-482E-829B-14919D077444}">
  <dimension ref="A1:Q91"/>
  <sheetViews>
    <sheetView workbookViewId="0">
      <selection activeCell="E18" sqref="E18"/>
    </sheetView>
  </sheetViews>
  <sheetFormatPr baseColWidth="10" defaultColWidth="8.42578125" defaultRowHeight="12.75" x14ac:dyDescent="0.2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">
      <c r="A1" s="11"/>
      <c r="B1" s="11"/>
      <c r="C1" s="11"/>
      <c r="D1" s="11"/>
      <c r="E1" s="12" t="s">
        <v>90</v>
      </c>
      <c r="F1" s="13" t="s">
        <v>91</v>
      </c>
      <c r="G1" s="13" t="s">
        <v>92</v>
      </c>
      <c r="H1" s="13" t="s">
        <v>93</v>
      </c>
      <c r="I1" s="14"/>
    </row>
    <row r="2" spans="1:10" ht="30.75" customHeight="1" x14ac:dyDescent="0.2">
      <c r="A2" s="11"/>
      <c r="B2" s="11"/>
      <c r="C2" s="11"/>
      <c r="D2" s="11"/>
      <c r="E2" s="17">
        <f>IFERROR(O62,"")</f>
        <v>13.319724262571528</v>
      </c>
      <c r="F2" s="17">
        <f>IFERROR(H53,"")</f>
        <v>11.771885655510731</v>
      </c>
      <c r="G2" s="17">
        <f>IFERROR(H54,"")</f>
        <v>7.7952744635193125E-2</v>
      </c>
      <c r="H2" s="17">
        <f>IFERROR(H56,"")</f>
        <v>10.610738569384836</v>
      </c>
      <c r="I2" s="18"/>
    </row>
    <row r="3" spans="1:10" ht="15" customHeight="1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25">
      <c r="A4" s="198"/>
      <c r="B4" s="198"/>
      <c r="C4" s="198"/>
      <c r="D4" s="198"/>
      <c r="E4" s="198"/>
      <c r="F4" s="198"/>
      <c r="G4" s="198"/>
      <c r="H4" s="198"/>
      <c r="I4" s="20"/>
    </row>
    <row r="5" spans="1:10" ht="19.5" customHeight="1" thickBot="1" x14ac:dyDescent="0.25">
      <c r="A5" s="199" t="s">
        <v>94</v>
      </c>
      <c r="B5" s="200"/>
      <c r="C5" s="200"/>
      <c r="D5" s="200"/>
      <c r="E5" s="200"/>
      <c r="F5" s="200"/>
      <c r="G5" s="200"/>
      <c r="H5" s="201"/>
      <c r="I5" s="21"/>
    </row>
    <row r="6" spans="1:10" ht="19.5" thickBot="1" x14ac:dyDescent="0.25">
      <c r="A6" s="21"/>
      <c r="B6" s="21"/>
      <c r="C6" s="21"/>
      <c r="D6" s="21"/>
      <c r="E6" s="21"/>
      <c r="F6" s="202" t="s">
        <v>95</v>
      </c>
      <c r="G6" s="202"/>
      <c r="H6" s="22">
        <f ca="1">TODAY()</f>
        <v>46059</v>
      </c>
      <c r="I6" s="22"/>
    </row>
    <row r="7" spans="1:10" ht="26.25" hidden="1" thickBot="1" x14ac:dyDescent="0.25">
      <c r="A7" s="23" t="s">
        <v>96</v>
      </c>
      <c r="B7" s="24" t="s">
        <v>97</v>
      </c>
      <c r="C7" s="24" t="s">
        <v>96</v>
      </c>
      <c r="D7" s="25" t="s">
        <v>98</v>
      </c>
      <c r="E7" s="25" t="s">
        <v>99</v>
      </c>
      <c r="F7" s="25" t="s">
        <v>100</v>
      </c>
      <c r="G7" s="25" t="s">
        <v>101</v>
      </c>
      <c r="H7" s="26" t="s">
        <v>102</v>
      </c>
      <c r="I7" s="27"/>
    </row>
    <row r="8" spans="1:10" ht="13.5" hidden="1" x14ac:dyDescent="0.25">
      <c r="A8" s="28"/>
      <c r="B8" s="16" t="str">
        <f>IFERROR(VLOOKUP(H8,'[1]Consolidado MP Planta'!$A$2:$M$823,3,0),"")</f>
        <v/>
      </c>
      <c r="C8" s="29">
        <f>+A8</f>
        <v>0</v>
      </c>
      <c r="D8" s="30" t="str">
        <f>IFERROR(VLOOKUP(H8,'[1]Consolidado MP Planta'!$A$2:$M$823,13,0),"")</f>
        <v/>
      </c>
      <c r="E8" s="30" t="str">
        <f>IFERROR(VLOOKUP(H8,'[1]Consolidado MP Planta'!$A$2:$M$823,12,0),"")</f>
        <v/>
      </c>
      <c r="F8" s="30" t="str">
        <f>IFERROR(C8*E8,"")</f>
        <v/>
      </c>
      <c r="G8" s="31" t="str">
        <f t="shared" ref="G8:G14" si="0">IFERROR(F8/$F$66,"")</f>
        <v/>
      </c>
      <c r="H8" s="32"/>
      <c r="I8" s="32"/>
      <c r="J8" s="33"/>
    </row>
    <row r="9" spans="1:10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hidden="1" thickBot="1" x14ac:dyDescent="0.3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25">
      <c r="A16" s="23" t="s">
        <v>96</v>
      </c>
      <c r="B16" s="24" t="s">
        <v>103</v>
      </c>
      <c r="C16" s="24" t="s">
        <v>96</v>
      </c>
      <c r="D16" s="25" t="s">
        <v>98</v>
      </c>
      <c r="E16" s="25" t="s">
        <v>99</v>
      </c>
      <c r="F16" s="25" t="s">
        <v>100</v>
      </c>
      <c r="G16" s="25" t="s">
        <v>101</v>
      </c>
      <c r="H16" s="26" t="s">
        <v>102</v>
      </c>
      <c r="I16" s="27"/>
      <c r="J16" s="33"/>
    </row>
    <row r="17" spans="1:13" ht="13.5" x14ac:dyDescent="0.25">
      <c r="A17" s="28">
        <v>150</v>
      </c>
      <c r="B17" s="16" t="s">
        <v>82</v>
      </c>
      <c r="C17" s="29">
        <f>+A17</f>
        <v>150</v>
      </c>
      <c r="D17" s="29" t="s">
        <v>142</v>
      </c>
      <c r="E17" s="30">
        <f>+'Costo Pasta alfajor Velvet'!E69</f>
        <v>1.145188565551073</v>
      </c>
      <c r="F17" s="30">
        <f>IFERROR(E17*C17,"")</f>
        <v>171.77828483266094</v>
      </c>
      <c r="G17" s="31">
        <f t="shared" ref="G17:G24" si="3">IFERROR(F17/$F$66,"")</f>
        <v>0.51234408428233635</v>
      </c>
      <c r="H17" s="32" t="s">
        <v>88</v>
      </c>
      <c r="I17" s="32"/>
      <c r="J17" s="33"/>
    </row>
    <row r="18" spans="1:13" ht="13.5" x14ac:dyDescent="0.25">
      <c r="A18" s="28">
        <v>10</v>
      </c>
      <c r="B18" s="16" t="s">
        <v>84</v>
      </c>
      <c r="C18" s="29">
        <f t="shared" ref="C18:C24" si="4">+A18</f>
        <v>10</v>
      </c>
      <c r="D18" s="29" t="s">
        <v>142</v>
      </c>
      <c r="E18" s="30">
        <v>0.48</v>
      </c>
      <c r="F18" s="30">
        <f t="shared" ref="F18:F24" si="5">IFERROR(E18*C18,"")</f>
        <v>4.8</v>
      </c>
      <c r="G18" s="31">
        <f t="shared" si="3"/>
        <v>1.4316428918538291E-2</v>
      </c>
      <c r="H18" s="32" t="s">
        <v>83</v>
      </c>
      <c r="I18" s="32"/>
      <c r="J18" s="33"/>
    </row>
    <row r="19" spans="1:13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3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  <c r="M20" s="16">
        <f>476/1000</f>
        <v>0.47599999999999998</v>
      </c>
    </row>
    <row r="21" spans="1:13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3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3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3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3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3" ht="26.25" hidden="1" thickBot="1" x14ac:dyDescent="0.25">
      <c r="A26" s="23" t="s">
        <v>96</v>
      </c>
      <c r="B26" s="24" t="s">
        <v>104</v>
      </c>
      <c r="C26" s="24" t="s">
        <v>96</v>
      </c>
      <c r="D26" s="25" t="s">
        <v>98</v>
      </c>
      <c r="E26" s="25" t="s">
        <v>99</v>
      </c>
      <c r="F26" s="25" t="s">
        <v>100</v>
      </c>
      <c r="G26" s="25" t="s">
        <v>101</v>
      </c>
      <c r="H26" s="26" t="s">
        <v>102</v>
      </c>
      <c r="I26" s="27"/>
    </row>
    <row r="27" spans="1:13" ht="13.5" hidden="1" x14ac:dyDescent="0.25">
      <c r="A27" s="28">
        <v>0</v>
      </c>
      <c r="B27" s="34" t="str">
        <f>IFERROR(VLOOKUP(H27,'[1]Consolidado MP Planta'!$A$2:$M$823,3,0),"")</f>
        <v/>
      </c>
      <c r="C27" s="29">
        <f t="shared" ref="C27:C32" si="6">+A27</f>
        <v>0</v>
      </c>
      <c r="D27" s="30" t="str">
        <f>IFERROR(VLOOKUP(H27,'[1]Consolidado MP Planta'!$A$2:$M$823,13,0),"")</f>
        <v/>
      </c>
      <c r="E27" s="30" t="str">
        <f>IFERROR(VLOOKUP(H27,'[1]Consolidado MP Planta'!$A$2:$M$823,12,0),"")</f>
        <v/>
      </c>
      <c r="F27" s="30" t="str">
        <f t="shared" ref="F27:F32" si="7">IFERROR(C27*E27,"")</f>
        <v/>
      </c>
      <c r="G27" s="31" t="str">
        <f t="shared" ref="G27:G32" si="8">IFERROR(F27/$F$66,"")</f>
        <v/>
      </c>
      <c r="H27" s="35"/>
      <c r="I27" s="35"/>
      <c r="J27" s="33"/>
      <c r="K27" s="191"/>
      <c r="L27" s="191"/>
    </row>
    <row r="28" spans="1:13" ht="13.5" hidden="1" x14ac:dyDescent="0.25">
      <c r="A28" s="28"/>
      <c r="B28" s="34" t="str">
        <f>IFERROR(VLOOKUP(H28,'[1]Consolidado MP Planta'!$A$2:$M$823,3,0),"")</f>
        <v/>
      </c>
      <c r="C28" s="29">
        <f t="shared" si="6"/>
        <v>0</v>
      </c>
      <c r="D28" s="30" t="str">
        <f>IFERROR(VLOOKUP(H28,'[1]Consolidado MP Planta'!$A$2:$M$823,13,0),"")</f>
        <v/>
      </c>
      <c r="E28" s="30" t="str">
        <f>IFERROR(VLOOKUP(H28,'[1]Consolidado MP Planta'!$A$2:$M$823,12,0),"")</f>
        <v/>
      </c>
      <c r="F28" s="30" t="str">
        <f t="shared" si="7"/>
        <v/>
      </c>
      <c r="G28" s="31" t="str">
        <f t="shared" si="8"/>
        <v/>
      </c>
      <c r="H28" s="35"/>
      <c r="I28" s="35"/>
      <c r="J28" s="33"/>
      <c r="K28" s="191"/>
      <c r="L28" s="191"/>
    </row>
    <row r="29" spans="1:13" ht="13.5" hidden="1" x14ac:dyDescent="0.25">
      <c r="A29" s="28"/>
      <c r="B29" s="34" t="str">
        <f>IFERROR(VLOOKUP(H29,'[1]Consolidado MP Planta'!$A$2:$M$823,3,0),"")</f>
        <v/>
      </c>
      <c r="C29" s="29">
        <f t="shared" si="6"/>
        <v>0</v>
      </c>
      <c r="D29" s="30" t="str">
        <f>IFERROR(VLOOKUP(H29,'[1]Consolidado MP Planta'!$A$2:$M$823,13,0),"")</f>
        <v/>
      </c>
      <c r="E29" s="30" t="str">
        <f>IFERROR(VLOOKUP(H29,'[1]Consolidado MP Planta'!$A$2:$M$823,12,0),"")</f>
        <v/>
      </c>
      <c r="F29" s="30" t="str">
        <f t="shared" si="7"/>
        <v/>
      </c>
      <c r="G29" s="31" t="str">
        <f t="shared" si="8"/>
        <v/>
      </c>
      <c r="H29" s="35"/>
      <c r="I29" s="35"/>
      <c r="J29" s="33"/>
      <c r="K29" s="191"/>
      <c r="L29" s="191"/>
    </row>
    <row r="30" spans="1:13" ht="13.5" hidden="1" x14ac:dyDescent="0.25">
      <c r="A30" s="28"/>
      <c r="B30" s="34" t="str">
        <f>IFERROR(VLOOKUP(H30,'[1]Consolidado MP Planta'!$A$2:$M$823,3,0),"")</f>
        <v/>
      </c>
      <c r="C30" s="29">
        <f t="shared" si="6"/>
        <v>0</v>
      </c>
      <c r="D30" s="30" t="str">
        <f>IFERROR(VLOOKUP(H30,'[1]Consolidado MP Planta'!$A$2:$M$823,13,0),"")</f>
        <v/>
      </c>
      <c r="E30" s="30" t="str">
        <f>IFERROR(VLOOKUP(H30,'[1]Consolidado MP Planta'!$A$2:$M$823,12,0),"")</f>
        <v/>
      </c>
      <c r="F30" s="30" t="str">
        <f t="shared" si="7"/>
        <v/>
      </c>
      <c r="G30" s="31" t="str">
        <f t="shared" si="8"/>
        <v/>
      </c>
      <c r="H30" s="35"/>
      <c r="I30" s="35"/>
      <c r="J30" s="33"/>
      <c r="K30" s="191"/>
      <c r="L30" s="191"/>
    </row>
    <row r="31" spans="1:13" ht="13.5" hidden="1" x14ac:dyDescent="0.25">
      <c r="A31" s="28"/>
      <c r="B31" s="34" t="str">
        <f>IFERROR(VLOOKUP(H31,'[1]Consolidado MP Planta'!$A$2:$M$823,3,0),"")</f>
        <v/>
      </c>
      <c r="C31" s="29">
        <f t="shared" si="6"/>
        <v>0</v>
      </c>
      <c r="D31" s="30" t="str">
        <f>IFERROR(VLOOKUP(H31,'[1]Consolidado MP Planta'!$A$2:$M$823,13,0),"")</f>
        <v/>
      </c>
      <c r="E31" s="30" t="str">
        <f>IFERROR(VLOOKUP(H31,'[1]Consolidado MP Planta'!$A$2:$M$823,12,0),"")</f>
        <v/>
      </c>
      <c r="F31" s="30" t="str">
        <f t="shared" si="7"/>
        <v/>
      </c>
      <c r="G31" s="31" t="str">
        <f t="shared" si="8"/>
        <v/>
      </c>
      <c r="H31" s="35"/>
      <c r="I31" s="35"/>
      <c r="J31" s="33"/>
      <c r="K31" s="36"/>
      <c r="L31" s="37"/>
    </row>
    <row r="32" spans="1:13" ht="13.5" hidden="1" x14ac:dyDescent="0.25">
      <c r="A32" s="28"/>
      <c r="B32" s="34" t="str">
        <f>IFERROR(VLOOKUP(H32,'[1]Consolidado MP Planta'!$A$2:$M$823,3,0),"")</f>
        <v/>
      </c>
      <c r="C32" s="29">
        <f t="shared" si="6"/>
        <v>0</v>
      </c>
      <c r="D32" s="30" t="str">
        <f>IFERROR(VLOOKUP(H32,'[1]Consolidado MP Planta'!$A$2:$M$823,13,0),"")</f>
        <v/>
      </c>
      <c r="E32" s="30" t="str">
        <f>IFERROR(VLOOKUP(H32,'[1]Consolidado MP Planta'!$A$2:$M$823,12,0),"")</f>
        <v/>
      </c>
      <c r="F32" s="30" t="str">
        <f t="shared" si="7"/>
        <v/>
      </c>
      <c r="G32" s="31" t="str">
        <f t="shared" si="8"/>
        <v/>
      </c>
      <c r="H32" s="35"/>
      <c r="I32" s="35"/>
      <c r="J32" s="33"/>
    </row>
    <row r="33" spans="1:13" ht="14.25" hidden="1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thickBot="1" x14ac:dyDescent="0.25">
      <c r="A34" s="23" t="s">
        <v>96</v>
      </c>
      <c r="B34" s="24" t="s">
        <v>105</v>
      </c>
      <c r="C34" s="24" t="s">
        <v>96</v>
      </c>
      <c r="D34" s="25" t="s">
        <v>98</v>
      </c>
      <c r="E34" s="25" t="s">
        <v>99</v>
      </c>
      <c r="F34" s="25" t="s">
        <v>100</v>
      </c>
      <c r="G34" s="25" t="s">
        <v>101</v>
      </c>
      <c r="H34" s="26" t="s">
        <v>102</v>
      </c>
      <c r="I34" s="35"/>
      <c r="J34" s="33"/>
    </row>
    <row r="35" spans="1:13" ht="13.5" x14ac:dyDescent="0.25">
      <c r="A35" s="28">
        <f>+A17</f>
        <v>150</v>
      </c>
      <c r="B35" s="34" t="s">
        <v>82</v>
      </c>
      <c r="C35" s="29">
        <f>+A35</f>
        <v>150</v>
      </c>
      <c r="D35" s="30" t="s">
        <v>142</v>
      </c>
      <c r="E35" s="30">
        <f>+'Costo Pasta alfajor Velvet'!E76</f>
        <v>5.7952744635193128E-3</v>
      </c>
      <c r="F35" s="30">
        <f>IFERROR(E35*C35,"")</f>
        <v>0.86929116952789687</v>
      </c>
      <c r="G35" s="31">
        <f t="shared" ref="G35:G41" si="9">IFERROR(F35/$F$66,"")</f>
        <v>2.5927385912623241E-3</v>
      </c>
      <c r="H35" s="35" t="s">
        <v>88</v>
      </c>
      <c r="I35" s="35"/>
      <c r="J35" s="33"/>
    </row>
    <row r="36" spans="1:13" ht="13.5" x14ac:dyDescent="0.25">
      <c r="A36" s="28">
        <f t="shared" ref="A36:A41" si="10">+A18</f>
        <v>10</v>
      </c>
      <c r="B36" s="34" t="s">
        <v>84</v>
      </c>
      <c r="C36" s="29">
        <f t="shared" ref="C36:C41" si="11">+A36</f>
        <v>10</v>
      </c>
      <c r="D36" s="30" t="s">
        <v>142</v>
      </c>
      <c r="E36" s="30">
        <v>0.03</v>
      </c>
      <c r="F36" s="30">
        <f t="shared" ref="F36:F41" si="12">IFERROR(E36*C36,"")</f>
        <v>0.3</v>
      </c>
      <c r="G36" s="31">
        <f t="shared" si="9"/>
        <v>8.9477680740864321E-4</v>
      </c>
      <c r="H36" s="35" t="s">
        <v>83</v>
      </c>
      <c r="I36" s="35"/>
      <c r="J36" s="33"/>
    </row>
    <row r="37" spans="1:13" ht="13.5" hidden="1" x14ac:dyDescent="0.25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25">
      <c r="A43" s="23" t="s">
        <v>96</v>
      </c>
      <c r="B43" s="24" t="s">
        <v>106</v>
      </c>
      <c r="C43" s="24" t="s">
        <v>96</v>
      </c>
      <c r="D43" s="25" t="s">
        <v>98</v>
      </c>
      <c r="E43" s="25" t="s">
        <v>99</v>
      </c>
      <c r="F43" s="25" t="s">
        <v>100</v>
      </c>
      <c r="G43" s="25" t="s">
        <v>101</v>
      </c>
      <c r="H43" s="26" t="s">
        <v>102</v>
      </c>
      <c r="I43" s="27"/>
      <c r="J43" s="33"/>
    </row>
    <row r="44" spans="1:13" ht="13.5" x14ac:dyDescent="0.25">
      <c r="A44" s="28">
        <f>+A35</f>
        <v>150</v>
      </c>
      <c r="B44" s="34" t="s">
        <v>82</v>
      </c>
      <c r="C44" s="29">
        <f>+A44</f>
        <v>150</v>
      </c>
      <c r="D44" s="30" t="s">
        <v>142</v>
      </c>
      <c r="E44" s="30">
        <f>+'Costo Pasta alfajor Velvet'!E74</f>
        <v>3.1740523605150214E-2</v>
      </c>
      <c r="F44" s="30">
        <f>IFERROR(E44*C44,"")</f>
        <v>4.761078540772532</v>
      </c>
      <c r="G44" s="31">
        <f>IFERROR(F44/$F$66,"")</f>
        <v>1.4200342188447493E-2</v>
      </c>
      <c r="H44" s="35" t="s">
        <v>88</v>
      </c>
      <c r="I44" s="27"/>
      <c r="J44" s="33"/>
    </row>
    <row r="45" spans="1:13" ht="13.5" x14ac:dyDescent="0.25">
      <c r="A45" s="28">
        <f t="shared" ref="A45:A50" si="13">+A36</f>
        <v>10</v>
      </c>
      <c r="B45" s="34" t="s">
        <v>84</v>
      </c>
      <c r="C45" s="29">
        <f t="shared" ref="C45:C50" si="14">+A45</f>
        <v>10</v>
      </c>
      <c r="D45" s="30" t="s">
        <v>142</v>
      </c>
      <c r="E45" s="30">
        <v>0.04</v>
      </c>
      <c r="F45" s="30">
        <f t="shared" ref="F45:F50" si="15">IFERROR(E45*C45,"")</f>
        <v>0.4</v>
      </c>
      <c r="G45" s="31">
        <f t="shared" ref="G45:G50" si="16">IFERROR(F45/$F$66,"")</f>
        <v>1.1930357432115243E-3</v>
      </c>
      <c r="H45" s="35" t="s">
        <v>83</v>
      </c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107</v>
      </c>
      <c r="C51" s="29">
        <f>+A51</f>
        <v>1</v>
      </c>
      <c r="D51" s="29" t="s">
        <v>108</v>
      </c>
      <c r="E51" s="30">
        <f>+F65</f>
        <v>154</v>
      </c>
      <c r="F51" s="30">
        <f>IFERROR(C51*E51,"")</f>
        <v>154</v>
      </c>
      <c r="G51" s="31">
        <f>IFERROR(F51/$F$66,"")</f>
        <v>0.45931876113643683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25">
      <c r="A53" s="40"/>
      <c r="B53" s="192" t="s">
        <v>109</v>
      </c>
      <c r="C53" s="192"/>
      <c r="D53" s="192"/>
      <c r="E53" s="192"/>
      <c r="F53" s="42">
        <f>SUM(F8:F14,F17:F24)</f>
        <v>176.57828483266096</v>
      </c>
      <c r="G53" s="31">
        <f>+F53/$F$66</f>
        <v>0.5266605132008747</v>
      </c>
      <c r="H53" s="43">
        <f>+F53/$D$60</f>
        <v>11.771885655510731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192" t="s">
        <v>110</v>
      </c>
      <c r="C54" s="192"/>
      <c r="D54" s="192"/>
      <c r="E54" s="192"/>
      <c r="F54" s="42">
        <f>SUM(F27:F32,F35:F41)</f>
        <v>1.1692911695278969</v>
      </c>
      <c r="G54" s="31">
        <f>+F54/$F$66</f>
        <v>3.4875153986709674E-3</v>
      </c>
      <c r="H54" s="43">
        <f>+F54/$D$60</f>
        <v>7.7952744635193125E-2</v>
      </c>
      <c r="I54" s="43"/>
      <c r="J54" s="47"/>
      <c r="K54" s="193" t="s">
        <v>111</v>
      </c>
      <c r="L54" s="194"/>
      <c r="M54" s="194"/>
      <c r="N54" s="194"/>
      <c r="O54" s="48">
        <f>+F55</f>
        <v>177.74757600218885</v>
      </c>
      <c r="P54" s="48"/>
      <c r="Q54" s="49"/>
    </row>
    <row r="55" spans="1:17" x14ac:dyDescent="0.2">
      <c r="A55" s="40"/>
      <c r="B55" s="192" t="s">
        <v>112</v>
      </c>
      <c r="C55" s="192"/>
      <c r="D55" s="192"/>
      <c r="E55" s="192"/>
      <c r="F55" s="42">
        <f>+F53+F54</f>
        <v>177.74757600218885</v>
      </c>
      <c r="G55" s="31">
        <f>+F55/$F$66</f>
        <v>0.53014802859954568</v>
      </c>
      <c r="H55" s="43">
        <f>+F55/$D$60</f>
        <v>11.849838400145924</v>
      </c>
      <c r="I55" s="43"/>
      <c r="J55" s="50"/>
      <c r="K55" s="51"/>
      <c r="M55" s="52" t="s">
        <v>113</v>
      </c>
      <c r="N55" s="53"/>
      <c r="O55" s="48">
        <f>+H56</f>
        <v>10.610738569384836</v>
      </c>
      <c r="P55" s="48"/>
      <c r="Q55" s="49"/>
    </row>
    <row r="56" spans="1:17" ht="13.5" thickBot="1" x14ac:dyDescent="0.25">
      <c r="A56" s="40"/>
      <c r="B56" s="41"/>
      <c r="C56" s="192" t="s">
        <v>114</v>
      </c>
      <c r="D56" s="192"/>
      <c r="E56" s="192"/>
      <c r="F56" s="42">
        <f>SUM(F44:F51)</f>
        <v>159.16107854077254</v>
      </c>
      <c r="G56" s="31">
        <f>+F56/$F$66</f>
        <v>0.4747121390680959</v>
      </c>
      <c r="H56" s="43">
        <f>+F56/$D$60</f>
        <v>10.610738569384836</v>
      </c>
      <c r="I56" s="43"/>
      <c r="J56" s="50"/>
      <c r="K56" s="51"/>
      <c r="L56" s="51"/>
      <c r="M56" s="51" t="s">
        <v>115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116</v>
      </c>
      <c r="N57" s="60"/>
      <c r="O57" s="61">
        <f>SUM(O54:O56)</f>
        <v>188.35831457157369</v>
      </c>
      <c r="P57" s="62"/>
      <c r="Q57" s="49"/>
    </row>
    <row r="58" spans="1:17" x14ac:dyDescent="0.2">
      <c r="B58" s="204" t="s">
        <v>117</v>
      </c>
      <c r="C58" s="204"/>
      <c r="D58" s="63">
        <v>150</v>
      </c>
      <c r="E58" s="64"/>
      <c r="G58" s="31"/>
      <c r="H58" s="57">
        <f>+H56/77</f>
        <v>0.13780179960240047</v>
      </c>
      <c r="I58" s="65"/>
      <c r="J58" s="50"/>
      <c r="K58" s="58"/>
      <c r="L58" s="51"/>
      <c r="M58" s="51" t="s">
        <v>118</v>
      </c>
      <c r="N58" s="66"/>
      <c r="O58" s="48">
        <f>+H59</f>
        <v>11.437549366999239</v>
      </c>
      <c r="P58" s="48"/>
      <c r="Q58" s="49"/>
    </row>
    <row r="59" spans="1:17" x14ac:dyDescent="0.2">
      <c r="B59" s="204" t="s">
        <v>119</v>
      </c>
      <c r="C59" s="204"/>
      <c r="D59" s="67">
        <v>10</v>
      </c>
      <c r="E59" s="64"/>
      <c r="G59" s="31"/>
      <c r="H59" s="57">
        <f>+H58*83</f>
        <v>11.437549366999239</v>
      </c>
      <c r="I59" s="65"/>
      <c r="J59" s="50"/>
      <c r="K59" s="58"/>
      <c r="L59" s="51"/>
      <c r="M59" s="197" t="s">
        <v>116</v>
      </c>
      <c r="N59" s="197"/>
      <c r="O59" s="48">
        <f>SUM(O57:O58)</f>
        <v>199.79586393857292</v>
      </c>
      <c r="P59" s="48"/>
      <c r="Q59" s="49"/>
    </row>
    <row r="60" spans="1:17" ht="13.5" thickBot="1" x14ac:dyDescent="0.25">
      <c r="B60" s="203" t="s">
        <v>120</v>
      </c>
      <c r="C60" s="203"/>
      <c r="D60" s="63">
        <f>+D58/D59</f>
        <v>15</v>
      </c>
      <c r="E60" s="64"/>
      <c r="F60" s="68"/>
      <c r="G60" s="31"/>
      <c r="H60" s="57"/>
      <c r="I60" s="65"/>
      <c r="J60" s="50"/>
      <c r="K60" s="58"/>
      <c r="L60" s="197"/>
      <c r="M60" s="197"/>
      <c r="N60" s="66"/>
      <c r="O60" s="48">
        <f>+O59*N60</f>
        <v>0</v>
      </c>
      <c r="P60" s="48"/>
      <c r="Q60" s="49"/>
    </row>
    <row r="61" spans="1:17" ht="13.5" thickBot="1" x14ac:dyDescent="0.25">
      <c r="B61" s="203" t="s">
        <v>121</v>
      </c>
      <c r="C61" s="203"/>
      <c r="D61" s="69"/>
      <c r="E61" s="64"/>
      <c r="F61" s="68"/>
      <c r="G61" s="31"/>
      <c r="H61" s="57"/>
      <c r="I61" s="65"/>
      <c r="J61" s="50"/>
      <c r="K61" s="188" t="s">
        <v>122</v>
      </c>
      <c r="L61" s="189"/>
      <c r="M61" s="189"/>
      <c r="N61" s="190"/>
      <c r="O61" s="61">
        <f>SUM(O59:O60)</f>
        <v>199.79586393857292</v>
      </c>
      <c r="P61" s="70" t="s">
        <v>123</v>
      </c>
      <c r="Q61" s="49"/>
    </row>
    <row r="62" spans="1:17" ht="13.5" thickBot="1" x14ac:dyDescent="0.25">
      <c r="C62" s="40" t="s">
        <v>124</v>
      </c>
      <c r="D62" s="71"/>
      <c r="E62" s="14" t="s">
        <v>125</v>
      </c>
      <c r="F62" s="72" t="s">
        <v>126</v>
      </c>
      <c r="G62" s="31"/>
      <c r="H62" s="57"/>
      <c r="I62" s="65"/>
      <c r="J62" s="73"/>
      <c r="K62" s="74"/>
      <c r="L62" s="175" t="s">
        <v>127</v>
      </c>
      <c r="M62" s="175"/>
      <c r="N62" s="175"/>
      <c r="O62" s="75">
        <f>+O61/D60</f>
        <v>13.319724262571528</v>
      </c>
      <c r="P62" s="76">
        <f>+O62/D59</f>
        <v>1.3319724262571528</v>
      </c>
      <c r="Q62" s="77"/>
    </row>
    <row r="63" spans="1:17" ht="13.5" thickBot="1" x14ac:dyDescent="0.25">
      <c r="B63" s="176" t="s">
        <v>112</v>
      </c>
      <c r="C63" s="176"/>
      <c r="D63" s="176"/>
      <c r="E63" s="78">
        <f>+F63/F63</f>
        <v>1</v>
      </c>
      <c r="F63" s="79">
        <f>SUM(F55)</f>
        <v>177.74757600218885</v>
      </c>
      <c r="G63" s="31">
        <f>+F63/$F$66</f>
        <v>0.53014802859954568</v>
      </c>
      <c r="H63" s="57"/>
      <c r="I63" s="65"/>
      <c r="K63" s="177"/>
      <c r="L63" s="178"/>
      <c r="M63" s="178"/>
      <c r="N63" s="178"/>
      <c r="O63" s="80"/>
      <c r="P63" s="81"/>
    </row>
    <row r="64" spans="1:17" ht="13.5" thickBot="1" x14ac:dyDescent="0.25">
      <c r="B64" s="179" t="s">
        <v>128</v>
      </c>
      <c r="C64" s="179"/>
      <c r="D64" s="179"/>
      <c r="E64" s="82">
        <v>0.02</v>
      </c>
      <c r="F64" s="79">
        <f>+F53*E64</f>
        <v>3.5315656966532192</v>
      </c>
      <c r="G64" s="31">
        <f>+F64/$F$66</f>
        <v>1.0533210264017495E-2</v>
      </c>
      <c r="H64" s="43"/>
      <c r="I64" s="65"/>
      <c r="J64" s="83"/>
      <c r="O64" s="84"/>
      <c r="P64" s="41"/>
    </row>
    <row r="65" spans="2:13" ht="13.5" thickBot="1" x14ac:dyDescent="0.25">
      <c r="B65" s="180" t="s">
        <v>129</v>
      </c>
      <c r="C65" s="181"/>
      <c r="D65" s="85">
        <v>2</v>
      </c>
      <c r="E65" s="86">
        <v>77</v>
      </c>
      <c r="F65" s="79">
        <f>+E65*D65</f>
        <v>154</v>
      </c>
      <c r="G65" s="31">
        <f>+F65/$F$66</f>
        <v>0.45931876113643683</v>
      </c>
      <c r="H65" s="43"/>
      <c r="I65" s="43"/>
      <c r="J65" s="33"/>
    </row>
    <row r="66" spans="2:13" ht="13.5" thickBot="1" x14ac:dyDescent="0.25">
      <c r="B66" s="182" t="s">
        <v>130</v>
      </c>
      <c r="C66" s="183"/>
      <c r="D66" s="183"/>
      <c r="E66" s="184"/>
      <c r="F66" s="56">
        <f>SUM(F63:F65)</f>
        <v>335.27914169884207</v>
      </c>
      <c r="G66" s="31">
        <f>+F66/$F$66</f>
        <v>1</v>
      </c>
      <c r="H66" s="185"/>
      <c r="I66" s="43"/>
      <c r="J66" s="33"/>
      <c r="M66" s="16" t="s">
        <v>131</v>
      </c>
    </row>
    <row r="67" spans="2:13" x14ac:dyDescent="0.2">
      <c r="C67" s="38"/>
      <c r="D67" s="38"/>
      <c r="E67" s="88"/>
      <c r="F67" s="79"/>
      <c r="G67" s="31"/>
      <c r="H67" s="185"/>
      <c r="I67" s="87"/>
      <c r="J67" s="16"/>
      <c r="M67" s="16" t="s">
        <v>132</v>
      </c>
    </row>
    <row r="68" spans="2:13" ht="13.5" thickBot="1" x14ac:dyDescent="0.25">
      <c r="B68" s="170" t="s">
        <v>133</v>
      </c>
      <c r="C68" s="170"/>
      <c r="D68" s="170"/>
      <c r="E68" s="170"/>
      <c r="F68" s="170"/>
      <c r="G68" s="31"/>
      <c r="H68" s="90"/>
      <c r="I68" s="87"/>
      <c r="J68" s="16"/>
      <c r="M68" s="16" t="s">
        <v>134</v>
      </c>
    </row>
    <row r="69" spans="2:13" ht="13.5" thickBot="1" x14ac:dyDescent="0.25">
      <c r="B69" s="91" t="s">
        <v>135</v>
      </c>
      <c r="C69" s="92">
        <f>+F53</f>
        <v>176.57828483266096</v>
      </c>
      <c r="D69" s="92">
        <f>+D58</f>
        <v>150</v>
      </c>
      <c r="E69" s="93">
        <f>+C69/D69</f>
        <v>1.177188565551073</v>
      </c>
      <c r="F69" s="31"/>
      <c r="G69" s="90"/>
      <c r="H69" s="33"/>
      <c r="I69" s="90"/>
      <c r="J69" s="16"/>
    </row>
    <row r="70" spans="2:13" x14ac:dyDescent="0.2">
      <c r="B70" s="94"/>
      <c r="C70" s="95"/>
      <c r="D70" s="96"/>
      <c r="E70" s="79"/>
      <c r="F70" s="31"/>
      <c r="G70" s="90"/>
      <c r="H70" s="33"/>
      <c r="I70" s="33"/>
      <c r="J70" s="16"/>
    </row>
    <row r="71" spans="2:13" x14ac:dyDescent="0.2">
      <c r="B71" s="91" t="s">
        <v>136</v>
      </c>
      <c r="C71" s="92">
        <f>SUM(F63:F64)</f>
        <v>181.27914169884207</v>
      </c>
      <c r="D71" s="92">
        <f>+D58</f>
        <v>150</v>
      </c>
      <c r="E71" s="97">
        <f>+C71/D71</f>
        <v>1.2085276113256138</v>
      </c>
      <c r="F71" s="31"/>
      <c r="G71" s="90"/>
      <c r="H71" s="33"/>
      <c r="I71" s="33"/>
      <c r="J71" s="16"/>
    </row>
    <row r="72" spans="2:13" x14ac:dyDescent="0.2">
      <c r="B72" s="91"/>
      <c r="C72" s="92"/>
      <c r="D72" s="92"/>
      <c r="E72" s="97"/>
      <c r="F72" s="31"/>
      <c r="G72" s="90"/>
      <c r="H72" s="33"/>
      <c r="I72" s="33"/>
      <c r="J72" s="16"/>
    </row>
    <row r="73" spans="2:13" ht="13.5" thickBot="1" x14ac:dyDescent="0.25">
      <c r="B73" s="91" t="s">
        <v>137</v>
      </c>
      <c r="C73" s="92">
        <f>+F65</f>
        <v>154</v>
      </c>
      <c r="D73" s="92">
        <f>+D58</f>
        <v>150</v>
      </c>
      <c r="E73" s="97">
        <f>+C73/D73</f>
        <v>1.0266666666666666</v>
      </c>
      <c r="F73" s="31"/>
      <c r="G73" s="90"/>
      <c r="H73" s="33"/>
      <c r="I73" s="33"/>
      <c r="J73" s="16"/>
    </row>
    <row r="74" spans="2:13" ht="13.5" thickBot="1" x14ac:dyDescent="0.25">
      <c r="B74" s="91" t="s">
        <v>138</v>
      </c>
      <c r="C74" s="92">
        <f>+F56</f>
        <v>159.16107854077254</v>
      </c>
      <c r="D74" s="92">
        <f>+D73</f>
        <v>150</v>
      </c>
      <c r="E74" s="93">
        <f>+C74/D74</f>
        <v>1.0610738569384837</v>
      </c>
      <c r="F74" s="31"/>
      <c r="G74" s="90"/>
      <c r="H74" s="33"/>
      <c r="I74" s="33"/>
      <c r="J74" s="16"/>
    </row>
    <row r="75" spans="2:13" ht="13.5" thickBot="1" x14ac:dyDescent="0.25">
      <c r="B75" s="55"/>
      <c r="C75" s="56"/>
      <c r="D75" s="56"/>
      <c r="E75" s="97"/>
      <c r="F75" s="31"/>
      <c r="G75" s="90"/>
      <c r="H75" s="33"/>
      <c r="I75" s="33"/>
      <c r="J75" s="16"/>
    </row>
    <row r="76" spans="2:13" ht="13.5" thickBot="1" x14ac:dyDescent="0.25">
      <c r="B76" s="91" t="s">
        <v>139</v>
      </c>
      <c r="C76" s="92">
        <f>+F54</f>
        <v>1.1692911695278969</v>
      </c>
      <c r="D76" s="92">
        <f>+D74</f>
        <v>150</v>
      </c>
      <c r="E76" s="93">
        <f>+C76/D76</f>
        <v>7.7952744635193128E-3</v>
      </c>
      <c r="F76" s="31"/>
      <c r="G76" s="90"/>
      <c r="H76" s="33"/>
      <c r="I76" s="33"/>
      <c r="J76" s="33"/>
    </row>
    <row r="77" spans="2:13" ht="13.5" thickBot="1" x14ac:dyDescent="0.25">
      <c r="B77" s="55"/>
      <c r="C77" s="56"/>
      <c r="D77" s="56"/>
      <c r="E77" s="97"/>
      <c r="F77" s="31"/>
      <c r="G77" s="90"/>
      <c r="H77" s="33"/>
      <c r="I77" s="33"/>
    </row>
    <row r="78" spans="2:13" ht="13.5" thickBot="1" x14ac:dyDescent="0.25">
      <c r="B78" s="171" t="s">
        <v>140</v>
      </c>
      <c r="C78" s="172"/>
      <c r="D78" s="173"/>
      <c r="E78" s="93">
        <f>+E69+E74</f>
        <v>2.2382624224895569</v>
      </c>
      <c r="G78" s="31"/>
      <c r="H78" s="90"/>
      <c r="I78" s="33"/>
      <c r="J78" s="97"/>
    </row>
    <row r="79" spans="2:13" x14ac:dyDescent="0.2">
      <c r="I79" s="90"/>
      <c r="J79" s="16"/>
    </row>
    <row r="80" spans="2:13" ht="13.5" thickBot="1" x14ac:dyDescent="0.25">
      <c r="B80" s="170" t="s">
        <v>141</v>
      </c>
      <c r="C80" s="170"/>
      <c r="D80" s="170"/>
      <c r="E80" s="170"/>
      <c r="F80" s="170"/>
      <c r="G80" s="31"/>
      <c r="H80" s="90"/>
      <c r="J80" s="16"/>
    </row>
    <row r="81" spans="1:10" ht="13.5" thickBot="1" x14ac:dyDescent="0.25">
      <c r="B81" s="91" t="s">
        <v>135</v>
      </c>
      <c r="C81" s="92">
        <f>+C69</f>
        <v>176.57828483266096</v>
      </c>
      <c r="D81" s="92">
        <f>+D60</f>
        <v>15</v>
      </c>
      <c r="E81" s="93">
        <f>+C81/D81</f>
        <v>11.771885655510731</v>
      </c>
      <c r="F81" s="31"/>
      <c r="G81" s="90"/>
      <c r="H81" s="33"/>
      <c r="I81" s="90"/>
      <c r="J81" s="16"/>
    </row>
    <row r="82" spans="1:10" x14ac:dyDescent="0.2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">
      <c r="B83" s="91" t="s">
        <v>136</v>
      </c>
      <c r="C83" s="92">
        <f>+C71</f>
        <v>181.27914169884207</v>
      </c>
      <c r="D83" s="92">
        <f>+D60</f>
        <v>15</v>
      </c>
      <c r="E83" s="97">
        <f>+C83/D83</f>
        <v>12.085276113256137</v>
      </c>
      <c r="F83" s="31"/>
      <c r="G83" s="90"/>
      <c r="H83" s="33"/>
      <c r="I83" s="33"/>
      <c r="J83" s="16"/>
    </row>
    <row r="84" spans="1:10" x14ac:dyDescent="0.2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25">
      <c r="B85" s="91" t="s">
        <v>138</v>
      </c>
      <c r="C85" s="92">
        <f>+C73</f>
        <v>154</v>
      </c>
      <c r="D85" s="92">
        <f>+D60</f>
        <v>15</v>
      </c>
      <c r="E85" s="97">
        <f>+C85/D85</f>
        <v>10.266666666666667</v>
      </c>
      <c r="F85" s="99"/>
      <c r="G85" s="89"/>
      <c r="H85" s="15"/>
      <c r="I85" s="33"/>
    </row>
    <row r="86" spans="1:10" ht="13.5" thickBot="1" x14ac:dyDescent="0.25">
      <c r="B86" s="91" t="s">
        <v>138</v>
      </c>
      <c r="C86" s="92">
        <f>+C74</f>
        <v>159.16107854077254</v>
      </c>
      <c r="D86" s="92">
        <f>+D85</f>
        <v>15</v>
      </c>
      <c r="E86" s="93">
        <f>+C86/D86</f>
        <v>10.610738569384836</v>
      </c>
      <c r="F86" s="98"/>
      <c r="G86" s="89"/>
      <c r="H86" s="15"/>
      <c r="I86" s="15"/>
    </row>
    <row r="87" spans="1:10" x14ac:dyDescent="0.2">
      <c r="I87" s="15"/>
    </row>
    <row r="88" spans="1:10" x14ac:dyDescent="0.2">
      <c r="A88" s="174"/>
      <c r="B88" s="174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CF31-74F0-40ED-ADFC-6D33CF2A196D}">
  <dimension ref="A1:Q91"/>
  <sheetViews>
    <sheetView workbookViewId="0">
      <selection activeCell="B66" sqref="B66:E66"/>
    </sheetView>
  </sheetViews>
  <sheetFormatPr baseColWidth="10" defaultColWidth="8.42578125" defaultRowHeight="12.75" x14ac:dyDescent="0.2"/>
  <cols>
    <col min="1" max="1" width="10" style="16" bestFit="1" customWidth="1"/>
    <col min="2" max="2" width="48.5703125" style="16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">
      <c r="A1" s="11"/>
      <c r="B1" s="11"/>
      <c r="C1" s="11"/>
      <c r="D1" s="11"/>
      <c r="E1" s="12" t="s">
        <v>90</v>
      </c>
      <c r="F1" s="13" t="s">
        <v>91</v>
      </c>
      <c r="G1" s="13" t="s">
        <v>92</v>
      </c>
      <c r="H1" s="13" t="s">
        <v>93</v>
      </c>
      <c r="I1" s="14"/>
    </row>
    <row r="2" spans="1:10" ht="30.75" customHeight="1" x14ac:dyDescent="0.2">
      <c r="A2" s="11"/>
      <c r="B2" s="11"/>
      <c r="C2" s="11"/>
      <c r="D2" s="11"/>
      <c r="E2" s="17">
        <f>IFERROR(O62,"")</f>
        <v>28354.659472339998</v>
      </c>
      <c r="F2" s="17">
        <f>IFERROR(H53,"")</f>
        <v>26682.893577340001</v>
      </c>
      <c r="G2" s="17">
        <f>IFERROR(H54,"")</f>
        <v>135.02989499999998</v>
      </c>
      <c r="H2" s="17">
        <f>IFERROR(H56,"")</f>
        <v>739.55420000000004</v>
      </c>
      <c r="I2" s="18"/>
    </row>
    <row r="3" spans="1:10" ht="15" customHeight="1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25">
      <c r="A4" s="198"/>
      <c r="B4" s="198"/>
      <c r="C4" s="198"/>
      <c r="D4" s="198"/>
      <c r="E4" s="198"/>
      <c r="F4" s="198"/>
      <c r="G4" s="198"/>
      <c r="H4" s="198"/>
      <c r="I4" s="20"/>
    </row>
    <row r="5" spans="1:10" ht="19.5" customHeight="1" thickBot="1" x14ac:dyDescent="0.25">
      <c r="A5" s="199" t="s">
        <v>94</v>
      </c>
      <c r="B5" s="200"/>
      <c r="C5" s="200"/>
      <c r="D5" s="200"/>
      <c r="E5" s="200"/>
      <c r="F5" s="200"/>
      <c r="G5" s="200"/>
      <c r="H5" s="201"/>
      <c r="I5" s="21"/>
    </row>
    <row r="6" spans="1:10" ht="19.5" thickBot="1" x14ac:dyDescent="0.25">
      <c r="A6" s="21"/>
      <c r="B6" s="21"/>
      <c r="C6" s="21"/>
      <c r="D6" s="21"/>
      <c r="E6" s="21"/>
      <c r="F6" s="202" t="s">
        <v>95</v>
      </c>
      <c r="G6" s="202"/>
      <c r="H6" s="22">
        <f ca="1">TODAY()</f>
        <v>46059</v>
      </c>
      <c r="I6" s="22"/>
    </row>
    <row r="7" spans="1:10" ht="26.25" thickBot="1" x14ac:dyDescent="0.25">
      <c r="A7" s="23" t="s">
        <v>96</v>
      </c>
      <c r="B7" s="24" t="s">
        <v>97</v>
      </c>
      <c r="C7" s="24" t="s">
        <v>96</v>
      </c>
      <c r="D7" s="25" t="s">
        <v>98</v>
      </c>
      <c r="E7" s="25" t="s">
        <v>99</v>
      </c>
      <c r="F7" s="25" t="s">
        <v>100</v>
      </c>
      <c r="G7" s="25" t="s">
        <v>101</v>
      </c>
      <c r="H7" s="26" t="s">
        <v>102</v>
      </c>
      <c r="I7" s="27"/>
    </row>
    <row r="8" spans="1:10" ht="13.5" x14ac:dyDescent="0.25">
      <c r="A8" s="28">
        <v>154</v>
      </c>
      <c r="B8" s="16" t="s">
        <v>41</v>
      </c>
      <c r="C8" s="29">
        <f>+A8</f>
        <v>154</v>
      </c>
      <c r="D8" s="30" t="s">
        <v>142</v>
      </c>
      <c r="E8" s="30">
        <v>18.46</v>
      </c>
      <c r="F8" s="30">
        <f>IFERROR(C8*E8,"")</f>
        <v>2842.84</v>
      </c>
      <c r="G8" s="31">
        <f t="shared" ref="G8:G14" si="0">IFERROR(F8/$F$66,"")</f>
        <v>0.10249424630792028</v>
      </c>
      <c r="H8" s="32" t="s">
        <v>40</v>
      </c>
      <c r="I8" s="32"/>
      <c r="J8" s="33"/>
    </row>
    <row r="9" spans="1:10" ht="13.5" hidden="1" x14ac:dyDescent="0.25">
      <c r="A9" s="28"/>
      <c r="B9" s="16" t="str">
        <f>IFERROR(VLOOKUP(H9,'[1]Consolidado MP Planta'!$A$2:$M$823,3,0),"")</f>
        <v/>
      </c>
      <c r="C9" s="29">
        <f t="shared" ref="C9:C14" si="1">+A9</f>
        <v>0</v>
      </c>
      <c r="D9" s="30" t="str">
        <f>IFERROR(VLOOKUP(H9,'[1]Consolidado MP Planta'!$A$2:$M$823,13,0),"")</f>
        <v/>
      </c>
      <c r="E9" s="30" t="str">
        <f>IFERROR(VLOOKUP(H9,'[1]Consolidado MP Planta'!$A$2:$M$823,12,0),"")</f>
        <v/>
      </c>
      <c r="F9" s="30" t="str">
        <f t="shared" ref="F9:F14" si="2">IFERROR(C9*E9,"")</f>
        <v/>
      </c>
      <c r="G9" s="31" t="str">
        <f t="shared" si="0"/>
        <v/>
      </c>
      <c r="H9" s="32"/>
      <c r="I9" s="32"/>
      <c r="J9" s="33"/>
    </row>
    <row r="10" spans="1:10" ht="13.5" hidden="1" x14ac:dyDescent="0.25">
      <c r="A10" s="28"/>
      <c r="B10" s="16" t="str">
        <f>IFERROR(VLOOKUP(H10,'[1]Consolidado MP Planta'!$A$2:$M$823,3,0),"")</f>
        <v/>
      </c>
      <c r="C10" s="29">
        <f t="shared" si="1"/>
        <v>0</v>
      </c>
      <c r="D10" s="30" t="str">
        <f>IFERROR(VLOOKUP(H10,'[1]Consolidado MP Planta'!$A$2:$M$823,13,0),"")</f>
        <v/>
      </c>
      <c r="E10" s="30" t="str">
        <f>IFERROR(VLOOKUP(H10,'[1]Consolidado MP Planta'!$A$2:$M$823,12,0),"")</f>
        <v/>
      </c>
      <c r="F10" s="30" t="str">
        <f t="shared" si="2"/>
        <v/>
      </c>
      <c r="G10" s="31" t="str">
        <f t="shared" si="0"/>
        <v/>
      </c>
      <c r="H10" s="32"/>
      <c r="I10" s="32"/>
      <c r="J10" s="33"/>
    </row>
    <row r="11" spans="1:10" ht="13.5" hidden="1" x14ac:dyDescent="0.25">
      <c r="A11" s="28"/>
      <c r="B11" s="16" t="str">
        <f>IFERROR(VLOOKUP(H11,'[1]Consolidado MP Planta'!$A$2:$M$823,3,0),"")</f>
        <v/>
      </c>
      <c r="C11" s="29">
        <f t="shared" si="1"/>
        <v>0</v>
      </c>
      <c r="D11" s="30" t="str">
        <f>IFERROR(VLOOKUP(H11,'[1]Consolidado MP Planta'!$A$2:$M$823,13,0),"")</f>
        <v/>
      </c>
      <c r="E11" s="30" t="str">
        <f>IFERROR(VLOOKUP(H11,'[1]Consolidado MP Planta'!$A$2:$M$823,12,0),"")</f>
        <v/>
      </c>
      <c r="F11" s="30" t="str">
        <f t="shared" si="2"/>
        <v/>
      </c>
      <c r="G11" s="31" t="str">
        <f t="shared" si="0"/>
        <v/>
      </c>
      <c r="H11" s="32"/>
      <c r="I11" s="32"/>
      <c r="J11" s="33"/>
    </row>
    <row r="12" spans="1:10" ht="13.5" hidden="1" x14ac:dyDescent="0.25">
      <c r="A12" s="28"/>
      <c r="B12" s="16" t="str">
        <f>IFERROR(VLOOKUP(H12,'[1]Consolidado MP Planta'!$A$2:$M$823,3,0),"")</f>
        <v/>
      </c>
      <c r="C12" s="29">
        <f t="shared" si="1"/>
        <v>0</v>
      </c>
      <c r="D12" s="30" t="str">
        <f>IFERROR(VLOOKUP(H12,'[1]Consolidado MP Planta'!$A$2:$M$823,13,0),"")</f>
        <v/>
      </c>
      <c r="E12" s="30" t="str">
        <f>IFERROR(VLOOKUP(H12,'[1]Consolidado MP Planta'!$A$2:$M$823,12,0),"")</f>
        <v/>
      </c>
      <c r="F12" s="30" t="str">
        <f t="shared" si="2"/>
        <v/>
      </c>
      <c r="G12" s="31" t="str">
        <f t="shared" si="0"/>
        <v/>
      </c>
      <c r="H12" s="32"/>
      <c r="I12" s="32"/>
      <c r="J12" s="33"/>
    </row>
    <row r="13" spans="1:10" ht="13.5" hidden="1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hidden="1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4.25" thickBot="1" x14ac:dyDescent="0.3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thickBot="1" x14ac:dyDescent="0.25">
      <c r="A16" s="23" t="s">
        <v>96</v>
      </c>
      <c r="B16" s="24" t="s">
        <v>103</v>
      </c>
      <c r="C16" s="24" t="s">
        <v>96</v>
      </c>
      <c r="D16" s="25" t="s">
        <v>98</v>
      </c>
      <c r="E16" s="25" t="s">
        <v>99</v>
      </c>
      <c r="F16" s="25" t="s">
        <v>100</v>
      </c>
      <c r="G16" s="25" t="s">
        <v>101</v>
      </c>
      <c r="H16" s="26" t="s">
        <v>102</v>
      </c>
      <c r="I16" s="27"/>
      <c r="J16" s="33"/>
    </row>
    <row r="17" spans="1:12" ht="13.5" x14ac:dyDescent="0.25">
      <c r="A17" s="28">
        <v>23023</v>
      </c>
      <c r="B17" s="16" t="s">
        <v>144</v>
      </c>
      <c r="C17" s="29">
        <f>+A17</f>
        <v>23023</v>
      </c>
      <c r="D17" s="29" t="s">
        <v>142</v>
      </c>
      <c r="E17" s="30">
        <f>+'Costo Premezcla Velvet'!E68</f>
        <v>1.03548858</v>
      </c>
      <c r="F17" s="30">
        <f>IFERROR(E17*C17,"")</f>
        <v>23840.053577340001</v>
      </c>
      <c r="G17" s="31">
        <f t="shared" ref="G17:G24" si="3">IFERROR(F17/$F$66,"")</f>
        <v>0.85951665354008733</v>
      </c>
      <c r="H17" s="32" t="s">
        <v>143</v>
      </c>
      <c r="I17" s="32"/>
      <c r="J17" s="33"/>
    </row>
    <row r="18" spans="1:12" ht="13.5" hidden="1" x14ac:dyDescent="0.25">
      <c r="A18" s="28"/>
      <c r="B18" s="16" t="str">
        <f>IFERROR(VLOOKUP(H18,[1]SEMIELABORADOS!$A$2:$M$6000,2,0),"")</f>
        <v/>
      </c>
      <c r="C18" s="29">
        <f t="shared" ref="C18:C24" si="4">+A18</f>
        <v>0</v>
      </c>
      <c r="D18" s="29" t="str">
        <f>IFERROR(VLOOKUP(H18,[1]SEMIELABORADOS!$A$2:$M$6000,6,0),"")</f>
        <v/>
      </c>
      <c r="E18" s="30" t="str">
        <f>IFERROR(VLOOKUP(H18,[1]SEMIELABORADOS!$A$2:$H$65536,8,0),"")</f>
        <v/>
      </c>
      <c r="F18" s="30" t="str">
        <f t="shared" ref="F18:F24" si="5">IFERROR(E18*C18,"")</f>
        <v/>
      </c>
      <c r="G18" s="31" t="str">
        <f t="shared" si="3"/>
        <v/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hidden="1" thickBot="1" x14ac:dyDescent="0.25">
      <c r="A26" s="23" t="s">
        <v>96</v>
      </c>
      <c r="B26" s="24" t="s">
        <v>104</v>
      </c>
      <c r="C26" s="24" t="s">
        <v>96</v>
      </c>
      <c r="D26" s="25" t="s">
        <v>98</v>
      </c>
      <c r="E26" s="25" t="s">
        <v>99</v>
      </c>
      <c r="F26" s="25" t="s">
        <v>100</v>
      </c>
      <c r="G26" s="25" t="s">
        <v>101</v>
      </c>
      <c r="H26" s="26" t="s">
        <v>102</v>
      </c>
      <c r="I26" s="27"/>
    </row>
    <row r="27" spans="1:12" ht="13.5" hidden="1" x14ac:dyDescent="0.25">
      <c r="A27" s="28">
        <v>0</v>
      </c>
      <c r="B27" s="34" t="str">
        <f>IFERROR(VLOOKUP(H27,'[1]Consolidado MP Planta'!$A$2:$M$823,3,0),"")</f>
        <v/>
      </c>
      <c r="C27" s="29">
        <f t="shared" ref="C27:C32" si="6">+A27</f>
        <v>0</v>
      </c>
      <c r="D27" s="30" t="str">
        <f>IFERROR(VLOOKUP(H27,'[1]Consolidado MP Planta'!$A$2:$M$823,13,0),"")</f>
        <v/>
      </c>
      <c r="E27" s="30" t="str">
        <f>IFERROR(VLOOKUP(H27,'[1]Consolidado MP Planta'!$A$2:$M$823,12,0),"")</f>
        <v/>
      </c>
      <c r="F27" s="30" t="str">
        <f t="shared" ref="F27:F32" si="7">IFERROR(C27*E27,"")</f>
        <v/>
      </c>
      <c r="G27" s="31" t="str">
        <f t="shared" ref="G27:G32" si="8">IFERROR(F27/$F$66,"")</f>
        <v/>
      </c>
      <c r="H27" s="35"/>
      <c r="I27" s="35"/>
      <c r="J27" s="33"/>
      <c r="K27" s="191"/>
      <c r="L27" s="191"/>
    </row>
    <row r="28" spans="1:12" ht="13.5" hidden="1" x14ac:dyDescent="0.25">
      <c r="A28" s="28"/>
      <c r="B28" s="34" t="str">
        <f>IFERROR(VLOOKUP(H28,'[1]Consolidado MP Planta'!$A$2:$M$823,3,0),"")</f>
        <v/>
      </c>
      <c r="C28" s="29">
        <f t="shared" si="6"/>
        <v>0</v>
      </c>
      <c r="D28" s="30" t="str">
        <f>IFERROR(VLOOKUP(H28,'[1]Consolidado MP Planta'!$A$2:$M$823,13,0),"")</f>
        <v/>
      </c>
      <c r="E28" s="30" t="str">
        <f>IFERROR(VLOOKUP(H28,'[1]Consolidado MP Planta'!$A$2:$M$823,12,0),"")</f>
        <v/>
      </c>
      <c r="F28" s="30" t="str">
        <f t="shared" si="7"/>
        <v/>
      </c>
      <c r="G28" s="31" t="str">
        <f t="shared" si="8"/>
        <v/>
      </c>
      <c r="H28" s="35"/>
      <c r="I28" s="35"/>
      <c r="J28" s="33"/>
      <c r="K28" s="191"/>
      <c r="L28" s="191"/>
    </row>
    <row r="29" spans="1:12" ht="13.5" hidden="1" x14ac:dyDescent="0.25">
      <c r="A29" s="28"/>
      <c r="B29" s="34" t="str">
        <f>IFERROR(VLOOKUP(H29,'[1]Consolidado MP Planta'!$A$2:$M$823,3,0),"")</f>
        <v/>
      </c>
      <c r="C29" s="29">
        <f t="shared" si="6"/>
        <v>0</v>
      </c>
      <c r="D29" s="30" t="str">
        <f>IFERROR(VLOOKUP(H29,'[1]Consolidado MP Planta'!$A$2:$M$823,13,0),"")</f>
        <v/>
      </c>
      <c r="E29" s="30" t="str">
        <f>IFERROR(VLOOKUP(H29,'[1]Consolidado MP Planta'!$A$2:$M$823,12,0),"")</f>
        <v/>
      </c>
      <c r="F29" s="30" t="str">
        <f t="shared" si="7"/>
        <v/>
      </c>
      <c r="G29" s="31" t="str">
        <f t="shared" si="8"/>
        <v/>
      </c>
      <c r="H29" s="35"/>
      <c r="I29" s="35"/>
      <c r="J29" s="33"/>
      <c r="K29" s="191"/>
      <c r="L29" s="191"/>
    </row>
    <row r="30" spans="1:12" ht="13.5" hidden="1" x14ac:dyDescent="0.25">
      <c r="A30" s="28"/>
      <c r="B30" s="34" t="str">
        <f>IFERROR(VLOOKUP(H30,'[1]Consolidado MP Planta'!$A$2:$M$823,3,0),"")</f>
        <v/>
      </c>
      <c r="C30" s="29">
        <f t="shared" si="6"/>
        <v>0</v>
      </c>
      <c r="D30" s="30" t="str">
        <f>IFERROR(VLOOKUP(H30,'[1]Consolidado MP Planta'!$A$2:$M$823,13,0),"")</f>
        <v/>
      </c>
      <c r="E30" s="30" t="str">
        <f>IFERROR(VLOOKUP(H30,'[1]Consolidado MP Planta'!$A$2:$M$823,12,0),"")</f>
        <v/>
      </c>
      <c r="F30" s="30" t="str">
        <f t="shared" si="7"/>
        <v/>
      </c>
      <c r="G30" s="31" t="str">
        <f t="shared" si="8"/>
        <v/>
      </c>
      <c r="H30" s="35"/>
      <c r="I30" s="35"/>
      <c r="J30" s="33"/>
      <c r="K30" s="191"/>
      <c r="L30" s="191"/>
    </row>
    <row r="31" spans="1:12" ht="13.5" hidden="1" x14ac:dyDescent="0.25">
      <c r="A31" s="28"/>
      <c r="B31" s="34" t="str">
        <f>IFERROR(VLOOKUP(H31,'[1]Consolidado MP Planta'!$A$2:$M$823,3,0),"")</f>
        <v/>
      </c>
      <c r="C31" s="29">
        <f t="shared" si="6"/>
        <v>0</v>
      </c>
      <c r="D31" s="30" t="str">
        <f>IFERROR(VLOOKUP(H31,'[1]Consolidado MP Planta'!$A$2:$M$823,13,0),"")</f>
        <v/>
      </c>
      <c r="E31" s="30" t="str">
        <f>IFERROR(VLOOKUP(H31,'[1]Consolidado MP Planta'!$A$2:$M$823,12,0),"")</f>
        <v/>
      </c>
      <c r="F31" s="30" t="str">
        <f t="shared" si="7"/>
        <v/>
      </c>
      <c r="G31" s="31" t="str">
        <f t="shared" si="8"/>
        <v/>
      </c>
      <c r="H31" s="35"/>
      <c r="I31" s="35"/>
      <c r="J31" s="33"/>
      <c r="K31" s="36"/>
      <c r="L31" s="37"/>
    </row>
    <row r="32" spans="1:12" ht="13.5" hidden="1" x14ac:dyDescent="0.25">
      <c r="A32" s="28"/>
      <c r="B32" s="34" t="str">
        <f>IFERROR(VLOOKUP(H32,'[1]Consolidado MP Planta'!$A$2:$M$823,3,0),"")</f>
        <v/>
      </c>
      <c r="C32" s="29">
        <f t="shared" si="6"/>
        <v>0</v>
      </c>
      <c r="D32" s="30" t="str">
        <f>IFERROR(VLOOKUP(H32,'[1]Consolidado MP Planta'!$A$2:$M$823,13,0),"")</f>
        <v/>
      </c>
      <c r="E32" s="30" t="str">
        <f>IFERROR(VLOOKUP(H32,'[1]Consolidado MP Planta'!$A$2:$M$823,12,0),"")</f>
        <v/>
      </c>
      <c r="F32" s="30" t="str">
        <f t="shared" si="7"/>
        <v/>
      </c>
      <c r="G32" s="31" t="str">
        <f t="shared" si="8"/>
        <v/>
      </c>
      <c r="H32" s="35"/>
      <c r="I32" s="35"/>
      <c r="J32" s="33"/>
    </row>
    <row r="33" spans="1:13" ht="14.25" hidden="1" thickBot="1" x14ac:dyDescent="0.3">
      <c r="A33" s="28"/>
      <c r="B33" s="34"/>
      <c r="C33" s="29"/>
      <c r="D33" s="30"/>
      <c r="E33" s="30"/>
      <c r="F33" s="30"/>
      <c r="G33" s="31"/>
      <c r="H33" s="35"/>
      <c r="I33" s="35"/>
      <c r="J33" s="33"/>
    </row>
    <row r="34" spans="1:13" ht="26.25" thickBot="1" x14ac:dyDescent="0.25">
      <c r="A34" s="23" t="s">
        <v>96</v>
      </c>
      <c r="B34" s="24" t="s">
        <v>105</v>
      </c>
      <c r="C34" s="24" t="s">
        <v>96</v>
      </c>
      <c r="D34" s="25" t="s">
        <v>98</v>
      </c>
      <c r="E34" s="25" t="s">
        <v>99</v>
      </c>
      <c r="F34" s="25" t="s">
        <v>100</v>
      </c>
      <c r="G34" s="25" t="s">
        <v>101</v>
      </c>
      <c r="H34" s="26" t="s">
        <v>102</v>
      </c>
      <c r="I34" s="35"/>
      <c r="J34" s="33"/>
    </row>
    <row r="35" spans="1:13" ht="13.5" x14ac:dyDescent="0.25">
      <c r="A35" s="28">
        <f>+A17</f>
        <v>23023</v>
      </c>
      <c r="B35" s="34" t="s">
        <v>144</v>
      </c>
      <c r="C35" s="29">
        <f>+A35</f>
        <v>23023</v>
      </c>
      <c r="D35" s="30" t="s">
        <v>142</v>
      </c>
      <c r="E35" s="30">
        <f>+'Costo Premezcla Velvet'!E75</f>
        <v>5.8649999999999996E-3</v>
      </c>
      <c r="F35" s="30">
        <f>IFERROR(E35*C35,"")</f>
        <v>135.02989499999998</v>
      </c>
      <c r="G35" s="31">
        <f t="shared" ref="G35:G41" si="9">IFERROR(F35/$F$66,"")</f>
        <v>4.8682962520094734E-3</v>
      </c>
      <c r="H35" s="35" t="s">
        <v>143</v>
      </c>
      <c r="I35" s="35"/>
      <c r="J35" s="33"/>
    </row>
    <row r="36" spans="1:13" ht="13.5" hidden="1" x14ac:dyDescent="0.25">
      <c r="A36" s="28">
        <f t="shared" ref="A36:A41" si="10">+A18</f>
        <v>0</v>
      </c>
      <c r="B36" s="34" t="str">
        <f>IFERROR(VLOOKUP(H36,[1]SEMIELABORADOS!$A$2:$M$6000,2,0),"")</f>
        <v/>
      </c>
      <c r="C36" s="29">
        <f t="shared" ref="C36:C41" si="11">+A36</f>
        <v>0</v>
      </c>
      <c r="D36" s="30" t="str">
        <f>IFERROR(VLOOKUP(H36,[1]SEMIELABORADOS!$A$2:$M$6000,6,0),"")</f>
        <v/>
      </c>
      <c r="E36" s="30" t="str">
        <f>IFERROR(VLOOKUP(H36,[1]SEMIELABORADOS!$A$2:$M$65536,10,0),"")</f>
        <v/>
      </c>
      <c r="F36" s="30" t="str">
        <f t="shared" ref="F36:F41" si="12">IFERROR(E36*C36,"")</f>
        <v/>
      </c>
      <c r="G36" s="31" t="str">
        <f t="shared" si="9"/>
        <v/>
      </c>
      <c r="H36" s="35"/>
      <c r="I36" s="35"/>
      <c r="J36" s="33"/>
    </row>
    <row r="37" spans="1:13" ht="13.5" hidden="1" x14ac:dyDescent="0.25">
      <c r="A37" s="28">
        <f t="shared" si="10"/>
        <v>0</v>
      </c>
      <c r="B37" s="34" t="str">
        <f>IFERROR(VLOOKUP(H37,[1]SEMIELABORADOS!$A$2:$M$6000,2,0),"")</f>
        <v/>
      </c>
      <c r="C37" s="29">
        <f t="shared" si="11"/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 t="shared" si="12"/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10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10"/>
        <v>0</v>
      </c>
      <c r="B39" s="34" t="str">
        <f>IFERROR(VLOOKUP(H39,[1]SEMIELABORADOS!$A$2:$M$6000,2,0),"")</f>
        <v/>
      </c>
      <c r="C39" s="29">
        <f>+A39</f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>IFERROR(E39*C39,"")</f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10"/>
        <v>0</v>
      </c>
      <c r="B40" s="34" t="str">
        <f>IFERROR(VLOOKUP(H40,[1]SEMIELABORADOS!$A$2:$M$6000,2,0),"")</f>
        <v/>
      </c>
      <c r="C40" s="29">
        <f t="shared" si="11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2"/>
        <v/>
      </c>
      <c r="G40" s="31" t="str">
        <f t="shared" si="9"/>
        <v/>
      </c>
      <c r="H40" s="35"/>
      <c r="I40" s="35"/>
      <c r="J40" s="33"/>
    </row>
    <row r="41" spans="1:13" ht="13.5" hidden="1" x14ac:dyDescent="0.25">
      <c r="A41" s="28">
        <f t="shared" si="10"/>
        <v>0</v>
      </c>
      <c r="B41" s="34" t="str">
        <f>IFERROR(VLOOKUP(H41,[1]SEMIELABORADOS!$A$2:$M$6000,2,0),"")</f>
        <v/>
      </c>
      <c r="C41" s="29">
        <f t="shared" si="11"/>
        <v>0</v>
      </c>
      <c r="D41" s="30" t="str">
        <f>IFERROR(VLOOKUP(H41,[1]SEMIELABORADOS!$A$2:$M$6000,6,0),"")</f>
        <v/>
      </c>
      <c r="E41" s="30" t="str">
        <f>IFERROR(VLOOKUP(H41,[1]SEMIELABORADOS!$A$2:$M$65536,10,0),"")</f>
        <v/>
      </c>
      <c r="F41" s="30" t="str">
        <f t="shared" si="12"/>
        <v/>
      </c>
      <c r="G41" s="31" t="str">
        <f t="shared" si="9"/>
        <v/>
      </c>
      <c r="H41" s="35"/>
      <c r="I41" s="35"/>
      <c r="J41" s="33"/>
    </row>
    <row r="42" spans="1:13" ht="14.25" thickBot="1" x14ac:dyDescent="0.3">
      <c r="A42" s="28"/>
      <c r="B42" s="34"/>
      <c r="C42" s="29"/>
      <c r="D42" s="30"/>
      <c r="E42" s="30"/>
      <c r="F42" s="30"/>
      <c r="G42" s="31"/>
      <c r="H42" s="35"/>
      <c r="I42" s="35"/>
      <c r="J42" s="33"/>
    </row>
    <row r="43" spans="1:13" ht="26.25" thickBot="1" x14ac:dyDescent="0.25">
      <c r="A43" s="23" t="s">
        <v>96</v>
      </c>
      <c r="B43" s="24" t="s">
        <v>106</v>
      </c>
      <c r="C43" s="24" t="s">
        <v>96</v>
      </c>
      <c r="D43" s="25" t="s">
        <v>98</v>
      </c>
      <c r="E43" s="25" t="s">
        <v>99</v>
      </c>
      <c r="F43" s="25" t="s">
        <v>100</v>
      </c>
      <c r="G43" s="25" t="s">
        <v>101</v>
      </c>
      <c r="H43" s="26" t="s">
        <v>102</v>
      </c>
      <c r="I43" s="27"/>
      <c r="J43" s="33"/>
    </row>
    <row r="44" spans="1:13" ht="13.5" x14ac:dyDescent="0.25">
      <c r="A44" s="28">
        <f>+A35</f>
        <v>23023</v>
      </c>
      <c r="B44" s="34" t="s">
        <v>144</v>
      </c>
      <c r="C44" s="29">
        <f>+A44</f>
        <v>23023</v>
      </c>
      <c r="D44" s="30" t="s">
        <v>142</v>
      </c>
      <c r="E44" s="30">
        <f>+'Costo Premezcla Velvet'!E73</f>
        <v>1.54E-2</v>
      </c>
      <c r="F44" s="30">
        <f>IFERROR(E44*C44,"")</f>
        <v>354.55420000000004</v>
      </c>
      <c r="G44" s="31">
        <f>IFERROR(F44/$F$66,"")</f>
        <v>1.2782909169811748E-2</v>
      </c>
      <c r="H44" s="35" t="s">
        <v>143</v>
      </c>
      <c r="I44" s="27"/>
      <c r="J44" s="33"/>
    </row>
    <row r="45" spans="1:13" ht="13.5" hidden="1" x14ac:dyDescent="0.25">
      <c r="A45" s="28">
        <f t="shared" ref="A45:A50" si="13">+A36</f>
        <v>0</v>
      </c>
      <c r="B45" s="34" t="str">
        <f>IFERROR(VLOOKUP(H45,[1]SEMIELABORADOS!$A$2:$M$6000,2,0),"")</f>
        <v/>
      </c>
      <c r="C45" s="29">
        <f t="shared" ref="C45:C50" si="14">+A45</f>
        <v>0</v>
      </c>
      <c r="D45" s="30" t="str">
        <f>IFERROR(VLOOKUP(H45,[1]SEMIELABORADOS!$A$2:$M$6000,6,0),"")</f>
        <v/>
      </c>
      <c r="E45" s="30" t="str">
        <f>IFERROR(VLOOKUP(H45,[1]SEMIELABORADOS!$A$2:$M$65536,12,0),"")</f>
        <v/>
      </c>
      <c r="F45" s="30" t="str">
        <f t="shared" ref="F45:F50" si="15">IFERROR(E45*C45,"")</f>
        <v/>
      </c>
      <c r="G45" s="31" t="str">
        <f t="shared" ref="G45:G50" si="16">IFERROR(F45/$F$66,"")</f>
        <v/>
      </c>
      <c r="H45" s="35"/>
      <c r="I45" s="27"/>
      <c r="J45" s="33"/>
      <c r="M45" s="38"/>
    </row>
    <row r="46" spans="1:13" ht="13.5" hidden="1" x14ac:dyDescent="0.25">
      <c r="A46" s="28">
        <f t="shared" si="13"/>
        <v>0</v>
      </c>
      <c r="B46" s="34" t="str">
        <f>IFERROR(VLOOKUP(H46,[1]SEMIELABORADOS!$A$2:$M$6000,2,0),"")</f>
        <v/>
      </c>
      <c r="C46" s="29">
        <f t="shared" si="14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5"/>
        <v/>
      </c>
      <c r="G46" s="31" t="str">
        <f t="shared" si="16"/>
        <v/>
      </c>
      <c r="H46" s="35"/>
      <c r="I46" s="27"/>
      <c r="J46" s="33"/>
    </row>
    <row r="47" spans="1:13" ht="13.5" hidden="1" x14ac:dyDescent="0.25">
      <c r="A47" s="28">
        <f t="shared" si="13"/>
        <v>0</v>
      </c>
      <c r="B47" s="34" t="str">
        <f>IFERROR(VLOOKUP(H47,[1]SEMIELABORADOS!$A$2:$M$6000,2,0),"")</f>
        <v/>
      </c>
      <c r="C47" s="29">
        <f t="shared" si="14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5"/>
        <v/>
      </c>
      <c r="G47" s="31" t="str">
        <f t="shared" si="16"/>
        <v/>
      </c>
      <c r="H47" s="35"/>
      <c r="I47" s="27"/>
      <c r="J47" s="33"/>
    </row>
    <row r="48" spans="1:13" ht="13.5" hidden="1" x14ac:dyDescent="0.25">
      <c r="A48" s="28">
        <f t="shared" si="13"/>
        <v>0</v>
      </c>
      <c r="B48" s="34" t="str">
        <f>IFERROR(VLOOKUP(H48,[1]SEMIELABORADOS!$A$2:$M$6000,2,0),"")</f>
        <v/>
      </c>
      <c r="C48" s="29">
        <f t="shared" si="14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5"/>
        <v/>
      </c>
      <c r="G48" s="31" t="str">
        <f t="shared" si="16"/>
        <v/>
      </c>
      <c r="H48" s="35"/>
      <c r="I48" s="27"/>
      <c r="J48" s="33"/>
    </row>
    <row r="49" spans="1:17" ht="13.5" hidden="1" x14ac:dyDescent="0.25">
      <c r="A49" s="28">
        <f t="shared" si="13"/>
        <v>0</v>
      </c>
      <c r="B49" s="34" t="str">
        <f>IFERROR(VLOOKUP(H49,[1]SEMIELABORADOS!$A$2:$M$6000,2,0),"")</f>
        <v/>
      </c>
      <c r="C49" s="29">
        <f t="shared" si="14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5"/>
        <v/>
      </c>
      <c r="G49" s="31" t="str">
        <f t="shared" si="16"/>
        <v/>
      </c>
      <c r="H49" s="35"/>
      <c r="I49" s="27"/>
      <c r="J49" s="33"/>
    </row>
    <row r="50" spans="1:17" ht="13.5" hidden="1" x14ac:dyDescent="0.25">
      <c r="A50" s="28">
        <f t="shared" si="13"/>
        <v>0</v>
      </c>
      <c r="B50" s="34" t="str">
        <f>IFERROR(VLOOKUP(H50,[1]SEMIELABORADOS!$A$2:$M$6000,2,0),"")</f>
        <v/>
      </c>
      <c r="C50" s="29">
        <f t="shared" si="14"/>
        <v>0</v>
      </c>
      <c r="D50" s="30" t="str">
        <f>IFERROR(VLOOKUP(H50,[1]SEMIELABORADOS!$A$2:$M$6000,6,0),"")</f>
        <v/>
      </c>
      <c r="E50" s="30" t="str">
        <f>IFERROR(VLOOKUP(H50,[1]SEMIELABORADOS!$A$2:$M$65536,12,0),"")</f>
        <v/>
      </c>
      <c r="F50" s="30" t="str">
        <f t="shared" si="15"/>
        <v/>
      </c>
      <c r="G50" s="31" t="str">
        <f t="shared" si="16"/>
        <v/>
      </c>
      <c r="H50" s="34"/>
      <c r="I50" s="27"/>
      <c r="J50" s="33"/>
    </row>
    <row r="51" spans="1:17" ht="13.5" x14ac:dyDescent="0.25">
      <c r="A51" s="28">
        <v>1</v>
      </c>
      <c r="B51" s="34" t="s">
        <v>107</v>
      </c>
      <c r="C51" s="29">
        <f>+A51</f>
        <v>1</v>
      </c>
      <c r="D51" s="29" t="s">
        <v>108</v>
      </c>
      <c r="E51" s="30">
        <f>+F65</f>
        <v>385</v>
      </c>
      <c r="F51" s="30">
        <f>IFERROR(C51*E51,"")</f>
        <v>385</v>
      </c>
      <c r="G51" s="31">
        <f>IFERROR(F51/$F$66,"")</f>
        <v>1.3880585903022789E-2</v>
      </c>
      <c r="H51" s="39"/>
      <c r="I51" s="39"/>
      <c r="J51" s="33"/>
    </row>
    <row r="52" spans="1:17" ht="14.25" thickBot="1" x14ac:dyDescent="0.3">
      <c r="A52" s="28"/>
      <c r="B52" s="34"/>
      <c r="C52" s="29"/>
      <c r="D52" s="29"/>
      <c r="E52" s="30"/>
      <c r="F52" s="30"/>
      <c r="G52" s="31"/>
      <c r="H52" s="39"/>
      <c r="I52" s="39"/>
      <c r="J52" s="33"/>
    </row>
    <row r="53" spans="1:17" ht="13.5" thickBot="1" x14ac:dyDescent="0.25">
      <c r="A53" s="40"/>
      <c r="B53" s="192" t="s">
        <v>109</v>
      </c>
      <c r="C53" s="192"/>
      <c r="D53" s="192"/>
      <c r="E53" s="192"/>
      <c r="F53" s="42">
        <f>SUM(F8:F14,F17:F24)</f>
        <v>26682.893577340001</v>
      </c>
      <c r="G53" s="31">
        <f>+F53/$F$66</f>
        <v>0.96201089984800769</v>
      </c>
      <c r="H53" s="43">
        <f>+F53/$D$60</f>
        <v>26682.893577340001</v>
      </c>
      <c r="I53" s="43"/>
      <c r="J53" s="44"/>
      <c r="K53" s="45"/>
      <c r="L53" s="45"/>
      <c r="M53" s="45"/>
      <c r="N53" s="45"/>
      <c r="O53" s="45"/>
      <c r="P53" s="45"/>
      <c r="Q53" s="46"/>
    </row>
    <row r="54" spans="1:17" x14ac:dyDescent="0.2">
      <c r="A54" s="40"/>
      <c r="B54" s="192" t="s">
        <v>110</v>
      </c>
      <c r="C54" s="192"/>
      <c r="D54" s="192"/>
      <c r="E54" s="192"/>
      <c r="F54" s="42">
        <f>SUM(F27:F32,F35:F41)</f>
        <v>135.02989499999998</v>
      </c>
      <c r="G54" s="31">
        <f>+F54/$F$66</f>
        <v>4.8682962520094734E-3</v>
      </c>
      <c r="H54" s="43">
        <f>+F54/$D$60</f>
        <v>135.02989499999998</v>
      </c>
      <c r="I54" s="43"/>
      <c r="J54" s="47"/>
      <c r="K54" s="193" t="s">
        <v>111</v>
      </c>
      <c r="L54" s="194"/>
      <c r="M54" s="194"/>
      <c r="N54" s="194"/>
      <c r="O54" s="48">
        <f>+F55</f>
        <v>26817.92347234</v>
      </c>
      <c r="P54" s="48"/>
      <c r="Q54" s="49"/>
    </row>
    <row r="55" spans="1:17" x14ac:dyDescent="0.2">
      <c r="A55" s="40"/>
      <c r="B55" s="192" t="s">
        <v>112</v>
      </c>
      <c r="C55" s="192"/>
      <c r="D55" s="192"/>
      <c r="E55" s="192"/>
      <c r="F55" s="42">
        <f>+F53+F54</f>
        <v>26817.92347234</v>
      </c>
      <c r="G55" s="31">
        <f>+F55/$F$66</f>
        <v>0.96687919610001716</v>
      </c>
      <c r="H55" s="43">
        <f>+F55/$D$60</f>
        <v>26817.92347234</v>
      </c>
      <c r="I55" s="43"/>
      <c r="J55" s="50"/>
      <c r="K55" s="51"/>
      <c r="M55" s="52" t="s">
        <v>113</v>
      </c>
      <c r="N55" s="53"/>
      <c r="O55" s="48">
        <f>+H56</f>
        <v>739.55420000000004</v>
      </c>
      <c r="P55" s="48"/>
      <c r="Q55" s="49"/>
    </row>
    <row r="56" spans="1:17" ht="13.5" thickBot="1" x14ac:dyDescent="0.25">
      <c r="A56" s="40"/>
      <c r="B56" s="41"/>
      <c r="C56" s="192" t="s">
        <v>114</v>
      </c>
      <c r="D56" s="192"/>
      <c r="E56" s="192"/>
      <c r="F56" s="42">
        <f>SUM(F44:F51)</f>
        <v>739.55420000000004</v>
      </c>
      <c r="G56" s="31">
        <f>+F56/$F$66</f>
        <v>2.6663495072834539E-2</v>
      </c>
      <c r="H56" s="43">
        <f>+F56/$D$60</f>
        <v>739.55420000000004</v>
      </c>
      <c r="I56" s="43"/>
      <c r="J56" s="50"/>
      <c r="K56" s="51"/>
      <c r="L56" s="51"/>
      <c r="M56" s="51" t="s">
        <v>115</v>
      </c>
      <c r="N56" s="54"/>
      <c r="O56" s="48">
        <f>O54*N56</f>
        <v>0</v>
      </c>
      <c r="P56" s="48"/>
      <c r="Q56" s="49"/>
    </row>
    <row r="57" spans="1:17" ht="13.5" thickBot="1" x14ac:dyDescent="0.25">
      <c r="A57" s="40"/>
      <c r="B57" s="55"/>
      <c r="C57" s="55"/>
      <c r="D57" s="55"/>
      <c r="E57" s="55"/>
      <c r="F57" s="56"/>
      <c r="G57" s="31"/>
      <c r="H57" s="57"/>
      <c r="I57" s="43"/>
      <c r="J57" s="50"/>
      <c r="K57" s="58"/>
      <c r="M57" s="59" t="s">
        <v>116</v>
      </c>
      <c r="N57" s="60"/>
      <c r="O57" s="61">
        <f>SUM(O54:O56)</f>
        <v>27557.477672339999</v>
      </c>
      <c r="P57" s="62"/>
      <c r="Q57" s="49"/>
    </row>
    <row r="58" spans="1:17" x14ac:dyDescent="0.2">
      <c r="B58" s="204" t="s">
        <v>117</v>
      </c>
      <c r="C58" s="204"/>
      <c r="D58" s="63">
        <v>23300</v>
      </c>
      <c r="E58" s="64"/>
      <c r="G58" s="31"/>
      <c r="H58" s="57">
        <f>+H56/77</f>
        <v>9.6046000000000014</v>
      </c>
      <c r="I58" s="65"/>
      <c r="J58" s="50"/>
      <c r="K58" s="58"/>
      <c r="L58" s="51"/>
      <c r="M58" s="51" t="s">
        <v>118</v>
      </c>
      <c r="N58" s="66"/>
      <c r="O58" s="48">
        <f>+H59</f>
        <v>797.18180000000007</v>
      </c>
      <c r="P58" s="48"/>
      <c r="Q58" s="49"/>
    </row>
    <row r="59" spans="1:17" x14ac:dyDescent="0.2">
      <c r="B59" s="204" t="s">
        <v>119</v>
      </c>
      <c r="C59" s="204"/>
      <c r="D59" s="67">
        <v>23300</v>
      </c>
      <c r="E59" s="64"/>
      <c r="G59" s="31"/>
      <c r="H59" s="57">
        <f>+H58*83</f>
        <v>797.18180000000007</v>
      </c>
      <c r="I59" s="65"/>
      <c r="J59" s="50"/>
      <c r="K59" s="58"/>
      <c r="L59" s="51"/>
      <c r="M59" s="197" t="s">
        <v>116</v>
      </c>
      <c r="N59" s="197"/>
      <c r="O59" s="48">
        <f>SUM(O57:O58)</f>
        <v>28354.659472339998</v>
      </c>
      <c r="P59" s="48"/>
      <c r="Q59" s="49"/>
    </row>
    <row r="60" spans="1:17" ht="13.5" thickBot="1" x14ac:dyDescent="0.25">
      <c r="B60" s="203" t="s">
        <v>120</v>
      </c>
      <c r="C60" s="203"/>
      <c r="D60" s="63">
        <f>+D58/D59</f>
        <v>1</v>
      </c>
      <c r="E60" s="64"/>
      <c r="F60" s="68"/>
      <c r="G60" s="31"/>
      <c r="H60" s="57"/>
      <c r="I60" s="65"/>
      <c r="J60" s="50"/>
      <c r="K60" s="58"/>
      <c r="L60" s="197"/>
      <c r="M60" s="197"/>
      <c r="N60" s="66"/>
      <c r="O60" s="48">
        <f>+O59*N60</f>
        <v>0</v>
      </c>
      <c r="P60" s="48"/>
      <c r="Q60" s="49"/>
    </row>
    <row r="61" spans="1:17" ht="13.5" thickBot="1" x14ac:dyDescent="0.25">
      <c r="B61" s="203" t="s">
        <v>121</v>
      </c>
      <c r="C61" s="203"/>
      <c r="D61" s="69"/>
      <c r="E61" s="64"/>
      <c r="F61" s="68"/>
      <c r="G61" s="31"/>
      <c r="H61" s="57"/>
      <c r="I61" s="65"/>
      <c r="J61" s="50"/>
      <c r="K61" s="188" t="s">
        <v>122</v>
      </c>
      <c r="L61" s="189"/>
      <c r="M61" s="189"/>
      <c r="N61" s="190"/>
      <c r="O61" s="61">
        <f>SUM(O59:O60)</f>
        <v>28354.659472339998</v>
      </c>
      <c r="P61" s="70" t="s">
        <v>123</v>
      </c>
      <c r="Q61" s="49"/>
    </row>
    <row r="62" spans="1:17" ht="13.5" thickBot="1" x14ac:dyDescent="0.25">
      <c r="C62" s="40" t="s">
        <v>124</v>
      </c>
      <c r="D62" s="71"/>
      <c r="E62" s="14" t="s">
        <v>125</v>
      </c>
      <c r="F62" s="72" t="s">
        <v>126</v>
      </c>
      <c r="G62" s="31"/>
      <c r="H62" s="57"/>
      <c r="I62" s="65"/>
      <c r="J62" s="73"/>
      <c r="K62" s="74"/>
      <c r="L62" s="175" t="s">
        <v>127</v>
      </c>
      <c r="M62" s="175"/>
      <c r="N62" s="175"/>
      <c r="O62" s="75">
        <f>+O61/D60</f>
        <v>28354.659472339998</v>
      </c>
      <c r="P62" s="76">
        <f>+O62/D59</f>
        <v>1.2169381747785406</v>
      </c>
      <c r="Q62" s="77"/>
    </row>
    <row r="63" spans="1:17" ht="13.5" thickBot="1" x14ac:dyDescent="0.25">
      <c r="B63" s="176" t="s">
        <v>112</v>
      </c>
      <c r="C63" s="176"/>
      <c r="D63" s="176"/>
      <c r="E63" s="78">
        <f>+F63/F63</f>
        <v>1</v>
      </c>
      <c r="F63" s="79">
        <f>SUM(F55)</f>
        <v>26817.92347234</v>
      </c>
      <c r="G63" s="31">
        <f>+F63/$F$66</f>
        <v>0.96687919610001716</v>
      </c>
      <c r="H63" s="57"/>
      <c r="I63" s="65"/>
      <c r="K63" s="177"/>
      <c r="L63" s="178"/>
      <c r="M63" s="178"/>
      <c r="N63" s="178"/>
      <c r="O63" s="80"/>
      <c r="P63" s="81"/>
    </row>
    <row r="64" spans="1:17" ht="13.5" thickBot="1" x14ac:dyDescent="0.25">
      <c r="B64" s="179" t="s">
        <v>128</v>
      </c>
      <c r="C64" s="179"/>
      <c r="D64" s="179"/>
      <c r="E64" s="82">
        <v>0.02</v>
      </c>
      <c r="F64" s="79">
        <f>+F53*E64</f>
        <v>533.65787154680004</v>
      </c>
      <c r="G64" s="31">
        <f>+F64/$F$66</f>
        <v>1.9240217996960154E-2</v>
      </c>
      <c r="H64" s="43"/>
      <c r="I64" s="65"/>
      <c r="J64" s="83"/>
      <c r="O64" s="84"/>
      <c r="P64" s="41"/>
    </row>
    <row r="65" spans="2:13" ht="13.5" thickBot="1" x14ac:dyDescent="0.25">
      <c r="B65" s="180" t="s">
        <v>129</v>
      </c>
      <c r="C65" s="181"/>
      <c r="D65" s="85">
        <v>5</v>
      </c>
      <c r="E65" s="86">
        <v>77</v>
      </c>
      <c r="F65" s="79">
        <f>+E65*D65</f>
        <v>385</v>
      </c>
      <c r="G65" s="31">
        <f>+F65/$F$66</f>
        <v>1.3880585903022789E-2</v>
      </c>
      <c r="H65" s="43"/>
      <c r="I65" s="43"/>
      <c r="J65" s="33"/>
    </row>
    <row r="66" spans="2:13" ht="13.5" thickBot="1" x14ac:dyDescent="0.25">
      <c r="B66" s="182" t="s">
        <v>130</v>
      </c>
      <c r="C66" s="183"/>
      <c r="D66" s="183"/>
      <c r="E66" s="184"/>
      <c r="F66" s="56">
        <f>SUM(F63:F65)</f>
        <v>27736.581343886799</v>
      </c>
      <c r="G66" s="31">
        <f>+F66/$F$66</f>
        <v>1</v>
      </c>
      <c r="H66" s="185"/>
      <c r="I66" s="43"/>
      <c r="J66" s="33"/>
      <c r="M66" s="16" t="s">
        <v>131</v>
      </c>
    </row>
    <row r="67" spans="2:13" x14ac:dyDescent="0.2">
      <c r="C67" s="38"/>
      <c r="D67" s="38"/>
      <c r="E67" s="88"/>
      <c r="F67" s="79"/>
      <c r="G67" s="31"/>
      <c r="H67" s="185"/>
      <c r="I67" s="87"/>
      <c r="J67" s="16"/>
      <c r="M67" s="16" t="s">
        <v>132</v>
      </c>
    </row>
    <row r="68" spans="2:13" ht="13.5" thickBot="1" x14ac:dyDescent="0.25">
      <c r="B68" s="170" t="s">
        <v>133</v>
      </c>
      <c r="C68" s="170"/>
      <c r="D68" s="170"/>
      <c r="E68" s="170"/>
      <c r="F68" s="170"/>
      <c r="G68" s="31"/>
      <c r="H68" s="90"/>
      <c r="I68" s="87"/>
      <c r="J68" s="16"/>
      <c r="M68" s="16" t="s">
        <v>134</v>
      </c>
    </row>
    <row r="69" spans="2:13" ht="13.5" thickBot="1" x14ac:dyDescent="0.25">
      <c r="B69" s="91" t="s">
        <v>135</v>
      </c>
      <c r="C69" s="92">
        <f>+F53</f>
        <v>26682.893577340001</v>
      </c>
      <c r="D69" s="92">
        <f>+D58</f>
        <v>23300</v>
      </c>
      <c r="E69" s="93">
        <f>+C69/D69</f>
        <v>1.145188565551073</v>
      </c>
      <c r="F69" s="31"/>
      <c r="G69" s="90"/>
      <c r="H69" s="33"/>
      <c r="I69" s="90"/>
      <c r="J69" s="16"/>
    </row>
    <row r="70" spans="2:13" x14ac:dyDescent="0.2">
      <c r="B70" s="94"/>
      <c r="C70" s="95"/>
      <c r="D70" s="96"/>
      <c r="E70" s="79"/>
      <c r="F70" s="31"/>
      <c r="G70" s="90"/>
      <c r="H70" s="33"/>
      <c r="I70" s="33"/>
      <c r="J70" s="16"/>
    </row>
    <row r="71" spans="2:13" x14ac:dyDescent="0.2">
      <c r="B71" s="91" t="s">
        <v>136</v>
      </c>
      <c r="C71" s="92">
        <f>SUM(F63:F64)</f>
        <v>27351.581343886799</v>
      </c>
      <c r="D71" s="92">
        <f>+D58</f>
        <v>23300</v>
      </c>
      <c r="E71" s="97">
        <f>+C71/D71</f>
        <v>1.1738876113256136</v>
      </c>
      <c r="F71" s="31"/>
      <c r="G71" s="90"/>
      <c r="H71" s="33"/>
      <c r="I71" s="33"/>
      <c r="J71" s="16"/>
    </row>
    <row r="72" spans="2:13" x14ac:dyDescent="0.2">
      <c r="B72" s="91"/>
      <c r="C72" s="92"/>
      <c r="D72" s="92"/>
      <c r="E72" s="97"/>
      <c r="F72" s="31"/>
      <c r="G72" s="90"/>
      <c r="H72" s="33"/>
      <c r="I72" s="33"/>
      <c r="J72" s="16"/>
    </row>
    <row r="73" spans="2:13" ht="13.5" thickBot="1" x14ac:dyDescent="0.25">
      <c r="B73" s="91" t="s">
        <v>137</v>
      </c>
      <c r="C73" s="92">
        <f>+F65</f>
        <v>385</v>
      </c>
      <c r="D73" s="92">
        <f>+D58</f>
        <v>23300</v>
      </c>
      <c r="E73" s="97">
        <f>+C73/D73</f>
        <v>1.6523605150214591E-2</v>
      </c>
      <c r="F73" s="31"/>
      <c r="G73" s="90"/>
      <c r="H73" s="33"/>
      <c r="I73" s="33"/>
      <c r="J73" s="16"/>
    </row>
    <row r="74" spans="2:13" ht="13.5" thickBot="1" x14ac:dyDescent="0.25">
      <c r="B74" s="91" t="s">
        <v>138</v>
      </c>
      <c r="C74" s="92">
        <f>+F56</f>
        <v>739.55420000000004</v>
      </c>
      <c r="D74" s="92">
        <f>+D73</f>
        <v>23300</v>
      </c>
      <c r="E74" s="93">
        <f>+C74/D74</f>
        <v>3.1740523605150214E-2</v>
      </c>
      <c r="F74" s="31"/>
      <c r="G74" s="90"/>
      <c r="H74" s="33"/>
      <c r="I74" s="33"/>
      <c r="J74" s="16"/>
    </row>
    <row r="75" spans="2:13" ht="13.5" thickBot="1" x14ac:dyDescent="0.25">
      <c r="B75" s="55"/>
      <c r="C75" s="56"/>
      <c r="D75" s="56"/>
      <c r="E75" s="97"/>
      <c r="F75" s="31"/>
      <c r="G75" s="90"/>
      <c r="H75" s="33"/>
      <c r="I75" s="33"/>
      <c r="J75" s="16"/>
    </row>
    <row r="76" spans="2:13" ht="13.5" thickBot="1" x14ac:dyDescent="0.25">
      <c r="B76" s="91" t="s">
        <v>139</v>
      </c>
      <c r="C76" s="92">
        <f>+F54</f>
        <v>135.02989499999998</v>
      </c>
      <c r="D76" s="92">
        <f>+D74</f>
        <v>23300</v>
      </c>
      <c r="E76" s="93">
        <f>+C76/D76</f>
        <v>5.7952744635193128E-3</v>
      </c>
      <c r="F76" s="31"/>
      <c r="G76" s="90"/>
      <c r="H76" s="33"/>
      <c r="I76" s="33"/>
      <c r="J76" s="33"/>
    </row>
    <row r="77" spans="2:13" ht="13.5" thickBot="1" x14ac:dyDescent="0.25">
      <c r="B77" s="55"/>
      <c r="C77" s="56"/>
      <c r="D77" s="56"/>
      <c r="E77" s="97"/>
      <c r="F77" s="31"/>
      <c r="G77" s="90"/>
      <c r="H77" s="33"/>
      <c r="I77" s="33"/>
    </row>
    <row r="78" spans="2:13" ht="13.5" thickBot="1" x14ac:dyDescent="0.25">
      <c r="B78" s="171" t="s">
        <v>140</v>
      </c>
      <c r="C78" s="172"/>
      <c r="D78" s="173"/>
      <c r="E78" s="93">
        <f>+E69+E74</f>
        <v>1.1769290891562232</v>
      </c>
      <c r="G78" s="31"/>
      <c r="H78" s="90"/>
      <c r="I78" s="33"/>
      <c r="J78" s="97"/>
    </row>
    <row r="79" spans="2:13" x14ac:dyDescent="0.2">
      <c r="I79" s="90"/>
      <c r="J79" s="16"/>
    </row>
    <row r="80" spans="2:13" ht="13.5" thickBot="1" x14ac:dyDescent="0.25">
      <c r="B80" s="170" t="s">
        <v>141</v>
      </c>
      <c r="C80" s="170"/>
      <c r="D80" s="170"/>
      <c r="E80" s="170"/>
      <c r="F80" s="170"/>
      <c r="G80" s="31"/>
      <c r="H80" s="90"/>
      <c r="J80" s="16"/>
    </row>
    <row r="81" spans="1:10" ht="13.5" thickBot="1" x14ac:dyDescent="0.25">
      <c r="B81" s="91" t="s">
        <v>135</v>
      </c>
      <c r="C81" s="92">
        <f>+C69</f>
        <v>26682.893577340001</v>
      </c>
      <c r="D81" s="92">
        <f>+D60</f>
        <v>1</v>
      </c>
      <c r="E81" s="93">
        <f>+C81/D81</f>
        <v>26682.893577340001</v>
      </c>
      <c r="F81" s="31"/>
      <c r="G81" s="90"/>
      <c r="H81" s="33"/>
      <c r="I81" s="90"/>
      <c r="J81" s="16"/>
    </row>
    <row r="82" spans="1:10" x14ac:dyDescent="0.2">
      <c r="B82" s="94"/>
      <c r="C82" s="95"/>
      <c r="D82" s="96"/>
      <c r="E82" s="79"/>
      <c r="F82" s="31"/>
      <c r="G82" s="90"/>
      <c r="H82" s="33"/>
      <c r="I82" s="33"/>
      <c r="J82" s="16"/>
    </row>
    <row r="83" spans="1:10" x14ac:dyDescent="0.2">
      <c r="B83" s="91" t="s">
        <v>136</v>
      </c>
      <c r="C83" s="92">
        <f>+C71</f>
        <v>27351.581343886799</v>
      </c>
      <c r="D83" s="92">
        <f>+D60</f>
        <v>1</v>
      </c>
      <c r="E83" s="97">
        <f>+C83/D83</f>
        <v>27351.581343886799</v>
      </c>
      <c r="F83" s="31"/>
      <c r="G83" s="90"/>
      <c r="H83" s="33"/>
      <c r="I83" s="33"/>
      <c r="J83" s="16"/>
    </row>
    <row r="84" spans="1:10" x14ac:dyDescent="0.2">
      <c r="B84" s="91"/>
      <c r="C84" s="92"/>
      <c r="D84" s="92"/>
      <c r="E84" s="97"/>
      <c r="F84" s="31"/>
      <c r="G84" s="90"/>
      <c r="H84" s="33"/>
      <c r="I84" s="33"/>
      <c r="J84" s="16"/>
    </row>
    <row r="85" spans="1:10" ht="13.5" thickBot="1" x14ac:dyDescent="0.25">
      <c r="B85" s="91" t="s">
        <v>138</v>
      </c>
      <c r="C85" s="92">
        <f>+C73</f>
        <v>385</v>
      </c>
      <c r="D85" s="92">
        <f>+D60</f>
        <v>1</v>
      </c>
      <c r="E85" s="97">
        <f>+C85/D85</f>
        <v>385</v>
      </c>
      <c r="F85" s="99"/>
      <c r="G85" s="89"/>
      <c r="H85" s="15"/>
      <c r="I85" s="33"/>
    </row>
    <row r="86" spans="1:10" ht="13.5" thickBot="1" x14ac:dyDescent="0.25">
      <c r="B86" s="91" t="s">
        <v>138</v>
      </c>
      <c r="C86" s="92">
        <f>+C74</f>
        <v>739.55420000000004</v>
      </c>
      <c r="D86" s="92">
        <f>+D85</f>
        <v>1</v>
      </c>
      <c r="E86" s="93">
        <f>+C86/D86</f>
        <v>739.55420000000004</v>
      </c>
      <c r="F86" s="98"/>
      <c r="G86" s="89"/>
      <c r="H86" s="15"/>
      <c r="I86" s="15"/>
    </row>
    <row r="87" spans="1:10" x14ac:dyDescent="0.2">
      <c r="I87" s="15"/>
    </row>
    <row r="88" spans="1:10" x14ac:dyDescent="0.2">
      <c r="A88" s="174"/>
      <c r="B88" s="174"/>
      <c r="C88" s="100"/>
      <c r="D88" s="100"/>
      <c r="E88" s="101"/>
      <c r="G88" s="102"/>
    </row>
    <row r="89" spans="1:10" x14ac:dyDescent="0.2">
      <c r="A89" s="34"/>
      <c r="B89" s="103"/>
      <c r="C89" s="104"/>
      <c r="D89" s="104"/>
      <c r="E89" s="105"/>
      <c r="G89" s="102"/>
    </row>
    <row r="90" spans="1:10" x14ac:dyDescent="0.2">
      <c r="A90" s="34"/>
      <c r="B90" s="103"/>
      <c r="C90" s="106"/>
      <c r="D90" s="106"/>
      <c r="E90" s="34"/>
      <c r="G90" s="102"/>
    </row>
    <row r="91" spans="1:10" x14ac:dyDescent="0.2">
      <c r="A91" s="34"/>
      <c r="B91" s="103"/>
      <c r="C91" s="107"/>
      <c r="D91" s="107"/>
      <c r="E91" s="34"/>
      <c r="G91" s="10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55F3-1475-4C19-87FC-77E1E5D5744F}">
  <sheetPr>
    <pageSetUpPr fitToPage="1"/>
  </sheetPr>
  <dimension ref="A1:J39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5.85546875" customWidth="1"/>
    <col min="3" max="3" width="64.7109375" customWidth="1"/>
    <col min="4" max="4" width="28" bestFit="1" customWidth="1"/>
    <col min="5" max="5" width="15.140625" customWidth="1"/>
    <col min="6" max="6" width="15.42578125" customWidth="1"/>
    <col min="7" max="7" width="14.7109375" customWidth="1"/>
    <col min="8" max="8" width="20.28515625" customWidth="1"/>
    <col min="9" max="9" width="22.7109375" bestFit="1" customWidth="1"/>
  </cols>
  <sheetData>
    <row r="1" spans="1:9" ht="18" x14ac:dyDescent="0.25">
      <c r="A1" s="255"/>
      <c r="B1" s="256"/>
      <c r="C1" s="261" t="s">
        <v>29</v>
      </c>
      <c r="D1" s="261"/>
      <c r="E1" s="261"/>
      <c r="F1" s="261"/>
      <c r="G1" s="261"/>
      <c r="H1" s="1" t="s">
        <v>0</v>
      </c>
      <c r="I1" s="2" t="s">
        <v>152</v>
      </c>
    </row>
    <row r="2" spans="1:9" ht="18" customHeight="1" thickBot="1" x14ac:dyDescent="0.3">
      <c r="A2" s="257"/>
      <c r="B2" s="258"/>
      <c r="C2" s="262" t="s">
        <v>28</v>
      </c>
      <c r="D2" s="263"/>
      <c r="E2" s="263"/>
      <c r="F2" s="263"/>
      <c r="G2" s="264"/>
      <c r="H2" s="3" t="s">
        <v>27</v>
      </c>
      <c r="I2" s="4" t="s">
        <v>151</v>
      </c>
    </row>
    <row r="3" spans="1:9" ht="31.5" customHeight="1" thickBot="1" x14ac:dyDescent="0.25">
      <c r="A3" s="257"/>
      <c r="B3" s="258"/>
      <c r="C3" s="265" t="s">
        <v>87</v>
      </c>
      <c r="D3" s="266"/>
      <c r="E3" s="266"/>
      <c r="F3" s="266"/>
      <c r="G3" s="267"/>
      <c r="H3" s="268" t="s">
        <v>1</v>
      </c>
      <c r="I3" s="246">
        <v>46058</v>
      </c>
    </row>
    <row r="4" spans="1:9" ht="18" customHeight="1" x14ac:dyDescent="0.3">
      <c r="A4" s="257"/>
      <c r="B4" s="258"/>
      <c r="C4" s="5" t="s">
        <v>26</v>
      </c>
      <c r="D4" s="249" t="s">
        <v>38</v>
      </c>
      <c r="E4" s="250"/>
      <c r="F4" s="250"/>
      <c r="G4" s="251"/>
      <c r="H4" s="269"/>
      <c r="I4" s="247"/>
    </row>
    <row r="5" spans="1:9" ht="19.5" thickBot="1" x14ac:dyDescent="0.35">
      <c r="A5" s="259"/>
      <c r="B5" s="260"/>
      <c r="C5" s="6" t="s">
        <v>25</v>
      </c>
      <c r="D5" s="252" t="s">
        <v>39</v>
      </c>
      <c r="E5" s="253"/>
      <c r="F5" s="253"/>
      <c r="G5" s="254"/>
      <c r="H5" s="270"/>
      <c r="I5" s="248"/>
    </row>
    <row r="6" spans="1:9" ht="18.75" thickBot="1" x14ac:dyDescent="0.3">
      <c r="A6" s="237" t="s">
        <v>31</v>
      </c>
      <c r="B6" s="237"/>
      <c r="C6" s="237"/>
      <c r="D6" s="238" t="s">
        <v>42</v>
      </c>
      <c r="E6" s="238"/>
      <c r="F6" s="238"/>
      <c r="G6" s="239" t="s">
        <v>32</v>
      </c>
      <c r="H6" s="239"/>
      <c r="I6" s="108" t="s">
        <v>42</v>
      </c>
    </row>
    <row r="7" spans="1:9" ht="36" x14ac:dyDescent="0.2">
      <c r="A7" s="240" t="s">
        <v>2</v>
      </c>
      <c r="B7" s="242" t="s">
        <v>33</v>
      </c>
      <c r="C7" s="244" t="s">
        <v>3</v>
      </c>
      <c r="D7" s="244" t="s">
        <v>4</v>
      </c>
      <c r="E7" s="244" t="s">
        <v>5</v>
      </c>
      <c r="F7" s="244"/>
      <c r="G7" s="244" t="s">
        <v>34</v>
      </c>
      <c r="H7" s="244"/>
      <c r="I7" s="7" t="s">
        <v>6</v>
      </c>
    </row>
    <row r="8" spans="1:9" ht="36.75" thickBot="1" x14ac:dyDescent="0.3">
      <c r="A8" s="241"/>
      <c r="B8" s="243"/>
      <c r="C8" s="245"/>
      <c r="D8" s="245"/>
      <c r="E8" s="8" t="s">
        <v>7</v>
      </c>
      <c r="F8" s="9" t="s">
        <v>8</v>
      </c>
      <c r="G8" s="8" t="s">
        <v>7</v>
      </c>
      <c r="H8" s="9" t="s">
        <v>8</v>
      </c>
      <c r="I8" s="10" t="s">
        <v>9</v>
      </c>
    </row>
    <row r="9" spans="1:9" ht="18.399999999999999" customHeight="1" x14ac:dyDescent="0.3">
      <c r="A9" s="109"/>
      <c r="B9" s="150"/>
      <c r="C9" s="151" t="s">
        <v>35</v>
      </c>
      <c r="D9" s="110"/>
      <c r="E9" s="111"/>
      <c r="F9" s="112"/>
      <c r="G9" s="111"/>
      <c r="H9" s="112"/>
      <c r="I9" s="113"/>
    </row>
    <row r="10" spans="1:9" ht="20.25" x14ac:dyDescent="0.3">
      <c r="A10" s="152">
        <v>10100289</v>
      </c>
      <c r="B10" s="152" t="s">
        <v>43</v>
      </c>
      <c r="C10" s="153" t="s">
        <v>44</v>
      </c>
      <c r="D10" s="130" t="s">
        <v>45</v>
      </c>
      <c r="E10" s="115">
        <f>122*57.14</f>
        <v>6971.08</v>
      </c>
      <c r="F10" s="154" t="s">
        <v>10</v>
      </c>
      <c r="G10" s="155"/>
      <c r="H10" s="156"/>
      <c r="I10" s="113"/>
    </row>
    <row r="11" spans="1:9" ht="20.25" x14ac:dyDescent="0.3">
      <c r="A11" s="152">
        <v>11200070</v>
      </c>
      <c r="B11" s="152" t="s">
        <v>46</v>
      </c>
      <c r="C11" s="153" t="s">
        <v>47</v>
      </c>
      <c r="D11" s="116" t="s">
        <v>48</v>
      </c>
      <c r="E11" s="119">
        <f>172*57.14</f>
        <v>9828.08</v>
      </c>
      <c r="F11" s="120" t="s">
        <v>14</v>
      </c>
      <c r="G11" s="155"/>
      <c r="H11" s="156"/>
      <c r="I11" s="113"/>
    </row>
    <row r="12" spans="1:9" ht="20.25" x14ac:dyDescent="0.3">
      <c r="A12" s="152" t="s">
        <v>49</v>
      </c>
      <c r="B12" s="152" t="s">
        <v>50</v>
      </c>
      <c r="C12" s="153" t="s">
        <v>51</v>
      </c>
      <c r="D12" s="116" t="s">
        <v>52</v>
      </c>
      <c r="E12" s="119">
        <f>46*57.14</f>
        <v>2628.44</v>
      </c>
      <c r="F12" s="116" t="s">
        <v>14</v>
      </c>
      <c r="G12" s="116"/>
      <c r="H12" s="156"/>
      <c r="I12" s="113"/>
    </row>
    <row r="13" spans="1:9" ht="20.25" x14ac:dyDescent="0.3">
      <c r="A13" s="116" t="s">
        <v>53</v>
      </c>
      <c r="B13" s="116" t="s">
        <v>54</v>
      </c>
      <c r="C13" s="157" t="s">
        <v>55</v>
      </c>
      <c r="D13" s="116" t="s">
        <v>56</v>
      </c>
      <c r="E13" s="116">
        <v>20</v>
      </c>
      <c r="F13" s="116" t="s">
        <v>14</v>
      </c>
      <c r="G13" s="116"/>
      <c r="H13" s="156"/>
      <c r="I13" s="113"/>
    </row>
    <row r="14" spans="1:9" ht="20.25" x14ac:dyDescent="0.3">
      <c r="A14" s="152"/>
      <c r="B14" s="116" t="s">
        <v>57</v>
      </c>
      <c r="C14" s="128" t="s">
        <v>58</v>
      </c>
      <c r="D14" s="116"/>
      <c r="E14" s="119">
        <f>10*57.14</f>
        <v>571.4</v>
      </c>
      <c r="F14" s="116" t="s">
        <v>14</v>
      </c>
      <c r="G14" s="116"/>
      <c r="H14" s="156"/>
      <c r="I14" s="113"/>
    </row>
    <row r="15" spans="1:9" ht="20.25" x14ac:dyDescent="0.3">
      <c r="A15" s="158"/>
      <c r="B15" s="116"/>
      <c r="C15" s="114"/>
      <c r="D15" s="159"/>
      <c r="E15" s="159"/>
      <c r="F15" s="159"/>
      <c r="G15" s="111"/>
      <c r="H15" s="156"/>
      <c r="I15" s="113"/>
    </row>
    <row r="16" spans="1:9" ht="20.25" x14ac:dyDescent="0.3">
      <c r="A16" s="132"/>
      <c r="B16" s="133"/>
      <c r="C16" s="122" t="s">
        <v>36</v>
      </c>
      <c r="D16" s="118"/>
      <c r="E16" s="123"/>
      <c r="F16" s="121"/>
      <c r="G16" s="111"/>
      <c r="H16" s="112"/>
      <c r="I16" s="113"/>
    </row>
    <row r="17" spans="1:10" ht="20.25" x14ac:dyDescent="0.3">
      <c r="A17" s="116"/>
      <c r="B17" s="116"/>
      <c r="C17" s="114"/>
      <c r="D17" s="124"/>
      <c r="E17" s="119"/>
      <c r="F17" s="120"/>
      <c r="G17" s="111"/>
      <c r="H17" s="112"/>
      <c r="I17" s="113"/>
    </row>
    <row r="18" spans="1:10" ht="20.25" x14ac:dyDescent="0.3">
      <c r="A18" s="160"/>
      <c r="B18" s="161"/>
      <c r="C18" s="125" t="s">
        <v>37</v>
      </c>
      <c r="D18" s="126"/>
      <c r="E18" s="127"/>
      <c r="F18" s="112"/>
      <c r="G18" s="111"/>
      <c r="H18" s="128"/>
      <c r="I18" s="113"/>
    </row>
    <row r="19" spans="1:10" ht="20.25" x14ac:dyDescent="0.3">
      <c r="A19" s="162" t="s">
        <v>59</v>
      </c>
      <c r="B19" s="163" t="s">
        <v>60</v>
      </c>
      <c r="C19" s="164" t="s">
        <v>61</v>
      </c>
      <c r="D19" s="116" t="s">
        <v>62</v>
      </c>
      <c r="E19" s="119">
        <v>1</v>
      </c>
      <c r="F19" s="120" t="s">
        <v>63</v>
      </c>
      <c r="G19" s="129"/>
      <c r="H19" s="112"/>
      <c r="I19" s="113"/>
    </row>
    <row r="20" spans="1:10" ht="20.25" x14ac:dyDescent="0.3">
      <c r="A20" s="162" t="s">
        <v>64</v>
      </c>
      <c r="B20" s="163" t="s">
        <v>65</v>
      </c>
      <c r="C20" s="164" t="s">
        <v>66</v>
      </c>
      <c r="D20" s="116" t="s">
        <v>62</v>
      </c>
      <c r="E20" s="119">
        <v>2</v>
      </c>
      <c r="F20" s="120" t="s">
        <v>63</v>
      </c>
      <c r="G20" s="129"/>
      <c r="H20" s="112"/>
      <c r="I20" s="113"/>
    </row>
    <row r="21" spans="1:10" ht="20.25" x14ac:dyDescent="0.3">
      <c r="A21" s="165" t="s">
        <v>67</v>
      </c>
      <c r="B21" s="166" t="s">
        <v>68</v>
      </c>
      <c r="C21" s="167" t="s">
        <v>69</v>
      </c>
      <c r="D21" s="116" t="s">
        <v>70</v>
      </c>
      <c r="E21" s="119">
        <v>1</v>
      </c>
      <c r="F21" s="120" t="s">
        <v>63</v>
      </c>
      <c r="G21" s="129"/>
      <c r="H21" s="112"/>
      <c r="I21" s="113"/>
    </row>
    <row r="22" spans="1:10" ht="20.25" x14ac:dyDescent="0.3">
      <c r="A22" s="168" t="s">
        <v>71</v>
      </c>
      <c r="B22" s="168" t="s">
        <v>72</v>
      </c>
      <c r="C22" s="169" t="s">
        <v>73</v>
      </c>
      <c r="D22" s="116" t="s">
        <v>70</v>
      </c>
      <c r="E22" s="119">
        <v>1</v>
      </c>
      <c r="F22" s="120" t="s">
        <v>63</v>
      </c>
      <c r="G22" s="111"/>
      <c r="H22" s="112"/>
      <c r="I22" s="113"/>
    </row>
    <row r="23" spans="1:10" ht="20.25" x14ac:dyDescent="0.3">
      <c r="A23" s="168">
        <v>403000007</v>
      </c>
      <c r="B23" s="168" t="s">
        <v>74</v>
      </c>
      <c r="C23" s="169" t="s">
        <v>75</v>
      </c>
      <c r="D23" s="116" t="s">
        <v>76</v>
      </c>
      <c r="E23" s="119">
        <v>2</v>
      </c>
      <c r="F23" s="120" t="s">
        <v>63</v>
      </c>
      <c r="G23" s="111"/>
      <c r="H23" s="112"/>
      <c r="I23" s="113"/>
    </row>
    <row r="24" spans="1:10" ht="20.25" x14ac:dyDescent="0.3">
      <c r="A24" s="168" t="s">
        <v>77</v>
      </c>
      <c r="B24" s="168" t="s">
        <v>78</v>
      </c>
      <c r="C24" s="169" t="s">
        <v>79</v>
      </c>
      <c r="D24" s="116" t="s">
        <v>70</v>
      </c>
      <c r="E24" s="119">
        <v>1</v>
      </c>
      <c r="F24" s="120" t="s">
        <v>63</v>
      </c>
      <c r="G24" s="131"/>
      <c r="H24" s="112"/>
      <c r="I24" s="113"/>
    </row>
    <row r="25" spans="1:10" ht="20.25" x14ac:dyDescent="0.3">
      <c r="A25" s="132"/>
      <c r="B25" s="133"/>
      <c r="C25" s="117"/>
      <c r="D25" s="118"/>
      <c r="E25" s="118"/>
      <c r="F25" s="121"/>
      <c r="G25" s="118"/>
      <c r="H25" s="118"/>
      <c r="I25" s="113"/>
    </row>
    <row r="26" spans="1:10" ht="21" thickBot="1" x14ac:dyDescent="0.35">
      <c r="A26" s="134"/>
      <c r="B26" s="135"/>
      <c r="C26" s="136"/>
      <c r="D26" s="136"/>
      <c r="E26" s="137"/>
      <c r="F26" s="138"/>
      <c r="G26" s="136"/>
      <c r="H26" s="136"/>
      <c r="I26" s="139"/>
    </row>
    <row r="27" spans="1:10" ht="21" thickBot="1" x14ac:dyDescent="0.35">
      <c r="A27" s="140"/>
      <c r="B27" s="141"/>
      <c r="C27" s="142"/>
      <c r="D27" s="143" t="s">
        <v>7</v>
      </c>
      <c r="E27" s="144" t="s">
        <v>24</v>
      </c>
      <c r="F27" s="145"/>
      <c r="G27" s="142"/>
      <c r="H27" s="142"/>
      <c r="I27" s="146"/>
    </row>
    <row r="28" spans="1:10" ht="20.25" x14ac:dyDescent="0.3">
      <c r="A28" s="231" t="s">
        <v>12</v>
      </c>
      <c r="B28" s="232"/>
      <c r="C28" s="233"/>
      <c r="D28" s="115">
        <v>20000</v>
      </c>
      <c r="E28" s="147" t="s">
        <v>14</v>
      </c>
      <c r="F28" s="234" t="s">
        <v>23</v>
      </c>
      <c r="G28" s="234"/>
      <c r="H28" s="235"/>
      <c r="I28" s="236"/>
      <c r="J28">
        <f>20000/350</f>
        <v>57.142857142857146</v>
      </c>
    </row>
    <row r="29" spans="1:10" ht="20.25" x14ac:dyDescent="0.3">
      <c r="A29" s="214" t="s">
        <v>11</v>
      </c>
      <c r="B29" s="215"/>
      <c r="C29" s="216"/>
      <c r="D29" s="119">
        <v>4</v>
      </c>
      <c r="E29" s="116" t="s">
        <v>22</v>
      </c>
      <c r="F29" s="217" t="s">
        <v>21</v>
      </c>
      <c r="G29" s="217"/>
      <c r="H29" s="218"/>
      <c r="I29" s="219"/>
    </row>
    <row r="30" spans="1:10" ht="20.25" x14ac:dyDescent="0.3">
      <c r="A30" s="214" t="s">
        <v>20</v>
      </c>
      <c r="B30" s="215"/>
      <c r="C30" s="216"/>
      <c r="D30" s="119">
        <v>1</v>
      </c>
      <c r="E30" s="116" t="s">
        <v>19</v>
      </c>
      <c r="F30" s="217" t="s">
        <v>18</v>
      </c>
      <c r="G30" s="217"/>
      <c r="H30" s="218"/>
      <c r="I30" s="219"/>
    </row>
    <row r="31" spans="1:10" ht="20.25" x14ac:dyDescent="0.3">
      <c r="A31" s="214" t="s">
        <v>17</v>
      </c>
      <c r="B31" s="215"/>
      <c r="C31" s="216"/>
      <c r="D31" s="119">
        <v>20000</v>
      </c>
      <c r="E31" s="116" t="s">
        <v>14</v>
      </c>
      <c r="F31" s="220" t="s">
        <v>16</v>
      </c>
      <c r="G31" s="221"/>
      <c r="H31" s="222"/>
      <c r="I31" s="223"/>
    </row>
    <row r="32" spans="1:10" ht="21" thickBot="1" x14ac:dyDescent="0.35">
      <c r="A32" s="224" t="s">
        <v>15</v>
      </c>
      <c r="B32" s="225"/>
      <c r="C32" s="226"/>
      <c r="D32" s="148">
        <f>SUM(E10:E14)-D28</f>
        <v>19</v>
      </c>
      <c r="E32" s="149" t="s">
        <v>14</v>
      </c>
      <c r="F32" s="227"/>
      <c r="G32" s="227"/>
      <c r="H32" s="218"/>
      <c r="I32" s="219"/>
    </row>
    <row r="33" spans="1:9" ht="21" thickBot="1" x14ac:dyDescent="0.35">
      <c r="A33" s="228" t="s">
        <v>13</v>
      </c>
      <c r="B33" s="229"/>
      <c r="C33" s="229"/>
      <c r="D33" s="229"/>
      <c r="E33" s="229"/>
      <c r="F33" s="229"/>
      <c r="G33" s="229"/>
      <c r="H33" s="229"/>
      <c r="I33" s="230"/>
    </row>
    <row r="34" spans="1:9" ht="20.25" x14ac:dyDescent="0.3">
      <c r="A34" s="210" t="s">
        <v>80</v>
      </c>
      <c r="B34" s="211"/>
      <c r="C34" s="212"/>
      <c r="D34" s="212"/>
      <c r="E34" s="212"/>
      <c r="F34" s="212"/>
      <c r="G34" s="212"/>
      <c r="H34" s="212"/>
      <c r="I34" s="213"/>
    </row>
    <row r="35" spans="1:9" ht="20.25" x14ac:dyDescent="0.3">
      <c r="A35" s="210" t="s">
        <v>81</v>
      </c>
      <c r="B35" s="211"/>
      <c r="C35" s="212"/>
      <c r="D35" s="212"/>
      <c r="E35" s="212"/>
      <c r="F35" s="212"/>
      <c r="G35" s="212"/>
      <c r="H35" s="212"/>
      <c r="I35" s="213"/>
    </row>
    <row r="36" spans="1:9" ht="20.25" x14ac:dyDescent="0.3">
      <c r="A36" s="207"/>
      <c r="B36" s="208"/>
      <c r="C36" s="208"/>
      <c r="D36" s="208"/>
      <c r="E36" s="208"/>
      <c r="F36" s="208"/>
      <c r="G36" s="208"/>
      <c r="H36" s="208"/>
      <c r="I36" s="209"/>
    </row>
    <row r="37" spans="1:9" ht="20.25" x14ac:dyDescent="0.3">
      <c r="A37" s="205" t="s">
        <v>30</v>
      </c>
      <c r="B37" s="205"/>
      <c r="C37" s="205"/>
      <c r="D37" s="205"/>
      <c r="E37" s="205"/>
      <c r="F37" s="205"/>
      <c r="G37" s="205"/>
      <c r="H37" s="205"/>
      <c r="I37" s="205"/>
    </row>
    <row r="38" spans="1:9" ht="20.25" x14ac:dyDescent="0.3">
      <c r="A38" s="206"/>
      <c r="B38" s="206"/>
      <c r="C38" s="206"/>
      <c r="D38" s="206"/>
      <c r="E38" s="206"/>
      <c r="F38" s="206"/>
      <c r="G38" s="206"/>
      <c r="H38" s="206"/>
      <c r="I38" s="206"/>
    </row>
    <row r="39" spans="1:9" ht="20.25" x14ac:dyDescent="0.3">
      <c r="A39" s="206"/>
      <c r="B39" s="206"/>
      <c r="C39" s="206"/>
      <c r="D39" s="206"/>
      <c r="E39" s="206"/>
      <c r="F39" s="206"/>
      <c r="G39" s="206"/>
      <c r="H39" s="206"/>
      <c r="I39" s="206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8:C28"/>
    <mergeCell ref="F28:G28"/>
    <mergeCell ref="H28:I28"/>
    <mergeCell ref="A29:C29"/>
    <mergeCell ref="F29:G29"/>
    <mergeCell ref="H29:I29"/>
    <mergeCell ref="A32:C32"/>
    <mergeCell ref="F32:G32"/>
    <mergeCell ref="H32:I32"/>
    <mergeCell ref="A33:I33"/>
    <mergeCell ref="A34:I34"/>
    <mergeCell ref="A30:C30"/>
    <mergeCell ref="F30:G30"/>
    <mergeCell ref="H30:I30"/>
    <mergeCell ref="A31:C31"/>
    <mergeCell ref="F31:G31"/>
    <mergeCell ref="H31:I31"/>
    <mergeCell ref="A37:I37"/>
    <mergeCell ref="A38:I38"/>
    <mergeCell ref="A39:I39"/>
    <mergeCell ref="A36:I36"/>
    <mergeCell ref="A35:I35"/>
  </mergeCells>
  <pageMargins left="0.25" right="0.25" top="0.75" bottom="0.75" header="0.3" footer="0.3"/>
  <pageSetup paperSize="9" scale="4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BEFA-3511-43DF-B37A-3B3A4C5F375F}">
  <dimension ref="A1:Q90"/>
  <sheetViews>
    <sheetView workbookViewId="0">
      <selection activeCell="A8" sqref="A8"/>
    </sheetView>
  </sheetViews>
  <sheetFormatPr baseColWidth="10" defaultColWidth="8.42578125" defaultRowHeight="12.75" x14ac:dyDescent="0.2"/>
  <cols>
    <col min="1" max="1" width="10" style="16" bestFit="1" customWidth="1"/>
    <col min="2" max="2" width="44.28515625" style="16" bestFit="1" customWidth="1"/>
    <col min="3" max="3" width="10.42578125" style="16" bestFit="1" customWidth="1"/>
    <col min="4" max="4" width="10.42578125" style="16" customWidth="1"/>
    <col min="5" max="5" width="11" style="16" customWidth="1"/>
    <col min="6" max="6" width="9.5703125" style="16" bestFit="1" customWidth="1"/>
    <col min="7" max="7" width="10.85546875" style="98" customWidth="1"/>
    <col min="8" max="8" width="10.42578125" style="89" bestFit="1" customWidth="1"/>
    <col min="9" max="9" width="4.5703125" style="89" customWidth="1"/>
    <col min="10" max="10" width="1.85546875" style="15" customWidth="1"/>
    <col min="11" max="11" width="7" style="16" bestFit="1" customWidth="1"/>
    <col min="12" max="12" width="6.28515625" style="16" customWidth="1"/>
    <col min="13" max="13" width="20.42578125" style="16" customWidth="1"/>
    <col min="14" max="14" width="6.42578125" style="16" bestFit="1" customWidth="1"/>
    <col min="15" max="16" width="8.42578125" style="16"/>
    <col min="17" max="17" width="3.28515625" style="16" customWidth="1"/>
    <col min="18" max="16384" width="8.42578125" style="16"/>
  </cols>
  <sheetData>
    <row r="1" spans="1:10" ht="27.75" customHeight="1" x14ac:dyDescent="0.2">
      <c r="A1" s="11"/>
      <c r="B1" s="11"/>
      <c r="C1" s="11"/>
      <c r="D1" s="11"/>
      <c r="E1" s="12" t="s">
        <v>90</v>
      </c>
      <c r="F1" s="13" t="s">
        <v>91</v>
      </c>
      <c r="G1" s="13" t="s">
        <v>92</v>
      </c>
      <c r="H1" s="13" t="s">
        <v>93</v>
      </c>
      <c r="I1" s="14"/>
    </row>
    <row r="2" spans="1:10" ht="30.75" customHeight="1" x14ac:dyDescent="0.2">
      <c r="A2" s="11"/>
      <c r="B2" s="11"/>
      <c r="C2" s="11"/>
      <c r="D2" s="11"/>
      <c r="E2" s="17">
        <f>IFERROR(O61,"")</f>
        <v>21467.071599999999</v>
      </c>
      <c r="F2" s="17">
        <f>IFERROR(H52,"")</f>
        <v>20709.7716</v>
      </c>
      <c r="G2" s="17">
        <f>IFERROR(H53,"")</f>
        <v>117.29999999999998</v>
      </c>
      <c r="H2" s="17">
        <f>IFERROR(H55,"")</f>
        <v>308</v>
      </c>
      <c r="I2" s="18"/>
    </row>
    <row r="3" spans="1:10" ht="15" customHeight="1" x14ac:dyDescent="0.2">
      <c r="A3" s="11"/>
      <c r="B3" s="11"/>
      <c r="C3" s="11"/>
      <c r="D3" s="11"/>
      <c r="E3" s="11"/>
      <c r="F3" s="19"/>
      <c r="G3" s="19"/>
      <c r="H3" s="19"/>
      <c r="I3" s="19"/>
    </row>
    <row r="4" spans="1:10" ht="24.75" customHeight="1" thickBot="1" x14ac:dyDescent="0.25">
      <c r="A4" s="198"/>
      <c r="B4" s="198"/>
      <c r="C4" s="198"/>
      <c r="D4" s="198"/>
      <c r="E4" s="198"/>
      <c r="F4" s="198"/>
      <c r="G4" s="198"/>
      <c r="H4" s="198"/>
      <c r="I4" s="20"/>
    </row>
    <row r="5" spans="1:10" ht="19.5" customHeight="1" thickBot="1" x14ac:dyDescent="0.25">
      <c r="A5" s="199" t="s">
        <v>94</v>
      </c>
      <c r="B5" s="200"/>
      <c r="C5" s="200"/>
      <c r="D5" s="200"/>
      <c r="E5" s="200"/>
      <c r="F5" s="200"/>
      <c r="G5" s="200"/>
      <c r="H5" s="201"/>
      <c r="I5" s="21"/>
    </row>
    <row r="6" spans="1:10" ht="19.5" thickBot="1" x14ac:dyDescent="0.25">
      <c r="A6" s="21"/>
      <c r="B6" s="21"/>
      <c r="C6" s="21"/>
      <c r="D6" s="21"/>
      <c r="E6" s="21"/>
      <c r="F6" s="202" t="s">
        <v>95</v>
      </c>
      <c r="G6" s="202"/>
      <c r="H6" s="22">
        <f ca="1">TODAY()</f>
        <v>46059</v>
      </c>
      <c r="I6" s="22"/>
    </row>
    <row r="7" spans="1:10" ht="26.25" thickBot="1" x14ac:dyDescent="0.25">
      <c r="A7" s="23" t="s">
        <v>96</v>
      </c>
      <c r="B7" s="24" t="s">
        <v>97</v>
      </c>
      <c r="C7" s="24" t="s">
        <v>96</v>
      </c>
      <c r="D7" s="25" t="s">
        <v>98</v>
      </c>
      <c r="E7" s="25" t="s">
        <v>99</v>
      </c>
      <c r="F7" s="25" t="s">
        <v>100</v>
      </c>
      <c r="G7" s="25" t="s">
        <v>101</v>
      </c>
      <c r="H7" s="26" t="s">
        <v>102</v>
      </c>
      <c r="I7" s="27"/>
    </row>
    <row r="8" spans="1:10" ht="13.5" x14ac:dyDescent="0.25">
      <c r="A8" s="28">
        <v>6971.08</v>
      </c>
      <c r="B8" s="16" t="s">
        <v>44</v>
      </c>
      <c r="C8" s="29">
        <f>+A8</f>
        <v>6971.08</v>
      </c>
      <c r="D8" s="30" t="s">
        <v>142</v>
      </c>
      <c r="E8" s="30">
        <v>1.46</v>
      </c>
      <c r="F8" s="30">
        <f>IFERROR(C8*E8,"")</f>
        <v>10177.7768</v>
      </c>
      <c r="G8" s="31">
        <f t="shared" ref="G8:G14" si="0">IFERROR(F8/$F$65,"")</f>
        <v>0.47230269061524521</v>
      </c>
      <c r="H8" s="32" t="s">
        <v>43</v>
      </c>
      <c r="I8" s="32"/>
      <c r="J8" s="33"/>
    </row>
    <row r="9" spans="1:10" ht="13.5" x14ac:dyDescent="0.25">
      <c r="A9" s="28">
        <v>9828.08</v>
      </c>
      <c r="B9" s="16" t="s">
        <v>47</v>
      </c>
      <c r="C9" s="29">
        <f t="shared" ref="C9:C14" si="1">+A9</f>
        <v>9828.08</v>
      </c>
      <c r="D9" s="30" t="s">
        <v>142</v>
      </c>
      <c r="E9" s="30">
        <v>0.49</v>
      </c>
      <c r="F9" s="30">
        <f t="shared" ref="F9:F14" si="2">IFERROR(C9*E9,"")</f>
        <v>4815.7591999999995</v>
      </c>
      <c r="G9" s="31">
        <f t="shared" si="0"/>
        <v>0.22347670539553596</v>
      </c>
      <c r="H9" s="32" t="s">
        <v>46</v>
      </c>
      <c r="I9" s="32"/>
      <c r="J9" s="33"/>
    </row>
    <row r="10" spans="1:10" ht="13.5" x14ac:dyDescent="0.25">
      <c r="A10" s="28">
        <v>2628.44</v>
      </c>
      <c r="B10" s="16" t="s">
        <v>51</v>
      </c>
      <c r="C10" s="29">
        <f t="shared" si="1"/>
        <v>2628.44</v>
      </c>
      <c r="D10" s="30" t="s">
        <v>142</v>
      </c>
      <c r="E10" s="30">
        <v>1.04</v>
      </c>
      <c r="F10" s="30">
        <f t="shared" si="2"/>
        <v>2733.5776000000001</v>
      </c>
      <c r="G10" s="31">
        <f t="shared" si="0"/>
        <v>0.12685246305318512</v>
      </c>
      <c r="H10" s="32" t="s">
        <v>50</v>
      </c>
      <c r="I10" s="32"/>
      <c r="J10" s="33"/>
    </row>
    <row r="11" spans="1:10" ht="13.5" x14ac:dyDescent="0.25">
      <c r="A11" s="28">
        <v>20</v>
      </c>
      <c r="B11" s="16" t="s">
        <v>55</v>
      </c>
      <c r="C11" s="29">
        <f t="shared" si="1"/>
        <v>20</v>
      </c>
      <c r="D11" s="30" t="s">
        <v>142</v>
      </c>
      <c r="E11" s="30">
        <v>7.14</v>
      </c>
      <c r="F11" s="30">
        <f t="shared" si="2"/>
        <v>142.79999999999998</v>
      </c>
      <c r="G11" s="31">
        <f t="shared" si="0"/>
        <v>6.626675505387091E-3</v>
      </c>
      <c r="H11" s="32" t="s">
        <v>54</v>
      </c>
      <c r="I11" s="32"/>
      <c r="J11" s="33"/>
    </row>
    <row r="12" spans="1:10" ht="13.5" x14ac:dyDescent="0.25">
      <c r="A12" s="28">
        <v>571.4</v>
      </c>
      <c r="B12" s="16" t="s">
        <v>58</v>
      </c>
      <c r="C12" s="29">
        <f t="shared" si="1"/>
        <v>571.4</v>
      </c>
      <c r="D12" s="30" t="s">
        <v>142</v>
      </c>
      <c r="E12" s="30">
        <v>4.97</v>
      </c>
      <c r="F12" s="30">
        <f t="shared" si="2"/>
        <v>2839.8579999999997</v>
      </c>
      <c r="G12" s="31">
        <f t="shared" si="0"/>
        <v>0.13178443590600541</v>
      </c>
      <c r="H12" s="32" t="s">
        <v>57</v>
      </c>
      <c r="I12" s="32"/>
      <c r="J12" s="33"/>
    </row>
    <row r="13" spans="1:10" ht="13.5" x14ac:dyDescent="0.25">
      <c r="A13" s="28"/>
      <c r="B13" s="16" t="str">
        <f>IFERROR(VLOOKUP(H13,'[1]Consolidado MP Planta'!$A$2:$M$823,3,0),"")</f>
        <v/>
      </c>
      <c r="C13" s="29">
        <f t="shared" si="1"/>
        <v>0</v>
      </c>
      <c r="D13" s="30" t="str">
        <f>IFERROR(VLOOKUP(H13,'[1]Consolidado MP Planta'!$A$2:$M$823,13,0),"")</f>
        <v/>
      </c>
      <c r="E13" s="30" t="str">
        <f>IFERROR(VLOOKUP(H13,'[1]Consolidado MP Planta'!$A$2:$M$823,12,0),"")</f>
        <v/>
      </c>
      <c r="F13" s="30" t="str">
        <f t="shared" si="2"/>
        <v/>
      </c>
      <c r="G13" s="31" t="str">
        <f t="shared" si="0"/>
        <v/>
      </c>
      <c r="H13" s="32"/>
      <c r="I13" s="32"/>
      <c r="J13" s="33"/>
    </row>
    <row r="14" spans="1:10" ht="13.5" x14ac:dyDescent="0.25">
      <c r="A14" s="28"/>
      <c r="B14" s="16" t="str">
        <f>IFERROR(VLOOKUP(H14,'[1]Consolidado MP Planta'!$A$2:$M$823,3,0),"")</f>
        <v/>
      </c>
      <c r="C14" s="29">
        <f t="shared" si="1"/>
        <v>0</v>
      </c>
      <c r="D14" s="30" t="str">
        <f>IFERROR(VLOOKUP(H14,'[1]Consolidado MP Planta'!$A$2:$M$823,13,0),"")</f>
        <v/>
      </c>
      <c r="E14" s="30" t="str">
        <f>IFERROR(VLOOKUP(H14,'[1]Consolidado MP Planta'!$A$2:$M$823,12,0),"")</f>
        <v/>
      </c>
      <c r="F14" s="30" t="str">
        <f t="shared" si="2"/>
        <v/>
      </c>
      <c r="G14" s="31" t="str">
        <f t="shared" si="0"/>
        <v/>
      </c>
      <c r="H14" s="32"/>
      <c r="I14" s="32"/>
      <c r="J14" s="33"/>
    </row>
    <row r="15" spans="1:10" ht="13.5" x14ac:dyDescent="0.25">
      <c r="A15" s="28"/>
      <c r="B15" s="16" t="str">
        <f>IFERROR(VLOOKUP(H15,[2]Hoja2!$A$2:$G$589,2,0),"")</f>
        <v/>
      </c>
      <c r="C15" s="29"/>
      <c r="D15" s="30"/>
      <c r="E15" s="30"/>
      <c r="F15" s="30"/>
      <c r="G15" s="31"/>
      <c r="H15" s="32"/>
      <c r="I15" s="32"/>
      <c r="J15" s="33"/>
    </row>
    <row r="16" spans="1:10" ht="26.25" hidden="1" thickBot="1" x14ac:dyDescent="0.25">
      <c r="A16" s="23" t="s">
        <v>96</v>
      </c>
      <c r="B16" s="24" t="s">
        <v>103</v>
      </c>
      <c r="C16" s="24" t="s">
        <v>96</v>
      </c>
      <c r="D16" s="25" t="s">
        <v>98</v>
      </c>
      <c r="E16" s="25" t="s">
        <v>99</v>
      </c>
      <c r="F16" s="25" t="s">
        <v>100</v>
      </c>
      <c r="G16" s="25" t="s">
        <v>101</v>
      </c>
      <c r="H16" s="26" t="s">
        <v>102</v>
      </c>
      <c r="I16" s="27"/>
      <c r="J16" s="33"/>
    </row>
    <row r="17" spans="1:12" ht="13.5" hidden="1" x14ac:dyDescent="0.25">
      <c r="A17" s="28"/>
      <c r="B17" s="16" t="str">
        <f>IFERROR(VLOOKUP(H17,[1]SEMIELABORADOS!$A$2:$M$6000,2,0),"")</f>
        <v/>
      </c>
      <c r="C17" s="29">
        <f>+A17</f>
        <v>0</v>
      </c>
      <c r="D17" s="29" t="str">
        <f>IFERROR(VLOOKUP(H17,[1]SEMIELABORADOS!$A$2:$M$6000,6,0),"")</f>
        <v/>
      </c>
      <c r="E17" s="30" t="str">
        <f>IFERROR(VLOOKUP(H17,[1]SEMIELABORADOS!$A$2:$H$65536,8,0),"")</f>
        <v/>
      </c>
      <c r="F17" s="30" t="str">
        <f>IFERROR(E17*C17,"")</f>
        <v/>
      </c>
      <c r="G17" s="31" t="str">
        <f t="shared" ref="G17:G24" si="3">IFERROR(F17/$F$65,"")</f>
        <v/>
      </c>
      <c r="H17" s="32"/>
      <c r="I17" s="32"/>
      <c r="J17" s="33"/>
    </row>
    <row r="18" spans="1:12" ht="13.5" hidden="1" x14ac:dyDescent="0.25">
      <c r="A18" s="28"/>
      <c r="B18" s="16" t="str">
        <f>IFERROR(VLOOKUP(H18,[1]SEMIELABORADOS!$A$2:$M$6000,2,0),"")</f>
        <v/>
      </c>
      <c r="C18" s="29">
        <f t="shared" ref="C18:C24" si="4">+A18</f>
        <v>0</v>
      </c>
      <c r="D18" s="29" t="str">
        <f>IFERROR(VLOOKUP(H18,[1]SEMIELABORADOS!$A$2:$M$6000,6,0),"")</f>
        <v/>
      </c>
      <c r="E18" s="30" t="str">
        <f>IFERROR(VLOOKUP(H18,[1]SEMIELABORADOS!$A$2:$H$65536,8,0),"")</f>
        <v/>
      </c>
      <c r="F18" s="30" t="str">
        <f t="shared" ref="F18:F24" si="5">IFERROR(E18*C18,"")</f>
        <v/>
      </c>
      <c r="G18" s="31" t="str">
        <f t="shared" si="3"/>
        <v/>
      </c>
      <c r="H18" s="32"/>
      <c r="I18" s="32"/>
      <c r="J18" s="33"/>
    </row>
    <row r="19" spans="1:12" ht="13.5" hidden="1" x14ac:dyDescent="0.25">
      <c r="A19" s="28"/>
      <c r="B19" s="16" t="str">
        <f>IFERROR(VLOOKUP(H19,[1]SEMIELABORADOS!$A$2:$M$6000,2,0),"")</f>
        <v/>
      </c>
      <c r="C19" s="29">
        <f>+A19</f>
        <v>0</v>
      </c>
      <c r="D19" s="29" t="str">
        <f>IFERROR(VLOOKUP(H19,[1]SEMIELABORADOS!$A$2:$M$6000,6,0),"")</f>
        <v/>
      </c>
      <c r="E19" s="30" t="str">
        <f>IFERROR(VLOOKUP(H19,[1]SEMIELABORADOS!$A$2:$H$65536,8,0),"")</f>
        <v/>
      </c>
      <c r="F19" s="30" t="str">
        <f>IFERROR(E19*C19,"")</f>
        <v/>
      </c>
      <c r="G19" s="31" t="str">
        <f t="shared" si="3"/>
        <v/>
      </c>
      <c r="H19" s="32"/>
      <c r="I19" s="32"/>
      <c r="J19" s="33"/>
    </row>
    <row r="20" spans="1:12" ht="13.5" hidden="1" x14ac:dyDescent="0.25">
      <c r="A20" s="28"/>
      <c r="B20" s="16" t="str">
        <f>IFERROR(VLOOKUP(H20,[1]SEMIELABORADOS!$A$2:$M$6000,2,0),"")</f>
        <v/>
      </c>
      <c r="C20" s="29">
        <f>+A20</f>
        <v>0</v>
      </c>
      <c r="D20" s="29" t="str">
        <f>IFERROR(VLOOKUP(H20,[1]SEMIELABORADOS!$A$2:$M$6000,6,0),"")</f>
        <v/>
      </c>
      <c r="E20" s="30" t="str">
        <f>IFERROR(VLOOKUP(H20,[1]SEMIELABORADOS!$A$2:$H$65536,8,0),"")</f>
        <v/>
      </c>
      <c r="F20" s="30" t="str">
        <f>IFERROR(E20*C20,"")</f>
        <v/>
      </c>
      <c r="G20" s="31" t="str">
        <f t="shared" si="3"/>
        <v/>
      </c>
      <c r="H20" s="32"/>
      <c r="I20" s="32"/>
      <c r="J20" s="33"/>
    </row>
    <row r="21" spans="1:12" ht="13.5" hidden="1" x14ac:dyDescent="0.25">
      <c r="A21" s="28"/>
      <c r="B21" s="16" t="str">
        <f>IFERROR(VLOOKUP(H21,[1]SEMIELABORADOS!$A$2:$M$6000,2,0),"")</f>
        <v/>
      </c>
      <c r="C21" s="29">
        <f>+A21</f>
        <v>0</v>
      </c>
      <c r="D21" s="29" t="str">
        <f>IFERROR(VLOOKUP(H21,[1]SEMIELABORADOS!$A$2:$M$6000,6,0),"")</f>
        <v/>
      </c>
      <c r="E21" s="30" t="str">
        <f>IFERROR(VLOOKUP(H21,[1]SEMIELABORADOS!$A$2:$H$65536,8,0),"")</f>
        <v/>
      </c>
      <c r="F21" s="30" t="str">
        <f>IFERROR(E21*C21,"")</f>
        <v/>
      </c>
      <c r="G21" s="31" t="str">
        <f t="shared" si="3"/>
        <v/>
      </c>
      <c r="H21" s="32"/>
      <c r="I21" s="32"/>
      <c r="J21" s="33"/>
    </row>
    <row r="22" spans="1:12" ht="13.5" hidden="1" x14ac:dyDescent="0.25">
      <c r="A22" s="28"/>
      <c r="B22" s="16" t="str">
        <f>IFERROR(VLOOKUP(H22,[1]SEMIELABORADOS!$A$2:$M$6000,2,0),"")</f>
        <v/>
      </c>
      <c r="C22" s="29">
        <f t="shared" si="4"/>
        <v>0</v>
      </c>
      <c r="D22" s="29" t="str">
        <f>IFERROR(VLOOKUP(H22,[1]SEMIELABORADOS!$A$2:$M$6000,6,0),"")</f>
        <v/>
      </c>
      <c r="E22" s="30" t="str">
        <f>IFERROR(VLOOKUP(H22,[1]SEMIELABORADOS!$A$2:$H$65536,8,0),"")</f>
        <v/>
      </c>
      <c r="F22" s="30" t="str">
        <f t="shared" si="5"/>
        <v/>
      </c>
      <c r="G22" s="31" t="str">
        <f t="shared" si="3"/>
        <v/>
      </c>
      <c r="H22" s="32"/>
      <c r="I22" s="32"/>
      <c r="J22" s="33"/>
    </row>
    <row r="23" spans="1:12" ht="13.5" hidden="1" x14ac:dyDescent="0.25">
      <c r="A23" s="28"/>
      <c r="B23" s="16" t="str">
        <f>IFERROR(VLOOKUP(H23,[1]SEMIELABORADOS!$A$2:$M$6000,2,0),"")</f>
        <v/>
      </c>
      <c r="C23" s="29">
        <f t="shared" si="4"/>
        <v>0</v>
      </c>
      <c r="D23" s="29" t="str">
        <f>IFERROR(VLOOKUP(H23,[1]SEMIELABORADOS!$A$2:$M$6000,6,0),"")</f>
        <v/>
      </c>
      <c r="E23" s="30" t="str">
        <f>IFERROR(VLOOKUP(H23,[1]SEMIELABORADOS!$A$2:$H$65536,8,0),"")</f>
        <v/>
      </c>
      <c r="F23" s="30" t="str">
        <f t="shared" si="5"/>
        <v/>
      </c>
      <c r="G23" s="31" t="str">
        <f t="shared" si="3"/>
        <v/>
      </c>
      <c r="H23" s="32"/>
      <c r="I23" s="32"/>
      <c r="J23" s="33"/>
    </row>
    <row r="24" spans="1:12" ht="13.5" hidden="1" x14ac:dyDescent="0.25">
      <c r="A24" s="28"/>
      <c r="B24" s="16" t="str">
        <f>IFERROR(VLOOKUP(H24,[1]SEMIELABORADOS!$A$2:$M$6000,2,0),"")</f>
        <v/>
      </c>
      <c r="C24" s="29">
        <f t="shared" si="4"/>
        <v>0</v>
      </c>
      <c r="D24" s="29" t="str">
        <f>IFERROR(VLOOKUP(H24,[1]SEMIELABORADOS!$A$2:$M$6000,6,0),"")</f>
        <v/>
      </c>
      <c r="E24" s="30" t="str">
        <f>IFERROR(VLOOKUP(H24,[1]SEMIELABORADOS!$A$2:$H$65536,8,0),"")</f>
        <v/>
      </c>
      <c r="F24" s="30" t="str">
        <f t="shared" si="5"/>
        <v/>
      </c>
      <c r="G24" s="31" t="str">
        <f t="shared" si="3"/>
        <v/>
      </c>
      <c r="H24" s="32"/>
      <c r="I24" s="32"/>
      <c r="J24" s="33"/>
    </row>
    <row r="25" spans="1:12" ht="14.25" thickBot="1" x14ac:dyDescent="0.3">
      <c r="A25" s="28"/>
      <c r="C25" s="29"/>
      <c r="D25" s="29"/>
      <c r="E25" s="30"/>
      <c r="F25" s="30"/>
      <c r="G25" s="31"/>
      <c r="H25" s="32"/>
      <c r="I25" s="32"/>
      <c r="J25" s="33"/>
    </row>
    <row r="26" spans="1:12" ht="26.25" thickBot="1" x14ac:dyDescent="0.25">
      <c r="A26" s="23" t="s">
        <v>96</v>
      </c>
      <c r="B26" s="24" t="s">
        <v>104</v>
      </c>
      <c r="C26" s="24" t="s">
        <v>96</v>
      </c>
      <c r="D26" s="25" t="s">
        <v>98</v>
      </c>
      <c r="E26" s="25" t="s">
        <v>99</v>
      </c>
      <c r="F26" s="25" t="s">
        <v>100</v>
      </c>
      <c r="G26" s="25" t="s">
        <v>101</v>
      </c>
      <c r="H26" s="26" t="s">
        <v>102</v>
      </c>
      <c r="I26" s="27"/>
    </row>
    <row r="27" spans="1:12" ht="13.5" x14ac:dyDescent="0.25">
      <c r="A27" s="28">
        <v>1</v>
      </c>
      <c r="B27" s="34" t="str">
        <f>IFERROR(VLOOKUP(H27,'[1]Consolidado MP Planta'!$A$2:$M$823,3,0),"")</f>
        <v>BOLSA 12x18 TRANSP KILO</v>
      </c>
      <c r="C27" s="29">
        <f t="shared" ref="C27:C31" si="6">+A27</f>
        <v>1</v>
      </c>
      <c r="D27" s="30" t="str">
        <f>IFERROR(VLOOKUP(H27,'[1]Consolidado MP Planta'!$A$2:$M$823,13,0),"")</f>
        <v>Und</v>
      </c>
      <c r="E27" s="30">
        <v>16</v>
      </c>
      <c r="F27" s="30">
        <f t="shared" ref="F27:F31" si="7">IFERROR(C27*E27,"")</f>
        <v>16</v>
      </c>
      <c r="G27" s="31">
        <f>IFERROR(F27/$F$65,"")</f>
        <v>7.4248465046353976E-4</v>
      </c>
      <c r="H27" s="35" t="s">
        <v>59</v>
      </c>
      <c r="I27" s="35"/>
      <c r="J27" s="33"/>
      <c r="K27" s="191"/>
      <c r="L27" s="191"/>
    </row>
    <row r="28" spans="1:12" ht="13.5" x14ac:dyDescent="0.25">
      <c r="A28" s="28">
        <v>2</v>
      </c>
      <c r="B28" s="34" t="str">
        <f>IFERROR(VLOOKUP(H28,'[1]Consolidado MP Planta'!$A$2:$M$823,3,0),"")</f>
        <v>BOLSA 17x25 TRANSP KILO</v>
      </c>
      <c r="C28" s="29">
        <f t="shared" si="6"/>
        <v>2</v>
      </c>
      <c r="D28" s="30" t="str">
        <f>IFERROR(VLOOKUP(H28,'[1]Consolidado MP Planta'!$A$2:$M$823,13,0),"")</f>
        <v>Und</v>
      </c>
      <c r="E28" s="30">
        <v>47.62</v>
      </c>
      <c r="F28" s="30">
        <f t="shared" si="7"/>
        <v>95.24</v>
      </c>
      <c r="G28" s="31">
        <f>IFERROR(F28/$F$65,"")</f>
        <v>4.4196398818842197E-3</v>
      </c>
      <c r="H28" s="35" t="s">
        <v>64</v>
      </c>
      <c r="I28" s="35"/>
      <c r="J28" s="33"/>
      <c r="K28" s="191"/>
      <c r="L28" s="191"/>
    </row>
    <row r="29" spans="1:12" ht="13.5" x14ac:dyDescent="0.25">
      <c r="A29" s="28">
        <v>1</v>
      </c>
      <c r="B29" s="34" t="str">
        <f>IFERROR(VLOOKUP(H29,'[1]Consolidado MP Planta'!$A$2:$M$823,3,0),"")</f>
        <v>ETIQ.FECHA VENCIMIENTO VERDE (ROLLO)</v>
      </c>
      <c r="C29" s="29">
        <f t="shared" si="6"/>
        <v>1</v>
      </c>
      <c r="D29" s="30" t="str">
        <f>IFERROR(VLOOKUP(H29,'[1]Consolidado MP Planta'!$A$2:$M$823,13,0),"")</f>
        <v>Und</v>
      </c>
      <c r="E29" s="30">
        <v>0.33</v>
      </c>
      <c r="F29" s="30">
        <f t="shared" si="7"/>
        <v>0.33</v>
      </c>
      <c r="G29" s="31">
        <f>IFERROR(F29/$F$65,"")</f>
        <v>1.5313745915810507E-5</v>
      </c>
      <c r="H29" s="35" t="s">
        <v>67</v>
      </c>
      <c r="I29" s="35"/>
      <c r="J29" s="33"/>
      <c r="K29" s="191"/>
      <c r="L29" s="191"/>
    </row>
    <row r="30" spans="1:12" ht="13.5" x14ac:dyDescent="0.25">
      <c r="A30" s="28">
        <v>1</v>
      </c>
      <c r="B30" s="34" t="str">
        <f>IFERROR(VLOOKUP(H30,'[1]Consolidado MP Planta'!$A$2:$M$823,3,0),"")</f>
        <v>ETIQUETA BLANCA 2 5/8X1 15/16 (UND)</v>
      </c>
      <c r="C30" s="29">
        <f t="shared" si="6"/>
        <v>1</v>
      </c>
      <c r="D30" s="30" t="str">
        <f>IFERROR(VLOOKUP(H30,'[1]Consolidado MP Planta'!$A$2:$M$823,13,0),"")</f>
        <v>Und</v>
      </c>
      <c r="E30" s="30">
        <v>2.13</v>
      </c>
      <c r="F30" s="30">
        <f t="shared" si="7"/>
        <v>2.13</v>
      </c>
      <c r="G30" s="31">
        <f>IFERROR(F30/$F$65,"")</f>
        <v>9.884326909295872E-5</v>
      </c>
      <c r="H30" s="35" t="s">
        <v>71</v>
      </c>
      <c r="I30" s="35"/>
      <c r="J30" s="33"/>
      <c r="K30" s="191"/>
      <c r="L30" s="191"/>
    </row>
    <row r="31" spans="1:12" ht="13.5" x14ac:dyDescent="0.25">
      <c r="A31" s="28">
        <v>1</v>
      </c>
      <c r="B31" s="34" t="str">
        <f>IFERROR(VLOOKUP(H31,'[1]Consolidado MP Planta'!$A$2:$M$823,3,0),"")</f>
        <v>ETIQUETA ROJA LETRA ALERJENO (UND)</v>
      </c>
      <c r="C31" s="29">
        <f t="shared" si="6"/>
        <v>1</v>
      </c>
      <c r="D31" s="30" t="str">
        <f>IFERROR(VLOOKUP(H31,'[1]Consolidado MP Planta'!$A$2:$M$823,13,0),"")</f>
        <v>Und</v>
      </c>
      <c r="E31" s="30">
        <v>3.6</v>
      </c>
      <c r="F31" s="30">
        <f t="shared" si="7"/>
        <v>3.6</v>
      </c>
      <c r="G31" s="31">
        <f>IFERROR(F31/$F$65,"")</f>
        <v>1.6705904635429643E-4</v>
      </c>
      <c r="H31" s="35" t="s">
        <v>77</v>
      </c>
      <c r="I31" s="35"/>
      <c r="J31" s="33"/>
    </row>
    <row r="32" spans="1:12" ht="14.25" thickBot="1" x14ac:dyDescent="0.3">
      <c r="A32" s="28"/>
      <c r="B32" s="34"/>
      <c r="C32" s="29"/>
      <c r="D32" s="30"/>
      <c r="E32" s="30"/>
      <c r="F32" s="30"/>
      <c r="G32" s="31"/>
      <c r="H32" s="35"/>
      <c r="I32" s="35"/>
      <c r="J32" s="33"/>
    </row>
    <row r="33" spans="1:13" ht="26.25" hidden="1" thickBot="1" x14ac:dyDescent="0.25">
      <c r="A33" s="23" t="s">
        <v>96</v>
      </c>
      <c r="B33" s="24" t="s">
        <v>105</v>
      </c>
      <c r="C33" s="24" t="s">
        <v>96</v>
      </c>
      <c r="D33" s="25" t="s">
        <v>98</v>
      </c>
      <c r="E33" s="25" t="s">
        <v>99</v>
      </c>
      <c r="F33" s="25" t="s">
        <v>100</v>
      </c>
      <c r="G33" s="25" t="s">
        <v>101</v>
      </c>
      <c r="H33" s="26" t="s">
        <v>102</v>
      </c>
      <c r="I33" s="35"/>
      <c r="J33" s="33"/>
    </row>
    <row r="34" spans="1:13" ht="13.5" hidden="1" x14ac:dyDescent="0.25">
      <c r="A34" s="28">
        <f t="shared" ref="A34:A40" si="8">+A17</f>
        <v>0</v>
      </c>
      <c r="B34" s="34" t="str">
        <f>IFERROR(VLOOKUP(H34,[1]SEMIELABORADOS!$A$2:$M$6000,2,0),"")</f>
        <v/>
      </c>
      <c r="C34" s="29">
        <f>+A34</f>
        <v>0</v>
      </c>
      <c r="D34" s="30" t="str">
        <f>IFERROR(VLOOKUP(H34,[1]SEMIELABORADOS!$A$2:$M$6000,6,0),"")</f>
        <v/>
      </c>
      <c r="E34" s="30" t="str">
        <f>IFERROR(VLOOKUP(H34,[1]SEMIELABORADOS!$A$2:$M$65536,10,0),"")</f>
        <v/>
      </c>
      <c r="F34" s="30" t="str">
        <f>IFERROR(E34*C34,"")</f>
        <v/>
      </c>
      <c r="G34" s="31" t="str">
        <f t="shared" ref="G34:G40" si="9">IFERROR(F34/$F$65,"")</f>
        <v/>
      </c>
      <c r="H34" s="35"/>
      <c r="I34" s="35"/>
      <c r="J34" s="33"/>
    </row>
    <row r="35" spans="1:13" ht="13.5" hidden="1" x14ac:dyDescent="0.25">
      <c r="A35" s="28">
        <f t="shared" si="8"/>
        <v>0</v>
      </c>
      <c r="B35" s="34" t="str">
        <f>IFERROR(VLOOKUP(H35,[1]SEMIELABORADOS!$A$2:$M$6000,2,0),"")</f>
        <v/>
      </c>
      <c r="C35" s="29">
        <f t="shared" ref="C35:C40" si="10">+A35</f>
        <v>0</v>
      </c>
      <c r="D35" s="30" t="str">
        <f>IFERROR(VLOOKUP(H35,[1]SEMIELABORADOS!$A$2:$M$6000,6,0),"")</f>
        <v/>
      </c>
      <c r="E35" s="30" t="str">
        <f>IFERROR(VLOOKUP(H35,[1]SEMIELABORADOS!$A$2:$M$65536,10,0),"")</f>
        <v/>
      </c>
      <c r="F35" s="30" t="str">
        <f t="shared" ref="F35:F40" si="11">IFERROR(E35*C35,"")</f>
        <v/>
      </c>
      <c r="G35" s="31" t="str">
        <f t="shared" si="9"/>
        <v/>
      </c>
      <c r="H35" s="35"/>
      <c r="I35" s="35"/>
      <c r="J35" s="33"/>
    </row>
    <row r="36" spans="1:13" ht="13.5" hidden="1" x14ac:dyDescent="0.25">
      <c r="A36" s="28">
        <f t="shared" si="8"/>
        <v>0</v>
      </c>
      <c r="B36" s="34" t="str">
        <f>IFERROR(VLOOKUP(H36,[1]SEMIELABORADOS!$A$2:$M$6000,2,0),"")</f>
        <v/>
      </c>
      <c r="C36" s="29">
        <f t="shared" si="10"/>
        <v>0</v>
      </c>
      <c r="D36" s="30" t="str">
        <f>IFERROR(VLOOKUP(H36,[1]SEMIELABORADOS!$A$2:$M$6000,6,0),"")</f>
        <v/>
      </c>
      <c r="E36" s="30" t="str">
        <f>IFERROR(VLOOKUP(H36,[1]SEMIELABORADOS!$A$2:$M$65536,10,0),"")</f>
        <v/>
      </c>
      <c r="F36" s="30" t="str">
        <f t="shared" si="11"/>
        <v/>
      </c>
      <c r="G36" s="31" t="str">
        <f t="shared" si="9"/>
        <v/>
      </c>
      <c r="H36" s="35"/>
      <c r="I36" s="35"/>
      <c r="J36" s="33"/>
    </row>
    <row r="37" spans="1:13" ht="13.5" hidden="1" x14ac:dyDescent="0.25">
      <c r="A37" s="28">
        <f t="shared" si="8"/>
        <v>0</v>
      </c>
      <c r="B37" s="34" t="str">
        <f>IFERROR(VLOOKUP(H37,[1]SEMIELABORADOS!$A$2:$M$6000,2,0),"")</f>
        <v/>
      </c>
      <c r="C37" s="29">
        <f>+A37</f>
        <v>0</v>
      </c>
      <c r="D37" s="30" t="str">
        <f>IFERROR(VLOOKUP(H37,[1]SEMIELABORADOS!$A$2:$M$6000,6,0),"")</f>
        <v/>
      </c>
      <c r="E37" s="30" t="str">
        <f>IFERROR(VLOOKUP(H37,[1]SEMIELABORADOS!$A$2:$M$65536,10,0),"")</f>
        <v/>
      </c>
      <c r="F37" s="30" t="str">
        <f>IFERROR(E37*C37,"")</f>
        <v/>
      </c>
      <c r="G37" s="31" t="str">
        <f t="shared" si="9"/>
        <v/>
      </c>
      <c r="H37" s="35"/>
      <c r="I37" s="35"/>
      <c r="J37" s="33"/>
    </row>
    <row r="38" spans="1:13" ht="13.5" hidden="1" x14ac:dyDescent="0.25">
      <c r="A38" s="28">
        <f t="shared" si="8"/>
        <v>0</v>
      </c>
      <c r="B38" s="34" t="str">
        <f>IFERROR(VLOOKUP(H38,[1]SEMIELABORADOS!$A$2:$M$6000,2,0),"")</f>
        <v/>
      </c>
      <c r="C38" s="29">
        <f>+A38</f>
        <v>0</v>
      </c>
      <c r="D38" s="30" t="str">
        <f>IFERROR(VLOOKUP(H38,[1]SEMIELABORADOS!$A$2:$M$6000,6,0),"")</f>
        <v/>
      </c>
      <c r="E38" s="30" t="str">
        <f>IFERROR(VLOOKUP(H38,[1]SEMIELABORADOS!$A$2:$M$65536,10,0),"")</f>
        <v/>
      </c>
      <c r="F38" s="30" t="str">
        <f>IFERROR(E38*C38,"")</f>
        <v/>
      </c>
      <c r="G38" s="31" t="str">
        <f t="shared" si="9"/>
        <v/>
      </c>
      <c r="H38" s="35"/>
      <c r="I38" s="35"/>
      <c r="J38" s="33"/>
    </row>
    <row r="39" spans="1:13" ht="13.5" hidden="1" x14ac:dyDescent="0.25">
      <c r="A39" s="28">
        <f t="shared" si="8"/>
        <v>0</v>
      </c>
      <c r="B39" s="34" t="str">
        <f>IFERROR(VLOOKUP(H39,[1]SEMIELABORADOS!$A$2:$M$6000,2,0),"")</f>
        <v/>
      </c>
      <c r="C39" s="29">
        <f t="shared" si="10"/>
        <v>0</v>
      </c>
      <c r="D39" s="30" t="str">
        <f>IFERROR(VLOOKUP(H39,[1]SEMIELABORADOS!$A$2:$M$6000,6,0),"")</f>
        <v/>
      </c>
      <c r="E39" s="30" t="str">
        <f>IFERROR(VLOOKUP(H39,[1]SEMIELABORADOS!$A$2:$M$65536,10,0),"")</f>
        <v/>
      </c>
      <c r="F39" s="30" t="str">
        <f t="shared" si="11"/>
        <v/>
      </c>
      <c r="G39" s="31" t="str">
        <f t="shared" si="9"/>
        <v/>
      </c>
      <c r="H39" s="35"/>
      <c r="I39" s="35"/>
      <c r="J39" s="33"/>
    </row>
    <row r="40" spans="1:13" ht="13.5" hidden="1" x14ac:dyDescent="0.25">
      <c r="A40" s="28">
        <f t="shared" si="8"/>
        <v>0</v>
      </c>
      <c r="B40" s="34" t="str">
        <f>IFERROR(VLOOKUP(H40,[1]SEMIELABORADOS!$A$2:$M$6000,2,0),"")</f>
        <v/>
      </c>
      <c r="C40" s="29">
        <f t="shared" si="10"/>
        <v>0</v>
      </c>
      <c r="D40" s="30" t="str">
        <f>IFERROR(VLOOKUP(H40,[1]SEMIELABORADOS!$A$2:$M$6000,6,0),"")</f>
        <v/>
      </c>
      <c r="E40" s="30" t="str">
        <f>IFERROR(VLOOKUP(H40,[1]SEMIELABORADOS!$A$2:$M$65536,10,0),"")</f>
        <v/>
      </c>
      <c r="F40" s="30" t="str">
        <f t="shared" si="11"/>
        <v/>
      </c>
      <c r="G40" s="31" t="str">
        <f t="shared" si="9"/>
        <v/>
      </c>
      <c r="H40" s="35"/>
      <c r="I40" s="35"/>
      <c r="J40" s="33"/>
    </row>
    <row r="41" spans="1:13" ht="14.25" hidden="1" thickBot="1" x14ac:dyDescent="0.3">
      <c r="A41" s="28"/>
      <c r="B41" s="34"/>
      <c r="C41" s="29"/>
      <c r="D41" s="30"/>
      <c r="E41" s="30"/>
      <c r="F41" s="30"/>
      <c r="G41" s="31"/>
      <c r="H41" s="35"/>
      <c r="I41" s="35"/>
      <c r="J41" s="33"/>
    </row>
    <row r="42" spans="1:13" ht="26.25" thickBot="1" x14ac:dyDescent="0.25">
      <c r="A42" s="23" t="s">
        <v>96</v>
      </c>
      <c r="B42" s="24" t="s">
        <v>106</v>
      </c>
      <c r="C42" s="24" t="s">
        <v>96</v>
      </c>
      <c r="D42" s="25" t="s">
        <v>98</v>
      </c>
      <c r="E42" s="25" t="s">
        <v>99</v>
      </c>
      <c r="F42" s="25" t="s">
        <v>100</v>
      </c>
      <c r="G42" s="25" t="s">
        <v>101</v>
      </c>
      <c r="H42" s="26" t="s">
        <v>102</v>
      </c>
      <c r="I42" s="27"/>
      <c r="J42" s="33"/>
    </row>
    <row r="43" spans="1:13" ht="13.5" hidden="1" x14ac:dyDescent="0.25">
      <c r="A43" s="28">
        <f>+A34</f>
        <v>0</v>
      </c>
      <c r="B43" s="34" t="str">
        <f>IFERROR(VLOOKUP(H43,[1]SEMIELABORADOS!$A$2:$M$6000,2,0),"")</f>
        <v/>
      </c>
      <c r="C43" s="29">
        <f>+A43</f>
        <v>0</v>
      </c>
      <c r="D43" s="30" t="str">
        <f>IFERROR(VLOOKUP(H43,[1]SEMIELABORADOS!$A$2:$M$6000,6,0),"")</f>
        <v/>
      </c>
      <c r="E43" s="30" t="str">
        <f>IFERROR(VLOOKUP(H43,[1]SEMIELABORADOS!$A$2:$M$65536,12,0),"")</f>
        <v/>
      </c>
      <c r="F43" s="30" t="str">
        <f>IFERROR(E43*C43,"")</f>
        <v/>
      </c>
      <c r="G43" s="31" t="str">
        <f>IFERROR(F43/$F$65,"")</f>
        <v/>
      </c>
      <c r="H43" s="35"/>
      <c r="I43" s="27"/>
      <c r="J43" s="33"/>
    </row>
    <row r="44" spans="1:13" ht="13.5" hidden="1" x14ac:dyDescent="0.25">
      <c r="A44" s="28">
        <f t="shared" ref="A44:A49" si="12">+A35</f>
        <v>0</v>
      </c>
      <c r="B44" s="34" t="str">
        <f>IFERROR(VLOOKUP(H44,[1]SEMIELABORADOS!$A$2:$M$6000,2,0),"")</f>
        <v/>
      </c>
      <c r="C44" s="29">
        <f t="shared" ref="C44:C49" si="13">+A44</f>
        <v>0</v>
      </c>
      <c r="D44" s="30" t="str">
        <f>IFERROR(VLOOKUP(H44,[1]SEMIELABORADOS!$A$2:$M$6000,6,0),"")</f>
        <v/>
      </c>
      <c r="E44" s="30" t="str">
        <f>IFERROR(VLOOKUP(H44,[1]SEMIELABORADOS!$A$2:$M$65536,12,0),"")</f>
        <v/>
      </c>
      <c r="F44" s="30" t="str">
        <f t="shared" ref="F44:F49" si="14">IFERROR(E44*C44,"")</f>
        <v/>
      </c>
      <c r="G44" s="31" t="str">
        <f t="shared" ref="G44:G49" si="15">IFERROR(F44/$F$65,"")</f>
        <v/>
      </c>
      <c r="H44" s="35"/>
      <c r="I44" s="27"/>
      <c r="J44" s="33"/>
      <c r="M44" s="38"/>
    </row>
    <row r="45" spans="1:13" ht="13.5" hidden="1" x14ac:dyDescent="0.25">
      <c r="A45" s="28">
        <f t="shared" si="12"/>
        <v>0</v>
      </c>
      <c r="B45" s="34" t="str">
        <f>IFERROR(VLOOKUP(H45,[1]SEMIELABORADOS!$A$2:$M$6000,2,0),"")</f>
        <v/>
      </c>
      <c r="C45" s="29">
        <f t="shared" si="13"/>
        <v>0</v>
      </c>
      <c r="D45" s="30" t="str">
        <f>IFERROR(VLOOKUP(H45,[1]SEMIELABORADOS!$A$2:$M$6000,6,0),"")</f>
        <v/>
      </c>
      <c r="E45" s="30" t="str">
        <f>IFERROR(VLOOKUP(H45,[1]SEMIELABORADOS!$A$2:$M$65536,12,0),"")</f>
        <v/>
      </c>
      <c r="F45" s="30" t="str">
        <f t="shared" si="14"/>
        <v/>
      </c>
      <c r="G45" s="31" t="str">
        <f t="shared" si="15"/>
        <v/>
      </c>
      <c r="H45" s="35"/>
      <c r="I45" s="27"/>
      <c r="J45" s="33"/>
    </row>
    <row r="46" spans="1:13" ht="13.5" hidden="1" x14ac:dyDescent="0.25">
      <c r="A46" s="28">
        <f t="shared" si="12"/>
        <v>0</v>
      </c>
      <c r="B46" s="34" t="str">
        <f>IFERROR(VLOOKUP(H46,[1]SEMIELABORADOS!$A$2:$M$6000,2,0),"")</f>
        <v/>
      </c>
      <c r="C46" s="29">
        <f t="shared" si="13"/>
        <v>0</v>
      </c>
      <c r="D46" s="30" t="str">
        <f>IFERROR(VLOOKUP(H46,[1]SEMIELABORADOS!$A$2:$M$6000,6,0),"")</f>
        <v/>
      </c>
      <c r="E46" s="30" t="str">
        <f>IFERROR(VLOOKUP(H46,[1]SEMIELABORADOS!$A$2:$M$65536,12,0),"")</f>
        <v/>
      </c>
      <c r="F46" s="30" t="str">
        <f t="shared" si="14"/>
        <v/>
      </c>
      <c r="G46" s="31" t="str">
        <f t="shared" si="15"/>
        <v/>
      </c>
      <c r="H46" s="35"/>
      <c r="I46" s="27"/>
      <c r="J46" s="33"/>
    </row>
    <row r="47" spans="1:13" ht="13.5" hidden="1" x14ac:dyDescent="0.25">
      <c r="A47" s="28">
        <f t="shared" si="12"/>
        <v>0</v>
      </c>
      <c r="B47" s="34" t="str">
        <f>IFERROR(VLOOKUP(H47,[1]SEMIELABORADOS!$A$2:$M$6000,2,0),"")</f>
        <v/>
      </c>
      <c r="C47" s="29">
        <f t="shared" si="13"/>
        <v>0</v>
      </c>
      <c r="D47" s="30" t="str">
        <f>IFERROR(VLOOKUP(H47,[1]SEMIELABORADOS!$A$2:$M$6000,6,0),"")</f>
        <v/>
      </c>
      <c r="E47" s="30" t="str">
        <f>IFERROR(VLOOKUP(H47,[1]SEMIELABORADOS!$A$2:$M$65536,12,0),"")</f>
        <v/>
      </c>
      <c r="F47" s="30" t="str">
        <f t="shared" si="14"/>
        <v/>
      </c>
      <c r="G47" s="31" t="str">
        <f t="shared" si="15"/>
        <v/>
      </c>
      <c r="H47" s="35"/>
      <c r="I47" s="27"/>
      <c r="J47" s="33"/>
    </row>
    <row r="48" spans="1:13" ht="13.5" hidden="1" x14ac:dyDescent="0.25">
      <c r="A48" s="28">
        <f t="shared" si="12"/>
        <v>0</v>
      </c>
      <c r="B48" s="34" t="str">
        <f>IFERROR(VLOOKUP(H48,[1]SEMIELABORADOS!$A$2:$M$6000,2,0),"")</f>
        <v/>
      </c>
      <c r="C48" s="29">
        <f t="shared" si="13"/>
        <v>0</v>
      </c>
      <c r="D48" s="30" t="str">
        <f>IFERROR(VLOOKUP(H48,[1]SEMIELABORADOS!$A$2:$M$6000,6,0),"")</f>
        <v/>
      </c>
      <c r="E48" s="30" t="str">
        <f>IFERROR(VLOOKUP(H48,[1]SEMIELABORADOS!$A$2:$M$65536,12,0),"")</f>
        <v/>
      </c>
      <c r="F48" s="30" t="str">
        <f t="shared" si="14"/>
        <v/>
      </c>
      <c r="G48" s="31" t="str">
        <f t="shared" si="15"/>
        <v/>
      </c>
      <c r="H48" s="35"/>
      <c r="I48" s="27"/>
      <c r="J48" s="33"/>
    </row>
    <row r="49" spans="1:17" ht="13.5" hidden="1" x14ac:dyDescent="0.25">
      <c r="A49" s="28">
        <f t="shared" si="12"/>
        <v>0</v>
      </c>
      <c r="B49" s="34" t="str">
        <f>IFERROR(VLOOKUP(H49,[1]SEMIELABORADOS!$A$2:$M$6000,2,0),"")</f>
        <v/>
      </c>
      <c r="C49" s="29">
        <f t="shared" si="13"/>
        <v>0</v>
      </c>
      <c r="D49" s="30" t="str">
        <f>IFERROR(VLOOKUP(H49,[1]SEMIELABORADOS!$A$2:$M$6000,6,0),"")</f>
        <v/>
      </c>
      <c r="E49" s="30" t="str">
        <f>IFERROR(VLOOKUP(H49,[1]SEMIELABORADOS!$A$2:$M$65536,12,0),"")</f>
        <v/>
      </c>
      <c r="F49" s="30" t="str">
        <f t="shared" si="14"/>
        <v/>
      </c>
      <c r="G49" s="31" t="str">
        <f t="shared" si="15"/>
        <v/>
      </c>
      <c r="H49" s="34"/>
      <c r="I49" s="27"/>
      <c r="J49" s="33"/>
    </row>
    <row r="50" spans="1:17" ht="13.5" x14ac:dyDescent="0.25">
      <c r="A50" s="28">
        <v>1</v>
      </c>
      <c r="B50" s="34" t="s">
        <v>107</v>
      </c>
      <c r="C50" s="29">
        <f>+A50</f>
        <v>1</v>
      </c>
      <c r="D50" s="29" t="s">
        <v>108</v>
      </c>
      <c r="E50" s="30">
        <f>+F64</f>
        <v>308</v>
      </c>
      <c r="F50" s="30">
        <f>IFERROR(C50*E50,"")</f>
        <v>308</v>
      </c>
      <c r="G50" s="31">
        <f>IFERROR(F50/$F$65,"")</f>
        <v>1.4292829521423139E-2</v>
      </c>
      <c r="H50" s="39"/>
      <c r="I50" s="39"/>
      <c r="J50" s="33"/>
    </row>
    <row r="51" spans="1:17" ht="14.25" thickBot="1" x14ac:dyDescent="0.3">
      <c r="A51" s="28"/>
      <c r="B51" s="34"/>
      <c r="C51" s="29"/>
      <c r="D51" s="29"/>
      <c r="E51" s="30"/>
      <c r="F51" s="30"/>
      <c r="G51" s="31"/>
      <c r="H51" s="39"/>
      <c r="I51" s="39"/>
      <c r="J51" s="33"/>
    </row>
    <row r="52" spans="1:17" ht="13.5" thickBot="1" x14ac:dyDescent="0.25">
      <c r="A52" s="40"/>
      <c r="B52" s="192" t="s">
        <v>109</v>
      </c>
      <c r="C52" s="192"/>
      <c r="D52" s="192"/>
      <c r="E52" s="192"/>
      <c r="F52" s="42">
        <f>SUM(F8:F14,F17:F24)</f>
        <v>20709.7716</v>
      </c>
      <c r="G52" s="31">
        <f>+F52/$F$65</f>
        <v>0.96104297047535892</v>
      </c>
      <c r="H52" s="43">
        <f>+F52/$D$59</f>
        <v>20709.7716</v>
      </c>
      <c r="I52" s="43"/>
      <c r="J52" s="44"/>
      <c r="K52" s="45"/>
      <c r="L52" s="45"/>
      <c r="M52" s="45"/>
      <c r="N52" s="45"/>
      <c r="O52" s="45"/>
      <c r="P52" s="45"/>
      <c r="Q52" s="46"/>
    </row>
    <row r="53" spans="1:17" x14ac:dyDescent="0.2">
      <c r="A53" s="40"/>
      <c r="B53" s="192" t="s">
        <v>110</v>
      </c>
      <c r="C53" s="192"/>
      <c r="D53" s="192"/>
      <c r="E53" s="192"/>
      <c r="F53" s="42">
        <f>SUM(F27:F31,F34:F40)</f>
        <v>117.29999999999998</v>
      </c>
      <c r="G53" s="31">
        <f>+F53/$F$65</f>
        <v>5.4433405937108249E-3</v>
      </c>
      <c r="H53" s="43">
        <f>+F53/$D$59</f>
        <v>117.29999999999998</v>
      </c>
      <c r="I53" s="43"/>
      <c r="J53" s="47"/>
      <c r="K53" s="193" t="s">
        <v>111</v>
      </c>
      <c r="L53" s="194"/>
      <c r="M53" s="194"/>
      <c r="N53" s="194"/>
      <c r="O53" s="48">
        <f>+F54</f>
        <v>20827.071599999999</v>
      </c>
      <c r="P53" s="48"/>
      <c r="Q53" s="49"/>
    </row>
    <row r="54" spans="1:17" x14ac:dyDescent="0.2">
      <c r="A54" s="40"/>
      <c r="B54" s="192" t="s">
        <v>112</v>
      </c>
      <c r="C54" s="192"/>
      <c r="D54" s="192"/>
      <c r="E54" s="192"/>
      <c r="F54" s="42">
        <f>+F52+F53</f>
        <v>20827.071599999999</v>
      </c>
      <c r="G54" s="31">
        <f>+F54/$F$65</f>
        <v>0.96648631106906968</v>
      </c>
      <c r="H54" s="43">
        <f>+F54/$D$59</f>
        <v>20827.071599999999</v>
      </c>
      <c r="I54" s="43"/>
      <c r="J54" s="50"/>
      <c r="K54" s="51"/>
      <c r="M54" s="52" t="s">
        <v>113</v>
      </c>
      <c r="N54" s="53"/>
      <c r="O54" s="48">
        <f>+H55</f>
        <v>308</v>
      </c>
      <c r="P54" s="48"/>
      <c r="Q54" s="49"/>
    </row>
    <row r="55" spans="1:17" ht="13.5" thickBot="1" x14ac:dyDescent="0.25">
      <c r="A55" s="40"/>
      <c r="B55" s="41"/>
      <c r="C55" s="192" t="s">
        <v>114</v>
      </c>
      <c r="D55" s="192"/>
      <c r="E55" s="192"/>
      <c r="F55" s="42">
        <f>SUM(F43:F50)</f>
        <v>308</v>
      </c>
      <c r="G55" s="31">
        <f>+F55/$F$65</f>
        <v>1.4292829521423139E-2</v>
      </c>
      <c r="H55" s="43">
        <f>+F55/$D$59</f>
        <v>308</v>
      </c>
      <c r="I55" s="43"/>
      <c r="J55" s="50"/>
      <c r="K55" s="51"/>
      <c r="L55" s="51"/>
      <c r="M55" s="51" t="s">
        <v>115</v>
      </c>
      <c r="N55" s="54"/>
      <c r="O55" s="48">
        <f>O53*N55</f>
        <v>0</v>
      </c>
      <c r="P55" s="48"/>
      <c r="Q55" s="49"/>
    </row>
    <row r="56" spans="1:17" ht="13.5" thickBot="1" x14ac:dyDescent="0.25">
      <c r="A56" s="40"/>
      <c r="B56" s="55"/>
      <c r="C56" s="55"/>
      <c r="D56" s="55"/>
      <c r="E56" s="55"/>
      <c r="F56" s="56"/>
      <c r="G56" s="31"/>
      <c r="H56" s="57"/>
      <c r="I56" s="43"/>
      <c r="J56" s="50"/>
      <c r="K56" s="58"/>
      <c r="M56" s="59" t="s">
        <v>116</v>
      </c>
      <c r="N56" s="60"/>
      <c r="O56" s="61">
        <f>SUM(O53:O55)</f>
        <v>21135.071599999999</v>
      </c>
      <c r="P56" s="62"/>
      <c r="Q56" s="49"/>
    </row>
    <row r="57" spans="1:17" x14ac:dyDescent="0.2">
      <c r="B57" s="204" t="s">
        <v>117</v>
      </c>
      <c r="C57" s="204"/>
      <c r="D57" s="63">
        <v>20000</v>
      </c>
      <c r="E57" s="64"/>
      <c r="G57" s="31"/>
      <c r="H57" s="57">
        <f>+H55/77</f>
        <v>4</v>
      </c>
      <c r="I57" s="65"/>
      <c r="J57" s="50"/>
      <c r="K57" s="58"/>
      <c r="L57" s="51"/>
      <c r="M57" s="51" t="s">
        <v>118</v>
      </c>
      <c r="N57" s="66"/>
      <c r="O57" s="48">
        <f>+H58</f>
        <v>332</v>
      </c>
      <c r="P57" s="48"/>
      <c r="Q57" s="49"/>
    </row>
    <row r="58" spans="1:17" x14ac:dyDescent="0.2">
      <c r="B58" s="204" t="s">
        <v>119</v>
      </c>
      <c r="C58" s="204"/>
      <c r="D58" s="67">
        <v>20000</v>
      </c>
      <c r="E58" s="64"/>
      <c r="G58" s="31"/>
      <c r="H58" s="57">
        <f>+H57*83</f>
        <v>332</v>
      </c>
      <c r="I58" s="65"/>
      <c r="J58" s="50"/>
      <c r="K58" s="58"/>
      <c r="L58" s="51"/>
      <c r="M58" s="197" t="s">
        <v>116</v>
      </c>
      <c r="N58" s="197"/>
      <c r="O58" s="48">
        <f>SUM(O56:O57)</f>
        <v>21467.071599999999</v>
      </c>
      <c r="P58" s="48"/>
      <c r="Q58" s="49"/>
    </row>
    <row r="59" spans="1:17" ht="13.5" thickBot="1" x14ac:dyDescent="0.25">
      <c r="B59" s="203" t="s">
        <v>120</v>
      </c>
      <c r="C59" s="203"/>
      <c r="D59" s="63">
        <f>+D57/D58</f>
        <v>1</v>
      </c>
      <c r="E59" s="64"/>
      <c r="F59" s="68"/>
      <c r="G59" s="31"/>
      <c r="H59" s="57"/>
      <c r="I59" s="65"/>
      <c r="J59" s="50"/>
      <c r="K59" s="58"/>
      <c r="L59" s="197"/>
      <c r="M59" s="197"/>
      <c r="N59" s="66"/>
      <c r="O59" s="48">
        <f>+O58*N59</f>
        <v>0</v>
      </c>
      <c r="P59" s="48"/>
      <c r="Q59" s="49"/>
    </row>
    <row r="60" spans="1:17" ht="13.5" thickBot="1" x14ac:dyDescent="0.25">
      <c r="B60" s="203" t="s">
        <v>121</v>
      </c>
      <c r="C60" s="203"/>
      <c r="D60" s="69"/>
      <c r="E60" s="64"/>
      <c r="F60" s="68"/>
      <c r="G60" s="31"/>
      <c r="H60" s="57"/>
      <c r="I60" s="65"/>
      <c r="J60" s="50"/>
      <c r="K60" s="188" t="s">
        <v>122</v>
      </c>
      <c r="L60" s="189"/>
      <c r="M60" s="189"/>
      <c r="N60" s="190"/>
      <c r="O60" s="61">
        <f>SUM(O58:O59)</f>
        <v>21467.071599999999</v>
      </c>
      <c r="P60" s="70" t="s">
        <v>123</v>
      </c>
      <c r="Q60" s="49"/>
    </row>
    <row r="61" spans="1:17" ht="13.5" thickBot="1" x14ac:dyDescent="0.25">
      <c r="C61" s="40" t="s">
        <v>124</v>
      </c>
      <c r="D61" s="71"/>
      <c r="E61" s="14" t="s">
        <v>125</v>
      </c>
      <c r="F61" s="72" t="s">
        <v>126</v>
      </c>
      <c r="G61" s="31"/>
      <c r="H61" s="57"/>
      <c r="I61" s="65"/>
      <c r="J61" s="73"/>
      <c r="K61" s="74"/>
      <c r="L61" s="175" t="s">
        <v>127</v>
      </c>
      <c r="M61" s="175"/>
      <c r="N61" s="175"/>
      <c r="O61" s="75">
        <f>+O60/D59</f>
        <v>21467.071599999999</v>
      </c>
      <c r="P61" s="76">
        <f>+O61/D58</f>
        <v>1.07335358</v>
      </c>
      <c r="Q61" s="77"/>
    </row>
    <row r="62" spans="1:17" ht="13.5" thickBot="1" x14ac:dyDescent="0.25">
      <c r="B62" s="176" t="s">
        <v>112</v>
      </c>
      <c r="C62" s="176"/>
      <c r="D62" s="176"/>
      <c r="E62" s="78">
        <f>+F62/F62</f>
        <v>1</v>
      </c>
      <c r="F62" s="79">
        <f>SUM(F54)</f>
        <v>20827.071599999999</v>
      </c>
      <c r="G62" s="31">
        <f>+F62/$F$65</f>
        <v>0.96648631106906968</v>
      </c>
      <c r="H62" s="57"/>
      <c r="I62" s="65"/>
      <c r="K62" s="177"/>
      <c r="L62" s="178"/>
      <c r="M62" s="178"/>
      <c r="N62" s="178"/>
      <c r="O62" s="80"/>
      <c r="P62" s="81"/>
    </row>
    <row r="63" spans="1:17" ht="13.5" thickBot="1" x14ac:dyDescent="0.25">
      <c r="B63" s="179" t="s">
        <v>128</v>
      </c>
      <c r="C63" s="179"/>
      <c r="D63" s="179"/>
      <c r="E63" s="82">
        <v>0.02</v>
      </c>
      <c r="F63" s="79">
        <f>+F52*E63</f>
        <v>414.19543199999998</v>
      </c>
      <c r="G63" s="31">
        <f>+F63/$F$65</f>
        <v>1.9220859409507178E-2</v>
      </c>
      <c r="H63" s="43"/>
      <c r="I63" s="65"/>
      <c r="J63" s="83"/>
      <c r="O63" s="84"/>
      <c r="P63" s="41"/>
    </row>
    <row r="64" spans="1:17" ht="13.5" thickBot="1" x14ac:dyDescent="0.25">
      <c r="B64" s="180" t="s">
        <v>129</v>
      </c>
      <c r="C64" s="181"/>
      <c r="D64" s="85">
        <v>4</v>
      </c>
      <c r="E64" s="86">
        <v>77</v>
      </c>
      <c r="F64" s="79">
        <f>+E64*D64</f>
        <v>308</v>
      </c>
      <c r="G64" s="31">
        <f>+F64/$F$65</f>
        <v>1.4292829521423139E-2</v>
      </c>
      <c r="H64" s="43"/>
      <c r="I64" s="43"/>
      <c r="J64" s="33"/>
    </row>
    <row r="65" spans="2:13" ht="13.5" thickBot="1" x14ac:dyDescent="0.25">
      <c r="B65" s="182" t="s">
        <v>130</v>
      </c>
      <c r="C65" s="183"/>
      <c r="D65" s="183"/>
      <c r="E65" s="184"/>
      <c r="F65" s="56">
        <f>SUM(F62:F64)</f>
        <v>21549.267032</v>
      </c>
      <c r="G65" s="31">
        <f>+F65/$F$65</f>
        <v>1</v>
      </c>
      <c r="H65" s="185"/>
      <c r="I65" s="43"/>
      <c r="J65" s="33"/>
      <c r="M65" s="16" t="s">
        <v>131</v>
      </c>
    </row>
    <row r="66" spans="2:13" x14ac:dyDescent="0.2">
      <c r="C66" s="38"/>
      <c r="D66" s="38"/>
      <c r="E66" s="88"/>
      <c r="F66" s="79"/>
      <c r="G66" s="31"/>
      <c r="H66" s="185"/>
      <c r="I66" s="87"/>
      <c r="J66" s="16"/>
      <c r="M66" s="16" t="s">
        <v>132</v>
      </c>
    </row>
    <row r="67" spans="2:13" ht="13.5" thickBot="1" x14ac:dyDescent="0.25">
      <c r="B67" s="170" t="s">
        <v>133</v>
      </c>
      <c r="C67" s="170"/>
      <c r="D67" s="170"/>
      <c r="E67" s="170"/>
      <c r="F67" s="170"/>
      <c r="G67" s="31"/>
      <c r="H67" s="90"/>
      <c r="I67" s="87"/>
      <c r="J67" s="16"/>
      <c r="M67" s="16" t="s">
        <v>134</v>
      </c>
    </row>
    <row r="68" spans="2:13" ht="13.5" thickBot="1" x14ac:dyDescent="0.25">
      <c r="B68" s="91" t="s">
        <v>135</v>
      </c>
      <c r="C68" s="92">
        <f>+F52</f>
        <v>20709.7716</v>
      </c>
      <c r="D68" s="92">
        <f>+D57</f>
        <v>20000</v>
      </c>
      <c r="E68" s="93">
        <f>+C68/D68</f>
        <v>1.03548858</v>
      </c>
      <c r="F68" s="31"/>
      <c r="G68" s="90"/>
      <c r="H68" s="33"/>
      <c r="I68" s="90"/>
      <c r="J68" s="16"/>
    </row>
    <row r="69" spans="2:13" x14ac:dyDescent="0.2">
      <c r="B69" s="94"/>
      <c r="C69" s="95"/>
      <c r="D69" s="96"/>
      <c r="E69" s="79"/>
      <c r="F69" s="31"/>
      <c r="G69" s="90"/>
      <c r="H69" s="33"/>
      <c r="I69" s="33"/>
      <c r="J69" s="16"/>
    </row>
    <row r="70" spans="2:13" x14ac:dyDescent="0.2">
      <c r="B70" s="91" t="s">
        <v>136</v>
      </c>
      <c r="C70" s="92">
        <f>SUM(F62:F63)</f>
        <v>21241.267032</v>
      </c>
      <c r="D70" s="92">
        <f>+D57</f>
        <v>20000</v>
      </c>
      <c r="E70" s="97">
        <f>+C70/D70</f>
        <v>1.0620633516</v>
      </c>
      <c r="F70" s="31"/>
      <c r="G70" s="90"/>
      <c r="H70" s="33"/>
      <c r="I70" s="33"/>
      <c r="J70" s="16"/>
    </row>
    <row r="71" spans="2:13" x14ac:dyDescent="0.2">
      <c r="B71" s="91"/>
      <c r="C71" s="92"/>
      <c r="D71" s="92"/>
      <c r="E71" s="97"/>
      <c r="F71" s="31"/>
      <c r="G71" s="90"/>
      <c r="H71" s="33"/>
      <c r="I71" s="33"/>
      <c r="J71" s="16"/>
    </row>
    <row r="72" spans="2:13" ht="13.5" thickBot="1" x14ac:dyDescent="0.25">
      <c r="B72" s="91" t="s">
        <v>137</v>
      </c>
      <c r="C72" s="92">
        <f>+F64</f>
        <v>308</v>
      </c>
      <c r="D72" s="92">
        <f>+D57</f>
        <v>20000</v>
      </c>
      <c r="E72" s="97">
        <f>+C72/D72</f>
        <v>1.54E-2</v>
      </c>
      <c r="F72" s="31"/>
      <c r="G72" s="90"/>
      <c r="H72" s="33"/>
      <c r="I72" s="33"/>
      <c r="J72" s="16"/>
    </row>
    <row r="73" spans="2:13" ht="13.5" thickBot="1" x14ac:dyDescent="0.25">
      <c r="B73" s="91" t="s">
        <v>138</v>
      </c>
      <c r="C73" s="92">
        <f>+F55</f>
        <v>308</v>
      </c>
      <c r="D73" s="92">
        <f>+D72</f>
        <v>20000</v>
      </c>
      <c r="E73" s="93">
        <f>+C73/D73</f>
        <v>1.54E-2</v>
      </c>
      <c r="F73" s="31"/>
      <c r="G73" s="90"/>
      <c r="H73" s="33"/>
      <c r="I73" s="33"/>
      <c r="J73" s="16"/>
    </row>
    <row r="74" spans="2:13" ht="13.5" thickBot="1" x14ac:dyDescent="0.25">
      <c r="B74" s="55"/>
      <c r="C74" s="56"/>
      <c r="D74" s="56"/>
      <c r="E74" s="97"/>
      <c r="F74" s="31"/>
      <c r="G74" s="90"/>
      <c r="H74" s="33"/>
      <c r="I74" s="33"/>
      <c r="J74" s="16"/>
    </row>
    <row r="75" spans="2:13" ht="13.5" thickBot="1" x14ac:dyDescent="0.25">
      <c r="B75" s="91" t="s">
        <v>139</v>
      </c>
      <c r="C75" s="92">
        <f>+F53</f>
        <v>117.29999999999998</v>
      </c>
      <c r="D75" s="92">
        <f>+D73</f>
        <v>20000</v>
      </c>
      <c r="E75" s="93">
        <f>+C75/D75</f>
        <v>5.8649999999999996E-3</v>
      </c>
      <c r="F75" s="31"/>
      <c r="G75" s="90"/>
      <c r="H75" s="33"/>
      <c r="I75" s="33"/>
      <c r="J75" s="33"/>
    </row>
    <row r="76" spans="2:13" ht="13.5" thickBot="1" x14ac:dyDescent="0.25">
      <c r="B76" s="55"/>
      <c r="C76" s="56"/>
      <c r="D76" s="56"/>
      <c r="E76" s="97"/>
      <c r="F76" s="31"/>
      <c r="G76" s="90"/>
      <c r="H76" s="33"/>
      <c r="I76" s="33"/>
    </row>
    <row r="77" spans="2:13" ht="13.5" thickBot="1" x14ac:dyDescent="0.25">
      <c r="B77" s="171" t="s">
        <v>140</v>
      </c>
      <c r="C77" s="172"/>
      <c r="D77" s="173"/>
      <c r="E77" s="93">
        <f>+E68+E73</f>
        <v>1.0508885800000001</v>
      </c>
      <c r="G77" s="31"/>
      <c r="H77" s="90"/>
      <c r="I77" s="33"/>
      <c r="J77" s="97"/>
    </row>
    <row r="78" spans="2:13" x14ac:dyDescent="0.2">
      <c r="I78" s="90"/>
      <c r="J78" s="16"/>
    </row>
    <row r="79" spans="2:13" ht="13.5" thickBot="1" x14ac:dyDescent="0.25">
      <c r="B79" s="170" t="s">
        <v>141</v>
      </c>
      <c r="C79" s="170"/>
      <c r="D79" s="170"/>
      <c r="E79" s="170"/>
      <c r="F79" s="170"/>
      <c r="G79" s="31"/>
      <c r="H79" s="90"/>
      <c r="J79" s="16"/>
    </row>
    <row r="80" spans="2:13" ht="13.5" thickBot="1" x14ac:dyDescent="0.25">
      <c r="B80" s="91" t="s">
        <v>135</v>
      </c>
      <c r="C80" s="92">
        <f>+C68</f>
        <v>20709.7716</v>
      </c>
      <c r="D80" s="92">
        <f>+D59</f>
        <v>1</v>
      </c>
      <c r="E80" s="93">
        <f>+C80/D80</f>
        <v>20709.7716</v>
      </c>
      <c r="F80" s="31"/>
      <c r="G80" s="90"/>
      <c r="H80" s="33"/>
      <c r="I80" s="90"/>
      <c r="J80" s="16"/>
    </row>
    <row r="81" spans="1:10" x14ac:dyDescent="0.2">
      <c r="B81" s="94"/>
      <c r="C81" s="95"/>
      <c r="D81" s="96"/>
      <c r="E81" s="79"/>
      <c r="F81" s="31"/>
      <c r="G81" s="90"/>
      <c r="H81" s="33"/>
      <c r="I81" s="33"/>
      <c r="J81" s="16"/>
    </row>
    <row r="82" spans="1:10" x14ac:dyDescent="0.2">
      <c r="B82" s="91" t="s">
        <v>136</v>
      </c>
      <c r="C82" s="92">
        <f>+C70</f>
        <v>21241.267032</v>
      </c>
      <c r="D82" s="92">
        <f>+D59</f>
        <v>1</v>
      </c>
      <c r="E82" s="97">
        <f>+C82/D82</f>
        <v>21241.267032</v>
      </c>
      <c r="F82" s="31"/>
      <c r="G82" s="90"/>
      <c r="H82" s="33"/>
      <c r="I82" s="33"/>
      <c r="J82" s="16"/>
    </row>
    <row r="83" spans="1:10" x14ac:dyDescent="0.2">
      <c r="B83" s="91"/>
      <c r="C83" s="92"/>
      <c r="D83" s="92"/>
      <c r="E83" s="97"/>
      <c r="F83" s="31"/>
      <c r="G83" s="90"/>
      <c r="H83" s="33"/>
      <c r="I83" s="33"/>
      <c r="J83" s="16"/>
    </row>
    <row r="84" spans="1:10" ht="13.5" thickBot="1" x14ac:dyDescent="0.25">
      <c r="B84" s="91" t="s">
        <v>138</v>
      </c>
      <c r="C84" s="92">
        <f>+C72</f>
        <v>308</v>
      </c>
      <c r="D84" s="92">
        <f>+D59</f>
        <v>1</v>
      </c>
      <c r="E84" s="97">
        <f>+C84/D84</f>
        <v>308</v>
      </c>
      <c r="F84" s="99"/>
      <c r="G84" s="89"/>
      <c r="H84" s="15"/>
      <c r="I84" s="33"/>
    </row>
    <row r="85" spans="1:10" ht="13.5" thickBot="1" x14ac:dyDescent="0.25">
      <c r="B85" s="91" t="s">
        <v>138</v>
      </c>
      <c r="C85" s="92">
        <f>+C73</f>
        <v>308</v>
      </c>
      <c r="D85" s="92">
        <f>+D84</f>
        <v>1</v>
      </c>
      <c r="E85" s="93">
        <f>+C85/D85</f>
        <v>308</v>
      </c>
      <c r="F85" s="98"/>
      <c r="G85" s="89"/>
      <c r="H85" s="15"/>
      <c r="I85" s="15"/>
    </row>
    <row r="86" spans="1:10" x14ac:dyDescent="0.2">
      <c r="I86" s="15"/>
    </row>
    <row r="87" spans="1:10" x14ac:dyDescent="0.2">
      <c r="A87" s="174"/>
      <c r="B87" s="174"/>
      <c r="C87" s="100"/>
      <c r="D87" s="100"/>
      <c r="E87" s="101"/>
      <c r="G87" s="102"/>
    </row>
    <row r="88" spans="1:10" x14ac:dyDescent="0.2">
      <c r="A88" s="34"/>
      <c r="B88" s="103"/>
      <c r="C88" s="104"/>
      <c r="D88" s="104"/>
      <c r="E88" s="105"/>
      <c r="G88" s="102"/>
    </row>
    <row r="89" spans="1:10" x14ac:dyDescent="0.2">
      <c r="A89" s="34"/>
      <c r="B89" s="103"/>
      <c r="C89" s="106"/>
      <c r="D89" s="106"/>
      <c r="E89" s="34"/>
      <c r="G89" s="102"/>
    </row>
    <row r="90" spans="1:10" x14ac:dyDescent="0.2">
      <c r="A90" s="34"/>
      <c r="B90" s="103"/>
      <c r="C90" s="107"/>
      <c r="D90" s="107"/>
      <c r="E90" s="34"/>
      <c r="G90" s="102"/>
    </row>
  </sheetData>
  <mergeCells count="30">
    <mergeCell ref="K29:L29"/>
    <mergeCell ref="A4:H4"/>
    <mergeCell ref="A5:H5"/>
    <mergeCell ref="F6:G6"/>
    <mergeCell ref="K27:L27"/>
    <mergeCell ref="K28:L28"/>
    <mergeCell ref="B60:C60"/>
    <mergeCell ref="K60:N60"/>
    <mergeCell ref="K30:L30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28ACFFA-E89D-4531-8222-324CFDBC2A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41CF52-EA24-4883-BCE0-EB33B4BC0A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996CA675-8A8B-4BC9-AC68-FE730CD3E6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BF72CF4-99C6-426C-9077-0A592A86448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Costo empaque </vt:lpstr>
      <vt:lpstr>Costo corte Mini chilena Velvet</vt:lpstr>
      <vt:lpstr>Costo Pasta alfajor Velvet</vt:lpstr>
      <vt:lpstr>Premezcla Velvet</vt:lpstr>
      <vt:lpstr>Costo Premezcla Velvet</vt:lpstr>
      <vt:lpstr>'Premezcla Velvet'!Área_de_impresión</vt:lpstr>
    </vt:vector>
  </TitlesOfParts>
  <Company>Servicios de Pasteleria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2026-02-06T17:40:07Z</cp:lastPrinted>
  <dcterms:created xsi:type="dcterms:W3CDTF">2010-03-18T15:17:31Z</dcterms:created>
  <dcterms:modified xsi:type="dcterms:W3CDTF">2026-02-06T17:41:16Z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361400.000000000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
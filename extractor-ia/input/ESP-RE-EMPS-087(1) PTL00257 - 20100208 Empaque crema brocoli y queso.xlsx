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5E29270E-BE0D-413F-B081-FCE2D0310CAF}" xr6:coauthVersionLast="47" xr6:coauthVersionMax="47" xr10:uidLastSave="{FCB882E5-7E9A-4285-B8D7-CC5DC4E6F892}"/>
  <bookViews>
    <workbookView xWindow="-120" yWindow="-120" windowWidth="20730" windowHeight="11040" firstSheet="1" activeTab="1" xr2:uid="{4A55293B-DCCE-41C3-A106-B0B4C808E6C3}"/>
  </bookViews>
  <sheets>
    <sheet name="Costo Crema " sheetId="11" state="hidden" r:id="rId1"/>
    <sheet name="Empaque " sheetId="10" r:id="rId2"/>
    <sheet name="Costo empaque " sheetId="12" state="hidden" r:id="rId3"/>
  </sheets>
  <externalReferences>
    <externalReference r:id="rId4"/>
    <externalReference r:id="rId5"/>
  </externalReferences>
  <definedNames>
    <definedName name="_xlnm.Print_Area" localSheetId="1">'Empaque 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2" l="1"/>
  <c r="R12" i="11"/>
  <c r="C14" i="11"/>
  <c r="C13" i="11"/>
  <c r="C12" i="11"/>
  <c r="C11" i="11"/>
  <c r="D73" i="12"/>
  <c r="D74" i="12" s="1"/>
  <c r="D76" i="12" s="1"/>
  <c r="C73" i="12"/>
  <c r="C85" i="12" s="1"/>
  <c r="E85" i="12" s="1"/>
  <c r="D71" i="12"/>
  <c r="D69" i="12"/>
  <c r="F65" i="12"/>
  <c r="E51" i="12" s="1"/>
  <c r="F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C38" i="12"/>
  <c r="B38" i="12"/>
  <c r="A38" i="12"/>
  <c r="A47" i="12" s="1"/>
  <c r="C47" i="12" s="1"/>
  <c r="E37" i="12"/>
  <c r="D37" i="12"/>
  <c r="C37" i="12"/>
  <c r="B37" i="12"/>
  <c r="A37" i="12"/>
  <c r="A46" i="12" s="1"/>
  <c r="C46" i="12" s="1"/>
  <c r="E36" i="12"/>
  <c r="D36" i="12"/>
  <c r="B36" i="12"/>
  <c r="A36" i="12"/>
  <c r="C36" i="12" s="1"/>
  <c r="A35" i="12"/>
  <c r="C35" i="12" s="1"/>
  <c r="E32" i="12"/>
  <c r="F32" i="12" s="1"/>
  <c r="D32" i="12"/>
  <c r="C32" i="12"/>
  <c r="B32" i="12"/>
  <c r="E31" i="12"/>
  <c r="D31" i="12"/>
  <c r="C31" i="12"/>
  <c r="B31" i="12"/>
  <c r="F30" i="12"/>
  <c r="C30" i="12"/>
  <c r="E29" i="12"/>
  <c r="F29" i="12" s="1"/>
  <c r="D29" i="12"/>
  <c r="C29" i="12"/>
  <c r="B29" i="12"/>
  <c r="E28" i="12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C17" i="12"/>
  <c r="B15" i="12"/>
  <c r="E14" i="12"/>
  <c r="F14" i="12" s="1"/>
  <c r="D14" i="12"/>
  <c r="C14" i="12"/>
  <c r="B14" i="12"/>
  <c r="E13" i="12"/>
  <c r="F13" i="12" s="1"/>
  <c r="D13" i="12"/>
  <c r="C13" i="12"/>
  <c r="B13" i="12"/>
  <c r="E12" i="12"/>
  <c r="F12" i="12" s="1"/>
  <c r="D12" i="12"/>
  <c r="C12" i="12"/>
  <c r="B12" i="12"/>
  <c r="E11" i="12"/>
  <c r="F11" i="12" s="1"/>
  <c r="D11" i="12"/>
  <c r="C11" i="12"/>
  <c r="B11" i="12"/>
  <c r="E10" i="12"/>
  <c r="F10" i="12" s="1"/>
  <c r="D10" i="12"/>
  <c r="C10" i="12"/>
  <c r="B10" i="12"/>
  <c r="E9" i="12"/>
  <c r="D9" i="12"/>
  <c r="C9" i="12"/>
  <c r="B9" i="12"/>
  <c r="E8" i="12"/>
  <c r="F8" i="12" s="1"/>
  <c r="D8" i="12"/>
  <c r="C8" i="12"/>
  <c r="B8" i="12"/>
  <c r="H6" i="12"/>
  <c r="D77" i="11"/>
  <c r="D78" i="11" s="1"/>
  <c r="D80" i="11" s="1"/>
  <c r="D75" i="11"/>
  <c r="D73" i="11"/>
  <c r="F69" i="11"/>
  <c r="E55" i="11" s="1"/>
  <c r="D64" i="11"/>
  <c r="D89" i="11" s="1"/>
  <c r="D90" i="11" s="1"/>
  <c r="C55" i="11"/>
  <c r="E54" i="11"/>
  <c r="D54" i="11"/>
  <c r="B54" i="11"/>
  <c r="E53" i="11"/>
  <c r="D53" i="11"/>
  <c r="B53" i="11"/>
  <c r="E52" i="11"/>
  <c r="D52" i="11"/>
  <c r="B52" i="11"/>
  <c r="E51" i="11"/>
  <c r="D51" i="11"/>
  <c r="B51" i="11"/>
  <c r="E50" i="11"/>
  <c r="D50" i="11"/>
  <c r="B50" i="11"/>
  <c r="D48" i="11"/>
  <c r="B48" i="11"/>
  <c r="E45" i="11"/>
  <c r="D45" i="11"/>
  <c r="B45" i="11"/>
  <c r="A45" i="11"/>
  <c r="A54" i="11" s="1"/>
  <c r="C54" i="11" s="1"/>
  <c r="E44" i="11"/>
  <c r="D44" i="11"/>
  <c r="B44" i="11"/>
  <c r="A44" i="11"/>
  <c r="C44" i="11" s="1"/>
  <c r="E43" i="11"/>
  <c r="D43" i="11"/>
  <c r="B43" i="11"/>
  <c r="A43" i="11"/>
  <c r="C43" i="11" s="1"/>
  <c r="E42" i="11"/>
  <c r="D42" i="11"/>
  <c r="B42" i="11"/>
  <c r="A42" i="11"/>
  <c r="C42" i="11" s="1"/>
  <c r="E41" i="11"/>
  <c r="D41" i="11"/>
  <c r="B41" i="11"/>
  <c r="A41" i="11"/>
  <c r="A50" i="11" s="1"/>
  <c r="C50" i="11" s="1"/>
  <c r="A40" i="11"/>
  <c r="A49" i="11" s="1"/>
  <c r="C49" i="11" s="1"/>
  <c r="E39" i="11"/>
  <c r="D39" i="11"/>
  <c r="B39" i="11"/>
  <c r="A39" i="11"/>
  <c r="C39" i="11" s="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F26" i="11" s="1"/>
  <c r="D26" i="11"/>
  <c r="C26" i="11"/>
  <c r="B26" i="11"/>
  <c r="E25" i="11"/>
  <c r="F25" i="11" s="1"/>
  <c r="D25" i="11"/>
  <c r="C25" i="11"/>
  <c r="B25" i="11"/>
  <c r="E24" i="11"/>
  <c r="D24" i="11"/>
  <c r="C24" i="11"/>
  <c r="B24" i="11"/>
  <c r="E23" i="11"/>
  <c r="F23" i="11" s="1"/>
  <c r="D23" i="11"/>
  <c r="C23" i="11"/>
  <c r="B23" i="11"/>
  <c r="F22" i="11"/>
  <c r="C22" i="11"/>
  <c r="D21" i="11"/>
  <c r="C21" i="11"/>
  <c r="B21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C15" i="11"/>
  <c r="C10" i="11"/>
  <c r="F9" i="11"/>
  <c r="C9" i="11"/>
  <c r="C8" i="11"/>
  <c r="H6" i="11"/>
  <c r="F9" i="12" l="1"/>
  <c r="F31" i="12"/>
  <c r="D83" i="12"/>
  <c r="D81" i="12"/>
  <c r="F46" i="12"/>
  <c r="F40" i="12"/>
  <c r="C41" i="12"/>
  <c r="F41" i="12" s="1"/>
  <c r="F38" i="12"/>
  <c r="F47" i="12"/>
  <c r="A45" i="12"/>
  <c r="C45" i="12" s="1"/>
  <c r="F37" i="12"/>
  <c r="F28" i="12"/>
  <c r="F27" i="12"/>
  <c r="F33" i="11"/>
  <c r="F21" i="11"/>
  <c r="F14" i="11"/>
  <c r="F13" i="11"/>
  <c r="F12" i="11"/>
  <c r="F11" i="11"/>
  <c r="F31" i="11"/>
  <c r="F36" i="11"/>
  <c r="F35" i="11"/>
  <c r="F49" i="11"/>
  <c r="F34" i="11"/>
  <c r="F10" i="11"/>
  <c r="F17" i="11"/>
  <c r="F32" i="11"/>
  <c r="C77" i="11"/>
  <c r="C89" i="11" s="1"/>
  <c r="E89" i="11" s="1"/>
  <c r="F28" i="11"/>
  <c r="F15" i="11"/>
  <c r="C41" i="11"/>
  <c r="F41" i="11" s="1"/>
  <c r="F16" i="11"/>
  <c r="F55" i="11"/>
  <c r="F24" i="11"/>
  <c r="F27" i="11"/>
  <c r="F42" i="11"/>
  <c r="F8" i="11"/>
  <c r="C40" i="11"/>
  <c r="F40" i="11" s="1"/>
  <c r="F43" i="11"/>
  <c r="F18" i="11"/>
  <c r="F44" i="11"/>
  <c r="F50" i="12"/>
  <c r="F45" i="12"/>
  <c r="F36" i="12"/>
  <c r="F39" i="12"/>
  <c r="A49" i="12"/>
  <c r="C49" i="12" s="1"/>
  <c r="F49" i="12" s="1"/>
  <c r="E73" i="12"/>
  <c r="A44" i="12"/>
  <c r="C44" i="12" s="1"/>
  <c r="A48" i="12"/>
  <c r="C48" i="12" s="1"/>
  <c r="F48" i="12" s="1"/>
  <c r="F50" i="11"/>
  <c r="F54" i="11"/>
  <c r="F39" i="11"/>
  <c r="C45" i="11"/>
  <c r="F45" i="11" s="1"/>
  <c r="D85" i="11"/>
  <c r="A51" i="11"/>
  <c r="C51" i="11" s="1"/>
  <c r="F51" i="11" s="1"/>
  <c r="A53" i="11"/>
  <c r="C53" i="11" s="1"/>
  <c r="F53" i="11" s="1"/>
  <c r="D87" i="11"/>
  <c r="A48" i="11"/>
  <c r="C48" i="11" s="1"/>
  <c r="F48" i="11" s="1"/>
  <c r="A52" i="11"/>
  <c r="C52" i="11" s="1"/>
  <c r="F52" i="11" s="1"/>
  <c r="E77" i="11" l="1"/>
  <c r="F57" i="11"/>
  <c r="C73" i="11" s="1"/>
  <c r="F60" i="11"/>
  <c r="F58" i="11"/>
  <c r="F59" i="11" l="1"/>
  <c r="H59" i="11" s="1"/>
  <c r="H57" i="11"/>
  <c r="F2" i="11" s="1"/>
  <c r="F68" i="11"/>
  <c r="E73" i="11"/>
  <c r="E17" i="12" s="1"/>
  <c r="F17" i="12" s="1"/>
  <c r="F53" i="12" s="1"/>
  <c r="C85" i="11"/>
  <c r="E85" i="11" s="1"/>
  <c r="H60" i="11"/>
  <c r="C78" i="11"/>
  <c r="C80" i="11"/>
  <c r="E80" i="11" s="1"/>
  <c r="E35" i="12" s="1"/>
  <c r="F35" i="12" s="1"/>
  <c r="F54" i="12" s="1"/>
  <c r="H58" i="11"/>
  <c r="G2" i="11" s="1"/>
  <c r="C69" i="12" l="1"/>
  <c r="F55" i="12"/>
  <c r="H53" i="12"/>
  <c r="F2" i="12" s="1"/>
  <c r="F64" i="12"/>
  <c r="H54" i="12"/>
  <c r="G2" i="12" s="1"/>
  <c r="C76" i="12"/>
  <c r="E76" i="12" s="1"/>
  <c r="F67" i="11"/>
  <c r="C75" i="11" s="1"/>
  <c r="O58" i="11"/>
  <c r="O60" i="11" s="1"/>
  <c r="O59" i="11"/>
  <c r="H2" i="11"/>
  <c r="H62" i="11"/>
  <c r="H63" i="11" s="1"/>
  <c r="O62" i="11" s="1"/>
  <c r="C90" i="11"/>
  <c r="E90" i="11" s="1"/>
  <c r="E78" i="11"/>
  <c r="E82" i="11" l="1"/>
  <c r="E44" i="12"/>
  <c r="F44" i="12" s="1"/>
  <c r="F56" i="12" s="1"/>
  <c r="H55" i="12"/>
  <c r="O54" i="12"/>
  <c r="F63" i="12"/>
  <c r="C81" i="12"/>
  <c r="E81" i="12" s="1"/>
  <c r="E69" i="12"/>
  <c r="O61" i="11"/>
  <c r="O63" i="11" s="1"/>
  <c r="F70" i="11"/>
  <c r="G31" i="11" s="1"/>
  <c r="E67" i="11"/>
  <c r="C87" i="11"/>
  <c r="E87" i="11" s="1"/>
  <c r="E75" i="11"/>
  <c r="C71" i="12" l="1"/>
  <c r="E63" i="12"/>
  <c r="F66" i="12"/>
  <c r="O56" i="12"/>
  <c r="H56" i="12"/>
  <c r="C74" i="12"/>
  <c r="G15" i="11"/>
  <c r="G45" i="11"/>
  <c r="G68" i="11"/>
  <c r="G40" i="11"/>
  <c r="G34" i="11"/>
  <c r="G28" i="11"/>
  <c r="G48" i="11"/>
  <c r="G22" i="11"/>
  <c r="O64" i="11"/>
  <c r="O65" i="11" s="1"/>
  <c r="O66" i="11" s="1"/>
  <c r="G12" i="11"/>
  <c r="G59" i="11"/>
  <c r="G44" i="11"/>
  <c r="G53" i="11"/>
  <c r="G33" i="11"/>
  <c r="G57" i="11"/>
  <c r="G24" i="11"/>
  <c r="G9" i="11"/>
  <c r="G51" i="11"/>
  <c r="G35" i="11"/>
  <c r="G23" i="11"/>
  <c r="G70" i="11"/>
  <c r="G41" i="11"/>
  <c r="G8" i="11"/>
  <c r="G52" i="11"/>
  <c r="G16" i="11"/>
  <c r="G39" i="11"/>
  <c r="G55" i="11"/>
  <c r="G50" i="11"/>
  <c r="G27" i="11"/>
  <c r="G18" i="11"/>
  <c r="G14" i="11"/>
  <c r="G36" i="11"/>
  <c r="G10" i="11"/>
  <c r="G26" i="11"/>
  <c r="G54" i="11"/>
  <c r="G42" i="11"/>
  <c r="G17" i="11"/>
  <c r="G13" i="11"/>
  <c r="G21" i="11"/>
  <c r="G11" i="11"/>
  <c r="G58" i="11"/>
  <c r="G43" i="11"/>
  <c r="G25" i="11"/>
  <c r="G49" i="11"/>
  <c r="G67" i="11"/>
  <c r="G60" i="11"/>
  <c r="G69" i="11"/>
  <c r="G32" i="11"/>
  <c r="C86" i="12" l="1"/>
  <c r="E86" i="12" s="1"/>
  <c r="E74" i="12"/>
  <c r="E78" i="12" s="1"/>
  <c r="H59" i="12"/>
  <c r="O58" i="12" s="1"/>
  <c r="O55" i="12"/>
  <c r="O57" i="12" s="1"/>
  <c r="O59" i="12" s="1"/>
  <c r="O60" i="12" s="1"/>
  <c r="O61" i="12" s="1"/>
  <c r="O62" i="12" s="1"/>
  <c r="H2" i="12"/>
  <c r="G37" i="12"/>
  <c r="G22" i="12"/>
  <c r="G39" i="12"/>
  <c r="G41" i="12"/>
  <c r="G54" i="12"/>
  <c r="G32" i="12"/>
  <c r="G66" i="12"/>
  <c r="G19" i="12"/>
  <c r="G11" i="12"/>
  <c r="G45" i="12"/>
  <c r="G18" i="12"/>
  <c r="G13" i="12"/>
  <c r="G53" i="12"/>
  <c r="G29" i="12"/>
  <c r="G9" i="12"/>
  <c r="G30" i="12"/>
  <c r="G28" i="12"/>
  <c r="G8" i="12"/>
  <c r="G40" i="12"/>
  <c r="G23" i="12"/>
  <c r="G55" i="12"/>
  <c r="G35" i="12"/>
  <c r="G64" i="12"/>
  <c r="G65" i="12"/>
  <c r="G12" i="12"/>
  <c r="G44" i="12"/>
  <c r="G63" i="12"/>
  <c r="G51" i="12"/>
  <c r="G48" i="12"/>
  <c r="G10" i="12"/>
  <c r="G17" i="12"/>
  <c r="G31" i="12"/>
  <c r="G14" i="12"/>
  <c r="G46" i="12"/>
  <c r="G20" i="12"/>
  <c r="G56" i="12"/>
  <c r="G27" i="12"/>
  <c r="G47" i="12"/>
  <c r="G24" i="12"/>
  <c r="G49" i="12"/>
  <c r="G21" i="12"/>
  <c r="G50" i="12"/>
  <c r="G36" i="12"/>
  <c r="G38" i="12"/>
  <c r="E71" i="12"/>
  <c r="C83" i="12"/>
  <c r="E83" i="12" s="1"/>
  <c r="E2" i="11"/>
  <c r="P66" i="11"/>
  <c r="P62" i="12" l="1"/>
  <c r="E2" i="12"/>
</calcChain>
</file>

<file path=xl/sharedStrings.xml><?xml version="1.0" encoding="utf-8"?>
<sst xmlns="http://schemas.openxmlformats.org/spreadsheetml/2006/main" count="294" uniqueCount="137">
  <si>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</si>
  <si>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</si>
  <si>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</si>
  <si>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</si>
  <si>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</si>
  <si>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</si>
  <si>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</si>
  <si>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</si>
  <si>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</si>
  <si>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</si>
  <si>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</si>
  <si>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</si>
  <si>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</si>
  <si>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</si>
  <si>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</si>
  <si>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</si>
  <si>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</si>
  <si>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</si>
  <si>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</si>
  <si>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</si>
  <si>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</si>
  <si>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</si>
  <si>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</si>
  <si>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</si>
  <si>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</si>
  <si>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</si>
  <si>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</si>
  <si>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ud</t>
  </si>
  <si>
    <t xml:space="preserve">AREA QUE EMPACA: </t>
  </si>
  <si>
    <t>AREA QUE PRODUCE:</t>
  </si>
  <si>
    <t>FAS</t>
  </si>
  <si>
    <t>Unidad</t>
  </si>
  <si>
    <t>Esteban Cartin, Gte Manufactura</t>
  </si>
  <si>
    <t>MP10002</t>
  </si>
  <si>
    <t>Aceite Capullo Rbd</t>
  </si>
  <si>
    <t>ETIPLAST</t>
  </si>
  <si>
    <t>MP10014</t>
  </si>
  <si>
    <t>Pimienta Blanca  Molida</t>
  </si>
  <si>
    <t>MP10019</t>
  </si>
  <si>
    <t>Pasta Ajo</t>
  </si>
  <si>
    <t>MP10020</t>
  </si>
  <si>
    <t>Cebolla Picada</t>
  </si>
  <si>
    <t>MP10024</t>
  </si>
  <si>
    <t>Leche Evaporada</t>
  </si>
  <si>
    <t>MP10025</t>
  </si>
  <si>
    <t>Preservante 1017S</t>
  </si>
  <si>
    <t>EM10124</t>
  </si>
  <si>
    <t>Etiqueta Blanca R-153</t>
  </si>
  <si>
    <t>MP10597</t>
  </si>
  <si>
    <t>Floretes de Brocoli Loc</t>
  </si>
  <si>
    <t>SALSA QUESO CHEDDAR BLANDO</t>
  </si>
  <si>
    <t>SE00104</t>
  </si>
  <si>
    <t>Sal Empacada Planta</t>
  </si>
  <si>
    <t>Javier Tong, Chef</t>
  </si>
  <si>
    <t>Cocina</t>
  </si>
  <si>
    <t>Empaque</t>
  </si>
  <si>
    <t># Código Netsuite</t>
  </si>
  <si>
    <t>Ensamble</t>
  </si>
  <si>
    <t>Decoración</t>
  </si>
  <si>
    <t>EM10044</t>
  </si>
  <si>
    <t>BOLSA PLASTICA  6X10x4 (UND)</t>
  </si>
  <si>
    <t>0702012</t>
  </si>
  <si>
    <t>EM10005</t>
  </si>
  <si>
    <t>ETIQ.FECHA VENCIMIENTO</t>
  </si>
  <si>
    <t>1</t>
  </si>
  <si>
    <t>EM10120</t>
  </si>
  <si>
    <t>ETIQUETA BLANCA</t>
  </si>
  <si>
    <t>CEMUSA</t>
  </si>
  <si>
    <t>seg</t>
  </si>
  <si>
    <t>Unids</t>
  </si>
  <si>
    <t>2,- Etiquetar</t>
  </si>
  <si>
    <t>CONTROL DE CAMBIOS</t>
  </si>
  <si>
    <t>CREMA DE BROCOLI Y QUESO</t>
  </si>
  <si>
    <t>SE00733</t>
  </si>
  <si>
    <t>PTL00257 - 20100208 Empaque crema brocoli y queso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</si>
  <si>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</si>
  <si>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</si>
  <si>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</si>
  <si>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</si>
  <si>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</si>
  <si>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</si>
  <si>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</si>
  <si>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</si>
  <si>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</si>
  <si>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</si>
  <si>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</si>
  <si>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</si>
  <si>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</si>
  <si>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</si>
  <si>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</si>
  <si>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</si>
  <si>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</si>
  <si>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</si>
  <si>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</si>
  <si>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</si>
  <si>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</si>
  <si>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</si>
  <si>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</si>
  <si>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</si>
  <si>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</si>
  <si>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</si>
  <si>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</si>
  <si>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</si>
  <si>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</si>
  <si>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</si>
  <si>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</si>
  <si>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</si>
  <si>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</si>
  <si>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</si>
  <si>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</si>
  <si>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</si>
  <si>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</si>
  <si>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</si>
  <si>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</si>
  <si>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</si>
  <si>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</si>
  <si>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</si>
  <si>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</si>
  <si>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</si>
  <si>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</si>
  <si>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</si>
  <si>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</si>
  <si>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</si>
  <si>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</si>
  <si>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</si>
  <si>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</si>
  <si>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</si>
  <si>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</si>
  <si>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</si>
  <si>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>90100129</t>
  </si>
  <si>
    <t>Gramo</t>
  </si>
  <si>
    <t>1950904</t>
  </si>
  <si>
    <t>0702067</t>
  </si>
  <si>
    <t>Und</t>
  </si>
  <si>
    <t>01</t>
  </si>
  <si>
    <t>1.- Empacar 200g de crema en una bolsa plastica 6*10*4</t>
  </si>
  <si>
    <t>ESP-RE-EMPS-087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</si>
</sst>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_([$€]* #,##0.00_);_([$€]* \(#,##0.00\);_([$€]* &quot;-&quot;??_);_(@_)"/>
    <numFmt numFmtId="169" formatCode="_(* #,##0.000_);_(* \(#,##0.000\);_(* &quot;-&quot;??_);_(@_)"/>
    <numFmt numFmtId="170" formatCode="[$-409]d\-mmm\-yy;@"/>
    <numFmt numFmtId="171" formatCode="&quot;$&quot;#,##0_);[Red]\(&quot;$&quot;#,##0\)"/>
    <numFmt numFmtId="172" formatCode="_-* #,##0.0\ _€_-;\-* #,##0.0\ _€_-;_-* &quot;-&quot;??\ _€_-;_-@_-"/>
  </numFmts>
  <fonts count="4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167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0" fillId="0" borderId="0"/>
    <xf numFmtId="0" fontId="10" fillId="0" borderId="0"/>
    <xf numFmtId="0" fontId="2" fillId="0" borderId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41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89">
    <xf numFmtId="0" fontId="0" fillId="0" borderId="0" xfId="0"/>
    <xf numFmtId="0" fontId="5" fillId="2" borderId="3" xfId="10" applyFont="1" applyFill="1" applyBorder="1" applyAlignment="1">
      <alignment horizontal="right"/>
    </xf>
    <xf numFmtId="0" fontId="5" fillId="2" borderId="1" xfId="10" applyFont="1" applyFill="1" applyBorder="1" applyAlignment="1">
      <alignment horizontal="right"/>
    </xf>
    <xf numFmtId="49" fontId="4" fillId="2" borderId="4" xfId="10" applyNumberFormat="1" applyFont="1" applyFill="1" applyBorder="1" applyAlignment="1">
      <alignment horizontal="center"/>
    </xf>
    <xf numFmtId="0" fontId="4" fillId="2" borderId="20" xfId="10" applyFont="1" applyFill="1" applyBorder="1" applyAlignment="1">
      <alignment horizontal="right"/>
    </xf>
    <xf numFmtId="0" fontId="4" fillId="2" borderId="1" xfId="10" applyFont="1" applyFill="1" applyBorder="1" applyAlignment="1">
      <alignment horizontal="right"/>
    </xf>
    <xf numFmtId="14" fontId="12" fillId="2" borderId="0" xfId="10" applyNumberFormat="1" applyFont="1" applyFill="1" applyAlignment="1">
      <alignment horizontal="center" vertical="center" wrapText="1"/>
    </xf>
    <xf numFmtId="0" fontId="5" fillId="3" borderId="7" xfId="7" applyFont="1" applyFill="1" applyBorder="1" applyAlignment="1">
      <alignment horizontal="center" vertical="center" wrapText="1"/>
    </xf>
    <xf numFmtId="1" fontId="5" fillId="3" borderId="2" xfId="7" applyNumberFormat="1" applyFont="1" applyFill="1" applyBorder="1" applyAlignment="1">
      <alignment horizontal="center"/>
    </xf>
    <xf numFmtId="1" fontId="5" fillId="3" borderId="2" xfId="7" applyNumberFormat="1" applyFont="1" applyFill="1" applyBorder="1" applyAlignment="1">
      <alignment horizontal="center" wrapText="1"/>
    </xf>
    <xf numFmtId="0" fontId="5" fillId="3" borderId="16" xfId="7" applyFont="1" applyFill="1" applyBorder="1" applyAlignment="1">
      <alignment horizontal="center"/>
    </xf>
    <xf numFmtId="0" fontId="4" fillId="2" borderId="0" xfId="7" applyFont="1" applyFill="1"/>
    <xf numFmtId="0" fontId="6" fillId="0" borderId="0" xfId="7"/>
    <xf numFmtId="0" fontId="4" fillId="2" borderId="0" xfId="7" applyFont="1" applyFill="1" applyAlignment="1">
      <alignment horizontal="left" indent="1"/>
    </xf>
    <xf numFmtId="9" fontId="4" fillId="2" borderId="0" xfId="12" applyFont="1" applyFill="1"/>
    <xf numFmtId="0" fontId="7" fillId="5" borderId="0" xfId="0" applyFont="1" applyFill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15" fillId="0" borderId="1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7" fillId="0" borderId="0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0" fontId="20" fillId="0" borderId="0" xfId="0" applyNumberFormat="1" applyFont="1" applyAlignment="1">
      <alignment horizontal="center" vertical="center" wrapText="1"/>
    </xf>
    <xf numFmtId="0" fontId="15" fillId="8" borderId="46" xfId="0" applyFont="1" applyFill="1" applyBorder="1" applyAlignment="1">
      <alignment horizontal="center" vertical="center"/>
    </xf>
    <xf numFmtId="0" fontId="15" fillId="8" borderId="47" xfId="0" applyFont="1" applyFill="1" applyBorder="1" applyAlignment="1">
      <alignment horizontal="center" vertical="center"/>
    </xf>
    <xf numFmtId="0" fontId="15" fillId="8" borderId="47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16" applyNumberFormat="1" applyFont="1" applyFill="1" applyAlignment="1">
      <alignment horizontal="center" vertical="center"/>
    </xf>
    <xf numFmtId="4" fontId="15" fillId="0" borderId="0" xfId="16" applyNumberFormat="1" applyFont="1" applyFill="1" applyAlignment="1">
      <alignment horizontal="center" vertical="center"/>
    </xf>
    <xf numFmtId="10" fontId="15" fillId="0" borderId="0" xfId="1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6" fillId="0" borderId="0" xfId="17" applyNumberFormat="1" applyFont="1" applyFill="1" applyAlignment="1">
      <alignment vertical="center"/>
    </xf>
    <xf numFmtId="0" fontId="7" fillId="0" borderId="0" xfId="0" applyFont="1"/>
    <xf numFmtId="49" fontId="15" fillId="0" borderId="0" xfId="0" applyNumberFormat="1" applyFont="1" applyAlignment="1">
      <alignment horizontal="center"/>
    </xf>
    <xf numFmtId="171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7" fillId="0" borderId="0" xfId="2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2" applyNumberFormat="1" applyFont="1" applyFill="1" applyAlignment="1">
      <alignment vertical="center"/>
    </xf>
    <xf numFmtId="164" fontId="23" fillId="0" borderId="0" xfId="2" applyFont="1" applyFill="1" applyAlignment="1">
      <alignment horizontal="center" vertical="center"/>
    </xf>
    <xf numFmtId="10" fontId="16" fillId="8" borderId="49" xfId="17" applyNumberFormat="1" applyFont="1" applyFill="1" applyBorder="1" applyAlignment="1">
      <alignment vertical="center"/>
    </xf>
    <xf numFmtId="0" fontId="7" fillId="8" borderId="38" xfId="0" applyFont="1" applyFill="1" applyBorder="1" applyAlignment="1">
      <alignment vertical="center"/>
    </xf>
    <xf numFmtId="0" fontId="7" fillId="8" borderId="49" xfId="0" applyFont="1" applyFill="1" applyBorder="1" applyAlignment="1">
      <alignment vertical="center"/>
    </xf>
    <xf numFmtId="164" fontId="23" fillId="8" borderId="50" xfId="2" applyFont="1" applyFill="1" applyBorder="1" applyAlignment="1">
      <alignment horizontal="center" vertical="center"/>
    </xf>
    <xf numFmtId="164" fontId="25" fillId="0" borderId="0" xfId="2" applyFont="1" applyFill="1" applyBorder="1" applyAlignment="1">
      <alignment horizontal="right"/>
    </xf>
    <xf numFmtId="0" fontId="7" fillId="8" borderId="50" xfId="0" applyFont="1" applyFill="1" applyBorder="1" applyAlignment="1">
      <alignment vertical="center"/>
    </xf>
    <xf numFmtId="10" fontId="16" fillId="8" borderId="50" xfId="17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0" fontId="24" fillId="0" borderId="0" xfId="0" applyFont="1"/>
    <xf numFmtId="9" fontId="24" fillId="0" borderId="0" xfId="0" applyNumberFormat="1" applyFont="1"/>
    <xf numFmtId="9" fontId="26" fillId="0" borderId="0" xfId="17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2" applyNumberFormat="1" applyFont="1" applyFill="1" applyAlignment="1">
      <alignment vertical="center"/>
    </xf>
    <xf numFmtId="4" fontId="23" fillId="0" borderId="0" xfId="16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164" fontId="29" fillId="4" borderId="51" xfId="2" applyFont="1" applyFill="1" applyBorder="1" applyAlignment="1">
      <alignment horizontal="right"/>
    </xf>
    <xf numFmtId="164" fontId="29" fillId="0" borderId="0" xfId="2" applyFont="1" applyFill="1" applyBorder="1" applyAlignment="1">
      <alignment horizontal="right"/>
    </xf>
    <xf numFmtId="164" fontId="15" fillId="0" borderId="1" xfId="2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3" fillId="0" borderId="0" xfId="16" applyNumberFormat="1" applyFont="1" applyFill="1" applyAlignment="1">
      <alignment horizontal="center" vertical="center"/>
    </xf>
    <xf numFmtId="10" fontId="31" fillId="0" borderId="0" xfId="17" applyNumberFormat="1" applyFont="1" applyFill="1" applyAlignment="1">
      <alignment horizontal="right"/>
    </xf>
    <xf numFmtId="172" fontId="15" fillId="8" borderId="1" xfId="2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164" fontId="15" fillId="9" borderId="1" xfId="2" applyFont="1" applyFill="1" applyBorder="1" applyAlignment="1">
      <alignment vertical="center"/>
    </xf>
    <xf numFmtId="164" fontId="32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8" borderId="52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2" applyNumberFormat="1" applyFont="1" applyFill="1" applyBorder="1" applyAlignment="1">
      <alignment horizontal="center"/>
    </xf>
    <xf numFmtId="2" fontId="28" fillId="0" borderId="0" xfId="2" applyNumberFormat="1" applyFont="1" applyFill="1" applyBorder="1" applyAlignment="1">
      <alignment horizontal="center"/>
    </xf>
    <xf numFmtId="0" fontId="7" fillId="8" borderId="52" xfId="0" applyFont="1" applyFill="1" applyBorder="1" applyAlignment="1">
      <alignment vertical="center"/>
    </xf>
    <xf numFmtId="10" fontId="7" fillId="0" borderId="0" xfId="17" applyNumberFormat="1" applyFont="1" applyFill="1" applyAlignment="1">
      <alignment vertical="center"/>
    </xf>
    <xf numFmtId="4" fontId="7" fillId="0" borderId="0" xfId="2" applyNumberFormat="1" applyFont="1" applyFill="1" applyAlignment="1">
      <alignment vertical="center"/>
    </xf>
    <xf numFmtId="164" fontId="29" fillId="8" borderId="38" xfId="2" applyFont="1" applyFill="1" applyBorder="1" applyAlignment="1">
      <alignment horizontal="right"/>
    </xf>
    <xf numFmtId="0" fontId="15" fillId="8" borderId="39" xfId="0" applyFont="1" applyFill="1" applyBorder="1" applyAlignment="1">
      <alignment horizontal="right" vertical="center"/>
    </xf>
    <xf numFmtId="10" fontId="35" fillId="0" borderId="0" xfId="2" applyNumberFormat="1" applyFont="1" applyFill="1" applyAlignment="1">
      <alignment vertical="center"/>
    </xf>
    <xf numFmtId="10" fontId="16" fillId="0" borderId="0" xfId="17" applyNumberFormat="1" applyFont="1" applyFill="1" applyBorder="1" applyAlignment="1">
      <alignment vertical="center"/>
    </xf>
    <xf numFmtId="164" fontId="36" fillId="0" borderId="0" xfId="0" applyNumberFormat="1" applyFont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164" fontId="37" fillId="0" borderId="0" xfId="2" applyFont="1" applyFill="1" applyAlignment="1">
      <alignment vertical="center"/>
    </xf>
    <xf numFmtId="4" fontId="38" fillId="0" borderId="0" xfId="16" applyNumberFormat="1" applyFont="1" applyFill="1" applyAlignment="1">
      <alignment horizontal="center" vertical="center" wrapText="1"/>
    </xf>
    <xf numFmtId="9" fontId="7" fillId="0" borderId="0" xfId="2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2" applyNumberFormat="1" applyFont="1" applyFill="1" applyAlignment="1">
      <alignment vertical="center"/>
    </xf>
    <xf numFmtId="4" fontId="15" fillId="11" borderId="51" xfId="2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64" fontId="39" fillId="0" borderId="0" xfId="2" applyFont="1" applyFill="1" applyAlignment="1">
      <alignment vertical="center"/>
    </xf>
    <xf numFmtId="9" fontId="39" fillId="0" borderId="0" xfId="2" applyNumberFormat="1" applyFont="1" applyFill="1" applyAlignment="1">
      <alignment vertical="center"/>
    </xf>
    <xf numFmtId="4" fontId="15" fillId="0" borderId="0" xfId="2" applyNumberFormat="1" applyFont="1" applyFill="1" applyAlignment="1">
      <alignment horizontal="center" vertical="center"/>
    </xf>
    <xf numFmtId="10" fontId="32" fillId="0" borderId="0" xfId="17" applyNumberFormat="1" applyFont="1" applyFill="1" applyAlignment="1">
      <alignment vertical="center"/>
    </xf>
    <xf numFmtId="164" fontId="32" fillId="0" borderId="0" xfId="2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164" fontId="7" fillId="0" borderId="0" xfId="2" applyFont="1" applyFill="1" applyBorder="1"/>
    <xf numFmtId="10" fontId="32" fillId="0" borderId="0" xfId="1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164" fontId="7" fillId="0" borderId="0" xfId="2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4" fontId="15" fillId="0" borderId="0" xfId="0" applyNumberFormat="1" applyFont="1"/>
    <xf numFmtId="14" fontId="4" fillId="2" borderId="36" xfId="10" applyNumberFormat="1" applyFont="1" applyFill="1" applyBorder="1" applyAlignment="1">
      <alignment horizontal="center" vertical="center" wrapText="1"/>
    </xf>
    <xf numFmtId="14" fontId="4" fillId="2" borderId="37" xfId="10" applyNumberFormat="1" applyFont="1" applyFill="1" applyBorder="1" applyAlignment="1">
      <alignment horizontal="center" vertical="center" wrapText="1"/>
    </xf>
    <xf numFmtId="0" fontId="4" fillId="2" borderId="30" xfId="10" applyFont="1" applyFill="1" applyBorder="1" applyAlignment="1">
      <alignment horizontal="center"/>
    </xf>
    <xf numFmtId="0" fontId="4" fillId="2" borderId="31" xfId="10" applyFont="1" applyFill="1" applyBorder="1" applyAlignment="1">
      <alignment horizontal="center"/>
    </xf>
    <xf numFmtId="0" fontId="4" fillId="2" borderId="11" xfId="10" applyFont="1" applyFill="1" applyBorder="1" applyAlignment="1">
      <alignment horizontal="center"/>
    </xf>
    <xf numFmtId="0" fontId="4" fillId="2" borderId="0" xfId="10" applyFont="1" applyFill="1" applyAlignment="1">
      <alignment horizontal="center"/>
    </xf>
    <xf numFmtId="0" fontId="3" fillId="2" borderId="3" xfId="10" applyFont="1" applyFill="1" applyBorder="1" applyAlignment="1">
      <alignment horizontal="center"/>
    </xf>
    <xf numFmtId="0" fontId="3" fillId="2" borderId="29" xfId="10" applyFont="1" applyFill="1" applyBorder="1" applyAlignment="1">
      <alignment horizontal="center"/>
    </xf>
    <xf numFmtId="0" fontId="5" fillId="2" borderId="33" xfId="10" applyFont="1" applyFill="1" applyBorder="1" applyAlignment="1">
      <alignment horizontal="right" vertical="top" wrapText="1"/>
    </xf>
    <xf numFmtId="0" fontId="5" fillId="2" borderId="34" xfId="10" applyFont="1" applyFill="1" applyBorder="1" applyAlignment="1">
      <alignment horizontal="right" vertical="top" wrapText="1"/>
    </xf>
    <xf numFmtId="0" fontId="5" fillId="2" borderId="35" xfId="10" applyFont="1" applyFill="1" applyBorder="1" applyAlignment="1">
      <alignment horizontal="right" vertical="top" wrapText="1"/>
    </xf>
    <xf numFmtId="0" fontId="15" fillId="0" borderId="0" xfId="0" applyFont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0" fontId="33" fillId="0" borderId="11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8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4" fillId="0" borderId="30" xfId="0" applyFont="1" applyBorder="1" applyAlignment="1">
      <alignment horizontal="right"/>
    </xf>
    <xf numFmtId="0" fontId="24" fillId="0" borderId="31" xfId="0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40" fillId="0" borderId="40" xfId="0" applyFont="1" applyBorder="1" applyAlignment="1">
      <alignment horizontal="right" vertical="center"/>
    </xf>
    <xf numFmtId="0" fontId="40" fillId="0" borderId="38" xfId="0" applyFont="1" applyBorder="1" applyAlignment="1">
      <alignment horizontal="right" vertical="center"/>
    </xf>
    <xf numFmtId="0" fontId="40" fillId="0" borderId="39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3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9" fillId="8" borderId="40" xfId="0" applyFont="1" applyFill="1" applyBorder="1" applyAlignment="1">
      <alignment horizontal="right"/>
    </xf>
    <xf numFmtId="0" fontId="29" fillId="8" borderId="3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53" xfId="0" applyFont="1" applyBorder="1" applyAlignment="1">
      <alignment horizontal="right" vertical="center"/>
    </xf>
    <xf numFmtId="0" fontId="15" fillId="10" borderId="40" xfId="0" applyFont="1" applyFill="1" applyBorder="1" applyAlignment="1">
      <alignment horizontal="right" vertical="center"/>
    </xf>
    <xf numFmtId="0" fontId="15" fillId="10" borderId="38" xfId="0" applyFont="1" applyFill="1" applyBorder="1" applyAlignment="1">
      <alignment horizontal="right" vertical="center"/>
    </xf>
    <xf numFmtId="0" fontId="15" fillId="10" borderId="39" xfId="0" applyFont="1" applyFill="1" applyBorder="1" applyAlignment="1">
      <alignment horizontal="right" vertical="center"/>
    </xf>
    <xf numFmtId="4" fontId="38" fillId="0" borderId="0" xfId="16" applyNumberFormat="1" applyFont="1" applyFill="1" applyAlignment="1">
      <alignment horizontal="center" vertical="center" wrapText="1"/>
    </xf>
    <xf numFmtId="14" fontId="4" fillId="2" borderId="21" xfId="10" applyNumberFormat="1" applyFont="1" applyFill="1" applyBorder="1" applyAlignment="1">
      <alignment horizontal="center" vertical="center" wrapText="1"/>
    </xf>
    <xf numFmtId="0" fontId="4" fillId="2" borderId="28" xfId="10" applyFont="1" applyFill="1" applyBorder="1" applyAlignment="1">
      <alignment horizontal="left"/>
    </xf>
    <xf numFmtId="0" fontId="4" fillId="2" borderId="27" xfId="10" applyFont="1" applyFill="1" applyBorder="1" applyAlignment="1">
      <alignment horizontal="left"/>
    </xf>
    <xf numFmtId="0" fontId="4" fillId="2" borderId="26" xfId="10" applyFont="1" applyFill="1" applyBorder="1" applyAlignment="1">
      <alignment horizontal="left"/>
    </xf>
    <xf numFmtId="0" fontId="4" fillId="2" borderId="12" xfId="10" applyFont="1" applyFill="1" applyBorder="1" applyAlignment="1">
      <alignment horizontal="left"/>
    </xf>
    <xf numFmtId="0" fontId="4" fillId="2" borderId="13" xfId="10" applyFont="1" applyFill="1" applyBorder="1" applyAlignment="1">
      <alignment horizontal="left"/>
    </xf>
    <xf numFmtId="0" fontId="4" fillId="2" borderId="10" xfId="10" applyFont="1" applyFill="1" applyBorder="1" applyAlignment="1">
      <alignment horizontal="left"/>
    </xf>
    <xf numFmtId="0" fontId="4" fillId="2" borderId="41" xfId="10" applyFont="1" applyFill="1" applyBorder="1" applyAlignment="1">
      <alignment horizontal="center"/>
    </xf>
    <xf numFmtId="0" fontId="4" fillId="2" borderId="42" xfId="10" applyFont="1" applyFill="1" applyBorder="1" applyAlignment="1">
      <alignment horizontal="center"/>
    </xf>
    <xf numFmtId="0" fontId="11" fillId="2" borderId="0" xfId="10" applyFont="1" applyFill="1" applyAlignment="1">
      <alignment horizontal="right"/>
    </xf>
    <xf numFmtId="0" fontId="12" fillId="2" borderId="32" xfId="10" applyFont="1" applyFill="1" applyBorder="1" applyAlignment="1">
      <alignment horizontal="center"/>
    </xf>
    <xf numFmtId="0" fontId="11" fillId="2" borderId="0" xfId="10" applyFont="1" applyFill="1"/>
    <xf numFmtId="0" fontId="5" fillId="3" borderId="5" xfId="7" applyFont="1" applyFill="1" applyBorder="1" applyAlignment="1">
      <alignment horizontal="center" vertical="center"/>
    </xf>
    <xf numFmtId="0" fontId="5" fillId="3" borderId="14" xfId="7" applyFont="1" applyFill="1" applyBorder="1" applyAlignment="1">
      <alignment horizontal="center" vertical="center"/>
    </xf>
    <xf numFmtId="0" fontId="5" fillId="3" borderId="5" xfId="7" applyFont="1" applyFill="1" applyBorder="1" applyAlignment="1">
      <alignment horizontal="center" vertical="center" wrapText="1"/>
    </xf>
    <xf numFmtId="0" fontId="5" fillId="3" borderId="14" xfId="7" applyFont="1" applyFill="1" applyBorder="1" applyAlignment="1">
      <alignment horizontal="center" vertical="center" wrapText="1"/>
    </xf>
    <xf numFmtId="0" fontId="5" fillId="3" borderId="3" xfId="7" applyFont="1" applyFill="1" applyBorder="1" applyAlignment="1">
      <alignment horizontal="center" vertical="center"/>
    </xf>
    <xf numFmtId="0" fontId="5" fillId="3" borderId="2" xfId="7" applyFont="1" applyFill="1" applyBorder="1" applyAlignment="1">
      <alignment horizontal="center" vertical="center"/>
    </xf>
    <xf numFmtId="0" fontId="43" fillId="3" borderId="40" xfId="10" applyFont="1" applyFill="1" applyBorder="1" applyAlignment="1">
      <alignment horizontal="center" vertical="center" wrapText="1"/>
    </xf>
    <xf numFmtId="0" fontId="43" fillId="3" borderId="38" xfId="10" applyFont="1" applyFill="1" applyBorder="1" applyAlignment="1">
      <alignment horizontal="center" vertical="center" wrapText="1"/>
    </xf>
    <xf numFmtId="0" fontId="43" fillId="3" borderId="39" xfId="10" applyFont="1" applyFill="1" applyBorder="1" applyAlignment="1">
      <alignment horizontal="center" vertical="center" wrapText="1"/>
    </xf>
    <xf numFmtId="0" fontId="44" fillId="0" borderId="6" xfId="7" applyFont="1" applyBorder="1" applyAlignment="1">
      <alignment horizontal="center" vertical="center"/>
    </xf>
    <xf numFmtId="0" fontId="44" fillId="0" borderId="10" xfId="7" applyFont="1" applyBorder="1" applyAlignment="1">
      <alignment horizontal="center" vertical="center"/>
    </xf>
    <xf numFmtId="0" fontId="45" fillId="0" borderId="1" xfId="7" applyFont="1" applyBorder="1" applyAlignment="1">
      <alignment vertical="center"/>
    </xf>
    <xf numFmtId="0" fontId="44" fillId="0" borderId="1" xfId="7" applyFont="1" applyBorder="1" applyAlignment="1">
      <alignment horizontal="center" vertical="center"/>
    </xf>
    <xf numFmtId="1" fontId="44" fillId="0" borderId="1" xfId="7" applyNumberFormat="1" applyFont="1" applyBorder="1" applyAlignment="1">
      <alignment horizontal="center"/>
    </xf>
    <xf numFmtId="1" fontId="44" fillId="0" borderId="1" xfId="7" applyNumberFormat="1" applyFont="1" applyBorder="1" applyAlignment="1">
      <alignment horizontal="center" wrapText="1"/>
    </xf>
    <xf numFmtId="0" fontId="46" fillId="0" borderId="4" xfId="7" applyFont="1" applyBorder="1" applyAlignment="1">
      <alignment horizontal="center"/>
    </xf>
    <xf numFmtId="49" fontId="46" fillId="0" borderId="6" xfId="0" applyNumberFormat="1" applyFont="1" applyBorder="1" applyAlignment="1">
      <alignment horizontal="center" wrapText="1"/>
    </xf>
    <xf numFmtId="49" fontId="46" fillId="0" borderId="10" xfId="0" applyNumberFormat="1" applyFont="1" applyBorder="1" applyAlignment="1">
      <alignment horizontal="center" wrapText="1"/>
    </xf>
    <xf numFmtId="0" fontId="47" fillId="0" borderId="1" xfId="0" applyFont="1" applyBorder="1" applyAlignment="1">
      <alignment vertical="center"/>
    </xf>
    <xf numFmtId="16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 wrapText="1"/>
    </xf>
    <xf numFmtId="1" fontId="46" fillId="0" borderId="20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/>
    </xf>
    <xf numFmtId="2" fontId="44" fillId="0" borderId="1" xfId="7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0" borderId="1" xfId="0" applyFont="1" applyBorder="1"/>
    <xf numFmtId="0" fontId="46" fillId="0" borderId="1" xfId="7" applyFont="1" applyBorder="1" applyAlignment="1">
      <alignment horizontal="center"/>
    </xf>
    <xf numFmtId="2" fontId="44" fillId="0" borderId="1" xfId="7" applyNumberFormat="1" applyFont="1" applyBorder="1" applyAlignment="1">
      <alignment horizontal="center" wrapText="1"/>
    </xf>
    <xf numFmtId="0" fontId="46" fillId="0" borderId="1" xfId="0" applyFont="1" applyBorder="1" applyAlignment="1">
      <alignment horizontal="left"/>
    </xf>
    <xf numFmtId="0" fontId="46" fillId="5" borderId="1" xfId="0" applyFont="1" applyFill="1" applyBorder="1"/>
    <xf numFmtId="1" fontId="46" fillId="0" borderId="1" xfId="7" applyNumberFormat="1" applyFont="1" applyBorder="1" applyAlignment="1">
      <alignment horizontal="center"/>
    </xf>
    <xf numFmtId="1" fontId="46" fillId="0" borderId="1" xfId="7" applyNumberFormat="1" applyFont="1" applyBorder="1" applyAlignment="1">
      <alignment horizontal="center" wrapText="1"/>
    </xf>
    <xf numFmtId="49" fontId="46" fillId="0" borderId="6" xfId="7" applyNumberFormat="1" applyFont="1" applyBorder="1" applyAlignment="1">
      <alignment horizontal="center"/>
    </xf>
    <xf numFmtId="49" fontId="46" fillId="0" borderId="10" xfId="7" applyNumberFormat="1" applyFont="1" applyBorder="1" applyAlignment="1">
      <alignment horizontal="center"/>
    </xf>
    <xf numFmtId="0" fontId="44" fillId="5" borderId="1" xfId="7" applyFont="1" applyFill="1" applyBorder="1" applyAlignment="1">
      <alignment horizontal="left"/>
    </xf>
    <xf numFmtId="166" fontId="46" fillId="0" borderId="1" xfId="7" applyNumberFormat="1" applyFont="1" applyBorder="1" applyAlignment="1">
      <alignment horizontal="center"/>
    </xf>
    <xf numFmtId="0" fontId="46" fillId="0" borderId="6" xfId="15" applyFont="1" applyBorder="1" applyAlignment="1">
      <alignment horizontal="center"/>
    </xf>
    <xf numFmtId="0" fontId="46" fillId="5" borderId="1" xfId="15" applyFont="1" applyFill="1" applyBorder="1"/>
    <xf numFmtId="16" fontId="46" fillId="0" borderId="1" xfId="15" applyNumberFormat="1" applyFont="1" applyBorder="1" applyAlignment="1">
      <alignment horizontal="center"/>
    </xf>
    <xf numFmtId="0" fontId="46" fillId="0" borderId="1" xfId="15" applyFont="1" applyBorder="1" applyAlignment="1">
      <alignment horizontal="center"/>
    </xf>
    <xf numFmtId="1" fontId="46" fillId="0" borderId="1" xfId="15" applyNumberFormat="1" applyFont="1" applyBorder="1" applyAlignment="1">
      <alignment horizontal="center"/>
    </xf>
    <xf numFmtId="1" fontId="46" fillId="0" borderId="1" xfId="15" applyNumberFormat="1" applyFont="1" applyBorder="1" applyAlignment="1">
      <alignment horizontal="center" wrapText="1"/>
    </xf>
    <xf numFmtId="49" fontId="44" fillId="0" borderId="17" xfId="7" applyNumberFormat="1" applyFont="1" applyBorder="1" applyAlignment="1">
      <alignment horizontal="center"/>
    </xf>
    <xf numFmtId="49" fontId="44" fillId="0" borderId="13" xfId="7" applyNumberFormat="1" applyFont="1" applyBorder="1" applyAlignment="1">
      <alignment horizontal="center"/>
    </xf>
    <xf numFmtId="0" fontId="45" fillId="5" borderId="1" xfId="7" applyFont="1" applyFill="1" applyBorder="1" applyAlignment="1">
      <alignment vertical="center"/>
    </xf>
    <xf numFmtId="0" fontId="44" fillId="0" borderId="10" xfId="7" applyFont="1" applyBorder="1" applyAlignment="1">
      <alignment horizontal="center"/>
    </xf>
    <xf numFmtId="166" fontId="44" fillId="0" borderId="1" xfId="7" applyNumberFormat="1" applyFont="1" applyBorder="1" applyAlignment="1">
      <alignment horizontal="center"/>
    </xf>
    <xf numFmtId="0" fontId="46" fillId="0" borderId="0" xfId="0" applyFont="1"/>
    <xf numFmtId="49" fontId="46" fillId="0" borderId="1" xfId="0" applyNumberFormat="1" applyFont="1" applyBorder="1" applyAlignment="1">
      <alignment horizontal="center"/>
    </xf>
    <xf numFmtId="49" fontId="46" fillId="0" borderId="1" xfId="0" applyNumberFormat="1" applyFont="1" applyBorder="1"/>
    <xf numFmtId="169" fontId="44" fillId="5" borderId="1" xfId="2" applyNumberFormat="1" applyFont="1" applyFill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48" fillId="0" borderId="6" xfId="0" quotePrefix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66" fontId="46" fillId="0" borderId="1" xfId="0" applyNumberFormat="1" applyFont="1" applyBorder="1" applyAlignment="1">
      <alignment horizontal="center"/>
    </xf>
    <xf numFmtId="1" fontId="44" fillId="5" borderId="1" xfId="7" applyNumberFormat="1" applyFont="1" applyFill="1" applyBorder="1" applyAlignment="1">
      <alignment horizontal="center" wrapText="1"/>
    </xf>
    <xf numFmtId="0" fontId="48" fillId="0" borderId="10" xfId="0" quotePrefix="1" applyFont="1" applyBorder="1" applyAlignment="1">
      <alignment horizontal="center"/>
    </xf>
    <xf numFmtId="0" fontId="48" fillId="0" borderId="1" xfId="0" quotePrefix="1" applyFont="1" applyBorder="1"/>
    <xf numFmtId="0" fontId="44" fillId="5" borderId="1" xfId="0" applyFont="1" applyFill="1" applyBorder="1" applyAlignment="1">
      <alignment horizontal="center" vertical="center"/>
    </xf>
    <xf numFmtId="1" fontId="46" fillId="5" borderId="1" xfId="0" applyNumberFormat="1" applyFont="1" applyFill="1" applyBorder="1" applyAlignment="1">
      <alignment horizontal="center"/>
    </xf>
    <xf numFmtId="1" fontId="46" fillId="5" borderId="1" xfId="0" applyNumberFormat="1" applyFont="1" applyFill="1" applyBorder="1" applyAlignment="1">
      <alignment horizontal="center" wrapText="1"/>
    </xf>
    <xf numFmtId="49" fontId="46" fillId="5" borderId="6" xfId="7" applyNumberFormat="1" applyFont="1" applyFill="1" applyBorder="1" applyAlignment="1">
      <alignment horizontal="center"/>
    </xf>
    <xf numFmtId="49" fontId="46" fillId="5" borderId="10" xfId="7" applyNumberFormat="1" applyFont="1" applyFill="1" applyBorder="1" applyAlignment="1">
      <alignment horizontal="center"/>
    </xf>
    <xf numFmtId="49" fontId="46" fillId="5" borderId="1" xfId="7" applyNumberFormat="1" applyFont="1" applyFill="1" applyBorder="1"/>
    <xf numFmtId="12" fontId="46" fillId="0" borderId="1" xfId="7" applyNumberFormat="1" applyFont="1" applyBorder="1" applyAlignment="1">
      <alignment horizontal="center"/>
    </xf>
    <xf numFmtId="49" fontId="46" fillId="0" borderId="1" xfId="7" applyNumberFormat="1" applyFont="1" applyBorder="1"/>
    <xf numFmtId="49" fontId="47" fillId="2" borderId="11" xfId="7" applyNumberFormat="1" applyFont="1" applyFill="1" applyBorder="1" applyAlignment="1">
      <alignment horizontal="center" vertical="center"/>
    </xf>
    <xf numFmtId="49" fontId="47" fillId="2" borderId="0" xfId="7" applyNumberFormat="1" applyFont="1" applyFill="1" applyAlignment="1">
      <alignment horizontal="center" vertical="center"/>
    </xf>
    <xf numFmtId="0" fontId="46" fillId="2" borderId="0" xfId="7" applyFont="1" applyFill="1"/>
    <xf numFmtId="1" fontId="46" fillId="2" borderId="0" xfId="7" applyNumberFormat="1" applyFont="1" applyFill="1" applyAlignment="1">
      <alignment horizontal="center"/>
    </xf>
    <xf numFmtId="165" fontId="46" fillId="2" borderId="0" xfId="7" applyNumberFormat="1" applyFont="1" applyFill="1" applyAlignment="1">
      <alignment horizontal="center" wrapText="1"/>
    </xf>
    <xf numFmtId="0" fontId="46" fillId="2" borderId="8" xfId="7" applyFont="1" applyFill="1" applyBorder="1" applyAlignment="1">
      <alignment horizontal="center"/>
    </xf>
    <xf numFmtId="0" fontId="46" fillId="3" borderId="40" xfId="7" applyFont="1" applyFill="1" applyBorder="1" applyAlignment="1">
      <alignment horizontal="center"/>
    </xf>
    <xf numFmtId="0" fontId="46" fillId="3" borderId="38" xfId="7" applyFont="1" applyFill="1" applyBorder="1" applyAlignment="1">
      <alignment horizontal="center"/>
    </xf>
    <xf numFmtId="0" fontId="46" fillId="3" borderId="38" xfId="7" applyFont="1" applyFill="1" applyBorder="1"/>
    <xf numFmtId="0" fontId="44" fillId="3" borderId="38" xfId="7" applyFont="1" applyFill="1" applyBorder="1" applyAlignment="1">
      <alignment horizontal="center"/>
    </xf>
    <xf numFmtId="1" fontId="44" fillId="3" borderId="38" xfId="7" applyNumberFormat="1" applyFont="1" applyFill="1" applyBorder="1" applyAlignment="1">
      <alignment horizontal="center"/>
    </xf>
    <xf numFmtId="165" fontId="46" fillId="3" borderId="38" xfId="7" applyNumberFormat="1" applyFont="1" applyFill="1" applyBorder="1" applyAlignment="1">
      <alignment horizontal="center" wrapText="1"/>
    </xf>
    <xf numFmtId="0" fontId="46" fillId="3" borderId="39" xfId="7" applyFont="1" applyFill="1" applyBorder="1" applyAlignment="1">
      <alignment horizontal="center"/>
    </xf>
    <xf numFmtId="0" fontId="44" fillId="0" borderId="41" xfId="7" applyFont="1" applyBorder="1" applyAlignment="1">
      <alignment horizontal="right"/>
    </xf>
    <xf numFmtId="0" fontId="44" fillId="0" borderId="42" xfId="7" applyFont="1" applyBorder="1" applyAlignment="1">
      <alignment horizontal="right"/>
    </xf>
    <xf numFmtId="0" fontId="44" fillId="0" borderId="19" xfId="7" applyFont="1" applyBorder="1" applyAlignment="1">
      <alignment horizontal="right"/>
    </xf>
    <xf numFmtId="0" fontId="46" fillId="0" borderId="43" xfId="0" applyFont="1" applyBorder="1" applyAlignment="1">
      <alignment horizontal="center"/>
    </xf>
    <xf numFmtId="165" fontId="46" fillId="0" borderId="20" xfId="7" applyNumberFormat="1" applyFont="1" applyBorder="1" applyAlignment="1">
      <alignment horizontal="right"/>
    </xf>
    <xf numFmtId="0" fontId="46" fillId="2" borderId="43" xfId="7" applyFont="1" applyFill="1" applyBorder="1" applyAlignment="1">
      <alignment horizontal="center"/>
    </xf>
    <xf numFmtId="0" fontId="46" fillId="2" borderId="44" xfId="7" applyFont="1" applyFill="1" applyBorder="1" applyAlignment="1">
      <alignment horizontal="center"/>
    </xf>
    <xf numFmtId="0" fontId="44" fillId="0" borderId="17" xfId="7" applyFont="1" applyBorder="1" applyAlignment="1">
      <alignment horizontal="right"/>
    </xf>
    <xf numFmtId="0" fontId="44" fillId="0" borderId="13" xfId="7" applyFont="1" applyBorder="1" applyAlignment="1">
      <alignment horizontal="right"/>
    </xf>
    <xf numFmtId="0" fontId="44" fillId="0" borderId="10" xfId="7" applyFont="1" applyBorder="1" applyAlignment="1">
      <alignment horizontal="right"/>
    </xf>
    <xf numFmtId="0" fontId="46" fillId="0" borderId="1" xfId="7" applyFont="1" applyBorder="1" applyAlignment="1">
      <alignment horizontal="right"/>
    </xf>
    <xf numFmtId="165" fontId="46" fillId="0" borderId="12" xfId="7" applyNumberFormat="1" applyFont="1" applyBorder="1" applyAlignment="1">
      <alignment horizontal="center"/>
    </xf>
    <xf numFmtId="165" fontId="46" fillId="0" borderId="9" xfId="7" applyNumberFormat="1" applyFont="1" applyBorder="1" applyAlignment="1">
      <alignment horizontal="center"/>
    </xf>
    <xf numFmtId="165" fontId="46" fillId="0" borderId="12" xfId="7" applyNumberFormat="1" applyFont="1" applyBorder="1" applyAlignment="1">
      <alignment horizontal="right" wrapText="1"/>
    </xf>
    <xf numFmtId="165" fontId="46" fillId="0" borderId="10" xfId="7" applyNumberFormat="1" applyFont="1" applyBorder="1" applyAlignment="1">
      <alignment horizontal="right" wrapText="1"/>
    </xf>
    <xf numFmtId="0" fontId="44" fillId="0" borderId="14" xfId="7" applyFont="1" applyBorder="1" applyAlignment="1">
      <alignment horizontal="right"/>
    </xf>
    <xf numFmtId="0" fontId="44" fillId="0" borderId="15" xfId="7" applyFont="1" applyBorder="1" applyAlignment="1">
      <alignment horizontal="right"/>
    </xf>
    <xf numFmtId="0" fontId="44" fillId="0" borderId="2" xfId="7" applyFont="1" applyBorder="1" applyAlignment="1">
      <alignment horizontal="right"/>
    </xf>
    <xf numFmtId="1" fontId="46" fillId="0" borderId="2" xfId="0" applyNumberFormat="1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2" xfId="7" applyFont="1" applyBorder="1" applyAlignment="1">
      <alignment horizontal="right"/>
    </xf>
    <xf numFmtId="165" fontId="46" fillId="0" borderId="24" xfId="7" applyNumberFormat="1" applyFont="1" applyBorder="1" applyAlignment="1">
      <alignment horizontal="center"/>
    </xf>
    <xf numFmtId="165" fontId="46" fillId="0" borderId="25" xfId="7" applyNumberFormat="1" applyFont="1" applyBorder="1" applyAlignment="1">
      <alignment horizontal="center"/>
    </xf>
    <xf numFmtId="0" fontId="46" fillId="0" borderId="18" xfId="0" applyFont="1" applyBorder="1" applyAlignment="1">
      <alignment horizontal="left"/>
    </xf>
    <xf numFmtId="0" fontId="46" fillId="0" borderId="19" xfId="0" applyFont="1" applyBorder="1" applyAlignment="1">
      <alignment horizontal="left"/>
    </xf>
    <xf numFmtId="0" fontId="46" fillId="0" borderId="20" xfId="0" applyFont="1" applyBorder="1" applyAlignment="1">
      <alignment horizontal="left"/>
    </xf>
    <xf numFmtId="0" fontId="46" fillId="0" borderId="21" xfId="0" applyFont="1" applyBorder="1" applyAlignment="1">
      <alignment horizontal="left"/>
    </xf>
    <xf numFmtId="0" fontId="46" fillId="0" borderId="17" xfId="0" applyFont="1" applyBorder="1" applyAlignment="1">
      <alignment horizontal="left"/>
    </xf>
    <xf numFmtId="0" fontId="46" fillId="0" borderId="13" xfId="0" applyFont="1" applyBorder="1" applyAlignment="1">
      <alignment horizontal="left"/>
    </xf>
    <xf numFmtId="0" fontId="46" fillId="0" borderId="9" xfId="0" applyFont="1" applyBorder="1" applyAlignment="1">
      <alignment horizontal="left"/>
    </xf>
    <xf numFmtId="0" fontId="46" fillId="0" borderId="22" xfId="7" applyFont="1" applyBorder="1" applyAlignment="1">
      <alignment horizontal="left"/>
    </xf>
    <xf numFmtId="0" fontId="46" fillId="0" borderId="23" xfId="7" applyFont="1" applyBorder="1" applyAlignment="1">
      <alignment horizontal="left"/>
    </xf>
    <xf numFmtId="0" fontId="46" fillId="0" borderId="25" xfId="7" applyFont="1" applyBorder="1" applyAlignment="1">
      <alignment horizontal="left"/>
    </xf>
    <xf numFmtId="0" fontId="44" fillId="6" borderId="45" xfId="10" applyFont="1" applyFill="1" applyBorder="1" applyAlignment="1">
      <alignment horizontal="center"/>
    </xf>
    <xf numFmtId="0" fontId="44" fillId="6" borderId="31" xfId="10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13" fillId="2" borderId="7" xfId="10" applyFont="1" applyFill="1" applyBorder="1" applyAlignment="1">
      <alignment horizontal="center"/>
    </xf>
    <xf numFmtId="0" fontId="46" fillId="2" borderId="1" xfId="10" applyFont="1" applyFill="1" applyBorder="1" applyAlignment="1">
      <alignment horizontal="left"/>
    </xf>
    <xf numFmtId="0" fontId="44" fillId="3" borderId="40" xfId="7" applyFont="1" applyFill="1" applyBorder="1" applyAlignment="1">
      <alignment horizontal="center"/>
    </xf>
    <xf numFmtId="0" fontId="44" fillId="3" borderId="38" xfId="7" applyFont="1" applyFill="1" applyBorder="1" applyAlignment="1">
      <alignment horizontal="center"/>
    </xf>
    <xf numFmtId="0" fontId="44" fillId="3" borderId="39" xfId="7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</cellXfs>
  <cellStyles count="18">
    <cellStyle name="Euro" xfId="1" xr:uid="{183487A9-540F-4E89-8EE3-07673B52F20F}"/>
    <cellStyle name="Millares" xfId="2" builtinId="3"/>
    <cellStyle name="Millares [0]" xfId="16" builtinId="6"/>
    <cellStyle name="Millares [0] 2" xfId="3" xr:uid="{F8A05EEA-11BD-45B5-9376-FC436A9D0E0C}"/>
    <cellStyle name="Millares [0] 3" xfId="4" xr:uid="{327CA9AB-61E5-4D05-930C-E474DEF4F2B0}"/>
    <cellStyle name="Millares 2" xfId="5" xr:uid="{04A24622-3BCD-454D-B2C9-A03077A8498E}"/>
    <cellStyle name="Millares 3" xfId="6" xr:uid="{95734CE1-2D36-499C-A573-370EB7DD939F}"/>
    <cellStyle name="Normal" xfId="0" builtinId="0"/>
    <cellStyle name="Normal 2" xfId="7" xr:uid="{1C263D49-00AC-4F79-BE52-1839021BDBA1}"/>
    <cellStyle name="Normal 3" xfId="8" xr:uid="{3B90AC79-42C4-43E4-8B11-47DB5AF85642}"/>
    <cellStyle name="Normal 3 2" xfId="15" xr:uid="{BA25DC1F-9381-4948-AAD9-67FD24C14673}"/>
    <cellStyle name="Normal 4" xfId="9" xr:uid="{393A326E-45D0-457D-9ECC-7CC00F1E2423}"/>
    <cellStyle name="Normal_CRITERIOS DE EVALUACION PT DE GB 2" xfId="10" xr:uid="{8259511F-F7C6-456C-ABDB-63A16566B267}"/>
    <cellStyle name="Porcentaje" xfId="17" builtinId="5"/>
    <cellStyle name="Porcentaje 2" xfId="11" xr:uid="{477FCF00-A679-40C9-9834-DF86E46D5F71}"/>
    <cellStyle name="Porcentaje 2 2" xfId="12" xr:uid="{AD511A68-4D45-452E-82CF-B57B840EC86F}"/>
    <cellStyle name="Porcentaje 3" xfId="13" xr:uid="{AEB59884-83E0-4335-9312-1358C9432310}"/>
    <cellStyle name="Porcentaje 4" xfId="14" xr:uid="{AD4BA0DA-4F39-46F2-9857-D204396A64C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23</xdr:col>
      <xdr:colOff>305408</xdr:colOff>
      <xdr:row>8</xdr:row>
      <xdr:rowOff>106734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4B14CE-6743-FD07-57A6-60517F6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1714500"/>
          <a:ext cx="7011008" cy="6248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78581</xdr:colOff>
      <xdr:row>0</xdr:row>
      <xdr:rowOff>152401</xdr:rowOff>
    </xdr:from>
    <xdr:to>
      <xdr:col>1</xdr:col>
      <xdr:colOff>930743</xdr:colOff>
      <xdr:row>4</xdr:row>
      <xdr:rowOff>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8E82AE6-D574-4632-8319-198974DC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" y="152401"/>
          <a:ext cx="1614162" cy="788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5CA2-DD21-4E6C-AA03-8A96608D997D}">
  <dimension ref="A1:R95"/>
  <sheetViews>
    <sheetView topLeftCell="A2" workbookViewId="0">
      <selection activeCell="R12" sqref="R12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11" style="20" customWidth="1"/>
    <col min="6" max="6" width="9.5703125" style="20" bestFit="1" customWidth="1"/>
    <col min="7" max="7" width="10.85546875" style="102" customWidth="1"/>
    <col min="8" max="8" width="10.42578125" style="93" bestFit="1" customWidth="1"/>
    <col min="9" max="9" width="4.5703125" style="93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8" ht="27.75" customHeight="1" x14ac:dyDescent="0.2">
      <c r="A1" s="15"/>
      <c r="B1" s="15"/>
      <c r="C1" s="15"/>
      <c r="D1" s="15"/>
      <c r="E1" s="16" t="s">
        <v>75</v>
      </c>
      <c r="F1" s="17" t="s">
        <v>76</v>
      </c>
      <c r="G1" s="17" t="s">
        <v>77</v>
      </c>
      <c r="H1" s="17" t="s">
        <v>78</v>
      </c>
      <c r="I1" s="18"/>
    </row>
    <row r="2" spans="1:18" ht="30.75" customHeight="1" x14ac:dyDescent="0.2">
      <c r="A2" s="15"/>
      <c r="B2" s="15"/>
      <c r="C2" s="15"/>
      <c r="D2" s="15"/>
      <c r="E2" s="21">
        <f>IFERROR(O66,"")</f>
        <v>21349.414968103898</v>
      </c>
      <c r="F2" s="21">
        <f>IFERROR(H57,"")</f>
        <v>18932.460000000003</v>
      </c>
      <c r="G2" s="21">
        <f>IFERROR(H58,"")</f>
        <v>1.9939291428571428</v>
      </c>
      <c r="H2" s="21">
        <f>IFERROR(H60,"")</f>
        <v>1162.2</v>
      </c>
      <c r="I2" s="22"/>
    </row>
    <row r="3" spans="1:18" ht="15" customHeight="1" x14ac:dyDescent="0.2">
      <c r="A3" s="15"/>
      <c r="B3" s="15"/>
      <c r="C3" s="15"/>
      <c r="D3" s="15"/>
      <c r="E3" s="15"/>
      <c r="F3" s="23"/>
      <c r="G3" s="23"/>
      <c r="H3" s="23"/>
      <c r="I3" s="23"/>
    </row>
    <row r="4" spans="1:18" ht="24.75" customHeight="1" thickBot="1" x14ac:dyDescent="0.25">
      <c r="A4" s="124"/>
      <c r="B4" s="124"/>
      <c r="C4" s="124"/>
      <c r="D4" s="124"/>
      <c r="E4" s="124"/>
      <c r="F4" s="124"/>
      <c r="G4" s="124"/>
      <c r="H4" s="124"/>
      <c r="I4" s="24"/>
    </row>
    <row r="5" spans="1:18" ht="19.5" customHeight="1" thickBot="1" x14ac:dyDescent="0.25">
      <c r="A5" s="125" t="s">
        <v>79</v>
      </c>
      <c r="B5" s="126"/>
      <c r="C5" s="126"/>
      <c r="D5" s="126"/>
      <c r="E5" s="126"/>
      <c r="F5" s="126"/>
      <c r="G5" s="126"/>
      <c r="H5" s="127"/>
      <c r="I5" s="25"/>
    </row>
    <row r="6" spans="1:18" ht="19.5" thickBot="1" x14ac:dyDescent="0.25">
      <c r="A6" s="25"/>
      <c r="B6" s="25"/>
      <c r="C6" s="25"/>
      <c r="D6" s="25"/>
      <c r="E6" s="25"/>
      <c r="F6" s="128" t="s">
        <v>80</v>
      </c>
      <c r="G6" s="128"/>
      <c r="H6" s="26">
        <f ca="1">TODAY()</f>
        <v>45860</v>
      </c>
      <c r="I6" s="26"/>
    </row>
    <row r="7" spans="1:18" ht="26.25" thickBot="1" x14ac:dyDescent="0.25">
      <c r="A7" s="27" t="s">
        <v>81</v>
      </c>
      <c r="B7" s="28" t="s">
        <v>82</v>
      </c>
      <c r="C7" s="28" t="s">
        <v>81</v>
      </c>
      <c r="D7" s="29" t="s">
        <v>83</v>
      </c>
      <c r="E7" s="29" t="s">
        <v>84</v>
      </c>
      <c r="F7" s="29" t="s">
        <v>85</v>
      </c>
      <c r="G7" s="29" t="s">
        <v>86</v>
      </c>
      <c r="H7" s="30" t="s">
        <v>87</v>
      </c>
      <c r="I7" s="31"/>
    </row>
    <row r="8" spans="1:18" ht="13.5" x14ac:dyDescent="0.25">
      <c r="A8" s="32">
        <v>50</v>
      </c>
      <c r="B8" s="20" t="s">
        <v>39</v>
      </c>
      <c r="C8" s="33">
        <f>+A8</f>
        <v>50</v>
      </c>
      <c r="D8" s="34" t="s">
        <v>127</v>
      </c>
      <c r="E8" s="34">
        <v>4.9000000000000004</v>
      </c>
      <c r="F8" s="34">
        <f>IFERROR(C8*E8,"")</f>
        <v>245.00000000000003</v>
      </c>
      <c r="G8" s="35">
        <f>IFERROR(F8/$F$70,"")</f>
        <v>1.1969843930049608E-2</v>
      </c>
      <c r="H8" s="36" t="s">
        <v>38</v>
      </c>
      <c r="I8" s="36"/>
      <c r="J8" s="37"/>
    </row>
    <row r="9" spans="1:18" ht="13.5" x14ac:dyDescent="0.25">
      <c r="A9" s="32">
        <v>500</v>
      </c>
      <c r="B9" s="20" t="s">
        <v>41</v>
      </c>
      <c r="C9" s="33">
        <f t="shared" ref="C9:C18" si="0">+A9</f>
        <v>500</v>
      </c>
      <c r="D9" s="34" t="s">
        <v>127</v>
      </c>
      <c r="E9" s="34">
        <v>1.84</v>
      </c>
      <c r="F9" s="34">
        <f t="shared" ref="F9:F18" si="1">IFERROR(C9*E9,"")</f>
        <v>920</v>
      </c>
      <c r="G9" s="35">
        <f>IFERROR(F9/$F$70,"")</f>
        <v>4.4947985369982194E-2</v>
      </c>
      <c r="H9" s="36" t="s">
        <v>40</v>
      </c>
      <c r="I9" s="36"/>
      <c r="J9" s="37"/>
    </row>
    <row r="10" spans="1:18" ht="13.5" x14ac:dyDescent="0.25">
      <c r="A10" s="32">
        <v>100</v>
      </c>
      <c r="B10" s="20" t="s">
        <v>34</v>
      </c>
      <c r="C10" s="33">
        <f t="shared" si="0"/>
        <v>100</v>
      </c>
      <c r="D10" s="34" t="s">
        <v>127</v>
      </c>
      <c r="E10" s="34">
        <v>0.89</v>
      </c>
      <c r="F10" s="34">
        <f t="shared" si="1"/>
        <v>89</v>
      </c>
      <c r="G10" s="35">
        <f>IFERROR(F10/$F$70,"")</f>
        <v>4.3482290194874077E-3</v>
      </c>
      <c r="H10" s="36" t="s">
        <v>33</v>
      </c>
      <c r="I10" s="36"/>
      <c r="J10" s="37"/>
    </row>
    <row r="11" spans="1:18" ht="13.5" x14ac:dyDescent="0.25">
      <c r="A11" s="32">
        <v>3900</v>
      </c>
      <c r="B11" s="20" t="s">
        <v>49</v>
      </c>
      <c r="C11" s="33">
        <f t="shared" ref="C11:C14" si="2">+A11</f>
        <v>3900</v>
      </c>
      <c r="D11" s="34" t="s">
        <v>127</v>
      </c>
      <c r="E11" s="34">
        <v>2.0499999999999998</v>
      </c>
      <c r="F11" s="34">
        <f t="shared" ref="F11:F14" si="3">IFERROR(C11*E11,"")</f>
        <v>7994.9999999999991</v>
      </c>
      <c r="G11" s="35">
        <f t="shared" ref="G11:G14" si="4">IFERROR(F11/$F$70,"")</f>
        <v>0.3906077641663126</v>
      </c>
      <c r="H11" s="36" t="s">
        <v>48</v>
      </c>
      <c r="I11" s="36"/>
      <c r="J11" s="37"/>
    </row>
    <row r="12" spans="1:18" ht="13.5" x14ac:dyDescent="0.25">
      <c r="A12" s="32">
        <v>2750</v>
      </c>
      <c r="B12" s="20" t="s">
        <v>43</v>
      </c>
      <c r="C12" s="33">
        <f t="shared" si="2"/>
        <v>2750</v>
      </c>
      <c r="D12" s="34" t="s">
        <v>127</v>
      </c>
      <c r="E12" s="34">
        <v>1.97</v>
      </c>
      <c r="F12" s="34">
        <f t="shared" si="3"/>
        <v>5417.5</v>
      </c>
      <c r="G12" s="35">
        <f t="shared" si="4"/>
        <v>0.2646801203716071</v>
      </c>
      <c r="H12" s="36" t="s">
        <v>42</v>
      </c>
      <c r="I12" s="36"/>
      <c r="J12" s="37"/>
      <c r="R12" s="20">
        <f>46946/18</f>
        <v>2608.1111111111113</v>
      </c>
    </row>
    <row r="13" spans="1:18" ht="13.5" x14ac:dyDescent="0.25">
      <c r="A13" s="32">
        <v>1450</v>
      </c>
      <c r="B13" s="20" t="s">
        <v>50</v>
      </c>
      <c r="C13" s="33">
        <f t="shared" si="2"/>
        <v>1450</v>
      </c>
      <c r="D13" s="34" t="s">
        <v>127</v>
      </c>
      <c r="E13" s="34">
        <v>2.6</v>
      </c>
      <c r="F13" s="34">
        <f t="shared" si="3"/>
        <v>3770</v>
      </c>
      <c r="G13" s="35">
        <f t="shared" si="4"/>
        <v>0.18418902700525314</v>
      </c>
      <c r="H13" s="36" t="s">
        <v>128</v>
      </c>
      <c r="I13" s="36"/>
      <c r="J13" s="37"/>
    </row>
    <row r="14" spans="1:18" ht="13.5" x14ac:dyDescent="0.25">
      <c r="A14" s="32">
        <v>13</v>
      </c>
      <c r="B14" s="20" t="s">
        <v>45</v>
      </c>
      <c r="C14" s="33">
        <f t="shared" si="2"/>
        <v>13</v>
      </c>
      <c r="D14" s="34" t="s">
        <v>127</v>
      </c>
      <c r="E14" s="34">
        <v>8.6199999999999992</v>
      </c>
      <c r="F14" s="34">
        <f t="shared" si="3"/>
        <v>112.05999999999999</v>
      </c>
      <c r="G14" s="35">
        <f t="shared" si="4"/>
        <v>5.4748600440871781E-3</v>
      </c>
      <c r="H14" s="36" t="s">
        <v>44</v>
      </c>
      <c r="I14" s="36"/>
      <c r="J14" s="37"/>
    </row>
    <row r="15" spans="1:18" ht="13.5" x14ac:dyDescent="0.25">
      <c r="A15" s="32">
        <v>10</v>
      </c>
      <c r="B15" s="20" t="s">
        <v>37</v>
      </c>
      <c r="C15" s="33">
        <f t="shared" si="0"/>
        <v>10</v>
      </c>
      <c r="D15" s="34" t="s">
        <v>127</v>
      </c>
      <c r="E15" s="34">
        <v>11.55</v>
      </c>
      <c r="F15" s="34">
        <f t="shared" si="1"/>
        <v>115.5</v>
      </c>
      <c r="G15" s="35">
        <f>IFERROR(F15/$F$70,"")</f>
        <v>5.6429264241662433E-3</v>
      </c>
      <c r="H15" s="36" t="s">
        <v>36</v>
      </c>
      <c r="I15" s="36"/>
      <c r="J15" s="37"/>
    </row>
    <row r="16" spans="1:18" ht="13.5" hidden="1" x14ac:dyDescent="0.25">
      <c r="A16" s="32"/>
      <c r="B16" s="20" t="str">
        <f>IFERROR(VLOOKUP(H16,'[1]Consolidado MP Planta'!$A$2:$M$823,3,0),"")</f>
        <v/>
      </c>
      <c r="C16" s="33">
        <f t="shared" si="0"/>
        <v>0</v>
      </c>
      <c r="D16" s="34" t="str">
        <f>IFERROR(VLOOKUP(H16,'[1]Consolidado MP Planta'!$A$2:$M$823,13,0),"")</f>
        <v/>
      </c>
      <c r="E16" s="34" t="str">
        <f>IFERROR(VLOOKUP(H16,'[1]Consolidado MP Planta'!$A$2:$M$823,12,0),"")</f>
        <v/>
      </c>
      <c r="F16" s="34" t="str">
        <f t="shared" si="1"/>
        <v/>
      </c>
      <c r="G16" s="35" t="str">
        <f>IFERROR(F16/$F$70,"")</f>
        <v/>
      </c>
      <c r="H16" s="36"/>
      <c r="I16" s="36"/>
      <c r="J16" s="37"/>
    </row>
    <row r="17" spans="1:12" ht="13.5" hidden="1" x14ac:dyDescent="0.25">
      <c r="A17" s="32"/>
      <c r="B17" s="20" t="str">
        <f>IFERROR(VLOOKUP(H17,'[1]Consolidado MP Planta'!$A$2:$M$823,3,0),"")</f>
        <v/>
      </c>
      <c r="C17" s="33">
        <f t="shared" si="0"/>
        <v>0</v>
      </c>
      <c r="D17" s="34" t="str">
        <f>IFERROR(VLOOKUP(H17,'[1]Consolidado MP Planta'!$A$2:$M$823,13,0),"")</f>
        <v/>
      </c>
      <c r="E17" s="34" t="str">
        <f>IFERROR(VLOOKUP(H17,'[1]Consolidado MP Planta'!$A$2:$M$823,12,0),"")</f>
        <v/>
      </c>
      <c r="F17" s="34" t="str">
        <f t="shared" si="1"/>
        <v/>
      </c>
      <c r="G17" s="35" t="str">
        <f>IFERROR(F17/$F$70,"")</f>
        <v/>
      </c>
      <c r="H17" s="36"/>
      <c r="I17" s="36"/>
      <c r="J17" s="37"/>
    </row>
    <row r="18" spans="1:12" ht="13.5" hidden="1" x14ac:dyDescent="0.25">
      <c r="A18" s="32"/>
      <c r="B18" s="20" t="str">
        <f>IFERROR(VLOOKUP(H18,'[1]Consolidado MP Planta'!$A$2:$M$823,3,0),"")</f>
        <v/>
      </c>
      <c r="C18" s="33">
        <f t="shared" si="0"/>
        <v>0</v>
      </c>
      <c r="D18" s="34" t="str">
        <f>IFERROR(VLOOKUP(H18,'[1]Consolidado MP Planta'!$A$2:$M$823,13,0),"")</f>
        <v/>
      </c>
      <c r="E18" s="34" t="str">
        <f>IFERROR(VLOOKUP(H18,'[1]Consolidado MP Planta'!$A$2:$M$823,12,0),"")</f>
        <v/>
      </c>
      <c r="F18" s="34" t="str">
        <f t="shared" si="1"/>
        <v/>
      </c>
      <c r="G18" s="35" t="str">
        <f>IFERROR(F18/$F$70,"")</f>
        <v/>
      </c>
      <c r="H18" s="36"/>
      <c r="I18" s="36"/>
      <c r="J18" s="37"/>
    </row>
    <row r="19" spans="1:12" ht="14.25" thickBot="1" x14ac:dyDescent="0.3">
      <c r="A19" s="32"/>
      <c r="B19" s="20" t="str">
        <f>IFERROR(VLOOKUP(H19,[2]Hoja2!$A$2:$G$589,2,0),"")</f>
        <v/>
      </c>
      <c r="C19" s="33"/>
      <c r="D19" s="34"/>
      <c r="E19" s="34"/>
      <c r="F19" s="34"/>
      <c r="G19" s="35"/>
      <c r="H19" s="36"/>
      <c r="I19" s="36"/>
      <c r="J19" s="37"/>
    </row>
    <row r="20" spans="1:12" ht="26.25" thickBot="1" x14ac:dyDescent="0.25">
      <c r="A20" s="27" t="s">
        <v>81</v>
      </c>
      <c r="B20" s="28" t="s">
        <v>88</v>
      </c>
      <c r="C20" s="28" t="s">
        <v>81</v>
      </c>
      <c r="D20" s="29" t="s">
        <v>83</v>
      </c>
      <c r="E20" s="29" t="s">
        <v>84</v>
      </c>
      <c r="F20" s="29" t="s">
        <v>85</v>
      </c>
      <c r="G20" s="29" t="s">
        <v>86</v>
      </c>
      <c r="H20" s="30" t="s">
        <v>87</v>
      </c>
      <c r="I20" s="31"/>
      <c r="J20" s="37"/>
    </row>
    <row r="21" spans="1:12" ht="13.5" x14ac:dyDescent="0.25">
      <c r="A21" s="32">
        <v>120</v>
      </c>
      <c r="B21" s="20" t="str">
        <f>IFERROR(VLOOKUP(H21,[1]SEMIELABORADOS!$A$2:$M$6000,2,0),"")</f>
        <v>EMPAQUE ALMIDON MODIFICADO KILO</v>
      </c>
      <c r="C21" s="33">
        <f>+A21</f>
        <v>120</v>
      </c>
      <c r="D21" s="33" t="str">
        <f>IFERROR(VLOOKUP(H21,[1]SEMIELABORADOS!$A$2:$M$6000,6,0),"")</f>
        <v>Gramo</v>
      </c>
      <c r="E21" s="34">
        <v>2.0499999999999998</v>
      </c>
      <c r="F21" s="34">
        <f>IFERROR(E21*C21,"")</f>
        <v>245.99999999999997</v>
      </c>
      <c r="G21" s="35">
        <f t="shared" ref="G21:G28" si="5">IFERROR(F21/$F$70,"")</f>
        <v>1.2018700435886542E-2</v>
      </c>
      <c r="H21" s="36" t="s">
        <v>129</v>
      </c>
      <c r="I21" s="36"/>
      <c r="J21" s="37"/>
    </row>
    <row r="22" spans="1:12" ht="13.5" x14ac:dyDescent="0.25">
      <c r="A22" s="32">
        <v>80</v>
      </c>
      <c r="B22" s="20" t="s">
        <v>52</v>
      </c>
      <c r="C22" s="33">
        <f t="shared" ref="C22:C28" si="6">+A22</f>
        <v>80</v>
      </c>
      <c r="D22" s="33" t="s">
        <v>130</v>
      </c>
      <c r="E22" s="34">
        <v>0.28000000000000003</v>
      </c>
      <c r="F22" s="34">
        <f t="shared" ref="F22:F28" si="7">IFERROR(E22*C22,"")</f>
        <v>22.400000000000002</v>
      </c>
      <c r="G22" s="35">
        <f t="shared" si="5"/>
        <v>1.0943857307473927E-3</v>
      </c>
      <c r="H22" s="36" t="s">
        <v>51</v>
      </c>
      <c r="I22" s="36"/>
      <c r="J22" s="37"/>
    </row>
    <row r="23" spans="1:12" ht="13.5" hidden="1" x14ac:dyDescent="0.25">
      <c r="A23" s="32"/>
      <c r="B23" s="20" t="str">
        <f>IFERROR(VLOOKUP(H23,[1]SEMIELABORADOS!$A$2:$M$6000,2,0),"")</f>
        <v/>
      </c>
      <c r="C23" s="33">
        <f>+A23</f>
        <v>0</v>
      </c>
      <c r="D23" s="33" t="str">
        <f>IFERROR(VLOOKUP(H23,[1]SEMIELABORADOS!$A$2:$M$6000,6,0),"")</f>
        <v/>
      </c>
      <c r="E23" s="34" t="str">
        <f>IFERROR(VLOOKUP(H23,[1]SEMIELABORADOS!$A$2:$H$65536,8,0),"")</f>
        <v/>
      </c>
      <c r="F23" s="34" t="str">
        <f>IFERROR(E23*C23,"")</f>
        <v/>
      </c>
      <c r="G23" s="35" t="str">
        <f t="shared" si="5"/>
        <v/>
      </c>
      <c r="H23" s="36"/>
      <c r="I23" s="36"/>
      <c r="J23" s="37"/>
    </row>
    <row r="24" spans="1:12" ht="13.5" hidden="1" x14ac:dyDescent="0.25">
      <c r="A24" s="32"/>
      <c r="B24" s="20" t="str">
        <f>IFERROR(VLOOKUP(H24,[1]SEMIELABORADOS!$A$2:$M$6000,2,0),"")</f>
        <v/>
      </c>
      <c r="C24" s="33">
        <f>+A24</f>
        <v>0</v>
      </c>
      <c r="D24" s="33" t="str">
        <f>IFERROR(VLOOKUP(H24,[1]SEMIELABORADOS!$A$2:$M$6000,6,0),"")</f>
        <v/>
      </c>
      <c r="E24" s="34" t="str">
        <f>IFERROR(VLOOKUP(H24,[1]SEMIELABORADOS!$A$2:$H$65536,8,0),"")</f>
        <v/>
      </c>
      <c r="F24" s="34" t="str">
        <f>IFERROR(E24*C24,"")</f>
        <v/>
      </c>
      <c r="G24" s="35" t="str">
        <f t="shared" si="5"/>
        <v/>
      </c>
      <c r="H24" s="36"/>
      <c r="I24" s="36"/>
      <c r="J24" s="37"/>
    </row>
    <row r="25" spans="1:12" ht="13.5" hidden="1" x14ac:dyDescent="0.25">
      <c r="A25" s="32"/>
      <c r="B25" s="20" t="str">
        <f>IFERROR(VLOOKUP(H25,[1]SEMIELABORADOS!$A$2:$M$6000,2,0),"")</f>
        <v/>
      </c>
      <c r="C25" s="33">
        <f>+A25</f>
        <v>0</v>
      </c>
      <c r="D25" s="33" t="str">
        <f>IFERROR(VLOOKUP(H25,[1]SEMIELABORADOS!$A$2:$M$6000,6,0),"")</f>
        <v/>
      </c>
      <c r="E25" s="34" t="str">
        <f>IFERROR(VLOOKUP(H25,[1]SEMIELABORADOS!$A$2:$H$65536,8,0),"")</f>
        <v/>
      </c>
      <c r="F25" s="34" t="str">
        <f>IFERROR(E25*C25,"")</f>
        <v/>
      </c>
      <c r="G25" s="35" t="str">
        <f t="shared" si="5"/>
        <v/>
      </c>
      <c r="H25" s="36"/>
      <c r="I25" s="36"/>
      <c r="J25" s="37"/>
    </row>
    <row r="26" spans="1:12" ht="13.5" hidden="1" x14ac:dyDescent="0.25">
      <c r="A26" s="32"/>
      <c r="B26" s="20" t="str">
        <f>IFERROR(VLOOKUP(H26,[1]SEMIELABORADOS!$A$2:$M$6000,2,0),"")</f>
        <v/>
      </c>
      <c r="C26" s="33">
        <f t="shared" si="6"/>
        <v>0</v>
      </c>
      <c r="D26" s="33" t="str">
        <f>IFERROR(VLOOKUP(H26,[1]SEMIELABORADOS!$A$2:$M$6000,6,0),"")</f>
        <v/>
      </c>
      <c r="E26" s="34" t="str">
        <f>IFERROR(VLOOKUP(H26,[1]SEMIELABORADOS!$A$2:$H$65536,8,0),"")</f>
        <v/>
      </c>
      <c r="F26" s="34" t="str">
        <f t="shared" si="7"/>
        <v/>
      </c>
      <c r="G26" s="35" t="str">
        <f t="shared" si="5"/>
        <v/>
      </c>
      <c r="H26" s="36"/>
      <c r="I26" s="36"/>
      <c r="J26" s="37"/>
    </row>
    <row r="27" spans="1:12" ht="13.5" hidden="1" x14ac:dyDescent="0.25">
      <c r="A27" s="32"/>
      <c r="B27" s="20" t="str">
        <f>IFERROR(VLOOKUP(H27,[1]SEMIELABORADOS!$A$2:$M$6000,2,0),"")</f>
        <v/>
      </c>
      <c r="C27" s="33">
        <f t="shared" si="6"/>
        <v>0</v>
      </c>
      <c r="D27" s="33" t="str">
        <f>IFERROR(VLOOKUP(H27,[1]SEMIELABORADOS!$A$2:$M$6000,6,0),"")</f>
        <v/>
      </c>
      <c r="E27" s="34" t="str">
        <f>IFERROR(VLOOKUP(H27,[1]SEMIELABORADOS!$A$2:$H$65536,8,0),"")</f>
        <v/>
      </c>
      <c r="F27" s="34" t="str">
        <f t="shared" si="7"/>
        <v/>
      </c>
      <c r="G27" s="35" t="str">
        <f t="shared" si="5"/>
        <v/>
      </c>
      <c r="H27" s="36"/>
      <c r="I27" s="36"/>
      <c r="J27" s="37"/>
    </row>
    <row r="28" spans="1:12" ht="13.5" hidden="1" x14ac:dyDescent="0.25">
      <c r="A28" s="32"/>
      <c r="B28" s="20" t="str">
        <f>IFERROR(VLOOKUP(H28,[1]SEMIELABORADOS!$A$2:$M$6000,2,0),"")</f>
        <v/>
      </c>
      <c r="C28" s="33">
        <f t="shared" si="6"/>
        <v>0</v>
      </c>
      <c r="D28" s="33" t="str">
        <f>IFERROR(VLOOKUP(H28,[1]SEMIELABORADOS!$A$2:$M$6000,6,0),"")</f>
        <v/>
      </c>
      <c r="E28" s="34" t="str">
        <f>IFERROR(VLOOKUP(H28,[1]SEMIELABORADOS!$A$2:$H$65536,8,0),"")</f>
        <v/>
      </c>
      <c r="F28" s="34" t="str">
        <f t="shared" si="7"/>
        <v/>
      </c>
      <c r="G28" s="35" t="str">
        <f t="shared" si="5"/>
        <v/>
      </c>
      <c r="H28" s="36"/>
      <c r="I28" s="36"/>
      <c r="J28" s="37"/>
    </row>
    <row r="29" spans="1:12" ht="14.25" thickBot="1" x14ac:dyDescent="0.3">
      <c r="A29" s="32"/>
      <c r="C29" s="33"/>
      <c r="D29" s="33"/>
      <c r="E29" s="34"/>
      <c r="F29" s="34"/>
      <c r="G29" s="35"/>
      <c r="H29" s="36"/>
      <c r="I29" s="36"/>
      <c r="J29" s="37"/>
    </row>
    <row r="30" spans="1:12" ht="26.25" hidden="1" thickBot="1" x14ac:dyDescent="0.25">
      <c r="A30" s="27" t="s">
        <v>81</v>
      </c>
      <c r="B30" s="28" t="s">
        <v>89</v>
      </c>
      <c r="C30" s="28" t="s">
        <v>81</v>
      </c>
      <c r="D30" s="29" t="s">
        <v>83</v>
      </c>
      <c r="E30" s="29" t="s">
        <v>84</v>
      </c>
      <c r="F30" s="29" t="s">
        <v>85</v>
      </c>
      <c r="G30" s="29" t="s">
        <v>86</v>
      </c>
      <c r="H30" s="30" t="s">
        <v>87</v>
      </c>
      <c r="I30" s="31"/>
    </row>
    <row r="31" spans="1:12" ht="13.5" hidden="1" x14ac:dyDescent="0.25">
      <c r="A31" s="32">
        <v>0</v>
      </c>
      <c r="B31" s="38" t="str">
        <f>IFERROR(VLOOKUP(H31,'[1]Consolidado MP Planta'!$A$2:$M$823,3,0),"")</f>
        <v/>
      </c>
      <c r="C31" s="33">
        <f t="shared" ref="C31:C36" si="8">+A31</f>
        <v>0</v>
      </c>
      <c r="D31" s="34" t="str">
        <f>IFERROR(VLOOKUP(H31,'[1]Consolidado MP Planta'!$A$2:$M$823,13,0),"")</f>
        <v/>
      </c>
      <c r="E31" s="34" t="str">
        <f>IFERROR(VLOOKUP(H31,'[1]Consolidado MP Planta'!$A$2:$M$823,12,0),"")</f>
        <v/>
      </c>
      <c r="F31" s="34" t="str">
        <f t="shared" ref="F31:F36" si="9">IFERROR(C31*E31,"")</f>
        <v/>
      </c>
      <c r="G31" s="35" t="str">
        <f t="shared" ref="G31:G36" si="10">IFERROR(F31/$F$70,"")</f>
        <v/>
      </c>
      <c r="H31" s="39"/>
      <c r="I31" s="39"/>
      <c r="J31" s="37"/>
      <c r="K31" s="123"/>
      <c r="L31" s="123"/>
    </row>
    <row r="32" spans="1:12" ht="13.5" hidden="1" x14ac:dyDescent="0.25">
      <c r="A32" s="32"/>
      <c r="B32" s="38" t="str">
        <f>IFERROR(VLOOKUP(H32,'[1]Consolidado MP Planta'!$A$2:$M$823,3,0),"")</f>
        <v/>
      </c>
      <c r="C32" s="33">
        <f t="shared" si="8"/>
        <v>0</v>
      </c>
      <c r="D32" s="34" t="str">
        <f>IFERROR(VLOOKUP(H32,'[1]Consolidado MP Planta'!$A$2:$M$823,13,0),"")</f>
        <v/>
      </c>
      <c r="E32" s="34" t="str">
        <f>IFERROR(VLOOKUP(H32,'[1]Consolidado MP Planta'!$A$2:$M$823,12,0),"")</f>
        <v/>
      </c>
      <c r="F32" s="34" t="str">
        <f t="shared" si="9"/>
        <v/>
      </c>
      <c r="G32" s="35" t="str">
        <f t="shared" si="10"/>
        <v/>
      </c>
      <c r="H32" s="39"/>
      <c r="I32" s="39"/>
      <c r="J32" s="37"/>
      <c r="K32" s="123"/>
      <c r="L32" s="123"/>
    </row>
    <row r="33" spans="1:12" ht="13.5" hidden="1" x14ac:dyDescent="0.25">
      <c r="A33" s="32"/>
      <c r="B33" s="38" t="str">
        <f>IFERROR(VLOOKUP(H33,'[1]Consolidado MP Planta'!$A$2:$M$823,3,0),"")</f>
        <v/>
      </c>
      <c r="C33" s="33">
        <f t="shared" si="8"/>
        <v>0</v>
      </c>
      <c r="D33" s="34" t="str">
        <f>IFERROR(VLOOKUP(H33,'[1]Consolidado MP Planta'!$A$2:$M$823,13,0),"")</f>
        <v/>
      </c>
      <c r="E33" s="34" t="str">
        <f>IFERROR(VLOOKUP(H33,'[1]Consolidado MP Planta'!$A$2:$M$823,12,0),"")</f>
        <v/>
      </c>
      <c r="F33" s="34" t="str">
        <f t="shared" si="9"/>
        <v/>
      </c>
      <c r="G33" s="35" t="str">
        <f t="shared" si="10"/>
        <v/>
      </c>
      <c r="H33" s="39"/>
      <c r="I33" s="39"/>
      <c r="J33" s="37"/>
      <c r="K33" s="123"/>
      <c r="L33" s="123"/>
    </row>
    <row r="34" spans="1:12" ht="13.5" hidden="1" x14ac:dyDescent="0.25">
      <c r="A34" s="32"/>
      <c r="B34" s="38" t="str">
        <f>IFERROR(VLOOKUP(H34,'[1]Consolidado MP Planta'!$A$2:$M$823,3,0),"")</f>
        <v/>
      </c>
      <c r="C34" s="33">
        <f t="shared" si="8"/>
        <v>0</v>
      </c>
      <c r="D34" s="34" t="str">
        <f>IFERROR(VLOOKUP(H34,'[1]Consolidado MP Planta'!$A$2:$M$823,13,0),"")</f>
        <v/>
      </c>
      <c r="E34" s="34" t="str">
        <f>IFERROR(VLOOKUP(H34,'[1]Consolidado MP Planta'!$A$2:$M$823,12,0),"")</f>
        <v/>
      </c>
      <c r="F34" s="34" t="str">
        <f t="shared" si="9"/>
        <v/>
      </c>
      <c r="G34" s="35" t="str">
        <f t="shared" si="10"/>
        <v/>
      </c>
      <c r="H34" s="39"/>
      <c r="I34" s="39"/>
      <c r="J34" s="37"/>
      <c r="K34" s="123"/>
      <c r="L34" s="123"/>
    </row>
    <row r="35" spans="1:12" ht="13.5" hidden="1" x14ac:dyDescent="0.25">
      <c r="A35" s="32"/>
      <c r="B35" s="38" t="str">
        <f>IFERROR(VLOOKUP(H35,'[1]Consolidado MP Planta'!$A$2:$M$823,3,0),"")</f>
        <v/>
      </c>
      <c r="C35" s="33">
        <f t="shared" si="8"/>
        <v>0</v>
      </c>
      <c r="D35" s="34" t="str">
        <f>IFERROR(VLOOKUP(H35,'[1]Consolidado MP Planta'!$A$2:$M$823,13,0),"")</f>
        <v/>
      </c>
      <c r="E35" s="34" t="str">
        <f>IFERROR(VLOOKUP(H35,'[1]Consolidado MP Planta'!$A$2:$M$823,12,0),"")</f>
        <v/>
      </c>
      <c r="F35" s="34" t="str">
        <f t="shared" si="9"/>
        <v/>
      </c>
      <c r="G35" s="35" t="str">
        <f t="shared" si="10"/>
        <v/>
      </c>
      <c r="H35" s="39"/>
      <c r="I35" s="39"/>
      <c r="J35" s="37"/>
      <c r="K35" s="40"/>
      <c r="L35" s="41"/>
    </row>
    <row r="36" spans="1:12" ht="13.5" hidden="1" x14ac:dyDescent="0.25">
      <c r="A36" s="32"/>
      <c r="B36" s="38" t="str">
        <f>IFERROR(VLOOKUP(H36,'[1]Consolidado MP Planta'!$A$2:$M$823,3,0),"")</f>
        <v/>
      </c>
      <c r="C36" s="33">
        <f t="shared" si="8"/>
        <v>0</v>
      </c>
      <c r="D36" s="34" t="str">
        <f>IFERROR(VLOOKUP(H36,'[1]Consolidado MP Planta'!$A$2:$M$823,13,0),"")</f>
        <v/>
      </c>
      <c r="E36" s="34" t="str">
        <f>IFERROR(VLOOKUP(H36,'[1]Consolidado MP Planta'!$A$2:$M$823,12,0),"")</f>
        <v/>
      </c>
      <c r="F36" s="34" t="str">
        <f t="shared" si="9"/>
        <v/>
      </c>
      <c r="G36" s="35" t="str">
        <f t="shared" si="10"/>
        <v/>
      </c>
      <c r="H36" s="39"/>
      <c r="I36" s="39"/>
      <c r="J36" s="37"/>
    </row>
    <row r="37" spans="1:12" ht="14.25" hidden="1" thickBot="1" x14ac:dyDescent="0.3">
      <c r="A37" s="32"/>
      <c r="B37" s="38"/>
      <c r="C37" s="33"/>
      <c r="D37" s="34"/>
      <c r="E37" s="34"/>
      <c r="F37" s="34"/>
      <c r="G37" s="35"/>
      <c r="H37" s="39"/>
      <c r="I37" s="39"/>
      <c r="J37" s="37"/>
    </row>
    <row r="38" spans="1:12" ht="26.25" thickBot="1" x14ac:dyDescent="0.25">
      <c r="A38" s="27" t="s">
        <v>81</v>
      </c>
      <c r="B38" s="28" t="s">
        <v>90</v>
      </c>
      <c r="C38" s="28" t="s">
        <v>81</v>
      </c>
      <c r="D38" s="29" t="s">
        <v>83</v>
      </c>
      <c r="E38" s="29" t="s">
        <v>84</v>
      </c>
      <c r="F38" s="29" t="s">
        <v>85</v>
      </c>
      <c r="G38" s="29" t="s">
        <v>86</v>
      </c>
      <c r="H38" s="30" t="s">
        <v>87</v>
      </c>
      <c r="I38" s="39"/>
      <c r="J38" s="37"/>
    </row>
    <row r="39" spans="1:12" ht="13.5" x14ac:dyDescent="0.25">
      <c r="A39" s="32">
        <f>+A21</f>
        <v>120</v>
      </c>
      <c r="B39" s="38" t="str">
        <f>IFERROR(VLOOKUP(H39,[1]SEMIELABORADOS!$A$2:$M$6000,2,0),"")</f>
        <v>EMPAQUE ALMIDON MODIFICADO KILO</v>
      </c>
      <c r="C39" s="33">
        <f>+A39</f>
        <v>120</v>
      </c>
      <c r="D39" s="34" t="str">
        <f>IFERROR(VLOOKUP(H39,[1]SEMIELABORADOS!$A$2:$M$6000,6,0),"")</f>
        <v>Gramo</v>
      </c>
      <c r="E39" s="34">
        <f>IFERROR(VLOOKUP(H39,[1]SEMIELABORADOS!$A$2:$M$65536,10,0),"")</f>
        <v>9.9494095238095229E-3</v>
      </c>
      <c r="F39" s="34">
        <f>IFERROR(E39*C39,"")</f>
        <v>1.1939291428571428</v>
      </c>
      <c r="G39" s="35">
        <f t="shared" ref="G39:G45" si="11">IFERROR(F39/$F$70,"")</f>
        <v>5.8331206136889385E-5</v>
      </c>
      <c r="H39" s="39" t="s">
        <v>129</v>
      </c>
      <c r="I39" s="39"/>
      <c r="J39" s="37"/>
    </row>
    <row r="40" spans="1:12" ht="13.5" x14ac:dyDescent="0.25">
      <c r="A40" s="32">
        <f t="shared" ref="A40:A45" si="12">+A22</f>
        <v>80</v>
      </c>
      <c r="B40" s="38" t="s">
        <v>52</v>
      </c>
      <c r="C40" s="33">
        <f t="shared" ref="C40:C45" si="13">+A40</f>
        <v>80</v>
      </c>
      <c r="D40" s="34" t="s">
        <v>130</v>
      </c>
      <c r="E40" s="34">
        <v>0.01</v>
      </c>
      <c r="F40" s="34">
        <f t="shared" ref="F40:F45" si="14">IFERROR(E40*C40,"")</f>
        <v>0.8</v>
      </c>
      <c r="G40" s="35">
        <f t="shared" si="11"/>
        <v>3.9085204669549737E-5</v>
      </c>
      <c r="H40" s="39" t="s">
        <v>51</v>
      </c>
      <c r="I40" s="39"/>
      <c r="J40" s="37"/>
    </row>
    <row r="41" spans="1:12" ht="13.5" hidden="1" x14ac:dyDescent="0.25">
      <c r="A41" s="32">
        <f t="shared" si="12"/>
        <v>0</v>
      </c>
      <c r="B41" s="38" t="str">
        <f>IFERROR(VLOOKUP(H41,[1]SEMIELABORADOS!$A$2:$M$6000,2,0),"")</f>
        <v/>
      </c>
      <c r="C41" s="33">
        <f t="shared" si="13"/>
        <v>0</v>
      </c>
      <c r="D41" s="34" t="str">
        <f>IFERROR(VLOOKUP(H41,[1]SEMIELABORADOS!$A$2:$M$6000,6,0),"")</f>
        <v/>
      </c>
      <c r="E41" s="34" t="str">
        <f>IFERROR(VLOOKUP(H41,[1]SEMIELABORADOS!$A$2:$M$65536,10,0),"")</f>
        <v/>
      </c>
      <c r="F41" s="34" t="str">
        <f t="shared" si="14"/>
        <v/>
      </c>
      <c r="G41" s="35" t="str">
        <f t="shared" si="11"/>
        <v/>
      </c>
      <c r="H41" s="39"/>
      <c r="I41" s="39"/>
      <c r="J41" s="37"/>
    </row>
    <row r="42" spans="1:12" ht="13.5" hidden="1" x14ac:dyDescent="0.25">
      <c r="A42" s="32">
        <f t="shared" si="12"/>
        <v>0</v>
      </c>
      <c r="B42" s="38" t="str">
        <f>IFERROR(VLOOKUP(H42,[1]SEMIELABORADOS!$A$2:$M$6000,2,0),"")</f>
        <v/>
      </c>
      <c r="C42" s="33">
        <f>+A42</f>
        <v>0</v>
      </c>
      <c r="D42" s="34" t="str">
        <f>IFERROR(VLOOKUP(H42,[1]SEMIELABORADOS!$A$2:$M$6000,6,0),"")</f>
        <v/>
      </c>
      <c r="E42" s="34" t="str">
        <f>IFERROR(VLOOKUP(H42,[1]SEMIELABORADOS!$A$2:$M$65536,10,0),"")</f>
        <v/>
      </c>
      <c r="F42" s="34" t="str">
        <f>IFERROR(E42*C42,"")</f>
        <v/>
      </c>
      <c r="G42" s="35" t="str">
        <f t="shared" si="11"/>
        <v/>
      </c>
      <c r="H42" s="39"/>
      <c r="I42" s="39"/>
      <c r="J42" s="37"/>
    </row>
    <row r="43" spans="1:12" ht="13.5" hidden="1" x14ac:dyDescent="0.25">
      <c r="A43" s="32">
        <f t="shared" si="12"/>
        <v>0</v>
      </c>
      <c r="B43" s="38" t="str">
        <f>IFERROR(VLOOKUP(H43,[1]SEMIELABORADOS!$A$2:$M$6000,2,0),"")</f>
        <v/>
      </c>
      <c r="C43" s="33">
        <f>+A43</f>
        <v>0</v>
      </c>
      <c r="D43" s="34" t="str">
        <f>IFERROR(VLOOKUP(H43,[1]SEMIELABORADOS!$A$2:$M$6000,6,0),"")</f>
        <v/>
      </c>
      <c r="E43" s="34" t="str">
        <f>IFERROR(VLOOKUP(H43,[1]SEMIELABORADOS!$A$2:$M$65536,10,0),"")</f>
        <v/>
      </c>
      <c r="F43" s="34" t="str">
        <f>IFERROR(E43*C43,"")</f>
        <v/>
      </c>
      <c r="G43" s="35" t="str">
        <f t="shared" si="11"/>
        <v/>
      </c>
      <c r="H43" s="39"/>
      <c r="I43" s="39"/>
      <c r="J43" s="37"/>
    </row>
    <row r="44" spans="1:12" ht="13.5" hidden="1" x14ac:dyDescent="0.25">
      <c r="A44" s="32">
        <f t="shared" si="12"/>
        <v>0</v>
      </c>
      <c r="B44" s="38" t="str">
        <f>IFERROR(VLOOKUP(H44,[1]SEMIELABORADOS!$A$2:$M$6000,2,0),"")</f>
        <v/>
      </c>
      <c r="C44" s="33">
        <f t="shared" si="13"/>
        <v>0</v>
      </c>
      <c r="D44" s="34" t="str">
        <f>IFERROR(VLOOKUP(H44,[1]SEMIELABORADOS!$A$2:$M$6000,6,0),"")</f>
        <v/>
      </c>
      <c r="E44" s="34" t="str">
        <f>IFERROR(VLOOKUP(H44,[1]SEMIELABORADOS!$A$2:$M$65536,10,0),"")</f>
        <v/>
      </c>
      <c r="F44" s="34" t="str">
        <f t="shared" si="14"/>
        <v/>
      </c>
      <c r="G44" s="35" t="str">
        <f t="shared" si="11"/>
        <v/>
      </c>
      <c r="H44" s="39"/>
      <c r="I44" s="39"/>
      <c r="J44" s="37"/>
    </row>
    <row r="45" spans="1:12" ht="13.5" hidden="1" x14ac:dyDescent="0.25">
      <c r="A45" s="32">
        <f t="shared" si="12"/>
        <v>0</v>
      </c>
      <c r="B45" s="38" t="str">
        <f>IFERROR(VLOOKUP(H45,[1]SEMIELABORADOS!$A$2:$M$6000,2,0),"")</f>
        <v/>
      </c>
      <c r="C45" s="33">
        <f t="shared" si="13"/>
        <v>0</v>
      </c>
      <c r="D45" s="34" t="str">
        <f>IFERROR(VLOOKUP(H45,[1]SEMIELABORADOS!$A$2:$M$6000,6,0),"")</f>
        <v/>
      </c>
      <c r="E45" s="34" t="str">
        <f>IFERROR(VLOOKUP(H45,[1]SEMIELABORADOS!$A$2:$M$65536,10,0),"")</f>
        <v/>
      </c>
      <c r="F45" s="34" t="str">
        <f t="shared" si="14"/>
        <v/>
      </c>
      <c r="G45" s="35" t="str">
        <f t="shared" si="11"/>
        <v/>
      </c>
      <c r="H45" s="39"/>
      <c r="I45" s="39"/>
      <c r="J45" s="37"/>
    </row>
    <row r="46" spans="1:12" ht="14.25" thickBot="1" x14ac:dyDescent="0.3">
      <c r="A46" s="32"/>
      <c r="B46" s="38"/>
      <c r="C46" s="33"/>
      <c r="D46" s="34"/>
      <c r="E46" s="34"/>
      <c r="F46" s="34"/>
      <c r="G46" s="35"/>
      <c r="H46" s="39"/>
      <c r="I46" s="39"/>
      <c r="J46" s="37"/>
    </row>
    <row r="47" spans="1:12" ht="26.25" thickBot="1" x14ac:dyDescent="0.25">
      <c r="A47" s="27" t="s">
        <v>81</v>
      </c>
      <c r="B47" s="28" t="s">
        <v>91</v>
      </c>
      <c r="C47" s="28" t="s">
        <v>81</v>
      </c>
      <c r="D47" s="29" t="s">
        <v>83</v>
      </c>
      <c r="E47" s="29" t="s">
        <v>84</v>
      </c>
      <c r="F47" s="29" t="s">
        <v>85</v>
      </c>
      <c r="G47" s="29" t="s">
        <v>86</v>
      </c>
      <c r="H47" s="30" t="s">
        <v>87</v>
      </c>
      <c r="I47" s="31"/>
      <c r="J47" s="37"/>
    </row>
    <row r="48" spans="1:12" ht="13.5" x14ac:dyDescent="0.25">
      <c r="A48" s="32">
        <f>+A39</f>
        <v>120</v>
      </c>
      <c r="B48" s="38" t="str">
        <f>IFERROR(VLOOKUP(H48,[1]SEMIELABORADOS!$A$2:$M$6000,2,0),"")</f>
        <v>EMPAQUE ALMIDON MODIFICADO KILO</v>
      </c>
      <c r="C48" s="33">
        <f>+A48</f>
        <v>120</v>
      </c>
      <c r="D48" s="34" t="str">
        <f>IFERROR(VLOOKUP(H48,[1]SEMIELABORADOS!$A$2:$M$6000,6,0),"")</f>
        <v>Gramo</v>
      </c>
      <c r="E48" s="34">
        <v>0.04</v>
      </c>
      <c r="F48" s="34">
        <f>IFERROR(E48*C48,"")</f>
        <v>4.8</v>
      </c>
      <c r="G48" s="35">
        <f>IFERROR(F48/$F$70,"")</f>
        <v>2.3451122801729839E-4</v>
      </c>
      <c r="H48" s="39" t="s">
        <v>129</v>
      </c>
      <c r="I48" s="31"/>
      <c r="J48" s="37"/>
    </row>
    <row r="49" spans="1:17" ht="13.5" x14ac:dyDescent="0.25">
      <c r="A49" s="32">
        <f t="shared" ref="A49:A54" si="15">+A40</f>
        <v>80</v>
      </c>
      <c r="B49" s="38" t="s">
        <v>52</v>
      </c>
      <c r="C49" s="33">
        <f t="shared" ref="C49:C54" si="16">+A49</f>
        <v>80</v>
      </c>
      <c r="D49" s="34" t="s">
        <v>130</v>
      </c>
      <c r="E49" s="34">
        <v>0.03</v>
      </c>
      <c r="F49" s="34">
        <f t="shared" ref="F49:F54" si="17">IFERROR(E49*C49,"")</f>
        <v>2.4</v>
      </c>
      <c r="G49" s="35">
        <f t="shared" ref="G49:G54" si="18">IFERROR(F49/$F$70,"")</f>
        <v>1.172556140086492E-4</v>
      </c>
      <c r="H49" s="39" t="s">
        <v>51</v>
      </c>
      <c r="I49" s="31"/>
      <c r="J49" s="37"/>
      <c r="M49" s="42"/>
    </row>
    <row r="50" spans="1:17" ht="13.5" hidden="1" x14ac:dyDescent="0.25">
      <c r="A50" s="32">
        <f t="shared" si="15"/>
        <v>0</v>
      </c>
      <c r="B50" s="38" t="str">
        <f>IFERROR(VLOOKUP(H50,[1]SEMIELABORADOS!$A$2:$M$6000,2,0),"")</f>
        <v/>
      </c>
      <c r="C50" s="33">
        <f t="shared" si="16"/>
        <v>0</v>
      </c>
      <c r="D50" s="34" t="str">
        <f>IFERROR(VLOOKUP(H50,[1]SEMIELABORADOS!$A$2:$M$6000,6,0),"")</f>
        <v/>
      </c>
      <c r="E50" s="34" t="str">
        <f>IFERROR(VLOOKUP(H50,[1]SEMIELABORADOS!$A$2:$M$65536,12,0),"")</f>
        <v/>
      </c>
      <c r="F50" s="34" t="str">
        <f t="shared" si="17"/>
        <v/>
      </c>
      <c r="G50" s="35" t="str">
        <f t="shared" si="18"/>
        <v/>
      </c>
      <c r="H50" s="39"/>
      <c r="I50" s="31"/>
      <c r="J50" s="37"/>
    </row>
    <row r="51" spans="1:17" ht="13.5" hidden="1" x14ac:dyDescent="0.25">
      <c r="A51" s="32">
        <f t="shared" si="15"/>
        <v>0</v>
      </c>
      <c r="B51" s="38" t="str">
        <f>IFERROR(VLOOKUP(H51,[1]SEMIELABORADOS!$A$2:$M$6000,2,0),"")</f>
        <v/>
      </c>
      <c r="C51" s="33">
        <f t="shared" si="16"/>
        <v>0</v>
      </c>
      <c r="D51" s="34" t="str">
        <f>IFERROR(VLOOKUP(H51,[1]SEMIELABORADOS!$A$2:$M$6000,6,0),"")</f>
        <v/>
      </c>
      <c r="E51" s="34" t="str">
        <f>IFERROR(VLOOKUP(H51,[1]SEMIELABORADOS!$A$2:$M$65536,12,0),"")</f>
        <v/>
      </c>
      <c r="F51" s="34" t="str">
        <f t="shared" si="17"/>
        <v/>
      </c>
      <c r="G51" s="35" t="str">
        <f t="shared" si="18"/>
        <v/>
      </c>
      <c r="H51" s="39"/>
      <c r="I51" s="31"/>
      <c r="J51" s="37"/>
    </row>
    <row r="52" spans="1:17" ht="13.5" hidden="1" x14ac:dyDescent="0.25">
      <c r="A52" s="32">
        <f t="shared" si="15"/>
        <v>0</v>
      </c>
      <c r="B52" s="38" t="str">
        <f>IFERROR(VLOOKUP(H52,[1]SEMIELABORADOS!$A$2:$M$6000,2,0),"")</f>
        <v/>
      </c>
      <c r="C52" s="33">
        <f t="shared" si="16"/>
        <v>0</v>
      </c>
      <c r="D52" s="34" t="str">
        <f>IFERROR(VLOOKUP(H52,[1]SEMIELABORADOS!$A$2:$M$6000,6,0),"")</f>
        <v/>
      </c>
      <c r="E52" s="34" t="str">
        <f>IFERROR(VLOOKUP(H52,[1]SEMIELABORADOS!$A$2:$M$65536,12,0),"")</f>
        <v/>
      </c>
      <c r="F52" s="34" t="str">
        <f t="shared" si="17"/>
        <v/>
      </c>
      <c r="G52" s="35" t="str">
        <f t="shared" si="18"/>
        <v/>
      </c>
      <c r="H52" s="39"/>
      <c r="I52" s="31"/>
      <c r="J52" s="37"/>
    </row>
    <row r="53" spans="1:17" ht="13.5" hidden="1" x14ac:dyDescent="0.25">
      <c r="A53" s="32">
        <f t="shared" si="15"/>
        <v>0</v>
      </c>
      <c r="B53" s="38" t="str">
        <f>IFERROR(VLOOKUP(H53,[1]SEMIELABORADOS!$A$2:$M$6000,2,0),"")</f>
        <v/>
      </c>
      <c r="C53" s="33">
        <f t="shared" si="16"/>
        <v>0</v>
      </c>
      <c r="D53" s="34" t="str">
        <f>IFERROR(VLOOKUP(H53,[1]SEMIELABORADOS!$A$2:$M$6000,6,0),"")</f>
        <v/>
      </c>
      <c r="E53" s="34" t="str">
        <f>IFERROR(VLOOKUP(H53,[1]SEMIELABORADOS!$A$2:$M$65536,12,0),"")</f>
        <v/>
      </c>
      <c r="F53" s="34" t="str">
        <f t="shared" si="17"/>
        <v/>
      </c>
      <c r="G53" s="35" t="str">
        <f t="shared" si="18"/>
        <v/>
      </c>
      <c r="H53" s="39"/>
      <c r="I53" s="31"/>
      <c r="J53" s="37"/>
    </row>
    <row r="54" spans="1:17" ht="13.5" hidden="1" x14ac:dyDescent="0.25">
      <c r="A54" s="32">
        <f t="shared" si="15"/>
        <v>0</v>
      </c>
      <c r="B54" s="38" t="str">
        <f>IFERROR(VLOOKUP(H54,[1]SEMIELABORADOS!$A$2:$M$6000,2,0),"")</f>
        <v/>
      </c>
      <c r="C54" s="33">
        <f t="shared" si="16"/>
        <v>0</v>
      </c>
      <c r="D54" s="34" t="str">
        <f>IFERROR(VLOOKUP(H54,[1]SEMIELABORADOS!$A$2:$M$6000,6,0),"")</f>
        <v/>
      </c>
      <c r="E54" s="34" t="str">
        <f>IFERROR(VLOOKUP(H54,[1]SEMIELABORADOS!$A$2:$M$65536,12,0),"")</f>
        <v/>
      </c>
      <c r="F54" s="34" t="str">
        <f t="shared" si="17"/>
        <v/>
      </c>
      <c r="G54" s="35" t="str">
        <f t="shared" si="18"/>
        <v/>
      </c>
      <c r="H54" s="38"/>
      <c r="I54" s="31"/>
      <c r="J54" s="37"/>
    </row>
    <row r="55" spans="1:17" ht="13.5" x14ac:dyDescent="0.25">
      <c r="A55" s="32">
        <v>1</v>
      </c>
      <c r="B55" s="38" t="s">
        <v>92</v>
      </c>
      <c r="C55" s="33">
        <f>+A55</f>
        <v>1</v>
      </c>
      <c r="D55" s="33" t="s">
        <v>93</v>
      </c>
      <c r="E55" s="34">
        <f>+F69</f>
        <v>1155</v>
      </c>
      <c r="F55" s="34">
        <f>IFERROR(C55*E55,"")</f>
        <v>1155</v>
      </c>
      <c r="G55" s="35">
        <f>IFERROR(F55/$F$70,"")</f>
        <v>5.6429264241662426E-2</v>
      </c>
      <c r="H55" s="43"/>
      <c r="I55" s="43"/>
      <c r="J55" s="37"/>
    </row>
    <row r="56" spans="1:17" ht="14.25" thickBot="1" x14ac:dyDescent="0.3">
      <c r="A56" s="32"/>
      <c r="B56" s="38"/>
      <c r="C56" s="33"/>
      <c r="D56" s="33"/>
      <c r="E56" s="34"/>
      <c r="F56" s="34"/>
      <c r="G56" s="35"/>
      <c r="H56" s="43"/>
      <c r="I56" s="43"/>
      <c r="J56" s="37"/>
    </row>
    <row r="57" spans="1:17" ht="13.5" thickBot="1" x14ac:dyDescent="0.25">
      <c r="A57" s="44"/>
      <c r="B57" s="133" t="s">
        <v>94</v>
      </c>
      <c r="C57" s="133"/>
      <c r="D57" s="133"/>
      <c r="E57" s="133"/>
      <c r="F57" s="46">
        <f>SUM(F8:F18,F21:F28)</f>
        <v>18932.460000000003</v>
      </c>
      <c r="G57" s="35">
        <f>+F57/$F$70</f>
        <v>0.92497384249757963</v>
      </c>
      <c r="H57" s="47">
        <f>+F57/$D$64</f>
        <v>18932.460000000003</v>
      </c>
      <c r="I57" s="47"/>
      <c r="J57" s="48"/>
      <c r="K57" s="49"/>
      <c r="L57" s="49"/>
      <c r="M57" s="49"/>
      <c r="N57" s="49"/>
      <c r="O57" s="49"/>
      <c r="P57" s="49"/>
      <c r="Q57" s="50"/>
    </row>
    <row r="58" spans="1:17" x14ac:dyDescent="0.2">
      <c r="A58" s="44"/>
      <c r="B58" s="133" t="s">
        <v>95</v>
      </c>
      <c r="C58" s="133"/>
      <c r="D58" s="133"/>
      <c r="E58" s="133"/>
      <c r="F58" s="46">
        <f>SUM(F31:F36,F39:F45)</f>
        <v>1.9939291428571428</v>
      </c>
      <c r="G58" s="35">
        <f>+F58/$F$70</f>
        <v>9.7416410806439122E-5</v>
      </c>
      <c r="H58" s="47">
        <f>+F58/$D$64</f>
        <v>1.9939291428571428</v>
      </c>
      <c r="I58" s="47"/>
      <c r="J58" s="51"/>
      <c r="K58" s="134" t="s">
        <v>96</v>
      </c>
      <c r="L58" s="135"/>
      <c r="M58" s="135"/>
      <c r="N58" s="135"/>
      <c r="O58" s="52">
        <f>+F59</f>
        <v>18934.453929142859</v>
      </c>
      <c r="P58" s="52"/>
      <c r="Q58" s="53"/>
    </row>
    <row r="59" spans="1:17" x14ac:dyDescent="0.2">
      <c r="A59" s="44"/>
      <c r="B59" s="133" t="s">
        <v>97</v>
      </c>
      <c r="C59" s="133"/>
      <c r="D59" s="133"/>
      <c r="E59" s="133"/>
      <c r="F59" s="46">
        <f>+F57+F58</f>
        <v>18934.453929142859</v>
      </c>
      <c r="G59" s="35">
        <f>+F59/$F$70</f>
        <v>0.92507125890838604</v>
      </c>
      <c r="H59" s="47">
        <f>+F59/$D$64</f>
        <v>18934.453929142859</v>
      </c>
      <c r="I59" s="47"/>
      <c r="J59" s="54"/>
      <c r="K59" s="55"/>
      <c r="M59" s="56" t="s">
        <v>98</v>
      </c>
      <c r="N59" s="57"/>
      <c r="O59" s="52">
        <f>+H60</f>
        <v>1162.2</v>
      </c>
      <c r="P59" s="52"/>
      <c r="Q59" s="53"/>
    </row>
    <row r="60" spans="1:17" ht="13.5" thickBot="1" x14ac:dyDescent="0.25">
      <c r="A60" s="44"/>
      <c r="B60" s="45"/>
      <c r="C60" s="133" t="s">
        <v>99</v>
      </c>
      <c r="D60" s="133"/>
      <c r="E60" s="133"/>
      <c r="F60" s="46">
        <f>SUM(F48:F55)</f>
        <v>1162.2</v>
      </c>
      <c r="G60" s="35">
        <f>+F60/$F$70</f>
        <v>5.6781031083688378E-2</v>
      </c>
      <c r="H60" s="47">
        <f>+F60/$D$64</f>
        <v>1162.2</v>
      </c>
      <c r="I60" s="47"/>
      <c r="J60" s="54"/>
      <c r="K60" s="55"/>
      <c r="L60" s="55"/>
      <c r="M60" s="55" t="s">
        <v>100</v>
      </c>
      <c r="N60" s="58"/>
      <c r="O60" s="52">
        <f>O58*N60</f>
        <v>0</v>
      </c>
      <c r="P60" s="52"/>
      <c r="Q60" s="53"/>
    </row>
    <row r="61" spans="1:17" ht="13.5" thickBot="1" x14ac:dyDescent="0.25">
      <c r="A61" s="44"/>
      <c r="B61" s="59"/>
      <c r="C61" s="59"/>
      <c r="D61" s="59"/>
      <c r="E61" s="59"/>
      <c r="F61" s="60"/>
      <c r="G61" s="35"/>
      <c r="H61" s="61"/>
      <c r="I61" s="47"/>
      <c r="J61" s="54"/>
      <c r="K61" s="62"/>
      <c r="M61" s="63" t="s">
        <v>101</v>
      </c>
      <c r="N61" s="64"/>
      <c r="O61" s="65">
        <f>SUM(O58:O60)</f>
        <v>20096.65392914286</v>
      </c>
      <c r="P61" s="66"/>
      <c r="Q61" s="53"/>
    </row>
    <row r="62" spans="1:17" x14ac:dyDescent="0.2">
      <c r="B62" s="136" t="s">
        <v>102</v>
      </c>
      <c r="C62" s="136"/>
      <c r="D62" s="67">
        <v>10000</v>
      </c>
      <c r="E62" s="68"/>
      <c r="G62" s="35"/>
      <c r="H62" s="61">
        <f>+H60/77</f>
        <v>15.093506493506494</v>
      </c>
      <c r="I62" s="69"/>
      <c r="J62" s="54"/>
      <c r="K62" s="62"/>
      <c r="L62" s="55"/>
      <c r="M62" s="55" t="s">
        <v>103</v>
      </c>
      <c r="N62" s="70"/>
      <c r="O62" s="52">
        <f>+H63</f>
        <v>1252.761038961039</v>
      </c>
      <c r="P62" s="52"/>
      <c r="Q62" s="53"/>
    </row>
    <row r="63" spans="1:17" x14ac:dyDescent="0.2">
      <c r="B63" s="136" t="s">
        <v>104</v>
      </c>
      <c r="C63" s="136"/>
      <c r="D63" s="71">
        <v>10000</v>
      </c>
      <c r="E63" s="68"/>
      <c r="G63" s="35"/>
      <c r="H63" s="61">
        <f>+H62*83</f>
        <v>1252.761038961039</v>
      </c>
      <c r="I63" s="69"/>
      <c r="J63" s="54"/>
      <c r="K63" s="62"/>
      <c r="L63" s="55"/>
      <c r="M63" s="137" t="s">
        <v>101</v>
      </c>
      <c r="N63" s="137"/>
      <c r="O63" s="52">
        <f>SUM(O61:O62)</f>
        <v>21349.414968103898</v>
      </c>
      <c r="P63" s="52"/>
      <c r="Q63" s="53"/>
    </row>
    <row r="64" spans="1:17" ht="13.5" thickBot="1" x14ac:dyDescent="0.25">
      <c r="B64" s="129" t="s">
        <v>105</v>
      </c>
      <c r="C64" s="129"/>
      <c r="D64" s="67">
        <f>+D62/D63</f>
        <v>1</v>
      </c>
      <c r="E64" s="68"/>
      <c r="F64" s="72"/>
      <c r="G64" s="35"/>
      <c r="H64" s="61"/>
      <c r="I64" s="69"/>
      <c r="J64" s="54"/>
      <c r="K64" s="62"/>
      <c r="L64" s="137"/>
      <c r="M64" s="137"/>
      <c r="N64" s="70"/>
      <c r="O64" s="52">
        <f>+O63*N64</f>
        <v>0</v>
      </c>
      <c r="P64" s="52"/>
      <c r="Q64" s="53"/>
    </row>
    <row r="65" spans="2:17" ht="13.5" thickBot="1" x14ac:dyDescent="0.25">
      <c r="B65" s="129" t="s">
        <v>106</v>
      </c>
      <c r="C65" s="129"/>
      <c r="D65" s="73"/>
      <c r="E65" s="68"/>
      <c r="F65" s="72"/>
      <c r="G65" s="35"/>
      <c r="H65" s="61"/>
      <c r="I65" s="69"/>
      <c r="J65" s="54"/>
      <c r="K65" s="130" t="s">
        <v>107</v>
      </c>
      <c r="L65" s="131"/>
      <c r="M65" s="131"/>
      <c r="N65" s="132"/>
      <c r="O65" s="65">
        <f>SUM(O63:O64)</f>
        <v>21349.414968103898</v>
      </c>
      <c r="P65" s="74" t="s">
        <v>108</v>
      </c>
      <c r="Q65" s="53"/>
    </row>
    <row r="66" spans="2:17" ht="13.5" thickBot="1" x14ac:dyDescent="0.25">
      <c r="C66" s="44" t="s">
        <v>109</v>
      </c>
      <c r="D66" s="75"/>
      <c r="E66" s="18" t="s">
        <v>110</v>
      </c>
      <c r="F66" s="76" t="s">
        <v>111</v>
      </c>
      <c r="G66" s="35"/>
      <c r="H66" s="61"/>
      <c r="I66" s="69"/>
      <c r="J66" s="77"/>
      <c r="K66" s="78"/>
      <c r="L66" s="143" t="s">
        <v>112</v>
      </c>
      <c r="M66" s="143"/>
      <c r="N66" s="143"/>
      <c r="O66" s="79">
        <f>+O65/D64</f>
        <v>21349.414968103898</v>
      </c>
      <c r="P66" s="80">
        <f>+O66/D63</f>
        <v>2.1349414968103897</v>
      </c>
      <c r="Q66" s="81"/>
    </row>
    <row r="67" spans="2:17" ht="13.5" thickBot="1" x14ac:dyDescent="0.25">
      <c r="B67" s="144" t="s">
        <v>97</v>
      </c>
      <c r="C67" s="144"/>
      <c r="D67" s="144"/>
      <c r="E67" s="82">
        <f>+F67/F67</f>
        <v>1</v>
      </c>
      <c r="F67" s="83">
        <f>SUM(F59)</f>
        <v>18934.453929142859</v>
      </c>
      <c r="G67" s="35">
        <f>+F67/$F$70</f>
        <v>0.92507125890838604</v>
      </c>
      <c r="H67" s="61"/>
      <c r="I67" s="69"/>
      <c r="K67" s="145"/>
      <c r="L67" s="146"/>
      <c r="M67" s="146"/>
      <c r="N67" s="146"/>
      <c r="O67" s="84"/>
      <c r="P67" s="85"/>
    </row>
    <row r="68" spans="2:17" ht="13.5" thickBot="1" x14ac:dyDescent="0.25">
      <c r="B68" s="147" t="s">
        <v>113</v>
      </c>
      <c r="C68" s="147"/>
      <c r="D68" s="147"/>
      <c r="E68" s="86">
        <v>0.02</v>
      </c>
      <c r="F68" s="83">
        <f>+F57*E68</f>
        <v>378.64920000000006</v>
      </c>
      <c r="G68" s="35">
        <f>+F68/$F$70</f>
        <v>1.8499476849951593E-2</v>
      </c>
      <c r="H68" s="47"/>
      <c r="I68" s="69"/>
      <c r="J68" s="87"/>
      <c r="O68" s="88"/>
      <c r="P68" s="45"/>
    </row>
    <row r="69" spans="2:17" ht="13.5" thickBot="1" x14ac:dyDescent="0.25">
      <c r="B69" s="148" t="s">
        <v>114</v>
      </c>
      <c r="C69" s="149"/>
      <c r="D69" s="89">
        <v>15</v>
      </c>
      <c r="E69" s="90">
        <v>77</v>
      </c>
      <c r="F69" s="83">
        <f>+E69*D69</f>
        <v>1155</v>
      </c>
      <c r="G69" s="35">
        <f>+F69/$F$70</f>
        <v>5.6429264241662426E-2</v>
      </c>
      <c r="H69" s="47"/>
      <c r="I69" s="47"/>
      <c r="J69" s="37"/>
    </row>
    <row r="70" spans="2:17" ht="13.5" thickBot="1" x14ac:dyDescent="0.25">
      <c r="B70" s="150" t="s">
        <v>115</v>
      </c>
      <c r="C70" s="151"/>
      <c r="D70" s="151"/>
      <c r="E70" s="152"/>
      <c r="F70" s="60">
        <f>SUM(F67:F69)</f>
        <v>20468.103129142859</v>
      </c>
      <c r="G70" s="35">
        <f>+F70/$F$70</f>
        <v>1</v>
      </c>
      <c r="H70" s="153"/>
      <c r="I70" s="47"/>
      <c r="J70" s="37"/>
      <c r="M70" s="20" t="s">
        <v>116</v>
      </c>
    </row>
    <row r="71" spans="2:17" x14ac:dyDescent="0.2">
      <c r="C71" s="42"/>
      <c r="D71" s="42"/>
      <c r="E71" s="92"/>
      <c r="F71" s="83"/>
      <c r="G71" s="35"/>
      <c r="H71" s="153"/>
      <c r="I71" s="91"/>
      <c r="J71" s="20"/>
      <c r="M71" s="20" t="s">
        <v>117</v>
      </c>
    </row>
    <row r="72" spans="2:17" ht="13.5" thickBot="1" x14ac:dyDescent="0.25">
      <c r="B72" s="138" t="s">
        <v>118</v>
      </c>
      <c r="C72" s="138"/>
      <c r="D72" s="138"/>
      <c r="E72" s="138"/>
      <c r="F72" s="138"/>
      <c r="G72" s="35"/>
      <c r="H72" s="94"/>
      <c r="I72" s="91"/>
      <c r="J72" s="20"/>
      <c r="M72" s="20" t="s">
        <v>119</v>
      </c>
    </row>
    <row r="73" spans="2:17" ht="13.5" thickBot="1" x14ac:dyDescent="0.25">
      <c r="B73" s="95" t="s">
        <v>120</v>
      </c>
      <c r="C73" s="96">
        <f>+F57</f>
        <v>18932.460000000003</v>
      </c>
      <c r="D73" s="96">
        <f>+D62</f>
        <v>10000</v>
      </c>
      <c r="E73" s="97">
        <f>+C73/D73</f>
        <v>1.8932460000000002</v>
      </c>
      <c r="F73" s="35"/>
      <c r="G73" s="94"/>
      <c r="H73" s="37"/>
      <c r="I73" s="94"/>
      <c r="J73" s="20"/>
    </row>
    <row r="74" spans="2:17" x14ac:dyDescent="0.2">
      <c r="B74" s="98"/>
      <c r="C74" s="99"/>
      <c r="D74" s="100"/>
      <c r="E74" s="83"/>
      <c r="F74" s="35"/>
      <c r="G74" s="94"/>
      <c r="H74" s="37"/>
      <c r="I74" s="37"/>
      <c r="J74" s="20"/>
    </row>
    <row r="75" spans="2:17" x14ac:dyDescent="0.2">
      <c r="B75" s="95" t="s">
        <v>121</v>
      </c>
      <c r="C75" s="96">
        <f>SUM(F67:F68)</f>
        <v>19313.103129142859</v>
      </c>
      <c r="D75" s="96">
        <f>+D62</f>
        <v>10000</v>
      </c>
      <c r="E75" s="101">
        <f>+C75/D75</f>
        <v>1.9313103129142859</v>
      </c>
      <c r="F75" s="35"/>
      <c r="G75" s="94"/>
      <c r="H75" s="37"/>
      <c r="I75" s="37"/>
      <c r="J75" s="20"/>
    </row>
    <row r="76" spans="2:17" x14ac:dyDescent="0.2">
      <c r="B76" s="95"/>
      <c r="C76" s="96"/>
      <c r="D76" s="96"/>
      <c r="E76" s="101"/>
      <c r="F76" s="35"/>
      <c r="G76" s="94"/>
      <c r="H76" s="37"/>
      <c r="I76" s="37"/>
      <c r="J76" s="20"/>
    </row>
    <row r="77" spans="2:17" ht="13.5" thickBot="1" x14ac:dyDescent="0.25">
      <c r="B77" s="95" t="s">
        <v>122</v>
      </c>
      <c r="C77" s="96">
        <f>+F69</f>
        <v>1155</v>
      </c>
      <c r="D77" s="96">
        <f>+D62</f>
        <v>10000</v>
      </c>
      <c r="E77" s="101">
        <f>+C77/D77</f>
        <v>0.11550000000000001</v>
      </c>
      <c r="F77" s="35"/>
      <c r="G77" s="94"/>
      <c r="H77" s="37"/>
      <c r="I77" s="37"/>
      <c r="J77" s="20"/>
    </row>
    <row r="78" spans="2:17" ht="13.5" thickBot="1" x14ac:dyDescent="0.25">
      <c r="B78" s="95" t="s">
        <v>123</v>
      </c>
      <c r="C78" s="96">
        <f>+F60</f>
        <v>1162.2</v>
      </c>
      <c r="D78" s="96">
        <f>+D77</f>
        <v>10000</v>
      </c>
      <c r="E78" s="97">
        <f>+C78/D78</f>
        <v>0.11622</v>
      </c>
      <c r="F78" s="35"/>
      <c r="G78" s="94"/>
      <c r="H78" s="37"/>
      <c r="I78" s="37"/>
      <c r="J78" s="20"/>
    </row>
    <row r="79" spans="2:17" ht="13.5" thickBot="1" x14ac:dyDescent="0.25">
      <c r="B79" s="59"/>
      <c r="C79" s="60"/>
      <c r="D79" s="60"/>
      <c r="E79" s="101"/>
      <c r="F79" s="35"/>
      <c r="G79" s="94"/>
      <c r="H79" s="37"/>
      <c r="I79" s="37"/>
      <c r="J79" s="20"/>
    </row>
    <row r="80" spans="2:17" ht="13.5" thickBot="1" x14ac:dyDescent="0.25">
      <c r="B80" s="95" t="s">
        <v>124</v>
      </c>
      <c r="C80" s="96">
        <f>+F58</f>
        <v>1.9939291428571428</v>
      </c>
      <c r="D80" s="96">
        <f>+D78</f>
        <v>10000</v>
      </c>
      <c r="E80" s="97">
        <f>+C80/D80</f>
        <v>1.9939291428571428E-4</v>
      </c>
      <c r="F80" s="35"/>
      <c r="G80" s="94"/>
      <c r="H80" s="37"/>
      <c r="I80" s="37"/>
      <c r="J80" s="37"/>
    </row>
    <row r="81" spans="1:10" ht="13.5" thickBot="1" x14ac:dyDescent="0.25">
      <c r="B81" s="59"/>
      <c r="C81" s="60"/>
      <c r="D81" s="60"/>
      <c r="E81" s="101"/>
      <c r="F81" s="35"/>
      <c r="G81" s="94"/>
      <c r="H81" s="37"/>
      <c r="I81" s="37"/>
    </row>
    <row r="82" spans="1:10" ht="13.5" thickBot="1" x14ac:dyDescent="0.25">
      <c r="B82" s="139" t="s">
        <v>125</v>
      </c>
      <c r="C82" s="140"/>
      <c r="D82" s="141"/>
      <c r="E82" s="97">
        <f>+E73+E78</f>
        <v>2.0094660000000002</v>
      </c>
      <c r="G82" s="35"/>
      <c r="H82" s="94"/>
      <c r="I82" s="37"/>
      <c r="J82" s="101"/>
    </row>
    <row r="83" spans="1:10" x14ac:dyDescent="0.2">
      <c r="I83" s="94"/>
      <c r="J83" s="20"/>
    </row>
    <row r="84" spans="1:10" ht="13.5" thickBot="1" x14ac:dyDescent="0.25">
      <c r="B84" s="138" t="s">
        <v>126</v>
      </c>
      <c r="C84" s="138"/>
      <c r="D84" s="138"/>
      <c r="E84" s="138"/>
      <c r="F84" s="138"/>
      <c r="G84" s="35"/>
      <c r="H84" s="94"/>
      <c r="J84" s="20"/>
    </row>
    <row r="85" spans="1:10" ht="13.5" thickBot="1" x14ac:dyDescent="0.25">
      <c r="B85" s="95" t="s">
        <v>120</v>
      </c>
      <c r="C85" s="96">
        <f>+C73</f>
        <v>18932.460000000003</v>
      </c>
      <c r="D85" s="96">
        <f>+D64</f>
        <v>1</v>
      </c>
      <c r="E85" s="97">
        <f>+C85/D85</f>
        <v>18932.460000000003</v>
      </c>
      <c r="F85" s="35"/>
      <c r="G85" s="94"/>
      <c r="H85" s="37"/>
      <c r="I85" s="94"/>
      <c r="J85" s="20"/>
    </row>
    <row r="86" spans="1:10" x14ac:dyDescent="0.2">
      <c r="B86" s="98"/>
      <c r="C86" s="99"/>
      <c r="D86" s="100"/>
      <c r="E86" s="83"/>
      <c r="F86" s="35"/>
      <c r="G86" s="94"/>
      <c r="H86" s="37"/>
      <c r="I86" s="37"/>
      <c r="J86" s="20"/>
    </row>
    <row r="87" spans="1:10" x14ac:dyDescent="0.2">
      <c r="B87" s="95" t="s">
        <v>121</v>
      </c>
      <c r="C87" s="96">
        <f>+C75</f>
        <v>19313.103129142859</v>
      </c>
      <c r="D87" s="96">
        <f>+D64</f>
        <v>1</v>
      </c>
      <c r="E87" s="101">
        <f>+C87/D87</f>
        <v>19313.103129142859</v>
      </c>
      <c r="F87" s="35"/>
      <c r="G87" s="94"/>
      <c r="H87" s="37"/>
      <c r="I87" s="37"/>
      <c r="J87" s="20"/>
    </row>
    <row r="88" spans="1:10" x14ac:dyDescent="0.2">
      <c r="B88" s="95"/>
      <c r="C88" s="96"/>
      <c r="D88" s="96"/>
      <c r="E88" s="101"/>
      <c r="F88" s="35"/>
      <c r="G88" s="94"/>
      <c r="H88" s="37"/>
      <c r="I88" s="37"/>
      <c r="J88" s="20"/>
    </row>
    <row r="89" spans="1:10" ht="13.5" thickBot="1" x14ac:dyDescent="0.25">
      <c r="B89" s="95" t="s">
        <v>123</v>
      </c>
      <c r="C89" s="96">
        <f>+C77</f>
        <v>1155</v>
      </c>
      <c r="D89" s="96">
        <f>+D64</f>
        <v>1</v>
      </c>
      <c r="E89" s="101">
        <f>+C89/D89</f>
        <v>1155</v>
      </c>
      <c r="F89" s="103"/>
      <c r="G89" s="93"/>
      <c r="H89" s="19"/>
      <c r="I89" s="37"/>
    </row>
    <row r="90" spans="1:10" ht="13.5" thickBot="1" x14ac:dyDescent="0.25">
      <c r="B90" s="95" t="s">
        <v>123</v>
      </c>
      <c r="C90" s="96">
        <f>+C78</f>
        <v>1162.2</v>
      </c>
      <c r="D90" s="96">
        <f>+D89</f>
        <v>1</v>
      </c>
      <c r="E90" s="97">
        <f>+C90/D90</f>
        <v>1162.2</v>
      </c>
      <c r="F90" s="102"/>
      <c r="G90" s="93"/>
      <c r="H90" s="19"/>
      <c r="I90" s="19"/>
    </row>
    <row r="91" spans="1:10" x14ac:dyDescent="0.2">
      <c r="I91" s="19"/>
    </row>
    <row r="92" spans="1:10" x14ac:dyDescent="0.2">
      <c r="A92" s="142"/>
      <c r="B92" s="142"/>
      <c r="C92" s="104"/>
      <c r="D92" s="104"/>
      <c r="E92" s="105"/>
      <c r="G92" s="106"/>
    </row>
    <row r="93" spans="1:10" x14ac:dyDescent="0.2">
      <c r="A93" s="38"/>
      <c r="B93" s="107"/>
      <c r="C93" s="108"/>
      <c r="D93" s="108"/>
      <c r="E93" s="109"/>
      <c r="G93" s="106"/>
    </row>
    <row r="94" spans="1:10" x14ac:dyDescent="0.2">
      <c r="A94" s="38"/>
      <c r="B94" s="107"/>
      <c r="C94" s="110"/>
      <c r="D94" s="110"/>
      <c r="E94" s="38"/>
      <c r="G94" s="106"/>
    </row>
    <row r="95" spans="1:10" x14ac:dyDescent="0.2">
      <c r="A95" s="38"/>
      <c r="B95" s="107"/>
      <c r="C95" s="111"/>
      <c r="D95" s="111"/>
      <c r="E95" s="38"/>
      <c r="G95" s="106"/>
    </row>
  </sheetData>
  <mergeCells count="30"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  <mergeCell ref="H70:H71"/>
    <mergeCell ref="B65:C65"/>
    <mergeCell ref="K65:N65"/>
    <mergeCell ref="K34:L34"/>
    <mergeCell ref="B57:E57"/>
    <mergeCell ref="B58:E58"/>
    <mergeCell ref="K58:N58"/>
    <mergeCell ref="B59:E59"/>
    <mergeCell ref="C60:E60"/>
    <mergeCell ref="B62:C62"/>
    <mergeCell ref="B63:C63"/>
    <mergeCell ref="M63:N63"/>
    <mergeCell ref="B64:C64"/>
    <mergeCell ref="L64:M64"/>
    <mergeCell ref="K33:L33"/>
    <mergeCell ref="A4:H4"/>
    <mergeCell ref="A5:H5"/>
    <mergeCell ref="F6:G6"/>
    <mergeCell ref="K31:L31"/>
    <mergeCell ref="K32:L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E892-C05E-44C4-A19D-797503F31846}">
  <sheetPr>
    <pageSetUpPr fitToPage="1"/>
  </sheetPr>
  <dimension ref="A1:M48"/>
  <sheetViews>
    <sheetView tabSelected="1" zoomScale="80" zoomScaleNormal="80" workbookViewId="0">
      <selection activeCell="B13" sqref="B13"/>
    </sheetView>
  </sheetViews>
  <sheetFormatPr baseColWidth="10" defaultRowHeight="12.75" x14ac:dyDescent="0.2"/>
  <cols>
    <col min="2" max="2" width="16.140625" customWidth="1"/>
    <col min="3" max="3" width="47.5703125" customWidth="1"/>
    <col min="4" max="4" width="22.7109375" customWidth="1"/>
    <col min="7" max="7" width="21.7109375" customWidth="1"/>
    <col min="8" max="8" width="27" customWidth="1"/>
    <col min="9" max="9" width="19.28515625" bestFit="1" customWidth="1"/>
  </cols>
  <sheetData>
    <row r="1" spans="1:9" ht="15" x14ac:dyDescent="0.2">
      <c r="A1" s="114"/>
      <c r="B1" s="115"/>
      <c r="C1" s="118" t="s">
        <v>23</v>
      </c>
      <c r="D1" s="118"/>
      <c r="E1" s="118"/>
      <c r="F1" s="118"/>
      <c r="G1" s="118"/>
      <c r="H1" s="1" t="s">
        <v>0</v>
      </c>
      <c r="I1" s="283" t="s">
        <v>136</v>
      </c>
    </row>
    <row r="2" spans="1:9" ht="16.5" thickBot="1" x14ac:dyDescent="0.3">
      <c r="A2" s="116"/>
      <c r="B2" s="117"/>
      <c r="C2" s="119" t="s">
        <v>1</v>
      </c>
      <c r="D2" s="119"/>
      <c r="E2" s="119"/>
      <c r="F2" s="119"/>
      <c r="G2" s="119"/>
      <c r="H2" s="2" t="s">
        <v>2</v>
      </c>
      <c r="I2" s="3" t="s">
        <v>134</v>
      </c>
    </row>
    <row r="3" spans="1:9" ht="29.25" customHeight="1" thickBot="1" x14ac:dyDescent="0.25">
      <c r="A3" s="116"/>
      <c r="B3" s="117"/>
      <c r="C3" s="172" t="s">
        <v>74</v>
      </c>
      <c r="D3" s="173"/>
      <c r="E3" s="173"/>
      <c r="F3" s="173"/>
      <c r="G3" s="174"/>
      <c r="H3" s="120" t="s">
        <v>3</v>
      </c>
      <c r="I3" s="112">
        <v>45860</v>
      </c>
    </row>
    <row r="4" spans="1:9" ht="13.5" x14ac:dyDescent="0.25">
      <c r="A4" s="116"/>
      <c r="B4" s="117"/>
      <c r="C4" s="4" t="s">
        <v>4</v>
      </c>
      <c r="D4" s="155" t="s">
        <v>53</v>
      </c>
      <c r="E4" s="156"/>
      <c r="F4" s="156"/>
      <c r="G4" s="157"/>
      <c r="H4" s="121"/>
      <c r="I4" s="113"/>
    </row>
    <row r="5" spans="1:9" ht="14.25" thickBot="1" x14ac:dyDescent="0.3">
      <c r="A5" s="161"/>
      <c r="B5" s="162"/>
      <c r="C5" s="5" t="s">
        <v>5</v>
      </c>
      <c r="D5" s="158" t="s">
        <v>32</v>
      </c>
      <c r="E5" s="159"/>
      <c r="F5" s="159"/>
      <c r="G5" s="160"/>
      <c r="H5" s="122"/>
      <c r="I5" s="154"/>
    </row>
    <row r="6" spans="1:9" ht="18.75" thickBot="1" x14ac:dyDescent="0.3">
      <c r="A6" s="163" t="s">
        <v>29</v>
      </c>
      <c r="B6" s="163"/>
      <c r="C6" s="163"/>
      <c r="D6" s="164" t="s">
        <v>54</v>
      </c>
      <c r="E6" s="164"/>
      <c r="F6" s="164"/>
      <c r="G6" s="165" t="s">
        <v>28</v>
      </c>
      <c r="H6" s="165"/>
      <c r="I6" s="6" t="s">
        <v>55</v>
      </c>
    </row>
    <row r="7" spans="1:9" x14ac:dyDescent="0.2">
      <c r="A7" s="166" t="s">
        <v>6</v>
      </c>
      <c r="B7" s="168" t="s">
        <v>56</v>
      </c>
      <c r="C7" s="170" t="s">
        <v>7</v>
      </c>
      <c r="D7" s="170" t="s">
        <v>8</v>
      </c>
      <c r="E7" s="170" t="s">
        <v>9</v>
      </c>
      <c r="F7" s="170"/>
      <c r="G7" s="170" t="s">
        <v>10</v>
      </c>
      <c r="H7" s="170"/>
      <c r="I7" s="7" t="s">
        <v>11</v>
      </c>
    </row>
    <row r="8" spans="1:9" ht="26.25" thickBot="1" x14ac:dyDescent="0.25">
      <c r="A8" s="167"/>
      <c r="B8" s="169"/>
      <c r="C8" s="171"/>
      <c r="D8" s="171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175"/>
      <c r="B9" s="176"/>
      <c r="C9" s="177" t="s">
        <v>57</v>
      </c>
      <c r="D9" s="178"/>
      <c r="E9" s="179"/>
      <c r="F9" s="180"/>
      <c r="G9" s="179"/>
      <c r="H9" s="180"/>
      <c r="I9" s="181"/>
    </row>
    <row r="10" spans="1:9" ht="20.25" x14ac:dyDescent="0.3">
      <c r="A10" s="182"/>
      <c r="B10" s="183" t="s">
        <v>73</v>
      </c>
      <c r="C10" s="288" t="s">
        <v>72</v>
      </c>
      <c r="D10" s="185" t="s">
        <v>30</v>
      </c>
      <c r="E10" s="186">
        <v>200</v>
      </c>
      <c r="F10" s="187" t="s">
        <v>26</v>
      </c>
      <c r="G10" s="188"/>
      <c r="H10" s="223"/>
      <c r="I10" s="181"/>
    </row>
    <row r="11" spans="1:9" ht="20.25" x14ac:dyDescent="0.3">
      <c r="A11" s="189"/>
      <c r="B11" s="189"/>
      <c r="C11" s="184"/>
      <c r="D11" s="185"/>
      <c r="E11" s="190"/>
      <c r="F11" s="187"/>
      <c r="G11" s="191"/>
      <c r="H11" s="223"/>
      <c r="I11" s="181"/>
    </row>
    <row r="12" spans="1:9" ht="20.25" x14ac:dyDescent="0.3">
      <c r="A12" s="186"/>
      <c r="B12" s="192"/>
      <c r="C12" s="193"/>
      <c r="D12" s="194"/>
      <c r="E12" s="194"/>
      <c r="F12" s="194"/>
      <c r="G12" s="191"/>
      <c r="H12" s="195"/>
      <c r="I12" s="181"/>
    </row>
    <row r="13" spans="1:9" ht="20.25" x14ac:dyDescent="0.3">
      <c r="A13" s="186"/>
      <c r="B13" s="192"/>
      <c r="C13" s="193"/>
      <c r="D13" s="194"/>
      <c r="E13" s="194"/>
      <c r="F13" s="194"/>
      <c r="G13" s="191"/>
      <c r="H13" s="195"/>
      <c r="I13" s="181"/>
    </row>
    <row r="14" spans="1:9" ht="20.25" x14ac:dyDescent="0.3">
      <c r="A14" s="186"/>
      <c r="B14" s="192"/>
      <c r="C14" s="196"/>
      <c r="D14" s="194"/>
      <c r="E14" s="194"/>
      <c r="F14" s="194"/>
      <c r="G14" s="191"/>
      <c r="H14" s="195"/>
      <c r="I14" s="181"/>
    </row>
    <row r="15" spans="1:9" ht="20.25" x14ac:dyDescent="0.3">
      <c r="A15" s="186"/>
      <c r="B15" s="192"/>
      <c r="C15" s="193"/>
      <c r="D15" s="194"/>
      <c r="E15" s="194"/>
      <c r="F15" s="194"/>
      <c r="G15" s="191"/>
      <c r="H15" s="195"/>
      <c r="I15" s="181"/>
    </row>
    <row r="16" spans="1:9" ht="20.25" x14ac:dyDescent="0.3">
      <c r="A16" s="186"/>
      <c r="B16" s="192"/>
      <c r="C16" s="193"/>
      <c r="D16" s="194"/>
      <c r="E16" s="194"/>
      <c r="F16" s="194"/>
      <c r="G16" s="191"/>
      <c r="H16" s="195"/>
      <c r="I16" s="181"/>
    </row>
    <row r="17" spans="1:9" ht="20.25" x14ac:dyDescent="0.3">
      <c r="A17" s="192"/>
      <c r="B17" s="192"/>
      <c r="C17" s="197"/>
      <c r="D17" s="198"/>
      <c r="E17" s="198"/>
      <c r="F17" s="199"/>
      <c r="G17" s="179"/>
      <c r="H17" s="180"/>
      <c r="I17" s="181"/>
    </row>
    <row r="18" spans="1:9" ht="20.25" x14ac:dyDescent="0.3">
      <c r="A18" s="200"/>
      <c r="B18" s="201"/>
      <c r="C18" s="202" t="s">
        <v>58</v>
      </c>
      <c r="D18" s="194"/>
      <c r="E18" s="203"/>
      <c r="F18" s="199"/>
      <c r="G18" s="179"/>
      <c r="H18" s="180"/>
      <c r="I18" s="181"/>
    </row>
    <row r="19" spans="1:9" ht="20.25" x14ac:dyDescent="0.3">
      <c r="A19" s="204"/>
      <c r="B19" s="194"/>
      <c r="C19" s="205"/>
      <c r="D19" s="206"/>
      <c r="E19" s="198"/>
      <c r="F19" s="199"/>
      <c r="G19" s="179"/>
      <c r="H19" s="180"/>
      <c r="I19" s="181"/>
    </row>
    <row r="20" spans="1:9" ht="20.25" x14ac:dyDescent="0.3">
      <c r="A20" s="192"/>
      <c r="B20" s="192"/>
      <c r="C20" s="197"/>
      <c r="D20" s="206"/>
      <c r="E20" s="198"/>
      <c r="F20" s="199"/>
      <c r="G20" s="179"/>
      <c r="H20" s="180"/>
      <c r="I20" s="181"/>
    </row>
    <row r="21" spans="1:9" ht="20.25" x14ac:dyDescent="0.3">
      <c r="A21" s="207"/>
      <c r="B21" s="207"/>
      <c r="C21" s="205"/>
      <c r="D21" s="206"/>
      <c r="E21" s="198"/>
      <c r="F21" s="199"/>
      <c r="G21" s="179"/>
      <c r="H21" s="180"/>
      <c r="I21" s="181"/>
    </row>
    <row r="22" spans="1:9" ht="20.25" x14ac:dyDescent="0.3">
      <c r="A22" s="192"/>
      <c r="B22" s="192"/>
      <c r="C22" s="197"/>
      <c r="D22" s="198"/>
      <c r="E22" s="194"/>
      <c r="F22" s="199"/>
      <c r="G22" s="179"/>
      <c r="H22" s="180"/>
      <c r="I22" s="181"/>
    </row>
    <row r="23" spans="1:9" ht="20.25" x14ac:dyDescent="0.3">
      <c r="A23" s="192"/>
      <c r="B23" s="192"/>
      <c r="C23" s="197"/>
      <c r="D23" s="185"/>
      <c r="E23" s="208"/>
      <c r="F23" s="209"/>
      <c r="G23" s="179"/>
      <c r="H23" s="180"/>
      <c r="I23" s="181"/>
    </row>
    <row r="24" spans="1:9" ht="20.25" x14ac:dyDescent="0.3">
      <c r="A24" s="210"/>
      <c r="B24" s="211"/>
      <c r="C24" s="212" t="s">
        <v>55</v>
      </c>
      <c r="D24" s="213"/>
      <c r="E24" s="214"/>
      <c r="F24" s="180"/>
      <c r="G24" s="179"/>
      <c r="H24" s="215"/>
      <c r="I24" s="181"/>
    </row>
    <row r="25" spans="1:9" ht="20.25" x14ac:dyDescent="0.3">
      <c r="A25" s="216">
        <v>1950904</v>
      </c>
      <c r="B25" s="216" t="s">
        <v>59</v>
      </c>
      <c r="C25" s="217" t="s">
        <v>60</v>
      </c>
      <c r="D25" s="185"/>
      <c r="E25" s="186">
        <v>1</v>
      </c>
      <c r="F25" s="187" t="s">
        <v>27</v>
      </c>
      <c r="G25" s="218"/>
      <c r="H25" s="180"/>
      <c r="I25" s="181"/>
    </row>
    <row r="26" spans="1:9" ht="20.25" x14ac:dyDescent="0.3">
      <c r="A26" s="216" t="s">
        <v>61</v>
      </c>
      <c r="B26" s="216" t="s">
        <v>62</v>
      </c>
      <c r="C26" s="217" t="s">
        <v>63</v>
      </c>
      <c r="D26" s="185" t="s">
        <v>35</v>
      </c>
      <c r="E26" s="186" t="s">
        <v>64</v>
      </c>
      <c r="F26" s="187" t="s">
        <v>27</v>
      </c>
      <c r="G26" s="218"/>
      <c r="H26" s="180"/>
      <c r="I26" s="181"/>
    </row>
    <row r="27" spans="1:9" ht="20.25" x14ac:dyDescent="0.3">
      <c r="A27" s="216">
        <v>702067</v>
      </c>
      <c r="B27" s="216" t="s">
        <v>65</v>
      </c>
      <c r="C27" s="217" t="s">
        <v>66</v>
      </c>
      <c r="D27" s="219" t="s">
        <v>67</v>
      </c>
      <c r="E27" s="186" t="s">
        <v>64</v>
      </c>
      <c r="F27" s="187" t="s">
        <v>27</v>
      </c>
      <c r="G27" s="218"/>
      <c r="H27" s="180"/>
      <c r="I27" s="181"/>
    </row>
    <row r="28" spans="1:9" ht="20.25" x14ac:dyDescent="0.3">
      <c r="A28" s="220"/>
      <c r="B28" s="282" t="s">
        <v>46</v>
      </c>
      <c r="C28" s="215" t="s">
        <v>47</v>
      </c>
      <c r="D28" s="221"/>
      <c r="E28" s="186">
        <v>1</v>
      </c>
      <c r="F28" s="222" t="s">
        <v>27</v>
      </c>
      <c r="G28" s="179"/>
      <c r="H28" s="223"/>
      <c r="I28" s="181"/>
    </row>
    <row r="29" spans="1:9" ht="20.25" x14ac:dyDescent="0.3">
      <c r="A29" s="220"/>
      <c r="B29" s="224"/>
      <c r="C29" s="225"/>
      <c r="D29" s="226"/>
      <c r="E29" s="227"/>
      <c r="F29" s="228"/>
      <c r="G29" s="179"/>
      <c r="H29" s="180"/>
      <c r="I29" s="181"/>
    </row>
    <row r="30" spans="1:9" ht="20.25" x14ac:dyDescent="0.3">
      <c r="A30" s="229"/>
      <c r="B30" s="230"/>
      <c r="C30" s="231"/>
      <c r="D30" s="194"/>
      <c r="E30" s="198"/>
      <c r="F30" s="199"/>
      <c r="G30" s="232"/>
      <c r="H30" s="194"/>
      <c r="I30" s="181"/>
    </row>
    <row r="31" spans="1:9" ht="20.25" x14ac:dyDescent="0.3">
      <c r="A31" s="200"/>
      <c r="B31" s="201"/>
      <c r="C31" s="233"/>
      <c r="D31" s="194"/>
      <c r="E31" s="198"/>
      <c r="F31" s="199"/>
      <c r="G31" s="198"/>
      <c r="H31" s="194"/>
      <c r="I31" s="181"/>
    </row>
    <row r="32" spans="1:9" ht="20.25" x14ac:dyDescent="0.3">
      <c r="A32" s="200"/>
      <c r="B32" s="201"/>
      <c r="C32" s="233"/>
      <c r="D32" s="194"/>
      <c r="E32" s="198"/>
      <c r="F32" s="199"/>
      <c r="G32" s="198"/>
      <c r="H32" s="199"/>
      <c r="I32" s="181"/>
    </row>
    <row r="33" spans="1:13" ht="20.25" x14ac:dyDescent="0.3">
      <c r="A33" s="200"/>
      <c r="B33" s="201"/>
      <c r="C33" s="233"/>
      <c r="D33" s="194"/>
      <c r="E33" s="194"/>
      <c r="F33" s="199"/>
      <c r="G33" s="194"/>
      <c r="H33" s="194"/>
      <c r="I33" s="181"/>
    </row>
    <row r="34" spans="1:13" ht="21" thickBot="1" x14ac:dyDescent="0.35">
      <c r="A34" s="234"/>
      <c r="B34" s="235"/>
      <c r="C34" s="236"/>
      <c r="D34" s="236"/>
      <c r="E34" s="237"/>
      <c r="F34" s="238"/>
      <c r="G34" s="236"/>
      <c r="H34" s="236"/>
      <c r="I34" s="239"/>
      <c r="J34" s="12"/>
      <c r="K34" s="12"/>
      <c r="L34" s="13"/>
      <c r="M34" s="12"/>
    </row>
    <row r="35" spans="1:13" ht="21" thickBot="1" x14ac:dyDescent="0.35">
      <c r="A35" s="240"/>
      <c r="B35" s="241"/>
      <c r="C35" s="242"/>
      <c r="D35" s="243" t="s">
        <v>12</v>
      </c>
      <c r="E35" s="244" t="s">
        <v>31</v>
      </c>
      <c r="F35" s="245"/>
      <c r="G35" s="242"/>
      <c r="H35" s="242"/>
      <c r="I35" s="246"/>
      <c r="J35" s="12"/>
      <c r="K35" s="12"/>
      <c r="L35" s="13"/>
      <c r="M35" s="12"/>
    </row>
    <row r="36" spans="1:13" ht="20.25" x14ac:dyDescent="0.3">
      <c r="A36" s="247" t="s">
        <v>15</v>
      </c>
      <c r="B36" s="248"/>
      <c r="C36" s="249"/>
      <c r="D36" s="188">
        <v>200</v>
      </c>
      <c r="E36" s="250" t="s">
        <v>26</v>
      </c>
      <c r="F36" s="251" t="s">
        <v>24</v>
      </c>
      <c r="G36" s="251"/>
      <c r="H36" s="252"/>
      <c r="I36" s="253"/>
      <c r="J36" s="12"/>
      <c r="K36" s="12"/>
      <c r="L36" s="13"/>
      <c r="M36" s="12"/>
    </row>
    <row r="37" spans="1:13" ht="20.25" x14ac:dyDescent="0.3">
      <c r="A37" s="254" t="s">
        <v>16</v>
      </c>
      <c r="B37" s="255"/>
      <c r="C37" s="256"/>
      <c r="D37" s="190">
        <v>45</v>
      </c>
      <c r="E37" s="192" t="s">
        <v>68</v>
      </c>
      <c r="F37" s="257" t="s">
        <v>17</v>
      </c>
      <c r="G37" s="257"/>
      <c r="H37" s="258"/>
      <c r="I37" s="259"/>
      <c r="J37" s="12"/>
      <c r="K37" s="12"/>
      <c r="L37" s="13"/>
      <c r="M37" s="12"/>
    </row>
    <row r="38" spans="1:13" ht="20.25" x14ac:dyDescent="0.3">
      <c r="A38" s="254" t="s">
        <v>18</v>
      </c>
      <c r="B38" s="255"/>
      <c r="C38" s="256"/>
      <c r="D38" s="192">
        <v>1</v>
      </c>
      <c r="E38" s="192" t="s">
        <v>69</v>
      </c>
      <c r="F38" s="257" t="s">
        <v>25</v>
      </c>
      <c r="G38" s="257"/>
      <c r="H38" s="258"/>
      <c r="I38" s="259"/>
      <c r="J38" s="12"/>
      <c r="K38" s="12"/>
      <c r="L38" s="13"/>
      <c r="M38" s="12"/>
    </row>
    <row r="39" spans="1:13" ht="20.25" x14ac:dyDescent="0.3">
      <c r="A39" s="254" t="s">
        <v>19</v>
      </c>
      <c r="B39" s="255"/>
      <c r="C39" s="256"/>
      <c r="D39" s="186">
        <v>200</v>
      </c>
      <c r="E39" s="192" t="s">
        <v>26</v>
      </c>
      <c r="F39" s="260" t="s">
        <v>20</v>
      </c>
      <c r="G39" s="261"/>
      <c r="H39" s="258"/>
      <c r="I39" s="259"/>
      <c r="J39" s="12"/>
      <c r="K39" s="12"/>
      <c r="L39" s="13"/>
      <c r="M39" s="14"/>
    </row>
    <row r="40" spans="1:13" ht="21" thickBot="1" x14ac:dyDescent="0.35">
      <c r="A40" s="262" t="s">
        <v>21</v>
      </c>
      <c r="B40" s="263"/>
      <c r="C40" s="264"/>
      <c r="D40" s="265">
        <v>0</v>
      </c>
      <c r="E40" s="266" t="s">
        <v>26</v>
      </c>
      <c r="F40" s="267"/>
      <c r="G40" s="267"/>
      <c r="H40" s="268"/>
      <c r="I40" s="269"/>
      <c r="J40" s="11"/>
      <c r="K40" s="11"/>
      <c r="L40" s="13"/>
      <c r="M40" s="11"/>
    </row>
    <row r="41" spans="1:13" ht="21" thickBot="1" x14ac:dyDescent="0.35">
      <c r="A41" s="285" t="s">
        <v>22</v>
      </c>
      <c r="B41" s="286"/>
      <c r="C41" s="286"/>
      <c r="D41" s="286"/>
      <c r="E41" s="286"/>
      <c r="F41" s="286"/>
      <c r="G41" s="286"/>
      <c r="H41" s="286"/>
      <c r="I41" s="287"/>
      <c r="J41" s="12"/>
      <c r="K41" s="12"/>
      <c r="L41" s="12"/>
      <c r="M41" s="12"/>
    </row>
    <row r="42" spans="1:13" ht="20.25" x14ac:dyDescent="0.3">
      <c r="A42" s="270" t="s">
        <v>135</v>
      </c>
      <c r="B42" s="271"/>
      <c r="C42" s="272"/>
      <c r="D42" s="272"/>
      <c r="E42" s="272"/>
      <c r="F42" s="272"/>
      <c r="G42" s="272"/>
      <c r="H42" s="272"/>
      <c r="I42" s="273"/>
      <c r="J42" s="12"/>
      <c r="K42" s="12"/>
      <c r="L42" s="12"/>
      <c r="M42" s="12"/>
    </row>
    <row r="43" spans="1:13" ht="20.25" x14ac:dyDescent="0.3">
      <c r="A43" s="274" t="s">
        <v>70</v>
      </c>
      <c r="B43" s="275"/>
      <c r="C43" s="275"/>
      <c r="D43" s="275"/>
      <c r="E43" s="275"/>
      <c r="F43" s="275"/>
      <c r="G43" s="275"/>
      <c r="H43" s="275"/>
      <c r="I43" s="276"/>
      <c r="J43" s="12"/>
      <c r="K43" s="12"/>
      <c r="L43" s="12"/>
      <c r="M43" s="12"/>
    </row>
    <row r="44" spans="1:13" ht="20.25" x14ac:dyDescent="0.3">
      <c r="A44" s="274"/>
      <c r="B44" s="275"/>
      <c r="C44" s="275"/>
      <c r="D44" s="275"/>
      <c r="E44" s="275"/>
      <c r="F44" s="275"/>
      <c r="G44" s="275"/>
      <c r="H44" s="275"/>
      <c r="I44" s="276"/>
      <c r="J44" s="12"/>
      <c r="K44" s="12"/>
      <c r="L44" s="12"/>
      <c r="M44" s="12"/>
    </row>
    <row r="45" spans="1:13" ht="21" thickBot="1" x14ac:dyDescent="0.35">
      <c r="A45" s="277"/>
      <c r="B45" s="278"/>
      <c r="C45" s="278"/>
      <c r="D45" s="278"/>
      <c r="E45" s="278"/>
      <c r="F45" s="278"/>
      <c r="G45" s="278"/>
      <c r="H45" s="278"/>
      <c r="I45" s="279"/>
      <c r="J45" s="12"/>
      <c r="K45" s="12"/>
      <c r="L45" s="12"/>
      <c r="M45" s="12"/>
    </row>
    <row r="46" spans="1:13" ht="20.25" x14ac:dyDescent="0.3">
      <c r="A46" s="280" t="s">
        <v>71</v>
      </c>
      <c r="B46" s="281"/>
      <c r="C46" s="281"/>
      <c r="D46" s="281"/>
      <c r="E46" s="281"/>
      <c r="F46" s="281"/>
      <c r="G46" s="281"/>
      <c r="H46" s="281"/>
      <c r="I46" s="281"/>
      <c r="J46" s="12"/>
      <c r="K46" s="12"/>
      <c r="L46" s="12"/>
      <c r="M46" s="12"/>
    </row>
    <row r="47" spans="1:13" ht="20.25" x14ac:dyDescent="0.3">
      <c r="A47" s="284"/>
      <c r="B47" s="284"/>
      <c r="C47" s="284"/>
      <c r="D47" s="284"/>
      <c r="E47" s="284"/>
      <c r="F47" s="284"/>
      <c r="G47" s="284"/>
      <c r="H47" s="284"/>
      <c r="I47" s="284"/>
      <c r="J47" s="12"/>
      <c r="K47" s="12"/>
      <c r="L47" s="12"/>
      <c r="M47" s="12"/>
    </row>
    <row r="48" spans="1:13" ht="20.25" x14ac:dyDescent="0.3">
      <c r="A48" s="284"/>
      <c r="B48" s="284"/>
      <c r="C48" s="284"/>
      <c r="D48" s="284"/>
      <c r="E48" s="284"/>
      <c r="F48" s="284"/>
      <c r="G48" s="284"/>
      <c r="H48" s="284"/>
      <c r="I48" s="284"/>
    </row>
  </sheetData>
  <mergeCells count="40">
    <mergeCell ref="A48:I48"/>
    <mergeCell ref="A40:C40"/>
    <mergeCell ref="F40:G40"/>
    <mergeCell ref="H40:I40"/>
    <mergeCell ref="A45:I45"/>
    <mergeCell ref="A38:C38"/>
    <mergeCell ref="F38:G38"/>
    <mergeCell ref="H38:I38"/>
    <mergeCell ref="A46:I46"/>
    <mergeCell ref="A47:I47"/>
    <mergeCell ref="A39:C39"/>
    <mergeCell ref="F39:G39"/>
    <mergeCell ref="H39:I39"/>
    <mergeCell ref="A41:I41"/>
    <mergeCell ref="A42:I42"/>
    <mergeCell ref="A43:I43"/>
    <mergeCell ref="A44:I44"/>
    <mergeCell ref="A36:C36"/>
    <mergeCell ref="F36:G36"/>
    <mergeCell ref="H36:I36"/>
    <mergeCell ref="A37:C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37:G37"/>
    <mergeCell ref="H37:I3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9776-7220-4049-B79E-77C7658D4C89}">
  <dimension ref="A1:Q91"/>
  <sheetViews>
    <sheetView workbookViewId="0">
      <selection activeCell="H61" sqref="H61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11" style="20" customWidth="1"/>
    <col min="6" max="6" width="9.5703125" style="20" bestFit="1" customWidth="1"/>
    <col min="7" max="7" width="10.85546875" style="102" customWidth="1"/>
    <col min="8" max="8" width="10.42578125" style="93" bestFit="1" customWidth="1"/>
    <col min="9" max="9" width="4.5703125" style="93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0" ht="27.75" customHeight="1" x14ac:dyDescent="0.2">
      <c r="A1" s="15"/>
      <c r="B1" s="15"/>
      <c r="C1" s="15"/>
      <c r="D1" s="15"/>
      <c r="E1" s="16" t="s">
        <v>75</v>
      </c>
      <c r="F1" s="17" t="s">
        <v>76</v>
      </c>
      <c r="G1" s="17" t="s">
        <v>77</v>
      </c>
      <c r="H1" s="17" t="s">
        <v>78</v>
      </c>
      <c r="I1" s="18"/>
    </row>
    <row r="2" spans="1:10" ht="30.75" customHeight="1" x14ac:dyDescent="0.2">
      <c r="A2" s="15"/>
      <c r="B2" s="15"/>
      <c r="C2" s="15"/>
      <c r="D2" s="15"/>
      <c r="E2" s="21">
        <f>IFERROR(O62,"")</f>
        <v>595.4946566475071</v>
      </c>
      <c r="F2" s="21">
        <f>IFERROR(H53,"")</f>
        <v>378.64920000000006</v>
      </c>
      <c r="G2" s="21">
        <f>IFERROR(H54,"")</f>
        <v>8.5462358682862867</v>
      </c>
      <c r="H2" s="21">
        <f>IFERROR(H56,"")</f>
        <v>100.244</v>
      </c>
      <c r="I2" s="22"/>
    </row>
    <row r="3" spans="1:10" ht="15" customHeight="1" x14ac:dyDescent="0.2">
      <c r="A3" s="15"/>
      <c r="B3" s="15"/>
      <c r="C3" s="15"/>
      <c r="D3" s="15"/>
      <c r="E3" s="15"/>
      <c r="F3" s="23"/>
      <c r="G3" s="23"/>
      <c r="H3" s="23"/>
      <c r="I3" s="23"/>
    </row>
    <row r="4" spans="1:10" ht="24.75" customHeight="1" thickBot="1" x14ac:dyDescent="0.25">
      <c r="A4" s="124"/>
      <c r="B4" s="124"/>
      <c r="C4" s="124"/>
      <c r="D4" s="124"/>
      <c r="E4" s="124"/>
      <c r="F4" s="124"/>
      <c r="G4" s="124"/>
      <c r="H4" s="124"/>
      <c r="I4" s="24"/>
    </row>
    <row r="5" spans="1:10" ht="19.5" customHeight="1" thickBot="1" x14ac:dyDescent="0.25">
      <c r="A5" s="125" t="s">
        <v>79</v>
      </c>
      <c r="B5" s="126"/>
      <c r="C5" s="126"/>
      <c r="D5" s="126"/>
      <c r="E5" s="126"/>
      <c r="F5" s="126"/>
      <c r="G5" s="126"/>
      <c r="H5" s="127"/>
      <c r="I5" s="25"/>
    </row>
    <row r="6" spans="1:10" ht="19.5" thickBot="1" x14ac:dyDescent="0.25">
      <c r="A6" s="25"/>
      <c r="B6" s="25"/>
      <c r="C6" s="25"/>
      <c r="D6" s="25"/>
      <c r="E6" s="25"/>
      <c r="F6" s="128" t="s">
        <v>80</v>
      </c>
      <c r="G6" s="128"/>
      <c r="H6" s="26">
        <f ca="1">TODAY()</f>
        <v>45860</v>
      </c>
      <c r="I6" s="26"/>
    </row>
    <row r="7" spans="1:10" ht="26.25" hidden="1" thickBot="1" x14ac:dyDescent="0.25">
      <c r="A7" s="27" t="s">
        <v>81</v>
      </c>
      <c r="B7" s="28" t="s">
        <v>82</v>
      </c>
      <c r="C7" s="28" t="s">
        <v>81</v>
      </c>
      <c r="D7" s="29" t="s">
        <v>83</v>
      </c>
      <c r="E7" s="29" t="s">
        <v>84</v>
      </c>
      <c r="F7" s="29" t="s">
        <v>85</v>
      </c>
      <c r="G7" s="29" t="s">
        <v>86</v>
      </c>
      <c r="H7" s="30" t="s">
        <v>87</v>
      </c>
      <c r="I7" s="31"/>
    </row>
    <row r="8" spans="1:10" ht="13.5" hidden="1" x14ac:dyDescent="0.25">
      <c r="A8" s="32"/>
      <c r="B8" s="20" t="str">
        <f>IFERROR(VLOOKUP(H8,'[1]Consolidado MP Planta'!$A$2:$M$823,3,0),"")</f>
        <v/>
      </c>
      <c r="C8" s="33">
        <f>+A8</f>
        <v>0</v>
      </c>
      <c r="D8" s="34" t="str">
        <f>IFERROR(VLOOKUP(H8,'[1]Consolidado MP Planta'!$A$2:$M$823,13,0),"")</f>
        <v/>
      </c>
      <c r="E8" s="34" t="str">
        <f>IFERROR(VLOOKUP(H8,'[1]Consolidado MP Planta'!$A$2:$M$823,12,0),"")</f>
        <v/>
      </c>
      <c r="F8" s="34" t="str">
        <f>IFERROR(C8*E8,"")</f>
        <v/>
      </c>
      <c r="G8" s="35" t="str">
        <f t="shared" ref="G8:G14" si="0">IFERROR(F8/$F$66,"")</f>
        <v/>
      </c>
      <c r="H8" s="36"/>
      <c r="I8" s="36"/>
      <c r="J8" s="37"/>
    </row>
    <row r="9" spans="1:10" ht="13.5" hidden="1" x14ac:dyDescent="0.25">
      <c r="A9" s="32"/>
      <c r="B9" s="20" t="str">
        <f>IFERROR(VLOOKUP(H9,'[1]Consolidado MP Planta'!$A$2:$M$823,3,0),"")</f>
        <v/>
      </c>
      <c r="C9" s="33">
        <f t="shared" ref="C9:C14" si="1">+A9</f>
        <v>0</v>
      </c>
      <c r="D9" s="34" t="str">
        <f>IFERROR(VLOOKUP(H9,'[1]Consolidado MP Planta'!$A$2:$M$823,13,0),"")</f>
        <v/>
      </c>
      <c r="E9" s="34" t="str">
        <f>IFERROR(VLOOKUP(H9,'[1]Consolidado MP Planta'!$A$2:$M$823,12,0),"")</f>
        <v/>
      </c>
      <c r="F9" s="34" t="str">
        <f t="shared" ref="F9:F14" si="2">IFERROR(C9*E9,"")</f>
        <v/>
      </c>
      <c r="G9" s="35" t="str">
        <f t="shared" si="0"/>
        <v/>
      </c>
      <c r="H9" s="36"/>
      <c r="I9" s="36"/>
      <c r="J9" s="37"/>
    </row>
    <row r="10" spans="1:10" ht="13.5" hidden="1" x14ac:dyDescent="0.25">
      <c r="A10" s="32"/>
      <c r="B10" s="20" t="str">
        <f>IFERROR(VLOOKUP(H10,'[1]Consolidado MP Planta'!$A$2:$M$823,3,0),"")</f>
        <v/>
      </c>
      <c r="C10" s="33">
        <f t="shared" si="1"/>
        <v>0</v>
      </c>
      <c r="D10" s="34" t="str">
        <f>IFERROR(VLOOKUP(H10,'[1]Consolidado MP Planta'!$A$2:$M$823,13,0),"")</f>
        <v/>
      </c>
      <c r="E10" s="34" t="str">
        <f>IFERROR(VLOOKUP(H10,'[1]Consolidado MP Planta'!$A$2:$M$823,12,0),"")</f>
        <v/>
      </c>
      <c r="F10" s="34" t="str">
        <f t="shared" si="2"/>
        <v/>
      </c>
      <c r="G10" s="35" t="str">
        <f t="shared" si="0"/>
        <v/>
      </c>
      <c r="H10" s="36"/>
      <c r="I10" s="36"/>
      <c r="J10" s="37"/>
    </row>
    <row r="11" spans="1:10" ht="13.5" hidden="1" x14ac:dyDescent="0.25">
      <c r="A11" s="32"/>
      <c r="B11" s="20" t="str">
        <f>IFERROR(VLOOKUP(H11,'[1]Consolidado MP Planta'!$A$2:$M$823,3,0),"")</f>
        <v/>
      </c>
      <c r="C11" s="33">
        <f t="shared" si="1"/>
        <v>0</v>
      </c>
      <c r="D11" s="34" t="str">
        <f>IFERROR(VLOOKUP(H11,'[1]Consolidado MP Planta'!$A$2:$M$823,13,0),"")</f>
        <v/>
      </c>
      <c r="E11" s="34" t="str">
        <f>IFERROR(VLOOKUP(H11,'[1]Consolidado MP Planta'!$A$2:$M$823,12,0),"")</f>
        <v/>
      </c>
      <c r="F11" s="34" t="str">
        <f t="shared" si="2"/>
        <v/>
      </c>
      <c r="G11" s="35" t="str">
        <f t="shared" si="0"/>
        <v/>
      </c>
      <c r="H11" s="36"/>
      <c r="I11" s="36"/>
      <c r="J11" s="37"/>
    </row>
    <row r="12" spans="1:10" ht="13.5" hidden="1" x14ac:dyDescent="0.25">
      <c r="A12" s="32"/>
      <c r="B12" s="20" t="str">
        <f>IFERROR(VLOOKUP(H12,'[1]Consolidado MP Planta'!$A$2:$M$823,3,0),"")</f>
        <v/>
      </c>
      <c r="C12" s="33">
        <f t="shared" si="1"/>
        <v>0</v>
      </c>
      <c r="D12" s="34" t="str">
        <f>IFERROR(VLOOKUP(H12,'[1]Consolidado MP Planta'!$A$2:$M$823,13,0),"")</f>
        <v/>
      </c>
      <c r="E12" s="34" t="str">
        <f>IFERROR(VLOOKUP(H12,'[1]Consolidado MP Planta'!$A$2:$M$823,12,0),"")</f>
        <v/>
      </c>
      <c r="F12" s="34" t="str">
        <f t="shared" si="2"/>
        <v/>
      </c>
      <c r="G12" s="35" t="str">
        <f t="shared" si="0"/>
        <v/>
      </c>
      <c r="H12" s="36"/>
      <c r="I12" s="36"/>
      <c r="J12" s="37"/>
    </row>
    <row r="13" spans="1:10" ht="13.5" hidden="1" x14ac:dyDescent="0.25">
      <c r="A13" s="32"/>
      <c r="B13" s="20" t="str">
        <f>IFERROR(VLOOKUP(H13,'[1]Consolidado MP Planta'!$A$2:$M$823,3,0),"")</f>
        <v/>
      </c>
      <c r="C13" s="33">
        <f t="shared" si="1"/>
        <v>0</v>
      </c>
      <c r="D13" s="34" t="str">
        <f>IFERROR(VLOOKUP(H13,'[1]Consolidado MP Planta'!$A$2:$M$823,13,0),"")</f>
        <v/>
      </c>
      <c r="E13" s="34" t="str">
        <f>IFERROR(VLOOKUP(H13,'[1]Consolidado MP Planta'!$A$2:$M$823,12,0),"")</f>
        <v/>
      </c>
      <c r="F13" s="34" t="str">
        <f t="shared" si="2"/>
        <v/>
      </c>
      <c r="G13" s="35" t="str">
        <f t="shared" si="0"/>
        <v/>
      </c>
      <c r="H13" s="36"/>
      <c r="I13" s="36"/>
      <c r="J13" s="37"/>
    </row>
    <row r="14" spans="1:10" ht="13.5" hidden="1" x14ac:dyDescent="0.25">
      <c r="A14" s="32"/>
      <c r="B14" s="20" t="str">
        <f>IFERROR(VLOOKUP(H14,'[1]Consolidado MP Planta'!$A$2:$M$823,3,0),"")</f>
        <v/>
      </c>
      <c r="C14" s="33">
        <f t="shared" si="1"/>
        <v>0</v>
      </c>
      <c r="D14" s="34" t="str">
        <f>IFERROR(VLOOKUP(H14,'[1]Consolidado MP Planta'!$A$2:$M$823,13,0),"")</f>
        <v/>
      </c>
      <c r="E14" s="34" t="str">
        <f>IFERROR(VLOOKUP(H14,'[1]Consolidado MP Planta'!$A$2:$M$823,12,0),"")</f>
        <v/>
      </c>
      <c r="F14" s="34" t="str">
        <f t="shared" si="2"/>
        <v/>
      </c>
      <c r="G14" s="35" t="str">
        <f t="shared" si="0"/>
        <v/>
      </c>
      <c r="H14" s="36"/>
      <c r="I14" s="36"/>
      <c r="J14" s="37"/>
    </row>
    <row r="15" spans="1:10" ht="14.25" hidden="1" thickBot="1" x14ac:dyDescent="0.3">
      <c r="A15" s="32"/>
      <c r="B15" s="20" t="str">
        <f>IFERROR(VLOOKUP(H15,[2]Hoja2!$A$2:$G$589,2,0),"")</f>
        <v/>
      </c>
      <c r="C15" s="33"/>
      <c r="D15" s="34"/>
      <c r="E15" s="34"/>
      <c r="F15" s="34"/>
      <c r="G15" s="35"/>
      <c r="H15" s="36"/>
      <c r="I15" s="36"/>
      <c r="J15" s="37"/>
    </row>
    <row r="16" spans="1:10" ht="26.25" thickBot="1" x14ac:dyDescent="0.25">
      <c r="A16" s="27" t="s">
        <v>81</v>
      </c>
      <c r="B16" s="28" t="s">
        <v>88</v>
      </c>
      <c r="C16" s="28" t="s">
        <v>81</v>
      </c>
      <c r="D16" s="29" t="s">
        <v>83</v>
      </c>
      <c r="E16" s="29" t="s">
        <v>84</v>
      </c>
      <c r="F16" s="29" t="s">
        <v>85</v>
      </c>
      <c r="G16" s="29" t="s">
        <v>86</v>
      </c>
      <c r="H16" s="30" t="s">
        <v>87</v>
      </c>
      <c r="I16" s="31"/>
      <c r="J16" s="37"/>
    </row>
    <row r="17" spans="1:12" ht="13.5" x14ac:dyDescent="0.25">
      <c r="A17" s="32">
        <v>200</v>
      </c>
      <c r="B17" s="20" t="s">
        <v>72</v>
      </c>
      <c r="C17" s="33">
        <f>+A17</f>
        <v>200</v>
      </c>
      <c r="D17" s="33" t="s">
        <v>127</v>
      </c>
      <c r="E17" s="34">
        <f>+'Costo Crema '!E73</f>
        <v>1.8932460000000002</v>
      </c>
      <c r="F17" s="34">
        <f>IFERROR(E17*C17,"")</f>
        <v>378.64920000000006</v>
      </c>
      <c r="G17" s="35">
        <f t="shared" ref="G17:G24" si="3">IFERROR(F17/$F$66,"")</f>
        <v>0.80261667388782754</v>
      </c>
      <c r="H17" s="36"/>
      <c r="I17" s="36"/>
      <c r="J17" s="37"/>
    </row>
    <row r="18" spans="1:12" ht="13.5" hidden="1" x14ac:dyDescent="0.25">
      <c r="A18" s="32"/>
      <c r="B18" s="20" t="str">
        <f>IFERROR(VLOOKUP(H18,[1]SEMIELABORADOS!$A$2:$M$6000,2,0),"")</f>
        <v/>
      </c>
      <c r="C18" s="33">
        <f t="shared" ref="C18:C24" si="4">+A18</f>
        <v>0</v>
      </c>
      <c r="D18" s="33" t="str">
        <f>IFERROR(VLOOKUP(H18,[1]SEMIELABORADOS!$A$2:$M$6000,6,0),"")</f>
        <v/>
      </c>
      <c r="E18" s="34" t="str">
        <f>IFERROR(VLOOKUP(H18,[1]SEMIELABORADOS!$A$2:$H$65536,8,0),"")</f>
        <v/>
      </c>
      <c r="F18" s="34" t="str">
        <f t="shared" ref="F18:F24" si="5">IFERROR(E18*C18,"")</f>
        <v/>
      </c>
      <c r="G18" s="35" t="str">
        <f t="shared" si="3"/>
        <v/>
      </c>
      <c r="H18" s="36"/>
      <c r="I18" s="36"/>
      <c r="J18" s="37"/>
    </row>
    <row r="19" spans="1:12" ht="13.5" hidden="1" x14ac:dyDescent="0.25">
      <c r="A19" s="32"/>
      <c r="B19" s="20" t="str">
        <f>IFERROR(VLOOKUP(H19,[1]SEMIELABORADOS!$A$2:$M$6000,2,0),"")</f>
        <v/>
      </c>
      <c r="C19" s="33">
        <f>+A19</f>
        <v>0</v>
      </c>
      <c r="D19" s="33" t="str">
        <f>IFERROR(VLOOKUP(H19,[1]SEMIELABORADOS!$A$2:$M$6000,6,0),"")</f>
        <v/>
      </c>
      <c r="E19" s="34" t="str">
        <f>IFERROR(VLOOKUP(H19,[1]SEMIELABORADOS!$A$2:$H$65536,8,0),"")</f>
        <v/>
      </c>
      <c r="F19" s="34" t="str">
        <f>IFERROR(E19*C19,"")</f>
        <v/>
      </c>
      <c r="G19" s="35" t="str">
        <f t="shared" si="3"/>
        <v/>
      </c>
      <c r="H19" s="36"/>
      <c r="I19" s="36"/>
      <c r="J19" s="37"/>
    </row>
    <row r="20" spans="1:12" ht="13.5" hidden="1" x14ac:dyDescent="0.25">
      <c r="A20" s="32"/>
      <c r="B20" s="20" t="str">
        <f>IFERROR(VLOOKUP(H20,[1]SEMIELABORADOS!$A$2:$M$6000,2,0),"")</f>
        <v/>
      </c>
      <c r="C20" s="33">
        <f>+A20</f>
        <v>0</v>
      </c>
      <c r="D20" s="33" t="str">
        <f>IFERROR(VLOOKUP(H20,[1]SEMIELABORADOS!$A$2:$M$6000,6,0),"")</f>
        <v/>
      </c>
      <c r="E20" s="34" t="str">
        <f>IFERROR(VLOOKUP(H20,[1]SEMIELABORADOS!$A$2:$H$65536,8,0),"")</f>
        <v/>
      </c>
      <c r="F20" s="34" t="str">
        <f>IFERROR(E20*C20,"")</f>
        <v/>
      </c>
      <c r="G20" s="35" t="str">
        <f t="shared" si="3"/>
        <v/>
      </c>
      <c r="H20" s="36"/>
      <c r="I20" s="36"/>
      <c r="J20" s="37"/>
    </row>
    <row r="21" spans="1:12" ht="13.5" hidden="1" x14ac:dyDescent="0.25">
      <c r="A21" s="32"/>
      <c r="B21" s="20" t="str">
        <f>IFERROR(VLOOKUP(H21,[1]SEMIELABORADOS!$A$2:$M$6000,2,0),"")</f>
        <v/>
      </c>
      <c r="C21" s="33">
        <f>+A21</f>
        <v>0</v>
      </c>
      <c r="D21" s="33" t="str">
        <f>IFERROR(VLOOKUP(H21,[1]SEMIELABORADOS!$A$2:$M$6000,6,0),"")</f>
        <v/>
      </c>
      <c r="E21" s="34" t="str">
        <f>IFERROR(VLOOKUP(H21,[1]SEMIELABORADOS!$A$2:$H$65536,8,0),"")</f>
        <v/>
      </c>
      <c r="F21" s="34" t="str">
        <f>IFERROR(E21*C21,"")</f>
        <v/>
      </c>
      <c r="G21" s="35" t="str">
        <f t="shared" si="3"/>
        <v/>
      </c>
      <c r="H21" s="36"/>
      <c r="I21" s="36"/>
      <c r="J21" s="37"/>
    </row>
    <row r="22" spans="1:12" ht="13.5" hidden="1" x14ac:dyDescent="0.25">
      <c r="A22" s="32"/>
      <c r="B22" s="20" t="str">
        <f>IFERROR(VLOOKUP(H22,[1]SEMIELABORADOS!$A$2:$M$6000,2,0),"")</f>
        <v/>
      </c>
      <c r="C22" s="33">
        <f t="shared" si="4"/>
        <v>0</v>
      </c>
      <c r="D22" s="33" t="str">
        <f>IFERROR(VLOOKUP(H22,[1]SEMIELABORADOS!$A$2:$M$6000,6,0),"")</f>
        <v/>
      </c>
      <c r="E22" s="34" t="str">
        <f>IFERROR(VLOOKUP(H22,[1]SEMIELABORADOS!$A$2:$H$65536,8,0),"")</f>
        <v/>
      </c>
      <c r="F22" s="34" t="str">
        <f t="shared" si="5"/>
        <v/>
      </c>
      <c r="G22" s="35" t="str">
        <f t="shared" si="3"/>
        <v/>
      </c>
      <c r="H22" s="36"/>
      <c r="I22" s="36"/>
      <c r="J22" s="37"/>
    </row>
    <row r="23" spans="1:12" ht="13.5" hidden="1" x14ac:dyDescent="0.25">
      <c r="A23" s="32"/>
      <c r="B23" s="20" t="str">
        <f>IFERROR(VLOOKUP(H23,[1]SEMIELABORADOS!$A$2:$M$6000,2,0),"")</f>
        <v/>
      </c>
      <c r="C23" s="33">
        <f t="shared" si="4"/>
        <v>0</v>
      </c>
      <c r="D23" s="33" t="str">
        <f>IFERROR(VLOOKUP(H23,[1]SEMIELABORADOS!$A$2:$M$6000,6,0),"")</f>
        <v/>
      </c>
      <c r="E23" s="34" t="str">
        <f>IFERROR(VLOOKUP(H23,[1]SEMIELABORADOS!$A$2:$H$65536,8,0),"")</f>
        <v/>
      </c>
      <c r="F23" s="34" t="str">
        <f t="shared" si="5"/>
        <v/>
      </c>
      <c r="G23" s="35" t="str">
        <f t="shared" si="3"/>
        <v/>
      </c>
      <c r="H23" s="36"/>
      <c r="I23" s="36"/>
      <c r="J23" s="37"/>
    </row>
    <row r="24" spans="1:12" ht="13.5" hidden="1" x14ac:dyDescent="0.25">
      <c r="A24" s="32"/>
      <c r="B24" s="20" t="str">
        <f>IFERROR(VLOOKUP(H24,[1]SEMIELABORADOS!$A$2:$M$6000,2,0),"")</f>
        <v/>
      </c>
      <c r="C24" s="33">
        <f t="shared" si="4"/>
        <v>0</v>
      </c>
      <c r="D24" s="33" t="str">
        <f>IFERROR(VLOOKUP(H24,[1]SEMIELABORADOS!$A$2:$M$6000,6,0),"")</f>
        <v/>
      </c>
      <c r="E24" s="34" t="str">
        <f>IFERROR(VLOOKUP(H24,[1]SEMIELABORADOS!$A$2:$H$65536,8,0),"")</f>
        <v/>
      </c>
      <c r="F24" s="34" t="str">
        <f t="shared" si="5"/>
        <v/>
      </c>
      <c r="G24" s="35" t="str">
        <f t="shared" si="3"/>
        <v/>
      </c>
      <c r="H24" s="36"/>
      <c r="I24" s="36"/>
      <c r="J24" s="37"/>
    </row>
    <row r="25" spans="1:12" ht="14.25" thickBot="1" x14ac:dyDescent="0.3">
      <c r="A25" s="32"/>
      <c r="C25" s="33"/>
      <c r="D25" s="33"/>
      <c r="E25" s="34"/>
      <c r="F25" s="34"/>
      <c r="G25" s="35"/>
      <c r="H25" s="36"/>
      <c r="I25" s="36"/>
      <c r="J25" s="37"/>
    </row>
    <row r="26" spans="1:12" ht="26.25" thickBot="1" x14ac:dyDescent="0.25">
      <c r="A26" s="27" t="s">
        <v>81</v>
      </c>
      <c r="B26" s="28" t="s">
        <v>89</v>
      </c>
      <c r="C26" s="28" t="s">
        <v>81</v>
      </c>
      <c r="D26" s="29" t="s">
        <v>83</v>
      </c>
      <c r="E26" s="29" t="s">
        <v>84</v>
      </c>
      <c r="F26" s="29" t="s">
        <v>85</v>
      </c>
      <c r="G26" s="29" t="s">
        <v>86</v>
      </c>
      <c r="H26" s="30" t="s">
        <v>87</v>
      </c>
      <c r="I26" s="31"/>
    </row>
    <row r="27" spans="1:12" ht="13.5" x14ac:dyDescent="0.25">
      <c r="A27" s="32">
        <v>1</v>
      </c>
      <c r="B27" s="38" t="str">
        <f>IFERROR(VLOOKUP(H27,'[1]Consolidado MP Planta'!$A$2:$M$823,3,0),"")</f>
        <v>BOLSA TRANSPARENTE  6 X 10 KILO</v>
      </c>
      <c r="C27" s="33">
        <f t="shared" ref="C27:C32" si="6">+A27</f>
        <v>1</v>
      </c>
      <c r="D27" s="34" t="str">
        <f>IFERROR(VLOOKUP(H27,'[1]Consolidado MP Planta'!$A$2:$M$823,13,0),"")</f>
        <v>Und</v>
      </c>
      <c r="E27" s="34">
        <f>IFERROR(VLOOKUP(H27,'[1]Consolidado MP Planta'!$A$2:$M$823,12,0),"")</f>
        <v>5.9880239520958085</v>
      </c>
      <c r="F27" s="34">
        <f t="shared" ref="F27:F32" si="7">IFERROR(C27*E27,"")</f>
        <v>5.9880239520958085</v>
      </c>
      <c r="G27" s="35">
        <f t="shared" ref="G27:G32" si="8">IFERROR(F27/$F$66,"")</f>
        <v>1.2692718927154159E-2</v>
      </c>
      <c r="H27" s="39" t="s">
        <v>131</v>
      </c>
      <c r="I27" s="39"/>
      <c r="J27" s="37"/>
      <c r="K27" s="123"/>
      <c r="L27" s="123"/>
    </row>
    <row r="28" spans="1:12" ht="13.5" x14ac:dyDescent="0.25">
      <c r="A28" s="32">
        <v>1</v>
      </c>
      <c r="B28" s="38" t="str">
        <f>IFERROR(VLOOKUP(H28,'[1]Consolidado MP Planta'!$A$2:$M$823,3,0),"")</f>
        <v>ETIQ.FECHA VENCIMIENTO VERDE (ROLLO)</v>
      </c>
      <c r="C28" s="33">
        <f t="shared" si="6"/>
        <v>1</v>
      </c>
      <c r="D28" s="34" t="str">
        <f>IFERROR(VLOOKUP(H28,'[1]Consolidado MP Planta'!$A$2:$M$823,13,0),"")</f>
        <v>Und</v>
      </c>
      <c r="E28" s="34">
        <f>IFERROR(VLOOKUP(H28,'[1]Consolidado MP Planta'!$A$2:$M$823,12,0),"")</f>
        <v>0.33333333333333331</v>
      </c>
      <c r="F28" s="34">
        <f t="shared" si="7"/>
        <v>0.33333333333333331</v>
      </c>
      <c r="G28" s="35">
        <f t="shared" si="8"/>
        <v>7.065613536115815E-4</v>
      </c>
      <c r="H28" s="39" t="s">
        <v>61</v>
      </c>
      <c r="I28" s="39"/>
      <c r="J28" s="37"/>
      <c r="K28" s="123"/>
      <c r="L28" s="123"/>
    </row>
    <row r="29" spans="1:12" ht="13.5" x14ac:dyDescent="0.25">
      <c r="A29" s="32">
        <v>1</v>
      </c>
      <c r="B29" s="38" t="str">
        <f>IFERROR(VLOOKUP(H29,'[1]Consolidado MP Planta'!$A$2:$M$823,3,0),"")</f>
        <v>ETIQ.BLANCA 1 13/16 * 1 7/8 (UND)</v>
      </c>
      <c r="C29" s="33">
        <f t="shared" si="6"/>
        <v>1</v>
      </c>
      <c r="D29" s="34" t="str">
        <f>IFERROR(VLOOKUP(H29,'[1]Consolidado MP Planta'!$A$2:$M$823,13,0),"")</f>
        <v>Und</v>
      </c>
      <c r="E29" s="34">
        <f>IFERROR(VLOOKUP(H29,'[1]Consolidado MP Planta'!$A$2:$M$823,12,0),"")</f>
        <v>1.7949999999999999</v>
      </c>
      <c r="F29" s="34">
        <f t="shared" si="7"/>
        <v>1.7949999999999999</v>
      </c>
      <c r="G29" s="35">
        <f t="shared" si="8"/>
        <v>3.8048328891983666E-3</v>
      </c>
      <c r="H29" s="39" t="s">
        <v>132</v>
      </c>
      <c r="I29" s="39"/>
      <c r="J29" s="37"/>
      <c r="K29" s="123"/>
      <c r="L29" s="123"/>
    </row>
    <row r="30" spans="1:12" ht="13.5" x14ac:dyDescent="0.25">
      <c r="A30" s="32">
        <v>1</v>
      </c>
      <c r="B30" s="38" t="s">
        <v>47</v>
      </c>
      <c r="C30" s="33">
        <f t="shared" si="6"/>
        <v>1</v>
      </c>
      <c r="D30" s="34" t="s">
        <v>133</v>
      </c>
      <c r="E30" s="34">
        <v>0.39</v>
      </c>
      <c r="F30" s="34">
        <f t="shared" si="7"/>
        <v>0.39</v>
      </c>
      <c r="G30" s="35">
        <f t="shared" si="8"/>
        <v>8.2667678372555042E-4</v>
      </c>
      <c r="H30" s="39" t="s">
        <v>46</v>
      </c>
      <c r="I30" s="39"/>
      <c r="J30" s="37"/>
      <c r="K30" s="123"/>
      <c r="L30" s="123"/>
    </row>
    <row r="31" spans="1:12" ht="13.5" hidden="1" x14ac:dyDescent="0.25">
      <c r="A31" s="32"/>
      <c r="B31" s="38" t="str">
        <f>IFERROR(VLOOKUP(H31,'[1]Consolidado MP Planta'!$A$2:$M$823,3,0),"")</f>
        <v/>
      </c>
      <c r="C31" s="33">
        <f t="shared" si="6"/>
        <v>0</v>
      </c>
      <c r="D31" s="34" t="str">
        <f>IFERROR(VLOOKUP(H31,'[1]Consolidado MP Planta'!$A$2:$M$823,13,0),"")</f>
        <v/>
      </c>
      <c r="E31" s="34" t="str">
        <f>IFERROR(VLOOKUP(H31,'[1]Consolidado MP Planta'!$A$2:$M$823,12,0),"")</f>
        <v/>
      </c>
      <c r="F31" s="34" t="str">
        <f t="shared" si="7"/>
        <v/>
      </c>
      <c r="G31" s="35" t="str">
        <f t="shared" si="8"/>
        <v/>
      </c>
      <c r="H31" s="39"/>
      <c r="I31" s="39"/>
      <c r="J31" s="37"/>
      <c r="K31" s="40"/>
      <c r="L31" s="41"/>
    </row>
    <row r="32" spans="1:12" ht="13.5" hidden="1" x14ac:dyDescent="0.25">
      <c r="A32" s="32"/>
      <c r="B32" s="38" t="str">
        <f>IFERROR(VLOOKUP(H32,'[1]Consolidado MP Planta'!$A$2:$M$823,3,0),"")</f>
        <v/>
      </c>
      <c r="C32" s="33">
        <f t="shared" si="6"/>
        <v>0</v>
      </c>
      <c r="D32" s="34" t="str">
        <f>IFERROR(VLOOKUP(H32,'[1]Consolidado MP Planta'!$A$2:$M$823,13,0),"")</f>
        <v/>
      </c>
      <c r="E32" s="34" t="str">
        <f>IFERROR(VLOOKUP(H32,'[1]Consolidado MP Planta'!$A$2:$M$823,12,0),"")</f>
        <v/>
      </c>
      <c r="F32" s="34" t="str">
        <f t="shared" si="7"/>
        <v/>
      </c>
      <c r="G32" s="35" t="str">
        <f t="shared" si="8"/>
        <v/>
      </c>
      <c r="H32" s="39"/>
      <c r="I32" s="39"/>
      <c r="J32" s="37"/>
    </row>
    <row r="33" spans="1:13" ht="14.25" thickBot="1" x14ac:dyDescent="0.3">
      <c r="A33" s="32"/>
      <c r="B33" s="38"/>
      <c r="C33" s="33"/>
      <c r="D33" s="34"/>
      <c r="E33" s="34"/>
      <c r="F33" s="34"/>
      <c r="G33" s="35"/>
      <c r="H33" s="39"/>
      <c r="I33" s="39"/>
      <c r="J33" s="37"/>
    </row>
    <row r="34" spans="1:13" ht="26.25" thickBot="1" x14ac:dyDescent="0.25">
      <c r="A34" s="27" t="s">
        <v>81</v>
      </c>
      <c r="B34" s="28" t="s">
        <v>90</v>
      </c>
      <c r="C34" s="28" t="s">
        <v>81</v>
      </c>
      <c r="D34" s="29" t="s">
        <v>83</v>
      </c>
      <c r="E34" s="29" t="s">
        <v>84</v>
      </c>
      <c r="F34" s="29" t="s">
        <v>85</v>
      </c>
      <c r="G34" s="29" t="s">
        <v>86</v>
      </c>
      <c r="H34" s="30" t="s">
        <v>87</v>
      </c>
      <c r="I34" s="39"/>
      <c r="J34" s="37"/>
    </row>
    <row r="35" spans="1:13" ht="13.5" x14ac:dyDescent="0.25">
      <c r="A35" s="32">
        <f>+A17</f>
        <v>200</v>
      </c>
      <c r="B35" s="38" t="s">
        <v>72</v>
      </c>
      <c r="C35" s="33">
        <f>+A35</f>
        <v>200</v>
      </c>
      <c r="D35" s="34" t="s">
        <v>127</v>
      </c>
      <c r="E35" s="34">
        <f>+'Costo Crema '!E80</f>
        <v>1.9939291428571428E-4</v>
      </c>
      <c r="F35" s="34">
        <f>IFERROR(E35*C35,"")</f>
        <v>3.9878582857142859E-2</v>
      </c>
      <c r="G35" s="35">
        <f t="shared" ref="G35:G41" si="9">IFERROR(F35/$F$66,"")</f>
        <v>8.4529996450963412E-5</v>
      </c>
      <c r="H35" s="39"/>
      <c r="I35" s="39"/>
      <c r="J35" s="37"/>
    </row>
    <row r="36" spans="1:13" ht="13.5" hidden="1" x14ac:dyDescent="0.25">
      <c r="A36" s="32">
        <f t="shared" ref="A36:A41" si="10">+A18</f>
        <v>0</v>
      </c>
      <c r="B36" s="38" t="str">
        <f>IFERROR(VLOOKUP(H36,[1]SEMIELABORADOS!$A$2:$M$6000,2,0),"")</f>
        <v/>
      </c>
      <c r="C36" s="33">
        <f t="shared" ref="C36:C41" si="11">+A36</f>
        <v>0</v>
      </c>
      <c r="D36" s="34" t="str">
        <f>IFERROR(VLOOKUP(H36,[1]SEMIELABORADOS!$A$2:$M$6000,6,0),"")</f>
        <v/>
      </c>
      <c r="E36" s="34" t="str">
        <f>IFERROR(VLOOKUP(H36,[1]SEMIELABORADOS!$A$2:$M$65536,10,0),"")</f>
        <v/>
      </c>
      <c r="F36" s="34" t="str">
        <f t="shared" ref="F36:F41" si="12">IFERROR(E36*C36,"")</f>
        <v/>
      </c>
      <c r="G36" s="35" t="str">
        <f t="shared" si="9"/>
        <v/>
      </c>
      <c r="H36" s="39"/>
      <c r="I36" s="39"/>
      <c r="J36" s="37"/>
    </row>
    <row r="37" spans="1:13" ht="13.5" hidden="1" x14ac:dyDescent="0.25">
      <c r="A37" s="32">
        <f t="shared" si="10"/>
        <v>0</v>
      </c>
      <c r="B37" s="38" t="str">
        <f>IFERROR(VLOOKUP(H37,[1]SEMIELABORADOS!$A$2:$M$6000,2,0),"")</f>
        <v/>
      </c>
      <c r="C37" s="33">
        <f t="shared" si="11"/>
        <v>0</v>
      </c>
      <c r="D37" s="34" t="str">
        <f>IFERROR(VLOOKUP(H37,[1]SEMIELABORADOS!$A$2:$M$6000,6,0),"")</f>
        <v/>
      </c>
      <c r="E37" s="34" t="str">
        <f>IFERROR(VLOOKUP(H37,[1]SEMIELABORADOS!$A$2:$M$65536,10,0),"")</f>
        <v/>
      </c>
      <c r="F37" s="34" t="str">
        <f t="shared" si="12"/>
        <v/>
      </c>
      <c r="G37" s="35" t="str">
        <f t="shared" si="9"/>
        <v/>
      </c>
      <c r="H37" s="39"/>
      <c r="I37" s="39"/>
      <c r="J37" s="37"/>
    </row>
    <row r="38" spans="1:13" ht="13.5" hidden="1" x14ac:dyDescent="0.25">
      <c r="A38" s="32">
        <f t="shared" si="10"/>
        <v>0</v>
      </c>
      <c r="B38" s="38" t="str">
        <f>IFERROR(VLOOKUP(H38,[1]SEMIELABORADOS!$A$2:$M$6000,2,0),"")</f>
        <v/>
      </c>
      <c r="C38" s="33">
        <f>+A38</f>
        <v>0</v>
      </c>
      <c r="D38" s="34" t="str">
        <f>IFERROR(VLOOKUP(H38,[1]SEMIELABORADOS!$A$2:$M$6000,6,0),"")</f>
        <v/>
      </c>
      <c r="E38" s="34" t="str">
        <f>IFERROR(VLOOKUP(H38,[1]SEMIELABORADOS!$A$2:$M$65536,10,0),"")</f>
        <v/>
      </c>
      <c r="F38" s="34" t="str">
        <f>IFERROR(E38*C38,"")</f>
        <v/>
      </c>
      <c r="G38" s="35" t="str">
        <f t="shared" si="9"/>
        <v/>
      </c>
      <c r="H38" s="39"/>
      <c r="I38" s="39"/>
      <c r="J38" s="37"/>
    </row>
    <row r="39" spans="1:13" ht="13.5" hidden="1" x14ac:dyDescent="0.25">
      <c r="A39" s="32">
        <f t="shared" si="10"/>
        <v>0</v>
      </c>
      <c r="B39" s="38" t="str">
        <f>IFERROR(VLOOKUP(H39,[1]SEMIELABORADOS!$A$2:$M$6000,2,0),"")</f>
        <v/>
      </c>
      <c r="C39" s="33">
        <f>+A39</f>
        <v>0</v>
      </c>
      <c r="D39" s="34" t="str">
        <f>IFERROR(VLOOKUP(H39,[1]SEMIELABORADOS!$A$2:$M$6000,6,0),"")</f>
        <v/>
      </c>
      <c r="E39" s="34" t="str">
        <f>IFERROR(VLOOKUP(H39,[1]SEMIELABORADOS!$A$2:$M$65536,10,0),"")</f>
        <v/>
      </c>
      <c r="F39" s="34" t="str">
        <f>IFERROR(E39*C39,"")</f>
        <v/>
      </c>
      <c r="G39" s="35" t="str">
        <f t="shared" si="9"/>
        <v/>
      </c>
      <c r="H39" s="39"/>
      <c r="I39" s="39"/>
      <c r="J39" s="37"/>
    </row>
    <row r="40" spans="1:13" ht="13.5" hidden="1" x14ac:dyDescent="0.25">
      <c r="A40" s="32">
        <f t="shared" si="10"/>
        <v>0</v>
      </c>
      <c r="B40" s="38" t="str">
        <f>IFERROR(VLOOKUP(H40,[1]SEMIELABORADOS!$A$2:$M$6000,2,0),"")</f>
        <v/>
      </c>
      <c r="C40" s="33">
        <f t="shared" si="11"/>
        <v>0</v>
      </c>
      <c r="D40" s="34" t="str">
        <f>IFERROR(VLOOKUP(H40,[1]SEMIELABORADOS!$A$2:$M$6000,6,0),"")</f>
        <v/>
      </c>
      <c r="E40" s="34" t="str">
        <f>IFERROR(VLOOKUP(H40,[1]SEMIELABORADOS!$A$2:$M$65536,10,0),"")</f>
        <v/>
      </c>
      <c r="F40" s="34" t="str">
        <f t="shared" si="12"/>
        <v/>
      </c>
      <c r="G40" s="35" t="str">
        <f t="shared" si="9"/>
        <v/>
      </c>
      <c r="H40" s="39"/>
      <c r="I40" s="39"/>
      <c r="J40" s="37"/>
    </row>
    <row r="41" spans="1:13" ht="13.5" hidden="1" x14ac:dyDescent="0.25">
      <c r="A41" s="32">
        <f t="shared" si="10"/>
        <v>0</v>
      </c>
      <c r="B41" s="38" t="str">
        <f>IFERROR(VLOOKUP(H41,[1]SEMIELABORADOS!$A$2:$M$6000,2,0),"")</f>
        <v/>
      </c>
      <c r="C41" s="33">
        <f t="shared" si="11"/>
        <v>0</v>
      </c>
      <c r="D41" s="34" t="str">
        <f>IFERROR(VLOOKUP(H41,[1]SEMIELABORADOS!$A$2:$M$6000,6,0),"")</f>
        <v/>
      </c>
      <c r="E41" s="34" t="str">
        <f>IFERROR(VLOOKUP(H41,[1]SEMIELABORADOS!$A$2:$M$65536,10,0),"")</f>
        <v/>
      </c>
      <c r="F41" s="34" t="str">
        <f t="shared" si="12"/>
        <v/>
      </c>
      <c r="G41" s="35" t="str">
        <f t="shared" si="9"/>
        <v/>
      </c>
      <c r="H41" s="39"/>
      <c r="I41" s="39"/>
      <c r="J41" s="37"/>
    </row>
    <row r="42" spans="1:13" ht="14.25" thickBot="1" x14ac:dyDescent="0.3">
      <c r="A42" s="32"/>
      <c r="B42" s="38"/>
      <c r="C42" s="33"/>
      <c r="D42" s="34"/>
      <c r="E42" s="34"/>
      <c r="F42" s="34"/>
      <c r="G42" s="35"/>
      <c r="H42" s="39"/>
      <c r="I42" s="39"/>
      <c r="J42" s="37"/>
    </row>
    <row r="43" spans="1:13" ht="26.25" thickBot="1" x14ac:dyDescent="0.25">
      <c r="A43" s="27" t="s">
        <v>81</v>
      </c>
      <c r="B43" s="28" t="s">
        <v>91</v>
      </c>
      <c r="C43" s="28" t="s">
        <v>81</v>
      </c>
      <c r="D43" s="29" t="s">
        <v>83</v>
      </c>
      <c r="E43" s="29" t="s">
        <v>84</v>
      </c>
      <c r="F43" s="29" t="s">
        <v>85</v>
      </c>
      <c r="G43" s="29" t="s">
        <v>86</v>
      </c>
      <c r="H43" s="30" t="s">
        <v>87</v>
      </c>
      <c r="I43" s="31"/>
      <c r="J43" s="37"/>
    </row>
    <row r="44" spans="1:13" ht="13.5" x14ac:dyDescent="0.25">
      <c r="A44" s="32">
        <f>+A35</f>
        <v>200</v>
      </c>
      <c r="B44" s="38" t="s">
        <v>72</v>
      </c>
      <c r="C44" s="33">
        <f>+A44</f>
        <v>200</v>
      </c>
      <c r="D44" s="34" t="s">
        <v>127</v>
      </c>
      <c r="E44" s="34">
        <f>+'Costo Crema '!E78</f>
        <v>0.11622</v>
      </c>
      <c r="F44" s="34">
        <f>IFERROR(E44*C44,"")</f>
        <v>23.244</v>
      </c>
      <c r="G44" s="35">
        <f>IFERROR(F44/$F$66,"")</f>
        <v>4.9269936310042804E-2</v>
      </c>
      <c r="H44" s="39"/>
      <c r="I44" s="31"/>
      <c r="J44" s="37"/>
    </row>
    <row r="45" spans="1:13" ht="13.5" hidden="1" x14ac:dyDescent="0.25">
      <c r="A45" s="32">
        <f t="shared" ref="A45:A50" si="13">+A36</f>
        <v>0</v>
      </c>
      <c r="B45" s="38" t="str">
        <f>IFERROR(VLOOKUP(H45,[1]SEMIELABORADOS!$A$2:$M$6000,2,0),"")</f>
        <v/>
      </c>
      <c r="C45" s="33">
        <f t="shared" ref="C45:C50" si="14">+A45</f>
        <v>0</v>
      </c>
      <c r="D45" s="34" t="str">
        <f>IFERROR(VLOOKUP(H45,[1]SEMIELABORADOS!$A$2:$M$6000,6,0),"")</f>
        <v/>
      </c>
      <c r="E45" s="34" t="str">
        <f>IFERROR(VLOOKUP(H45,[1]SEMIELABORADOS!$A$2:$M$65536,12,0),"")</f>
        <v/>
      </c>
      <c r="F45" s="34" t="str">
        <f t="shared" ref="F45:F50" si="15">IFERROR(E45*C45,"")</f>
        <v/>
      </c>
      <c r="G45" s="35" t="str">
        <f t="shared" ref="G45:G50" si="16">IFERROR(F45/$F$66,"")</f>
        <v/>
      </c>
      <c r="H45" s="39"/>
      <c r="I45" s="31"/>
      <c r="J45" s="37"/>
      <c r="M45" s="42"/>
    </row>
    <row r="46" spans="1:13" ht="13.5" hidden="1" x14ac:dyDescent="0.25">
      <c r="A46" s="32">
        <f t="shared" si="13"/>
        <v>0</v>
      </c>
      <c r="B46" s="38" t="str">
        <f>IFERROR(VLOOKUP(H46,[1]SEMIELABORADOS!$A$2:$M$6000,2,0),"")</f>
        <v/>
      </c>
      <c r="C46" s="33">
        <f t="shared" si="14"/>
        <v>0</v>
      </c>
      <c r="D46" s="34" t="str">
        <f>IFERROR(VLOOKUP(H46,[1]SEMIELABORADOS!$A$2:$M$6000,6,0),"")</f>
        <v/>
      </c>
      <c r="E46" s="34" t="str">
        <f>IFERROR(VLOOKUP(H46,[1]SEMIELABORADOS!$A$2:$M$65536,12,0),"")</f>
        <v/>
      </c>
      <c r="F46" s="34" t="str">
        <f t="shared" si="15"/>
        <v/>
      </c>
      <c r="G46" s="35" t="str">
        <f t="shared" si="16"/>
        <v/>
      </c>
      <c r="H46" s="39"/>
      <c r="I46" s="31"/>
      <c r="J46" s="37"/>
    </row>
    <row r="47" spans="1:13" ht="13.5" hidden="1" x14ac:dyDescent="0.25">
      <c r="A47" s="32">
        <f t="shared" si="13"/>
        <v>0</v>
      </c>
      <c r="B47" s="38" t="str">
        <f>IFERROR(VLOOKUP(H47,[1]SEMIELABORADOS!$A$2:$M$6000,2,0),"")</f>
        <v/>
      </c>
      <c r="C47" s="33">
        <f t="shared" si="14"/>
        <v>0</v>
      </c>
      <c r="D47" s="34" t="str">
        <f>IFERROR(VLOOKUP(H47,[1]SEMIELABORADOS!$A$2:$M$6000,6,0),"")</f>
        <v/>
      </c>
      <c r="E47" s="34" t="str">
        <f>IFERROR(VLOOKUP(H47,[1]SEMIELABORADOS!$A$2:$M$65536,12,0),"")</f>
        <v/>
      </c>
      <c r="F47" s="34" t="str">
        <f t="shared" si="15"/>
        <v/>
      </c>
      <c r="G47" s="35" t="str">
        <f t="shared" si="16"/>
        <v/>
      </c>
      <c r="H47" s="39"/>
      <c r="I47" s="31"/>
      <c r="J47" s="37"/>
    </row>
    <row r="48" spans="1:13" ht="13.5" hidden="1" x14ac:dyDescent="0.25">
      <c r="A48" s="32">
        <f t="shared" si="13"/>
        <v>0</v>
      </c>
      <c r="B48" s="38" t="str">
        <f>IFERROR(VLOOKUP(H48,[1]SEMIELABORADOS!$A$2:$M$6000,2,0),"")</f>
        <v/>
      </c>
      <c r="C48" s="33">
        <f t="shared" si="14"/>
        <v>0</v>
      </c>
      <c r="D48" s="34" t="str">
        <f>IFERROR(VLOOKUP(H48,[1]SEMIELABORADOS!$A$2:$M$6000,6,0),"")</f>
        <v/>
      </c>
      <c r="E48" s="34" t="str">
        <f>IFERROR(VLOOKUP(H48,[1]SEMIELABORADOS!$A$2:$M$65536,12,0),"")</f>
        <v/>
      </c>
      <c r="F48" s="34" t="str">
        <f t="shared" si="15"/>
        <v/>
      </c>
      <c r="G48" s="35" t="str">
        <f t="shared" si="16"/>
        <v/>
      </c>
      <c r="H48" s="39"/>
      <c r="I48" s="31"/>
      <c r="J48" s="37"/>
    </row>
    <row r="49" spans="1:17" ht="13.5" hidden="1" x14ac:dyDescent="0.25">
      <c r="A49" s="32">
        <f t="shared" si="13"/>
        <v>0</v>
      </c>
      <c r="B49" s="38" t="str">
        <f>IFERROR(VLOOKUP(H49,[1]SEMIELABORADOS!$A$2:$M$6000,2,0),"")</f>
        <v/>
      </c>
      <c r="C49" s="33">
        <f t="shared" si="14"/>
        <v>0</v>
      </c>
      <c r="D49" s="34" t="str">
        <f>IFERROR(VLOOKUP(H49,[1]SEMIELABORADOS!$A$2:$M$6000,6,0),"")</f>
        <v/>
      </c>
      <c r="E49" s="34" t="str">
        <f>IFERROR(VLOOKUP(H49,[1]SEMIELABORADOS!$A$2:$M$65536,12,0),"")</f>
        <v/>
      </c>
      <c r="F49" s="34" t="str">
        <f t="shared" si="15"/>
        <v/>
      </c>
      <c r="G49" s="35" t="str">
        <f t="shared" si="16"/>
        <v/>
      </c>
      <c r="H49" s="39"/>
      <c r="I49" s="31"/>
      <c r="J49" s="37"/>
    </row>
    <row r="50" spans="1:17" ht="13.5" hidden="1" x14ac:dyDescent="0.25">
      <c r="A50" s="32">
        <f t="shared" si="13"/>
        <v>0</v>
      </c>
      <c r="B50" s="38" t="str">
        <f>IFERROR(VLOOKUP(H50,[1]SEMIELABORADOS!$A$2:$M$6000,2,0),"")</f>
        <v/>
      </c>
      <c r="C50" s="33">
        <f t="shared" si="14"/>
        <v>0</v>
      </c>
      <c r="D50" s="34" t="str">
        <f>IFERROR(VLOOKUP(H50,[1]SEMIELABORADOS!$A$2:$M$6000,6,0),"")</f>
        <v/>
      </c>
      <c r="E50" s="34" t="str">
        <f>IFERROR(VLOOKUP(H50,[1]SEMIELABORADOS!$A$2:$M$65536,12,0),"")</f>
        <v/>
      </c>
      <c r="F50" s="34" t="str">
        <f t="shared" si="15"/>
        <v/>
      </c>
      <c r="G50" s="35" t="str">
        <f t="shared" si="16"/>
        <v/>
      </c>
      <c r="H50" s="38"/>
      <c r="I50" s="31"/>
      <c r="J50" s="37"/>
    </row>
    <row r="51" spans="1:17" ht="13.5" x14ac:dyDescent="0.25">
      <c r="A51" s="32">
        <v>1</v>
      </c>
      <c r="B51" s="38" t="s">
        <v>92</v>
      </c>
      <c r="C51" s="33">
        <f>+A51</f>
        <v>1</v>
      </c>
      <c r="D51" s="33" t="s">
        <v>93</v>
      </c>
      <c r="E51" s="34">
        <f>+F65</f>
        <v>77</v>
      </c>
      <c r="F51" s="34">
        <f>IFERROR(C51*E51,"")</f>
        <v>77</v>
      </c>
      <c r="G51" s="35">
        <f>IFERROR(F51/$F$66,"")</f>
        <v>0.16321567268427534</v>
      </c>
      <c r="H51" s="43"/>
      <c r="I51" s="43"/>
      <c r="J51" s="37"/>
    </row>
    <row r="52" spans="1:17" ht="14.25" thickBot="1" x14ac:dyDescent="0.3">
      <c r="A52" s="32"/>
      <c r="B52" s="38"/>
      <c r="C52" s="33"/>
      <c r="D52" s="33"/>
      <c r="E52" s="34"/>
      <c r="F52" s="34"/>
      <c r="G52" s="35"/>
      <c r="H52" s="43"/>
      <c r="I52" s="43"/>
      <c r="J52" s="37"/>
    </row>
    <row r="53" spans="1:17" ht="13.5" thickBot="1" x14ac:dyDescent="0.25">
      <c r="A53" s="44"/>
      <c r="B53" s="133" t="s">
        <v>94</v>
      </c>
      <c r="C53" s="133"/>
      <c r="D53" s="133"/>
      <c r="E53" s="133"/>
      <c r="F53" s="46">
        <f>SUM(F8:F14,F17:F24)</f>
        <v>378.64920000000006</v>
      </c>
      <c r="G53" s="35">
        <f>+F53/$F$66</f>
        <v>0.80261667388782754</v>
      </c>
      <c r="H53" s="47">
        <f>+F53/$D$60</f>
        <v>378.64920000000006</v>
      </c>
      <c r="I53" s="47"/>
      <c r="J53" s="48"/>
      <c r="K53" s="49"/>
      <c r="L53" s="49"/>
      <c r="M53" s="49"/>
      <c r="N53" s="49"/>
      <c r="O53" s="49"/>
      <c r="P53" s="49"/>
      <c r="Q53" s="50"/>
    </row>
    <row r="54" spans="1:17" x14ac:dyDescent="0.2">
      <c r="A54" s="44"/>
      <c r="B54" s="133" t="s">
        <v>95</v>
      </c>
      <c r="C54" s="133"/>
      <c r="D54" s="133"/>
      <c r="E54" s="133"/>
      <c r="F54" s="46">
        <f>SUM(F27:F32,F35:F41)</f>
        <v>8.5462358682862867</v>
      </c>
      <c r="G54" s="35">
        <f>+F54/$F$66</f>
        <v>1.8115319950140627E-2</v>
      </c>
      <c r="H54" s="47">
        <f>+F54/$D$60</f>
        <v>8.5462358682862867</v>
      </c>
      <c r="I54" s="47"/>
      <c r="J54" s="51"/>
      <c r="K54" s="134" t="s">
        <v>96</v>
      </c>
      <c r="L54" s="135"/>
      <c r="M54" s="135"/>
      <c r="N54" s="135"/>
      <c r="O54" s="52">
        <f>+F55</f>
        <v>387.19543586828632</v>
      </c>
      <c r="P54" s="52"/>
      <c r="Q54" s="53"/>
    </row>
    <row r="55" spans="1:17" x14ac:dyDescent="0.2">
      <c r="A55" s="44"/>
      <c r="B55" s="133" t="s">
        <v>97</v>
      </c>
      <c r="C55" s="133"/>
      <c r="D55" s="133"/>
      <c r="E55" s="133"/>
      <c r="F55" s="46">
        <f>+F53+F54</f>
        <v>387.19543586828632</v>
      </c>
      <c r="G55" s="35">
        <f>+F55/$F$66</f>
        <v>0.82073199383796813</v>
      </c>
      <c r="H55" s="47">
        <f>+F55/$D$60</f>
        <v>387.19543586828632</v>
      </c>
      <c r="I55" s="47"/>
      <c r="J55" s="54"/>
      <c r="K55" s="55"/>
      <c r="M55" s="56" t="s">
        <v>98</v>
      </c>
      <c r="N55" s="57"/>
      <c r="O55" s="52">
        <f>+H56</f>
        <v>100.244</v>
      </c>
      <c r="P55" s="52"/>
      <c r="Q55" s="53"/>
    </row>
    <row r="56" spans="1:17" ht="13.5" thickBot="1" x14ac:dyDescent="0.25">
      <c r="A56" s="44"/>
      <c r="B56" s="45"/>
      <c r="C56" s="133" t="s">
        <v>99</v>
      </c>
      <c r="D56" s="133"/>
      <c r="E56" s="133"/>
      <c r="F56" s="46">
        <f>SUM(F44:F51)</f>
        <v>100.244</v>
      </c>
      <c r="G56" s="35">
        <f>+F56/$F$66</f>
        <v>0.21248560899431815</v>
      </c>
      <c r="H56" s="47">
        <f>+F56/$D$60</f>
        <v>100.244</v>
      </c>
      <c r="I56" s="47"/>
      <c r="J56" s="54"/>
      <c r="K56" s="55"/>
      <c r="L56" s="55"/>
      <c r="M56" s="55" t="s">
        <v>100</v>
      </c>
      <c r="N56" s="58"/>
      <c r="O56" s="52">
        <f>O54*N56</f>
        <v>0</v>
      </c>
      <c r="P56" s="52"/>
      <c r="Q56" s="53"/>
    </row>
    <row r="57" spans="1:17" ht="13.5" thickBot="1" x14ac:dyDescent="0.25">
      <c r="A57" s="44"/>
      <c r="B57" s="59"/>
      <c r="C57" s="59"/>
      <c r="D57" s="59"/>
      <c r="E57" s="59"/>
      <c r="F57" s="60"/>
      <c r="G57" s="35"/>
      <c r="H57" s="61"/>
      <c r="I57" s="47"/>
      <c r="J57" s="54"/>
      <c r="K57" s="62"/>
      <c r="M57" s="63" t="s">
        <v>101</v>
      </c>
      <c r="N57" s="64"/>
      <c r="O57" s="65">
        <f>SUM(O54:O56)</f>
        <v>487.4394358682863</v>
      </c>
      <c r="P57" s="66"/>
      <c r="Q57" s="53"/>
    </row>
    <row r="58" spans="1:17" x14ac:dyDescent="0.2">
      <c r="B58" s="136" t="s">
        <v>102</v>
      </c>
      <c r="C58" s="136"/>
      <c r="D58" s="67">
        <v>200</v>
      </c>
      <c r="E58" s="68"/>
      <c r="G58" s="35"/>
      <c r="H58" s="61">
        <f>+H56/77</f>
        <v>1.3018701298701298</v>
      </c>
      <c r="I58" s="69"/>
      <c r="J58" s="54"/>
      <c r="K58" s="62"/>
      <c r="L58" s="55"/>
      <c r="M58" s="55" t="s">
        <v>103</v>
      </c>
      <c r="N58" s="70"/>
      <c r="O58" s="52">
        <f>+H59</f>
        <v>108.05522077922078</v>
      </c>
      <c r="P58" s="52"/>
      <c r="Q58" s="53"/>
    </row>
    <row r="59" spans="1:17" x14ac:dyDescent="0.2">
      <c r="B59" s="136" t="s">
        <v>104</v>
      </c>
      <c r="C59" s="136"/>
      <c r="D59" s="71">
        <v>200</v>
      </c>
      <c r="E59" s="68"/>
      <c r="G59" s="35"/>
      <c r="H59" s="61">
        <f>+H58*83</f>
        <v>108.05522077922078</v>
      </c>
      <c r="I59" s="69"/>
      <c r="J59" s="54"/>
      <c r="K59" s="62"/>
      <c r="L59" s="55"/>
      <c r="M59" s="137" t="s">
        <v>101</v>
      </c>
      <c r="N59" s="137"/>
      <c r="O59" s="52">
        <f>SUM(O57:O58)</f>
        <v>595.4946566475071</v>
      </c>
      <c r="P59" s="52"/>
      <c r="Q59" s="53"/>
    </row>
    <row r="60" spans="1:17" ht="13.5" thickBot="1" x14ac:dyDescent="0.25">
      <c r="B60" s="129" t="s">
        <v>105</v>
      </c>
      <c r="C60" s="129"/>
      <c r="D60" s="67">
        <f>+D58/D59</f>
        <v>1</v>
      </c>
      <c r="E60" s="68"/>
      <c r="F60" s="72"/>
      <c r="G60" s="35"/>
      <c r="H60" s="61"/>
      <c r="I60" s="69"/>
      <c r="J60" s="54"/>
      <c r="K60" s="62"/>
      <c r="L60" s="137"/>
      <c r="M60" s="137"/>
      <c r="N60" s="70"/>
      <c r="O60" s="52">
        <f>+O59*N60</f>
        <v>0</v>
      </c>
      <c r="P60" s="52"/>
      <c r="Q60" s="53"/>
    </row>
    <row r="61" spans="1:17" ht="13.5" thickBot="1" x14ac:dyDescent="0.25">
      <c r="B61" s="129" t="s">
        <v>106</v>
      </c>
      <c r="C61" s="129"/>
      <c r="D61" s="73"/>
      <c r="E61" s="68"/>
      <c r="F61" s="72"/>
      <c r="G61" s="35"/>
      <c r="H61" s="61"/>
      <c r="I61" s="69"/>
      <c r="J61" s="54"/>
      <c r="K61" s="130" t="s">
        <v>107</v>
      </c>
      <c r="L61" s="131"/>
      <c r="M61" s="131"/>
      <c r="N61" s="132"/>
      <c r="O61" s="65">
        <f>SUM(O59:O60)</f>
        <v>595.4946566475071</v>
      </c>
      <c r="P61" s="74" t="s">
        <v>108</v>
      </c>
      <c r="Q61" s="53"/>
    </row>
    <row r="62" spans="1:17" ht="13.5" thickBot="1" x14ac:dyDescent="0.25">
      <c r="C62" s="44" t="s">
        <v>109</v>
      </c>
      <c r="D62" s="75"/>
      <c r="E62" s="18" t="s">
        <v>110</v>
      </c>
      <c r="F62" s="76" t="s">
        <v>111</v>
      </c>
      <c r="G62" s="35"/>
      <c r="H62" s="61"/>
      <c r="I62" s="69"/>
      <c r="J62" s="77"/>
      <c r="K62" s="78"/>
      <c r="L62" s="143" t="s">
        <v>112</v>
      </c>
      <c r="M62" s="143"/>
      <c r="N62" s="143"/>
      <c r="O62" s="79">
        <f>+O61/D60</f>
        <v>595.4946566475071</v>
      </c>
      <c r="P62" s="80">
        <f>+O62/D59</f>
        <v>2.9774732832375355</v>
      </c>
      <c r="Q62" s="81"/>
    </row>
    <row r="63" spans="1:17" ht="13.5" thickBot="1" x14ac:dyDescent="0.25">
      <c r="B63" s="144" t="s">
        <v>97</v>
      </c>
      <c r="C63" s="144"/>
      <c r="D63" s="144"/>
      <c r="E63" s="82">
        <f>+F63/F63</f>
        <v>1</v>
      </c>
      <c r="F63" s="83">
        <f>SUM(F55)</f>
        <v>387.19543586828632</v>
      </c>
      <c r="G63" s="35">
        <f>+F63/$F$66</f>
        <v>0.82073199383796813</v>
      </c>
      <c r="H63" s="61"/>
      <c r="I63" s="69"/>
      <c r="K63" s="145"/>
      <c r="L63" s="146"/>
      <c r="M63" s="146"/>
      <c r="N63" s="146"/>
      <c r="O63" s="84"/>
      <c r="P63" s="85"/>
    </row>
    <row r="64" spans="1:17" ht="13.5" thickBot="1" x14ac:dyDescent="0.25">
      <c r="B64" s="147" t="s">
        <v>113</v>
      </c>
      <c r="C64" s="147"/>
      <c r="D64" s="147"/>
      <c r="E64" s="86">
        <v>0.02</v>
      </c>
      <c r="F64" s="83">
        <f>+F53*E64</f>
        <v>7.5729840000000017</v>
      </c>
      <c r="G64" s="35">
        <f>+F64/$F$66</f>
        <v>1.6052333477756552E-2</v>
      </c>
      <c r="H64" s="47"/>
      <c r="I64" s="69"/>
      <c r="J64" s="87"/>
      <c r="O64" s="88"/>
      <c r="P64" s="45"/>
    </row>
    <row r="65" spans="2:13" ht="13.5" thickBot="1" x14ac:dyDescent="0.25">
      <c r="B65" s="148" t="s">
        <v>114</v>
      </c>
      <c r="C65" s="149"/>
      <c r="D65" s="89">
        <v>1</v>
      </c>
      <c r="E65" s="90">
        <v>77</v>
      </c>
      <c r="F65" s="83">
        <f>+E65*D65</f>
        <v>77</v>
      </c>
      <c r="G65" s="35">
        <f>+F65/$F$66</f>
        <v>0.16321567268427534</v>
      </c>
      <c r="H65" s="47"/>
      <c r="I65" s="47"/>
      <c r="J65" s="37"/>
    </row>
    <row r="66" spans="2:13" ht="13.5" thickBot="1" x14ac:dyDescent="0.25">
      <c r="B66" s="150" t="s">
        <v>115</v>
      </c>
      <c r="C66" s="151"/>
      <c r="D66" s="151"/>
      <c r="E66" s="152"/>
      <c r="F66" s="60">
        <f>SUM(F63:F65)</f>
        <v>471.76841986828634</v>
      </c>
      <c r="G66" s="35">
        <f>+F66/$F$66</f>
        <v>1</v>
      </c>
      <c r="H66" s="153"/>
      <c r="I66" s="47"/>
      <c r="J66" s="37"/>
      <c r="M66" s="20" t="s">
        <v>116</v>
      </c>
    </row>
    <row r="67" spans="2:13" x14ac:dyDescent="0.2">
      <c r="C67" s="42"/>
      <c r="D67" s="42"/>
      <c r="E67" s="92"/>
      <c r="F67" s="83"/>
      <c r="G67" s="35"/>
      <c r="H67" s="153"/>
      <c r="I67" s="91"/>
      <c r="J67" s="20"/>
      <c r="M67" s="20" t="s">
        <v>117</v>
      </c>
    </row>
    <row r="68" spans="2:13" ht="13.5" thickBot="1" x14ac:dyDescent="0.25">
      <c r="B68" s="138" t="s">
        <v>118</v>
      </c>
      <c r="C68" s="138"/>
      <c r="D68" s="138"/>
      <c r="E68" s="138"/>
      <c r="F68" s="138"/>
      <c r="G68" s="35"/>
      <c r="H68" s="94"/>
      <c r="I68" s="91"/>
      <c r="J68" s="20"/>
      <c r="M68" s="20" t="s">
        <v>119</v>
      </c>
    </row>
    <row r="69" spans="2:13" ht="13.5" thickBot="1" x14ac:dyDescent="0.25">
      <c r="B69" s="95" t="s">
        <v>120</v>
      </c>
      <c r="C69" s="96">
        <f>+F53</f>
        <v>378.64920000000006</v>
      </c>
      <c r="D69" s="96">
        <f>+D58</f>
        <v>200</v>
      </c>
      <c r="E69" s="97">
        <f>+C69/D69</f>
        <v>1.8932460000000004</v>
      </c>
      <c r="F69" s="35"/>
      <c r="G69" s="94"/>
      <c r="H69" s="37"/>
      <c r="I69" s="94"/>
      <c r="J69" s="20"/>
    </row>
    <row r="70" spans="2:13" x14ac:dyDescent="0.2">
      <c r="B70" s="98"/>
      <c r="C70" s="99"/>
      <c r="D70" s="100"/>
      <c r="E70" s="83"/>
      <c r="F70" s="35"/>
      <c r="G70" s="94"/>
      <c r="H70" s="37"/>
      <c r="I70" s="37"/>
      <c r="J70" s="20"/>
    </row>
    <row r="71" spans="2:13" x14ac:dyDescent="0.2">
      <c r="B71" s="95" t="s">
        <v>121</v>
      </c>
      <c r="C71" s="96">
        <f>SUM(F63:F64)</f>
        <v>394.76841986828634</v>
      </c>
      <c r="D71" s="96">
        <f>+D58</f>
        <v>200</v>
      </c>
      <c r="E71" s="101">
        <f>+C71/D71</f>
        <v>1.9738420993414316</v>
      </c>
      <c r="F71" s="35"/>
      <c r="G71" s="94"/>
      <c r="H71" s="37"/>
      <c r="I71" s="37"/>
      <c r="J71" s="20"/>
    </row>
    <row r="72" spans="2:13" x14ac:dyDescent="0.2">
      <c r="B72" s="95"/>
      <c r="C72" s="96"/>
      <c r="D72" s="96"/>
      <c r="E72" s="101"/>
      <c r="F72" s="35"/>
      <c r="G72" s="94"/>
      <c r="H72" s="37"/>
      <c r="I72" s="37"/>
      <c r="J72" s="20"/>
    </row>
    <row r="73" spans="2:13" ht="13.5" thickBot="1" x14ac:dyDescent="0.25">
      <c r="B73" s="95" t="s">
        <v>122</v>
      </c>
      <c r="C73" s="96">
        <f>+F65</f>
        <v>77</v>
      </c>
      <c r="D73" s="96">
        <f>+D58</f>
        <v>200</v>
      </c>
      <c r="E73" s="101">
        <f>+C73/D73</f>
        <v>0.38500000000000001</v>
      </c>
      <c r="F73" s="35"/>
      <c r="G73" s="94"/>
      <c r="H73" s="37"/>
      <c r="I73" s="37"/>
      <c r="J73" s="20"/>
    </row>
    <row r="74" spans="2:13" ht="13.5" thickBot="1" x14ac:dyDescent="0.25">
      <c r="B74" s="95" t="s">
        <v>123</v>
      </c>
      <c r="C74" s="96">
        <f>+F56</f>
        <v>100.244</v>
      </c>
      <c r="D74" s="96">
        <f>+D73</f>
        <v>200</v>
      </c>
      <c r="E74" s="97">
        <f>+C74/D74</f>
        <v>0.50122</v>
      </c>
      <c r="F74" s="35"/>
      <c r="G74" s="94"/>
      <c r="H74" s="37"/>
      <c r="I74" s="37"/>
      <c r="J74" s="20"/>
    </row>
    <row r="75" spans="2:13" ht="13.5" thickBot="1" x14ac:dyDescent="0.25">
      <c r="B75" s="59"/>
      <c r="C75" s="60"/>
      <c r="D75" s="60"/>
      <c r="E75" s="101"/>
      <c r="F75" s="35"/>
      <c r="G75" s="94"/>
      <c r="H75" s="37"/>
      <c r="I75" s="37"/>
      <c r="J75" s="20"/>
    </row>
    <row r="76" spans="2:13" ht="13.5" thickBot="1" x14ac:dyDescent="0.25">
      <c r="B76" s="95" t="s">
        <v>124</v>
      </c>
      <c r="C76" s="96">
        <f>+F54</f>
        <v>8.5462358682862867</v>
      </c>
      <c r="D76" s="96">
        <f>+D74</f>
        <v>200</v>
      </c>
      <c r="E76" s="97">
        <f>+C76/D76</f>
        <v>4.2731179341431433E-2</v>
      </c>
      <c r="F76" s="35"/>
      <c r="G76" s="94"/>
      <c r="H76" s="37"/>
      <c r="I76" s="37"/>
      <c r="J76" s="37"/>
    </row>
    <row r="77" spans="2:13" ht="13.5" thickBot="1" x14ac:dyDescent="0.25">
      <c r="B77" s="59"/>
      <c r="C77" s="60"/>
      <c r="D77" s="60"/>
      <c r="E77" s="101"/>
      <c r="F77" s="35"/>
      <c r="G77" s="94"/>
      <c r="H77" s="37"/>
      <c r="I77" s="37"/>
    </row>
    <row r="78" spans="2:13" ht="13.5" thickBot="1" x14ac:dyDescent="0.25">
      <c r="B78" s="139" t="s">
        <v>125</v>
      </c>
      <c r="C78" s="140"/>
      <c r="D78" s="141"/>
      <c r="E78" s="97">
        <f>+E69+E74</f>
        <v>2.3944660000000004</v>
      </c>
      <c r="G78" s="35"/>
      <c r="H78" s="94"/>
      <c r="I78" s="37"/>
      <c r="J78" s="101"/>
    </row>
    <row r="79" spans="2:13" x14ac:dyDescent="0.2">
      <c r="I79" s="94"/>
      <c r="J79" s="20"/>
    </row>
    <row r="80" spans="2:13" ht="13.5" thickBot="1" x14ac:dyDescent="0.25">
      <c r="B80" s="138" t="s">
        <v>126</v>
      </c>
      <c r="C80" s="138"/>
      <c r="D80" s="138"/>
      <c r="E80" s="138"/>
      <c r="F80" s="138"/>
      <c r="G80" s="35"/>
      <c r="H80" s="94"/>
      <c r="J80" s="20"/>
    </row>
    <row r="81" spans="1:10" ht="13.5" thickBot="1" x14ac:dyDescent="0.25">
      <c r="B81" s="95" t="s">
        <v>120</v>
      </c>
      <c r="C81" s="96">
        <f>+C69</f>
        <v>378.64920000000006</v>
      </c>
      <c r="D81" s="96">
        <f>+D60</f>
        <v>1</v>
      </c>
      <c r="E81" s="97">
        <f>+C81/D81</f>
        <v>378.64920000000006</v>
      </c>
      <c r="F81" s="35"/>
      <c r="G81" s="94"/>
      <c r="H81" s="37"/>
      <c r="I81" s="94"/>
      <c r="J81" s="20"/>
    </row>
    <row r="82" spans="1:10" x14ac:dyDescent="0.2">
      <c r="B82" s="98"/>
      <c r="C82" s="99"/>
      <c r="D82" s="100"/>
      <c r="E82" s="83"/>
      <c r="F82" s="35"/>
      <c r="G82" s="94"/>
      <c r="H82" s="37"/>
      <c r="I82" s="37"/>
      <c r="J82" s="20"/>
    </row>
    <row r="83" spans="1:10" x14ac:dyDescent="0.2">
      <c r="B83" s="95" t="s">
        <v>121</v>
      </c>
      <c r="C83" s="96">
        <f>+C71</f>
        <v>394.76841986828634</v>
      </c>
      <c r="D83" s="96">
        <f>+D60</f>
        <v>1</v>
      </c>
      <c r="E83" s="101">
        <f>+C83/D83</f>
        <v>394.76841986828634</v>
      </c>
      <c r="F83" s="35"/>
      <c r="G83" s="94"/>
      <c r="H83" s="37"/>
      <c r="I83" s="37"/>
      <c r="J83" s="20"/>
    </row>
    <row r="84" spans="1:10" x14ac:dyDescent="0.2">
      <c r="B84" s="95"/>
      <c r="C84" s="96"/>
      <c r="D84" s="96"/>
      <c r="E84" s="101"/>
      <c r="F84" s="35"/>
      <c r="G84" s="94"/>
      <c r="H84" s="37"/>
      <c r="I84" s="37"/>
      <c r="J84" s="20"/>
    </row>
    <row r="85" spans="1:10" ht="13.5" thickBot="1" x14ac:dyDescent="0.25">
      <c r="B85" s="95" t="s">
        <v>123</v>
      </c>
      <c r="C85" s="96">
        <f>+C73</f>
        <v>77</v>
      </c>
      <c r="D85" s="96">
        <f>+D60</f>
        <v>1</v>
      </c>
      <c r="E85" s="101">
        <f>+C85/D85</f>
        <v>77</v>
      </c>
      <c r="F85" s="103"/>
      <c r="G85" s="93"/>
      <c r="H85" s="19"/>
      <c r="I85" s="37"/>
    </row>
    <row r="86" spans="1:10" ht="13.5" thickBot="1" x14ac:dyDescent="0.25">
      <c r="B86" s="95" t="s">
        <v>123</v>
      </c>
      <c r="C86" s="96">
        <f>+C74</f>
        <v>100.244</v>
      </c>
      <c r="D86" s="96">
        <f>+D85</f>
        <v>1</v>
      </c>
      <c r="E86" s="97">
        <f>+C86/D86</f>
        <v>100.244</v>
      </c>
      <c r="F86" s="102"/>
      <c r="G86" s="93"/>
      <c r="H86" s="19"/>
      <c r="I86" s="19"/>
    </row>
    <row r="87" spans="1:10" x14ac:dyDescent="0.2">
      <c r="I87" s="19"/>
    </row>
    <row r="88" spans="1:10" x14ac:dyDescent="0.2">
      <c r="A88" s="142"/>
      <c r="B88" s="142"/>
      <c r="C88" s="104"/>
      <c r="D88" s="104"/>
      <c r="E88" s="105"/>
      <c r="G88" s="106"/>
    </row>
    <row r="89" spans="1:10" x14ac:dyDescent="0.2">
      <c r="A89" s="38"/>
      <c r="B89" s="107"/>
      <c r="C89" s="108"/>
      <c r="D89" s="108"/>
      <c r="E89" s="109"/>
      <c r="G89" s="106"/>
    </row>
    <row r="90" spans="1:10" x14ac:dyDescent="0.2">
      <c r="A90" s="38"/>
      <c r="B90" s="107"/>
      <c r="C90" s="110"/>
      <c r="D90" s="110"/>
      <c r="E90" s="38"/>
      <c r="G90" s="106"/>
    </row>
    <row r="91" spans="1:10" x14ac:dyDescent="0.2">
      <c r="A91" s="38"/>
      <c r="B91" s="107"/>
      <c r="C91" s="111"/>
      <c r="D91" s="111"/>
      <c r="E91" s="38"/>
      <c r="G91" s="1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49CDC6D-4850-4BAC-81A1-C84F37FD0C24}"/>
</file>

<file path=customXml/itemProps2.xml><?xml version="1.0" encoding="utf-8"?>
<ds:datastoreItem xmlns:ds="http://schemas.openxmlformats.org/officeDocument/2006/customXml" ds:itemID="{D63F2EBD-AEE1-413B-88B7-76B5452A5DAA}"/>
</file>

<file path=customXml/itemProps3.xml><?xml version="1.0" encoding="utf-8"?>
<ds:datastoreItem xmlns:ds="http://schemas.openxmlformats.org/officeDocument/2006/customXml" ds:itemID="{51941762-FD46-4355-A54E-66B3FD883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Crema </vt:lpstr>
      <vt:lpstr>Empaque </vt:lpstr>
      <vt:lpstr>Costo empaque </vt:lpstr>
      <vt:lpstr>'Empaque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2025-07-22T19:29:57Z</cp:lastPrinted>
  <dcterms:created xsi:type="dcterms:W3CDTF">2012-05-10T22:32:20Z</dcterms:created>
  <dcterms:modified xsi:type="dcterms:W3CDTF">2025-07-22T19:31:10Z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
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REMEZCLAS/"/>
    </mc:Choice>
  </mc:AlternateContent>
  <xr:revisionPtr revIDLastSave="8" documentId="8_{DB0975C7-8B62-4DC7-83B8-54ED7F442FCC}" xr6:coauthVersionLast="47" xr6:coauthVersionMax="47" xr10:uidLastSave="{DAC29ED0-3A7F-458D-BF8F-D2A923BC8A09}"/>
  <bookViews>
    <workbookView xWindow="-120" yWindow="-120" windowWidth="29040" windowHeight="15840" tabRatio="876" firstSheet="2" activeTab="2" xr2:uid="{693075EE-6EA3-4FC6-B923-932EB2067D72}"/>
  </bookViews>
  <sheets>
    <sheet name="Premezcla" sheetId="5" state="hidden" r:id="rId1"/>
    <sheet name="Premezcla 2" sheetId="15" state="hidden" r:id="rId2"/>
    <sheet name="Hoja1" sheetId="21" r:id="rId3"/>
    <sheet name="Costo Premezcla " sheetId="10" state="hidden" r:id="rId4"/>
    <sheet name="Costo Banano batido" sheetId="11" state="hidden" r:id="rId5"/>
    <sheet name="Batido" sheetId="6" state="hidden" r:id="rId6"/>
    <sheet name="Batido 2" sheetId="16" state="hidden" r:id="rId7"/>
    <sheet name="Costo Batido" sheetId="12" state="hidden" r:id="rId8"/>
    <sheet name="Rosquete" sheetId="9" state="hidden" r:id="rId9"/>
    <sheet name="Rosquete 2" sheetId="17" state="hidden" r:id="rId10"/>
    <sheet name="Costo Rosquete " sheetId="13" state="hidden" r:id="rId11"/>
    <sheet name="Empaque" sheetId="8" state="hidden" r:id="rId12"/>
    <sheet name="Empaque 2" sheetId="18" state="hidden" r:id="rId13"/>
    <sheet name="Empaque 3" sheetId="19" state="hidden" r:id="rId14"/>
    <sheet name="Costo empaque " sheetId="14" state="hidden" r:id="rId15"/>
  </sheets>
  <externalReferences>
    <externalReference r:id="rId16"/>
    <externalReference r:id="rId17"/>
  </externalReferences>
  <definedNames>
    <definedName name="_xlnm.Print_Area" localSheetId="0">Premezcla!$A$1:$H$44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17" l="1"/>
  <c r="C19" i="17"/>
  <c r="C23" i="16"/>
  <c r="C21" i="16"/>
  <c r="C31" i="15"/>
  <c r="C29" i="15"/>
  <c r="D73" i="14"/>
  <c r="D74" i="14"/>
  <c r="D76" i="14"/>
  <c r="D71" i="14"/>
  <c r="D69" i="14"/>
  <c r="F65" i="14"/>
  <c r="C73" i="14"/>
  <c r="D60" i="14"/>
  <c r="D81" i="14"/>
  <c r="C51" i="14"/>
  <c r="E50" i="14"/>
  <c r="D50" i="14"/>
  <c r="B50" i="14"/>
  <c r="E49" i="14"/>
  <c r="D49" i="14"/>
  <c r="B49" i="14"/>
  <c r="E48" i="14"/>
  <c r="D48" i="14"/>
  <c r="B48" i="14"/>
  <c r="E47" i="14"/>
  <c r="D47" i="14"/>
  <c r="B47" i="14"/>
  <c r="E46" i="14"/>
  <c r="D46" i="14"/>
  <c r="B46" i="14"/>
  <c r="E45" i="14"/>
  <c r="D45" i="14"/>
  <c r="B45" i="14"/>
  <c r="E41" i="14"/>
  <c r="D41" i="14"/>
  <c r="B41" i="14"/>
  <c r="A41" i="14"/>
  <c r="C41" i="14"/>
  <c r="E40" i="14"/>
  <c r="D40" i="14"/>
  <c r="B40" i="14"/>
  <c r="A40" i="14"/>
  <c r="C40" i="14"/>
  <c r="E39" i="14"/>
  <c r="D39" i="14"/>
  <c r="C39" i="14"/>
  <c r="B39" i="14"/>
  <c r="A39" i="14"/>
  <c r="A48" i="14"/>
  <c r="C48" i="14"/>
  <c r="E38" i="14"/>
  <c r="D38" i="14"/>
  <c r="B38" i="14"/>
  <c r="A38" i="14"/>
  <c r="A47" i="14"/>
  <c r="C47" i="14"/>
  <c r="E37" i="14"/>
  <c r="D37" i="14"/>
  <c r="B37" i="14"/>
  <c r="A37" i="14"/>
  <c r="A46" i="14"/>
  <c r="C46" i="14"/>
  <c r="F46" i="14"/>
  <c r="C37" i="14"/>
  <c r="E36" i="14"/>
  <c r="D36" i="14"/>
  <c r="B36" i="14"/>
  <c r="A36" i="14"/>
  <c r="C36" i="14"/>
  <c r="A35" i="14"/>
  <c r="C35" i="14"/>
  <c r="E32" i="14"/>
  <c r="F32" i="14" s="1"/>
  <c r="D32" i="14"/>
  <c r="C32" i="14"/>
  <c r="B32" i="14"/>
  <c r="D31" i="14"/>
  <c r="C31" i="14"/>
  <c r="F31" i="14"/>
  <c r="B31" i="14"/>
  <c r="D30" i="14"/>
  <c r="C30" i="14"/>
  <c r="F30" i="14"/>
  <c r="B30" i="14"/>
  <c r="D29" i="14"/>
  <c r="C29" i="14"/>
  <c r="B29" i="14"/>
  <c r="D28" i="14"/>
  <c r="C28" i="14"/>
  <c r="F28" i="14"/>
  <c r="B28" i="14"/>
  <c r="E27" i="14"/>
  <c r="F27" i="14"/>
  <c r="D27" i="14"/>
  <c r="C27" i="14"/>
  <c r="B27" i="14"/>
  <c r="E24" i="14"/>
  <c r="F24" i="14" s="1"/>
  <c r="D24" i="14"/>
  <c r="C24" i="14"/>
  <c r="B24" i="14"/>
  <c r="E23" i="14"/>
  <c r="F23" i="14"/>
  <c r="D23" i="14"/>
  <c r="C23" i="14"/>
  <c r="B23" i="14"/>
  <c r="E22" i="14"/>
  <c r="F22" i="14" s="1"/>
  <c r="D22" i="14"/>
  <c r="C22" i="14"/>
  <c r="B22" i="14"/>
  <c r="E21" i="14"/>
  <c r="F21" i="14" s="1"/>
  <c r="D21" i="14"/>
  <c r="C21" i="14"/>
  <c r="B21" i="14"/>
  <c r="E20" i="14"/>
  <c r="F20" i="14" s="1"/>
  <c r="D20" i="14"/>
  <c r="C20" i="14"/>
  <c r="B20" i="14"/>
  <c r="E19" i="14"/>
  <c r="F19" i="14"/>
  <c r="D19" i="14"/>
  <c r="C19" i="14"/>
  <c r="B19" i="14"/>
  <c r="E18" i="14"/>
  <c r="F18" i="14" s="1"/>
  <c r="D18" i="14"/>
  <c r="C18" i="14"/>
  <c r="B18" i="14"/>
  <c r="C17" i="14"/>
  <c r="B15" i="14"/>
  <c r="E14" i="14"/>
  <c r="F14" i="14"/>
  <c r="D14" i="14"/>
  <c r="C14" i="14"/>
  <c r="B14" i="14"/>
  <c r="E13" i="14"/>
  <c r="F13" i="14" s="1"/>
  <c r="D13" i="14"/>
  <c r="C13" i="14"/>
  <c r="B13" i="14"/>
  <c r="E12" i="14"/>
  <c r="F12" i="14"/>
  <c r="D12" i="14"/>
  <c r="C12" i="14"/>
  <c r="B12" i="14"/>
  <c r="E11" i="14"/>
  <c r="F11" i="14" s="1"/>
  <c r="D11" i="14"/>
  <c r="C11" i="14"/>
  <c r="B11" i="14"/>
  <c r="E10" i="14"/>
  <c r="F10" i="14" s="1"/>
  <c r="D10" i="14"/>
  <c r="C10" i="14"/>
  <c r="B10" i="14"/>
  <c r="E9" i="14"/>
  <c r="D9" i="14"/>
  <c r="C9" i="14"/>
  <c r="B9" i="14"/>
  <c r="E8" i="14"/>
  <c r="F8" i="14" s="1"/>
  <c r="D8" i="14"/>
  <c r="C8" i="14"/>
  <c r="B8" i="14"/>
  <c r="H6" i="14"/>
  <c r="D73" i="13"/>
  <c r="D74" i="13"/>
  <c r="D76" i="13"/>
  <c r="D71" i="13"/>
  <c r="D69" i="13"/>
  <c r="F65" i="13"/>
  <c r="C73" i="13"/>
  <c r="D60" i="13"/>
  <c r="D83" i="13"/>
  <c r="C51" i="13"/>
  <c r="E50" i="13"/>
  <c r="D50" i="13"/>
  <c r="B50" i="13"/>
  <c r="E49" i="13"/>
  <c r="D49" i="13"/>
  <c r="B49" i="13"/>
  <c r="E48" i="13"/>
  <c r="D48" i="13"/>
  <c r="B48" i="13"/>
  <c r="E47" i="13"/>
  <c r="D47" i="13"/>
  <c r="B47" i="13"/>
  <c r="A47" i="13"/>
  <c r="C47" i="13"/>
  <c r="E46" i="13"/>
  <c r="D46" i="13"/>
  <c r="B46" i="13"/>
  <c r="E45" i="13"/>
  <c r="D45" i="13"/>
  <c r="B45" i="13"/>
  <c r="E41" i="13"/>
  <c r="D41" i="13"/>
  <c r="B41" i="13"/>
  <c r="A41" i="13"/>
  <c r="C41" i="13"/>
  <c r="E40" i="13"/>
  <c r="D40" i="13"/>
  <c r="B40" i="13"/>
  <c r="A40" i="13"/>
  <c r="C40" i="13"/>
  <c r="E39" i="13"/>
  <c r="D39" i="13"/>
  <c r="C39" i="13"/>
  <c r="B39" i="13"/>
  <c r="A39" i="13"/>
  <c r="A48" i="13"/>
  <c r="C48" i="13"/>
  <c r="E38" i="13"/>
  <c r="D38" i="13"/>
  <c r="C38" i="13"/>
  <c r="B38" i="13"/>
  <c r="A38" i="13"/>
  <c r="E37" i="13"/>
  <c r="F37" i="13" s="1"/>
  <c r="D37" i="13"/>
  <c r="B37" i="13"/>
  <c r="A37" i="13"/>
  <c r="C37" i="13"/>
  <c r="E36" i="13"/>
  <c r="D36" i="13"/>
  <c r="B36" i="13"/>
  <c r="A36" i="13"/>
  <c r="C36" i="13"/>
  <c r="F36" i="13"/>
  <c r="C35" i="13"/>
  <c r="A35" i="13"/>
  <c r="A44" i="13"/>
  <c r="C44" i="13"/>
  <c r="E32" i="13"/>
  <c r="F32" i="13" s="1"/>
  <c r="D32" i="13"/>
  <c r="C32" i="13"/>
  <c r="B32" i="13"/>
  <c r="E31" i="13"/>
  <c r="D31" i="13"/>
  <c r="C31" i="13"/>
  <c r="B31" i="13"/>
  <c r="E30" i="13"/>
  <c r="F30" i="13"/>
  <c r="D30" i="13"/>
  <c r="C30" i="13"/>
  <c r="B30" i="13"/>
  <c r="E29" i="13"/>
  <c r="F29" i="13"/>
  <c r="D29" i="13"/>
  <c r="C29" i="13"/>
  <c r="B29" i="13"/>
  <c r="E28" i="13"/>
  <c r="D28" i="13"/>
  <c r="C28" i="13"/>
  <c r="B28" i="13"/>
  <c r="D27" i="13"/>
  <c r="C27" i="13"/>
  <c r="B27" i="13"/>
  <c r="E24" i="13"/>
  <c r="F24" i="13"/>
  <c r="D24" i="13"/>
  <c r="C24" i="13"/>
  <c r="B24" i="13"/>
  <c r="E23" i="13"/>
  <c r="F23" i="13"/>
  <c r="D23" i="13"/>
  <c r="C23" i="13"/>
  <c r="B23" i="13"/>
  <c r="E22" i="13"/>
  <c r="F22" i="13" s="1"/>
  <c r="D22" i="13"/>
  <c r="C22" i="13"/>
  <c r="B22" i="13"/>
  <c r="E21" i="13"/>
  <c r="F21" i="13" s="1"/>
  <c r="D21" i="13"/>
  <c r="C21" i="13"/>
  <c r="B21" i="13"/>
  <c r="E20" i="13"/>
  <c r="F20" i="13" s="1"/>
  <c r="D20" i="13"/>
  <c r="C20" i="13"/>
  <c r="B20" i="13"/>
  <c r="E19" i="13"/>
  <c r="F19" i="13"/>
  <c r="D19" i="13"/>
  <c r="C19" i="13"/>
  <c r="B19" i="13"/>
  <c r="D18" i="13"/>
  <c r="C18" i="13"/>
  <c r="B18" i="13"/>
  <c r="C17" i="13"/>
  <c r="B15" i="13"/>
  <c r="E14" i="13"/>
  <c r="F14" i="13"/>
  <c r="D14" i="13"/>
  <c r="C14" i="13"/>
  <c r="B14" i="13"/>
  <c r="E13" i="13"/>
  <c r="F13" i="13"/>
  <c r="D13" i="13"/>
  <c r="C13" i="13"/>
  <c r="B13" i="13"/>
  <c r="E12" i="13"/>
  <c r="F12" i="13"/>
  <c r="D12" i="13"/>
  <c r="C12" i="13"/>
  <c r="B12" i="13"/>
  <c r="E11" i="13"/>
  <c r="F11" i="13" s="1"/>
  <c r="D11" i="13"/>
  <c r="C11" i="13"/>
  <c r="B11" i="13"/>
  <c r="E10" i="13"/>
  <c r="F10" i="13" s="1"/>
  <c r="D10" i="13"/>
  <c r="C10" i="13"/>
  <c r="B10" i="13"/>
  <c r="E9" i="13"/>
  <c r="D9" i="13"/>
  <c r="C9" i="13"/>
  <c r="B9" i="13"/>
  <c r="E8" i="13"/>
  <c r="D8" i="13"/>
  <c r="C8" i="13"/>
  <c r="B8" i="13"/>
  <c r="H6" i="13"/>
  <c r="D73" i="12"/>
  <c r="D74" i="12"/>
  <c r="D71" i="12"/>
  <c r="D69" i="12"/>
  <c r="F65" i="12"/>
  <c r="C73" i="12"/>
  <c r="D60" i="12"/>
  <c r="D85" i="12"/>
  <c r="C51" i="12"/>
  <c r="E50" i="12"/>
  <c r="D50" i="12"/>
  <c r="B50" i="12"/>
  <c r="E49" i="12"/>
  <c r="D49" i="12"/>
  <c r="B49" i="12"/>
  <c r="E48" i="12"/>
  <c r="F48" i="12"/>
  <c r="D48" i="12"/>
  <c r="B48" i="12"/>
  <c r="E47" i="12"/>
  <c r="D47" i="12"/>
  <c r="B47" i="12"/>
  <c r="E46" i="12"/>
  <c r="D46" i="12"/>
  <c r="B46" i="12"/>
  <c r="E41" i="12"/>
  <c r="F41" i="12"/>
  <c r="D41" i="12"/>
  <c r="B41" i="12"/>
  <c r="A41" i="12"/>
  <c r="C41" i="12"/>
  <c r="E40" i="12"/>
  <c r="D40" i="12"/>
  <c r="B40" i="12"/>
  <c r="A40" i="12"/>
  <c r="C40" i="12"/>
  <c r="E39" i="12"/>
  <c r="D39" i="12"/>
  <c r="B39" i="12"/>
  <c r="A39" i="12"/>
  <c r="C39" i="12"/>
  <c r="A48" i="12"/>
  <c r="C48" i="12"/>
  <c r="E38" i="12"/>
  <c r="D38" i="12"/>
  <c r="B38" i="12"/>
  <c r="A38" i="12"/>
  <c r="A47" i="12"/>
  <c r="C47" i="12"/>
  <c r="E37" i="12"/>
  <c r="F37" i="12"/>
  <c r="D37" i="12"/>
  <c r="B37" i="12"/>
  <c r="A37" i="12"/>
  <c r="C37" i="12"/>
  <c r="A36" i="12"/>
  <c r="A45" i="12"/>
  <c r="C45" i="12"/>
  <c r="C36" i="12"/>
  <c r="A35" i="12"/>
  <c r="A44" i="12"/>
  <c r="C44" i="12"/>
  <c r="E32" i="12"/>
  <c r="F32" i="12" s="1"/>
  <c r="D32" i="12"/>
  <c r="C32" i="12"/>
  <c r="B32" i="12"/>
  <c r="E31" i="12"/>
  <c r="D31" i="12"/>
  <c r="C31" i="12"/>
  <c r="B31" i="12"/>
  <c r="E30" i="12"/>
  <c r="F30" i="12"/>
  <c r="D30" i="12"/>
  <c r="C30" i="12"/>
  <c r="B30" i="12"/>
  <c r="E29" i="12"/>
  <c r="F29" i="12"/>
  <c r="D29" i="12"/>
  <c r="C29" i="12"/>
  <c r="B29" i="12"/>
  <c r="E28" i="12"/>
  <c r="F28" i="12"/>
  <c r="D28" i="12"/>
  <c r="C28" i="12"/>
  <c r="B28" i="12"/>
  <c r="E27" i="12"/>
  <c r="D27" i="12"/>
  <c r="C27" i="12"/>
  <c r="B27" i="12"/>
  <c r="E24" i="12"/>
  <c r="F24" i="12" s="1"/>
  <c r="D24" i="12"/>
  <c r="C24" i="12"/>
  <c r="B24" i="12"/>
  <c r="E23" i="12"/>
  <c r="F23" i="12"/>
  <c r="D23" i="12"/>
  <c r="C23" i="12"/>
  <c r="B23" i="12"/>
  <c r="E22" i="12"/>
  <c r="F22" i="12"/>
  <c r="D22" i="12"/>
  <c r="C22" i="12"/>
  <c r="B22" i="12"/>
  <c r="E21" i="12"/>
  <c r="F21" i="12" s="1"/>
  <c r="D21" i="12"/>
  <c r="C21" i="12"/>
  <c r="B21" i="12"/>
  <c r="E20" i="12"/>
  <c r="F20" i="12" s="1"/>
  <c r="D20" i="12"/>
  <c r="C20" i="12"/>
  <c r="B20" i="12"/>
  <c r="E19" i="12"/>
  <c r="F19" i="12" s="1"/>
  <c r="D19" i="12"/>
  <c r="C19" i="12"/>
  <c r="B19" i="12"/>
  <c r="C18" i="12"/>
  <c r="C17" i="12"/>
  <c r="B15" i="12"/>
  <c r="E14" i="12"/>
  <c r="D14" i="12"/>
  <c r="C14" i="12"/>
  <c r="B14" i="12"/>
  <c r="E13" i="12"/>
  <c r="F13" i="12" s="1"/>
  <c r="D13" i="12"/>
  <c r="C13" i="12"/>
  <c r="B13" i="12"/>
  <c r="E12" i="12"/>
  <c r="F12" i="12"/>
  <c r="D12" i="12"/>
  <c r="C12" i="12"/>
  <c r="B12" i="12"/>
  <c r="E11" i="12"/>
  <c r="D11" i="12"/>
  <c r="C11" i="12"/>
  <c r="B11" i="12"/>
  <c r="D10" i="12"/>
  <c r="C10" i="12"/>
  <c r="B10" i="12"/>
  <c r="D9" i="12"/>
  <c r="C9" i="12"/>
  <c r="B9" i="12"/>
  <c r="D8" i="12"/>
  <c r="C8" i="12"/>
  <c r="B8" i="12"/>
  <c r="H6" i="12"/>
  <c r="D73" i="11"/>
  <c r="D74" i="11"/>
  <c r="D76" i="11"/>
  <c r="D71" i="11"/>
  <c r="D69" i="11"/>
  <c r="F65" i="11"/>
  <c r="C73" i="11"/>
  <c r="D60" i="11"/>
  <c r="D85" i="11"/>
  <c r="D86" i="11"/>
  <c r="C51" i="11"/>
  <c r="E50" i="11"/>
  <c r="F50" i="11" s="1"/>
  <c r="D50" i="11"/>
  <c r="B50" i="11"/>
  <c r="E49" i="11"/>
  <c r="F49" i="11"/>
  <c r="D49" i="11"/>
  <c r="B49" i="11"/>
  <c r="E48" i="11"/>
  <c r="F48" i="11" s="1"/>
  <c r="D48" i="11"/>
  <c r="B48" i="11"/>
  <c r="E47" i="11"/>
  <c r="F47" i="11" s="1"/>
  <c r="D47" i="11"/>
  <c r="B47" i="11"/>
  <c r="E46" i="11"/>
  <c r="F46" i="11" s="1"/>
  <c r="D46" i="11"/>
  <c r="B46" i="11"/>
  <c r="E45" i="11"/>
  <c r="F45" i="11" s="1"/>
  <c r="D45" i="11"/>
  <c r="B45" i="11"/>
  <c r="E44" i="11"/>
  <c r="F44" i="11"/>
  <c r="D44" i="11"/>
  <c r="B44" i="11"/>
  <c r="E41" i="11"/>
  <c r="F41" i="11" s="1"/>
  <c r="D41" i="11"/>
  <c r="B41" i="11"/>
  <c r="A41" i="11"/>
  <c r="C41" i="11"/>
  <c r="E40" i="11"/>
  <c r="F40" i="11"/>
  <c r="D40" i="11"/>
  <c r="B40" i="11"/>
  <c r="A40" i="11"/>
  <c r="C40" i="11"/>
  <c r="E39" i="11"/>
  <c r="F39" i="11" s="1"/>
  <c r="D39" i="11"/>
  <c r="C39" i="11"/>
  <c r="B39" i="11"/>
  <c r="A39" i="11"/>
  <c r="A48" i="11"/>
  <c r="C48" i="11"/>
  <c r="E38" i="11"/>
  <c r="F38" i="11"/>
  <c r="D38" i="11"/>
  <c r="B38" i="11"/>
  <c r="A38" i="11"/>
  <c r="C38" i="11"/>
  <c r="E37" i="11"/>
  <c r="F37" i="11" s="1"/>
  <c r="D37" i="11"/>
  <c r="B37" i="11"/>
  <c r="A37" i="11"/>
  <c r="C37" i="11"/>
  <c r="E36" i="11"/>
  <c r="F36" i="11"/>
  <c r="D36" i="11"/>
  <c r="B36" i="11"/>
  <c r="A36" i="11"/>
  <c r="C36" i="11"/>
  <c r="E35" i="11"/>
  <c r="F35" i="11" s="1"/>
  <c r="D35" i="11"/>
  <c r="B35" i="11"/>
  <c r="A35" i="11"/>
  <c r="A44" i="11"/>
  <c r="C44" i="11"/>
  <c r="E32" i="11"/>
  <c r="F32" i="11" s="1"/>
  <c r="D32" i="11"/>
  <c r="C32" i="11"/>
  <c r="B32" i="11"/>
  <c r="E31" i="11"/>
  <c r="F31" i="11" s="1"/>
  <c r="D31" i="11"/>
  <c r="C31" i="11"/>
  <c r="B31" i="11"/>
  <c r="E30" i="11"/>
  <c r="F30" i="11"/>
  <c r="D30" i="11"/>
  <c r="C30" i="11"/>
  <c r="B30" i="11"/>
  <c r="E29" i="11"/>
  <c r="F29" i="11" s="1"/>
  <c r="D29" i="11"/>
  <c r="C29" i="11"/>
  <c r="B29" i="11"/>
  <c r="E28" i="11"/>
  <c r="F28" i="11" s="1"/>
  <c r="D28" i="11"/>
  <c r="C28" i="11"/>
  <c r="B28" i="11"/>
  <c r="E27" i="11"/>
  <c r="F27" i="11"/>
  <c r="D27" i="11"/>
  <c r="C27" i="11"/>
  <c r="B27" i="11"/>
  <c r="E24" i="11"/>
  <c r="F24" i="11" s="1"/>
  <c r="D24" i="11"/>
  <c r="C24" i="11"/>
  <c r="B24" i="11"/>
  <c r="E23" i="11"/>
  <c r="F23" i="11"/>
  <c r="D23" i="11"/>
  <c r="C23" i="11"/>
  <c r="B23" i="11"/>
  <c r="E22" i="11"/>
  <c r="F22" i="11" s="1"/>
  <c r="D22" i="11"/>
  <c r="C22" i="11"/>
  <c r="B22" i="11"/>
  <c r="E21" i="11"/>
  <c r="F21" i="11"/>
  <c r="D21" i="11"/>
  <c r="C21" i="11"/>
  <c r="B21" i="11"/>
  <c r="E20" i="11"/>
  <c r="F20" i="11" s="1"/>
  <c r="D20" i="11"/>
  <c r="C20" i="11"/>
  <c r="B20" i="11"/>
  <c r="E19" i="11"/>
  <c r="F19" i="11"/>
  <c r="D19" i="11"/>
  <c r="C19" i="11"/>
  <c r="B19" i="11"/>
  <c r="E18" i="11"/>
  <c r="F18" i="11" s="1"/>
  <c r="D18" i="11"/>
  <c r="C18" i="11"/>
  <c r="B18" i="11"/>
  <c r="E17" i="11"/>
  <c r="F17" i="11"/>
  <c r="D17" i="11"/>
  <c r="C17" i="11"/>
  <c r="B17" i="11"/>
  <c r="B15" i="11"/>
  <c r="E14" i="11"/>
  <c r="F14" i="11"/>
  <c r="D14" i="11"/>
  <c r="C14" i="11"/>
  <c r="B14" i="11"/>
  <c r="E13" i="11"/>
  <c r="F13" i="11" s="1"/>
  <c r="F53" i="11" s="1"/>
  <c r="D13" i="11"/>
  <c r="C13" i="11"/>
  <c r="B13" i="11"/>
  <c r="E12" i="11"/>
  <c r="F12" i="11"/>
  <c r="D12" i="11"/>
  <c r="C12" i="11"/>
  <c r="B12" i="11"/>
  <c r="E11" i="11"/>
  <c r="F11" i="11" s="1"/>
  <c r="D11" i="11"/>
  <c r="C11" i="11"/>
  <c r="B11" i="11"/>
  <c r="E10" i="11"/>
  <c r="F10" i="11"/>
  <c r="D10" i="11"/>
  <c r="C10" i="11"/>
  <c r="B10" i="11"/>
  <c r="E9" i="11"/>
  <c r="F9" i="11" s="1"/>
  <c r="D9" i="11"/>
  <c r="C9" i="11"/>
  <c r="B9" i="11"/>
  <c r="C8" i="11"/>
  <c r="H6" i="11"/>
  <c r="D73" i="10"/>
  <c r="D74" i="10"/>
  <c r="D76" i="10"/>
  <c r="D71" i="10"/>
  <c r="D69" i="10"/>
  <c r="F65" i="10"/>
  <c r="C73" i="10"/>
  <c r="D60" i="10"/>
  <c r="D85" i="10"/>
  <c r="C51" i="10"/>
  <c r="E50" i="10"/>
  <c r="F50" i="10"/>
  <c r="D50" i="10"/>
  <c r="B50" i="10"/>
  <c r="E49" i="10"/>
  <c r="F49" i="10"/>
  <c r="D49" i="10"/>
  <c r="B49" i="10"/>
  <c r="E48" i="10"/>
  <c r="F48" i="10"/>
  <c r="D48" i="10"/>
  <c r="B48" i="10"/>
  <c r="E47" i="10"/>
  <c r="F47" i="10"/>
  <c r="D47" i="10"/>
  <c r="B47" i="10"/>
  <c r="E46" i="10"/>
  <c r="F46" i="10" s="1"/>
  <c r="D46" i="10"/>
  <c r="B46" i="10"/>
  <c r="E45" i="10"/>
  <c r="F45" i="10"/>
  <c r="D45" i="10"/>
  <c r="B45" i="10"/>
  <c r="E44" i="10"/>
  <c r="F44" i="10" s="1"/>
  <c r="D44" i="10"/>
  <c r="B44" i="10"/>
  <c r="A44" i="10"/>
  <c r="C44" i="10"/>
  <c r="E41" i="10"/>
  <c r="F41" i="10"/>
  <c r="D41" i="10"/>
  <c r="B41" i="10"/>
  <c r="A41" i="10"/>
  <c r="A50" i="10"/>
  <c r="C50" i="10"/>
  <c r="E40" i="10"/>
  <c r="F40" i="10"/>
  <c r="D40" i="10"/>
  <c r="C40" i="10"/>
  <c r="B40" i="10"/>
  <c r="A40" i="10"/>
  <c r="A49" i="10"/>
  <c r="C49" i="10"/>
  <c r="E39" i="10"/>
  <c r="F39" i="10"/>
  <c r="D39" i="10"/>
  <c r="B39" i="10"/>
  <c r="A39" i="10"/>
  <c r="C39" i="10"/>
  <c r="E38" i="10"/>
  <c r="F38" i="10"/>
  <c r="D38" i="10"/>
  <c r="B38" i="10"/>
  <c r="A38" i="10"/>
  <c r="C38" i="10"/>
  <c r="E37" i="10"/>
  <c r="F37" i="10"/>
  <c r="D37" i="10"/>
  <c r="B37" i="10"/>
  <c r="A37" i="10"/>
  <c r="C37" i="10"/>
  <c r="E36" i="10"/>
  <c r="F36" i="10"/>
  <c r="D36" i="10"/>
  <c r="C36" i="10"/>
  <c r="B36" i="10"/>
  <c r="A36" i="10"/>
  <c r="A45" i="10"/>
  <c r="C45" i="10"/>
  <c r="E35" i="10"/>
  <c r="F35" i="10" s="1"/>
  <c r="D35" i="10"/>
  <c r="B35" i="10"/>
  <c r="A35" i="10"/>
  <c r="C35" i="10"/>
  <c r="E32" i="10"/>
  <c r="F32" i="10" s="1"/>
  <c r="D32" i="10"/>
  <c r="C32" i="10"/>
  <c r="B32" i="10"/>
  <c r="E31" i="10"/>
  <c r="F31" i="10" s="1"/>
  <c r="D31" i="10"/>
  <c r="C31" i="10"/>
  <c r="B31" i="10"/>
  <c r="E30" i="10"/>
  <c r="F30" i="10"/>
  <c r="D30" i="10"/>
  <c r="C30" i="10"/>
  <c r="B30" i="10"/>
  <c r="E29" i="10"/>
  <c r="F29" i="10" s="1"/>
  <c r="D29" i="10"/>
  <c r="C29" i="10"/>
  <c r="B29" i="10"/>
  <c r="E28" i="10"/>
  <c r="F28" i="10"/>
  <c r="D28" i="10"/>
  <c r="C28" i="10"/>
  <c r="B28" i="10"/>
  <c r="E27" i="10"/>
  <c r="F27" i="10"/>
  <c r="D27" i="10"/>
  <c r="C27" i="10"/>
  <c r="B27" i="10"/>
  <c r="E24" i="10"/>
  <c r="F24" i="10"/>
  <c r="D24" i="10"/>
  <c r="C24" i="10"/>
  <c r="B24" i="10"/>
  <c r="E23" i="10"/>
  <c r="F23" i="10"/>
  <c r="D23" i="10"/>
  <c r="C23" i="10"/>
  <c r="B23" i="10"/>
  <c r="E22" i="10"/>
  <c r="F22" i="10"/>
  <c r="D22" i="10"/>
  <c r="C22" i="10"/>
  <c r="B22" i="10"/>
  <c r="E21" i="10"/>
  <c r="F21" i="10" s="1"/>
  <c r="D21" i="10"/>
  <c r="C21" i="10"/>
  <c r="B21" i="10"/>
  <c r="E20" i="10"/>
  <c r="F20" i="10" s="1"/>
  <c r="D20" i="10"/>
  <c r="C20" i="10"/>
  <c r="B20" i="10"/>
  <c r="E19" i="10"/>
  <c r="F19" i="10" s="1"/>
  <c r="D19" i="10"/>
  <c r="C19" i="10"/>
  <c r="B19" i="10"/>
  <c r="E18" i="10"/>
  <c r="F18" i="10" s="1"/>
  <c r="D18" i="10"/>
  <c r="C18" i="10"/>
  <c r="B18" i="10"/>
  <c r="E17" i="10"/>
  <c r="F17" i="10" s="1"/>
  <c r="D17" i="10"/>
  <c r="C17" i="10"/>
  <c r="B17" i="10"/>
  <c r="B15" i="10"/>
  <c r="D14" i="10"/>
  <c r="C14" i="10"/>
  <c r="F14" i="10"/>
  <c r="B14" i="10"/>
  <c r="D13" i="10"/>
  <c r="C13" i="10"/>
  <c r="B13" i="10"/>
  <c r="D12" i="10"/>
  <c r="C12" i="10"/>
  <c r="B12" i="10"/>
  <c r="D11" i="10"/>
  <c r="C11" i="10"/>
  <c r="F11" i="10"/>
  <c r="B11" i="10"/>
  <c r="D10" i="10"/>
  <c r="C10" i="10"/>
  <c r="B10" i="10"/>
  <c r="D9" i="10"/>
  <c r="C9" i="10"/>
  <c r="B9" i="10"/>
  <c r="C8" i="10"/>
  <c r="F8" i="10"/>
  <c r="H6" i="10"/>
  <c r="C21" i="9"/>
  <c r="C19" i="9"/>
  <c r="C21" i="6"/>
  <c r="C23" i="6"/>
  <c r="C31" i="5"/>
  <c r="C29" i="5"/>
  <c r="F9" i="12"/>
  <c r="F8" i="12"/>
  <c r="C35" i="12"/>
  <c r="D83" i="11"/>
  <c r="D81" i="11"/>
  <c r="A47" i="11"/>
  <c r="C47" i="11"/>
  <c r="C35" i="11"/>
  <c r="F8" i="11"/>
  <c r="C41" i="10"/>
  <c r="A48" i="10"/>
  <c r="C48" i="10"/>
  <c r="F13" i="10"/>
  <c r="F10" i="10"/>
  <c r="F12" i="10"/>
  <c r="F9" i="10"/>
  <c r="A50" i="14"/>
  <c r="C50" i="14"/>
  <c r="F50" i="14"/>
  <c r="E51" i="14"/>
  <c r="F51" i="14"/>
  <c r="A45" i="14"/>
  <c r="C45" i="14"/>
  <c r="A49" i="14"/>
  <c r="C49" i="14"/>
  <c r="A46" i="13"/>
  <c r="C46" i="13"/>
  <c r="E51" i="13"/>
  <c r="F51" i="13"/>
  <c r="A49" i="13"/>
  <c r="C49" i="13"/>
  <c r="A46" i="12"/>
  <c r="C46" i="12"/>
  <c r="A50" i="12"/>
  <c r="C50" i="12"/>
  <c r="E51" i="12"/>
  <c r="F51" i="12"/>
  <c r="C85" i="11"/>
  <c r="E85" i="11"/>
  <c r="E73" i="11"/>
  <c r="A46" i="11"/>
  <c r="C46" i="11"/>
  <c r="A50" i="11"/>
  <c r="C50" i="11"/>
  <c r="E51" i="11"/>
  <c r="F51" i="11"/>
  <c r="A45" i="11"/>
  <c r="C45" i="11"/>
  <c r="A49" i="11"/>
  <c r="C49" i="11"/>
  <c r="C85" i="10"/>
  <c r="E73" i="10"/>
  <c r="A47" i="10"/>
  <c r="C47" i="10"/>
  <c r="A46" i="10"/>
  <c r="C46" i="10"/>
  <c r="E51" i="10"/>
  <c r="F51" i="10"/>
  <c r="F49" i="13"/>
  <c r="F9" i="14"/>
  <c r="F47" i="12"/>
  <c r="F27" i="12"/>
  <c r="F31" i="12"/>
  <c r="F8" i="13"/>
  <c r="F9" i="13"/>
  <c r="F28" i="13"/>
  <c r="F11" i="12"/>
  <c r="F14" i="12"/>
  <c r="F31" i="13"/>
  <c r="F48" i="13"/>
  <c r="F47" i="14"/>
  <c r="F48" i="14"/>
  <c r="D83" i="14"/>
  <c r="D85" i="14"/>
  <c r="D86" i="14"/>
  <c r="F45" i="14"/>
  <c r="F49" i="14"/>
  <c r="F40" i="14"/>
  <c r="F39" i="14"/>
  <c r="F41" i="14"/>
  <c r="F36" i="14"/>
  <c r="F37" i="14"/>
  <c r="C38" i="14"/>
  <c r="F38" i="14"/>
  <c r="A44" i="14"/>
  <c r="C44" i="14"/>
  <c r="D85" i="13"/>
  <c r="D81" i="13"/>
  <c r="F47" i="13"/>
  <c r="F46" i="13"/>
  <c r="F38" i="13"/>
  <c r="F40" i="13"/>
  <c r="F39" i="13"/>
  <c r="F41" i="13"/>
  <c r="A50" i="13"/>
  <c r="C50" i="13"/>
  <c r="F50" i="13"/>
  <c r="F27" i="13"/>
  <c r="F18" i="13"/>
  <c r="E73" i="12"/>
  <c r="C85" i="12"/>
  <c r="D81" i="12"/>
  <c r="D83" i="12"/>
  <c r="F50" i="12"/>
  <c r="F46" i="12"/>
  <c r="F39" i="12"/>
  <c r="F40" i="12"/>
  <c r="A49" i="12"/>
  <c r="C49" i="12"/>
  <c r="F49" i="12"/>
  <c r="C38" i="12"/>
  <c r="F38" i="12"/>
  <c r="F10" i="12"/>
  <c r="D81" i="10"/>
  <c r="D86" i="13"/>
  <c r="E85" i="10"/>
  <c r="D86" i="10"/>
  <c r="D83" i="10"/>
  <c r="F54" i="11"/>
  <c r="E73" i="14"/>
  <c r="C85" i="14"/>
  <c r="E85" i="14"/>
  <c r="F29" i="14"/>
  <c r="C85" i="13"/>
  <c r="E73" i="13"/>
  <c r="E85" i="13"/>
  <c r="A45" i="13"/>
  <c r="C45" i="13"/>
  <c r="F45" i="13"/>
  <c r="D76" i="12"/>
  <c r="D86" i="12"/>
  <c r="E85" i="12"/>
  <c r="C76" i="11"/>
  <c r="E76" i="11" s="1"/>
  <c r="E36" i="12" s="1"/>
  <c r="F36" i="12" s="1"/>
  <c r="F54" i="10" l="1"/>
  <c r="F64" i="11"/>
  <c r="F55" i="11"/>
  <c r="C69" i="11"/>
  <c r="H53" i="11"/>
  <c r="F2" i="11" s="1"/>
  <c r="F53" i="10"/>
  <c r="H54" i="11"/>
  <c r="G2" i="11" s="1"/>
  <c r="F56" i="10"/>
  <c r="F56" i="11"/>
  <c r="E69" i="11" l="1"/>
  <c r="C81" i="11"/>
  <c r="E81" i="11" s="1"/>
  <c r="O54" i="11"/>
  <c r="H55" i="11"/>
  <c r="F63" i="11"/>
  <c r="C74" i="10"/>
  <c r="H56" i="10"/>
  <c r="H2" i="10" s="1"/>
  <c r="C74" i="11"/>
  <c r="H56" i="11"/>
  <c r="H2" i="11" s="1"/>
  <c r="H53" i="10"/>
  <c r="F2" i="10" s="1"/>
  <c r="F55" i="10"/>
  <c r="F64" i="10"/>
  <c r="C69" i="10"/>
  <c r="H54" i="10"/>
  <c r="G2" i="10" s="1"/>
  <c r="C76" i="10"/>
  <c r="E76" i="10" s="1"/>
  <c r="E35" i="12" s="1"/>
  <c r="F35" i="12" s="1"/>
  <c r="E74" i="10" l="1"/>
  <c r="E44" i="12" s="1"/>
  <c r="F44" i="12" s="1"/>
  <c r="C86" i="10"/>
  <c r="E86" i="10" s="1"/>
  <c r="E63" i="11"/>
  <c r="G63" i="11"/>
  <c r="C71" i="11"/>
  <c r="F66" i="11"/>
  <c r="E69" i="10"/>
  <c r="C81" i="10"/>
  <c r="E81" i="10" s="1"/>
  <c r="O55" i="11"/>
  <c r="O57" i="11" s="1"/>
  <c r="O59" i="11" s="1"/>
  <c r="O58" i="11"/>
  <c r="O56" i="11"/>
  <c r="C86" i="11"/>
  <c r="E86" i="11" s="1"/>
  <c r="E74" i="11"/>
  <c r="E45" i="12" s="1"/>
  <c r="F45" i="12" s="1"/>
  <c r="F54" i="12"/>
  <c r="H55" i="10"/>
  <c r="F63" i="10"/>
  <c r="O54" i="10"/>
  <c r="E18" i="12"/>
  <c r="F18" i="12" s="1"/>
  <c r="E78" i="11"/>
  <c r="O60" i="11" l="1"/>
  <c r="O61" i="11"/>
  <c r="O62" i="11" s="1"/>
  <c r="O56" i="10"/>
  <c r="O58" i="10"/>
  <c r="O55" i="10"/>
  <c r="O57" i="10" s="1"/>
  <c r="O59" i="10" s="1"/>
  <c r="E78" i="10"/>
  <c r="E17" i="12"/>
  <c r="F17" i="12" s="1"/>
  <c r="C71" i="10"/>
  <c r="E63" i="10"/>
  <c r="G63" i="10"/>
  <c r="F66" i="10"/>
  <c r="G30" i="11"/>
  <c r="G66" i="11"/>
  <c r="G65" i="11"/>
  <c r="G49" i="11"/>
  <c r="G17" i="11"/>
  <c r="G12" i="11"/>
  <c r="G38" i="11"/>
  <c r="G36" i="11"/>
  <c r="G21" i="11"/>
  <c r="G24" i="11"/>
  <c r="G18" i="11"/>
  <c r="G10" i="11"/>
  <c r="G51" i="11"/>
  <c r="G8" i="11"/>
  <c r="G28" i="11"/>
  <c r="G40" i="11"/>
  <c r="G46" i="11"/>
  <c r="G14" i="11"/>
  <c r="G19" i="11"/>
  <c r="G20" i="11"/>
  <c r="G31" i="11"/>
  <c r="G29" i="11"/>
  <c r="G44" i="11"/>
  <c r="G13" i="11"/>
  <c r="G48" i="11"/>
  <c r="G32" i="11"/>
  <c r="G53" i="11"/>
  <c r="G23" i="11"/>
  <c r="G54" i="11"/>
  <c r="G45" i="11"/>
  <c r="G22" i="11"/>
  <c r="G37" i="11"/>
  <c r="G35" i="11"/>
  <c r="G41" i="11"/>
  <c r="G9" i="11"/>
  <c r="G39" i="11"/>
  <c r="G27" i="11"/>
  <c r="G47" i="11"/>
  <c r="G11" i="11"/>
  <c r="G50" i="11"/>
  <c r="G55" i="11"/>
  <c r="G56" i="11"/>
  <c r="G64" i="11"/>
  <c r="C83" i="11"/>
  <c r="E83" i="11" s="1"/>
  <c r="E71" i="11"/>
  <c r="H54" i="12"/>
  <c r="G2" i="12" s="1"/>
  <c r="C76" i="12"/>
  <c r="E76" i="12" s="1"/>
  <c r="E35" i="13" s="1"/>
  <c r="F35" i="13" s="1"/>
  <c r="F56" i="12"/>
  <c r="O60" i="10" l="1"/>
  <c r="O61" i="10"/>
  <c r="O62" i="10" s="1"/>
  <c r="C83" i="10"/>
  <c r="E83" i="10" s="1"/>
  <c r="E71" i="10"/>
  <c r="H56" i="12"/>
  <c r="H2" i="12" s="1"/>
  <c r="C74" i="12"/>
  <c r="F54" i="13"/>
  <c r="F53" i="12"/>
  <c r="P62" i="11"/>
  <c r="E2" i="11"/>
  <c r="G9" i="10"/>
  <c r="G40" i="10"/>
  <c r="G49" i="10"/>
  <c r="G24" i="10"/>
  <c r="G28" i="10"/>
  <c r="G65" i="10"/>
  <c r="G12" i="10"/>
  <c r="G66" i="10"/>
  <c r="G51" i="10"/>
  <c r="G14" i="10"/>
  <c r="G38" i="10"/>
  <c r="G19" i="10"/>
  <c r="G10" i="10"/>
  <c r="G8" i="10"/>
  <c r="G36" i="10"/>
  <c r="G18" i="10"/>
  <c r="G50" i="10"/>
  <c r="G31" i="10"/>
  <c r="G20" i="10"/>
  <c r="G11" i="10"/>
  <c r="G13" i="10"/>
  <c r="G27" i="10"/>
  <c r="G37" i="10"/>
  <c r="G29" i="10"/>
  <c r="G32" i="10"/>
  <c r="G39" i="10"/>
  <c r="G23" i="10"/>
  <c r="G30" i="10"/>
  <c r="G45" i="10"/>
  <c r="G47" i="10"/>
  <c r="G41" i="10"/>
  <c r="G44" i="10"/>
  <c r="G35" i="10"/>
  <c r="G17" i="10"/>
  <c r="G22" i="10"/>
  <c r="G46" i="10"/>
  <c r="G48" i="10"/>
  <c r="G21" i="10"/>
  <c r="G53" i="10"/>
  <c r="G54" i="10"/>
  <c r="G56" i="10"/>
  <c r="G64" i="10"/>
  <c r="G55" i="10"/>
  <c r="C86" i="12" l="1"/>
  <c r="E86" i="12" s="1"/>
  <c r="E74" i="12"/>
  <c r="E44" i="13" s="1"/>
  <c r="F44" i="13" s="1"/>
  <c r="H54" i="13"/>
  <c r="C76" i="13"/>
  <c r="E76" i="13" s="1"/>
  <c r="E2" i="10"/>
  <c r="P62" i="10"/>
  <c r="F64" i="12"/>
  <c r="H53" i="12"/>
  <c r="F2" i="12" s="1"/>
  <c r="F55" i="12"/>
  <c r="C69" i="12"/>
  <c r="C81" i="12" l="1"/>
  <c r="E81" i="12" s="1"/>
  <c r="E69" i="12"/>
  <c r="H55" i="12"/>
  <c r="F63" i="12"/>
  <c r="O54" i="12"/>
  <c r="F56" i="13"/>
  <c r="E35" i="14"/>
  <c r="F35" i="14" s="1"/>
  <c r="G2" i="13"/>
  <c r="F54" i="14" l="1"/>
  <c r="C74" i="13"/>
  <c r="H56" i="13"/>
  <c r="E63" i="12"/>
  <c r="C71" i="12"/>
  <c r="F66" i="12"/>
  <c r="E78" i="12"/>
  <c r="E17" i="13"/>
  <c r="F17" i="13" s="1"/>
  <c r="O58" i="12"/>
  <c r="O56" i="12"/>
  <c r="O57" i="12" s="1"/>
  <c r="O59" i="12" s="1"/>
  <c r="O55" i="12"/>
  <c r="O60" i="12" l="1"/>
  <c r="O61" i="12"/>
  <c r="O62" i="12" s="1"/>
  <c r="G66" i="12"/>
  <c r="G9" i="12"/>
  <c r="G8" i="12"/>
  <c r="G10" i="12"/>
  <c r="G30" i="12"/>
  <c r="G49" i="12"/>
  <c r="G12" i="12"/>
  <c r="G28" i="12"/>
  <c r="G39" i="12"/>
  <c r="G37" i="12"/>
  <c r="G29" i="12"/>
  <c r="G22" i="12"/>
  <c r="G41" i="12"/>
  <c r="G40" i="12"/>
  <c r="G65" i="12"/>
  <c r="G51" i="12"/>
  <c r="G50" i="12"/>
  <c r="G23" i="12"/>
  <c r="G48" i="12"/>
  <c r="G31" i="12"/>
  <c r="G47" i="12"/>
  <c r="G38" i="12"/>
  <c r="G19" i="12"/>
  <c r="G24" i="12"/>
  <c r="G21" i="12"/>
  <c r="G11" i="12"/>
  <c r="G36" i="12"/>
  <c r="G20" i="12"/>
  <c r="G27" i="12"/>
  <c r="G46" i="12"/>
  <c r="G13" i="12"/>
  <c r="G14" i="12"/>
  <c r="G32" i="12"/>
  <c r="G35" i="12"/>
  <c r="G54" i="12"/>
  <c r="G45" i="12"/>
  <c r="G44" i="12"/>
  <c r="G18" i="12"/>
  <c r="G17" i="12"/>
  <c r="G56" i="12"/>
  <c r="G53" i="12"/>
  <c r="G64" i="12"/>
  <c r="G55" i="12"/>
  <c r="G63" i="12"/>
  <c r="F53" i="13"/>
  <c r="E44" i="14"/>
  <c r="F44" i="14" s="1"/>
  <c r="H2" i="13"/>
  <c r="C86" i="13"/>
  <c r="E86" i="13" s="1"/>
  <c r="E74" i="13"/>
  <c r="C83" i="12"/>
  <c r="E83" i="12" s="1"/>
  <c r="E71" i="12"/>
  <c r="H54" i="14"/>
  <c r="G2" i="14" s="1"/>
  <c r="C76" i="14"/>
  <c r="E76" i="14" s="1"/>
  <c r="C69" i="13" l="1"/>
  <c r="F55" i="13"/>
  <c r="F64" i="13"/>
  <c r="H53" i="13"/>
  <c r="E2" i="12"/>
  <c r="P62" i="12"/>
  <c r="F56" i="14"/>
  <c r="E69" i="13" l="1"/>
  <c r="E78" i="13" s="1"/>
  <c r="C81" i="13"/>
  <c r="E81" i="13" s="1"/>
  <c r="E17" i="14"/>
  <c r="F17" i="14" s="1"/>
  <c r="F2" i="13"/>
  <c r="O55" i="14"/>
  <c r="H56" i="14"/>
  <c r="H2" i="14" s="1"/>
  <c r="F58" i="14"/>
  <c r="F59" i="14" s="1"/>
  <c r="O58" i="14" s="1"/>
  <c r="C74" i="14"/>
  <c r="O54" i="13"/>
  <c r="H55" i="13"/>
  <c r="F63" i="13"/>
  <c r="O58" i="13" l="1"/>
  <c r="O55" i="13"/>
  <c r="O56" i="13"/>
  <c r="O57" i="13" s="1"/>
  <c r="O59" i="13" s="1"/>
  <c r="C86" i="14"/>
  <c r="E86" i="14" s="1"/>
  <c r="E74" i="14"/>
  <c r="F53" i="14"/>
  <c r="E63" i="13"/>
  <c r="F66" i="13"/>
  <c r="C71" i="13"/>
  <c r="G63" i="13"/>
  <c r="O60" i="13" l="1"/>
  <c r="O61" i="13" s="1"/>
  <c r="O62" i="13" s="1"/>
  <c r="C83" i="13"/>
  <c r="E83" i="13" s="1"/>
  <c r="E71" i="13"/>
  <c r="C69" i="14"/>
  <c r="F64" i="14"/>
  <c r="H53" i="14"/>
  <c r="F2" i="14" s="1"/>
  <c r="F55" i="14"/>
  <c r="G23" i="13"/>
  <c r="G19" i="13"/>
  <c r="G13" i="13"/>
  <c r="G30" i="13"/>
  <c r="G27" i="13"/>
  <c r="G66" i="13"/>
  <c r="G12" i="13"/>
  <c r="G50" i="13"/>
  <c r="G29" i="13"/>
  <c r="G36" i="13"/>
  <c r="G41" i="13"/>
  <c r="G24" i="13"/>
  <c r="G22" i="13"/>
  <c r="G47" i="13"/>
  <c r="G48" i="13"/>
  <c r="G49" i="13"/>
  <c r="G37" i="13"/>
  <c r="G8" i="13"/>
  <c r="G65" i="13"/>
  <c r="G32" i="13"/>
  <c r="G51" i="13"/>
  <c r="G18" i="13"/>
  <c r="G14" i="13"/>
  <c r="G28" i="13"/>
  <c r="G9" i="13"/>
  <c r="G31" i="13"/>
  <c r="G11" i="13"/>
  <c r="G38" i="13"/>
  <c r="G40" i="13"/>
  <c r="G39" i="13"/>
  <c r="G20" i="13"/>
  <c r="G46" i="13"/>
  <c r="G10" i="13"/>
  <c r="G45" i="13"/>
  <c r="G21" i="13"/>
  <c r="G35" i="13"/>
  <c r="G54" i="13"/>
  <c r="G44" i="13"/>
  <c r="G56" i="13"/>
  <c r="G17" i="13"/>
  <c r="G53" i="13"/>
  <c r="G55" i="13"/>
  <c r="G64" i="13"/>
  <c r="P62" i="13" l="1"/>
  <c r="E2" i="13"/>
  <c r="H55" i="14"/>
  <c r="F63" i="14"/>
  <c r="O54" i="14"/>
  <c r="E69" i="14"/>
  <c r="E78" i="14" s="1"/>
  <c r="C81" i="14"/>
  <c r="E81" i="14" s="1"/>
  <c r="O56" i="14" l="1"/>
  <c r="O57" i="14"/>
  <c r="O59" i="14" s="1"/>
  <c r="E63" i="14"/>
  <c r="C71" i="14"/>
  <c r="F66" i="14"/>
  <c r="E71" i="14" l="1"/>
  <c r="C83" i="14"/>
  <c r="E83" i="14" s="1"/>
  <c r="G37" i="14"/>
  <c r="G50" i="14"/>
  <c r="G29" i="14"/>
  <c r="G28" i="14"/>
  <c r="G51" i="14"/>
  <c r="G23" i="14"/>
  <c r="G27" i="14"/>
  <c r="G30" i="14"/>
  <c r="G12" i="14"/>
  <c r="G31" i="14"/>
  <c r="G49" i="14"/>
  <c r="G66" i="14"/>
  <c r="G48" i="14"/>
  <c r="G8" i="14"/>
  <c r="G19" i="14"/>
  <c r="G36" i="14"/>
  <c r="G38" i="14"/>
  <c r="G46" i="14"/>
  <c r="G14" i="14"/>
  <c r="G20" i="14"/>
  <c r="G65" i="14"/>
  <c r="G40" i="14"/>
  <c r="G11" i="14"/>
  <c r="G45" i="14"/>
  <c r="G32" i="14"/>
  <c r="G24" i="14"/>
  <c r="G22" i="14"/>
  <c r="G9" i="14"/>
  <c r="G18" i="14"/>
  <c r="G39" i="14"/>
  <c r="G47" i="14"/>
  <c r="G21" i="14"/>
  <c r="G41" i="14"/>
  <c r="G10" i="14"/>
  <c r="G13" i="14"/>
  <c r="G35" i="14"/>
  <c r="G54" i="14"/>
  <c r="G44" i="14"/>
  <c r="G56" i="14"/>
  <c r="G17" i="14"/>
  <c r="G53" i="14"/>
  <c r="G55" i="14"/>
  <c r="G64" i="14"/>
  <c r="O60" i="14"/>
  <c r="O61" i="14" s="1"/>
  <c r="O62" i="14" s="1"/>
  <c r="G63" i="14"/>
  <c r="E2" i="14" l="1"/>
  <c r="O64" i="14"/>
  <c r="P62" i="14"/>
</calcChain>
</file>

<file path=xl/sharedStrings.xml><?xml version="1.0" encoding="utf-8"?>
<sst xmlns="http://schemas.openxmlformats.org/spreadsheetml/2006/main" count="1147" uniqueCount="237">
  <si>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</si>
  <si>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</si>
  <si>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</si>
  <si>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</si>
  <si>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</si>
  <si>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</si>
  <si>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</si>
  <si>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</si>
  <si>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</si>
  <si>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</si>
  <si>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</si>
  <si>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PROCEDIMIENTO DE PREPARACION DE LA  RECETA</t>
  </si>
  <si>
    <t>MERMA</t>
  </si>
  <si>
    <t>PESO DE CADA PORCIÓN</t>
  </si>
  <si>
    <t>CANTIDAD DE PORCIONES OBTENIDAS</t>
  </si>
  <si>
    <t>Unidad</t>
  </si>
  <si>
    <t>Medida alternativa</t>
  </si>
  <si>
    <t>Aprobado</t>
  </si>
  <si>
    <t>Elaborado</t>
  </si>
  <si>
    <t>FECHA DE APROBACIÓN:</t>
  </si>
  <si>
    <t>REVISIÓN:</t>
  </si>
  <si>
    <t>CÓDIGO:</t>
  </si>
  <si>
    <t>SERVICIOS DE PASTELERIA S.A.</t>
  </si>
  <si>
    <t>AREA QUE PRODUCE:</t>
  </si>
  <si>
    <t xml:space="preserve">AREA QUE EMPACA: </t>
  </si>
  <si>
    <t>Juan Pablo Brenes,chef</t>
  </si>
  <si>
    <t>g</t>
  </si>
  <si>
    <t>ud</t>
  </si>
  <si>
    <t>min</t>
  </si>
  <si>
    <t>Cocina</t>
  </si>
  <si>
    <t>Empaque</t>
  </si>
  <si>
    <t>NUEVO</t>
  </si>
  <si>
    <t>FAS</t>
  </si>
  <si>
    <t>Etiplast</t>
  </si>
  <si>
    <t>Esteban Cartin, Gerente de Manufactura</t>
  </si>
  <si>
    <t>Premezcla mufin banano</t>
  </si>
  <si>
    <t>11200070</t>
  </si>
  <si>
    <t>HARINA HARISOL HOJALDRE (SACO: 25 K)</t>
  </si>
  <si>
    <t>Fachasa</t>
  </si>
  <si>
    <t>10100046</t>
  </si>
  <si>
    <t>POLVO HORNEAR FLEISHMAN (PAQ:2.5 K)</t>
  </si>
  <si>
    <t>503000036</t>
  </si>
  <si>
    <t>BICARBONATO DE SODIO (PAQ:2.5 K)</t>
  </si>
  <si>
    <t>0610256</t>
  </si>
  <si>
    <t>NUEZ MOSCADA MOLIDA (PAQ:3 K)</t>
  </si>
  <si>
    <t>Layca</t>
  </si>
  <si>
    <t>0310107</t>
  </si>
  <si>
    <t>LACTOCREMA GRANEL (CAJA:25 KG)</t>
  </si>
  <si>
    <t>Dos pinos</t>
  </si>
  <si>
    <t>Fleishman</t>
  </si>
  <si>
    <t>Mayca</t>
  </si>
  <si>
    <t>AZUCAR CARAMELO (PAQ:0.5 K)</t>
  </si>
  <si>
    <t>BOLSA 12x18 TRANSP KILO</t>
  </si>
  <si>
    <t>Plasticos P</t>
  </si>
  <si>
    <t>BOLSA 17x25 TRANSP KILO</t>
  </si>
  <si>
    <t>ETIQUETA BLANCA 2 5/8X1 15/16 (UND)</t>
  </si>
  <si>
    <t>ETIQUETA ROJA LETRA ALERJENO (UND)</t>
  </si>
  <si>
    <t>Batidos</t>
  </si>
  <si>
    <t>INNOVO</t>
  </si>
  <si>
    <t>1210443</t>
  </si>
  <si>
    <t>YEMA DE HUEVO PASTEURIZADA (CAJA:2 Kg)</t>
  </si>
  <si>
    <t>11900001</t>
  </si>
  <si>
    <t>NUEZ PECANA QUEBRADURA (CAJA:10 Kg)</t>
  </si>
  <si>
    <t>NUECES INDUSTRIALES</t>
  </si>
  <si>
    <t>G</t>
  </si>
  <si>
    <t>Batido Mufin de banano Spoon</t>
  </si>
  <si>
    <t>PREMEZCLA MUFIN BANANO</t>
  </si>
  <si>
    <t>101085</t>
  </si>
  <si>
    <t xml:space="preserve">BANANO ( UND) </t>
  </si>
  <si>
    <t>1212410</t>
  </si>
  <si>
    <t>PRESERVANTE 1047S (PAQ=5 KILO)</t>
  </si>
  <si>
    <t>11300009</t>
  </si>
  <si>
    <t xml:space="preserve">CLARA DE HUEVO (CAJA:5 K) </t>
  </si>
  <si>
    <t>Innovo</t>
  </si>
  <si>
    <t xml:space="preserve">NUEVO </t>
  </si>
  <si>
    <t>BANANO BATIDO</t>
  </si>
  <si>
    <t>1950731</t>
  </si>
  <si>
    <t>CAPSULA # 3 LOGO (PAQ:1000 UND)</t>
  </si>
  <si>
    <t>1.- Llevar la clara de huevo a punto de nieve.</t>
  </si>
  <si>
    <t>2.- En la batidora con paleta cremar la mantequilla con el azucar hasta deshacer el azucar.</t>
  </si>
  <si>
    <t>3.- Luego agregar la yema por partes y e incorporar muy bien.</t>
  </si>
  <si>
    <t>4.- Agregar el banano, le pecana y la premezcla, batir a velocidad 1 por 2 minutos hasta incorporar.</t>
  </si>
  <si>
    <t>5.- Por ultimo agregar la clara en punto de nieve y batir en velocidad 1 por 1 minuto para incorporar.</t>
  </si>
  <si>
    <t>28g cocido</t>
  </si>
  <si>
    <t>Pastas</t>
  </si>
  <si>
    <t>Figuras</t>
  </si>
  <si>
    <t>EMPAQUE</t>
  </si>
  <si>
    <t>ETIQ. GENERICA PEQUEÑA V-274</t>
  </si>
  <si>
    <t>Litografia CR</t>
  </si>
  <si>
    <t xml:space="preserve">ETIQ.FECHA VENCIMIENTO </t>
  </si>
  <si>
    <t>ETIQ.BLANCA 1 13/16 * 1 7/8</t>
  </si>
  <si>
    <t>BOLSA CELOFAN 6 X 9 (KILO)</t>
  </si>
  <si>
    <t>Control de cambios</t>
  </si>
  <si>
    <t>Empaque Mufin banano Spoon</t>
  </si>
  <si>
    <t>Juan Pablo Brenes, chef</t>
  </si>
  <si>
    <t>Rosquete mufin de banano Spoon</t>
  </si>
  <si>
    <t>BATIDO MUFIN BANANO SPOON</t>
  </si>
  <si>
    <t>Rapibox</t>
  </si>
  <si>
    <t>1.- Dosificar 30g en la capsula #3 y llevar al horno a 180ºC por 15 minutos.</t>
  </si>
  <si>
    <t>2.- Dejar enfriar y desmoldar en bandejas metalicas.</t>
  </si>
  <si>
    <t>ROSQUETE MUFIN BANANO SPOON</t>
  </si>
  <si>
    <t>3 UNIDADES</t>
  </si>
  <si>
    <t>1, Empacar 3 unidades de mufin banano en una bolsa de celofan 6x9. Sellar.</t>
  </si>
  <si>
    <t>2.- Etiquetar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</si>
  <si>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</si>
  <si>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</si>
  <si>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</si>
  <si>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</si>
  <si>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</si>
  <si>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</si>
  <si>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</si>
  <si>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</si>
  <si>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</si>
  <si>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</si>
  <si>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</si>
  <si>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</si>
  <si>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</si>
  <si>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MODI</t>
  </si>
  <si>
    <t>MODI PREPARACION</t>
  </si>
  <si>
    <t>N/A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</si>
  <si>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</si>
  <si>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</si>
  <si>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</si>
  <si>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</si>
  <si>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</si>
  <si>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</si>
  <si>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</si>
  <si>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</si>
  <si>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MK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</si>
  <si>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</si>
  <si>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</si>
  <si>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</si>
  <si>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</si>
  <si>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</si>
  <si>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</si>
  <si>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</si>
  <si>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</si>
  <si>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</si>
  <si>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>MANO OBRA DIRECTA</t>
  </si>
  <si>
    <t>TOTAL COSTO PLANTA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</si>
  <si>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</si>
  <si>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</si>
  <si>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</si>
  <si>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</si>
  <si>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</si>
  <si>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</si>
  <si>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</si>
  <si>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</si>
  <si>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Precio
Local</t>
  </si>
  <si>
    <t>UND
MEDIDA</t>
  </si>
  <si>
    <t xml:space="preserve"> TOTAL MATERIA PRIMA</t>
  </si>
  <si>
    <t xml:space="preserve"> DESECHOS Y PERDIDAS</t>
  </si>
  <si>
    <t>Gramos</t>
  </si>
  <si>
    <t>10100045</t>
  </si>
  <si>
    <t>1950702</t>
  </si>
  <si>
    <t>1950708</t>
  </si>
  <si>
    <t>60100010</t>
  </si>
  <si>
    <t>0702123</t>
  </si>
  <si>
    <t xml:space="preserve">UND </t>
  </si>
  <si>
    <t>Premezcla queque banano</t>
  </si>
  <si>
    <t>Batido queque banano</t>
  </si>
  <si>
    <t>PREMEZCLA QUEQUE BANANO</t>
  </si>
  <si>
    <t>Rosquete queque banano</t>
  </si>
  <si>
    <t>BATIDO QUEQUE BANANO</t>
  </si>
  <si>
    <t>MEZCLA P/ENGRASE MOLDES KILO</t>
  </si>
  <si>
    <t>Spoon</t>
  </si>
  <si>
    <t xml:space="preserve">PAPEL ENCERADO 12 X 10 </t>
  </si>
  <si>
    <t>1.- Dosificar 750g de batido en los moldes previamente engrasados y con papel, llevar al horno por 35 minutos a 180ºC.</t>
  </si>
  <si>
    <t>Empaque queque banano Spoon</t>
  </si>
  <si>
    <t>CINTA ORG 5/8 PARA PORC QQ</t>
  </si>
  <si>
    <t>cm</t>
  </si>
  <si>
    <t>BOLSA DE CELOFAN 6*9</t>
  </si>
  <si>
    <t>Alim Tec</t>
  </si>
  <si>
    <t>Unids</t>
  </si>
  <si>
    <t>LOGO OVALADO SPOON PEQ  (ROLLO:1000 U)</t>
  </si>
  <si>
    <t>CAJA BLANCA MINI</t>
  </si>
  <si>
    <t>Unid</t>
  </si>
  <si>
    <t>1.- Una vez horneado el queque, dejar enfriar y cortar los extremos y porcionar luego en 8 partes iguales.</t>
  </si>
  <si>
    <t>2.- Las 2 porciones de los extremos se colocan juntas en una misma bolsa convirtiendolas en una sola porcion ya que estas son mas pequeñas. Las 6 porciones restantes se colocan cada una en una bolsa por separado convirtiendose en 6 porciones.</t>
  </si>
  <si>
    <t xml:space="preserve">3.-  Sellar las bolsas  y  hacer un lazo con cintas de tela (30 cm) etiquetar con fecha de vencimiento y logo Spoon. </t>
  </si>
  <si>
    <t>4.- Colocar las 7 porciones en una caja blanca MINI.</t>
  </si>
  <si>
    <t>1210482</t>
  </si>
  <si>
    <t>Huevo Liquido Refrigerado</t>
  </si>
  <si>
    <t>Nuevo</t>
  </si>
  <si>
    <t>902000019</t>
  </si>
  <si>
    <t>1950772</t>
  </si>
  <si>
    <t>UND</t>
  </si>
  <si>
    <t>1959752</t>
  </si>
  <si>
    <t xml:space="preserve">Caja Blanca Mini </t>
  </si>
  <si>
    <t xml:space="preserve">ROSQUETE QUEQUE  DE BANANO </t>
  </si>
  <si>
    <t>Esteban Cartin, Gte Manufactura</t>
  </si>
  <si>
    <t>MP10206</t>
  </si>
  <si>
    <t>MP10304</t>
  </si>
  <si>
    <t>MP10085</t>
  </si>
  <si>
    <t>MP10013</t>
  </si>
  <si>
    <t>MP10008</t>
  </si>
  <si>
    <t>MP10075</t>
  </si>
  <si>
    <t>EM10016</t>
  </si>
  <si>
    <t>EM10013</t>
  </si>
  <si>
    <t>EM10133</t>
  </si>
  <si>
    <t>EM10011</t>
  </si>
  <si>
    <t>Tiempo de Horneo:</t>
  </si>
  <si>
    <t>Horno:</t>
  </si>
  <si>
    <t>Temperatura de Horneo:</t>
  </si>
  <si>
    <t>Otros</t>
  </si>
  <si>
    <t>1950729</t>
  </si>
  <si>
    <t>0702007</t>
  </si>
  <si>
    <t>0702069</t>
  </si>
  <si>
    <t>SE00424 Premezcla queque banano spoon</t>
  </si>
  <si>
    <t>1.- Pesar en la bolsa 12x18 el harina, polvo de hornear, bicarbonato, nuez moscada y preservante.</t>
  </si>
  <si>
    <t>3.- Etiquetar.</t>
  </si>
  <si>
    <t>2.- En una bolsa 17x25 pesar el azucar caramelo.</t>
  </si>
  <si>
    <t>01</t>
  </si>
  <si>
    <t>Javier Tong, Chef</t>
  </si>
  <si>
    <t>Premezclas</t>
  </si>
  <si>
    <t># Código Netsuite</t>
  </si>
  <si>
    <t>Ensamble</t>
  </si>
  <si>
    <t>HARINA HARISOL HOJALDRE</t>
  </si>
  <si>
    <t>FACHASA</t>
  </si>
  <si>
    <t>POLVO HORNEAR</t>
  </si>
  <si>
    <t>FLEISHMAN</t>
  </si>
  <si>
    <t>BICARBONATO DE SODIO</t>
  </si>
  <si>
    <t>MAYCA</t>
  </si>
  <si>
    <t>NUEZ MOSCADA MOLIDA</t>
  </si>
  <si>
    <t>PRESERVANTE 1047S</t>
  </si>
  <si>
    <t/>
  </si>
  <si>
    <t>AZUCAR CARAMELO</t>
  </si>
  <si>
    <t>LAYCA</t>
  </si>
  <si>
    <t>Decoración</t>
  </si>
  <si>
    <t>BOLSA 12X18 TRANSPARENTE</t>
  </si>
  <si>
    <t>PLASTICOS P</t>
  </si>
  <si>
    <t>BOLSA 17X25 TRANSPARENTE</t>
  </si>
  <si>
    <t>ETIQUETA ROJA LETRA ALERJENO</t>
  </si>
  <si>
    <t>ETIPLAST</t>
  </si>
  <si>
    <t>ETIQUETA BLANCA 2 5/8X1 15/16</t>
  </si>
  <si>
    <t>CONTROL DE CAMBIOS</t>
  </si>
  <si>
    <t>ESP-RE-PRES-030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</si>
</sst>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"/>
    <numFmt numFmtId="166" formatCode="_(* #,##0.00_);_(* \(#,##0.00\);_(* &quot;-&quot;??_);_(@_)"/>
    <numFmt numFmtId="167" formatCode="[$-409]d\-mmm\-yy;@"/>
    <numFmt numFmtId="168" formatCode="&quot;$&quot;#,##0_);[Red]\(&quot;$&quot;#,##0\)"/>
    <numFmt numFmtId="169" formatCode="_-* #,##0.0\ _€_-;\-* #,##0.0\ _€_-;_-* &quot;-&quot;??\ _€_-;_-@_-"/>
    <numFmt numFmtId="170" formatCode="_(* #,##0.000_);_(* \(#,##0.000\);_(* &quot;-&quot;??_);_(@_)"/>
  </numFmts>
  <fonts count="62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sz val="11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b/>
      <sz val="12"/>
      <name val="Arial"/>
      <family val="2"/>
    </font>
    <font>
      <b/>
      <sz val="10"/>
      <name val="Times New Roman"/>
      <family val="1"/>
    </font>
    <font>
      <sz val="10"/>
      <name val="Arial Black"/>
      <family val="2"/>
    </font>
    <font>
      <b/>
      <sz val="14"/>
      <name val="Modern"/>
      <family val="3"/>
      <charset val="255"/>
    </font>
    <font>
      <b/>
      <i/>
      <sz val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10"/>
      <color indexed="21"/>
      <name val="Times New Roman"/>
      <family val="1"/>
    </font>
    <font>
      <b/>
      <sz val="14"/>
      <color indexed="12"/>
      <name val="Arial Black"/>
      <family val="2"/>
    </font>
    <font>
      <sz val="10"/>
      <color indexed="18"/>
      <name val="Palatino Linotype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0"/>
      <name val="Century Gothic"/>
      <family val="2"/>
    </font>
    <font>
      <b/>
      <sz val="14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1"/>
      <color rgb="FF000000"/>
      <name val="Calibri"/>
      <family val="2"/>
    </font>
    <font>
      <sz val="9.85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FF0000"/>
      <name val="Times New Roman"/>
      <family val="1"/>
    </font>
    <font>
      <sz val="11"/>
      <color rgb="FF000000"/>
      <name val="Times New Roman"/>
      <family val="1"/>
    </font>
    <font>
      <sz val="10"/>
      <color rgb="FF000000"/>
      <name val="Times New Roman"/>
      <family val="1"/>
    </font>
    <font>
      <sz val="14"/>
      <name val="Century Gothic"/>
      <family val="2"/>
    </font>
    <font>
      <b/>
      <sz val="14"/>
      <color rgb="FFFF0000"/>
      <name val="Arial"/>
      <family val="2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name val="Times New Roman"/>
      <family val="1"/>
    </font>
    <font>
      <sz val="14"/>
      <name val="Arial"/>
      <family val="2"/>
    </font>
    <font>
      <sz val="14"/>
      <color indexed="8"/>
      <name val="Times New Roman"/>
      <family val="1"/>
    </font>
    <font>
      <sz val="14"/>
      <color theme="1"/>
      <name val="Century Gothic"/>
      <family val="2"/>
    </font>
    <font>
      <sz val="14"/>
      <color indexed="8"/>
      <name val="Century Gothic"/>
      <family val="2"/>
    </font>
  </fonts>
  <fills count="1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808080"/>
        <bgColor rgb="FF000000"/>
      </patternFill>
    </fill>
    <fill>
      <patternFill patternType="solid">
        <fgColor theme="0" tint="-0.14999847407452621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0" fontId="1" fillId="0" borderId="0"/>
    <xf numFmtId="0" fontId="1" fillId="0" borderId="0"/>
    <xf numFmtId="0" fontId="44" fillId="0" borderId="0"/>
    <xf numFmtId="0" fontId="2" fillId="0" borderId="0"/>
    <xf numFmtId="9" fontId="1" fillId="0" borderId="0" applyFont="0" applyFill="0" applyBorder="0" applyAlignment="0" applyProtection="0"/>
  </cellStyleXfs>
  <cellXfs count="676">
    <xf numFmtId="0" fontId="0" fillId="0" borderId="0" xfId="0"/>
    <xf numFmtId="0" fontId="3" fillId="2" borderId="1" xfId="6" applyFont="1" applyFill="1" applyBorder="1" applyAlignment="1">
      <alignment horizontal="right"/>
    </xf>
    <xf numFmtId="0" fontId="1" fillId="2" borderId="2" xfId="6" applyFont="1" applyFill="1" applyBorder="1" applyAlignment="1">
      <alignment horizontal="center"/>
    </xf>
    <xf numFmtId="0" fontId="1" fillId="2" borderId="0" xfId="0" applyFont="1" applyFill="1"/>
    <xf numFmtId="0" fontId="3" fillId="2" borderId="3" xfId="6" applyFont="1" applyFill="1" applyBorder="1" applyAlignment="1">
      <alignment horizontal="right"/>
    </xf>
    <xf numFmtId="49" fontId="1" fillId="2" borderId="4" xfId="6" applyNumberFormat="1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 wrapText="1"/>
    </xf>
    <xf numFmtId="1" fontId="3" fillId="3" borderId="5" xfId="0" applyNumberFormat="1" applyFont="1" applyFill="1" applyBorder="1" applyAlignment="1">
      <alignment horizontal="center"/>
    </xf>
    <xf numFmtId="1" fontId="3" fillId="3" borderId="5" xfId="0" applyNumberFormat="1" applyFont="1" applyFill="1" applyBorder="1" applyAlignment="1">
      <alignment horizontal="center" wrapText="1"/>
    </xf>
    <xf numFmtId="1" fontId="1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9" borderId="4" xfId="0" applyFont="1" applyFill="1" applyBorder="1" applyAlignment="1">
      <alignment horizontal="center"/>
    </xf>
    <xf numFmtId="49" fontId="6" fillId="2" borderId="6" xfId="0" applyNumberFormat="1" applyFont="1" applyFill="1" applyBorder="1" applyAlignment="1">
      <alignment horizontal="center" vertical="center"/>
    </xf>
    <xf numFmtId="1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 wrapText="1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left" indent="1"/>
    </xf>
    <xf numFmtId="0" fontId="1" fillId="3" borderId="8" xfId="0" applyFont="1" applyFill="1" applyBorder="1" applyAlignment="1">
      <alignment horizontal="center"/>
    </xf>
    <xf numFmtId="0" fontId="1" fillId="3" borderId="9" xfId="0" applyFont="1" applyFill="1" applyBorder="1"/>
    <xf numFmtId="0" fontId="3" fillId="3" borderId="9" xfId="0" applyFont="1" applyFill="1" applyBorder="1" applyAlignment="1">
      <alignment horizontal="center"/>
    </xf>
    <xf numFmtId="1" fontId="3" fillId="3" borderId="9" xfId="0" applyNumberFormat="1" applyFont="1" applyFill="1" applyBorder="1" applyAlignment="1">
      <alignment horizontal="center"/>
    </xf>
    <xf numFmtId="164" fontId="1" fillId="3" borderId="9" xfId="0" applyNumberFormat="1" applyFont="1" applyFill="1" applyBorder="1" applyAlignment="1">
      <alignment horizontal="center" wrapText="1"/>
    </xf>
    <xf numFmtId="0" fontId="1" fillId="3" borderId="10" xfId="0" applyFont="1" applyFill="1" applyBorder="1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9" fontId="1" fillId="2" borderId="0" xfId="7" applyFill="1"/>
    <xf numFmtId="1" fontId="1" fillId="0" borderId="5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6" fillId="2" borderId="0" xfId="0" applyFont="1" applyFill="1" applyAlignment="1">
      <alignment vertical="center"/>
    </xf>
    <xf numFmtId="0" fontId="1" fillId="2" borderId="0" xfId="6" applyFont="1" applyFill="1" applyAlignment="1">
      <alignment horizontal="center"/>
    </xf>
    <xf numFmtId="0" fontId="1" fillId="2" borderId="0" xfId="6" applyFont="1" applyFill="1" applyAlignment="1">
      <alignment horizontal="right"/>
    </xf>
    <xf numFmtId="0" fontId="1" fillId="2" borderId="0" xfId="6" applyFont="1" applyFill="1" applyAlignment="1">
      <alignment horizontal="left"/>
    </xf>
    <xf numFmtId="0" fontId="3" fillId="2" borderId="0" xfId="6" applyFont="1" applyFill="1" applyAlignment="1">
      <alignment horizontal="right" vertical="top" wrapText="1"/>
    </xf>
    <xf numFmtId="14" fontId="1" fillId="2" borderId="0" xfId="6" applyNumberFormat="1" applyFont="1" applyFill="1" applyAlignment="1">
      <alignment horizontal="center" vertical="center" wrapText="1"/>
    </xf>
    <xf numFmtId="0" fontId="1" fillId="2" borderId="3" xfId="6" applyFont="1" applyFill="1" applyBorder="1" applyAlignment="1">
      <alignment horizontal="right"/>
    </xf>
    <xf numFmtId="0" fontId="1" fillId="2" borderId="5" xfId="6" applyFont="1" applyFill="1" applyBorder="1" applyAlignment="1">
      <alignment horizontal="right"/>
    </xf>
    <xf numFmtId="0" fontId="1" fillId="0" borderId="11" xfId="0" applyFont="1" applyBorder="1" applyAlignment="1">
      <alignment horizontal="center"/>
    </xf>
    <xf numFmtId="0" fontId="3" fillId="9" borderId="13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14" fontId="46" fillId="2" borderId="0" xfId="6" applyNumberFormat="1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10" borderId="0" xfId="0" applyFill="1" applyAlignment="1">
      <alignment horizontal="center"/>
    </xf>
    <xf numFmtId="16" fontId="1" fillId="0" borderId="3" xfId="3" applyNumberFormat="1" applyBorder="1" applyAlignment="1">
      <alignment horizontal="center"/>
    </xf>
    <xf numFmtId="0" fontId="1" fillId="0" borderId="3" xfId="0" applyFont="1" applyBorder="1" applyAlignment="1">
      <alignment horizontal="left" vertical="center"/>
    </xf>
    <xf numFmtId="0" fontId="10" fillId="0" borderId="11" xfId="0" applyFont="1" applyBorder="1" applyAlignment="1">
      <alignment horizontal="center"/>
    </xf>
    <xf numFmtId="0" fontId="47" fillId="11" borderId="15" xfId="0" applyFont="1" applyFill="1" applyBorder="1" applyAlignment="1">
      <alignment horizontal="center"/>
    </xf>
    <xf numFmtId="0" fontId="1" fillId="11" borderId="7" xfId="0" applyFont="1" applyFill="1" applyBorder="1" applyAlignment="1">
      <alignment horizontal="left"/>
    </xf>
    <xf numFmtId="0" fontId="10" fillId="0" borderId="3" xfId="0" applyFont="1" applyBorder="1" applyAlignment="1">
      <alignment horizontal="center"/>
    </xf>
    <xf numFmtId="0" fontId="10" fillId="0" borderId="11" xfId="0" applyFont="1" applyBorder="1" applyAlignment="1">
      <alignment horizontal="center" wrapText="1"/>
    </xf>
    <xf numFmtId="0" fontId="1" fillId="10" borderId="0" xfId="0" applyFont="1" applyFill="1"/>
    <xf numFmtId="0" fontId="45" fillId="9" borderId="15" xfId="0" applyFont="1" applyFill="1" applyBorder="1" applyAlignment="1">
      <alignment horizontal="center"/>
    </xf>
    <xf numFmtId="0" fontId="0" fillId="9" borderId="7" xfId="0" applyFill="1" applyBorder="1" applyAlignment="1">
      <alignment horizontal="left"/>
    </xf>
    <xf numFmtId="0" fontId="1" fillId="10" borderId="3" xfId="0" applyFont="1" applyFill="1" applyBorder="1" applyAlignment="1">
      <alignment horizontal="center"/>
    </xf>
    <xf numFmtId="0" fontId="1" fillId="10" borderId="3" xfId="0" applyFont="1" applyFill="1" applyBorder="1"/>
    <xf numFmtId="0" fontId="45" fillId="9" borderId="6" xfId="0" applyFont="1" applyFill="1" applyBorder="1" applyAlignment="1">
      <alignment horizontal="center"/>
    </xf>
    <xf numFmtId="0" fontId="0" fillId="9" borderId="0" xfId="0" applyFill="1" applyAlignment="1">
      <alignment horizontal="left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3" fillId="9" borderId="7" xfId="0" applyFont="1" applyFill="1" applyBorder="1" applyAlignment="1">
      <alignment horizontal="center"/>
    </xf>
    <xf numFmtId="0" fontId="7" fillId="0" borderId="0" xfId="0" applyFont="1"/>
    <xf numFmtId="0" fontId="1" fillId="11" borderId="0" xfId="0" applyFont="1" applyFill="1" applyAlignment="1">
      <alignment horizontal="center"/>
    </xf>
    <xf numFmtId="0" fontId="3" fillId="11" borderId="1" xfId="0" applyFont="1" applyFill="1" applyBorder="1" applyAlignment="1">
      <alignment horizontal="right"/>
    </xf>
    <xf numFmtId="0" fontId="1" fillId="11" borderId="2" xfId="0" applyFont="1" applyFill="1" applyBorder="1" applyAlignment="1">
      <alignment horizontal="center"/>
    </xf>
    <xf numFmtId="0" fontId="3" fillId="11" borderId="3" xfId="0" applyFont="1" applyFill="1" applyBorder="1" applyAlignment="1">
      <alignment horizontal="right"/>
    </xf>
    <xf numFmtId="0" fontId="1" fillId="11" borderId="4" xfId="0" applyFont="1" applyFill="1" applyBorder="1" applyAlignment="1">
      <alignment horizontal="center"/>
    </xf>
    <xf numFmtId="0" fontId="3" fillId="11" borderId="0" xfId="0" applyFont="1" applyFill="1" applyAlignment="1">
      <alignment horizontal="right" vertical="top" wrapText="1"/>
    </xf>
    <xf numFmtId="0" fontId="1" fillId="11" borderId="3" xfId="0" applyFont="1" applyFill="1" applyBorder="1" applyAlignment="1">
      <alignment horizontal="right"/>
    </xf>
    <xf numFmtId="0" fontId="1" fillId="11" borderId="0" xfId="0" applyFont="1" applyFill="1" applyAlignment="1">
      <alignment horizontal="left"/>
    </xf>
    <xf numFmtId="0" fontId="1" fillId="11" borderId="5" xfId="0" applyFont="1" applyFill="1" applyBorder="1" applyAlignment="1">
      <alignment horizontal="right"/>
    </xf>
    <xf numFmtId="0" fontId="1" fillId="11" borderId="0" xfId="0" applyFont="1" applyFill="1" applyAlignment="1">
      <alignment horizontal="right"/>
    </xf>
    <xf numFmtId="0" fontId="1" fillId="11" borderId="0" xfId="0" applyFont="1" applyFill="1" applyAlignment="1">
      <alignment horizontal="center" vertical="center" wrapText="1"/>
    </xf>
    <xf numFmtId="0" fontId="46" fillId="11" borderId="0" xfId="0" applyFont="1" applyFill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3" fillId="12" borderId="5" xfId="0" applyFont="1" applyFill="1" applyBorder="1" applyAlignment="1">
      <alignment horizontal="center"/>
    </xf>
    <xf numFmtId="0" fontId="3" fillId="12" borderId="5" xfId="0" applyFont="1" applyFill="1" applyBorder="1" applyAlignment="1">
      <alignment horizontal="center" wrapText="1"/>
    </xf>
    <xf numFmtId="0" fontId="3" fillId="12" borderId="14" xfId="0" applyFont="1" applyFill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2" fillId="0" borderId="3" xfId="0" applyFont="1" applyBorder="1"/>
    <xf numFmtId="0" fontId="3" fillId="11" borderId="13" xfId="0" applyFont="1" applyFill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3" fillId="0" borderId="3" xfId="0" applyFont="1" applyBorder="1"/>
    <xf numFmtId="0" fontId="3" fillId="0" borderId="3" xfId="0" applyFont="1" applyBorder="1"/>
    <xf numFmtId="0" fontId="12" fillId="0" borderId="16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10" fillId="0" borderId="3" xfId="0" applyFont="1" applyBorder="1"/>
    <xf numFmtId="0" fontId="10" fillId="0" borderId="3" xfId="0" applyFont="1" applyBorder="1" applyAlignment="1">
      <alignment horizontal="center" wrapText="1"/>
    </xf>
    <xf numFmtId="0" fontId="48" fillId="0" borderId="1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14" fillId="0" borderId="11" xfId="0" applyFont="1" applyBorder="1"/>
    <xf numFmtId="0" fontId="49" fillId="11" borderId="6" xfId="0" applyFont="1" applyFill="1" applyBorder="1" applyAlignment="1">
      <alignment horizontal="center" vertical="center"/>
    </xf>
    <xf numFmtId="0" fontId="1" fillId="11" borderId="0" xfId="0" applyFont="1" applyFill="1"/>
    <xf numFmtId="0" fontId="1" fillId="11" borderId="0" xfId="0" applyFont="1" applyFill="1" applyAlignment="1">
      <alignment horizontal="center" wrapText="1"/>
    </xf>
    <xf numFmtId="0" fontId="1" fillId="11" borderId="7" xfId="0" applyFont="1" applyFill="1" applyBorder="1" applyAlignment="1">
      <alignment horizontal="center"/>
    </xf>
    <xf numFmtId="0" fontId="1" fillId="12" borderId="8" xfId="0" applyFont="1" applyFill="1" applyBorder="1" applyAlignment="1">
      <alignment horizontal="center"/>
    </xf>
    <xf numFmtId="0" fontId="1" fillId="12" borderId="9" xfId="0" applyFont="1" applyFill="1" applyBorder="1"/>
    <xf numFmtId="0" fontId="3" fillId="12" borderId="9" xfId="0" applyFont="1" applyFill="1" applyBorder="1" applyAlignment="1">
      <alignment horizontal="center"/>
    </xf>
    <xf numFmtId="0" fontId="1" fillId="12" borderId="9" xfId="0" applyFont="1" applyFill="1" applyBorder="1" applyAlignment="1">
      <alignment horizontal="center" wrapText="1"/>
    </xf>
    <xf numFmtId="0" fontId="1" fillId="12" borderId="10" xfId="0" applyFont="1" applyFill="1" applyBorder="1" applyAlignment="1">
      <alignment horizontal="center"/>
    </xf>
    <xf numFmtId="0" fontId="49" fillId="11" borderId="0" xfId="0" applyFont="1" applyFill="1" applyAlignment="1">
      <alignment vertical="center"/>
    </xf>
    <xf numFmtId="0" fontId="1" fillId="9" borderId="0" xfId="0" applyFont="1" applyFill="1"/>
    <xf numFmtId="0" fontId="1" fillId="9" borderId="0" xfId="0" applyFont="1" applyFill="1" applyAlignment="1">
      <alignment horizontal="center"/>
    </xf>
    <xf numFmtId="0" fontId="12" fillId="0" borderId="0" xfId="0" applyFont="1"/>
    <xf numFmtId="0" fontId="15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7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5" fillId="0" borderId="0" xfId="0" applyFont="1" applyAlignment="1">
      <alignment horizontal="right" vertical="center"/>
    </xf>
    <xf numFmtId="0" fontId="21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 wrapText="1"/>
    </xf>
    <xf numFmtId="0" fontId="12" fillId="9" borderId="0" xfId="0" applyFont="1" applyFill="1" applyAlignment="1">
      <alignment vertical="center"/>
    </xf>
    <xf numFmtId="0" fontId="15" fillId="13" borderId="3" xfId="0" applyFont="1" applyFill="1" applyBorder="1" applyAlignment="1">
      <alignment horizontal="center" vertical="center" wrapText="1"/>
    </xf>
    <xf numFmtId="0" fontId="15" fillId="13" borderId="3" xfId="0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43" fontId="15" fillId="0" borderId="3" xfId="1" applyFont="1" applyFill="1" applyBorder="1" applyAlignment="1">
      <alignment horizontal="center" vertical="center"/>
    </xf>
    <xf numFmtId="43" fontId="15" fillId="0" borderId="0" xfId="1" applyFont="1" applyFill="1" applyBorder="1" applyAlignment="1">
      <alignment horizontal="center" vertical="center"/>
    </xf>
    <xf numFmtId="43" fontId="16" fillId="0" borderId="0" xfId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67" fontId="24" fillId="0" borderId="0" xfId="0" applyNumberFormat="1" applyFont="1" applyAlignment="1">
      <alignment horizontal="center" vertical="center" wrapText="1"/>
    </xf>
    <xf numFmtId="0" fontId="15" fillId="4" borderId="18" xfId="0" applyFont="1" applyFill="1" applyBorder="1" applyAlignment="1">
      <alignment horizontal="center" vertical="center"/>
    </xf>
    <xf numFmtId="0" fontId="15" fillId="4" borderId="19" xfId="0" applyFont="1" applyFill="1" applyBorder="1" applyAlignment="1">
      <alignment horizontal="center" vertical="center"/>
    </xf>
    <xf numFmtId="0" fontId="15" fillId="4" borderId="19" xfId="0" applyFont="1" applyFill="1" applyBorder="1" applyAlignment="1">
      <alignment horizontal="center" vertical="center" wrapText="1"/>
    </xf>
    <xf numFmtId="0" fontId="15" fillId="4" borderId="20" xfId="0" applyFont="1" applyFill="1" applyBorder="1" applyAlignment="1">
      <alignment horizontal="center" vertical="center" wrapText="1"/>
    </xf>
    <xf numFmtId="2" fontId="18" fillId="0" borderId="0" xfId="0" applyNumberFormat="1" applyFont="1" applyAlignment="1">
      <alignment horizontal="center"/>
    </xf>
    <xf numFmtId="4" fontId="18" fillId="0" borderId="0" xfId="2" applyNumberFormat="1" applyFont="1" applyFill="1" applyAlignment="1">
      <alignment horizontal="center" vertical="center"/>
    </xf>
    <xf numFmtId="4" fontId="15" fillId="0" borderId="0" xfId="2" applyNumberFormat="1" applyFont="1" applyFill="1" applyAlignment="1">
      <alignment horizontal="center" vertical="center"/>
    </xf>
    <xf numFmtId="10" fontId="15" fillId="0" borderId="0" xfId="7" applyNumberFormat="1" applyFont="1" applyFill="1" applyAlignment="1">
      <alignment vertical="center"/>
    </xf>
    <xf numFmtId="49" fontId="15" fillId="0" borderId="0" xfId="0" applyNumberFormat="1" applyFont="1" applyAlignment="1">
      <alignment horizontal="center" vertical="center"/>
    </xf>
    <xf numFmtId="10" fontId="22" fillId="0" borderId="0" xfId="7" applyNumberFormat="1" applyFont="1" applyFill="1" applyAlignment="1">
      <alignment vertical="center"/>
    </xf>
    <xf numFmtId="49" fontId="15" fillId="0" borderId="0" xfId="0" applyNumberFormat="1" applyFont="1" applyAlignment="1">
      <alignment horizontal="center"/>
    </xf>
    <xf numFmtId="168" fontId="12" fillId="0" borderId="0" xfId="0" applyNumberFormat="1" applyFont="1" applyAlignment="1">
      <alignment vertical="center"/>
    </xf>
    <xf numFmtId="43" fontId="12" fillId="0" borderId="0" xfId="1" applyFont="1" applyFill="1" applyAlignment="1">
      <alignment vertical="center"/>
    </xf>
    <xf numFmtId="49" fontId="25" fillId="0" borderId="0" xfId="0" applyNumberFormat="1" applyFont="1" applyAlignment="1">
      <alignment horizontal="center" vertical="center"/>
    </xf>
    <xf numFmtId="4" fontId="15" fillId="0" borderId="0" xfId="1" applyNumberFormat="1" applyFont="1" applyFill="1" applyAlignment="1">
      <alignment vertical="center"/>
    </xf>
    <xf numFmtId="43" fontId="26" fillId="0" borderId="0" xfId="1" applyFont="1" applyFill="1" applyAlignment="1">
      <alignment horizontal="center" vertical="center"/>
    </xf>
    <xf numFmtId="10" fontId="22" fillId="4" borderId="21" xfId="7" applyNumberFormat="1" applyFont="1" applyFill="1" applyBorder="1" applyAlignment="1">
      <alignment vertical="center"/>
    </xf>
    <xf numFmtId="0" fontId="12" fillId="4" borderId="9" xfId="0" applyFont="1" applyFill="1" applyBorder="1" applyAlignment="1">
      <alignment vertical="center"/>
    </xf>
    <xf numFmtId="0" fontId="12" fillId="4" borderId="21" xfId="0" applyFont="1" applyFill="1" applyBorder="1" applyAlignment="1">
      <alignment vertical="center"/>
    </xf>
    <xf numFmtId="43" fontId="26" fillId="4" borderId="15" xfId="1" applyFont="1" applyFill="1" applyBorder="1" applyAlignment="1">
      <alignment horizontal="center" vertical="center"/>
    </xf>
    <xf numFmtId="43" fontId="19" fillId="0" borderId="0" xfId="1" applyFont="1" applyFill="1" applyBorder="1" applyAlignment="1">
      <alignment horizontal="right"/>
    </xf>
    <xf numFmtId="0" fontId="12" fillId="4" borderId="15" xfId="0" applyFont="1" applyFill="1" applyBorder="1" applyAlignment="1">
      <alignment vertical="center"/>
    </xf>
    <xf numFmtId="10" fontId="22" fillId="4" borderId="15" xfId="7" applyNumberFormat="1" applyFont="1" applyFill="1" applyBorder="1" applyAlignment="1">
      <alignment vertical="center"/>
    </xf>
    <xf numFmtId="0" fontId="27" fillId="0" borderId="0" xfId="0" applyFont="1" applyAlignment="1">
      <alignment horizontal="right"/>
    </xf>
    <xf numFmtId="0" fontId="27" fillId="0" borderId="0" xfId="0" applyFont="1"/>
    <xf numFmtId="9" fontId="27" fillId="0" borderId="0" xfId="0" applyNumberFormat="1" applyFont="1"/>
    <xf numFmtId="9" fontId="50" fillId="0" borderId="0" xfId="7" applyFont="1" applyFill="1" applyAlignment="1">
      <alignment horizontal="center"/>
    </xf>
    <xf numFmtId="0" fontId="26" fillId="0" borderId="0" xfId="0" applyFont="1" applyAlignment="1">
      <alignment horizontal="right" vertical="center"/>
    </xf>
    <xf numFmtId="4" fontId="26" fillId="0" borderId="0" xfId="1" applyNumberFormat="1" applyFont="1" applyFill="1" applyAlignment="1">
      <alignment vertical="center"/>
    </xf>
    <xf numFmtId="4" fontId="26" fillId="0" borderId="0" xfId="2" applyNumberFormat="1" applyFont="1" applyAlignment="1">
      <alignment horizontal="center" vertical="center"/>
    </xf>
    <xf numFmtId="0" fontId="28" fillId="0" borderId="0" xfId="0" applyFont="1" applyAlignment="1">
      <alignment horizontal="right"/>
    </xf>
    <xf numFmtId="0" fontId="29" fillId="0" borderId="0" xfId="0" applyFont="1" applyAlignment="1">
      <alignment horizontal="right"/>
    </xf>
    <xf numFmtId="0" fontId="29" fillId="0" borderId="7" xfId="0" applyFont="1" applyBorder="1" applyAlignment="1">
      <alignment horizontal="right"/>
    </xf>
    <xf numFmtId="43" fontId="20" fillId="5" borderId="22" xfId="1" applyFont="1" applyFill="1" applyBorder="1" applyAlignment="1">
      <alignment horizontal="right"/>
    </xf>
    <xf numFmtId="43" fontId="20" fillId="0" borderId="0" xfId="1" applyFont="1" applyFill="1" applyBorder="1" applyAlignment="1">
      <alignment horizontal="right"/>
    </xf>
    <xf numFmtId="43" fontId="15" fillId="0" borderId="3" xfId="1" applyFont="1" applyFill="1" applyBorder="1" applyAlignment="1">
      <alignment vertical="center"/>
    </xf>
    <xf numFmtId="4" fontId="26" fillId="0" borderId="0" xfId="2" applyNumberFormat="1" applyFont="1" applyFill="1" applyAlignment="1">
      <alignment horizontal="center" vertical="center"/>
    </xf>
    <xf numFmtId="10" fontId="30" fillId="0" borderId="0" xfId="7" applyNumberFormat="1" applyFont="1" applyFill="1" applyAlignment="1">
      <alignment horizontal="right"/>
    </xf>
    <xf numFmtId="169" fontId="15" fillId="4" borderId="3" xfId="1" applyNumberFormat="1" applyFont="1" applyFill="1" applyBorder="1" applyAlignment="1">
      <alignment vertical="center"/>
    </xf>
    <xf numFmtId="4" fontId="12" fillId="0" borderId="0" xfId="0" applyNumberFormat="1" applyFont="1" applyAlignment="1">
      <alignment horizontal="center" vertical="center"/>
    </xf>
    <xf numFmtId="43" fontId="15" fillId="6" borderId="3" xfId="1" applyFont="1" applyFill="1" applyBorder="1" applyAlignment="1">
      <alignment vertical="center"/>
    </xf>
    <xf numFmtId="166" fontId="31" fillId="0" borderId="0" xfId="0" applyNumberFormat="1" applyFont="1" applyAlignment="1">
      <alignment horizontal="center" vertical="center"/>
    </xf>
    <xf numFmtId="0" fontId="12" fillId="9" borderId="0" xfId="0" applyFont="1" applyFill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22" fillId="4" borderId="23" xfId="0" applyFont="1" applyFill="1" applyBorder="1" applyAlignment="1">
      <alignment vertical="center"/>
    </xf>
    <xf numFmtId="0" fontId="33" fillId="0" borderId="0" xfId="0" applyFont="1" applyAlignment="1">
      <alignment vertical="center"/>
    </xf>
    <xf numFmtId="2" fontId="30" fillId="0" borderId="0" xfId="1" applyNumberFormat="1" applyFont="1" applyFill="1" applyBorder="1" applyAlignment="1">
      <alignment horizontal="center"/>
    </xf>
    <xf numFmtId="2" fontId="29" fillId="0" borderId="0" xfId="1" applyNumberFormat="1" applyFont="1" applyFill="1" applyBorder="1" applyAlignment="1">
      <alignment horizontal="center"/>
    </xf>
    <xf numFmtId="0" fontId="12" fillId="4" borderId="23" xfId="0" applyFont="1" applyFill="1" applyBorder="1" applyAlignment="1">
      <alignment vertical="center"/>
    </xf>
    <xf numFmtId="10" fontId="12" fillId="0" borderId="0" xfId="7" applyNumberFormat="1" applyFont="1" applyFill="1" applyAlignment="1">
      <alignment vertical="center"/>
    </xf>
    <xf numFmtId="4" fontId="12" fillId="0" borderId="0" xfId="1" applyNumberFormat="1" applyFont="1" applyFill="1" applyAlignment="1">
      <alignment vertical="center"/>
    </xf>
    <xf numFmtId="43" fontId="20" fillId="4" borderId="9" xfId="1" applyFont="1" applyFill="1" applyBorder="1" applyAlignment="1">
      <alignment horizontal="right"/>
    </xf>
    <xf numFmtId="0" fontId="15" fillId="4" borderId="10" xfId="0" applyFont="1" applyFill="1" applyBorder="1" applyAlignment="1">
      <alignment horizontal="right" vertical="center"/>
    </xf>
    <xf numFmtId="10" fontId="34" fillId="0" borderId="0" xfId="1" applyNumberFormat="1" applyFont="1" applyFill="1" applyAlignment="1">
      <alignment vertical="center"/>
    </xf>
    <xf numFmtId="10" fontId="22" fillId="0" borderId="0" xfId="7" applyNumberFormat="1" applyFont="1" applyFill="1" applyBorder="1" applyAlignment="1">
      <alignment vertical="center"/>
    </xf>
    <xf numFmtId="166" fontId="35" fillId="0" borderId="0" xfId="0" applyNumberFormat="1" applyFont="1" applyAlignment="1">
      <alignment horizontal="center" vertical="center"/>
    </xf>
    <xf numFmtId="0" fontId="12" fillId="9" borderId="22" xfId="0" applyFont="1" applyFill="1" applyBorder="1" applyAlignment="1">
      <alignment horizontal="center" vertical="center"/>
    </xf>
    <xf numFmtId="43" fontId="36" fillId="0" borderId="0" xfId="1" applyFont="1" applyFill="1" applyAlignment="1">
      <alignment vertical="center"/>
    </xf>
    <xf numFmtId="4" fontId="37" fillId="0" borderId="0" xfId="2" applyNumberFormat="1" applyFont="1" applyFill="1" applyAlignment="1">
      <alignment horizontal="center" vertical="center" wrapText="1"/>
    </xf>
    <xf numFmtId="9" fontId="12" fillId="0" borderId="0" xfId="1" applyNumberFormat="1" applyFont="1" applyFill="1" applyAlignment="1">
      <alignment vertical="center"/>
    </xf>
    <xf numFmtId="0" fontId="26" fillId="0" borderId="0" xfId="0" applyFont="1" applyAlignment="1">
      <alignment horizontal="center" vertical="center"/>
    </xf>
    <xf numFmtId="0" fontId="25" fillId="0" borderId="0" xfId="0" applyFont="1" applyAlignment="1">
      <alignment horizontal="right" vertical="center"/>
    </xf>
    <xf numFmtId="4" fontId="25" fillId="0" borderId="0" xfId="1" applyNumberFormat="1" applyFont="1" applyFill="1" applyAlignment="1">
      <alignment vertical="center"/>
    </xf>
    <xf numFmtId="4" fontId="15" fillId="7" borderId="22" xfId="1" applyNumberFormat="1" applyFont="1" applyFill="1" applyBorder="1" applyAlignment="1">
      <alignment horizontal="center" vertical="center"/>
    </xf>
    <xf numFmtId="0" fontId="38" fillId="0" borderId="0" xfId="0" applyFont="1" applyAlignment="1">
      <alignment vertical="center"/>
    </xf>
    <xf numFmtId="43" fontId="38" fillId="0" borderId="0" xfId="1" applyFont="1" applyFill="1" applyAlignment="1">
      <alignment vertical="center"/>
    </xf>
    <xf numFmtId="9" fontId="38" fillId="0" borderId="0" xfId="1" applyNumberFormat="1" applyFont="1" applyFill="1" applyAlignment="1">
      <alignment vertical="center"/>
    </xf>
    <xf numFmtId="4" fontId="15" fillId="0" borderId="0" xfId="1" applyNumberFormat="1" applyFont="1" applyFill="1" applyAlignment="1">
      <alignment horizontal="center" vertical="center"/>
    </xf>
    <xf numFmtId="10" fontId="31" fillId="0" borderId="0" xfId="7" applyNumberFormat="1" applyFont="1" applyFill="1" applyAlignment="1">
      <alignment vertical="center"/>
    </xf>
    <xf numFmtId="43" fontId="31" fillId="0" borderId="0" xfId="1" applyFont="1" applyFill="1" applyBorder="1" applyAlignment="1">
      <alignment vertical="center"/>
    </xf>
    <xf numFmtId="4" fontId="12" fillId="0" borderId="0" xfId="0" applyNumberFormat="1" applyFont="1" applyAlignment="1">
      <alignment horizontal="center"/>
    </xf>
    <xf numFmtId="43" fontId="12" fillId="0" borderId="0" xfId="1" applyFont="1" applyFill="1" applyBorder="1"/>
    <xf numFmtId="10" fontId="31" fillId="0" borderId="0" xfId="7" applyNumberFormat="1" applyFont="1" applyFill="1" applyBorder="1" applyAlignment="1">
      <alignment vertical="center"/>
    </xf>
    <xf numFmtId="0" fontId="31" fillId="0" borderId="0" xfId="0" applyFont="1" applyAlignment="1">
      <alignment horizontal="right"/>
    </xf>
    <xf numFmtId="43" fontId="12" fillId="0" borderId="0" xfId="1" applyFont="1" applyFill="1" applyBorder="1" applyAlignment="1">
      <alignment horizontal="center"/>
    </xf>
    <xf numFmtId="9" fontId="41" fillId="0" borderId="0" xfId="0" applyNumberFormat="1" applyFont="1" applyAlignment="1">
      <alignment horizontal="left"/>
    </xf>
    <xf numFmtId="4" fontId="15" fillId="0" borderId="0" xfId="0" applyNumberFormat="1" applyFont="1" applyAlignment="1">
      <alignment horizontal="center"/>
    </xf>
    <xf numFmtId="166" fontId="15" fillId="0" borderId="0" xfId="0" applyNumberFormat="1" applyFont="1"/>
    <xf numFmtId="0" fontId="0" fillId="13" borderId="3" xfId="0" applyFill="1" applyBorder="1" applyAlignment="1">
      <alignment horizontal="center"/>
    </xf>
    <xf numFmtId="0" fontId="0" fillId="13" borderId="3" xfId="0" applyFill="1" applyBorder="1"/>
    <xf numFmtId="0" fontId="45" fillId="9" borderId="3" xfId="0" applyFont="1" applyFill="1" applyBorder="1" applyAlignment="1">
      <alignment horizontal="center"/>
    </xf>
    <xf numFmtId="0" fontId="0" fillId="9" borderId="3" xfId="0" applyFill="1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3" xfId="0" applyBorder="1"/>
    <xf numFmtId="0" fontId="0" fillId="9" borderId="3" xfId="0" quotePrefix="1" applyFill="1" applyBorder="1" applyAlignment="1">
      <alignment horizontal="center"/>
    </xf>
    <xf numFmtId="0" fontId="0" fillId="9" borderId="3" xfId="0" applyFill="1" applyBorder="1" applyAlignment="1">
      <alignment vertical="center"/>
    </xf>
    <xf numFmtId="0" fontId="0" fillId="14" borderId="3" xfId="0" applyFill="1" applyBorder="1" applyAlignment="1">
      <alignment horizontal="center"/>
    </xf>
    <xf numFmtId="0" fontId="0" fillId="14" borderId="3" xfId="0" applyFill="1" applyBorder="1"/>
    <xf numFmtId="0" fontId="1" fillId="0" borderId="3" xfId="0" applyFont="1" applyBorder="1" applyAlignment="1">
      <alignment horizontal="center" vertical="center"/>
    </xf>
    <xf numFmtId="0" fontId="1" fillId="0" borderId="3" xfId="0" applyFont="1" applyBorder="1"/>
    <xf numFmtId="0" fontId="0" fillId="13" borderId="0" xfId="0" applyFill="1" applyAlignment="1">
      <alignment horizontal="center"/>
    </xf>
    <xf numFmtId="0" fontId="0" fillId="13" borderId="0" xfId="0" applyFill="1"/>
    <xf numFmtId="0" fontId="0" fillId="9" borderId="15" xfId="0" quotePrefix="1" applyFill="1" applyBorder="1" applyAlignment="1">
      <alignment horizontal="center"/>
    </xf>
    <xf numFmtId="0" fontId="0" fillId="9" borderId="7" xfId="0" applyFill="1" applyBorder="1" applyAlignment="1">
      <alignment vertical="center"/>
    </xf>
    <xf numFmtId="0" fontId="0" fillId="14" borderId="0" xfId="0" applyFill="1" applyAlignment="1">
      <alignment horizontal="center"/>
    </xf>
    <xf numFmtId="0" fontId="0" fillId="14" borderId="0" xfId="0" applyFill="1"/>
    <xf numFmtId="0" fontId="1" fillId="0" borderId="61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/>
    </xf>
    <xf numFmtId="0" fontId="1" fillId="0" borderId="0" xfId="0" applyFont="1"/>
    <xf numFmtId="0" fontId="1" fillId="10" borderId="0" xfId="0" applyFont="1" applyFill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3" xfId="0" applyFont="1" applyBorder="1" applyAlignment="1">
      <alignment horizontal="center" wrapText="1"/>
    </xf>
    <xf numFmtId="0" fontId="51" fillId="0" borderId="25" xfId="0" applyFont="1" applyBorder="1" applyAlignment="1">
      <alignment horizontal="center"/>
    </xf>
    <xf numFmtId="0" fontId="52" fillId="0" borderId="3" xfId="0" applyFont="1" applyBorder="1"/>
    <xf numFmtId="0" fontId="42" fillId="0" borderId="22" xfId="0" applyFont="1" applyBorder="1" applyAlignment="1">
      <alignment horizontal="center"/>
    </xf>
    <xf numFmtId="0" fontId="11" fillId="0" borderId="25" xfId="0" applyFont="1" applyBorder="1" applyAlignment="1">
      <alignment horizontal="center"/>
    </xf>
    <xf numFmtId="0" fontId="11" fillId="0" borderId="3" xfId="0" applyFont="1" applyBorder="1"/>
    <xf numFmtId="0" fontId="42" fillId="0" borderId="3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" fillId="0" borderId="3" xfId="3" applyBorder="1" applyAlignment="1">
      <alignment horizontal="center"/>
    </xf>
    <xf numFmtId="0" fontId="1" fillId="0" borderId="12" xfId="3" applyBorder="1" applyAlignment="1">
      <alignment horizontal="center"/>
    </xf>
    <xf numFmtId="0" fontId="1" fillId="0" borderId="5" xfId="3" applyBorder="1" applyAlignment="1">
      <alignment horizontal="center"/>
    </xf>
    <xf numFmtId="0" fontId="10" fillId="0" borderId="11" xfId="3" applyFont="1" applyBorder="1" applyAlignment="1">
      <alignment horizontal="center"/>
    </xf>
    <xf numFmtId="0" fontId="10" fillId="0" borderId="3" xfId="3" applyFont="1" applyBorder="1" applyAlignment="1">
      <alignment horizontal="center"/>
    </xf>
    <xf numFmtId="0" fontId="1" fillId="11" borderId="0" xfId="3" applyFill="1" applyAlignment="1">
      <alignment horizontal="center"/>
    </xf>
    <xf numFmtId="0" fontId="3" fillId="11" borderId="1" xfId="3" applyFont="1" applyFill="1" applyBorder="1" applyAlignment="1">
      <alignment horizontal="right"/>
    </xf>
    <xf numFmtId="0" fontId="1" fillId="11" borderId="2" xfId="3" applyFill="1" applyBorder="1" applyAlignment="1">
      <alignment horizontal="center"/>
    </xf>
    <xf numFmtId="0" fontId="3" fillId="11" borderId="3" xfId="3" applyFont="1" applyFill="1" applyBorder="1" applyAlignment="1">
      <alignment horizontal="right"/>
    </xf>
    <xf numFmtId="0" fontId="1" fillId="11" borderId="4" xfId="3" applyFill="1" applyBorder="1" applyAlignment="1">
      <alignment horizontal="center"/>
    </xf>
    <xf numFmtId="0" fontId="3" fillId="11" borderId="0" xfId="3" applyFont="1" applyFill="1" applyAlignment="1">
      <alignment horizontal="right" vertical="top" wrapText="1"/>
    </xf>
    <xf numFmtId="0" fontId="1" fillId="11" borderId="3" xfId="3" applyFill="1" applyBorder="1" applyAlignment="1">
      <alignment horizontal="right"/>
    </xf>
    <xf numFmtId="0" fontId="1" fillId="11" borderId="0" xfId="3" applyFill="1" applyAlignment="1">
      <alignment horizontal="left"/>
    </xf>
    <xf numFmtId="0" fontId="1" fillId="11" borderId="5" xfId="3" applyFill="1" applyBorder="1" applyAlignment="1">
      <alignment horizontal="right"/>
    </xf>
    <xf numFmtId="0" fontId="1" fillId="11" borderId="0" xfId="3" applyFill="1" applyAlignment="1">
      <alignment horizontal="right"/>
    </xf>
    <xf numFmtId="0" fontId="1" fillId="11" borderId="0" xfId="3" applyFill="1" applyAlignment="1">
      <alignment horizontal="center" vertical="center" wrapText="1"/>
    </xf>
    <xf numFmtId="0" fontId="46" fillId="11" borderId="0" xfId="3" applyFont="1" applyFill="1" applyAlignment="1">
      <alignment horizontal="center" vertical="center" wrapText="1"/>
    </xf>
    <xf numFmtId="0" fontId="3" fillId="12" borderId="2" xfId="3" applyFont="1" applyFill="1" applyBorder="1" applyAlignment="1">
      <alignment horizontal="center" vertical="center" wrapText="1"/>
    </xf>
    <xf numFmtId="0" fontId="3" fillId="12" borderId="5" xfId="3" applyFont="1" applyFill="1" applyBorder="1" applyAlignment="1">
      <alignment horizontal="center"/>
    </xf>
    <xf numFmtId="0" fontId="3" fillId="12" borderId="5" xfId="3" applyFont="1" applyFill="1" applyBorder="1" applyAlignment="1">
      <alignment horizontal="center" wrapText="1"/>
    </xf>
    <xf numFmtId="0" fontId="3" fillId="12" borderId="14" xfId="3" applyFont="1" applyFill="1" applyBorder="1" applyAlignment="1">
      <alignment horizontal="center"/>
    </xf>
    <xf numFmtId="0" fontId="11" fillId="0" borderId="3" xfId="3" applyFont="1" applyBorder="1" applyAlignment="1">
      <alignment horizontal="center"/>
    </xf>
    <xf numFmtId="0" fontId="12" fillId="0" borderId="3" xfId="3" applyFont="1" applyBorder="1"/>
    <xf numFmtId="0" fontId="3" fillId="11" borderId="13" xfId="3" applyFont="1" applyFill="1" applyBorder="1" applyAlignment="1">
      <alignment horizontal="center"/>
    </xf>
    <xf numFmtId="0" fontId="49" fillId="11" borderId="6" xfId="3" applyFont="1" applyFill="1" applyBorder="1" applyAlignment="1">
      <alignment horizontal="center" vertical="center"/>
    </xf>
    <xf numFmtId="0" fontId="1" fillId="11" borderId="0" xfId="3" applyFill="1"/>
    <xf numFmtId="0" fontId="1" fillId="11" borderId="0" xfId="3" applyFill="1" applyAlignment="1">
      <alignment horizontal="center" wrapText="1"/>
    </xf>
    <xf numFmtId="0" fontId="1" fillId="11" borderId="7" xfId="3" applyFill="1" applyBorder="1" applyAlignment="1">
      <alignment horizontal="center"/>
    </xf>
    <xf numFmtId="0" fontId="1" fillId="12" borderId="8" xfId="3" applyFill="1" applyBorder="1" applyAlignment="1">
      <alignment horizontal="center"/>
    </xf>
    <xf numFmtId="0" fontId="1" fillId="12" borderId="9" xfId="3" applyFill="1" applyBorder="1"/>
    <xf numFmtId="0" fontId="3" fillId="12" borderId="9" xfId="3" applyFont="1" applyFill="1" applyBorder="1" applyAlignment="1">
      <alignment horizontal="center"/>
    </xf>
    <xf numFmtId="0" fontId="1" fillId="12" borderId="9" xfId="3" applyFill="1" applyBorder="1" applyAlignment="1">
      <alignment horizontal="center" wrapText="1"/>
    </xf>
    <xf numFmtId="0" fontId="1" fillId="12" borderId="10" xfId="3" applyFill="1" applyBorder="1" applyAlignment="1">
      <alignment horizontal="center"/>
    </xf>
    <xf numFmtId="0" fontId="49" fillId="11" borderId="0" xfId="3" applyFont="1" applyFill="1" applyAlignment="1">
      <alignment vertical="center"/>
    </xf>
    <xf numFmtId="0" fontId="11" fillId="0" borderId="3" xfId="3" applyFont="1" applyBorder="1" applyAlignment="1">
      <alignment horizontal="center" wrapText="1"/>
    </xf>
    <xf numFmtId="0" fontId="51" fillId="0" borderId="25" xfId="3" applyFont="1" applyBorder="1" applyAlignment="1">
      <alignment horizontal="center"/>
    </xf>
    <xf numFmtId="0" fontId="52" fillId="0" borderId="3" xfId="3" applyFont="1" applyBorder="1"/>
    <xf numFmtId="0" fontId="42" fillId="0" borderId="22" xfId="3" applyFont="1" applyBorder="1" applyAlignment="1">
      <alignment horizontal="center"/>
    </xf>
    <xf numFmtId="0" fontId="11" fillId="0" borderId="25" xfId="3" applyFont="1" applyBorder="1" applyAlignment="1">
      <alignment horizontal="center"/>
    </xf>
    <xf numFmtId="0" fontId="11" fillId="0" borderId="3" xfId="3" applyFont="1" applyBorder="1"/>
    <xf numFmtId="0" fontId="42" fillId="0" borderId="3" xfId="3" applyFont="1" applyBorder="1" applyAlignment="1">
      <alignment horizontal="center"/>
    </xf>
    <xf numFmtId="0" fontId="10" fillId="0" borderId="5" xfId="3" applyFont="1" applyBorder="1" applyAlignment="1">
      <alignment horizontal="center"/>
    </xf>
    <xf numFmtId="0" fontId="1" fillId="0" borderId="3" xfId="3" applyBorder="1"/>
    <xf numFmtId="0" fontId="4" fillId="2" borderId="1" xfId="6" applyFont="1" applyFill="1" applyBorder="1" applyAlignment="1">
      <alignment horizontal="center"/>
    </xf>
    <xf numFmtId="0" fontId="4" fillId="2" borderId="3" xfId="6" applyFont="1" applyFill="1" applyBorder="1" applyAlignment="1">
      <alignment horizontal="center"/>
    </xf>
    <xf numFmtId="0" fontId="8" fillId="5" borderId="3" xfId="6" applyFont="1" applyFill="1" applyBorder="1" applyAlignment="1">
      <alignment horizontal="center" vertical="center" wrapText="1"/>
    </xf>
    <xf numFmtId="0" fontId="3" fillId="0" borderId="33" xfId="0" applyFont="1" applyBorder="1" applyAlignment="1">
      <alignment horizontal="right"/>
    </xf>
    <xf numFmtId="0" fontId="3" fillId="0" borderId="24" xfId="0" applyFont="1" applyBorder="1" applyAlignment="1">
      <alignment horizontal="right"/>
    </xf>
    <xf numFmtId="164" fontId="1" fillId="0" borderId="11" xfId="0" applyNumberFormat="1" applyFont="1" applyBorder="1" applyAlignment="1">
      <alignment horizontal="right"/>
    </xf>
    <xf numFmtId="0" fontId="1" fillId="2" borderId="12" xfId="0" applyFont="1" applyFill="1" applyBorder="1" applyAlignment="1">
      <alignment horizontal="center"/>
    </xf>
    <xf numFmtId="0" fontId="1" fillId="2" borderId="34" xfId="0" applyFont="1" applyFill="1" applyBorder="1" applyAlignment="1">
      <alignment horizontal="center"/>
    </xf>
    <xf numFmtId="0" fontId="1" fillId="2" borderId="35" xfId="6" applyFont="1" applyFill="1" applyBorder="1" applyAlignment="1">
      <alignment horizontal="center"/>
    </xf>
    <xf numFmtId="0" fontId="1" fillId="2" borderId="25" xfId="6" applyFont="1" applyFill="1" applyBorder="1" applyAlignment="1">
      <alignment horizontal="center"/>
    </xf>
    <xf numFmtId="0" fontId="1" fillId="2" borderId="36" xfId="6" applyFont="1" applyFill="1" applyBorder="1" applyAlignment="1">
      <alignment horizontal="center"/>
    </xf>
    <xf numFmtId="0" fontId="3" fillId="3" borderId="35" xfId="0" applyFont="1" applyFill="1" applyBorder="1" applyAlignment="1">
      <alignment horizontal="center" vertical="center"/>
    </xf>
    <xf numFmtId="0" fontId="3" fillId="3" borderId="37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1" fillId="2" borderId="3" xfId="6" applyFont="1" applyFill="1" applyBorder="1" applyAlignment="1">
      <alignment horizontal="left"/>
    </xf>
    <xf numFmtId="0" fontId="4" fillId="2" borderId="0" xfId="6" applyFont="1" applyFill="1" applyAlignment="1">
      <alignment horizontal="right"/>
    </xf>
    <xf numFmtId="0" fontId="46" fillId="2" borderId="26" xfId="6" applyFont="1" applyFill="1" applyBorder="1" applyAlignment="1">
      <alignment horizontal="center"/>
    </xf>
    <xf numFmtId="0" fontId="4" fillId="2" borderId="0" xfId="6" applyFont="1" applyFill="1"/>
    <xf numFmtId="0" fontId="3" fillId="2" borderId="3" xfId="6" applyFont="1" applyFill="1" applyBorder="1" applyAlignment="1">
      <alignment horizontal="right" vertical="top" wrapText="1"/>
    </xf>
    <xf numFmtId="0" fontId="3" fillId="2" borderId="5" xfId="6" applyFont="1" applyFill="1" applyBorder="1" applyAlignment="1">
      <alignment horizontal="right" vertical="top" wrapText="1"/>
    </xf>
    <xf numFmtId="14" fontId="1" fillId="2" borderId="4" xfId="6" applyNumberFormat="1" applyFont="1" applyFill="1" applyBorder="1" applyAlignment="1">
      <alignment horizontal="center" vertical="center" wrapText="1"/>
    </xf>
    <xf numFmtId="14" fontId="1" fillId="2" borderId="14" xfId="6" applyNumberFormat="1" applyFont="1" applyFill="1" applyBorder="1" applyAlignment="1">
      <alignment horizontal="center" vertical="center" wrapText="1"/>
    </xf>
    <xf numFmtId="0" fontId="1" fillId="2" borderId="5" xfId="6" applyFont="1" applyFill="1" applyBorder="1" applyAlignment="1">
      <alignment horizontal="left"/>
    </xf>
    <xf numFmtId="0" fontId="3" fillId="0" borderId="38" xfId="0" applyFont="1" applyBorder="1" applyAlignment="1">
      <alignment horizontal="right"/>
    </xf>
    <xf numFmtId="0" fontId="3" fillId="0" borderId="39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164" fontId="1" fillId="0" borderId="28" xfId="0" applyNumberFormat="1" applyFont="1" applyBorder="1" applyAlignment="1">
      <alignment horizontal="center"/>
    </xf>
    <xf numFmtId="164" fontId="1" fillId="0" borderId="29" xfId="0" applyNumberFormat="1" applyFont="1" applyBorder="1" applyAlignment="1">
      <alignment horizontal="center"/>
    </xf>
    <xf numFmtId="164" fontId="1" fillId="0" borderId="28" xfId="0" applyNumberFormat="1" applyFont="1" applyBorder="1" applyAlignment="1">
      <alignment horizontal="right" wrapText="1"/>
    </xf>
    <xf numFmtId="164" fontId="1" fillId="0" borderId="39" xfId="0" applyNumberFormat="1" applyFont="1" applyBorder="1" applyAlignment="1">
      <alignment horizontal="right" wrapText="1"/>
    </xf>
    <xf numFmtId="0" fontId="7" fillId="0" borderId="33" xfId="3" applyFont="1" applyBorder="1" applyAlignment="1">
      <alignment horizontal="left" wrapText="1"/>
    </xf>
    <xf numFmtId="0" fontId="7" fillId="0" borderId="40" xfId="3" applyFont="1" applyBorder="1" applyAlignment="1">
      <alignment horizontal="left" wrapText="1"/>
    </xf>
    <xf numFmtId="0" fontId="7" fillId="0" borderId="34" xfId="3" applyFont="1" applyBorder="1" applyAlignment="1">
      <alignment horizontal="left" wrapText="1"/>
    </xf>
    <xf numFmtId="0" fontId="5" fillId="0" borderId="27" xfId="3" applyFont="1" applyBorder="1" applyAlignment="1">
      <alignment horizontal="left"/>
    </xf>
    <xf numFmtId="0" fontId="5" fillId="0" borderId="26" xfId="3" applyFont="1" applyBorder="1" applyAlignment="1">
      <alignment horizontal="left"/>
    </xf>
    <xf numFmtId="0" fontId="5" fillId="0" borderId="32" xfId="3" applyFont="1" applyBorder="1" applyAlignment="1">
      <alignment horizontal="left"/>
    </xf>
    <xf numFmtId="0" fontId="3" fillId="0" borderId="36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164" fontId="1" fillId="0" borderId="41" xfId="0" applyNumberFormat="1" applyFont="1" applyBorder="1" applyAlignment="1">
      <alignment horizontal="center"/>
    </xf>
    <xf numFmtId="164" fontId="1" fillId="0" borderId="42" xfId="0" applyNumberFormat="1" applyFont="1" applyBorder="1" applyAlignment="1">
      <alignment horizontal="center"/>
    </xf>
    <xf numFmtId="0" fontId="5" fillId="0" borderId="33" xfId="3" applyFont="1" applyBorder="1" applyAlignment="1">
      <alignment horizontal="left"/>
    </xf>
    <xf numFmtId="0" fontId="5" fillId="0" borderId="40" xfId="3" applyFont="1" applyBorder="1" applyAlignment="1">
      <alignment horizontal="left"/>
    </xf>
    <xf numFmtId="0" fontId="5" fillId="0" borderId="34" xfId="3" applyFont="1" applyBorder="1" applyAlignment="1">
      <alignment horizontal="left"/>
    </xf>
    <xf numFmtId="0" fontId="3" fillId="3" borderId="8" xfId="0" applyFont="1" applyFill="1" applyBorder="1" applyAlignment="1">
      <alignment horizontal="left"/>
    </xf>
    <xf numFmtId="0" fontId="3" fillId="3" borderId="9" xfId="0" applyFont="1" applyFill="1" applyBorder="1" applyAlignment="1">
      <alignment horizontal="left"/>
    </xf>
    <xf numFmtId="0" fontId="3" fillId="3" borderId="10" xfId="0" applyFont="1" applyFill="1" applyBorder="1" applyAlignment="1">
      <alignment horizontal="left"/>
    </xf>
    <xf numFmtId="0" fontId="3" fillId="3" borderId="36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10" fillId="2" borderId="65" xfId="6" applyFont="1" applyFill="1" applyBorder="1" applyAlignment="1">
      <alignment horizontal="left"/>
    </xf>
    <xf numFmtId="0" fontId="10" fillId="2" borderId="0" xfId="6" applyFont="1" applyFill="1" applyAlignment="1">
      <alignment horizontal="left"/>
    </xf>
    <xf numFmtId="0" fontId="43" fillId="5" borderId="51" xfId="6" applyFont="1" applyFill="1" applyBorder="1" applyAlignment="1">
      <alignment horizontal="center" vertical="center" wrapText="1"/>
    </xf>
    <xf numFmtId="0" fontId="43" fillId="5" borderId="52" xfId="6" applyFont="1" applyFill="1" applyBorder="1" applyAlignment="1">
      <alignment horizontal="center" vertical="center" wrapText="1"/>
    </xf>
    <xf numFmtId="0" fontId="43" fillId="5" borderId="53" xfId="6" applyFont="1" applyFill="1" applyBorder="1" applyAlignment="1">
      <alignment horizontal="center" vertical="center" wrapText="1"/>
    </xf>
    <xf numFmtId="0" fontId="39" fillId="0" borderId="8" xfId="0" applyFont="1" applyBorder="1" applyAlignment="1">
      <alignment horizontal="right" vertical="center"/>
    </xf>
    <xf numFmtId="0" fontId="39" fillId="0" borderId="9" xfId="0" applyFont="1" applyBorder="1" applyAlignment="1">
      <alignment horizontal="right" vertical="center"/>
    </xf>
    <xf numFmtId="0" fontId="39" fillId="0" borderId="10" xfId="0" applyFont="1" applyBorder="1" applyAlignment="1">
      <alignment horizontal="right" vertical="center"/>
    </xf>
    <xf numFmtId="0" fontId="26" fillId="0" borderId="0" xfId="0" applyFont="1" applyAlignment="1">
      <alignment horizontal="center" vertical="center"/>
    </xf>
    <xf numFmtId="0" fontId="40" fillId="0" borderId="0" xfId="0" applyFont="1" applyAlignment="1">
      <alignment horizontal="right"/>
    </xf>
    <xf numFmtId="0" fontId="32" fillId="0" borderId="6" xfId="0" applyFont="1" applyBorder="1" applyAlignment="1">
      <alignment horizontal="right"/>
    </xf>
    <xf numFmtId="0" fontId="32" fillId="0" borderId="0" xfId="0" applyFont="1" applyAlignment="1">
      <alignment horizontal="right"/>
    </xf>
    <xf numFmtId="0" fontId="32" fillId="0" borderId="7" xfId="0" applyFont="1" applyBorder="1" applyAlignment="1">
      <alignment horizontal="right"/>
    </xf>
    <xf numFmtId="0" fontId="30" fillId="0" borderId="26" xfId="0" applyFont="1" applyBorder="1" applyAlignment="1">
      <alignment horizontal="right"/>
    </xf>
    <xf numFmtId="0" fontId="26" fillId="0" borderId="0" xfId="0" applyFont="1" applyAlignment="1">
      <alignment horizontal="right" vertical="center"/>
    </xf>
    <xf numFmtId="0" fontId="20" fillId="4" borderId="8" xfId="0" applyFont="1" applyFill="1" applyBorder="1" applyAlignment="1">
      <alignment horizontal="right"/>
    </xf>
    <xf numFmtId="0" fontId="20" fillId="4" borderId="9" xfId="0" applyFont="1" applyFill="1" applyBorder="1" applyAlignment="1">
      <alignment horizontal="right"/>
    </xf>
    <xf numFmtId="0" fontId="12" fillId="0" borderId="0" xfId="0" applyFont="1" applyAlignment="1">
      <alignment horizontal="right" vertical="center"/>
    </xf>
    <xf numFmtId="0" fontId="15" fillId="8" borderId="8" xfId="0" applyFont="1" applyFill="1" applyBorder="1" applyAlignment="1">
      <alignment horizontal="right" vertical="center"/>
    </xf>
    <xf numFmtId="0" fontId="15" fillId="8" borderId="9" xfId="0" applyFont="1" applyFill="1" applyBorder="1" applyAlignment="1">
      <alignment horizontal="right" vertical="center"/>
    </xf>
    <xf numFmtId="0" fontId="15" fillId="8" borderId="10" xfId="0" applyFont="1" applyFill="1" applyBorder="1" applyAlignment="1">
      <alignment horizontal="right" vertical="center"/>
    </xf>
    <xf numFmtId="4" fontId="37" fillId="0" borderId="0" xfId="2" applyNumberFormat="1" applyFont="1" applyFill="1" applyAlignment="1">
      <alignment horizontal="center" vertical="center" wrapText="1"/>
    </xf>
    <xf numFmtId="0" fontId="15" fillId="0" borderId="26" xfId="0" applyFont="1" applyBorder="1" applyAlignment="1">
      <alignment horizontal="right" vertical="center"/>
    </xf>
    <xf numFmtId="0" fontId="15" fillId="0" borderId="32" xfId="0" applyFont="1" applyBorder="1" applyAlignment="1">
      <alignment horizontal="right" vertical="center"/>
    </xf>
    <xf numFmtId="0" fontId="12" fillId="0" borderId="3" xfId="0" applyFont="1" applyBorder="1" applyAlignment="1">
      <alignment horizontal="right" vertical="center"/>
    </xf>
    <xf numFmtId="0" fontId="23" fillId="0" borderId="26" xfId="0" applyFont="1" applyBorder="1" applyAlignment="1">
      <alignment horizontal="center" vertical="center"/>
    </xf>
    <xf numFmtId="0" fontId="24" fillId="0" borderId="9" xfId="0" applyFont="1" applyBorder="1" applyAlignment="1">
      <alignment horizontal="right" vertical="center" wrapText="1"/>
    </xf>
    <xf numFmtId="0" fontId="15" fillId="0" borderId="0" xfId="0" applyFont="1" applyAlignment="1">
      <alignment horizontal="center" vertical="center"/>
    </xf>
    <xf numFmtId="0" fontId="17" fillId="0" borderId="8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5" fillId="0" borderId="0" xfId="0" applyFont="1" applyAlignment="1">
      <alignment horizontal="right" vertical="center"/>
    </xf>
    <xf numFmtId="0" fontId="27" fillId="0" borderId="49" xfId="0" applyFont="1" applyBorder="1" applyAlignment="1">
      <alignment horizontal="right"/>
    </xf>
    <xf numFmtId="0" fontId="27" fillId="0" borderId="50" xfId="0" applyFont="1" applyBorder="1" applyAlignment="1">
      <alignment horizontal="right"/>
    </xf>
    <xf numFmtId="0" fontId="31" fillId="0" borderId="3" xfId="0" applyFont="1" applyBorder="1" applyAlignment="1">
      <alignment horizontal="right" vertical="center"/>
    </xf>
    <xf numFmtId="0" fontId="27" fillId="0" borderId="0" xfId="0" applyFont="1" applyAlignment="1">
      <alignment horizontal="right"/>
    </xf>
    <xf numFmtId="14" fontId="1" fillId="11" borderId="31" xfId="0" applyNumberFormat="1" applyFont="1" applyFill="1" applyBorder="1" applyAlignment="1">
      <alignment horizontal="center" vertical="center" wrapText="1"/>
    </xf>
    <xf numFmtId="14" fontId="1" fillId="11" borderId="48" xfId="0" applyNumberFormat="1" applyFont="1" applyFill="1" applyBorder="1" applyAlignment="1">
      <alignment horizontal="center" vertical="center" wrapText="1"/>
    </xf>
    <xf numFmtId="14" fontId="1" fillId="11" borderId="13" xfId="0" applyNumberFormat="1" applyFont="1" applyFill="1" applyBorder="1" applyAlignment="1">
      <alignment horizontal="center" vertical="center" wrapText="1"/>
    </xf>
    <xf numFmtId="0" fontId="1" fillId="11" borderId="28" xfId="0" applyFont="1" applyFill="1" applyBorder="1" applyAlignment="1">
      <alignment horizontal="left"/>
    </xf>
    <xf numFmtId="0" fontId="1" fillId="11" borderId="45" xfId="0" applyFont="1" applyFill="1" applyBorder="1" applyAlignment="1">
      <alignment horizontal="left"/>
    </xf>
    <xf numFmtId="0" fontId="1" fillId="11" borderId="39" xfId="0" applyFont="1" applyFill="1" applyBorder="1" applyAlignment="1">
      <alignment horizontal="left"/>
    </xf>
    <xf numFmtId="0" fontId="1" fillId="11" borderId="41" xfId="0" applyFont="1" applyFill="1" applyBorder="1" applyAlignment="1">
      <alignment horizontal="left"/>
    </xf>
    <xf numFmtId="0" fontId="1" fillId="11" borderId="59" xfId="0" applyFont="1" applyFill="1" applyBorder="1" applyAlignment="1">
      <alignment horizontal="left"/>
    </xf>
    <xf numFmtId="0" fontId="1" fillId="11" borderId="43" xfId="0" applyFont="1" applyFill="1" applyBorder="1" applyAlignment="1">
      <alignment horizontal="left"/>
    </xf>
    <xf numFmtId="0" fontId="4" fillId="11" borderId="26" xfId="0" applyFont="1" applyFill="1" applyBorder="1" applyAlignment="1">
      <alignment horizontal="right"/>
    </xf>
    <xf numFmtId="0" fontId="46" fillId="11" borderId="26" xfId="0" applyFont="1" applyFill="1" applyBorder="1" applyAlignment="1">
      <alignment horizontal="center"/>
    </xf>
    <xf numFmtId="0" fontId="4" fillId="11" borderId="26" xfId="0" applyFont="1" applyFill="1" applyBorder="1"/>
    <xf numFmtId="0" fontId="1" fillId="11" borderId="57" xfId="0" applyFont="1" applyFill="1" applyBorder="1" applyAlignment="1">
      <alignment horizontal="center"/>
    </xf>
    <xf numFmtId="0" fontId="1" fillId="11" borderId="58" xfId="0" applyFont="1" applyFill="1" applyBorder="1" applyAlignment="1">
      <alignment horizontal="center"/>
    </xf>
    <xf numFmtId="0" fontId="1" fillId="11" borderId="17" xfId="0" applyFont="1" applyFill="1" applyBorder="1" applyAlignment="1">
      <alignment horizontal="center"/>
    </xf>
    <xf numFmtId="0" fontId="4" fillId="11" borderId="30" xfId="0" applyFont="1" applyFill="1" applyBorder="1" applyAlignment="1">
      <alignment horizontal="center"/>
    </xf>
    <xf numFmtId="0" fontId="4" fillId="11" borderId="52" xfId="0" applyFont="1" applyFill="1" applyBorder="1" applyAlignment="1">
      <alignment horizontal="center"/>
    </xf>
    <xf numFmtId="0" fontId="4" fillId="11" borderId="44" xfId="0" applyFont="1" applyFill="1" applyBorder="1" applyAlignment="1">
      <alignment horizontal="center"/>
    </xf>
    <xf numFmtId="0" fontId="4" fillId="11" borderId="28" xfId="0" applyFont="1" applyFill="1" applyBorder="1" applyAlignment="1">
      <alignment horizontal="center"/>
    </xf>
    <xf numFmtId="0" fontId="4" fillId="11" borderId="45" xfId="0" applyFont="1" applyFill="1" applyBorder="1" applyAlignment="1">
      <alignment horizontal="center"/>
    </xf>
    <xf numFmtId="0" fontId="4" fillId="11" borderId="39" xfId="0" applyFont="1" applyFill="1" applyBorder="1" applyAlignment="1">
      <alignment horizontal="center"/>
    </xf>
    <xf numFmtId="0" fontId="8" fillId="15" borderId="28" xfId="0" applyFont="1" applyFill="1" applyBorder="1" applyAlignment="1">
      <alignment horizontal="center" vertical="center" wrapText="1"/>
    </xf>
    <xf numFmtId="0" fontId="8" fillId="15" borderId="45" xfId="0" applyFont="1" applyFill="1" applyBorder="1" applyAlignment="1">
      <alignment horizontal="center" vertical="center" wrapText="1"/>
    </xf>
    <xf numFmtId="0" fontId="8" fillId="15" borderId="39" xfId="0" applyFont="1" applyFill="1" applyBorder="1" applyAlignment="1">
      <alignment horizontal="center" vertical="center" wrapText="1"/>
    </xf>
    <xf numFmtId="0" fontId="3" fillId="11" borderId="16" xfId="0" applyFont="1" applyFill="1" applyBorder="1" applyAlignment="1">
      <alignment horizontal="right" vertical="top" wrapText="1"/>
    </xf>
    <xf numFmtId="0" fontId="3" fillId="11" borderId="47" xfId="0" applyFont="1" applyFill="1" applyBorder="1" applyAlignment="1">
      <alignment horizontal="right" vertical="top" wrapText="1"/>
    </xf>
    <xf numFmtId="0" fontId="3" fillId="11" borderId="11" xfId="0" applyFont="1" applyFill="1" applyBorder="1" applyAlignment="1">
      <alignment horizontal="right" vertical="top" wrapText="1"/>
    </xf>
    <xf numFmtId="0" fontId="3" fillId="12" borderId="57" xfId="0" applyFont="1" applyFill="1" applyBorder="1" applyAlignment="1">
      <alignment horizontal="center" vertical="center"/>
    </xf>
    <xf numFmtId="0" fontId="3" fillId="12" borderId="17" xfId="0" applyFont="1" applyFill="1" applyBorder="1" applyAlignment="1">
      <alignment horizontal="center" vertical="center"/>
    </xf>
    <xf numFmtId="0" fontId="3" fillId="12" borderId="46" xfId="0" applyFont="1" applyFill="1" applyBorder="1" applyAlignment="1">
      <alignment horizontal="center" vertical="center"/>
    </xf>
    <xf numFmtId="0" fontId="3" fillId="12" borderId="11" xfId="0" applyFont="1" applyFill="1" applyBorder="1" applyAlignment="1">
      <alignment horizontal="center" vertical="center"/>
    </xf>
    <xf numFmtId="0" fontId="3" fillId="12" borderId="30" xfId="0" applyFont="1" applyFill="1" applyBorder="1" applyAlignment="1">
      <alignment horizontal="center" vertical="center"/>
    </xf>
    <xf numFmtId="0" fontId="3" fillId="12" borderId="44" xfId="0" applyFont="1" applyFill="1" applyBorder="1" applyAlignment="1">
      <alignment horizontal="center" vertical="center"/>
    </xf>
    <xf numFmtId="0" fontId="10" fillId="10" borderId="30" xfId="0" applyFont="1" applyFill="1" applyBorder="1" applyAlignment="1">
      <alignment horizontal="center"/>
    </xf>
    <xf numFmtId="0" fontId="10" fillId="10" borderId="44" xfId="0" applyFont="1" applyFill="1" applyBorder="1" applyAlignment="1">
      <alignment horizontal="center"/>
    </xf>
    <xf numFmtId="0" fontId="3" fillId="0" borderId="51" xfId="0" applyFont="1" applyBorder="1" applyAlignment="1">
      <alignment horizontal="right"/>
    </xf>
    <xf numFmtId="0" fontId="3" fillId="0" borderId="44" xfId="0" applyFont="1" applyBorder="1" applyAlignment="1">
      <alignment horizontal="right"/>
    </xf>
    <xf numFmtId="0" fontId="1" fillId="0" borderId="30" xfId="0" applyFont="1" applyBorder="1" applyAlignment="1">
      <alignment horizontal="right"/>
    </xf>
    <xf numFmtId="0" fontId="1" fillId="0" borderId="44" xfId="0" applyFont="1" applyBorder="1" applyAlignment="1">
      <alignment horizontal="right"/>
    </xf>
    <xf numFmtId="0" fontId="1" fillId="11" borderId="30" xfId="0" applyFont="1" applyFill="1" applyBorder="1" applyAlignment="1">
      <alignment horizontal="center"/>
    </xf>
    <xf numFmtId="0" fontId="1" fillId="11" borderId="52" xfId="0" applyFont="1" applyFill="1" applyBorder="1" applyAlignment="1">
      <alignment horizontal="center"/>
    </xf>
    <xf numFmtId="0" fontId="1" fillId="0" borderId="28" xfId="0" applyFont="1" applyBorder="1" applyAlignment="1">
      <alignment horizontal="right"/>
    </xf>
    <xf numFmtId="0" fontId="1" fillId="0" borderId="39" xfId="0" applyFont="1" applyBorder="1" applyAlignment="1">
      <alignment horizontal="right"/>
    </xf>
    <xf numFmtId="0" fontId="1" fillId="0" borderId="28" xfId="0" applyFont="1" applyBorder="1" applyAlignment="1">
      <alignment horizontal="center"/>
    </xf>
    <xf numFmtId="0" fontId="1" fillId="0" borderId="45" xfId="0" applyFont="1" applyBorder="1" applyAlignment="1">
      <alignment horizontal="center"/>
    </xf>
    <xf numFmtId="0" fontId="1" fillId="0" borderId="28" xfId="0" applyFont="1" applyBorder="1" applyAlignment="1">
      <alignment horizontal="right" wrapText="1"/>
    </xf>
    <xf numFmtId="0" fontId="1" fillId="0" borderId="39" xfId="0" applyFont="1" applyBorder="1" applyAlignment="1">
      <alignment horizontal="right" wrapText="1"/>
    </xf>
    <xf numFmtId="0" fontId="3" fillId="0" borderId="60" xfId="0" applyFont="1" applyBorder="1" applyAlignment="1">
      <alignment horizontal="right"/>
    </xf>
    <xf numFmtId="0" fontId="3" fillId="0" borderId="43" xfId="0" applyFont="1" applyBorder="1" applyAlignment="1">
      <alignment horizontal="right"/>
    </xf>
    <xf numFmtId="0" fontId="1" fillId="0" borderId="41" xfId="0" applyFont="1" applyBorder="1" applyAlignment="1">
      <alignment horizontal="right"/>
    </xf>
    <xf numFmtId="0" fontId="1" fillId="0" borderId="43" xfId="0" applyFont="1" applyBorder="1" applyAlignment="1">
      <alignment horizontal="right"/>
    </xf>
    <xf numFmtId="0" fontId="1" fillId="0" borderId="41" xfId="0" applyFont="1" applyBorder="1" applyAlignment="1">
      <alignment horizontal="center"/>
    </xf>
    <xf numFmtId="0" fontId="1" fillId="0" borderId="59" xfId="0" applyFont="1" applyBorder="1" applyAlignment="1">
      <alignment horizontal="center"/>
    </xf>
    <xf numFmtId="0" fontId="3" fillId="12" borderId="8" xfId="0" applyFont="1" applyFill="1" applyBorder="1" applyAlignment="1">
      <alignment horizontal="left"/>
    </xf>
    <xf numFmtId="0" fontId="3" fillId="12" borderId="9" xfId="0" applyFont="1" applyFill="1" applyBorder="1" applyAlignment="1">
      <alignment horizontal="left"/>
    </xf>
    <xf numFmtId="0" fontId="7" fillId="0" borderId="51" xfId="0" applyFont="1" applyBorder="1" applyAlignment="1">
      <alignment horizontal="left" wrapText="1"/>
    </xf>
    <xf numFmtId="0" fontId="7" fillId="0" borderId="52" xfId="0" applyFont="1" applyBorder="1" applyAlignment="1">
      <alignment horizontal="left" wrapText="1"/>
    </xf>
    <xf numFmtId="0" fontId="7" fillId="0" borderId="38" xfId="0" applyFont="1" applyBorder="1" applyAlignment="1">
      <alignment horizontal="left" wrapText="1"/>
    </xf>
    <xf numFmtId="0" fontId="7" fillId="0" borderId="45" xfId="0" applyFont="1" applyBorder="1" applyAlignment="1">
      <alignment horizontal="left" wrapText="1"/>
    </xf>
    <xf numFmtId="0" fontId="5" fillId="0" borderId="60" xfId="0" applyFont="1" applyBorder="1" applyAlignment="1">
      <alignment horizontal="left"/>
    </xf>
    <xf numFmtId="0" fontId="5" fillId="0" borderId="59" xfId="0" applyFont="1" applyBorder="1" applyAlignment="1">
      <alignment horizontal="left"/>
    </xf>
    <xf numFmtId="0" fontId="5" fillId="0" borderId="38" xfId="0" applyFont="1" applyBorder="1" applyAlignment="1">
      <alignment horizontal="left"/>
    </xf>
    <xf numFmtId="0" fontId="5" fillId="0" borderId="45" xfId="0" applyFont="1" applyBorder="1" applyAlignment="1">
      <alignment horizontal="left"/>
    </xf>
    <xf numFmtId="0" fontId="11" fillId="0" borderId="33" xfId="0" applyFont="1" applyBorder="1" applyAlignment="1">
      <alignment horizontal="left"/>
    </xf>
    <xf numFmtId="0" fontId="11" fillId="0" borderId="40" xfId="0" applyFont="1" applyBorder="1" applyAlignment="1">
      <alignment horizontal="left"/>
    </xf>
    <xf numFmtId="0" fontId="11" fillId="0" borderId="34" xfId="0" applyFont="1" applyBorder="1" applyAlignment="1">
      <alignment horizontal="left"/>
    </xf>
    <xf numFmtId="0" fontId="11" fillId="0" borderId="38" xfId="0" applyFont="1" applyBorder="1" applyAlignment="1">
      <alignment horizontal="left" wrapText="1"/>
    </xf>
    <xf numFmtId="0" fontId="11" fillId="0" borderId="45" xfId="0" applyFont="1" applyBorder="1" applyAlignment="1">
      <alignment horizontal="left" wrapText="1"/>
    </xf>
    <xf numFmtId="0" fontId="11" fillId="0" borderId="29" xfId="0" applyFont="1" applyBorder="1" applyAlignment="1">
      <alignment horizontal="left" wrapText="1"/>
    </xf>
    <xf numFmtId="0" fontId="11" fillId="0" borderId="38" xfId="0" applyFont="1" applyBorder="1" applyAlignment="1">
      <alignment horizontal="left"/>
    </xf>
    <xf numFmtId="0" fontId="11" fillId="0" borderId="45" xfId="0" applyFont="1" applyBorder="1" applyAlignment="1">
      <alignment horizontal="left"/>
    </xf>
    <xf numFmtId="0" fontId="11" fillId="0" borderId="29" xfId="0" applyFont="1" applyBorder="1" applyAlignment="1">
      <alignment horizontal="left"/>
    </xf>
    <xf numFmtId="0" fontId="3" fillId="12" borderId="57" xfId="3" applyFont="1" applyFill="1" applyBorder="1" applyAlignment="1">
      <alignment horizontal="center" vertical="center"/>
    </xf>
    <xf numFmtId="0" fontId="3" fillId="12" borderId="17" xfId="3" applyFont="1" applyFill="1" applyBorder="1" applyAlignment="1">
      <alignment horizontal="center" vertical="center"/>
    </xf>
    <xf numFmtId="0" fontId="3" fillId="12" borderId="46" xfId="3" applyFont="1" applyFill="1" applyBorder="1" applyAlignment="1">
      <alignment horizontal="center" vertical="center"/>
    </xf>
    <xf numFmtId="0" fontId="3" fillId="12" borderId="11" xfId="3" applyFont="1" applyFill="1" applyBorder="1" applyAlignment="1">
      <alignment horizontal="center" vertical="center"/>
    </xf>
    <xf numFmtId="0" fontId="3" fillId="12" borderId="30" xfId="3" applyFont="1" applyFill="1" applyBorder="1" applyAlignment="1">
      <alignment horizontal="center" vertical="center"/>
    </xf>
    <xf numFmtId="0" fontId="3" fillId="12" borderId="44" xfId="3" applyFont="1" applyFill="1" applyBorder="1" applyAlignment="1">
      <alignment horizontal="center" vertical="center"/>
    </xf>
    <xf numFmtId="14" fontId="1" fillId="11" borderId="31" xfId="3" applyNumberFormat="1" applyFill="1" applyBorder="1" applyAlignment="1">
      <alignment horizontal="center" vertical="center" wrapText="1"/>
    </xf>
    <xf numFmtId="14" fontId="1" fillId="11" borderId="48" xfId="3" applyNumberFormat="1" applyFill="1" applyBorder="1" applyAlignment="1">
      <alignment horizontal="center" vertical="center" wrapText="1"/>
    </xf>
    <xf numFmtId="14" fontId="1" fillId="11" borderId="13" xfId="3" applyNumberFormat="1" applyFill="1" applyBorder="1" applyAlignment="1">
      <alignment horizontal="center" vertical="center" wrapText="1"/>
    </xf>
    <xf numFmtId="0" fontId="1" fillId="11" borderId="28" xfId="3" applyFill="1" applyBorder="1" applyAlignment="1">
      <alignment horizontal="left"/>
    </xf>
    <xf numFmtId="0" fontId="1" fillId="11" borderId="45" xfId="3" applyFill="1" applyBorder="1" applyAlignment="1">
      <alignment horizontal="left"/>
    </xf>
    <xf numFmtId="0" fontId="1" fillId="11" borderId="39" xfId="3" applyFill="1" applyBorder="1" applyAlignment="1">
      <alignment horizontal="left"/>
    </xf>
    <xf numFmtId="0" fontId="1" fillId="11" borderId="41" xfId="3" applyFill="1" applyBorder="1" applyAlignment="1">
      <alignment horizontal="left"/>
    </xf>
    <xf numFmtId="0" fontId="1" fillId="11" borderId="59" xfId="3" applyFill="1" applyBorder="1" applyAlignment="1">
      <alignment horizontal="left"/>
    </xf>
    <xf numFmtId="0" fontId="1" fillId="11" borderId="43" xfId="3" applyFill="1" applyBorder="1" applyAlignment="1">
      <alignment horizontal="left"/>
    </xf>
    <xf numFmtId="0" fontId="4" fillId="11" borderId="26" xfId="3" applyFont="1" applyFill="1" applyBorder="1" applyAlignment="1">
      <alignment horizontal="right"/>
    </xf>
    <xf numFmtId="0" fontId="46" fillId="11" borderId="26" xfId="3" applyFont="1" applyFill="1" applyBorder="1" applyAlignment="1">
      <alignment horizontal="center"/>
    </xf>
    <xf numFmtId="0" fontId="4" fillId="11" borderId="26" xfId="3" applyFont="1" applyFill="1" applyBorder="1"/>
    <xf numFmtId="0" fontId="1" fillId="11" borderId="57" xfId="3" applyFill="1" applyBorder="1" applyAlignment="1">
      <alignment horizontal="center"/>
    </xf>
    <xf numFmtId="0" fontId="1" fillId="11" borderId="58" xfId="3" applyFill="1" applyBorder="1" applyAlignment="1">
      <alignment horizontal="center"/>
    </xf>
    <xf numFmtId="0" fontId="1" fillId="11" borderId="17" xfId="3" applyFill="1" applyBorder="1" applyAlignment="1">
      <alignment horizontal="center"/>
    </xf>
    <xf numFmtId="0" fontId="4" fillId="11" borderId="30" xfId="3" applyFont="1" applyFill="1" applyBorder="1" applyAlignment="1">
      <alignment horizontal="center"/>
    </xf>
    <xf numFmtId="0" fontId="4" fillId="11" borderId="52" xfId="3" applyFont="1" applyFill="1" applyBorder="1" applyAlignment="1">
      <alignment horizontal="center"/>
    </xf>
    <xf numFmtId="0" fontId="4" fillId="11" borderId="44" xfId="3" applyFont="1" applyFill="1" applyBorder="1" applyAlignment="1">
      <alignment horizontal="center"/>
    </xf>
    <xf numFmtId="0" fontId="4" fillId="11" borderId="28" xfId="3" applyFont="1" applyFill="1" applyBorder="1" applyAlignment="1">
      <alignment horizontal="center"/>
    </xf>
    <xf numFmtId="0" fontId="4" fillId="11" borderId="45" xfId="3" applyFont="1" applyFill="1" applyBorder="1" applyAlignment="1">
      <alignment horizontal="center"/>
    </xf>
    <xf numFmtId="0" fontId="4" fillId="11" borderId="39" xfId="3" applyFont="1" applyFill="1" applyBorder="1" applyAlignment="1">
      <alignment horizontal="center"/>
    </xf>
    <xf numFmtId="0" fontId="8" fillId="15" borderId="28" xfId="3" applyFont="1" applyFill="1" applyBorder="1" applyAlignment="1">
      <alignment horizontal="center" vertical="center" wrapText="1"/>
    </xf>
    <xf numFmtId="0" fontId="8" fillId="15" borderId="45" xfId="3" applyFont="1" applyFill="1" applyBorder="1" applyAlignment="1">
      <alignment horizontal="center" vertical="center" wrapText="1"/>
    </xf>
    <xf numFmtId="0" fontId="8" fillId="15" borderId="39" xfId="3" applyFont="1" applyFill="1" applyBorder="1" applyAlignment="1">
      <alignment horizontal="center" vertical="center" wrapText="1"/>
    </xf>
    <xf numFmtId="0" fontId="3" fillId="11" borderId="16" xfId="3" applyFont="1" applyFill="1" applyBorder="1" applyAlignment="1">
      <alignment horizontal="right" vertical="top" wrapText="1"/>
    </xf>
    <xf numFmtId="0" fontId="3" fillId="11" borderId="47" xfId="3" applyFont="1" applyFill="1" applyBorder="1" applyAlignment="1">
      <alignment horizontal="right" vertical="top" wrapText="1"/>
    </xf>
    <xf numFmtId="0" fontId="3" fillId="11" borderId="11" xfId="3" applyFont="1" applyFill="1" applyBorder="1" applyAlignment="1">
      <alignment horizontal="right" vertical="top" wrapText="1"/>
    </xf>
    <xf numFmtId="0" fontId="1" fillId="0" borderId="28" xfId="3" applyBorder="1" applyAlignment="1">
      <alignment horizontal="center"/>
    </xf>
    <xf numFmtId="0" fontId="1" fillId="0" borderId="45" xfId="3" applyBorder="1" applyAlignment="1">
      <alignment horizontal="center"/>
    </xf>
    <xf numFmtId="0" fontId="3" fillId="0" borderId="51" xfId="3" applyFont="1" applyBorder="1" applyAlignment="1">
      <alignment horizontal="right"/>
    </xf>
    <xf numFmtId="0" fontId="3" fillId="0" borderId="44" xfId="3" applyFont="1" applyBorder="1" applyAlignment="1">
      <alignment horizontal="right"/>
    </xf>
    <xf numFmtId="0" fontId="1" fillId="0" borderId="30" xfId="3" applyBorder="1" applyAlignment="1">
      <alignment horizontal="right"/>
    </xf>
    <xf numFmtId="0" fontId="1" fillId="0" borderId="44" xfId="3" applyBorder="1" applyAlignment="1">
      <alignment horizontal="right"/>
    </xf>
    <xf numFmtId="0" fontId="1" fillId="11" borderId="30" xfId="3" applyFill="1" applyBorder="1" applyAlignment="1">
      <alignment horizontal="center"/>
    </xf>
    <xf numFmtId="0" fontId="1" fillId="11" borderId="52" xfId="3" applyFill="1" applyBorder="1" applyAlignment="1">
      <alignment horizontal="center"/>
    </xf>
    <xf numFmtId="0" fontId="3" fillId="0" borderId="38" xfId="3" applyFont="1" applyBorder="1" applyAlignment="1">
      <alignment horizontal="right"/>
    </xf>
    <xf numFmtId="0" fontId="3" fillId="0" borderId="39" xfId="3" applyFont="1" applyBorder="1" applyAlignment="1">
      <alignment horizontal="right"/>
    </xf>
    <xf numFmtId="0" fontId="1" fillId="0" borderId="28" xfId="3" applyBorder="1" applyAlignment="1">
      <alignment horizontal="right"/>
    </xf>
    <xf numFmtId="0" fontId="1" fillId="0" borderId="39" xfId="3" applyBorder="1" applyAlignment="1">
      <alignment horizontal="right"/>
    </xf>
    <xf numFmtId="0" fontId="1" fillId="0" borderId="28" xfId="3" applyBorder="1" applyAlignment="1">
      <alignment horizontal="right" wrapText="1"/>
    </xf>
    <xf numFmtId="0" fontId="1" fillId="0" borderId="39" xfId="3" applyBorder="1" applyAlignment="1">
      <alignment horizontal="right" wrapText="1"/>
    </xf>
    <xf numFmtId="0" fontId="3" fillId="0" borderId="60" xfId="3" applyFont="1" applyBorder="1" applyAlignment="1">
      <alignment horizontal="right"/>
    </xf>
    <xf numFmtId="0" fontId="3" fillId="0" borderId="43" xfId="3" applyFont="1" applyBorder="1" applyAlignment="1">
      <alignment horizontal="right"/>
    </xf>
    <xf numFmtId="0" fontId="1" fillId="0" borderId="41" xfId="3" applyBorder="1" applyAlignment="1">
      <alignment horizontal="right"/>
    </xf>
    <xf numFmtId="0" fontId="1" fillId="0" borderId="43" xfId="3" applyBorder="1" applyAlignment="1">
      <alignment horizontal="right"/>
    </xf>
    <xf numFmtId="0" fontId="1" fillId="0" borderId="41" xfId="3" applyBorder="1" applyAlignment="1">
      <alignment horizontal="center"/>
    </xf>
    <xf numFmtId="0" fontId="1" fillId="0" borderId="59" xfId="3" applyBorder="1" applyAlignment="1">
      <alignment horizontal="center"/>
    </xf>
    <xf numFmtId="0" fontId="3" fillId="12" borderId="8" xfId="3" applyFont="1" applyFill="1" applyBorder="1" applyAlignment="1">
      <alignment horizontal="left"/>
    </xf>
    <xf numFmtId="0" fontId="3" fillId="12" borderId="9" xfId="3" applyFont="1" applyFill="1" applyBorder="1" applyAlignment="1">
      <alignment horizontal="left"/>
    </xf>
    <xf numFmtId="0" fontId="11" fillId="0" borderId="33" xfId="3" applyFont="1" applyBorder="1" applyAlignment="1">
      <alignment horizontal="left"/>
    </xf>
    <xf numFmtId="0" fontId="11" fillId="0" borderId="40" xfId="3" applyFont="1" applyBorder="1" applyAlignment="1">
      <alignment horizontal="left"/>
    </xf>
    <xf numFmtId="0" fontId="11" fillId="0" borderId="34" xfId="3" applyFont="1" applyBorder="1" applyAlignment="1">
      <alignment horizontal="left"/>
    </xf>
    <xf numFmtId="0" fontId="11" fillId="0" borderId="38" xfId="3" applyFont="1" applyBorder="1" applyAlignment="1">
      <alignment horizontal="left" wrapText="1"/>
    </xf>
    <xf numFmtId="0" fontId="11" fillId="0" borderId="45" xfId="3" applyFont="1" applyBorder="1" applyAlignment="1">
      <alignment horizontal="left" wrapText="1"/>
    </xf>
    <xf numFmtId="0" fontId="11" fillId="0" borderId="29" xfId="3" applyFont="1" applyBorder="1" applyAlignment="1">
      <alignment horizontal="left" wrapText="1"/>
    </xf>
    <xf numFmtId="0" fontId="5" fillId="0" borderId="60" xfId="3" applyFont="1" applyBorder="1" applyAlignment="1">
      <alignment horizontal="left"/>
    </xf>
    <xf numFmtId="0" fontId="5" fillId="0" borderId="59" xfId="3" applyFont="1" applyBorder="1" applyAlignment="1">
      <alignment horizontal="left"/>
    </xf>
    <xf numFmtId="0" fontId="11" fillId="0" borderId="38" xfId="3" applyFont="1" applyBorder="1" applyAlignment="1">
      <alignment horizontal="left"/>
    </xf>
    <xf numFmtId="0" fontId="11" fillId="0" borderId="45" xfId="3" applyFont="1" applyBorder="1" applyAlignment="1">
      <alignment horizontal="left"/>
    </xf>
    <xf numFmtId="0" fontId="11" fillId="0" borderId="29" xfId="3" applyFont="1" applyBorder="1" applyAlignment="1">
      <alignment horizontal="left"/>
    </xf>
    <xf numFmtId="0" fontId="53" fillId="2" borderId="49" xfId="6" applyFont="1" applyFill="1" applyBorder="1" applyAlignment="1">
      <alignment horizontal="center"/>
    </xf>
    <xf numFmtId="0" fontId="53" fillId="2" borderId="50" xfId="6" applyFont="1" applyFill="1" applyBorder="1" applyAlignment="1">
      <alignment horizontal="center"/>
    </xf>
    <xf numFmtId="0" fontId="43" fillId="2" borderId="1" xfId="6" applyFont="1" applyFill="1" applyBorder="1" applyAlignment="1">
      <alignment horizontal="center"/>
    </xf>
    <xf numFmtId="0" fontId="43" fillId="2" borderId="1" xfId="6" applyFont="1" applyFill="1" applyBorder="1" applyAlignment="1">
      <alignment horizontal="right"/>
    </xf>
    <xf numFmtId="0" fontId="53" fillId="2" borderId="2" xfId="6" applyFont="1" applyFill="1" applyBorder="1" applyAlignment="1">
      <alignment horizontal="center"/>
    </xf>
    <xf numFmtId="0" fontId="53" fillId="2" borderId="6" xfId="6" applyFont="1" applyFill="1" applyBorder="1" applyAlignment="1">
      <alignment horizontal="center"/>
    </xf>
    <xf numFmtId="0" fontId="53" fillId="2" borderId="0" xfId="6" applyFont="1" applyFill="1" applyAlignment="1">
      <alignment horizontal="center"/>
    </xf>
    <xf numFmtId="0" fontId="43" fillId="2" borderId="41" xfId="6" applyFont="1" applyFill="1" applyBorder="1" applyAlignment="1">
      <alignment horizontal="center"/>
    </xf>
    <xf numFmtId="0" fontId="43" fillId="2" borderId="59" xfId="6" applyFont="1" applyFill="1" applyBorder="1" applyAlignment="1">
      <alignment horizontal="center"/>
    </xf>
    <xf numFmtId="0" fontId="43" fillId="2" borderId="43" xfId="6" applyFont="1" applyFill="1" applyBorder="1" applyAlignment="1">
      <alignment horizontal="center"/>
    </xf>
    <xf numFmtId="0" fontId="43" fillId="2" borderId="3" xfId="6" applyFont="1" applyFill="1" applyBorder="1" applyAlignment="1">
      <alignment horizontal="right"/>
    </xf>
    <xf numFmtId="49" fontId="53" fillId="2" borderId="4" xfId="6" applyNumberFormat="1" applyFont="1" applyFill="1" applyBorder="1" applyAlignment="1">
      <alignment horizontal="center"/>
    </xf>
    <xf numFmtId="0" fontId="43" fillId="2" borderId="54" xfId="6" applyFont="1" applyFill="1" applyBorder="1" applyAlignment="1">
      <alignment horizontal="right" vertical="top" wrapText="1"/>
    </xf>
    <xf numFmtId="14" fontId="53" fillId="2" borderId="31" xfId="6" applyNumberFormat="1" applyFont="1" applyFill="1" applyBorder="1" applyAlignment="1">
      <alignment horizontal="center" vertical="center" wrapText="1"/>
    </xf>
    <xf numFmtId="0" fontId="53" fillId="2" borderId="11" xfId="6" applyFont="1" applyFill="1" applyBorder="1" applyAlignment="1">
      <alignment horizontal="right"/>
    </xf>
    <xf numFmtId="0" fontId="53" fillId="2" borderId="30" xfId="6" applyFont="1" applyFill="1" applyBorder="1" applyAlignment="1">
      <alignment horizontal="left"/>
    </xf>
    <xf numFmtId="0" fontId="53" fillId="2" borderId="52" xfId="6" applyFont="1" applyFill="1" applyBorder="1" applyAlignment="1">
      <alignment horizontal="left"/>
    </xf>
    <xf numFmtId="0" fontId="53" fillId="2" borderId="44" xfId="6" applyFont="1" applyFill="1" applyBorder="1" applyAlignment="1">
      <alignment horizontal="left"/>
    </xf>
    <xf numFmtId="0" fontId="43" fillId="2" borderId="55" xfId="6" applyFont="1" applyFill="1" applyBorder="1" applyAlignment="1">
      <alignment horizontal="right" vertical="top" wrapText="1"/>
    </xf>
    <xf numFmtId="14" fontId="53" fillId="2" borderId="48" xfId="6" applyNumberFormat="1" applyFont="1" applyFill="1" applyBorder="1" applyAlignment="1">
      <alignment horizontal="center" vertical="center" wrapText="1"/>
    </xf>
    <xf numFmtId="0" fontId="53" fillId="2" borderId="33" xfId="6" applyFont="1" applyFill="1" applyBorder="1" applyAlignment="1">
      <alignment horizontal="center"/>
    </xf>
    <xf numFmtId="0" fontId="53" fillId="2" borderId="40" xfId="6" applyFont="1" applyFill="1" applyBorder="1" applyAlignment="1">
      <alignment horizontal="center"/>
    </xf>
    <xf numFmtId="0" fontId="53" fillId="2" borderId="3" xfId="6" applyFont="1" applyFill="1" applyBorder="1" applyAlignment="1">
      <alignment horizontal="right"/>
    </xf>
    <xf numFmtId="0" fontId="53" fillId="2" borderId="28" xfId="6" applyFont="1" applyFill="1" applyBorder="1" applyAlignment="1">
      <alignment horizontal="left"/>
    </xf>
    <xf numFmtId="0" fontId="53" fillId="2" borderId="45" xfId="6" applyFont="1" applyFill="1" applyBorder="1" applyAlignment="1">
      <alignment horizontal="left"/>
    </xf>
    <xf numFmtId="0" fontId="53" fillId="2" borderId="39" xfId="6" applyFont="1" applyFill="1" applyBorder="1" applyAlignment="1">
      <alignment horizontal="left"/>
    </xf>
    <xf numFmtId="0" fontId="43" fillId="2" borderId="56" xfId="6" applyFont="1" applyFill="1" applyBorder="1" applyAlignment="1">
      <alignment horizontal="right" vertical="top" wrapText="1"/>
    </xf>
    <xf numFmtId="14" fontId="53" fillId="2" borderId="13" xfId="6" applyNumberFormat="1" applyFont="1" applyFill="1" applyBorder="1" applyAlignment="1">
      <alignment horizontal="center" vertical="center" wrapText="1"/>
    </xf>
    <xf numFmtId="0" fontId="54" fillId="2" borderId="26" xfId="6" applyFont="1" applyFill="1" applyBorder="1" applyAlignment="1">
      <alignment horizontal="center"/>
    </xf>
    <xf numFmtId="14" fontId="54" fillId="2" borderId="0" xfId="6" applyNumberFormat="1" applyFont="1" applyFill="1" applyAlignment="1">
      <alignment horizontal="center" vertical="center" wrapText="1"/>
    </xf>
    <xf numFmtId="0" fontId="43" fillId="3" borderId="35" xfId="3" applyFont="1" applyFill="1" applyBorder="1" applyAlignment="1">
      <alignment horizontal="center" vertical="center"/>
    </xf>
    <xf numFmtId="0" fontId="43" fillId="3" borderId="35" xfId="3" applyFont="1" applyFill="1" applyBorder="1" applyAlignment="1">
      <alignment horizontal="center" vertical="center" wrapText="1"/>
    </xf>
    <xf numFmtId="0" fontId="43" fillId="3" borderId="1" xfId="3" applyFont="1" applyFill="1" applyBorder="1" applyAlignment="1">
      <alignment horizontal="center" vertical="center"/>
    </xf>
    <xf numFmtId="0" fontId="43" fillId="3" borderId="2" xfId="3" applyFont="1" applyFill="1" applyBorder="1" applyAlignment="1">
      <alignment horizontal="center" vertical="center" wrapText="1"/>
    </xf>
    <xf numFmtId="0" fontId="43" fillId="3" borderId="36" xfId="3" applyFont="1" applyFill="1" applyBorder="1" applyAlignment="1">
      <alignment horizontal="center" vertical="center"/>
    </xf>
    <xf numFmtId="0" fontId="43" fillId="3" borderId="36" xfId="3" applyFont="1" applyFill="1" applyBorder="1" applyAlignment="1">
      <alignment horizontal="center" vertical="center" wrapText="1"/>
    </xf>
    <xf numFmtId="0" fontId="43" fillId="3" borderId="5" xfId="3" applyFont="1" applyFill="1" applyBorder="1" applyAlignment="1">
      <alignment horizontal="center" vertical="center"/>
    </xf>
    <xf numFmtId="1" fontId="43" fillId="3" borderId="5" xfId="3" applyNumberFormat="1" applyFont="1" applyFill="1" applyBorder="1" applyAlignment="1">
      <alignment horizontal="center"/>
    </xf>
    <xf numFmtId="1" fontId="43" fillId="3" borderId="5" xfId="3" applyNumberFormat="1" applyFont="1" applyFill="1" applyBorder="1" applyAlignment="1">
      <alignment horizontal="center" wrapText="1"/>
    </xf>
    <xf numFmtId="0" fontId="43" fillId="3" borderId="14" xfId="3" applyFont="1" applyFill="1" applyBorder="1" applyAlignment="1">
      <alignment horizontal="center"/>
    </xf>
    <xf numFmtId="0" fontId="55" fillId="0" borderId="25" xfId="3" applyFont="1" applyBorder="1" applyAlignment="1">
      <alignment horizontal="center" vertical="center"/>
    </xf>
    <xf numFmtId="0" fontId="55" fillId="0" borderId="39" xfId="3" applyFont="1" applyBorder="1" applyAlignment="1">
      <alignment horizontal="center" vertical="center"/>
    </xf>
    <xf numFmtId="0" fontId="56" fillId="0" borderId="3" xfId="3" applyFont="1" applyBorder="1" applyAlignment="1">
      <alignment vertical="center"/>
    </xf>
    <xf numFmtId="0" fontId="55" fillId="0" borderId="3" xfId="3" applyFont="1" applyBorder="1" applyAlignment="1">
      <alignment horizontal="center" vertical="center"/>
    </xf>
    <xf numFmtId="1" fontId="55" fillId="0" borderId="3" xfId="3" applyNumberFormat="1" applyFont="1" applyBorder="1" applyAlignment="1">
      <alignment horizontal="center"/>
    </xf>
    <xf numFmtId="1" fontId="55" fillId="0" borderId="3" xfId="3" applyNumberFormat="1" applyFont="1" applyBorder="1" applyAlignment="1">
      <alignment horizontal="center" wrapText="1"/>
    </xf>
    <xf numFmtId="0" fontId="57" fillId="0" borderId="4" xfId="3" applyFont="1" applyBorder="1" applyAlignment="1">
      <alignment horizontal="center"/>
    </xf>
    <xf numFmtId="0" fontId="58" fillId="0" borderId="62" xfId="3" applyFont="1" applyBorder="1" applyAlignment="1">
      <alignment horizontal="center" vertical="center"/>
    </xf>
    <xf numFmtId="0" fontId="58" fillId="0" borderId="3" xfId="3" applyFont="1" applyBorder="1" applyAlignment="1">
      <alignment horizontal="center" vertical="center"/>
    </xf>
    <xf numFmtId="0" fontId="58" fillId="0" borderId="63" xfId="3" applyFont="1" applyBorder="1" applyAlignment="1">
      <alignment horizontal="left" vertical="center"/>
    </xf>
    <xf numFmtId="0" fontId="53" fillId="0" borderId="11" xfId="3" applyFont="1" applyBorder="1" applyAlignment="1">
      <alignment horizontal="center"/>
    </xf>
    <xf numFmtId="1" fontId="53" fillId="0" borderId="3" xfId="3" applyNumberFormat="1" applyFont="1" applyBorder="1" applyAlignment="1">
      <alignment horizontal="center"/>
    </xf>
    <xf numFmtId="1" fontId="53" fillId="0" borderId="3" xfId="3" applyNumberFormat="1" applyFont="1" applyBorder="1" applyAlignment="1">
      <alignment horizontal="center" wrapText="1"/>
    </xf>
    <xf numFmtId="0" fontId="53" fillId="0" borderId="11" xfId="0" applyFont="1" applyBorder="1" applyAlignment="1">
      <alignment horizontal="center" wrapText="1"/>
    </xf>
    <xf numFmtId="12" fontId="53" fillId="0" borderId="11" xfId="0" applyNumberFormat="1" applyFont="1" applyBorder="1" applyAlignment="1">
      <alignment horizontal="center"/>
    </xf>
    <xf numFmtId="0" fontId="58" fillId="0" borderId="3" xfId="0" applyFont="1" applyBorder="1" applyAlignment="1">
      <alignment horizontal="center"/>
    </xf>
    <xf numFmtId="0" fontId="53" fillId="0" borderId="28" xfId="3" quotePrefix="1" applyFont="1" applyBorder="1" applyAlignment="1">
      <alignment horizontal="center"/>
    </xf>
    <xf numFmtId="0" fontId="53" fillId="0" borderId="3" xfId="3" quotePrefix="1" applyFont="1" applyBorder="1" applyAlignment="1">
      <alignment horizontal="center"/>
    </xf>
    <xf numFmtId="0" fontId="53" fillId="0" borderId="39" xfId="3" quotePrefix="1" applyFont="1" applyBorder="1"/>
    <xf numFmtId="0" fontId="53" fillId="0" borderId="3" xfId="3" applyFont="1" applyBorder="1" applyAlignment="1">
      <alignment horizontal="center"/>
    </xf>
    <xf numFmtId="0" fontId="53" fillId="0" borderId="3" xfId="0" applyFont="1" applyBorder="1" applyAlignment="1">
      <alignment horizontal="center"/>
    </xf>
    <xf numFmtId="0" fontId="58" fillId="0" borderId="3" xfId="0" applyFont="1" applyBorder="1" applyAlignment="1">
      <alignment horizontal="left"/>
    </xf>
    <xf numFmtId="0" fontId="57" fillId="0" borderId="3" xfId="0" applyFont="1" applyBorder="1" applyAlignment="1">
      <alignment horizontal="center"/>
    </xf>
    <xf numFmtId="0" fontId="59" fillId="0" borderId="3" xfId="0" applyFont="1" applyBorder="1" applyAlignment="1">
      <alignment horizontal="center" vertical="center"/>
    </xf>
    <xf numFmtId="0" fontId="55" fillId="0" borderId="3" xfId="0" applyFont="1" applyBorder="1"/>
    <xf numFmtId="0" fontId="58" fillId="0" borderId="3" xfId="0" applyFont="1" applyBorder="1"/>
    <xf numFmtId="49" fontId="57" fillId="0" borderId="25" xfId="3" applyNumberFormat="1" applyFont="1" applyBorder="1" applyAlignment="1">
      <alignment horizontal="center"/>
    </xf>
    <xf numFmtId="49" fontId="57" fillId="0" borderId="39" xfId="3" applyNumberFormat="1" applyFont="1" applyBorder="1" applyAlignment="1">
      <alignment horizontal="center"/>
    </xf>
    <xf numFmtId="0" fontId="55" fillId="9" borderId="3" xfId="3" applyFont="1" applyFill="1" applyBorder="1" applyAlignment="1">
      <alignment horizontal="left"/>
    </xf>
    <xf numFmtId="1" fontId="58" fillId="0" borderId="3" xfId="0" applyNumberFormat="1" applyFont="1" applyBorder="1"/>
    <xf numFmtId="0" fontId="53" fillId="9" borderId="3" xfId="3" applyFont="1" applyFill="1" applyBorder="1" applyAlignment="1">
      <alignment horizontal="center"/>
    </xf>
    <xf numFmtId="0" fontId="57" fillId="0" borderId="3" xfId="3" applyFont="1" applyBorder="1" applyAlignment="1">
      <alignment horizontal="center"/>
    </xf>
    <xf numFmtId="165" fontId="57" fillId="0" borderId="3" xfId="3" applyNumberFormat="1" applyFont="1" applyBorder="1" applyAlignment="1">
      <alignment horizontal="center"/>
    </xf>
    <xf numFmtId="1" fontId="57" fillId="0" borderId="3" xfId="3" applyNumberFormat="1" applyFont="1" applyBorder="1" applyAlignment="1">
      <alignment horizontal="center" wrapText="1"/>
    </xf>
    <xf numFmtId="0" fontId="60" fillId="9" borderId="25" xfId="0" applyFont="1" applyFill="1" applyBorder="1" applyAlignment="1">
      <alignment horizontal="center"/>
    </xf>
    <xf numFmtId="0" fontId="60" fillId="9" borderId="24" xfId="0" applyFont="1" applyFill="1" applyBorder="1" applyAlignment="1">
      <alignment horizontal="center"/>
    </xf>
    <xf numFmtId="0" fontId="60" fillId="9" borderId="11" xfId="0" applyFont="1" applyFill="1" applyBorder="1"/>
    <xf numFmtId="0" fontId="53" fillId="9" borderId="39" xfId="0" applyFont="1" applyFill="1" applyBorder="1" applyAlignment="1">
      <alignment horizontal="center"/>
    </xf>
    <xf numFmtId="1" fontId="53" fillId="9" borderId="11" xfId="0" applyNumberFormat="1" applyFont="1" applyFill="1" applyBorder="1" applyAlignment="1">
      <alignment horizontal="center"/>
    </xf>
    <xf numFmtId="1" fontId="53" fillId="9" borderId="11" xfId="0" applyNumberFormat="1" applyFont="1" applyFill="1" applyBorder="1" applyAlignment="1">
      <alignment horizontal="center" wrapText="1"/>
    </xf>
    <xf numFmtId="49" fontId="53" fillId="9" borderId="11" xfId="0" applyNumberFormat="1" applyFont="1" applyFill="1" applyBorder="1" applyAlignment="1">
      <alignment horizontal="center"/>
    </xf>
    <xf numFmtId="1" fontId="53" fillId="9" borderId="3" xfId="3" applyNumberFormat="1" applyFont="1" applyFill="1" applyBorder="1" applyAlignment="1">
      <alignment horizontal="center"/>
    </xf>
    <xf numFmtId="1" fontId="53" fillId="9" borderId="3" xfId="3" applyNumberFormat="1" applyFont="1" applyFill="1" applyBorder="1" applyAlignment="1">
      <alignment horizontal="center" wrapText="1"/>
    </xf>
    <xf numFmtId="16" fontId="53" fillId="0" borderId="3" xfId="0" applyNumberFormat="1" applyFont="1" applyBorder="1" applyAlignment="1">
      <alignment horizontal="center"/>
    </xf>
    <xf numFmtId="1" fontId="53" fillId="0" borderId="3" xfId="0" applyNumberFormat="1" applyFont="1" applyBorder="1" applyAlignment="1">
      <alignment horizontal="center"/>
    </xf>
    <xf numFmtId="1" fontId="53" fillId="0" borderId="3" xfId="0" applyNumberFormat="1" applyFont="1" applyBorder="1" applyAlignment="1">
      <alignment horizontal="center" wrapText="1"/>
    </xf>
    <xf numFmtId="49" fontId="55" fillId="0" borderId="38" xfId="3" applyNumberFormat="1" applyFont="1" applyBorder="1" applyAlignment="1">
      <alignment horizontal="center"/>
    </xf>
    <xf numFmtId="49" fontId="55" fillId="0" borderId="45" xfId="3" applyNumberFormat="1" applyFont="1" applyBorder="1" applyAlignment="1">
      <alignment horizontal="center"/>
    </xf>
    <xf numFmtId="0" fontId="56" fillId="9" borderId="3" xfId="3" applyFont="1" applyFill="1" applyBorder="1" applyAlignment="1">
      <alignment vertical="center"/>
    </xf>
    <xf numFmtId="0" fontId="55" fillId="0" borderId="39" xfId="3" applyFont="1" applyBorder="1" applyAlignment="1">
      <alignment horizontal="center"/>
    </xf>
    <xf numFmtId="165" fontId="55" fillId="0" borderId="3" xfId="3" applyNumberFormat="1" applyFont="1" applyBorder="1" applyAlignment="1">
      <alignment horizontal="center"/>
    </xf>
    <xf numFmtId="0" fontId="58" fillId="0" borderId="0" xfId="0" applyFont="1"/>
    <xf numFmtId="49" fontId="57" fillId="0" borderId="25" xfId="0" applyNumberFormat="1" applyFont="1" applyBorder="1" applyAlignment="1">
      <alignment horizontal="center"/>
    </xf>
    <xf numFmtId="49" fontId="57" fillId="0" borderId="39" xfId="0" applyNumberFormat="1" applyFont="1" applyBorder="1" applyAlignment="1">
      <alignment horizontal="center"/>
    </xf>
    <xf numFmtId="49" fontId="55" fillId="0" borderId="3" xfId="0" applyNumberFormat="1" applyFont="1" applyBorder="1"/>
    <xf numFmtId="1" fontId="57" fillId="0" borderId="3" xfId="0" applyNumberFormat="1" applyFont="1" applyBorder="1" applyAlignment="1">
      <alignment horizontal="center"/>
    </xf>
    <xf numFmtId="1" fontId="57" fillId="0" borderId="3" xfId="0" applyNumberFormat="1" applyFont="1" applyBorder="1" applyAlignment="1">
      <alignment horizontal="center" wrapText="1"/>
    </xf>
    <xf numFmtId="170" fontId="43" fillId="9" borderId="3" xfId="1" applyNumberFormat="1" applyFont="1" applyFill="1" applyBorder="1" applyAlignment="1">
      <alignment horizontal="center"/>
    </xf>
    <xf numFmtId="0" fontId="59" fillId="0" borderId="25" xfId="0" applyFont="1" applyBorder="1" applyAlignment="1">
      <alignment horizontal="center"/>
    </xf>
    <xf numFmtId="0" fontId="59" fillId="0" borderId="39" xfId="0" applyFont="1" applyBorder="1" applyAlignment="1">
      <alignment horizontal="center"/>
    </xf>
    <xf numFmtId="0" fontId="59" fillId="0" borderId="3" xfId="0" applyFont="1" applyBorder="1"/>
    <xf numFmtId="0" fontId="58" fillId="0" borderId="3" xfId="0" applyFont="1" applyBorder="1" applyAlignment="1">
      <alignment horizontal="center" vertical="center"/>
    </xf>
    <xf numFmtId="0" fontId="58" fillId="0" borderId="3" xfId="0" applyFont="1" applyBorder="1" applyAlignment="1">
      <alignment horizontal="left" vertical="center"/>
    </xf>
    <xf numFmtId="12" fontId="57" fillId="0" borderId="3" xfId="3" applyNumberFormat="1" applyFont="1" applyBorder="1" applyAlignment="1">
      <alignment horizontal="center"/>
    </xf>
    <xf numFmtId="1" fontId="57" fillId="0" borderId="3" xfId="3" applyNumberFormat="1" applyFont="1" applyBorder="1" applyAlignment="1">
      <alignment horizontal="center"/>
    </xf>
    <xf numFmtId="0" fontId="53" fillId="0" borderId="3" xfId="0" quotePrefix="1" applyFont="1" applyBorder="1" applyAlignment="1">
      <alignment horizontal="center"/>
    </xf>
    <xf numFmtId="0" fontId="53" fillId="0" borderId="3" xfId="0" quotePrefix="1" applyFont="1" applyBorder="1"/>
    <xf numFmtId="49" fontId="57" fillId="0" borderId="3" xfId="0" applyNumberFormat="1" applyFont="1" applyBorder="1" applyAlignment="1">
      <alignment horizontal="center"/>
    </xf>
    <xf numFmtId="49" fontId="57" fillId="0" borderId="3" xfId="0" applyNumberFormat="1" applyFont="1" applyBorder="1"/>
    <xf numFmtId="16" fontId="57" fillId="0" borderId="3" xfId="0" applyNumberFormat="1" applyFont="1" applyBorder="1" applyAlignment="1">
      <alignment horizontal="center"/>
    </xf>
    <xf numFmtId="49" fontId="57" fillId="0" borderId="3" xfId="3" applyNumberFormat="1" applyFont="1" applyBorder="1"/>
    <xf numFmtId="49" fontId="61" fillId="2" borderId="6" xfId="3" applyNumberFormat="1" applyFont="1" applyFill="1" applyBorder="1" applyAlignment="1">
      <alignment horizontal="center" vertical="center"/>
    </xf>
    <xf numFmtId="49" fontId="61" fillId="2" borderId="0" xfId="3" applyNumberFormat="1" applyFont="1" applyFill="1" applyAlignment="1">
      <alignment horizontal="center" vertical="center"/>
    </xf>
    <xf numFmtId="0" fontId="53" fillId="2" borderId="0" xfId="3" applyFont="1" applyFill="1"/>
    <xf numFmtId="1" fontId="53" fillId="2" borderId="0" xfId="3" applyNumberFormat="1" applyFont="1" applyFill="1" applyAlignment="1">
      <alignment horizontal="center"/>
    </xf>
    <xf numFmtId="164" fontId="53" fillId="2" borderId="0" xfId="3" applyNumberFormat="1" applyFont="1" applyFill="1" applyAlignment="1">
      <alignment horizontal="center" wrapText="1"/>
    </xf>
    <xf numFmtId="0" fontId="53" fillId="2" borderId="7" xfId="3" applyFont="1" applyFill="1" applyBorder="1" applyAlignment="1">
      <alignment horizontal="center"/>
    </xf>
    <xf numFmtId="0" fontId="53" fillId="3" borderId="8" xfId="3" applyFont="1" applyFill="1" applyBorder="1" applyAlignment="1">
      <alignment horizontal="center"/>
    </xf>
    <xf numFmtId="0" fontId="53" fillId="3" borderId="9" xfId="3" applyFont="1" applyFill="1" applyBorder="1" applyAlignment="1">
      <alignment horizontal="center"/>
    </xf>
    <xf numFmtId="0" fontId="53" fillId="3" borderId="9" xfId="3" applyFont="1" applyFill="1" applyBorder="1"/>
    <xf numFmtId="0" fontId="43" fillId="3" borderId="9" xfId="3" applyFont="1" applyFill="1" applyBorder="1" applyAlignment="1">
      <alignment horizontal="center"/>
    </xf>
    <xf numFmtId="1" fontId="43" fillId="3" borderId="9" xfId="3" applyNumberFormat="1" applyFont="1" applyFill="1" applyBorder="1" applyAlignment="1">
      <alignment horizontal="center"/>
    </xf>
    <xf numFmtId="164" fontId="53" fillId="3" borderId="9" xfId="3" applyNumberFormat="1" applyFont="1" applyFill="1" applyBorder="1" applyAlignment="1">
      <alignment horizontal="center" wrapText="1"/>
    </xf>
    <xf numFmtId="0" fontId="53" fillId="3" borderId="10" xfId="3" applyFont="1" applyFill="1" applyBorder="1" applyAlignment="1">
      <alignment horizontal="center"/>
    </xf>
    <xf numFmtId="0" fontId="43" fillId="0" borderId="33" xfId="3" applyFont="1" applyBorder="1" applyAlignment="1">
      <alignment horizontal="right"/>
    </xf>
    <xf numFmtId="0" fontId="43" fillId="0" borderId="40" xfId="3" applyFont="1" applyBorder="1" applyAlignment="1">
      <alignment horizontal="right"/>
    </xf>
    <xf numFmtId="0" fontId="43" fillId="0" borderId="24" xfId="3" applyFont="1" applyBorder="1" applyAlignment="1">
      <alignment horizontal="right"/>
    </xf>
    <xf numFmtId="1" fontId="53" fillId="0" borderId="11" xfId="0" applyNumberFormat="1" applyFont="1" applyBorder="1" applyAlignment="1">
      <alignment horizontal="center"/>
    </xf>
    <xf numFmtId="0" fontId="53" fillId="0" borderId="12" xfId="0" applyFont="1" applyBorder="1" applyAlignment="1">
      <alignment horizontal="center"/>
    </xf>
    <xf numFmtId="164" fontId="53" fillId="0" borderId="11" xfId="3" applyNumberFormat="1" applyFont="1" applyBorder="1" applyAlignment="1">
      <alignment horizontal="right"/>
    </xf>
    <xf numFmtId="0" fontId="53" fillId="2" borderId="12" xfId="3" applyFont="1" applyFill="1" applyBorder="1" applyAlignment="1">
      <alignment horizontal="center"/>
    </xf>
    <xf numFmtId="0" fontId="53" fillId="2" borderId="34" xfId="3" applyFont="1" applyFill="1" applyBorder="1" applyAlignment="1">
      <alignment horizontal="center"/>
    </xf>
    <xf numFmtId="0" fontId="43" fillId="0" borderId="38" xfId="3" applyFont="1" applyBorder="1" applyAlignment="1">
      <alignment horizontal="right"/>
    </xf>
    <xf numFmtId="0" fontId="43" fillId="0" borderId="45" xfId="3" applyFont="1" applyBorder="1" applyAlignment="1">
      <alignment horizontal="right"/>
    </xf>
    <xf numFmtId="0" fontId="43" fillId="0" borderId="39" xfId="3" applyFont="1" applyBorder="1" applyAlignment="1">
      <alignment horizontal="right"/>
    </xf>
    <xf numFmtId="0" fontId="53" fillId="0" borderId="3" xfId="3" applyFont="1" applyBorder="1" applyAlignment="1">
      <alignment horizontal="right"/>
    </xf>
    <xf numFmtId="164" fontId="53" fillId="0" borderId="28" xfId="3" applyNumberFormat="1" applyFont="1" applyBorder="1" applyAlignment="1">
      <alignment horizontal="center"/>
    </xf>
    <xf numFmtId="164" fontId="53" fillId="0" borderId="29" xfId="3" applyNumberFormat="1" applyFont="1" applyBorder="1" applyAlignment="1">
      <alignment horizontal="center"/>
    </xf>
    <xf numFmtId="164" fontId="53" fillId="0" borderId="28" xfId="3" applyNumberFormat="1" applyFont="1" applyBorder="1" applyAlignment="1">
      <alignment horizontal="right" wrapText="1"/>
    </xf>
    <xf numFmtId="164" fontId="53" fillId="0" borderId="39" xfId="3" applyNumberFormat="1" applyFont="1" applyBorder="1" applyAlignment="1">
      <alignment horizontal="right" wrapText="1"/>
    </xf>
    <xf numFmtId="164" fontId="53" fillId="0" borderId="28" xfId="0" applyNumberFormat="1" applyFont="1" applyBorder="1" applyAlignment="1">
      <alignment horizontal="center" wrapText="1"/>
    </xf>
    <xf numFmtId="164" fontId="53" fillId="0" borderId="29" xfId="0" applyNumberFormat="1" applyFont="1" applyBorder="1" applyAlignment="1">
      <alignment horizontal="center" wrapText="1"/>
    </xf>
    <xf numFmtId="0" fontId="43" fillId="0" borderId="36" xfId="3" applyFont="1" applyBorder="1" applyAlignment="1">
      <alignment horizontal="right"/>
    </xf>
    <xf numFmtId="0" fontId="43" fillId="0" borderId="43" xfId="3" applyFont="1" applyBorder="1" applyAlignment="1">
      <alignment horizontal="right"/>
    </xf>
    <xf numFmtId="0" fontId="43" fillId="0" borderId="5" xfId="3" applyFont="1" applyBorder="1" applyAlignment="1">
      <alignment horizontal="right"/>
    </xf>
    <xf numFmtId="1" fontId="53" fillId="0" borderId="5" xfId="0" applyNumberFormat="1" applyFont="1" applyBorder="1" applyAlignment="1">
      <alignment horizontal="center"/>
    </xf>
    <xf numFmtId="0" fontId="53" fillId="0" borderId="5" xfId="0" applyFont="1" applyBorder="1" applyAlignment="1">
      <alignment horizontal="center"/>
    </xf>
    <xf numFmtId="0" fontId="53" fillId="0" borderId="5" xfId="3" applyFont="1" applyBorder="1" applyAlignment="1">
      <alignment horizontal="right"/>
    </xf>
    <xf numFmtId="0" fontId="43" fillId="3" borderId="8" xfId="3" applyFont="1" applyFill="1" applyBorder="1" applyAlignment="1">
      <alignment horizontal="left"/>
    </xf>
    <xf numFmtId="0" fontId="43" fillId="3" borderId="9" xfId="3" applyFont="1" applyFill="1" applyBorder="1" applyAlignment="1">
      <alignment horizontal="left"/>
    </xf>
    <xf numFmtId="0" fontId="43" fillId="3" borderId="10" xfId="3" applyFont="1" applyFill="1" applyBorder="1" applyAlignment="1">
      <alignment horizontal="left"/>
    </xf>
    <xf numFmtId="0" fontId="53" fillId="0" borderId="35" xfId="5" applyFont="1" applyBorder="1" applyAlignment="1">
      <alignment horizontal="left"/>
    </xf>
    <xf numFmtId="0" fontId="53" fillId="0" borderId="44" xfId="5" applyFont="1" applyBorder="1" applyAlignment="1">
      <alignment horizontal="left"/>
    </xf>
    <xf numFmtId="0" fontId="53" fillId="0" borderId="1" xfId="5" applyFont="1" applyBorder="1" applyAlignment="1">
      <alignment horizontal="left"/>
    </xf>
    <xf numFmtId="0" fontId="53" fillId="0" borderId="2" xfId="5" applyFont="1" applyBorder="1" applyAlignment="1">
      <alignment horizontal="left"/>
    </xf>
    <xf numFmtId="0" fontId="53" fillId="0" borderId="25" xfId="5" applyFont="1" applyBorder="1" applyAlignment="1">
      <alignment horizontal="left" wrapText="1"/>
    </xf>
    <xf numFmtId="0" fontId="53" fillId="0" borderId="39" xfId="5" applyFont="1" applyBorder="1" applyAlignment="1">
      <alignment horizontal="left" wrapText="1"/>
    </xf>
    <xf numFmtId="0" fontId="53" fillId="0" borderId="3" xfId="5" applyFont="1" applyBorder="1" applyAlignment="1">
      <alignment horizontal="left" wrapText="1"/>
    </xf>
    <xf numFmtId="0" fontId="53" fillId="0" borderId="4" xfId="5" applyFont="1" applyBorder="1" applyAlignment="1">
      <alignment horizontal="left" wrapText="1"/>
    </xf>
    <xf numFmtId="0" fontId="53" fillId="0" borderId="25" xfId="5" applyFont="1" applyBorder="1" applyAlignment="1">
      <alignment horizontal="left"/>
    </xf>
    <xf numFmtId="0" fontId="53" fillId="0" borderId="39" xfId="5" applyFont="1" applyBorder="1" applyAlignment="1">
      <alignment horizontal="left"/>
    </xf>
    <xf numFmtId="0" fontId="53" fillId="0" borderId="3" xfId="5" applyFont="1" applyBorder="1" applyAlignment="1">
      <alignment horizontal="left"/>
    </xf>
    <xf numFmtId="0" fontId="53" fillId="0" borderId="4" xfId="5" applyFont="1" applyBorder="1" applyAlignment="1">
      <alignment horizontal="left"/>
    </xf>
    <xf numFmtId="0" fontId="53" fillId="0" borderId="38" xfId="5" applyFont="1" applyBorder="1" applyAlignment="1">
      <alignment horizontal="left" vertical="center" wrapText="1"/>
    </xf>
    <xf numFmtId="0" fontId="53" fillId="0" borderId="45" xfId="5" applyFont="1" applyBorder="1" applyAlignment="1">
      <alignment horizontal="left" vertical="center" wrapText="1"/>
    </xf>
    <xf numFmtId="0" fontId="53" fillId="0" borderId="29" xfId="5" applyFont="1" applyBorder="1" applyAlignment="1">
      <alignment horizontal="left" vertical="center" wrapText="1"/>
    </xf>
    <xf numFmtId="0" fontId="43" fillId="0" borderId="33" xfId="3" applyFont="1" applyBorder="1" applyAlignment="1">
      <alignment horizontal="left" wrapText="1"/>
    </xf>
    <xf numFmtId="0" fontId="43" fillId="0" borderId="40" xfId="3" applyFont="1" applyBorder="1" applyAlignment="1">
      <alignment horizontal="left" wrapText="1"/>
    </xf>
    <xf numFmtId="0" fontId="43" fillId="0" borderId="34" xfId="3" applyFont="1" applyBorder="1" applyAlignment="1">
      <alignment horizontal="left" wrapText="1"/>
    </xf>
    <xf numFmtId="0" fontId="4" fillId="0" borderId="33" xfId="3" applyFont="1" applyBorder="1" applyAlignment="1">
      <alignment horizontal="left" wrapText="1"/>
    </xf>
    <xf numFmtId="0" fontId="4" fillId="0" borderId="40" xfId="3" applyFont="1" applyBorder="1" applyAlignment="1">
      <alignment horizontal="left" wrapText="1"/>
    </xf>
    <xf numFmtId="0" fontId="4" fillId="0" borderId="34" xfId="3" applyFont="1" applyBorder="1" applyAlignment="1">
      <alignment horizontal="left" wrapText="1"/>
    </xf>
    <xf numFmtId="0" fontId="58" fillId="0" borderId="33" xfId="3" applyFont="1" applyBorder="1" applyAlignment="1">
      <alignment horizontal="left"/>
    </xf>
    <xf numFmtId="0" fontId="58" fillId="0" borderId="40" xfId="3" applyFont="1" applyBorder="1" applyAlignment="1">
      <alignment horizontal="left"/>
    </xf>
    <xf numFmtId="0" fontId="58" fillId="0" borderId="34" xfId="3" applyFont="1" applyBorder="1" applyAlignment="1">
      <alignment horizontal="left"/>
    </xf>
    <xf numFmtId="0" fontId="43" fillId="16" borderId="64" xfId="6" applyFont="1" applyFill="1" applyBorder="1" applyAlignment="1">
      <alignment horizontal="center"/>
    </xf>
    <xf numFmtId="0" fontId="43" fillId="16" borderId="50" xfId="6" applyFont="1" applyFill="1" applyBorder="1" applyAlignment="1">
      <alignment horizontal="center"/>
    </xf>
    <xf numFmtId="0" fontId="53" fillId="2" borderId="65" xfId="6" applyFont="1" applyFill="1" applyBorder="1" applyAlignment="1">
      <alignment horizontal="left"/>
    </xf>
    <xf numFmtId="0" fontId="53" fillId="2" borderId="0" xfId="6" applyFont="1" applyFill="1" applyAlignment="1">
      <alignment horizontal="left"/>
    </xf>
  </cellXfs>
  <cellStyles count="8">
    <cellStyle name="Millares" xfId="1" builtinId="3"/>
    <cellStyle name="Millares [0]" xfId="2" builtinId="6"/>
    <cellStyle name="Normal" xfId="0" builtinId="0"/>
    <cellStyle name="Normal 2" xfId="3" xr:uid="{B370066E-0AD4-467C-85CD-36C02CE570B8}"/>
    <cellStyle name="Normal 3" xfId="4" xr:uid="{A5DFCF19-F6A8-4FEC-87D5-FC06798CCEE7}"/>
    <cellStyle name="Normal 4" xfId="5" xr:uid="{14B56070-5AFB-485B-AA40-560C2097B3FE}"/>
    <cellStyle name="Normal_CRITERIOS DE EVALUACION PT DE GB 2" xfId="6" xr:uid="{78048AE8-AE23-47A0-926D-97054E4FC603}"/>
    <cellStyle name="Porcentaje 2" xfId="7" xr:uid="{5967043F-7A10-46FF-882C-09DD28466C6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1507" name="Picture 2">
          <a:extLst>
            <a:ext uri="{FF2B5EF4-FFF2-40B4-BE49-F238E27FC236}">
              <a16:creationId xmlns:a16="http://schemas.microsoft.com/office/drawing/2014/main" id="{15150A90-820A-711E-695B-A8871CBBF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1508" name="Picture 3">
          <a:extLst>
            <a:ext uri="{FF2B5EF4-FFF2-40B4-BE49-F238E27FC236}">
              <a16:creationId xmlns:a16="http://schemas.microsoft.com/office/drawing/2014/main" id="{897DB4B6-C59B-5C53-E567-DDB70F166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1509" name="Picture 5">
          <a:extLst>
            <a:ext uri="{FF2B5EF4-FFF2-40B4-BE49-F238E27FC236}">
              <a16:creationId xmlns:a16="http://schemas.microsoft.com/office/drawing/2014/main" id="{0753ED52-F74B-91A9-1778-2D46A15B3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1510" name="Picture 6">
          <a:extLst>
            <a:ext uri="{FF2B5EF4-FFF2-40B4-BE49-F238E27FC236}">
              <a16:creationId xmlns:a16="http://schemas.microsoft.com/office/drawing/2014/main" id="{3FCF3B6C-ABC4-3157-C497-759A01E24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1511" name="Picture 7">
          <a:extLst>
            <a:ext uri="{FF2B5EF4-FFF2-40B4-BE49-F238E27FC236}">
              <a16:creationId xmlns:a16="http://schemas.microsoft.com/office/drawing/2014/main" id="{9108782C-3F81-D17A-24E6-D751F10F9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1512" name="Picture 8">
          <a:extLst>
            <a:ext uri="{FF2B5EF4-FFF2-40B4-BE49-F238E27FC236}">
              <a16:creationId xmlns:a16="http://schemas.microsoft.com/office/drawing/2014/main" id="{F4626DDC-817B-848B-D6F6-AFF6B6824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1513" name="Picture 9">
          <a:extLst>
            <a:ext uri="{FF2B5EF4-FFF2-40B4-BE49-F238E27FC236}">
              <a16:creationId xmlns:a16="http://schemas.microsoft.com/office/drawing/2014/main" id="{69E1F8BC-CBC1-3D6D-68BE-F4A8F06FDA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1514" name="Picture 10">
          <a:extLst>
            <a:ext uri="{FF2B5EF4-FFF2-40B4-BE49-F238E27FC236}">
              <a16:creationId xmlns:a16="http://schemas.microsoft.com/office/drawing/2014/main" id="{9E4C42EE-0BDE-7EC3-2E23-C6633C19C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1515" name="Picture 11">
          <a:extLst>
            <a:ext uri="{FF2B5EF4-FFF2-40B4-BE49-F238E27FC236}">
              <a16:creationId xmlns:a16="http://schemas.microsoft.com/office/drawing/2014/main" id="{187681AE-B721-8D76-689A-FD7ADB42E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1516" name="Picture 12">
          <a:extLst>
            <a:ext uri="{FF2B5EF4-FFF2-40B4-BE49-F238E27FC236}">
              <a16:creationId xmlns:a16="http://schemas.microsoft.com/office/drawing/2014/main" id="{45009811-FB1A-90FD-6E40-F5F528DAB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1517" name="Picture 14">
          <a:extLst>
            <a:ext uri="{FF2B5EF4-FFF2-40B4-BE49-F238E27FC236}">
              <a16:creationId xmlns:a16="http://schemas.microsoft.com/office/drawing/2014/main" id="{B670A102-9CFA-7A98-99B6-4476E4BA5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1518" name="Picture 15">
          <a:extLst>
            <a:ext uri="{FF2B5EF4-FFF2-40B4-BE49-F238E27FC236}">
              <a16:creationId xmlns:a16="http://schemas.microsoft.com/office/drawing/2014/main" id="{110E3454-FBCB-4A2C-EE52-0D2607C33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1519" name="Picture 16">
          <a:extLst>
            <a:ext uri="{FF2B5EF4-FFF2-40B4-BE49-F238E27FC236}">
              <a16:creationId xmlns:a16="http://schemas.microsoft.com/office/drawing/2014/main" id="{14F5165A-359A-A02E-A2E2-DB43018BE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1520" name="Picture 17">
          <a:extLst>
            <a:ext uri="{FF2B5EF4-FFF2-40B4-BE49-F238E27FC236}">
              <a16:creationId xmlns:a16="http://schemas.microsoft.com/office/drawing/2014/main" id="{88B536BF-3A1B-A8BA-2DD9-88F99CA1E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1521" name="Picture 18">
          <a:extLst>
            <a:ext uri="{FF2B5EF4-FFF2-40B4-BE49-F238E27FC236}">
              <a16:creationId xmlns:a16="http://schemas.microsoft.com/office/drawing/2014/main" id="{2D40B0AE-08EB-E966-5F67-1034AC08F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1522" name="Picture 19">
          <a:extLst>
            <a:ext uri="{FF2B5EF4-FFF2-40B4-BE49-F238E27FC236}">
              <a16:creationId xmlns:a16="http://schemas.microsoft.com/office/drawing/2014/main" id="{BFE26679-708F-AA25-9E71-E755252AA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1523" name="Picture 20">
          <a:extLst>
            <a:ext uri="{FF2B5EF4-FFF2-40B4-BE49-F238E27FC236}">
              <a16:creationId xmlns:a16="http://schemas.microsoft.com/office/drawing/2014/main" id="{266ACCA3-7F06-117F-BBD6-9B6178517A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1524" name="Picture 21">
          <a:extLst>
            <a:ext uri="{FF2B5EF4-FFF2-40B4-BE49-F238E27FC236}">
              <a16:creationId xmlns:a16="http://schemas.microsoft.com/office/drawing/2014/main" id="{A2F70AD3-C027-B216-B107-7F2610686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1525" name="Picture 22">
          <a:extLst>
            <a:ext uri="{FF2B5EF4-FFF2-40B4-BE49-F238E27FC236}">
              <a16:creationId xmlns:a16="http://schemas.microsoft.com/office/drawing/2014/main" id="{65DF9906-9A09-8820-E8D7-AABDCA0A9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1526" name="Picture 23">
          <a:extLst>
            <a:ext uri="{FF2B5EF4-FFF2-40B4-BE49-F238E27FC236}">
              <a16:creationId xmlns:a16="http://schemas.microsoft.com/office/drawing/2014/main" id="{0E84D1E6-7F03-2DE7-6B79-09F9000C6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1527" name="Picture 24">
          <a:extLst>
            <a:ext uri="{FF2B5EF4-FFF2-40B4-BE49-F238E27FC236}">
              <a16:creationId xmlns:a16="http://schemas.microsoft.com/office/drawing/2014/main" id="{D5B29842-287E-E30F-1B4C-BEC358BFC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1528" name="Picture 25">
          <a:extLst>
            <a:ext uri="{FF2B5EF4-FFF2-40B4-BE49-F238E27FC236}">
              <a16:creationId xmlns:a16="http://schemas.microsoft.com/office/drawing/2014/main" id="{332D0ACD-C46E-AF82-7672-12583B870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1529" name="Picture 27">
          <a:extLst>
            <a:ext uri="{FF2B5EF4-FFF2-40B4-BE49-F238E27FC236}">
              <a16:creationId xmlns:a16="http://schemas.microsoft.com/office/drawing/2014/main" id="{0236F71C-B802-8043-203D-E80DD2DDA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1530" name="Picture 28">
          <a:extLst>
            <a:ext uri="{FF2B5EF4-FFF2-40B4-BE49-F238E27FC236}">
              <a16:creationId xmlns:a16="http://schemas.microsoft.com/office/drawing/2014/main" id="{4A60CE6B-D10E-E05B-DCA4-1841CCD4B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1531" name="Picture 29">
          <a:extLst>
            <a:ext uri="{FF2B5EF4-FFF2-40B4-BE49-F238E27FC236}">
              <a16:creationId xmlns:a16="http://schemas.microsoft.com/office/drawing/2014/main" id="{7675B55B-430B-22A0-DEA1-E81F15C19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1532" name="Picture 30">
          <a:extLst>
            <a:ext uri="{FF2B5EF4-FFF2-40B4-BE49-F238E27FC236}">
              <a16:creationId xmlns:a16="http://schemas.microsoft.com/office/drawing/2014/main" id="{64A44C83-33A0-DAE3-B50D-5CB1477EB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139700</xdr:colOff>
      <xdr:row>0</xdr:row>
      <xdr:rowOff>95250</xdr:rowOff>
    </xdr:from>
    <xdr:to>
      <xdr:col>0</xdr:col>
      <xdr:colOff>958850</xdr:colOff>
      <xdr:row>3</xdr:row>
      <xdr:rowOff>139700</xdr:rowOff>
    </xdr:to>
    <xdr:pic>
      <xdr:nvPicPr>
        <xdr:cNvPr id="21533" name="Picture 1" descr="LOGO FINAL">
          <a:extLst>
            <a:ext uri="{FF2B5EF4-FFF2-40B4-BE49-F238E27FC236}">
              <a16:creationId xmlns:a16="http://schemas.microsoft.com/office/drawing/2014/main" id="{32B9A0A3-EDBB-0F3E-21E8-52C63A130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79" t="-2632" r="11829"/>
        <a:stretch>
          <a:fillRect/>
        </a:stretch>
      </xdr:blipFill>
      <xdr:spPr bwMode="auto">
        <a:xfrm>
          <a:off x="139700" y="95250"/>
          <a:ext cx="819150" cy="749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139700</xdr:colOff>
      <xdr:row>0</xdr:row>
      <xdr:rowOff>95250</xdr:rowOff>
    </xdr:from>
    <xdr:to>
      <xdr:col>1</xdr:col>
      <xdr:colOff>158750</xdr:colOff>
      <xdr:row>5</xdr:row>
      <xdr:rowOff>38100</xdr:rowOff>
    </xdr:to>
    <xdr:pic>
      <xdr:nvPicPr>
        <xdr:cNvPr id="12309" name="Picture 1" descr="LOGO FINAL">
          <a:extLst>
            <a:ext uri="{FF2B5EF4-FFF2-40B4-BE49-F238E27FC236}">
              <a16:creationId xmlns:a16="http://schemas.microsoft.com/office/drawing/2014/main" id="{3C28FC82-38C3-8F02-C38E-30814C794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79" t="-2632" r="11829"/>
        <a:stretch>
          <a:fillRect/>
        </a:stretch>
      </xdr:blipFill>
      <xdr:spPr bwMode="auto">
        <a:xfrm>
          <a:off x="139700" y="95250"/>
          <a:ext cx="1149350" cy="996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139700</xdr:colOff>
      <xdr:row>0</xdr:row>
      <xdr:rowOff>95250</xdr:rowOff>
    </xdr:from>
    <xdr:to>
      <xdr:col>0</xdr:col>
      <xdr:colOff>958850</xdr:colOff>
      <xdr:row>4</xdr:row>
      <xdr:rowOff>19050</xdr:rowOff>
    </xdr:to>
    <xdr:pic>
      <xdr:nvPicPr>
        <xdr:cNvPr id="3127" name="Picture 1" descr="LOGO FINAL">
          <a:extLst>
            <a:ext uri="{FF2B5EF4-FFF2-40B4-BE49-F238E27FC236}">
              <a16:creationId xmlns:a16="http://schemas.microsoft.com/office/drawing/2014/main" id="{EE6BE9A4-3461-E9AE-1544-8F52797E4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79" t="-2632" r="11829"/>
        <a:stretch>
          <a:fillRect/>
        </a:stretch>
      </xdr:blipFill>
      <xdr:spPr bwMode="auto">
        <a:xfrm>
          <a:off x="139700" y="95250"/>
          <a:ext cx="819150" cy="730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139700</xdr:colOff>
      <xdr:row>0</xdr:row>
      <xdr:rowOff>95250</xdr:rowOff>
    </xdr:from>
    <xdr:to>
      <xdr:col>0</xdr:col>
      <xdr:colOff>958850</xdr:colOff>
      <xdr:row>4</xdr:row>
      <xdr:rowOff>19050</xdr:rowOff>
    </xdr:to>
    <xdr:pic>
      <xdr:nvPicPr>
        <xdr:cNvPr id="3128" name="Picture 1" descr="LOGO FINAL">
          <a:extLst>
            <a:ext uri="{FF2B5EF4-FFF2-40B4-BE49-F238E27FC236}">
              <a16:creationId xmlns:a16="http://schemas.microsoft.com/office/drawing/2014/main" id="{8E4B4DE2-5D85-91E4-4F6E-045C07CE1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79" t="-2632" r="11829"/>
        <a:stretch>
          <a:fillRect/>
        </a:stretch>
      </xdr:blipFill>
      <xdr:spPr bwMode="auto">
        <a:xfrm>
          <a:off x="139700" y="95250"/>
          <a:ext cx="819150" cy="730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139700</xdr:colOff>
      <xdr:row>0</xdr:row>
      <xdr:rowOff>95250</xdr:rowOff>
    </xdr:from>
    <xdr:to>
      <xdr:col>1</xdr:col>
      <xdr:colOff>158750</xdr:colOff>
      <xdr:row>5</xdr:row>
      <xdr:rowOff>19050</xdr:rowOff>
    </xdr:to>
    <xdr:pic>
      <xdr:nvPicPr>
        <xdr:cNvPr id="13353" name="Picture 1" descr="LOGO FINAL">
          <a:extLst>
            <a:ext uri="{FF2B5EF4-FFF2-40B4-BE49-F238E27FC236}">
              <a16:creationId xmlns:a16="http://schemas.microsoft.com/office/drawing/2014/main" id="{E452709F-C043-6A97-BDC0-56C7044C4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79" t="-2632" r="11829"/>
        <a:stretch>
          <a:fillRect/>
        </a:stretch>
      </xdr:blipFill>
      <xdr:spPr bwMode="auto">
        <a:xfrm>
          <a:off x="139700" y="95250"/>
          <a:ext cx="1136650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139700</xdr:colOff>
      <xdr:row>0</xdr:row>
      <xdr:rowOff>95250</xdr:rowOff>
    </xdr:from>
    <xdr:to>
      <xdr:col>1</xdr:col>
      <xdr:colOff>158750</xdr:colOff>
      <xdr:row>5</xdr:row>
      <xdr:rowOff>19050</xdr:rowOff>
    </xdr:to>
    <xdr:pic>
      <xdr:nvPicPr>
        <xdr:cNvPr id="13354" name="Picture 1" descr="LOGO FINAL">
          <a:extLst>
            <a:ext uri="{FF2B5EF4-FFF2-40B4-BE49-F238E27FC236}">
              <a16:creationId xmlns:a16="http://schemas.microsoft.com/office/drawing/2014/main" id="{9963294A-69B5-C463-6196-970F30C3E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79" t="-2632" r="11829"/>
        <a:stretch>
          <a:fillRect/>
        </a:stretch>
      </xdr:blipFill>
      <xdr:spPr bwMode="auto">
        <a:xfrm>
          <a:off x="139700" y="95250"/>
          <a:ext cx="1136650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139700</xdr:colOff>
      <xdr:row>0</xdr:row>
      <xdr:rowOff>95250</xdr:rowOff>
    </xdr:from>
    <xdr:to>
      <xdr:col>0</xdr:col>
      <xdr:colOff>958850</xdr:colOff>
      <xdr:row>5</xdr:row>
      <xdr:rowOff>19050</xdr:rowOff>
    </xdr:to>
    <xdr:pic>
      <xdr:nvPicPr>
        <xdr:cNvPr id="5171" name="Picture 1" descr="LOGO FINAL">
          <a:extLst>
            <a:ext uri="{FF2B5EF4-FFF2-40B4-BE49-F238E27FC236}">
              <a16:creationId xmlns:a16="http://schemas.microsoft.com/office/drawing/2014/main" id="{DD7165AA-3E95-24D0-B5E8-3E361F0F3D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79" t="-2632" r="11829"/>
        <a:stretch>
          <a:fillRect/>
        </a:stretch>
      </xdr:blipFill>
      <xdr:spPr bwMode="auto">
        <a:xfrm>
          <a:off x="139700" y="95250"/>
          <a:ext cx="819150" cy="901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158750</xdr:colOff>
      <xdr:row>0</xdr:row>
      <xdr:rowOff>19050</xdr:rowOff>
    </xdr:from>
    <xdr:to>
      <xdr:col>0</xdr:col>
      <xdr:colOff>977900</xdr:colOff>
      <xdr:row>4</xdr:row>
      <xdr:rowOff>107950</xdr:rowOff>
    </xdr:to>
    <xdr:pic>
      <xdr:nvPicPr>
        <xdr:cNvPr id="5172" name="Picture 1" descr="LOGO FINAL">
          <a:extLst>
            <a:ext uri="{FF2B5EF4-FFF2-40B4-BE49-F238E27FC236}">
              <a16:creationId xmlns:a16="http://schemas.microsoft.com/office/drawing/2014/main" id="{44201B0F-BCFD-E6B6-5124-DE736995A5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79" t="-2632" r="11829"/>
        <a:stretch>
          <a:fillRect/>
        </a:stretch>
      </xdr:blipFill>
      <xdr:spPr bwMode="auto">
        <a:xfrm>
          <a:off x="158750" y="19050"/>
          <a:ext cx="819150" cy="901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139700</xdr:colOff>
      <xdr:row>0</xdr:row>
      <xdr:rowOff>95250</xdr:rowOff>
    </xdr:from>
    <xdr:to>
      <xdr:col>1</xdr:col>
      <xdr:colOff>158750</xdr:colOff>
      <xdr:row>6</xdr:row>
      <xdr:rowOff>25400</xdr:rowOff>
    </xdr:to>
    <xdr:pic>
      <xdr:nvPicPr>
        <xdr:cNvPr id="14377" name="Picture 1" descr="LOGO FINAL">
          <a:extLst>
            <a:ext uri="{FF2B5EF4-FFF2-40B4-BE49-F238E27FC236}">
              <a16:creationId xmlns:a16="http://schemas.microsoft.com/office/drawing/2014/main" id="{ABEDF69A-D5D8-44DB-74EF-5675F0DAF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79" t="-2632" r="11829"/>
        <a:stretch>
          <a:fillRect/>
        </a:stretch>
      </xdr:blipFill>
      <xdr:spPr bwMode="auto">
        <a:xfrm>
          <a:off x="139700" y="95250"/>
          <a:ext cx="1174750" cy="107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158750</xdr:colOff>
      <xdr:row>0</xdr:row>
      <xdr:rowOff>19050</xdr:rowOff>
    </xdr:from>
    <xdr:to>
      <xdr:col>1</xdr:col>
      <xdr:colOff>177800</xdr:colOff>
      <xdr:row>5</xdr:row>
      <xdr:rowOff>114300</xdr:rowOff>
    </xdr:to>
    <xdr:pic>
      <xdr:nvPicPr>
        <xdr:cNvPr id="14378" name="Picture 1" descr="LOGO FINAL">
          <a:extLst>
            <a:ext uri="{FF2B5EF4-FFF2-40B4-BE49-F238E27FC236}">
              <a16:creationId xmlns:a16="http://schemas.microsoft.com/office/drawing/2014/main" id="{81F10D7A-63C7-0D90-CAB2-B0F478F21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79" t="-2632" r="11829"/>
        <a:stretch>
          <a:fillRect/>
        </a:stretch>
      </xdr:blipFill>
      <xdr:spPr bwMode="auto">
        <a:xfrm>
          <a:off x="158750" y="19050"/>
          <a:ext cx="1174750" cy="107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/>
          <cell r="B361" t="str">
            <v/>
          </cell>
          <cell r="C361" t="str">
            <v/>
          </cell>
          <cell r="D361" t="str">
            <v/>
          </cell>
          <cell r="E361"/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/>
          <cell r="B362"/>
          <cell r="C362"/>
          <cell r="D362"/>
          <cell r="E362"/>
          <cell r="F362"/>
          <cell r="G362"/>
          <cell r="H362"/>
          <cell r="I362"/>
          <cell r="J362"/>
          <cell r="K362"/>
          <cell r="L362"/>
          <cell r="M362"/>
        </row>
        <row r="363">
          <cell r="A363"/>
          <cell r="B363"/>
          <cell r="C363"/>
          <cell r="D363"/>
          <cell r="E363"/>
          <cell r="F363"/>
          <cell r="G363"/>
          <cell r="H363"/>
          <cell r="I363"/>
          <cell r="J363"/>
          <cell r="K363"/>
          <cell r="L363"/>
          <cell r="M363"/>
        </row>
        <row r="364">
          <cell r="A364"/>
          <cell r="B364"/>
          <cell r="C364"/>
          <cell r="D364"/>
          <cell r="E364"/>
          <cell r="F364"/>
          <cell r="G364"/>
          <cell r="H364"/>
          <cell r="I364"/>
          <cell r="J364"/>
          <cell r="K364"/>
          <cell r="L364"/>
          <cell r="M364"/>
        </row>
        <row r="365">
          <cell r="B365"/>
          <cell r="C365"/>
          <cell r="D365"/>
          <cell r="F365"/>
          <cell r="G365"/>
          <cell r="H365"/>
          <cell r="I365"/>
          <cell r="J365"/>
          <cell r="K365"/>
          <cell r="L365"/>
          <cell r="M365"/>
        </row>
        <row r="366">
          <cell r="B366"/>
          <cell r="C366"/>
          <cell r="D366"/>
          <cell r="F366"/>
          <cell r="G366"/>
          <cell r="H366"/>
          <cell r="I366"/>
          <cell r="J366"/>
          <cell r="K366"/>
          <cell r="L366"/>
          <cell r="M366"/>
        </row>
        <row r="367">
          <cell r="B367"/>
          <cell r="C367"/>
          <cell r="D367"/>
          <cell r="F367"/>
          <cell r="G367"/>
          <cell r="H367"/>
          <cell r="I367"/>
          <cell r="J367"/>
          <cell r="K367"/>
          <cell r="L367"/>
          <cell r="M367"/>
        </row>
        <row r="368">
          <cell r="B368"/>
          <cell r="C368"/>
          <cell r="D368"/>
          <cell r="F368"/>
          <cell r="G368"/>
          <cell r="H368"/>
          <cell r="I368"/>
          <cell r="J368"/>
          <cell r="K368"/>
          <cell r="L368"/>
          <cell r="M368"/>
        </row>
        <row r="369">
          <cell r="B369"/>
          <cell r="C369"/>
          <cell r="D369"/>
          <cell r="F369"/>
          <cell r="G369"/>
          <cell r="H369"/>
          <cell r="I369"/>
          <cell r="J369"/>
          <cell r="K369"/>
          <cell r="L369"/>
          <cell r="M369"/>
        </row>
        <row r="370">
          <cell r="B370"/>
          <cell r="C370"/>
          <cell r="D370"/>
          <cell r="F370"/>
          <cell r="G370"/>
          <cell r="H370"/>
          <cell r="I370"/>
          <cell r="J370"/>
          <cell r="K370"/>
          <cell r="L370"/>
          <cell r="M370"/>
        </row>
        <row r="371">
          <cell r="B371"/>
          <cell r="C371"/>
          <cell r="D371"/>
          <cell r="F371"/>
          <cell r="G371"/>
          <cell r="H371"/>
          <cell r="I371"/>
          <cell r="J371"/>
          <cell r="K371"/>
          <cell r="L371"/>
          <cell r="M371"/>
        </row>
        <row r="372">
          <cell r="B372"/>
          <cell r="C372"/>
          <cell r="D372"/>
          <cell r="F372"/>
          <cell r="G372"/>
          <cell r="H372"/>
          <cell r="I372"/>
          <cell r="J372"/>
          <cell r="K372"/>
          <cell r="L372"/>
          <cell r="M372"/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/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2EBEB-6B46-48CA-ADBC-806BA07BA03B}">
  <dimension ref="A1:L43"/>
  <sheetViews>
    <sheetView topLeftCell="A5" zoomScaleNormal="100" workbookViewId="0">
      <selection activeCell="D21" sqref="D21:D24"/>
    </sheetView>
  </sheetViews>
  <sheetFormatPr baseColWidth="10" defaultColWidth="11.42578125" defaultRowHeight="12.75" x14ac:dyDescent="0.2"/>
  <cols>
    <col min="1" max="1" width="16.28515625" style="3" customWidth="1"/>
    <col min="2" max="2" width="40.5703125" style="3" customWidth="1"/>
    <col min="3" max="3" width="15.5703125" style="3" customWidth="1"/>
    <col min="4" max="4" width="11.42578125" style="3"/>
    <col min="5" max="5" width="13.28515625" style="3" customWidth="1"/>
    <col min="6" max="6" width="12.5703125" style="3" customWidth="1"/>
    <col min="7" max="7" width="15.5703125" style="3" customWidth="1"/>
    <col min="8" max="8" width="16" style="3" customWidth="1"/>
    <col min="9" max="16384" width="11.42578125" style="3"/>
  </cols>
  <sheetData>
    <row r="1" spans="1:8" ht="18" x14ac:dyDescent="0.25">
      <c r="A1" s="281"/>
      <c r="B1" s="273" t="s">
        <v>22</v>
      </c>
      <c r="C1" s="273"/>
      <c r="D1" s="273"/>
      <c r="E1" s="273"/>
      <c r="F1" s="273"/>
      <c r="G1" s="1" t="s">
        <v>21</v>
      </c>
      <c r="H1" s="2"/>
    </row>
    <row r="2" spans="1:8" ht="18" x14ac:dyDescent="0.25">
      <c r="A2" s="282"/>
      <c r="B2" s="274" t="s">
        <v>0</v>
      </c>
      <c r="C2" s="274"/>
      <c r="D2" s="274"/>
      <c r="E2" s="274"/>
      <c r="F2" s="274"/>
      <c r="G2" s="4" t="s">
        <v>20</v>
      </c>
      <c r="H2" s="5"/>
    </row>
    <row r="3" spans="1:8" ht="19.5" customHeight="1" x14ac:dyDescent="0.2">
      <c r="A3" s="282"/>
      <c r="B3" s="275" t="s">
        <v>35</v>
      </c>
      <c r="C3" s="275"/>
      <c r="D3" s="275"/>
      <c r="E3" s="275"/>
      <c r="F3" s="275"/>
      <c r="G3" s="292" t="s">
        <v>19</v>
      </c>
      <c r="H3" s="294"/>
    </row>
    <row r="4" spans="1:8" x14ac:dyDescent="0.2">
      <c r="A4" s="282"/>
      <c r="B4" s="35" t="s">
        <v>18</v>
      </c>
      <c r="C4" s="288" t="s">
        <v>25</v>
      </c>
      <c r="D4" s="288"/>
      <c r="E4" s="288"/>
      <c r="F4" s="288"/>
      <c r="G4" s="292"/>
      <c r="H4" s="294"/>
    </row>
    <row r="5" spans="1:8" ht="15" customHeight="1" thickBot="1" x14ac:dyDescent="0.25">
      <c r="A5" s="283"/>
      <c r="B5" s="36" t="s">
        <v>17</v>
      </c>
      <c r="C5" s="296" t="s">
        <v>34</v>
      </c>
      <c r="D5" s="296"/>
      <c r="E5" s="296"/>
      <c r="F5" s="296"/>
      <c r="G5" s="293"/>
      <c r="H5" s="295"/>
    </row>
    <row r="6" spans="1:8" ht="15" customHeight="1" x14ac:dyDescent="0.2">
      <c r="A6" s="30"/>
      <c r="B6" s="31"/>
      <c r="C6" s="32"/>
      <c r="D6" s="32"/>
      <c r="E6" s="32"/>
      <c r="F6" s="32"/>
      <c r="G6" s="33"/>
      <c r="H6" s="34"/>
    </row>
    <row r="7" spans="1:8" ht="21" customHeight="1" thickBot="1" x14ac:dyDescent="0.3">
      <c r="A7" s="289" t="s">
        <v>23</v>
      </c>
      <c r="B7" s="289"/>
      <c r="C7" s="290" t="s">
        <v>29</v>
      </c>
      <c r="D7" s="290"/>
      <c r="E7" s="290"/>
      <c r="F7" s="291" t="s">
        <v>24</v>
      </c>
      <c r="G7" s="291"/>
      <c r="H7" s="40" t="s">
        <v>30</v>
      </c>
    </row>
    <row r="8" spans="1:8" ht="25.5" x14ac:dyDescent="0.2">
      <c r="A8" s="284" t="s">
        <v>1</v>
      </c>
      <c r="B8" s="286" t="s">
        <v>2</v>
      </c>
      <c r="C8" s="286" t="s">
        <v>3</v>
      </c>
      <c r="D8" s="286" t="s">
        <v>4</v>
      </c>
      <c r="E8" s="286"/>
      <c r="F8" s="286" t="s">
        <v>16</v>
      </c>
      <c r="G8" s="286"/>
      <c r="H8" s="6" t="s">
        <v>5</v>
      </c>
    </row>
    <row r="9" spans="1:8" ht="26.25" thickBot="1" x14ac:dyDescent="0.25">
      <c r="A9" s="285"/>
      <c r="B9" s="287"/>
      <c r="C9" s="287"/>
      <c r="D9" s="7" t="s">
        <v>6</v>
      </c>
      <c r="E9" s="8" t="s">
        <v>7</v>
      </c>
      <c r="F9" s="7" t="s">
        <v>6</v>
      </c>
      <c r="G9" s="8" t="s">
        <v>7</v>
      </c>
      <c r="H9" s="39" t="s">
        <v>8</v>
      </c>
    </row>
    <row r="10" spans="1:8" x14ac:dyDescent="0.2">
      <c r="A10" s="199" t="s">
        <v>36</v>
      </c>
      <c r="B10" s="200" t="s">
        <v>37</v>
      </c>
      <c r="C10" s="10" t="s">
        <v>38</v>
      </c>
      <c r="D10" s="37">
        <v>3000</v>
      </c>
      <c r="E10" s="37" t="s">
        <v>26</v>
      </c>
      <c r="F10" s="23"/>
      <c r="G10" s="37"/>
      <c r="H10" s="38"/>
    </row>
    <row r="11" spans="1:8" x14ac:dyDescent="0.2">
      <c r="A11" s="199" t="s">
        <v>39</v>
      </c>
      <c r="B11" s="200" t="s">
        <v>40</v>
      </c>
      <c r="C11" s="10" t="s">
        <v>49</v>
      </c>
      <c r="D11" s="37">
        <v>150</v>
      </c>
      <c r="E11" s="37" t="s">
        <v>26</v>
      </c>
      <c r="F11" s="23"/>
      <c r="G11" s="37"/>
      <c r="H11" s="38"/>
    </row>
    <row r="12" spans="1:8" x14ac:dyDescent="0.2">
      <c r="A12" s="199" t="s">
        <v>41</v>
      </c>
      <c r="B12" s="200" t="s">
        <v>42</v>
      </c>
      <c r="C12" s="10" t="s">
        <v>50</v>
      </c>
      <c r="D12" s="37">
        <v>100</v>
      </c>
      <c r="E12" s="37" t="s">
        <v>26</v>
      </c>
      <c r="F12" s="23"/>
      <c r="G12" s="37"/>
      <c r="H12" s="38"/>
    </row>
    <row r="13" spans="1:8" x14ac:dyDescent="0.2">
      <c r="A13" s="199" t="s">
        <v>43</v>
      </c>
      <c r="B13" s="200" t="s">
        <v>44</v>
      </c>
      <c r="C13" s="10" t="s">
        <v>50</v>
      </c>
      <c r="D13" s="37">
        <v>10</v>
      </c>
      <c r="E13" s="37" t="s">
        <v>26</v>
      </c>
      <c r="F13" s="23"/>
      <c r="G13" s="37"/>
      <c r="H13" s="38"/>
    </row>
    <row r="14" spans="1:8" ht="15" x14ac:dyDescent="0.25">
      <c r="A14" s="201" t="s">
        <v>69</v>
      </c>
      <c r="B14" s="202" t="s">
        <v>70</v>
      </c>
      <c r="C14" s="10"/>
      <c r="D14" s="37">
        <v>8</v>
      </c>
      <c r="E14" s="37" t="s">
        <v>26</v>
      </c>
      <c r="F14" s="23"/>
      <c r="G14" s="37"/>
      <c r="H14" s="38"/>
    </row>
    <row r="15" spans="1:8" x14ac:dyDescent="0.2">
      <c r="A15" s="203"/>
      <c r="B15" s="204"/>
      <c r="C15" s="10"/>
      <c r="D15" s="37"/>
      <c r="E15" s="37"/>
      <c r="F15" s="23"/>
      <c r="G15" s="37"/>
      <c r="H15" s="38"/>
    </row>
    <row r="16" spans="1:8" x14ac:dyDescent="0.2">
      <c r="A16" s="205">
        <v>10100045</v>
      </c>
      <c r="B16" s="206" t="s">
        <v>51</v>
      </c>
      <c r="C16" s="43" t="s">
        <v>45</v>
      </c>
      <c r="D16" s="37">
        <v>2000</v>
      </c>
      <c r="E16" s="37" t="s">
        <v>26</v>
      </c>
      <c r="F16" s="23"/>
      <c r="G16" s="37"/>
      <c r="H16" s="38"/>
    </row>
    <row r="17" spans="1:12" x14ac:dyDescent="0.2">
      <c r="A17" s="203"/>
      <c r="B17" s="204"/>
      <c r="C17" s="10"/>
      <c r="D17" s="37">
        <v>1250</v>
      </c>
      <c r="E17" s="37"/>
      <c r="F17" s="23"/>
      <c r="G17" s="37"/>
      <c r="H17" s="38"/>
    </row>
    <row r="18" spans="1:12" x14ac:dyDescent="0.2">
      <c r="A18" s="207" t="s">
        <v>46</v>
      </c>
      <c r="B18" s="208" t="s">
        <v>47</v>
      </c>
      <c r="C18" s="10" t="s">
        <v>48</v>
      </c>
      <c r="D18" s="37">
        <v>125</v>
      </c>
      <c r="E18" s="37" t="s">
        <v>26</v>
      </c>
      <c r="F18" s="23"/>
      <c r="G18" s="37"/>
      <c r="H18" s="38"/>
    </row>
    <row r="19" spans="1:12" x14ac:dyDescent="0.2">
      <c r="A19" s="203"/>
      <c r="B19" s="204"/>
      <c r="C19" s="10"/>
      <c r="D19" s="37"/>
      <c r="E19" s="37"/>
      <c r="F19" s="23"/>
      <c r="G19" s="37"/>
      <c r="H19" s="38"/>
    </row>
    <row r="20" spans="1:12" x14ac:dyDescent="0.2">
      <c r="A20" s="203"/>
      <c r="B20" s="204"/>
      <c r="C20" s="10"/>
      <c r="D20" s="37"/>
      <c r="E20" s="37"/>
      <c r="F20" s="23"/>
      <c r="G20" s="37"/>
      <c r="H20" s="38"/>
    </row>
    <row r="21" spans="1:12" ht="13.5" x14ac:dyDescent="0.25">
      <c r="A21" s="209">
        <v>1950702</v>
      </c>
      <c r="B21" s="44" t="s">
        <v>52</v>
      </c>
      <c r="C21" s="48" t="s">
        <v>53</v>
      </c>
      <c r="D21" s="45">
        <v>2</v>
      </c>
      <c r="E21" s="45" t="s">
        <v>27</v>
      </c>
      <c r="F21" s="23"/>
      <c r="G21" s="37"/>
      <c r="H21" s="38"/>
    </row>
    <row r="22" spans="1:12" ht="13.5" customHeight="1" x14ac:dyDescent="0.25">
      <c r="A22" s="209">
        <v>1950708</v>
      </c>
      <c r="B22" s="44" t="s">
        <v>54</v>
      </c>
      <c r="C22" s="48" t="s">
        <v>53</v>
      </c>
      <c r="D22" s="45">
        <v>1</v>
      </c>
      <c r="E22" s="45" t="s">
        <v>27</v>
      </c>
      <c r="F22" s="9"/>
      <c r="G22" s="10"/>
      <c r="H22" s="11"/>
    </row>
    <row r="23" spans="1:12" ht="13.5" x14ac:dyDescent="0.25">
      <c r="A23" s="10">
        <v>702123</v>
      </c>
      <c r="B23" s="210" t="s">
        <v>55</v>
      </c>
      <c r="C23" s="48" t="s">
        <v>33</v>
      </c>
      <c r="D23" s="45">
        <v>1</v>
      </c>
      <c r="E23" s="45" t="s">
        <v>27</v>
      </c>
      <c r="F23" s="9"/>
      <c r="G23" s="10"/>
      <c r="H23" s="11"/>
    </row>
    <row r="24" spans="1:12" ht="15" x14ac:dyDescent="0.25">
      <c r="A24" s="46">
        <v>60100010</v>
      </c>
      <c r="B24" s="47" t="s">
        <v>56</v>
      </c>
      <c r="C24" s="45" t="s">
        <v>33</v>
      </c>
      <c r="D24" s="45">
        <v>1</v>
      </c>
      <c r="E24" s="49" t="s">
        <v>27</v>
      </c>
      <c r="F24" s="9"/>
      <c r="G24" s="10"/>
      <c r="H24" s="11"/>
    </row>
    <row r="25" spans="1:12" ht="13.5" thickBot="1" x14ac:dyDescent="0.25">
      <c r="A25" s="12"/>
      <c r="D25" s="13"/>
      <c r="E25" s="14"/>
      <c r="H25" s="15"/>
      <c r="K25" s="16"/>
    </row>
    <row r="26" spans="1:12" ht="13.5" thickBot="1" x14ac:dyDescent="0.25">
      <c r="A26" s="17"/>
      <c r="B26" s="18"/>
      <c r="C26" s="19" t="s">
        <v>6</v>
      </c>
      <c r="D26" s="20" t="s">
        <v>15</v>
      </c>
      <c r="E26" s="21"/>
      <c r="F26" s="18"/>
      <c r="G26" s="18"/>
      <c r="H26" s="22"/>
      <c r="K26" s="16"/>
    </row>
    <row r="27" spans="1:12" x14ac:dyDescent="0.2">
      <c r="A27" s="276" t="s">
        <v>10</v>
      </c>
      <c r="B27" s="277"/>
      <c r="C27" s="23">
        <v>6500</v>
      </c>
      <c r="D27" s="24" t="s">
        <v>26</v>
      </c>
      <c r="E27" s="278"/>
      <c r="F27" s="278"/>
      <c r="G27" s="279"/>
      <c r="H27" s="280"/>
      <c r="K27" s="16"/>
    </row>
    <row r="28" spans="1:12" x14ac:dyDescent="0.2">
      <c r="A28" s="297" t="s">
        <v>9</v>
      </c>
      <c r="B28" s="298"/>
      <c r="C28" s="25">
        <v>4</v>
      </c>
      <c r="D28" s="10" t="s">
        <v>28</v>
      </c>
      <c r="E28" s="299"/>
      <c r="F28" s="299"/>
      <c r="G28" s="300"/>
      <c r="H28" s="301"/>
      <c r="K28" s="16"/>
    </row>
    <row r="29" spans="1:12" x14ac:dyDescent="0.2">
      <c r="A29" s="297" t="s">
        <v>14</v>
      </c>
      <c r="B29" s="298"/>
      <c r="C29" s="9">
        <f>C27/C30</f>
        <v>1</v>
      </c>
      <c r="D29" s="10" t="s">
        <v>27</v>
      </c>
      <c r="E29" s="299"/>
      <c r="F29" s="299"/>
      <c r="G29" s="300"/>
      <c r="H29" s="301"/>
      <c r="K29" s="16"/>
    </row>
    <row r="30" spans="1:12" x14ac:dyDescent="0.2">
      <c r="A30" s="297" t="s">
        <v>13</v>
      </c>
      <c r="B30" s="298"/>
      <c r="C30" s="9">
        <v>6500</v>
      </c>
      <c r="D30" s="10" t="s">
        <v>26</v>
      </c>
      <c r="E30" s="302"/>
      <c r="F30" s="303"/>
      <c r="G30" s="300"/>
      <c r="H30" s="301"/>
      <c r="K30" s="16"/>
      <c r="L30" s="26"/>
    </row>
    <row r="31" spans="1:12" ht="13.5" thickBot="1" x14ac:dyDescent="0.25">
      <c r="A31" s="310" t="s">
        <v>12</v>
      </c>
      <c r="B31" s="311"/>
      <c r="C31" s="27">
        <f>SUM(D10:D23)-C27</f>
        <v>147</v>
      </c>
      <c r="D31" s="28" t="s">
        <v>26</v>
      </c>
      <c r="E31" s="312"/>
      <c r="F31" s="312"/>
      <c r="G31" s="313"/>
      <c r="H31" s="314"/>
      <c r="K31" s="16"/>
    </row>
    <row r="32" spans="1:12" ht="13.5" thickBot="1" x14ac:dyDescent="0.25">
      <c r="A32" s="318" t="s">
        <v>11</v>
      </c>
      <c r="B32" s="319"/>
      <c r="C32" s="319"/>
      <c r="D32" s="319"/>
      <c r="E32" s="319"/>
      <c r="F32" s="319"/>
      <c r="G32" s="319"/>
      <c r="H32" s="320"/>
    </row>
    <row r="33" spans="1:8" ht="15" x14ac:dyDescent="0.25">
      <c r="A33" s="304"/>
      <c r="B33" s="305"/>
      <c r="C33" s="305"/>
      <c r="D33" s="305"/>
      <c r="E33" s="305"/>
      <c r="F33" s="305"/>
      <c r="G33" s="305"/>
      <c r="H33" s="306"/>
    </row>
    <row r="34" spans="1:8" ht="15" x14ac:dyDescent="0.25">
      <c r="A34" s="304"/>
      <c r="B34" s="305"/>
      <c r="C34" s="305"/>
      <c r="D34" s="305"/>
      <c r="E34" s="305"/>
      <c r="F34" s="305"/>
      <c r="G34" s="305"/>
      <c r="H34" s="306"/>
    </row>
    <row r="35" spans="1:8" ht="15" x14ac:dyDescent="0.25">
      <c r="A35" s="304"/>
      <c r="B35" s="305"/>
      <c r="C35" s="305"/>
      <c r="D35" s="305"/>
      <c r="E35" s="305"/>
      <c r="F35" s="305"/>
      <c r="G35" s="305"/>
      <c r="H35" s="306"/>
    </row>
    <row r="36" spans="1:8" ht="15" x14ac:dyDescent="0.25">
      <c r="A36" s="304"/>
      <c r="B36" s="305"/>
      <c r="C36" s="305"/>
      <c r="D36" s="305"/>
      <c r="E36" s="305"/>
      <c r="F36" s="305"/>
      <c r="G36" s="305"/>
      <c r="H36" s="306"/>
    </row>
    <row r="37" spans="1:8" ht="15" x14ac:dyDescent="0.25">
      <c r="A37" s="304"/>
      <c r="B37" s="305"/>
      <c r="C37" s="305"/>
      <c r="D37" s="305"/>
      <c r="E37" s="305"/>
      <c r="F37" s="305"/>
      <c r="G37" s="305"/>
      <c r="H37" s="306"/>
    </row>
    <row r="38" spans="1:8" ht="15" x14ac:dyDescent="0.25">
      <c r="A38" s="304"/>
      <c r="B38" s="305"/>
      <c r="C38" s="305"/>
      <c r="D38" s="305"/>
      <c r="E38" s="305"/>
      <c r="F38" s="305"/>
      <c r="G38" s="305"/>
      <c r="H38" s="306"/>
    </row>
    <row r="39" spans="1:8" ht="16.5" customHeight="1" x14ac:dyDescent="0.2">
      <c r="A39" s="315"/>
      <c r="B39" s="316"/>
      <c r="C39" s="316"/>
      <c r="D39" s="316"/>
      <c r="E39" s="316"/>
      <c r="F39" s="316"/>
      <c r="G39" s="316"/>
      <c r="H39" s="317"/>
    </row>
    <row r="40" spans="1:8" ht="16.5" customHeight="1" x14ac:dyDescent="0.2">
      <c r="A40" s="315"/>
      <c r="B40" s="316"/>
      <c r="C40" s="316"/>
      <c r="D40" s="316"/>
      <c r="E40" s="316"/>
      <c r="F40" s="316"/>
      <c r="G40" s="316"/>
      <c r="H40" s="317"/>
    </row>
    <row r="41" spans="1:8" ht="16.5" customHeight="1" thickBot="1" x14ac:dyDescent="0.25">
      <c r="A41" s="307"/>
      <c r="B41" s="308"/>
      <c r="C41" s="308"/>
      <c r="D41" s="308"/>
      <c r="E41" s="308"/>
      <c r="F41" s="308"/>
      <c r="G41" s="308"/>
      <c r="H41" s="309"/>
    </row>
    <row r="43" spans="1:8" x14ac:dyDescent="0.2">
      <c r="A43" s="29"/>
      <c r="B43" s="29"/>
    </row>
  </sheetData>
  <mergeCells count="41">
    <mergeCell ref="A41:H41"/>
    <mergeCell ref="A31:B31"/>
    <mergeCell ref="E31:F31"/>
    <mergeCell ref="G31:H31"/>
    <mergeCell ref="A33:H33"/>
    <mergeCell ref="A39:H39"/>
    <mergeCell ref="A40:H40"/>
    <mergeCell ref="A32:H32"/>
    <mergeCell ref="E30:F30"/>
    <mergeCell ref="A34:H34"/>
    <mergeCell ref="A38:H38"/>
    <mergeCell ref="A35:H35"/>
    <mergeCell ref="A36:H36"/>
    <mergeCell ref="A37:H37"/>
    <mergeCell ref="G30:H30"/>
    <mergeCell ref="A30:B30"/>
    <mergeCell ref="A28:B28"/>
    <mergeCell ref="E28:F28"/>
    <mergeCell ref="G28:H28"/>
    <mergeCell ref="A29:B29"/>
    <mergeCell ref="E29:F29"/>
    <mergeCell ref="G29:H29"/>
    <mergeCell ref="G27:H27"/>
    <mergeCell ref="A1:A5"/>
    <mergeCell ref="A8:A9"/>
    <mergeCell ref="B8:B9"/>
    <mergeCell ref="C8:C9"/>
    <mergeCell ref="D8:E8"/>
    <mergeCell ref="C4:F4"/>
    <mergeCell ref="A7:B7"/>
    <mergeCell ref="C7:E7"/>
    <mergeCell ref="F7:G7"/>
    <mergeCell ref="G3:G5"/>
    <mergeCell ref="F8:G8"/>
    <mergeCell ref="H3:H5"/>
    <mergeCell ref="C5:F5"/>
    <mergeCell ref="B1:F1"/>
    <mergeCell ref="B2:F2"/>
    <mergeCell ref="B3:F3"/>
    <mergeCell ref="A27:B27"/>
    <mergeCell ref="E27:F27"/>
  </mergeCells>
  <pageMargins left="0.15748031496063" right="0" top="0.98425196850393704" bottom="0.98425196850393704" header="0" footer="0"/>
  <pageSetup scale="7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4F449-AB36-4332-BC51-1A66BD1CB8B6}">
  <dimension ref="A1:L43"/>
  <sheetViews>
    <sheetView topLeftCell="A5" workbookViewId="0">
      <selection activeCell="A22" sqref="A22"/>
    </sheetView>
  </sheetViews>
  <sheetFormatPr baseColWidth="10" defaultColWidth="11.42578125" defaultRowHeight="12.75" x14ac:dyDescent="0.2"/>
  <cols>
    <col min="1" max="1" width="16.28515625" style="3" customWidth="1"/>
    <col min="2" max="2" width="40.5703125" style="3" customWidth="1"/>
    <col min="3" max="3" width="15.5703125" style="3" customWidth="1"/>
    <col min="4" max="4" width="11.42578125" style="3"/>
    <col min="5" max="5" width="13.28515625" style="3" customWidth="1"/>
    <col min="6" max="6" width="12.5703125" style="3" customWidth="1"/>
    <col min="7" max="7" width="15.5703125" style="3" customWidth="1"/>
    <col min="8" max="8" width="16" style="3" customWidth="1"/>
    <col min="9" max="16384" width="11.42578125" style="3"/>
  </cols>
  <sheetData>
    <row r="1" spans="1:8" ht="18" x14ac:dyDescent="0.25">
      <c r="A1" s="281"/>
      <c r="B1" s="273" t="s">
        <v>22</v>
      </c>
      <c r="C1" s="273"/>
      <c r="D1" s="273"/>
      <c r="E1" s="273"/>
      <c r="F1" s="273"/>
      <c r="G1" s="1" t="s">
        <v>21</v>
      </c>
      <c r="H1" s="2"/>
    </row>
    <row r="2" spans="1:8" ht="18" x14ac:dyDescent="0.25">
      <c r="A2" s="282"/>
      <c r="B2" s="274" t="s">
        <v>0</v>
      </c>
      <c r="C2" s="274"/>
      <c r="D2" s="274"/>
      <c r="E2" s="274"/>
      <c r="F2" s="274"/>
      <c r="G2" s="4" t="s">
        <v>20</v>
      </c>
      <c r="H2" s="5"/>
    </row>
    <row r="3" spans="1:8" ht="19.5" customHeight="1" x14ac:dyDescent="0.2">
      <c r="A3" s="282"/>
      <c r="B3" s="275" t="s">
        <v>159</v>
      </c>
      <c r="C3" s="275"/>
      <c r="D3" s="275"/>
      <c r="E3" s="275"/>
      <c r="F3" s="275"/>
      <c r="G3" s="292" t="s">
        <v>19</v>
      </c>
      <c r="H3" s="294"/>
    </row>
    <row r="4" spans="1:8" x14ac:dyDescent="0.2">
      <c r="A4" s="282"/>
      <c r="B4" s="35" t="s">
        <v>18</v>
      </c>
      <c r="C4" s="288" t="s">
        <v>25</v>
      </c>
      <c r="D4" s="288"/>
      <c r="E4" s="288"/>
      <c r="F4" s="288"/>
      <c r="G4" s="292"/>
      <c r="H4" s="294"/>
    </row>
    <row r="5" spans="1:8" ht="15" customHeight="1" thickBot="1" x14ac:dyDescent="0.25">
      <c r="A5" s="283"/>
      <c r="B5" s="36" t="s">
        <v>17</v>
      </c>
      <c r="C5" s="296" t="s">
        <v>34</v>
      </c>
      <c r="D5" s="296"/>
      <c r="E5" s="296"/>
      <c r="F5" s="296"/>
      <c r="G5" s="293"/>
      <c r="H5" s="295"/>
    </row>
    <row r="6" spans="1:8" ht="15" customHeight="1" x14ac:dyDescent="0.2">
      <c r="A6" s="30"/>
      <c r="B6" s="31"/>
      <c r="C6" s="32"/>
      <c r="D6" s="32"/>
      <c r="E6" s="32"/>
      <c r="F6" s="32"/>
      <c r="G6" s="33"/>
      <c r="H6" s="34"/>
    </row>
    <row r="7" spans="1:8" ht="21" customHeight="1" thickBot="1" x14ac:dyDescent="0.3">
      <c r="A7" s="289" t="s">
        <v>23</v>
      </c>
      <c r="B7" s="289"/>
      <c r="C7" s="290" t="s">
        <v>29</v>
      </c>
      <c r="D7" s="290"/>
      <c r="E7" s="290"/>
      <c r="F7" s="291" t="s">
        <v>24</v>
      </c>
      <c r="G7" s="291"/>
      <c r="H7" s="40" t="s">
        <v>30</v>
      </c>
    </row>
    <row r="8" spans="1:8" ht="25.5" x14ac:dyDescent="0.2">
      <c r="A8" s="284" t="s">
        <v>1</v>
      </c>
      <c r="B8" s="286" t="s">
        <v>2</v>
      </c>
      <c r="C8" s="286" t="s">
        <v>3</v>
      </c>
      <c r="D8" s="286" t="s">
        <v>4</v>
      </c>
      <c r="E8" s="286"/>
      <c r="F8" s="286" t="s">
        <v>16</v>
      </c>
      <c r="G8" s="286"/>
      <c r="H8" s="6" t="s">
        <v>5</v>
      </c>
    </row>
    <row r="9" spans="1:8" ht="26.25" thickBot="1" x14ac:dyDescent="0.25">
      <c r="A9" s="321"/>
      <c r="B9" s="322"/>
      <c r="C9" s="322"/>
      <c r="D9" s="7" t="s">
        <v>6</v>
      </c>
      <c r="E9" s="8" t="s">
        <v>7</v>
      </c>
      <c r="F9" s="7" t="s">
        <v>6</v>
      </c>
      <c r="G9" s="8" t="s">
        <v>7</v>
      </c>
      <c r="H9" s="39" t="s">
        <v>8</v>
      </c>
    </row>
    <row r="10" spans="1:8" x14ac:dyDescent="0.2">
      <c r="A10" s="211" t="s">
        <v>36</v>
      </c>
      <c r="B10" s="212" t="s">
        <v>37</v>
      </c>
      <c r="C10" s="37" t="s">
        <v>38</v>
      </c>
      <c r="D10" s="37">
        <v>3180</v>
      </c>
      <c r="E10" s="37" t="s">
        <v>26</v>
      </c>
      <c r="F10" s="23"/>
      <c r="G10" s="37"/>
      <c r="H10" s="38"/>
    </row>
    <row r="11" spans="1:8" x14ac:dyDescent="0.2">
      <c r="A11" s="211" t="s">
        <v>39</v>
      </c>
      <c r="B11" s="212" t="s">
        <v>40</v>
      </c>
      <c r="C11" s="37" t="s">
        <v>49</v>
      </c>
      <c r="D11" s="37">
        <v>150</v>
      </c>
      <c r="E11" s="37" t="s">
        <v>26</v>
      </c>
      <c r="F11" s="23"/>
      <c r="G11" s="37"/>
      <c r="H11" s="38"/>
    </row>
    <row r="12" spans="1:8" x14ac:dyDescent="0.2">
      <c r="A12" s="211" t="s">
        <v>41</v>
      </c>
      <c r="B12" s="212" t="s">
        <v>42</v>
      </c>
      <c r="C12" s="37" t="s">
        <v>50</v>
      </c>
      <c r="D12" s="37">
        <v>100</v>
      </c>
      <c r="E12" s="37" t="s">
        <v>26</v>
      </c>
      <c r="F12" s="23"/>
      <c r="G12" s="37"/>
      <c r="H12" s="38"/>
    </row>
    <row r="13" spans="1:8" x14ac:dyDescent="0.2">
      <c r="A13" s="211" t="s">
        <v>43</v>
      </c>
      <c r="B13" s="212" t="s">
        <v>44</v>
      </c>
      <c r="C13" s="37" t="s">
        <v>50</v>
      </c>
      <c r="D13" s="37">
        <v>10</v>
      </c>
      <c r="E13" s="37" t="s">
        <v>26</v>
      </c>
      <c r="F13" s="23"/>
      <c r="G13" s="37"/>
      <c r="H13" s="38"/>
    </row>
    <row r="14" spans="1:8" ht="15" x14ac:dyDescent="0.25">
      <c r="A14" s="51" t="s">
        <v>69</v>
      </c>
      <c r="B14" s="52" t="s">
        <v>70</v>
      </c>
      <c r="C14" s="37"/>
      <c r="D14" s="37">
        <v>8</v>
      </c>
      <c r="E14" s="37" t="s">
        <v>26</v>
      </c>
      <c r="F14" s="23"/>
      <c r="G14" s="37"/>
      <c r="H14" s="38"/>
    </row>
    <row r="15" spans="1:8" x14ac:dyDescent="0.2">
      <c r="A15" s="41"/>
      <c r="B15"/>
      <c r="C15" s="37"/>
      <c r="D15" s="37"/>
      <c r="E15" s="37"/>
      <c r="F15" s="23"/>
      <c r="G15" s="37"/>
      <c r="H15" s="38"/>
    </row>
    <row r="16" spans="1:8" x14ac:dyDescent="0.2">
      <c r="A16" s="213">
        <v>10100045</v>
      </c>
      <c r="B16" s="214" t="s">
        <v>51</v>
      </c>
      <c r="C16" s="43" t="s">
        <v>45</v>
      </c>
      <c r="D16" s="37">
        <v>2000</v>
      </c>
      <c r="E16" s="37" t="s">
        <v>26</v>
      </c>
      <c r="F16" s="23"/>
      <c r="G16" s="37"/>
      <c r="H16" s="38"/>
    </row>
    <row r="17" spans="1:12" x14ac:dyDescent="0.2">
      <c r="A17" s="41"/>
      <c r="B17"/>
      <c r="C17" s="37"/>
      <c r="D17" s="37">
        <v>1250</v>
      </c>
      <c r="E17" s="37"/>
      <c r="F17" s="23"/>
      <c r="G17" s="37"/>
      <c r="H17" s="38"/>
    </row>
    <row r="18" spans="1:12" x14ac:dyDescent="0.2">
      <c r="A18" s="215" t="s">
        <v>46</v>
      </c>
      <c r="B18" s="216" t="s">
        <v>47</v>
      </c>
      <c r="C18" s="37" t="s">
        <v>48</v>
      </c>
      <c r="D18" s="37">
        <v>125</v>
      </c>
      <c r="E18" s="37" t="s">
        <v>26</v>
      </c>
      <c r="F18" s="23"/>
      <c r="G18" s="37"/>
      <c r="H18" s="38"/>
    </row>
    <row r="19" spans="1:12" x14ac:dyDescent="0.2">
      <c r="A19" s="41"/>
      <c r="B19"/>
      <c r="C19" s="37"/>
      <c r="D19" s="37"/>
      <c r="E19" s="37"/>
      <c r="F19" s="23"/>
      <c r="G19" s="37"/>
      <c r="H19" s="38"/>
    </row>
    <row r="20" spans="1:12" x14ac:dyDescent="0.2">
      <c r="A20" s="41"/>
      <c r="B20"/>
      <c r="C20" s="37"/>
      <c r="D20" s="37"/>
      <c r="E20" s="37"/>
      <c r="F20" s="23"/>
      <c r="G20" s="37"/>
      <c r="H20" s="38"/>
    </row>
    <row r="21" spans="1:12" ht="13.5" x14ac:dyDescent="0.25">
      <c r="A21" s="217">
        <v>1950702</v>
      </c>
      <c r="B21" s="44" t="s">
        <v>52</v>
      </c>
      <c r="C21" s="218" t="s">
        <v>53</v>
      </c>
      <c r="D21" s="45">
        <v>1</v>
      </c>
      <c r="E21" s="45" t="s">
        <v>27</v>
      </c>
      <c r="F21" s="23"/>
      <c r="G21" s="37"/>
      <c r="H21" s="38"/>
    </row>
    <row r="22" spans="1:12" ht="13.5" customHeight="1" x14ac:dyDescent="0.25">
      <c r="A22" s="217">
        <v>1950708</v>
      </c>
      <c r="B22" s="44" t="s">
        <v>54</v>
      </c>
      <c r="C22" s="218" t="s">
        <v>53</v>
      </c>
      <c r="D22" s="45">
        <v>1</v>
      </c>
      <c r="E22" s="45" t="s">
        <v>27</v>
      </c>
      <c r="F22" s="9"/>
      <c r="G22" s="10"/>
      <c r="H22" s="11"/>
    </row>
    <row r="23" spans="1:12" ht="13.5" x14ac:dyDescent="0.25">
      <c r="A23" s="57">
        <v>702123</v>
      </c>
      <c r="B23" s="219" t="s">
        <v>55</v>
      </c>
      <c r="C23" s="218" t="s">
        <v>33</v>
      </c>
      <c r="D23" s="45">
        <v>1</v>
      </c>
      <c r="E23" s="45" t="s">
        <v>27</v>
      </c>
      <c r="F23" s="9"/>
      <c r="G23" s="10"/>
      <c r="H23" s="11"/>
    </row>
    <row r="24" spans="1:12" ht="15" x14ac:dyDescent="0.25">
      <c r="A24" s="46">
        <v>60100010</v>
      </c>
      <c r="B24" s="47" t="s">
        <v>56</v>
      </c>
      <c r="C24" s="48" t="s">
        <v>33</v>
      </c>
      <c r="D24" s="45">
        <v>1</v>
      </c>
      <c r="E24" s="49" t="s">
        <v>27</v>
      </c>
      <c r="F24" s="9"/>
      <c r="G24" s="10"/>
      <c r="H24" s="11"/>
    </row>
    <row r="25" spans="1:12" ht="13.5" thickBot="1" x14ac:dyDescent="0.25">
      <c r="A25" s="12"/>
      <c r="D25" s="13"/>
      <c r="E25" s="14"/>
      <c r="H25" s="15"/>
      <c r="K25" s="16"/>
    </row>
    <row r="26" spans="1:12" ht="13.5" thickBot="1" x14ac:dyDescent="0.25">
      <c r="A26" s="17"/>
      <c r="B26" s="18"/>
      <c r="C26" s="19" t="s">
        <v>6</v>
      </c>
      <c r="D26" s="20" t="s">
        <v>15</v>
      </c>
      <c r="E26" s="21"/>
      <c r="F26" s="18"/>
      <c r="G26" s="18"/>
      <c r="H26" s="22"/>
      <c r="K26" s="16"/>
    </row>
    <row r="27" spans="1:12" x14ac:dyDescent="0.2">
      <c r="A27" s="276" t="s">
        <v>10</v>
      </c>
      <c r="B27" s="277"/>
      <c r="C27" s="23">
        <v>6680</v>
      </c>
      <c r="D27" s="24" t="s">
        <v>26</v>
      </c>
      <c r="E27" s="278"/>
      <c r="F27" s="278"/>
      <c r="G27" s="279"/>
      <c r="H27" s="280"/>
      <c r="K27" s="16"/>
    </row>
    <row r="28" spans="1:12" x14ac:dyDescent="0.2">
      <c r="A28" s="297" t="s">
        <v>9</v>
      </c>
      <c r="B28" s="298"/>
      <c r="C28" s="25">
        <v>4</v>
      </c>
      <c r="D28" s="10" t="s">
        <v>28</v>
      </c>
      <c r="E28" s="299"/>
      <c r="F28" s="299"/>
      <c r="G28" s="300"/>
      <c r="H28" s="301"/>
      <c r="K28" s="16"/>
    </row>
    <row r="29" spans="1:12" x14ac:dyDescent="0.2">
      <c r="A29" s="297" t="s">
        <v>14</v>
      </c>
      <c r="B29" s="298"/>
      <c r="C29" s="9">
        <f>C27/C30</f>
        <v>1</v>
      </c>
      <c r="D29" s="10" t="s">
        <v>27</v>
      </c>
      <c r="E29" s="299"/>
      <c r="F29" s="299"/>
      <c r="G29" s="300"/>
      <c r="H29" s="301"/>
      <c r="K29" s="16"/>
    </row>
    <row r="30" spans="1:12" x14ac:dyDescent="0.2">
      <c r="A30" s="297" t="s">
        <v>13</v>
      </c>
      <c r="B30" s="298"/>
      <c r="C30" s="9">
        <v>6680</v>
      </c>
      <c r="D30" s="10" t="s">
        <v>26</v>
      </c>
      <c r="E30" s="302"/>
      <c r="F30" s="303"/>
      <c r="G30" s="300"/>
      <c r="H30" s="301"/>
      <c r="K30" s="16"/>
      <c r="L30" s="26"/>
    </row>
    <row r="31" spans="1:12" ht="13.5" thickBot="1" x14ac:dyDescent="0.25">
      <c r="A31" s="310" t="s">
        <v>12</v>
      </c>
      <c r="B31" s="311"/>
      <c r="C31" s="27">
        <f>SUM(D10:D23)-C27</f>
        <v>146</v>
      </c>
      <c r="D31" s="28" t="s">
        <v>26</v>
      </c>
      <c r="E31" s="312"/>
      <c r="F31" s="312"/>
      <c r="G31" s="313"/>
      <c r="H31" s="314"/>
      <c r="K31" s="16"/>
    </row>
    <row r="32" spans="1:12" ht="13.5" thickBot="1" x14ac:dyDescent="0.25">
      <c r="A32" s="318" t="s">
        <v>11</v>
      </c>
      <c r="B32" s="319"/>
      <c r="C32" s="319"/>
      <c r="D32" s="319"/>
      <c r="E32" s="319"/>
      <c r="F32" s="319"/>
      <c r="G32" s="319"/>
      <c r="H32" s="320"/>
    </row>
    <row r="33" spans="1:8" ht="15" x14ac:dyDescent="0.25">
      <c r="A33" s="304"/>
      <c r="B33" s="305"/>
      <c r="C33" s="305"/>
      <c r="D33" s="305"/>
      <c r="E33" s="305"/>
      <c r="F33" s="305"/>
      <c r="G33" s="305"/>
      <c r="H33" s="306"/>
    </row>
    <row r="34" spans="1:8" ht="15" x14ac:dyDescent="0.25">
      <c r="A34" s="304"/>
      <c r="B34" s="305"/>
      <c r="C34" s="305"/>
      <c r="D34" s="305"/>
      <c r="E34" s="305"/>
      <c r="F34" s="305"/>
      <c r="G34" s="305"/>
      <c r="H34" s="306"/>
    </row>
    <row r="35" spans="1:8" ht="15" x14ac:dyDescent="0.25">
      <c r="A35" s="304"/>
      <c r="B35" s="305"/>
      <c r="C35" s="305"/>
      <c r="D35" s="305"/>
      <c r="E35" s="305"/>
      <c r="F35" s="305"/>
      <c r="G35" s="305"/>
      <c r="H35" s="306"/>
    </row>
    <row r="36" spans="1:8" ht="15" x14ac:dyDescent="0.25">
      <c r="A36" s="304"/>
      <c r="B36" s="305"/>
      <c r="C36" s="305"/>
      <c r="D36" s="305"/>
      <c r="E36" s="305"/>
      <c r="F36" s="305"/>
      <c r="G36" s="305"/>
      <c r="H36" s="306"/>
    </row>
    <row r="37" spans="1:8" ht="15" x14ac:dyDescent="0.25">
      <c r="A37" s="304"/>
      <c r="B37" s="305"/>
      <c r="C37" s="305"/>
      <c r="D37" s="305"/>
      <c r="E37" s="305"/>
      <c r="F37" s="305"/>
      <c r="G37" s="305"/>
      <c r="H37" s="306"/>
    </row>
    <row r="38" spans="1:8" ht="15" x14ac:dyDescent="0.25">
      <c r="A38" s="304"/>
      <c r="B38" s="305"/>
      <c r="C38" s="305"/>
      <c r="D38" s="305"/>
      <c r="E38" s="305"/>
      <c r="F38" s="305"/>
      <c r="G38" s="305"/>
      <c r="H38" s="306"/>
    </row>
    <row r="39" spans="1:8" ht="16.5" customHeight="1" x14ac:dyDescent="0.2">
      <c r="A39" s="315"/>
      <c r="B39" s="316"/>
      <c r="C39" s="316"/>
      <c r="D39" s="316"/>
      <c r="E39" s="316"/>
      <c r="F39" s="316"/>
      <c r="G39" s="316"/>
      <c r="H39" s="317"/>
    </row>
    <row r="40" spans="1:8" ht="16.5" customHeight="1" x14ac:dyDescent="0.2">
      <c r="A40" s="315"/>
      <c r="B40" s="316"/>
      <c r="C40" s="316"/>
      <c r="D40" s="316"/>
      <c r="E40" s="316"/>
      <c r="F40" s="316"/>
      <c r="G40" s="316"/>
      <c r="H40" s="317"/>
    </row>
    <row r="41" spans="1:8" ht="16.5" customHeight="1" thickBot="1" x14ac:dyDescent="0.25">
      <c r="A41" s="307"/>
      <c r="B41" s="308"/>
      <c r="C41" s="308"/>
      <c r="D41" s="308"/>
      <c r="E41" s="308"/>
      <c r="F41" s="308"/>
      <c r="G41" s="308"/>
      <c r="H41" s="309"/>
    </row>
    <row r="43" spans="1:8" x14ac:dyDescent="0.2">
      <c r="A43" s="29"/>
      <c r="B43" s="29"/>
    </row>
  </sheetData>
  <mergeCells count="41">
    <mergeCell ref="A34:H34"/>
    <mergeCell ref="A41:H41"/>
    <mergeCell ref="A35:H35"/>
    <mergeCell ref="A36:H36"/>
    <mergeCell ref="A37:H37"/>
    <mergeCell ref="A38:H38"/>
    <mergeCell ref="A39:H39"/>
    <mergeCell ref="A40:H40"/>
    <mergeCell ref="A31:B31"/>
    <mergeCell ref="E31:F31"/>
    <mergeCell ref="G31:H31"/>
    <mergeCell ref="A32:H32"/>
    <mergeCell ref="A33:H33"/>
    <mergeCell ref="A29:B29"/>
    <mergeCell ref="E29:F29"/>
    <mergeCell ref="G29:H29"/>
    <mergeCell ref="A30:B30"/>
    <mergeCell ref="E30:F30"/>
    <mergeCell ref="G30:H30"/>
    <mergeCell ref="A27:B27"/>
    <mergeCell ref="E27:F27"/>
    <mergeCell ref="G27:H27"/>
    <mergeCell ref="A28:B28"/>
    <mergeCell ref="E28:F28"/>
    <mergeCell ref="G28:H28"/>
    <mergeCell ref="A8:A9"/>
    <mergeCell ref="B8:B9"/>
    <mergeCell ref="C8:C9"/>
    <mergeCell ref="D8:E8"/>
    <mergeCell ref="F8:G8"/>
    <mergeCell ref="H3:H5"/>
    <mergeCell ref="C4:F4"/>
    <mergeCell ref="C5:F5"/>
    <mergeCell ref="A7:B7"/>
    <mergeCell ref="C7:E7"/>
    <mergeCell ref="F7:G7"/>
    <mergeCell ref="A1:A5"/>
    <mergeCell ref="B1:F1"/>
    <mergeCell ref="B2:F2"/>
    <mergeCell ref="B3:F3"/>
    <mergeCell ref="G3:G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E0105-877E-4D7A-993A-FFDA78872074}">
  <dimension ref="A1:I59"/>
  <sheetViews>
    <sheetView tabSelected="1" view="pageBreakPreview" zoomScale="60" zoomScaleNormal="70" workbookViewId="0">
      <selection activeCell="Q7" sqref="Q7"/>
    </sheetView>
  </sheetViews>
  <sheetFormatPr baseColWidth="10" defaultRowHeight="12.75" x14ac:dyDescent="0.2"/>
  <cols>
    <col min="1" max="1" width="15.42578125" bestFit="1" customWidth="1"/>
    <col min="2" max="2" width="13.5703125" bestFit="1" customWidth="1"/>
    <col min="3" max="3" width="49" customWidth="1"/>
    <col min="4" max="4" width="34.28515625" bestFit="1" customWidth="1"/>
    <col min="8" max="8" width="47.5703125" bestFit="1" customWidth="1"/>
    <col min="9" max="9" width="22.7109375" bestFit="1" customWidth="1"/>
  </cols>
  <sheetData>
    <row r="1" spans="1:9" ht="18" x14ac:dyDescent="0.25">
      <c r="A1" s="497"/>
      <c r="B1" s="498"/>
      <c r="C1" s="499" t="s">
        <v>22</v>
      </c>
      <c r="D1" s="499"/>
      <c r="E1" s="499"/>
      <c r="F1" s="499"/>
      <c r="G1" s="499"/>
      <c r="H1" s="500" t="s">
        <v>21</v>
      </c>
      <c r="I1" s="501" t="s">
        <v>236</v>
      </c>
    </row>
    <row r="2" spans="1:9" ht="18" customHeight="1" thickBot="1" x14ac:dyDescent="0.3">
      <c r="A2" s="502"/>
      <c r="B2" s="503"/>
      <c r="C2" s="504" t="s">
        <v>0</v>
      </c>
      <c r="D2" s="505"/>
      <c r="E2" s="505"/>
      <c r="F2" s="505"/>
      <c r="G2" s="506"/>
      <c r="H2" s="507" t="s">
        <v>20</v>
      </c>
      <c r="I2" s="508" t="s">
        <v>212</v>
      </c>
    </row>
    <row r="3" spans="1:9" ht="31.5" customHeight="1" thickBot="1" x14ac:dyDescent="0.25">
      <c r="A3" s="502"/>
      <c r="B3" s="503"/>
      <c r="C3" s="325" t="s">
        <v>208</v>
      </c>
      <c r="D3" s="326"/>
      <c r="E3" s="326"/>
      <c r="F3" s="326"/>
      <c r="G3" s="327"/>
      <c r="H3" s="509" t="s">
        <v>19</v>
      </c>
      <c r="I3" s="510">
        <v>45617</v>
      </c>
    </row>
    <row r="4" spans="1:9" ht="18" customHeight="1" x14ac:dyDescent="0.25">
      <c r="A4" s="502"/>
      <c r="B4" s="503"/>
      <c r="C4" s="511" t="s">
        <v>18</v>
      </c>
      <c r="D4" s="512" t="s">
        <v>213</v>
      </c>
      <c r="E4" s="513"/>
      <c r="F4" s="513"/>
      <c r="G4" s="514"/>
      <c r="H4" s="515"/>
      <c r="I4" s="516"/>
    </row>
    <row r="5" spans="1:9" ht="18.75" thickBot="1" x14ac:dyDescent="0.3">
      <c r="A5" s="517"/>
      <c r="B5" s="518"/>
      <c r="C5" s="519" t="s">
        <v>17</v>
      </c>
      <c r="D5" s="520" t="s">
        <v>190</v>
      </c>
      <c r="E5" s="521"/>
      <c r="F5" s="521"/>
      <c r="G5" s="522"/>
      <c r="H5" s="523"/>
      <c r="I5" s="524"/>
    </row>
    <row r="6" spans="1:9" ht="18.75" thickBot="1" x14ac:dyDescent="0.3">
      <c r="A6" s="289" t="s">
        <v>23</v>
      </c>
      <c r="B6" s="289"/>
      <c r="C6" s="289"/>
      <c r="D6" s="525" t="s">
        <v>214</v>
      </c>
      <c r="E6" s="525"/>
      <c r="F6" s="525"/>
      <c r="G6" s="291" t="s">
        <v>24</v>
      </c>
      <c r="H6" s="291"/>
      <c r="I6" s="526" t="s">
        <v>214</v>
      </c>
    </row>
    <row r="7" spans="1:9" ht="36" x14ac:dyDescent="0.2">
      <c r="A7" s="527" t="s">
        <v>1</v>
      </c>
      <c r="B7" s="528" t="s">
        <v>215</v>
      </c>
      <c r="C7" s="529" t="s">
        <v>2</v>
      </c>
      <c r="D7" s="529" t="s">
        <v>3</v>
      </c>
      <c r="E7" s="529" t="s">
        <v>4</v>
      </c>
      <c r="F7" s="529"/>
      <c r="G7" s="529" t="s">
        <v>16</v>
      </c>
      <c r="H7" s="529"/>
      <c r="I7" s="530" t="s">
        <v>5</v>
      </c>
    </row>
    <row r="8" spans="1:9" ht="54.75" thickBot="1" x14ac:dyDescent="0.3">
      <c r="A8" s="531"/>
      <c r="B8" s="532"/>
      <c r="C8" s="533"/>
      <c r="D8" s="533"/>
      <c r="E8" s="534" t="s">
        <v>6</v>
      </c>
      <c r="F8" s="535" t="s">
        <v>7</v>
      </c>
      <c r="G8" s="534" t="s">
        <v>6</v>
      </c>
      <c r="H8" s="535" t="s">
        <v>7</v>
      </c>
      <c r="I8" s="536" t="s">
        <v>8</v>
      </c>
    </row>
    <row r="9" spans="1:9" ht="18.399999999999999" customHeight="1" x14ac:dyDescent="0.3">
      <c r="A9" s="537"/>
      <c r="B9" s="538"/>
      <c r="C9" s="539" t="s">
        <v>216</v>
      </c>
      <c r="D9" s="540"/>
      <c r="E9" s="541"/>
      <c r="F9" s="542"/>
      <c r="G9" s="541"/>
      <c r="H9" s="542"/>
      <c r="I9" s="543"/>
    </row>
    <row r="10" spans="1:9" ht="18" customHeight="1" x14ac:dyDescent="0.3">
      <c r="A10" s="544" t="s">
        <v>36</v>
      </c>
      <c r="B10" s="545" t="s">
        <v>191</v>
      </c>
      <c r="C10" s="546" t="s">
        <v>217</v>
      </c>
      <c r="D10" s="547" t="s">
        <v>218</v>
      </c>
      <c r="E10" s="548">
        <v>3180</v>
      </c>
      <c r="F10" s="549" t="s">
        <v>26</v>
      </c>
      <c r="G10" s="550"/>
      <c r="H10" s="551"/>
      <c r="I10" s="543"/>
    </row>
    <row r="11" spans="1:9" ht="18.75" x14ac:dyDescent="0.3">
      <c r="A11" s="544" t="s">
        <v>39</v>
      </c>
      <c r="B11" s="552" t="s">
        <v>192</v>
      </c>
      <c r="C11" s="546" t="s">
        <v>219</v>
      </c>
      <c r="D11" s="547" t="s">
        <v>220</v>
      </c>
      <c r="E11" s="548">
        <v>150</v>
      </c>
      <c r="F11" s="549" t="s">
        <v>26</v>
      </c>
      <c r="G11" s="550"/>
      <c r="H11" s="551"/>
      <c r="I11" s="543"/>
    </row>
    <row r="12" spans="1:9" ht="18.75" x14ac:dyDescent="0.3">
      <c r="A12" s="553" t="s">
        <v>41</v>
      </c>
      <c r="B12" s="554" t="s">
        <v>193</v>
      </c>
      <c r="C12" s="555" t="s">
        <v>221</v>
      </c>
      <c r="D12" s="556" t="s">
        <v>222</v>
      </c>
      <c r="E12" s="548">
        <v>100</v>
      </c>
      <c r="F12" s="549" t="s">
        <v>26</v>
      </c>
      <c r="G12" s="557"/>
      <c r="H12" s="551"/>
      <c r="I12" s="543"/>
    </row>
    <row r="13" spans="1:9" ht="18.75" x14ac:dyDescent="0.3">
      <c r="A13" s="552" t="s">
        <v>43</v>
      </c>
      <c r="B13" s="552" t="s">
        <v>194</v>
      </c>
      <c r="C13" s="558" t="s">
        <v>223</v>
      </c>
      <c r="D13" s="559" t="s">
        <v>222</v>
      </c>
      <c r="E13" s="559">
        <v>10</v>
      </c>
      <c r="F13" s="559" t="s">
        <v>26</v>
      </c>
      <c r="G13" s="557"/>
      <c r="H13" s="551"/>
      <c r="I13" s="543"/>
    </row>
    <row r="14" spans="1:9" ht="18.75" x14ac:dyDescent="0.3">
      <c r="A14" s="560" t="s">
        <v>69</v>
      </c>
      <c r="B14" s="560" t="s">
        <v>195</v>
      </c>
      <c r="C14" s="561" t="s">
        <v>224</v>
      </c>
      <c r="D14" s="559" t="s">
        <v>225</v>
      </c>
      <c r="E14" s="559">
        <v>30</v>
      </c>
      <c r="F14" s="559" t="s">
        <v>26</v>
      </c>
      <c r="G14" s="557"/>
      <c r="H14" s="551"/>
      <c r="I14" s="543"/>
    </row>
    <row r="15" spans="1:9" ht="18.75" x14ac:dyDescent="0.3">
      <c r="A15" s="560"/>
      <c r="B15" s="560"/>
      <c r="C15" s="561" t="s">
        <v>225</v>
      </c>
      <c r="D15" s="559" t="s">
        <v>225</v>
      </c>
      <c r="E15" s="559"/>
      <c r="F15" s="559"/>
      <c r="G15" s="557"/>
      <c r="H15" s="551"/>
      <c r="I15" s="543"/>
    </row>
    <row r="16" spans="1:9" ht="18.75" x14ac:dyDescent="0.3">
      <c r="A16" s="560" t="s">
        <v>153</v>
      </c>
      <c r="B16" s="560" t="s">
        <v>196</v>
      </c>
      <c r="C16" s="561" t="s">
        <v>226</v>
      </c>
      <c r="D16" s="559" t="s">
        <v>227</v>
      </c>
      <c r="E16" s="559">
        <v>2000</v>
      </c>
      <c r="F16" s="559" t="s">
        <v>26</v>
      </c>
      <c r="G16" s="557"/>
      <c r="H16" s="551"/>
      <c r="I16" s="543"/>
    </row>
    <row r="17" spans="1:9" ht="18.75" x14ac:dyDescent="0.3">
      <c r="A17" s="560"/>
      <c r="B17" s="560"/>
      <c r="C17" s="561"/>
      <c r="D17" s="559"/>
      <c r="E17" s="559"/>
      <c r="F17" s="559"/>
      <c r="G17" s="557"/>
      <c r="H17" s="551"/>
      <c r="I17" s="543"/>
    </row>
    <row r="18" spans="1:9" ht="18.75" x14ac:dyDescent="0.3">
      <c r="A18" s="560"/>
      <c r="B18" s="560"/>
      <c r="C18" s="561"/>
      <c r="D18" s="559"/>
      <c r="E18" s="559"/>
      <c r="F18" s="559"/>
      <c r="G18" s="557"/>
      <c r="H18" s="551"/>
      <c r="I18" s="543"/>
    </row>
    <row r="19" spans="1:9" ht="18.75" x14ac:dyDescent="0.3">
      <c r="A19" s="552"/>
      <c r="B19" s="552"/>
      <c r="C19" s="562"/>
      <c r="D19" s="559"/>
      <c r="E19" s="559"/>
      <c r="F19" s="559"/>
      <c r="G19" s="557"/>
      <c r="H19" s="551"/>
      <c r="I19" s="543"/>
    </row>
    <row r="20" spans="1:9" ht="18.75" x14ac:dyDescent="0.3">
      <c r="A20" s="552"/>
      <c r="B20" s="552"/>
      <c r="C20" s="562"/>
      <c r="D20" s="559"/>
      <c r="E20" s="559"/>
      <c r="F20" s="559"/>
      <c r="G20" s="557"/>
      <c r="H20" s="551"/>
      <c r="I20" s="543"/>
    </row>
    <row r="21" spans="1:9" ht="18.75" x14ac:dyDescent="0.3">
      <c r="A21" s="563"/>
      <c r="B21" s="564"/>
      <c r="C21" s="565" t="s">
        <v>228</v>
      </c>
      <c r="D21" s="559"/>
      <c r="E21" s="559"/>
      <c r="F21" s="559"/>
      <c r="G21" s="557"/>
      <c r="H21" s="551"/>
      <c r="I21" s="543"/>
    </row>
    <row r="22" spans="1:9" ht="18.75" x14ac:dyDescent="0.3">
      <c r="A22" s="566"/>
      <c r="B22" s="552"/>
      <c r="C22" s="562"/>
      <c r="D22" s="567"/>
      <c r="E22" s="567"/>
      <c r="F22" s="567"/>
      <c r="G22" s="541"/>
      <c r="H22" s="551"/>
      <c r="I22" s="543"/>
    </row>
    <row r="23" spans="1:9" ht="18.75" x14ac:dyDescent="0.3">
      <c r="A23" s="563"/>
      <c r="B23" s="564"/>
      <c r="C23" s="565"/>
      <c r="D23" s="568"/>
      <c r="E23" s="569"/>
      <c r="F23" s="570"/>
      <c r="G23" s="541"/>
      <c r="H23" s="551"/>
      <c r="I23" s="543"/>
    </row>
    <row r="24" spans="1:9" ht="18.75" x14ac:dyDescent="0.3">
      <c r="A24" s="571"/>
      <c r="B24" s="572"/>
      <c r="C24" s="573"/>
      <c r="D24" s="574"/>
      <c r="E24" s="575"/>
      <c r="F24" s="576"/>
      <c r="G24" s="541"/>
      <c r="H24" s="551"/>
      <c r="I24" s="543"/>
    </row>
    <row r="25" spans="1:9" ht="18.75" x14ac:dyDescent="0.3">
      <c r="A25" s="571"/>
      <c r="B25" s="572"/>
      <c r="C25" s="573"/>
      <c r="D25" s="574"/>
      <c r="E25" s="577"/>
      <c r="F25" s="576"/>
      <c r="G25" s="541"/>
      <c r="H25" s="542"/>
      <c r="I25" s="543"/>
    </row>
    <row r="26" spans="1:9" ht="18.75" x14ac:dyDescent="0.3">
      <c r="A26" s="571"/>
      <c r="B26" s="572"/>
      <c r="C26" s="573"/>
      <c r="D26" s="574"/>
      <c r="E26" s="575"/>
      <c r="F26" s="576"/>
      <c r="G26" s="541"/>
      <c r="H26" s="542"/>
      <c r="I26" s="543"/>
    </row>
    <row r="27" spans="1:9" ht="18.75" x14ac:dyDescent="0.3">
      <c r="A27" s="571"/>
      <c r="B27" s="572"/>
      <c r="C27" s="573"/>
      <c r="D27" s="574"/>
      <c r="E27" s="578"/>
      <c r="F27" s="579"/>
      <c r="G27" s="541"/>
      <c r="H27" s="542"/>
      <c r="I27" s="543"/>
    </row>
    <row r="28" spans="1:9" ht="18.75" x14ac:dyDescent="0.3">
      <c r="A28" s="552"/>
      <c r="B28" s="552"/>
      <c r="C28" s="562"/>
      <c r="D28" s="580"/>
      <c r="E28" s="581"/>
      <c r="F28" s="582"/>
      <c r="G28" s="541"/>
      <c r="H28" s="542"/>
      <c r="I28" s="543"/>
    </row>
    <row r="29" spans="1:9" ht="18.75" x14ac:dyDescent="0.3">
      <c r="A29" s="583"/>
      <c r="B29" s="584"/>
      <c r="C29" s="585" t="s">
        <v>30</v>
      </c>
      <c r="D29" s="586"/>
      <c r="E29" s="587"/>
      <c r="F29" s="542"/>
      <c r="G29" s="541"/>
      <c r="H29" s="588"/>
      <c r="I29" s="543"/>
    </row>
    <row r="30" spans="1:9" ht="18.75" x14ac:dyDescent="0.3">
      <c r="A30" s="589" t="s">
        <v>154</v>
      </c>
      <c r="B30" s="590" t="s">
        <v>197</v>
      </c>
      <c r="C30" s="591" t="s">
        <v>229</v>
      </c>
      <c r="D30" s="559" t="s">
        <v>230</v>
      </c>
      <c r="E30" s="592">
        <v>1</v>
      </c>
      <c r="F30" s="593" t="s">
        <v>27</v>
      </c>
      <c r="G30" s="594"/>
      <c r="H30" s="542"/>
      <c r="I30" s="543"/>
    </row>
    <row r="31" spans="1:9" ht="18.75" x14ac:dyDescent="0.3">
      <c r="A31" s="589" t="s">
        <v>155</v>
      </c>
      <c r="B31" s="590" t="s">
        <v>198</v>
      </c>
      <c r="C31" s="591" t="s">
        <v>231</v>
      </c>
      <c r="D31" s="559" t="s">
        <v>230</v>
      </c>
      <c r="E31" s="592">
        <v>2</v>
      </c>
      <c r="F31" s="593" t="s">
        <v>27</v>
      </c>
      <c r="G31" s="594"/>
      <c r="H31" s="542"/>
      <c r="I31" s="543"/>
    </row>
    <row r="32" spans="1:9" ht="18.75" x14ac:dyDescent="0.3">
      <c r="A32" s="595" t="s">
        <v>156</v>
      </c>
      <c r="B32" s="596" t="s">
        <v>199</v>
      </c>
      <c r="C32" s="597" t="s">
        <v>232</v>
      </c>
      <c r="D32" s="559" t="s">
        <v>233</v>
      </c>
      <c r="E32" s="592">
        <v>2</v>
      </c>
      <c r="F32" s="593" t="s">
        <v>27</v>
      </c>
      <c r="G32" s="594"/>
      <c r="H32" s="542"/>
      <c r="I32" s="543"/>
    </row>
    <row r="33" spans="1:9" ht="18.75" x14ac:dyDescent="0.3">
      <c r="A33" s="598" t="s">
        <v>157</v>
      </c>
      <c r="B33" s="598" t="s">
        <v>200</v>
      </c>
      <c r="C33" s="599" t="s">
        <v>234</v>
      </c>
      <c r="D33" s="559" t="s">
        <v>233</v>
      </c>
      <c r="E33" s="592">
        <v>2</v>
      </c>
      <c r="F33" s="593" t="s">
        <v>27</v>
      </c>
      <c r="G33" s="541"/>
      <c r="H33" s="542"/>
      <c r="I33" s="543"/>
    </row>
    <row r="34" spans="1:9" ht="18.75" x14ac:dyDescent="0.3">
      <c r="A34" s="598"/>
      <c r="B34" s="598"/>
      <c r="C34" s="599"/>
      <c r="D34" s="559"/>
      <c r="E34" s="592"/>
      <c r="F34" s="593"/>
      <c r="G34" s="541"/>
      <c r="H34" s="542"/>
      <c r="I34" s="543"/>
    </row>
    <row r="35" spans="1:9" ht="18.75" x14ac:dyDescent="0.3">
      <c r="A35" s="598"/>
      <c r="B35" s="598"/>
      <c r="C35" s="599"/>
      <c r="D35" s="559"/>
      <c r="E35" s="592"/>
      <c r="F35" s="593"/>
      <c r="G35" s="600"/>
      <c r="H35" s="542"/>
      <c r="I35" s="543"/>
    </row>
    <row r="36" spans="1:9" ht="18.75" x14ac:dyDescent="0.3">
      <c r="A36" s="598"/>
      <c r="B36" s="598"/>
      <c r="C36" s="599"/>
      <c r="D36" s="559"/>
      <c r="E36" s="592"/>
      <c r="F36" s="593"/>
      <c r="G36" s="601"/>
      <c r="H36" s="542"/>
      <c r="I36" s="543"/>
    </row>
    <row r="37" spans="1:9" ht="18.75" x14ac:dyDescent="0.3">
      <c r="A37" s="602"/>
      <c r="B37" s="602"/>
      <c r="C37" s="603"/>
      <c r="D37" s="559"/>
      <c r="E37" s="582"/>
      <c r="F37" s="582"/>
      <c r="G37" s="601"/>
      <c r="H37" s="542"/>
      <c r="I37" s="543"/>
    </row>
    <row r="38" spans="1:9" ht="18.75" x14ac:dyDescent="0.3">
      <c r="A38" s="604"/>
      <c r="B38" s="552"/>
      <c r="C38" s="605"/>
      <c r="D38" s="606"/>
      <c r="E38" s="581"/>
      <c r="F38" s="557"/>
      <c r="G38" s="601"/>
      <c r="H38" s="542"/>
      <c r="I38" s="543"/>
    </row>
    <row r="39" spans="1:9" ht="18.75" x14ac:dyDescent="0.3">
      <c r="A39" s="598"/>
      <c r="B39" s="598"/>
      <c r="C39" s="599"/>
      <c r="D39" s="559"/>
      <c r="E39" s="581"/>
      <c r="F39" s="557"/>
      <c r="G39" s="601"/>
      <c r="H39" s="542"/>
      <c r="I39" s="543"/>
    </row>
    <row r="40" spans="1:9" ht="18.75" x14ac:dyDescent="0.3">
      <c r="A40" s="563"/>
      <c r="B40" s="564"/>
      <c r="C40" s="607"/>
      <c r="D40" s="568"/>
      <c r="E40" s="568"/>
      <c r="F40" s="570"/>
      <c r="G40" s="568"/>
      <c r="H40" s="568"/>
      <c r="I40" s="543"/>
    </row>
    <row r="41" spans="1:9" ht="18.75" thickBot="1" x14ac:dyDescent="0.3">
      <c r="A41" s="608"/>
      <c r="B41" s="609"/>
      <c r="C41" s="610"/>
      <c r="D41" s="610"/>
      <c r="E41" s="611"/>
      <c r="F41" s="612"/>
      <c r="G41" s="610"/>
      <c r="H41" s="610"/>
      <c r="I41" s="613"/>
    </row>
    <row r="42" spans="1:9" ht="18.75" thickBot="1" x14ac:dyDescent="0.3">
      <c r="A42" s="614"/>
      <c r="B42" s="615"/>
      <c r="C42" s="616"/>
      <c r="D42" s="617" t="s">
        <v>6</v>
      </c>
      <c r="E42" s="618" t="s">
        <v>15</v>
      </c>
      <c r="F42" s="619"/>
      <c r="G42" s="616"/>
      <c r="H42" s="616"/>
      <c r="I42" s="620"/>
    </row>
    <row r="43" spans="1:9" ht="18" x14ac:dyDescent="0.25">
      <c r="A43" s="621" t="s">
        <v>10</v>
      </c>
      <c r="B43" s="622"/>
      <c r="C43" s="623"/>
      <c r="D43" s="624">
        <v>5430</v>
      </c>
      <c r="E43" s="625" t="s">
        <v>26</v>
      </c>
      <c r="F43" s="626" t="s">
        <v>201</v>
      </c>
      <c r="G43" s="626"/>
      <c r="H43" s="627"/>
      <c r="I43" s="628"/>
    </row>
    <row r="44" spans="1:9" ht="18" x14ac:dyDescent="0.25">
      <c r="A44" s="629" t="s">
        <v>9</v>
      </c>
      <c r="B44" s="630"/>
      <c r="C44" s="631"/>
      <c r="D44" s="581">
        <v>4</v>
      </c>
      <c r="E44" s="557" t="s">
        <v>28</v>
      </c>
      <c r="F44" s="632" t="s">
        <v>202</v>
      </c>
      <c r="G44" s="632"/>
      <c r="H44" s="633"/>
      <c r="I44" s="634"/>
    </row>
    <row r="45" spans="1:9" ht="18" x14ac:dyDescent="0.25">
      <c r="A45" s="629" t="s">
        <v>14</v>
      </c>
      <c r="B45" s="630"/>
      <c r="C45" s="631"/>
      <c r="D45" s="581">
        <v>1</v>
      </c>
      <c r="E45" s="557" t="s">
        <v>27</v>
      </c>
      <c r="F45" s="632" t="s">
        <v>203</v>
      </c>
      <c r="G45" s="632"/>
      <c r="H45" s="633"/>
      <c r="I45" s="634"/>
    </row>
    <row r="46" spans="1:9" ht="18" x14ac:dyDescent="0.25">
      <c r="A46" s="629" t="s">
        <v>13</v>
      </c>
      <c r="B46" s="630"/>
      <c r="C46" s="631"/>
      <c r="D46" s="581">
        <v>5430</v>
      </c>
      <c r="E46" s="557" t="s">
        <v>26</v>
      </c>
      <c r="F46" s="635" t="s">
        <v>204</v>
      </c>
      <c r="G46" s="636"/>
      <c r="H46" s="637"/>
      <c r="I46" s="638"/>
    </row>
    <row r="47" spans="1:9" ht="18.75" thickBot="1" x14ac:dyDescent="0.3">
      <c r="A47" s="639" t="s">
        <v>12</v>
      </c>
      <c r="B47" s="640"/>
      <c r="C47" s="641"/>
      <c r="D47" s="642">
        <v>143</v>
      </c>
      <c r="E47" s="643" t="s">
        <v>26</v>
      </c>
      <c r="F47" s="644"/>
      <c r="G47" s="644"/>
      <c r="H47" s="633"/>
      <c r="I47" s="634"/>
    </row>
    <row r="48" spans="1:9" ht="18.75" thickBot="1" x14ac:dyDescent="0.3">
      <c r="A48" s="645" t="s">
        <v>11</v>
      </c>
      <c r="B48" s="646"/>
      <c r="C48" s="646"/>
      <c r="D48" s="646"/>
      <c r="E48" s="646"/>
      <c r="F48" s="646"/>
      <c r="G48" s="646"/>
      <c r="H48" s="646"/>
      <c r="I48" s="647"/>
    </row>
    <row r="49" spans="1:9" ht="14.65" customHeight="1" x14ac:dyDescent="0.25">
      <c r="A49" s="648" t="s">
        <v>209</v>
      </c>
      <c r="B49" s="649"/>
      <c r="C49" s="650"/>
      <c r="D49" s="650"/>
      <c r="E49" s="650"/>
      <c r="F49" s="650"/>
      <c r="G49" s="650"/>
      <c r="H49" s="650"/>
      <c r="I49" s="651"/>
    </row>
    <row r="50" spans="1:9" ht="15.4" customHeight="1" x14ac:dyDescent="0.25">
      <c r="A50" s="652" t="s">
        <v>211</v>
      </c>
      <c r="B50" s="653"/>
      <c r="C50" s="654"/>
      <c r="D50" s="654"/>
      <c r="E50" s="654"/>
      <c r="F50" s="654"/>
      <c r="G50" s="654"/>
      <c r="H50" s="654"/>
      <c r="I50" s="655"/>
    </row>
    <row r="51" spans="1:9" ht="14.65" customHeight="1" x14ac:dyDescent="0.25">
      <c r="A51" s="656" t="s">
        <v>210</v>
      </c>
      <c r="B51" s="657"/>
      <c r="C51" s="658"/>
      <c r="D51" s="658"/>
      <c r="E51" s="658"/>
      <c r="F51" s="658"/>
      <c r="G51" s="658"/>
      <c r="H51" s="658"/>
      <c r="I51" s="659"/>
    </row>
    <row r="52" spans="1:9" ht="14.65" customHeight="1" x14ac:dyDescent="0.2">
      <c r="A52" s="660"/>
      <c r="B52" s="661"/>
      <c r="C52" s="661"/>
      <c r="D52" s="661"/>
      <c r="E52" s="661"/>
      <c r="F52" s="661"/>
      <c r="G52" s="661"/>
      <c r="H52" s="661"/>
      <c r="I52" s="662"/>
    </row>
    <row r="53" spans="1:9" ht="14.65" customHeight="1" x14ac:dyDescent="0.25">
      <c r="A53" s="663"/>
      <c r="B53" s="664"/>
      <c r="C53" s="664"/>
      <c r="D53" s="664"/>
      <c r="E53" s="664"/>
      <c r="F53" s="664"/>
      <c r="G53" s="664"/>
      <c r="H53" s="664"/>
      <c r="I53" s="665"/>
    </row>
    <row r="54" spans="1:9" ht="18" customHeight="1" x14ac:dyDescent="0.25">
      <c r="A54" s="666"/>
      <c r="B54" s="667"/>
      <c r="C54" s="667"/>
      <c r="D54" s="667"/>
      <c r="E54" s="667"/>
      <c r="F54" s="667"/>
      <c r="G54" s="667"/>
      <c r="H54" s="667"/>
      <c r="I54" s="668"/>
    </row>
    <row r="55" spans="1:9" ht="18" x14ac:dyDescent="0.25">
      <c r="A55" s="669"/>
      <c r="B55" s="670"/>
      <c r="C55" s="670"/>
      <c r="D55" s="670"/>
      <c r="E55" s="670"/>
      <c r="F55" s="670"/>
      <c r="G55" s="670"/>
      <c r="H55" s="670"/>
      <c r="I55" s="671"/>
    </row>
    <row r="56" spans="1:9" ht="18.75" thickBot="1" x14ac:dyDescent="0.3">
      <c r="A56" s="669"/>
      <c r="B56" s="670"/>
      <c r="C56" s="670"/>
      <c r="D56" s="670"/>
      <c r="E56" s="670"/>
      <c r="F56" s="670"/>
      <c r="G56" s="670"/>
      <c r="H56" s="670"/>
      <c r="I56" s="671"/>
    </row>
    <row r="57" spans="1:9" ht="18" x14ac:dyDescent="0.25">
      <c r="A57" s="672" t="s">
        <v>235</v>
      </c>
      <c r="B57" s="673"/>
      <c r="C57" s="673"/>
      <c r="D57" s="673"/>
      <c r="E57" s="673"/>
      <c r="F57" s="673"/>
      <c r="G57" s="673"/>
      <c r="H57" s="673"/>
      <c r="I57" s="673"/>
    </row>
    <row r="58" spans="1:9" ht="18" x14ac:dyDescent="0.25">
      <c r="A58" s="674"/>
      <c r="B58" s="675"/>
      <c r="C58" s="675"/>
      <c r="D58" s="675"/>
      <c r="E58" s="675"/>
      <c r="F58" s="675"/>
      <c r="G58" s="675"/>
      <c r="H58" s="675"/>
      <c r="I58" s="675"/>
    </row>
    <row r="59" spans="1:9" ht="13.5" x14ac:dyDescent="0.25">
      <c r="A59" s="323"/>
      <c r="B59" s="324"/>
      <c r="C59" s="324"/>
      <c r="D59" s="324"/>
      <c r="E59" s="324"/>
      <c r="F59" s="324"/>
      <c r="G59" s="324"/>
      <c r="H59" s="324"/>
      <c r="I59" s="324"/>
    </row>
  </sheetData>
  <mergeCells count="44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3:C43"/>
    <mergeCell ref="F43:G43"/>
    <mergeCell ref="H43:I43"/>
    <mergeCell ref="A44:C44"/>
    <mergeCell ref="F44:G44"/>
    <mergeCell ref="H44:I44"/>
    <mergeCell ref="A50:I50"/>
    <mergeCell ref="A45:C45"/>
    <mergeCell ref="F45:G45"/>
    <mergeCell ref="H45:I45"/>
    <mergeCell ref="A46:C46"/>
    <mergeCell ref="F46:G46"/>
    <mergeCell ref="H46:I46"/>
    <mergeCell ref="A47:C47"/>
    <mergeCell ref="F47:G47"/>
    <mergeCell ref="H47:I47"/>
    <mergeCell ref="A48:I48"/>
    <mergeCell ref="A49:I49"/>
    <mergeCell ref="A57:I57"/>
    <mergeCell ref="A58:I58"/>
    <mergeCell ref="A59:I59"/>
    <mergeCell ref="A51:I51"/>
    <mergeCell ref="A52:I52"/>
    <mergeCell ref="A53:I53"/>
    <mergeCell ref="A54:I54"/>
    <mergeCell ref="A55:I55"/>
    <mergeCell ref="A56:I56"/>
  </mergeCells>
  <pageMargins left="0.7" right="0.7" top="0.75" bottom="0.75" header="0.3" footer="0.3"/>
  <pageSetup paperSize="9" scale="4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51FCE-B558-4BB3-9496-C5085C126757}">
  <dimension ref="A1:Q91"/>
  <sheetViews>
    <sheetView topLeftCell="A3" workbookViewId="0">
      <selection activeCell="D60" sqref="D60"/>
    </sheetView>
  </sheetViews>
  <sheetFormatPr baseColWidth="10" defaultColWidth="8.42578125" defaultRowHeight="12.75" x14ac:dyDescent="0.2"/>
  <cols>
    <col min="1" max="1" width="10" style="104" bestFit="1" customWidth="1"/>
    <col min="2" max="2" width="44.28515625" style="104" bestFit="1" customWidth="1"/>
    <col min="3" max="3" width="10.42578125" style="104" bestFit="1" customWidth="1"/>
    <col min="4" max="4" width="10.42578125" style="104" customWidth="1"/>
    <col min="5" max="5" width="9.7109375" style="104" bestFit="1" customWidth="1"/>
    <col min="6" max="6" width="9.5703125" style="104" bestFit="1" customWidth="1"/>
    <col min="7" max="7" width="9.5703125" style="189" bestFit="1" customWidth="1"/>
    <col min="8" max="8" width="10.42578125" style="181" bestFit="1" customWidth="1"/>
    <col min="9" max="9" width="4.5703125" style="181" customWidth="1"/>
    <col min="10" max="10" width="1.7109375" style="115" customWidth="1"/>
    <col min="11" max="11" width="7" style="104" bestFit="1" customWidth="1"/>
    <col min="12" max="12" width="6.28515625" style="104" customWidth="1"/>
    <col min="13" max="13" width="20.42578125" style="104" customWidth="1"/>
    <col min="14" max="14" width="6.42578125" style="104" bestFit="1" customWidth="1"/>
    <col min="15" max="16" width="8.42578125" style="104"/>
    <col min="17" max="17" width="3.28515625" style="104" customWidth="1"/>
    <col min="18" max="16384" width="8.42578125" style="104"/>
  </cols>
  <sheetData>
    <row r="1" spans="1:10" ht="27.75" customHeight="1" x14ac:dyDescent="0.2">
      <c r="A1" s="112"/>
      <c r="B1" s="112"/>
      <c r="C1" s="112"/>
      <c r="D1" s="112"/>
      <c r="E1" s="113" t="s">
        <v>148</v>
      </c>
      <c r="F1" s="114" t="s">
        <v>104</v>
      </c>
      <c r="G1" s="114" t="s">
        <v>105</v>
      </c>
      <c r="H1" s="114" t="s">
        <v>106</v>
      </c>
      <c r="I1" s="103"/>
    </row>
    <row r="2" spans="1:10" ht="30.75" customHeight="1" x14ac:dyDescent="0.2">
      <c r="A2" s="112"/>
      <c r="B2" s="112"/>
      <c r="C2" s="112"/>
      <c r="D2" s="112"/>
      <c r="E2" s="116">
        <f>IFERROR(O62,"")</f>
        <v>8416.0094876190487</v>
      </c>
      <c r="F2" s="116">
        <f>IFERROR(H53,"")</f>
        <v>6157.91</v>
      </c>
      <c r="G2" s="116">
        <f>IFERROR(H54,"")</f>
        <v>122.69409523809524</v>
      </c>
      <c r="H2" s="116">
        <f>IFERROR(H56,"")</f>
        <v>232</v>
      </c>
      <c r="I2" s="117"/>
    </row>
    <row r="3" spans="1:10" ht="15" customHeight="1" x14ac:dyDescent="0.2">
      <c r="A3" s="112"/>
      <c r="B3" s="112"/>
      <c r="C3" s="112"/>
      <c r="D3" s="112"/>
      <c r="E3" s="112"/>
      <c r="F3" s="118"/>
      <c r="G3" s="118"/>
      <c r="H3" s="118"/>
      <c r="I3" s="118"/>
    </row>
    <row r="4" spans="1:10" ht="24.75" customHeight="1" thickBot="1" x14ac:dyDescent="0.25">
      <c r="A4" s="348"/>
      <c r="B4" s="348"/>
      <c r="C4" s="348"/>
      <c r="D4" s="348"/>
      <c r="E4" s="348"/>
      <c r="F4" s="348"/>
      <c r="G4" s="348"/>
      <c r="H4" s="348"/>
      <c r="I4" s="119"/>
    </row>
    <row r="5" spans="1:10" ht="19.5" customHeight="1" thickBot="1" x14ac:dyDescent="0.25">
      <c r="A5" s="351" t="s">
        <v>107</v>
      </c>
      <c r="B5" s="352"/>
      <c r="C5" s="352"/>
      <c r="D5" s="352"/>
      <c r="E5" s="352"/>
      <c r="F5" s="352"/>
      <c r="G5" s="352"/>
      <c r="H5" s="353"/>
      <c r="I5" s="105"/>
    </row>
    <row r="6" spans="1:10" ht="19.5" thickBot="1" x14ac:dyDescent="0.25">
      <c r="A6" s="105"/>
      <c r="B6" s="105"/>
      <c r="C6" s="105"/>
      <c r="D6" s="105"/>
      <c r="E6" s="105"/>
      <c r="F6" s="349" t="s">
        <v>108</v>
      </c>
      <c r="G6" s="349"/>
      <c r="H6" s="120">
        <f ca="1">TODAY()</f>
        <v>45749</v>
      </c>
      <c r="I6" s="120"/>
    </row>
    <row r="7" spans="1:10" ht="26.25" thickBot="1" x14ac:dyDescent="0.25">
      <c r="A7" s="121" t="s">
        <v>109</v>
      </c>
      <c r="B7" s="122" t="s">
        <v>110</v>
      </c>
      <c r="C7" s="122" t="s">
        <v>109</v>
      </c>
      <c r="D7" s="123" t="s">
        <v>149</v>
      </c>
      <c r="E7" s="123" t="s">
        <v>111</v>
      </c>
      <c r="F7" s="123" t="s">
        <v>112</v>
      </c>
      <c r="G7" s="123" t="s">
        <v>113</v>
      </c>
      <c r="H7" s="124" t="s">
        <v>114</v>
      </c>
      <c r="I7" s="106"/>
    </row>
    <row r="8" spans="1:10" ht="13.5" x14ac:dyDescent="0.25">
      <c r="A8" s="125">
        <v>3180</v>
      </c>
      <c r="B8" s="104" t="s">
        <v>37</v>
      </c>
      <c r="C8" s="126">
        <f>+A8</f>
        <v>3180</v>
      </c>
      <c r="D8" s="127" t="s">
        <v>152</v>
      </c>
      <c r="E8" s="127">
        <v>0.68</v>
      </c>
      <c r="F8" s="127">
        <f>IFERROR(C8*E8,"")</f>
        <v>2162.4</v>
      </c>
      <c r="G8" s="128">
        <f t="shared" ref="G8:G14" si="0">IFERROR(F8/$F$66,"")</f>
        <v>0.32587062402035782</v>
      </c>
      <c r="H8" s="129" t="s">
        <v>36</v>
      </c>
      <c r="I8" s="129"/>
      <c r="J8" s="130"/>
    </row>
    <row r="9" spans="1:10" ht="13.5" x14ac:dyDescent="0.25">
      <c r="A9" s="125">
        <v>150</v>
      </c>
      <c r="B9" s="104" t="str">
        <f>IFERROR(VLOOKUP(H9,'[1]Consolidado MP Planta'!$A$2:$M$823,3,0),"")</f>
        <v>POLVO HORNEAR FLEISHMAN (PAQ:2.5 K)</v>
      </c>
      <c r="C9" s="126">
        <f t="shared" ref="C9:C14" si="1">+A9</f>
        <v>150</v>
      </c>
      <c r="D9" s="127" t="str">
        <f>IFERROR(VLOOKUP(H9,'[1]Consolidado MP Planta'!$A$2:$M$823,13,0),"")</f>
        <v>Gramos</v>
      </c>
      <c r="E9" s="127">
        <v>1.03</v>
      </c>
      <c r="F9" s="127">
        <f t="shared" ref="F9:F14" si="2">IFERROR(C9*E9,"")</f>
        <v>154.5</v>
      </c>
      <c r="G9" s="128">
        <f t="shared" si="0"/>
        <v>2.3282931655172624E-2</v>
      </c>
      <c r="H9" s="129" t="s">
        <v>39</v>
      </c>
      <c r="I9" s="129"/>
      <c r="J9" s="130"/>
    </row>
    <row r="10" spans="1:10" ht="13.5" x14ac:dyDescent="0.25">
      <c r="A10" s="125">
        <v>100</v>
      </c>
      <c r="B10" s="104" t="str">
        <f>IFERROR(VLOOKUP(H10,'[1]Consolidado MP Planta'!$A$2:$M$823,3,0),"")</f>
        <v>BICARBONATO DE SODIO (PAQ:2.5 K)</v>
      </c>
      <c r="C10" s="126">
        <f t="shared" si="1"/>
        <v>100</v>
      </c>
      <c r="D10" s="127" t="str">
        <f>IFERROR(VLOOKUP(H10,'[1]Consolidado MP Planta'!$A$2:$M$823,13,0),"")</f>
        <v>Gramos</v>
      </c>
      <c r="E10" s="127">
        <v>1.35</v>
      </c>
      <c r="F10" s="127">
        <f t="shared" si="2"/>
        <v>135</v>
      </c>
      <c r="G10" s="128">
        <f t="shared" si="0"/>
        <v>2.0344309213257632E-2</v>
      </c>
      <c r="H10" s="129" t="s">
        <v>41</v>
      </c>
      <c r="I10" s="129"/>
      <c r="J10" s="130"/>
    </row>
    <row r="11" spans="1:10" ht="13.5" x14ac:dyDescent="0.25">
      <c r="A11" s="125">
        <v>10</v>
      </c>
      <c r="B11" s="104" t="str">
        <f>IFERROR(VLOOKUP(H11,'[1]Consolidado MP Planta'!$A$2:$M$823,3,0),"")</f>
        <v>NUEZ MOSCADA MOLIDA (PAQ:3 K)</v>
      </c>
      <c r="C11" s="126">
        <f t="shared" si="1"/>
        <v>10</v>
      </c>
      <c r="D11" s="127" t="str">
        <f>IFERROR(VLOOKUP(H11,'[1]Consolidado MP Planta'!$A$2:$M$823,13,0),"")</f>
        <v>Gramos</v>
      </c>
      <c r="E11" s="127">
        <v>14.66</v>
      </c>
      <c r="F11" s="127">
        <f t="shared" si="2"/>
        <v>146.6</v>
      </c>
      <c r="G11" s="128">
        <f t="shared" si="0"/>
        <v>2.209241281973014E-2</v>
      </c>
      <c r="H11" s="129" t="s">
        <v>43</v>
      </c>
      <c r="I11" s="129"/>
      <c r="J11" s="130"/>
    </row>
    <row r="12" spans="1:10" ht="13.5" x14ac:dyDescent="0.25">
      <c r="A12" s="125">
        <v>8</v>
      </c>
      <c r="B12" s="104" t="str">
        <f>IFERROR(VLOOKUP(H12,'[1]Consolidado MP Planta'!$A$2:$M$823,3,0),"")</f>
        <v>PRESERVANTE 1047S (PAQ=5 KILO)</v>
      </c>
      <c r="C12" s="126">
        <f t="shared" si="1"/>
        <v>8</v>
      </c>
      <c r="D12" s="127" t="str">
        <f>IFERROR(VLOOKUP(H12,'[1]Consolidado MP Planta'!$A$2:$M$823,13,0),"")</f>
        <v>Gramos</v>
      </c>
      <c r="E12" s="127">
        <v>8.52</v>
      </c>
      <c r="F12" s="127">
        <f t="shared" si="2"/>
        <v>68.16</v>
      </c>
      <c r="G12" s="128">
        <f t="shared" si="0"/>
        <v>1.0271615673893631E-2</v>
      </c>
      <c r="H12" s="129" t="s">
        <v>69</v>
      </c>
      <c r="I12" s="129"/>
      <c r="J12" s="130"/>
    </row>
    <row r="13" spans="1:10" ht="13.5" x14ac:dyDescent="0.25">
      <c r="A13" s="125">
        <v>2000</v>
      </c>
      <c r="B13" s="104" t="str">
        <f>IFERROR(VLOOKUP(H13,'[1]Consolidado MP Planta'!$A$2:$M$823,3,0),"")</f>
        <v>AZUCAR CARAMELO (PAQ:0.5 K)</v>
      </c>
      <c r="C13" s="126">
        <f t="shared" si="1"/>
        <v>2000</v>
      </c>
      <c r="D13" s="127" t="str">
        <f>IFERROR(VLOOKUP(H13,'[1]Consolidado MP Planta'!$A$2:$M$823,13,0),"")</f>
        <v>Gramos</v>
      </c>
      <c r="E13" s="127">
        <v>1.5</v>
      </c>
      <c r="F13" s="127">
        <f t="shared" si="2"/>
        <v>3000</v>
      </c>
      <c r="G13" s="128">
        <f t="shared" si="0"/>
        <v>0.45209576029461407</v>
      </c>
      <c r="H13" s="129" t="s">
        <v>153</v>
      </c>
      <c r="I13" s="129"/>
      <c r="J13" s="130"/>
    </row>
    <row r="14" spans="1:10" ht="13.5" x14ac:dyDescent="0.25">
      <c r="A14" s="125">
        <v>125</v>
      </c>
      <c r="B14" s="104" t="str">
        <f>IFERROR(VLOOKUP(H14,'[1]Consolidado MP Planta'!$A$2:$M$823,3,0),"")</f>
        <v>LACTOCREMA GRANEL (CAJA:25 KG)</v>
      </c>
      <c r="C14" s="126">
        <f t="shared" si="1"/>
        <v>125</v>
      </c>
      <c r="D14" s="127" t="str">
        <f>IFERROR(VLOOKUP(H14,'[1]Consolidado MP Planta'!$A$2:$M$823,13,0),"")</f>
        <v>Gramos</v>
      </c>
      <c r="E14" s="127">
        <v>3.93</v>
      </c>
      <c r="F14" s="127">
        <f t="shared" si="2"/>
        <v>491.25</v>
      </c>
      <c r="G14" s="128">
        <f t="shared" si="0"/>
        <v>7.4030680748243052E-2</v>
      </c>
      <c r="H14" s="129" t="s">
        <v>46</v>
      </c>
      <c r="I14" s="129"/>
      <c r="J14" s="130"/>
    </row>
    <row r="15" spans="1:10" ht="14.25" thickBot="1" x14ac:dyDescent="0.3">
      <c r="A15" s="125"/>
      <c r="B15" s="104" t="str">
        <f>IFERROR(VLOOKUP(H15,'[2]ARTICULOS MP PLANTA'!$A$2:$G$589,2,0),"")</f>
        <v/>
      </c>
      <c r="C15" s="126"/>
      <c r="D15" s="127"/>
      <c r="E15" s="127"/>
      <c r="F15" s="127"/>
      <c r="G15" s="128"/>
      <c r="H15" s="129"/>
      <c r="I15" s="129"/>
      <c r="J15" s="130"/>
    </row>
    <row r="16" spans="1:10" ht="26.25" hidden="1" thickBot="1" x14ac:dyDescent="0.25">
      <c r="A16" s="121" t="s">
        <v>109</v>
      </c>
      <c r="B16" s="122" t="s">
        <v>115</v>
      </c>
      <c r="C16" s="122" t="s">
        <v>109</v>
      </c>
      <c r="D16" s="123" t="s">
        <v>149</v>
      </c>
      <c r="E16" s="123" t="s">
        <v>111</v>
      </c>
      <c r="F16" s="123" t="s">
        <v>112</v>
      </c>
      <c r="G16" s="123" t="s">
        <v>113</v>
      </c>
      <c r="H16" s="124" t="s">
        <v>114</v>
      </c>
      <c r="I16" s="106"/>
      <c r="J16" s="130"/>
    </row>
    <row r="17" spans="1:12" ht="13.5" hidden="1" x14ac:dyDescent="0.25">
      <c r="A17" s="125"/>
      <c r="B17" s="104" t="str">
        <f>IFERROR(VLOOKUP(H17,[1]SEMIELABORADOS!$A$2:$M$6000,2,0),"")</f>
        <v/>
      </c>
      <c r="C17" s="126">
        <f>+A17</f>
        <v>0</v>
      </c>
      <c r="D17" s="126" t="str">
        <f>IFERROR(VLOOKUP(H17,[1]SEMIELABORADOS!$A$2:$M$6000,6,0),"")</f>
        <v/>
      </c>
      <c r="E17" s="127" t="str">
        <f>IFERROR(VLOOKUP(H17,[1]SEMIELABORADOS!$A$2:$H$65536,8,0),"")</f>
        <v/>
      </c>
      <c r="F17" s="127" t="str">
        <f>IFERROR(E17*C17,"")</f>
        <v/>
      </c>
      <c r="G17" s="128" t="str">
        <f t="shared" ref="G17:G24" si="3">IFERROR(F17/$F$66,"")</f>
        <v/>
      </c>
      <c r="H17" s="129"/>
      <c r="I17" s="129"/>
      <c r="J17" s="130"/>
    </row>
    <row r="18" spans="1:12" ht="13.5" hidden="1" x14ac:dyDescent="0.25">
      <c r="A18" s="125"/>
      <c r="B18" s="104" t="str">
        <f>IFERROR(VLOOKUP(H18,[1]SEMIELABORADOS!$A$2:$M$6000,2,0),"")</f>
        <v/>
      </c>
      <c r="C18" s="126">
        <f t="shared" ref="C18:C24" si="4">+A18</f>
        <v>0</v>
      </c>
      <c r="D18" s="126" t="str">
        <f>IFERROR(VLOOKUP(H18,[1]SEMIELABORADOS!$A$2:$M$6000,6,0),"")</f>
        <v/>
      </c>
      <c r="E18" s="127" t="str">
        <f>IFERROR(VLOOKUP(H18,[1]SEMIELABORADOS!$A$2:$H$65536,8,0),"")</f>
        <v/>
      </c>
      <c r="F18" s="127" t="str">
        <f t="shared" ref="F18:F24" si="5">IFERROR(E18*C18,"")</f>
        <v/>
      </c>
      <c r="G18" s="128" t="str">
        <f t="shared" si="3"/>
        <v/>
      </c>
      <c r="H18" s="129"/>
      <c r="I18" s="129"/>
      <c r="J18" s="130"/>
    </row>
    <row r="19" spans="1:12" ht="13.5" hidden="1" x14ac:dyDescent="0.25">
      <c r="A19" s="125"/>
      <c r="B19" s="104" t="str">
        <f>IFERROR(VLOOKUP(H19,[1]SEMIELABORADOS!$A$2:$M$6000,2,0),"")</f>
        <v/>
      </c>
      <c r="C19" s="126">
        <f>+A19</f>
        <v>0</v>
      </c>
      <c r="D19" s="126" t="str">
        <f>IFERROR(VLOOKUP(H19,[1]SEMIELABORADOS!$A$2:$M$6000,6,0),"")</f>
        <v/>
      </c>
      <c r="E19" s="127" t="str">
        <f>IFERROR(VLOOKUP(H19,[1]SEMIELABORADOS!$A$2:$H$65536,8,0),"")</f>
        <v/>
      </c>
      <c r="F19" s="127" t="str">
        <f>IFERROR(E19*C19,"")</f>
        <v/>
      </c>
      <c r="G19" s="128" t="str">
        <f t="shared" si="3"/>
        <v/>
      </c>
      <c r="H19" s="129"/>
      <c r="I19" s="129"/>
      <c r="J19" s="130"/>
    </row>
    <row r="20" spans="1:12" ht="13.5" hidden="1" x14ac:dyDescent="0.25">
      <c r="A20" s="125"/>
      <c r="B20" s="104" t="str">
        <f>IFERROR(VLOOKUP(H20,[1]SEMIELABORADOS!$A$2:$M$6000,2,0),"")</f>
        <v/>
      </c>
      <c r="C20" s="126">
        <f>+A20</f>
        <v>0</v>
      </c>
      <c r="D20" s="126" t="str">
        <f>IFERROR(VLOOKUP(H20,[1]SEMIELABORADOS!$A$2:$M$6000,6,0),"")</f>
        <v/>
      </c>
      <c r="E20" s="127" t="str">
        <f>IFERROR(VLOOKUP(H20,[1]SEMIELABORADOS!$A$2:$H$65536,8,0),"")</f>
        <v/>
      </c>
      <c r="F20" s="127" t="str">
        <f>IFERROR(E20*C20,"")</f>
        <v/>
      </c>
      <c r="G20" s="128" t="str">
        <f t="shared" si="3"/>
        <v/>
      </c>
      <c r="H20" s="129"/>
      <c r="I20" s="129"/>
      <c r="J20" s="130"/>
    </row>
    <row r="21" spans="1:12" ht="13.5" hidden="1" x14ac:dyDescent="0.25">
      <c r="A21" s="125"/>
      <c r="B21" s="104" t="str">
        <f>IFERROR(VLOOKUP(H21,[1]SEMIELABORADOS!$A$2:$M$6000,2,0),"")</f>
        <v/>
      </c>
      <c r="C21" s="126">
        <f>+A21</f>
        <v>0</v>
      </c>
      <c r="D21" s="126" t="str">
        <f>IFERROR(VLOOKUP(H21,[1]SEMIELABORADOS!$A$2:$M$6000,6,0),"")</f>
        <v/>
      </c>
      <c r="E21" s="127" t="str">
        <f>IFERROR(VLOOKUP(H21,[1]SEMIELABORADOS!$A$2:$H$65536,8,0),"")</f>
        <v/>
      </c>
      <c r="F21" s="127" t="str">
        <f>IFERROR(E21*C21,"")</f>
        <v/>
      </c>
      <c r="G21" s="128" t="str">
        <f t="shared" si="3"/>
        <v/>
      </c>
      <c r="H21" s="129"/>
      <c r="I21" s="129"/>
      <c r="J21" s="130"/>
    </row>
    <row r="22" spans="1:12" ht="13.5" hidden="1" x14ac:dyDescent="0.25">
      <c r="A22" s="125"/>
      <c r="B22" s="104" t="str">
        <f>IFERROR(VLOOKUP(H22,[1]SEMIELABORADOS!$A$2:$M$6000,2,0),"")</f>
        <v/>
      </c>
      <c r="C22" s="126">
        <f t="shared" si="4"/>
        <v>0</v>
      </c>
      <c r="D22" s="126" t="str">
        <f>IFERROR(VLOOKUP(H22,[1]SEMIELABORADOS!$A$2:$M$6000,6,0),"")</f>
        <v/>
      </c>
      <c r="E22" s="127" t="str">
        <f>IFERROR(VLOOKUP(H22,[1]SEMIELABORADOS!$A$2:$H$65536,8,0),"")</f>
        <v/>
      </c>
      <c r="F22" s="127" t="str">
        <f t="shared" si="5"/>
        <v/>
      </c>
      <c r="G22" s="128" t="str">
        <f t="shared" si="3"/>
        <v/>
      </c>
      <c r="H22" s="129"/>
      <c r="I22" s="129"/>
      <c r="J22" s="130"/>
    </row>
    <row r="23" spans="1:12" ht="13.5" hidden="1" x14ac:dyDescent="0.25">
      <c r="A23" s="125"/>
      <c r="B23" s="104" t="str">
        <f>IFERROR(VLOOKUP(H23,[1]SEMIELABORADOS!$A$2:$M$6000,2,0),"")</f>
        <v/>
      </c>
      <c r="C23" s="126">
        <f t="shared" si="4"/>
        <v>0</v>
      </c>
      <c r="D23" s="126" t="str">
        <f>IFERROR(VLOOKUP(H23,[1]SEMIELABORADOS!$A$2:$M$6000,6,0),"")</f>
        <v/>
      </c>
      <c r="E23" s="127" t="str">
        <f>IFERROR(VLOOKUP(H23,[1]SEMIELABORADOS!$A$2:$H$65536,8,0),"")</f>
        <v/>
      </c>
      <c r="F23" s="127" t="str">
        <f t="shared" si="5"/>
        <v/>
      </c>
      <c r="G23" s="128" t="str">
        <f t="shared" si="3"/>
        <v/>
      </c>
      <c r="H23" s="129"/>
      <c r="I23" s="129"/>
      <c r="J23" s="130"/>
    </row>
    <row r="24" spans="1:12" ht="13.5" hidden="1" x14ac:dyDescent="0.25">
      <c r="A24" s="125"/>
      <c r="B24" s="104" t="str">
        <f>IFERROR(VLOOKUP(H24,[1]SEMIELABORADOS!$A$2:$M$6000,2,0),"")</f>
        <v/>
      </c>
      <c r="C24" s="126">
        <f t="shared" si="4"/>
        <v>0</v>
      </c>
      <c r="D24" s="126" t="str">
        <f>IFERROR(VLOOKUP(H24,[1]SEMIELABORADOS!$A$2:$M$6000,6,0),"")</f>
        <v/>
      </c>
      <c r="E24" s="127" t="str">
        <f>IFERROR(VLOOKUP(H24,[1]SEMIELABORADOS!$A$2:$H$65536,8,0),"")</f>
        <v/>
      </c>
      <c r="F24" s="127" t="str">
        <f t="shared" si="5"/>
        <v/>
      </c>
      <c r="G24" s="128" t="str">
        <f t="shared" si="3"/>
        <v/>
      </c>
      <c r="H24" s="129"/>
      <c r="I24" s="129"/>
      <c r="J24" s="130"/>
    </row>
    <row r="25" spans="1:12" ht="14.25" hidden="1" thickBot="1" x14ac:dyDescent="0.3">
      <c r="A25" s="125"/>
      <c r="C25" s="126"/>
      <c r="D25" s="126"/>
      <c r="E25" s="127"/>
      <c r="F25" s="127"/>
      <c r="G25" s="128"/>
      <c r="H25" s="129"/>
      <c r="I25" s="129"/>
      <c r="J25" s="130"/>
    </row>
    <row r="26" spans="1:12" ht="26.25" thickBot="1" x14ac:dyDescent="0.25">
      <c r="A26" s="121" t="s">
        <v>109</v>
      </c>
      <c r="B26" s="122" t="s">
        <v>86</v>
      </c>
      <c r="C26" s="122" t="s">
        <v>109</v>
      </c>
      <c r="D26" s="123" t="s">
        <v>149</v>
      </c>
      <c r="E26" s="123" t="s">
        <v>111</v>
      </c>
      <c r="F26" s="123" t="s">
        <v>112</v>
      </c>
      <c r="G26" s="123" t="s">
        <v>113</v>
      </c>
      <c r="H26" s="124" t="s">
        <v>114</v>
      </c>
      <c r="I26" s="106"/>
    </row>
    <row r="27" spans="1:12" ht="13.5" x14ac:dyDescent="0.25">
      <c r="A27" s="125">
        <v>1</v>
      </c>
      <c r="B27" s="102" t="str">
        <f>IFERROR(VLOOKUP(H27,'[1]Consolidado MP Planta'!$A$2:$M$823,3,0),"")</f>
        <v>BOLSA 12x18 TRANSP KILO</v>
      </c>
      <c r="C27" s="126">
        <f t="shared" ref="C27:C32" si="6">+A27</f>
        <v>1</v>
      </c>
      <c r="D27" s="127" t="str">
        <f>IFERROR(VLOOKUP(H27,'[1]Consolidado MP Planta'!$A$2:$M$823,13,0),"")</f>
        <v>Und</v>
      </c>
      <c r="E27" s="127">
        <f>IFERROR(VLOOKUP(H27,'[1]Consolidado MP Planta'!$A$2:$M$823,12,0),"")</f>
        <v>16</v>
      </c>
      <c r="F27" s="127">
        <f t="shared" ref="F27:F32" si="7">IFERROR(C27*E27,"")</f>
        <v>16</v>
      </c>
      <c r="G27" s="128">
        <f t="shared" ref="G27:G32" si="8">IFERROR(F27/$F$66,"")</f>
        <v>2.4111773882379418E-3</v>
      </c>
      <c r="H27" s="131" t="s">
        <v>154</v>
      </c>
      <c r="I27" s="131"/>
      <c r="J27" s="130"/>
      <c r="K27" s="350"/>
      <c r="L27" s="350"/>
    </row>
    <row r="28" spans="1:12" ht="13.5" x14ac:dyDescent="0.25">
      <c r="A28" s="125">
        <v>2</v>
      </c>
      <c r="B28" s="102" t="str">
        <f>IFERROR(VLOOKUP(H28,'[1]Consolidado MP Planta'!$A$2:$M$823,3,0),"")</f>
        <v>BOLSA 17x25 TRANSP KILO</v>
      </c>
      <c r="C28" s="126">
        <f t="shared" si="6"/>
        <v>2</v>
      </c>
      <c r="D28" s="127" t="str">
        <f>IFERROR(VLOOKUP(H28,'[1]Consolidado MP Planta'!$A$2:$M$823,13,0),"")</f>
        <v>Und</v>
      </c>
      <c r="E28" s="127">
        <f>IFERROR(VLOOKUP(H28,'[1]Consolidado MP Planta'!$A$2:$M$823,12,0),"")</f>
        <v>47.61904761904762</v>
      </c>
      <c r="F28" s="127">
        <f t="shared" si="7"/>
        <v>95.238095238095241</v>
      </c>
      <c r="G28" s="128">
        <f t="shared" si="8"/>
        <v>1.4352246358559178E-2</v>
      </c>
      <c r="H28" s="131" t="s">
        <v>155</v>
      </c>
      <c r="I28" s="131"/>
      <c r="J28" s="130"/>
      <c r="K28" s="350"/>
      <c r="L28" s="350"/>
    </row>
    <row r="29" spans="1:12" ht="13.5" x14ac:dyDescent="0.25">
      <c r="A29" s="125">
        <v>2</v>
      </c>
      <c r="B29" s="102" t="str">
        <f>IFERROR(VLOOKUP(H29,'[1]Consolidado MP Planta'!$A$2:$M$823,3,0),"")</f>
        <v>ETIQUETA BLANCA 2 5/8X1 15/16 (UND)</v>
      </c>
      <c r="C29" s="126">
        <f t="shared" si="6"/>
        <v>2</v>
      </c>
      <c r="D29" s="127" t="str">
        <f>IFERROR(VLOOKUP(H29,'[1]Consolidado MP Planta'!$A$2:$M$823,13,0),"")</f>
        <v>Und</v>
      </c>
      <c r="E29" s="127">
        <f>IFERROR(VLOOKUP(H29,'[1]Consolidado MP Planta'!$A$2:$M$823,12,0),"")</f>
        <v>2.1280000000000001</v>
      </c>
      <c r="F29" s="127">
        <f t="shared" si="7"/>
        <v>4.2560000000000002</v>
      </c>
      <c r="G29" s="128">
        <f t="shared" si="8"/>
        <v>6.4137318527129254E-4</v>
      </c>
      <c r="H29" s="131" t="s">
        <v>157</v>
      </c>
      <c r="I29" s="131"/>
      <c r="J29" s="130"/>
      <c r="K29" s="350"/>
      <c r="L29" s="350"/>
    </row>
    <row r="30" spans="1:12" ht="13.5" x14ac:dyDescent="0.25">
      <c r="A30" s="125">
        <v>2</v>
      </c>
      <c r="B30" s="102" t="str">
        <f>IFERROR(VLOOKUP(H30,'[1]Consolidado MP Planta'!$A$2:$M$823,3,0),"")</f>
        <v>ETIQUETA ROJA LETRA ALERJENO (UND)</v>
      </c>
      <c r="C30" s="126">
        <f t="shared" si="6"/>
        <v>2</v>
      </c>
      <c r="D30" s="127" t="str">
        <f>IFERROR(VLOOKUP(H30,'[1]Consolidado MP Planta'!$A$2:$M$823,13,0),"")</f>
        <v>Und</v>
      </c>
      <c r="E30" s="127">
        <f>IFERROR(VLOOKUP(H30,'[1]Consolidado MP Planta'!$A$2:$M$823,12,0),"")</f>
        <v>3.6</v>
      </c>
      <c r="F30" s="127">
        <f t="shared" si="7"/>
        <v>7.2</v>
      </c>
      <c r="G30" s="128">
        <f t="shared" si="8"/>
        <v>1.0850298247070738E-3</v>
      </c>
      <c r="H30" s="131" t="s">
        <v>156</v>
      </c>
      <c r="I30" s="131"/>
      <c r="J30" s="130"/>
      <c r="K30" s="350"/>
      <c r="L30" s="350"/>
    </row>
    <row r="31" spans="1:12" ht="13.5" hidden="1" x14ac:dyDescent="0.25">
      <c r="A31" s="125"/>
      <c r="B31" s="102" t="str">
        <f>IFERROR(VLOOKUP(H31,'[1]Consolidado MP Planta'!$A$2:$M$823,3,0),"")</f>
        <v/>
      </c>
      <c r="C31" s="126">
        <f t="shared" si="6"/>
        <v>0</v>
      </c>
      <c r="D31" s="127" t="str">
        <f>IFERROR(VLOOKUP(H31,'[1]Consolidado MP Planta'!$A$2:$M$823,13,0),"")</f>
        <v/>
      </c>
      <c r="E31" s="127" t="str">
        <f>IFERROR(VLOOKUP(H31,'[1]Consolidado MP Planta'!$A$2:$M$823,12,0),"")</f>
        <v/>
      </c>
      <c r="F31" s="127" t="str">
        <f t="shared" si="7"/>
        <v/>
      </c>
      <c r="G31" s="128" t="str">
        <f t="shared" si="8"/>
        <v/>
      </c>
      <c r="H31" s="131"/>
      <c r="I31" s="131"/>
      <c r="J31" s="130"/>
      <c r="K31" s="132"/>
      <c r="L31" s="107"/>
    </row>
    <row r="32" spans="1:12" ht="13.5" hidden="1" x14ac:dyDescent="0.25">
      <c r="A32" s="125"/>
      <c r="B32" s="102" t="str">
        <f>IFERROR(VLOOKUP(H32,'[1]Consolidado MP Planta'!$A$2:$M$823,3,0),"")</f>
        <v/>
      </c>
      <c r="C32" s="126">
        <f t="shared" si="6"/>
        <v>0</v>
      </c>
      <c r="D32" s="127" t="str">
        <f>IFERROR(VLOOKUP(H32,'[1]Consolidado MP Planta'!$A$2:$M$823,13,0),"")</f>
        <v/>
      </c>
      <c r="E32" s="127" t="str">
        <f>IFERROR(VLOOKUP(H32,'[1]Consolidado MP Planta'!$A$2:$M$823,12,0),"")</f>
        <v/>
      </c>
      <c r="F32" s="127" t="str">
        <f t="shared" si="7"/>
        <v/>
      </c>
      <c r="G32" s="128" t="str">
        <f t="shared" si="8"/>
        <v/>
      </c>
      <c r="H32" s="131"/>
      <c r="I32" s="131"/>
      <c r="J32" s="130"/>
    </row>
    <row r="33" spans="1:13" ht="14.25" thickBot="1" x14ac:dyDescent="0.3">
      <c r="A33" s="125"/>
      <c r="B33" s="102"/>
      <c r="C33" s="126"/>
      <c r="D33" s="127"/>
      <c r="E33" s="127"/>
      <c r="F33" s="127"/>
      <c r="G33" s="128"/>
      <c r="H33" s="131"/>
      <c r="I33" s="131"/>
      <c r="J33" s="130"/>
    </row>
    <row r="34" spans="1:13" ht="26.25" hidden="1" thickBot="1" x14ac:dyDescent="0.25">
      <c r="A34" s="121" t="s">
        <v>109</v>
      </c>
      <c r="B34" s="122" t="s">
        <v>116</v>
      </c>
      <c r="C34" s="122" t="s">
        <v>109</v>
      </c>
      <c r="D34" s="123" t="s">
        <v>149</v>
      </c>
      <c r="E34" s="123" t="s">
        <v>111</v>
      </c>
      <c r="F34" s="123" t="s">
        <v>112</v>
      </c>
      <c r="G34" s="123" t="s">
        <v>113</v>
      </c>
      <c r="H34" s="124" t="s">
        <v>114</v>
      </c>
      <c r="I34" s="131"/>
      <c r="J34" s="130"/>
    </row>
    <row r="35" spans="1:13" ht="13.5" hidden="1" x14ac:dyDescent="0.25">
      <c r="A35" s="125">
        <f>+A17</f>
        <v>0</v>
      </c>
      <c r="B35" s="102" t="str">
        <f>IFERROR(VLOOKUP(H35,[1]SEMIELABORADOS!$A$2:$M$6000,2,0),"")</f>
        <v/>
      </c>
      <c r="C35" s="126">
        <f>+A35</f>
        <v>0</v>
      </c>
      <c r="D35" s="127" t="str">
        <f>IFERROR(VLOOKUP(H35,[1]SEMIELABORADOS!$A$2:$M$6000,6,0),"")</f>
        <v/>
      </c>
      <c r="E35" s="127" t="str">
        <f>IFERROR(VLOOKUP(H35,[1]SEMIELABORADOS!$A$2:$M$65536,10,0),"")</f>
        <v/>
      </c>
      <c r="F35" s="127" t="str">
        <f>IFERROR(E35*C35,"")</f>
        <v/>
      </c>
      <c r="G35" s="128" t="str">
        <f t="shared" ref="G35:G41" si="9">IFERROR(F35/$F$66,"")</f>
        <v/>
      </c>
      <c r="H35" s="131"/>
      <c r="I35" s="131"/>
      <c r="J35" s="130"/>
    </row>
    <row r="36" spans="1:13" ht="13.5" hidden="1" x14ac:dyDescent="0.25">
      <c r="A36" s="125">
        <f t="shared" ref="A36:A41" si="10">+A18</f>
        <v>0</v>
      </c>
      <c r="B36" s="102" t="str">
        <f>IFERROR(VLOOKUP(H36,[1]SEMIELABORADOS!$A$2:$M$6000,2,0),"")</f>
        <v/>
      </c>
      <c r="C36" s="126">
        <f t="shared" ref="C36:C41" si="11">+A36</f>
        <v>0</v>
      </c>
      <c r="D36" s="127" t="str">
        <f>IFERROR(VLOOKUP(H36,[1]SEMIELABORADOS!$A$2:$M$6000,6,0),"")</f>
        <v/>
      </c>
      <c r="E36" s="127" t="str">
        <f>IFERROR(VLOOKUP(H36,[1]SEMIELABORADOS!$A$2:$M$65536,10,0),"")</f>
        <v/>
      </c>
      <c r="F36" s="127" t="str">
        <f t="shared" ref="F36:F41" si="12">IFERROR(E36*C36,"")</f>
        <v/>
      </c>
      <c r="G36" s="128" t="str">
        <f t="shared" si="9"/>
        <v/>
      </c>
      <c r="H36" s="131"/>
      <c r="I36" s="131"/>
      <c r="J36" s="130"/>
    </row>
    <row r="37" spans="1:13" ht="13.5" hidden="1" x14ac:dyDescent="0.25">
      <c r="A37" s="125">
        <f t="shared" si="10"/>
        <v>0</v>
      </c>
      <c r="B37" s="102" t="str">
        <f>IFERROR(VLOOKUP(H37,[1]SEMIELABORADOS!$A$2:$M$6000,2,0),"")</f>
        <v/>
      </c>
      <c r="C37" s="126">
        <f t="shared" si="11"/>
        <v>0</v>
      </c>
      <c r="D37" s="127" t="str">
        <f>IFERROR(VLOOKUP(H37,[1]SEMIELABORADOS!$A$2:$M$6000,6,0),"")</f>
        <v/>
      </c>
      <c r="E37" s="127" t="str">
        <f>IFERROR(VLOOKUP(H37,[1]SEMIELABORADOS!$A$2:$M$65536,10,0),"")</f>
        <v/>
      </c>
      <c r="F37" s="127" t="str">
        <f t="shared" si="12"/>
        <v/>
      </c>
      <c r="G37" s="128" t="str">
        <f t="shared" si="9"/>
        <v/>
      </c>
      <c r="H37" s="131"/>
      <c r="I37" s="131"/>
      <c r="J37" s="130"/>
    </row>
    <row r="38" spans="1:13" ht="13.5" hidden="1" x14ac:dyDescent="0.25">
      <c r="A38" s="125">
        <f t="shared" si="10"/>
        <v>0</v>
      </c>
      <c r="B38" s="102" t="str">
        <f>IFERROR(VLOOKUP(H38,[1]SEMIELABORADOS!$A$2:$M$6000,2,0),"")</f>
        <v/>
      </c>
      <c r="C38" s="126">
        <f>+A38</f>
        <v>0</v>
      </c>
      <c r="D38" s="127" t="str">
        <f>IFERROR(VLOOKUP(H38,[1]SEMIELABORADOS!$A$2:$M$6000,6,0),"")</f>
        <v/>
      </c>
      <c r="E38" s="127" t="str">
        <f>IFERROR(VLOOKUP(H38,[1]SEMIELABORADOS!$A$2:$M$65536,10,0),"")</f>
        <v/>
      </c>
      <c r="F38" s="127" t="str">
        <f>IFERROR(E38*C38,"")</f>
        <v/>
      </c>
      <c r="G38" s="128" t="str">
        <f t="shared" si="9"/>
        <v/>
      </c>
      <c r="H38" s="131"/>
      <c r="I38" s="131"/>
      <c r="J38" s="130"/>
    </row>
    <row r="39" spans="1:13" ht="13.5" hidden="1" x14ac:dyDescent="0.25">
      <c r="A39" s="125">
        <f t="shared" si="10"/>
        <v>0</v>
      </c>
      <c r="B39" s="102" t="str">
        <f>IFERROR(VLOOKUP(H39,[1]SEMIELABORADOS!$A$2:$M$6000,2,0),"")</f>
        <v/>
      </c>
      <c r="C39" s="126">
        <f>+A39</f>
        <v>0</v>
      </c>
      <c r="D39" s="127" t="str">
        <f>IFERROR(VLOOKUP(H39,[1]SEMIELABORADOS!$A$2:$M$6000,6,0),"")</f>
        <v/>
      </c>
      <c r="E39" s="127" t="str">
        <f>IFERROR(VLOOKUP(H39,[1]SEMIELABORADOS!$A$2:$M$65536,10,0),"")</f>
        <v/>
      </c>
      <c r="F39" s="127" t="str">
        <f>IFERROR(E39*C39,"")</f>
        <v/>
      </c>
      <c r="G39" s="128" t="str">
        <f t="shared" si="9"/>
        <v/>
      </c>
      <c r="H39" s="131"/>
      <c r="I39" s="131"/>
      <c r="J39" s="130"/>
    </row>
    <row r="40" spans="1:13" ht="13.5" hidden="1" x14ac:dyDescent="0.25">
      <c r="A40" s="125">
        <f t="shared" si="10"/>
        <v>0</v>
      </c>
      <c r="B40" s="102" t="str">
        <f>IFERROR(VLOOKUP(H40,[1]SEMIELABORADOS!$A$2:$M$6000,2,0),"")</f>
        <v/>
      </c>
      <c r="C40" s="126">
        <f t="shared" si="11"/>
        <v>0</v>
      </c>
      <c r="D40" s="127" t="str">
        <f>IFERROR(VLOOKUP(H40,[1]SEMIELABORADOS!$A$2:$M$6000,6,0),"")</f>
        <v/>
      </c>
      <c r="E40" s="127" t="str">
        <f>IFERROR(VLOOKUP(H40,[1]SEMIELABORADOS!$A$2:$M$65536,10,0),"")</f>
        <v/>
      </c>
      <c r="F40" s="127" t="str">
        <f t="shared" si="12"/>
        <v/>
      </c>
      <c r="G40" s="128" t="str">
        <f t="shared" si="9"/>
        <v/>
      </c>
      <c r="H40" s="131"/>
      <c r="I40" s="131"/>
      <c r="J40" s="130"/>
    </row>
    <row r="41" spans="1:13" ht="13.5" hidden="1" x14ac:dyDescent="0.25">
      <c r="A41" s="125">
        <f t="shared" si="10"/>
        <v>0</v>
      </c>
      <c r="B41" s="102" t="str">
        <f>IFERROR(VLOOKUP(H41,[1]SEMIELABORADOS!$A$2:$M$6000,2,0),"")</f>
        <v/>
      </c>
      <c r="C41" s="126">
        <f t="shared" si="11"/>
        <v>0</v>
      </c>
      <c r="D41" s="127" t="str">
        <f>IFERROR(VLOOKUP(H41,[1]SEMIELABORADOS!$A$2:$M$6000,6,0),"")</f>
        <v/>
      </c>
      <c r="E41" s="127" t="str">
        <f>IFERROR(VLOOKUP(H41,[1]SEMIELABORADOS!$A$2:$M$65536,10,0),"")</f>
        <v/>
      </c>
      <c r="F41" s="127" t="str">
        <f t="shared" si="12"/>
        <v/>
      </c>
      <c r="G41" s="128" t="str">
        <f t="shared" si="9"/>
        <v/>
      </c>
      <c r="H41" s="131"/>
      <c r="I41" s="131"/>
      <c r="J41" s="130"/>
    </row>
    <row r="42" spans="1:13" ht="14.25" hidden="1" thickBot="1" x14ac:dyDescent="0.3">
      <c r="A42" s="125"/>
      <c r="B42" s="102"/>
      <c r="C42" s="126"/>
      <c r="D42" s="127"/>
      <c r="E42" s="127"/>
      <c r="F42" s="127"/>
      <c r="G42" s="128"/>
      <c r="H42" s="131"/>
      <c r="I42" s="131"/>
      <c r="J42" s="130"/>
    </row>
    <row r="43" spans="1:13" ht="26.25" thickBot="1" x14ac:dyDescent="0.25">
      <c r="A43" s="121" t="s">
        <v>109</v>
      </c>
      <c r="B43" s="122" t="s">
        <v>117</v>
      </c>
      <c r="C43" s="122" t="s">
        <v>109</v>
      </c>
      <c r="D43" s="123" t="s">
        <v>149</v>
      </c>
      <c r="E43" s="123" t="s">
        <v>111</v>
      </c>
      <c r="F43" s="123" t="s">
        <v>112</v>
      </c>
      <c r="G43" s="123" t="s">
        <v>113</v>
      </c>
      <c r="H43" s="124" t="s">
        <v>114</v>
      </c>
      <c r="I43" s="106"/>
      <c r="J43" s="130"/>
    </row>
    <row r="44" spans="1:13" ht="13.5" hidden="1" x14ac:dyDescent="0.25">
      <c r="A44" s="125">
        <f>+A35</f>
        <v>0</v>
      </c>
      <c r="B44" s="102" t="str">
        <f>IFERROR(VLOOKUP(H44,[1]SEMIELABORADOS!$A$2:$M$6000,2,0),"")</f>
        <v/>
      </c>
      <c r="C44" s="126">
        <f>+A44</f>
        <v>0</v>
      </c>
      <c r="D44" s="127" t="str">
        <f>IFERROR(VLOOKUP(H44,[1]SEMIELABORADOS!$A$2:$M$6000,6,0),"")</f>
        <v/>
      </c>
      <c r="E44" s="127" t="str">
        <f>IFERROR(VLOOKUP(H44,[1]SEMIELABORADOS!$A$2:$M$65536,12,0),"")</f>
        <v/>
      </c>
      <c r="F44" s="127" t="str">
        <f>IFERROR(E44*C44,"")</f>
        <v/>
      </c>
      <c r="G44" s="128" t="str">
        <f>IFERROR(F44/$F$66,"")</f>
        <v/>
      </c>
      <c r="H44" s="131"/>
      <c r="I44" s="106"/>
      <c r="J44" s="130"/>
    </row>
    <row r="45" spans="1:13" ht="13.5" hidden="1" x14ac:dyDescent="0.25">
      <c r="A45" s="125">
        <f t="shared" ref="A45:A50" si="13">+A36</f>
        <v>0</v>
      </c>
      <c r="B45" s="102" t="str">
        <f>IFERROR(VLOOKUP(H45,[1]SEMIELABORADOS!$A$2:$M$6000,2,0),"")</f>
        <v/>
      </c>
      <c r="C45" s="126">
        <f t="shared" ref="C45:C50" si="14">+A45</f>
        <v>0</v>
      </c>
      <c r="D45" s="127" t="str">
        <f>IFERROR(VLOOKUP(H45,[1]SEMIELABORADOS!$A$2:$M$6000,6,0),"")</f>
        <v/>
      </c>
      <c r="E45" s="127" t="str">
        <f>IFERROR(VLOOKUP(H45,[1]SEMIELABORADOS!$A$2:$M$65536,12,0),"")</f>
        <v/>
      </c>
      <c r="F45" s="127" t="str">
        <f t="shared" ref="F45:F50" si="15">IFERROR(E45*C45,"")</f>
        <v/>
      </c>
      <c r="G45" s="128" t="str">
        <f t="shared" ref="G45:G50" si="16">IFERROR(F45/$F$66,"")</f>
        <v/>
      </c>
      <c r="H45" s="131"/>
      <c r="I45" s="106"/>
      <c r="J45" s="130"/>
      <c r="M45" s="133"/>
    </row>
    <row r="46" spans="1:13" ht="13.5" hidden="1" x14ac:dyDescent="0.25">
      <c r="A46" s="125">
        <f t="shared" si="13"/>
        <v>0</v>
      </c>
      <c r="B46" s="102" t="str">
        <f>IFERROR(VLOOKUP(H46,[1]SEMIELABORADOS!$A$2:$M$6000,2,0),"")</f>
        <v/>
      </c>
      <c r="C46" s="126">
        <f t="shared" si="14"/>
        <v>0</v>
      </c>
      <c r="D46" s="127" t="str">
        <f>IFERROR(VLOOKUP(H46,[1]SEMIELABORADOS!$A$2:$M$6000,6,0),"")</f>
        <v/>
      </c>
      <c r="E46" s="127" t="str">
        <f>IFERROR(VLOOKUP(H46,[1]SEMIELABORADOS!$A$2:$M$65536,12,0),"")</f>
        <v/>
      </c>
      <c r="F46" s="127" t="str">
        <f t="shared" si="15"/>
        <v/>
      </c>
      <c r="G46" s="128" t="str">
        <f t="shared" si="16"/>
        <v/>
      </c>
      <c r="H46" s="131"/>
      <c r="I46" s="106"/>
      <c r="J46" s="130"/>
    </row>
    <row r="47" spans="1:13" ht="13.5" hidden="1" x14ac:dyDescent="0.25">
      <c r="A47" s="125">
        <f t="shared" si="13"/>
        <v>0</v>
      </c>
      <c r="B47" s="102" t="str">
        <f>IFERROR(VLOOKUP(H47,[1]SEMIELABORADOS!$A$2:$M$6000,2,0),"")</f>
        <v/>
      </c>
      <c r="C47" s="126">
        <f t="shared" si="14"/>
        <v>0</v>
      </c>
      <c r="D47" s="127" t="str">
        <f>IFERROR(VLOOKUP(H47,[1]SEMIELABORADOS!$A$2:$M$6000,6,0),"")</f>
        <v/>
      </c>
      <c r="E47" s="127" t="str">
        <f>IFERROR(VLOOKUP(H47,[1]SEMIELABORADOS!$A$2:$M$65536,12,0),"")</f>
        <v/>
      </c>
      <c r="F47" s="127" t="str">
        <f t="shared" si="15"/>
        <v/>
      </c>
      <c r="G47" s="128" t="str">
        <f t="shared" si="16"/>
        <v/>
      </c>
      <c r="H47" s="131"/>
      <c r="I47" s="106"/>
      <c r="J47" s="130"/>
    </row>
    <row r="48" spans="1:13" ht="13.5" hidden="1" x14ac:dyDescent="0.25">
      <c r="A48" s="125">
        <f t="shared" si="13"/>
        <v>0</v>
      </c>
      <c r="B48" s="102" t="str">
        <f>IFERROR(VLOOKUP(H48,[1]SEMIELABORADOS!$A$2:$M$6000,2,0),"")</f>
        <v/>
      </c>
      <c r="C48" s="126">
        <f t="shared" si="14"/>
        <v>0</v>
      </c>
      <c r="D48" s="127" t="str">
        <f>IFERROR(VLOOKUP(H48,[1]SEMIELABORADOS!$A$2:$M$6000,6,0),"")</f>
        <v/>
      </c>
      <c r="E48" s="127" t="str">
        <f>IFERROR(VLOOKUP(H48,[1]SEMIELABORADOS!$A$2:$M$65536,12,0),"")</f>
        <v/>
      </c>
      <c r="F48" s="127" t="str">
        <f t="shared" si="15"/>
        <v/>
      </c>
      <c r="G48" s="128" t="str">
        <f t="shared" si="16"/>
        <v/>
      </c>
      <c r="H48" s="131"/>
      <c r="I48" s="106"/>
      <c r="J48" s="130"/>
    </row>
    <row r="49" spans="1:17" ht="13.5" hidden="1" x14ac:dyDescent="0.25">
      <c r="A49" s="125">
        <f t="shared" si="13"/>
        <v>0</v>
      </c>
      <c r="B49" s="102" t="str">
        <f>IFERROR(VLOOKUP(H49,[1]SEMIELABORADOS!$A$2:$M$6000,2,0),"")</f>
        <v/>
      </c>
      <c r="C49" s="126">
        <f t="shared" si="14"/>
        <v>0</v>
      </c>
      <c r="D49" s="127" t="str">
        <f>IFERROR(VLOOKUP(H49,[1]SEMIELABORADOS!$A$2:$M$6000,6,0),"")</f>
        <v/>
      </c>
      <c r="E49" s="127" t="str">
        <f>IFERROR(VLOOKUP(H49,[1]SEMIELABORADOS!$A$2:$M$65536,12,0),"")</f>
        <v/>
      </c>
      <c r="F49" s="127" t="str">
        <f t="shared" si="15"/>
        <v/>
      </c>
      <c r="G49" s="128" t="str">
        <f t="shared" si="16"/>
        <v/>
      </c>
      <c r="H49" s="131"/>
      <c r="I49" s="106"/>
      <c r="J49" s="130"/>
    </row>
    <row r="50" spans="1:17" ht="13.5" hidden="1" x14ac:dyDescent="0.25">
      <c r="A50" s="125">
        <f t="shared" si="13"/>
        <v>0</v>
      </c>
      <c r="B50" s="102" t="str">
        <f>IFERROR(VLOOKUP(H50,[1]SEMIELABORADOS!$A$2:$M$6000,2,0),"")</f>
        <v/>
      </c>
      <c r="C50" s="126">
        <f t="shared" si="14"/>
        <v>0</v>
      </c>
      <c r="D50" s="127" t="str">
        <f>IFERROR(VLOOKUP(H50,[1]SEMIELABORADOS!$A$2:$M$6000,6,0),"")</f>
        <v/>
      </c>
      <c r="E50" s="127" t="str">
        <f>IFERROR(VLOOKUP(H50,[1]SEMIELABORADOS!$A$2:$M$65536,12,0),"")</f>
        <v/>
      </c>
      <c r="F50" s="127" t="str">
        <f t="shared" si="15"/>
        <v/>
      </c>
      <c r="G50" s="128" t="str">
        <f t="shared" si="16"/>
        <v/>
      </c>
      <c r="H50" s="102"/>
      <c r="I50" s="106"/>
      <c r="J50" s="130"/>
    </row>
    <row r="51" spans="1:17" ht="13.5" x14ac:dyDescent="0.25">
      <c r="A51" s="125">
        <v>1</v>
      </c>
      <c r="B51" s="102" t="s">
        <v>118</v>
      </c>
      <c r="C51" s="126">
        <f>+A51</f>
        <v>1</v>
      </c>
      <c r="D51" s="126" t="s">
        <v>119</v>
      </c>
      <c r="E51" s="127">
        <f>+F65</f>
        <v>232</v>
      </c>
      <c r="F51" s="127">
        <f>IFERROR(C51*E51,"")</f>
        <v>232</v>
      </c>
      <c r="G51" s="128">
        <f>IFERROR(F51/$F$66,"")</f>
        <v>3.4962072129450156E-2</v>
      </c>
      <c r="H51" s="134"/>
      <c r="I51" s="134"/>
      <c r="J51" s="130"/>
    </row>
    <row r="52" spans="1:17" ht="14.25" thickBot="1" x14ac:dyDescent="0.3">
      <c r="A52" s="125"/>
      <c r="B52" s="102"/>
      <c r="C52" s="126"/>
      <c r="D52" s="126"/>
      <c r="E52" s="127"/>
      <c r="F52" s="127"/>
      <c r="G52" s="128"/>
      <c r="H52" s="134"/>
      <c r="I52" s="134"/>
      <c r="J52" s="130"/>
    </row>
    <row r="53" spans="1:17" ht="13.5" thickBot="1" x14ac:dyDescent="0.25">
      <c r="A53" s="108"/>
      <c r="B53" s="354" t="s">
        <v>150</v>
      </c>
      <c r="C53" s="354"/>
      <c r="D53" s="354"/>
      <c r="E53" s="354"/>
      <c r="F53" s="135">
        <f>SUM(F8:F14,F17:F24)</f>
        <v>6157.91</v>
      </c>
      <c r="G53" s="128">
        <f>+F53/$F$66</f>
        <v>0.92798833442526896</v>
      </c>
      <c r="H53" s="136">
        <f>+F53/$D$60</f>
        <v>6157.91</v>
      </c>
      <c r="I53" s="136"/>
      <c r="J53" s="137"/>
      <c r="K53" s="138"/>
      <c r="L53" s="138"/>
      <c r="M53" s="138"/>
      <c r="N53" s="138"/>
      <c r="O53" s="138"/>
      <c r="P53" s="138"/>
      <c r="Q53" s="139"/>
    </row>
    <row r="54" spans="1:17" x14ac:dyDescent="0.2">
      <c r="A54" s="108"/>
      <c r="B54" s="354" t="s">
        <v>120</v>
      </c>
      <c r="C54" s="354"/>
      <c r="D54" s="354"/>
      <c r="E54" s="354"/>
      <c r="F54" s="135">
        <f>SUM(F27:F32,F35:F41)</f>
        <v>122.69409523809524</v>
      </c>
      <c r="G54" s="128">
        <f>+F54/$F$66</f>
        <v>1.8489826756775487E-2</v>
      </c>
      <c r="H54" s="136">
        <f>+F54/$D$60</f>
        <v>122.69409523809524</v>
      </c>
      <c r="I54" s="136"/>
      <c r="J54" s="140"/>
      <c r="K54" s="355" t="s">
        <v>121</v>
      </c>
      <c r="L54" s="356"/>
      <c r="M54" s="356"/>
      <c r="N54" s="356"/>
      <c r="O54" s="141">
        <f>+F55</f>
        <v>6280.6040952380954</v>
      </c>
      <c r="P54" s="141"/>
      <c r="Q54" s="142"/>
    </row>
    <row r="55" spans="1:17" x14ac:dyDescent="0.2">
      <c r="A55" s="108"/>
      <c r="B55" s="354" t="s">
        <v>122</v>
      </c>
      <c r="C55" s="354"/>
      <c r="D55" s="354"/>
      <c r="E55" s="354"/>
      <c r="F55" s="135">
        <f>+F53+F54</f>
        <v>6280.6040952380954</v>
      </c>
      <c r="G55" s="128">
        <f>+F55/$F$66</f>
        <v>0.94647816118204453</v>
      </c>
      <c r="H55" s="136">
        <f>+F55/$D$60</f>
        <v>6280.6040952380954</v>
      </c>
      <c r="I55" s="136"/>
      <c r="J55" s="143"/>
      <c r="K55" s="144"/>
      <c r="M55" s="145" t="s">
        <v>123</v>
      </c>
      <c r="N55" s="146">
        <v>0.18</v>
      </c>
      <c r="O55" s="141">
        <f>+O54*N55</f>
        <v>1130.5087371428572</v>
      </c>
      <c r="P55" s="141"/>
      <c r="Q55" s="142"/>
    </row>
    <row r="56" spans="1:17" ht="13.5" thickBot="1" x14ac:dyDescent="0.25">
      <c r="A56" s="108"/>
      <c r="B56" s="109"/>
      <c r="C56" s="354" t="s">
        <v>124</v>
      </c>
      <c r="D56" s="354"/>
      <c r="E56" s="354"/>
      <c r="F56" s="135">
        <f>SUM(F44:F51)</f>
        <v>232</v>
      </c>
      <c r="G56" s="128">
        <f>+F56/$F$66</f>
        <v>3.4962072129450156E-2</v>
      </c>
      <c r="H56" s="136">
        <f>+F56/$D$60</f>
        <v>232</v>
      </c>
      <c r="I56" s="136"/>
      <c r="J56" s="143"/>
      <c r="K56" s="144"/>
      <c r="L56" s="144"/>
      <c r="M56" s="144" t="s">
        <v>125</v>
      </c>
      <c r="N56" s="147"/>
      <c r="O56" s="141">
        <f>O54*N56</f>
        <v>0</v>
      </c>
      <c r="P56" s="141"/>
      <c r="Q56" s="142"/>
    </row>
    <row r="57" spans="1:17" ht="13.5" thickBot="1" x14ac:dyDescent="0.25">
      <c r="A57" s="108"/>
      <c r="B57" s="148"/>
      <c r="C57" s="148"/>
      <c r="D57" s="148"/>
      <c r="E57" s="148"/>
      <c r="F57" s="149"/>
      <c r="G57" s="128"/>
      <c r="H57" s="150"/>
      <c r="I57" s="136"/>
      <c r="J57" s="143"/>
      <c r="K57" s="151"/>
      <c r="M57" s="152" t="s">
        <v>126</v>
      </c>
      <c r="N57" s="153"/>
      <c r="O57" s="154">
        <f>SUM(O54:O56)</f>
        <v>7411.1128323809526</v>
      </c>
      <c r="P57" s="155"/>
      <c r="Q57" s="142"/>
    </row>
    <row r="58" spans="1:17" x14ac:dyDescent="0.2">
      <c r="B58" s="347" t="s">
        <v>127</v>
      </c>
      <c r="C58" s="347"/>
      <c r="D58" s="156">
        <v>6680</v>
      </c>
      <c r="E58" s="110"/>
      <c r="G58" s="128"/>
      <c r="H58" s="150"/>
      <c r="I58" s="157"/>
      <c r="J58" s="143"/>
      <c r="K58" s="151"/>
      <c r="L58" s="144"/>
      <c r="M58" s="144" t="s">
        <v>128</v>
      </c>
      <c r="N58" s="158">
        <v>0.16</v>
      </c>
      <c r="O58" s="141">
        <f>+O54*N58</f>
        <v>1004.8966552380953</v>
      </c>
      <c r="P58" s="141"/>
      <c r="Q58" s="142"/>
    </row>
    <row r="59" spans="1:17" x14ac:dyDescent="0.2">
      <c r="B59" s="347" t="s">
        <v>129</v>
      </c>
      <c r="C59" s="347"/>
      <c r="D59" s="159">
        <v>6680</v>
      </c>
      <c r="E59" s="110"/>
      <c r="G59" s="128"/>
      <c r="H59" s="150"/>
      <c r="I59" s="157"/>
      <c r="J59" s="143"/>
      <c r="K59" s="151"/>
      <c r="L59" s="144"/>
      <c r="M59" s="358" t="s">
        <v>126</v>
      </c>
      <c r="N59" s="358"/>
      <c r="O59" s="141">
        <f>SUM(O57:O58)</f>
        <v>8416.0094876190487</v>
      </c>
      <c r="P59" s="141"/>
      <c r="Q59" s="142"/>
    </row>
    <row r="60" spans="1:17" ht="13.5" thickBot="1" x14ac:dyDescent="0.25">
      <c r="B60" s="357" t="s">
        <v>130</v>
      </c>
      <c r="C60" s="357"/>
      <c r="D60" s="156">
        <f>+D58/D59</f>
        <v>1</v>
      </c>
      <c r="E60" s="110"/>
      <c r="F60" s="160"/>
      <c r="G60" s="128"/>
      <c r="H60" s="150"/>
      <c r="I60" s="157"/>
      <c r="J60" s="143"/>
      <c r="K60" s="151"/>
      <c r="L60" s="358"/>
      <c r="M60" s="358"/>
      <c r="N60" s="158"/>
      <c r="O60" s="141">
        <f>+O59*N60</f>
        <v>0</v>
      </c>
      <c r="P60" s="141"/>
      <c r="Q60" s="142"/>
    </row>
    <row r="61" spans="1:17" ht="13.5" thickBot="1" x14ac:dyDescent="0.25">
      <c r="B61" s="357" t="s">
        <v>131</v>
      </c>
      <c r="C61" s="357"/>
      <c r="D61" s="161"/>
      <c r="E61" s="110"/>
      <c r="F61" s="160"/>
      <c r="G61" s="128"/>
      <c r="H61" s="150"/>
      <c r="I61" s="157"/>
      <c r="J61" s="143"/>
      <c r="K61" s="333" t="s">
        <v>132</v>
      </c>
      <c r="L61" s="334"/>
      <c r="M61" s="334"/>
      <c r="N61" s="335"/>
      <c r="O61" s="154">
        <f>SUM(O59:O60)</f>
        <v>8416.0094876190487</v>
      </c>
      <c r="P61" s="162" t="s">
        <v>133</v>
      </c>
      <c r="Q61" s="142"/>
    </row>
    <row r="62" spans="1:17" ht="13.5" thickBot="1" x14ac:dyDescent="0.25">
      <c r="C62" s="108" t="s">
        <v>134</v>
      </c>
      <c r="D62" s="163"/>
      <c r="E62" s="103" t="s">
        <v>135</v>
      </c>
      <c r="F62" s="164" t="s">
        <v>136</v>
      </c>
      <c r="G62" s="128"/>
      <c r="H62" s="150"/>
      <c r="I62" s="157"/>
      <c r="J62" s="165"/>
      <c r="K62" s="166"/>
      <c r="L62" s="336" t="s">
        <v>137</v>
      </c>
      <c r="M62" s="336"/>
      <c r="N62" s="336"/>
      <c r="O62" s="167">
        <f>+O61/D60</f>
        <v>8416.0094876190487</v>
      </c>
      <c r="P62" s="168">
        <f>+O62/D59</f>
        <v>1.259881659823211</v>
      </c>
      <c r="Q62" s="169"/>
    </row>
    <row r="63" spans="1:17" ht="13.5" thickBot="1" x14ac:dyDescent="0.25">
      <c r="B63" s="337" t="s">
        <v>122</v>
      </c>
      <c r="C63" s="337"/>
      <c r="D63" s="337"/>
      <c r="E63" s="170">
        <f>+F63/F63</f>
        <v>1</v>
      </c>
      <c r="F63" s="171">
        <f>SUM(F55)</f>
        <v>6280.6040952380954</v>
      </c>
      <c r="G63" s="128">
        <f>+F63/$F$66</f>
        <v>0.94647816118204453</v>
      </c>
      <c r="H63" s="150"/>
      <c r="I63" s="157"/>
      <c r="K63" s="338"/>
      <c r="L63" s="339"/>
      <c r="M63" s="339"/>
      <c r="N63" s="339"/>
      <c r="O63" s="172"/>
      <c r="P63" s="173"/>
    </row>
    <row r="64" spans="1:17" ht="13.5" thickBot="1" x14ac:dyDescent="0.25">
      <c r="B64" s="340" t="s">
        <v>151</v>
      </c>
      <c r="C64" s="340"/>
      <c r="D64" s="340"/>
      <c r="E64" s="174">
        <v>0.02</v>
      </c>
      <c r="F64" s="171">
        <f>+F53*E64</f>
        <v>123.15819999999999</v>
      </c>
      <c r="G64" s="128">
        <f>+F64/$F$66</f>
        <v>1.855976668850538E-2</v>
      </c>
      <c r="H64" s="136"/>
      <c r="I64" s="157"/>
      <c r="J64" s="175"/>
      <c r="O64" s="176"/>
      <c r="P64" s="109"/>
    </row>
    <row r="65" spans="2:10" ht="13.5" thickBot="1" x14ac:dyDescent="0.25">
      <c r="B65" s="345" t="s">
        <v>138</v>
      </c>
      <c r="C65" s="346"/>
      <c r="D65" s="177">
        <v>4</v>
      </c>
      <c r="E65" s="178">
        <v>58</v>
      </c>
      <c r="F65" s="171">
        <f>+E65*D65</f>
        <v>232</v>
      </c>
      <c r="G65" s="128">
        <f>+F65/$F$66</f>
        <v>3.4962072129450156E-2</v>
      </c>
      <c r="H65" s="136"/>
      <c r="I65" s="136"/>
      <c r="J65" s="130"/>
    </row>
    <row r="66" spans="2:10" ht="13.5" thickBot="1" x14ac:dyDescent="0.25">
      <c r="B66" s="341" t="s">
        <v>139</v>
      </c>
      <c r="C66" s="342"/>
      <c r="D66" s="342"/>
      <c r="E66" s="343"/>
      <c r="F66" s="149">
        <f>SUM(F63:F65)</f>
        <v>6635.7622952380952</v>
      </c>
      <c r="G66" s="128">
        <f>+F66/$F$66</f>
        <v>1</v>
      </c>
      <c r="H66" s="344"/>
      <c r="I66" s="136"/>
      <c r="J66" s="130"/>
    </row>
    <row r="67" spans="2:10" x14ac:dyDescent="0.2">
      <c r="C67" s="133"/>
      <c r="D67" s="133"/>
      <c r="E67" s="180"/>
      <c r="F67" s="171"/>
      <c r="G67" s="128"/>
      <c r="H67" s="344"/>
      <c r="I67" s="179"/>
      <c r="J67" s="104"/>
    </row>
    <row r="68" spans="2:10" ht="13.5" thickBot="1" x14ac:dyDescent="0.25">
      <c r="B68" s="331" t="s">
        <v>140</v>
      </c>
      <c r="C68" s="331"/>
      <c r="D68" s="331"/>
      <c r="E68" s="331"/>
      <c r="F68" s="331"/>
      <c r="G68" s="128"/>
      <c r="H68" s="111"/>
      <c r="I68" s="179"/>
      <c r="J68" s="104"/>
    </row>
    <row r="69" spans="2:10" ht="13.5" thickBot="1" x14ac:dyDescent="0.25">
      <c r="B69" s="182" t="s">
        <v>141</v>
      </c>
      <c r="C69" s="183">
        <f>+F53</f>
        <v>6157.91</v>
      </c>
      <c r="D69" s="183">
        <f>+D58</f>
        <v>6680</v>
      </c>
      <c r="E69" s="184">
        <f>+C69/D69</f>
        <v>0.92184281437125748</v>
      </c>
      <c r="F69" s="128"/>
      <c r="G69" s="111"/>
      <c r="H69" s="130"/>
      <c r="I69" s="111"/>
      <c r="J69" s="104"/>
    </row>
    <row r="70" spans="2:10" x14ac:dyDescent="0.2">
      <c r="B70" s="185"/>
      <c r="C70" s="186"/>
      <c r="D70" s="187"/>
      <c r="E70" s="171"/>
      <c r="F70" s="128"/>
      <c r="G70" s="111"/>
      <c r="H70" s="130"/>
      <c r="I70" s="130"/>
      <c r="J70" s="104"/>
    </row>
    <row r="71" spans="2:10" x14ac:dyDescent="0.2">
      <c r="B71" s="182" t="s">
        <v>142</v>
      </c>
      <c r="C71" s="183">
        <f>SUM(F63:F64)</f>
        <v>6403.7622952380952</v>
      </c>
      <c r="D71" s="183">
        <f>+D58</f>
        <v>6680</v>
      </c>
      <c r="E71" s="188">
        <f>+C71/D71</f>
        <v>0.95864705018534357</v>
      </c>
      <c r="F71" s="128"/>
      <c r="G71" s="111"/>
      <c r="H71" s="130"/>
      <c r="I71" s="130"/>
      <c r="J71" s="104"/>
    </row>
    <row r="72" spans="2:10" x14ac:dyDescent="0.2">
      <c r="B72" s="182"/>
      <c r="C72" s="183"/>
      <c r="D72" s="183"/>
      <c r="E72" s="188"/>
      <c r="F72" s="128"/>
      <c r="G72" s="111"/>
      <c r="H72" s="130"/>
      <c r="I72" s="130"/>
      <c r="J72" s="104"/>
    </row>
    <row r="73" spans="2:10" ht="13.5" thickBot="1" x14ac:dyDescent="0.25">
      <c r="B73" s="182" t="s">
        <v>143</v>
      </c>
      <c r="C73" s="183">
        <f>+F65</f>
        <v>232</v>
      </c>
      <c r="D73" s="183">
        <f>+D58</f>
        <v>6680</v>
      </c>
      <c r="E73" s="188">
        <f>+C73/D73</f>
        <v>3.473053892215569E-2</v>
      </c>
      <c r="F73" s="128"/>
      <c r="G73" s="111"/>
      <c r="H73" s="130"/>
      <c r="I73" s="130"/>
      <c r="J73" s="104"/>
    </row>
    <row r="74" spans="2:10" ht="13.5" thickBot="1" x14ac:dyDescent="0.25">
      <c r="B74" s="182" t="s">
        <v>144</v>
      </c>
      <c r="C74" s="183">
        <f>+F56</f>
        <v>232</v>
      </c>
      <c r="D74" s="183">
        <f>+D73</f>
        <v>6680</v>
      </c>
      <c r="E74" s="184">
        <f>+C74/D74</f>
        <v>3.473053892215569E-2</v>
      </c>
      <c r="F74" s="128"/>
      <c r="G74" s="111"/>
      <c r="H74" s="130"/>
      <c r="I74" s="130"/>
      <c r="J74" s="104"/>
    </row>
    <row r="75" spans="2:10" ht="13.5" thickBot="1" x14ac:dyDescent="0.25">
      <c r="B75" s="148"/>
      <c r="C75" s="149"/>
      <c r="D75" s="149"/>
      <c r="E75" s="188"/>
      <c r="F75" s="128"/>
      <c r="G75" s="111"/>
      <c r="H75" s="130"/>
      <c r="I75" s="130"/>
      <c r="J75" s="104"/>
    </row>
    <row r="76" spans="2:10" ht="13.5" thickBot="1" x14ac:dyDescent="0.25">
      <c r="B76" s="182" t="s">
        <v>145</v>
      </c>
      <c r="C76" s="183">
        <f>+F54</f>
        <v>122.69409523809524</v>
      </c>
      <c r="D76" s="183">
        <f>+D74</f>
        <v>6680</v>
      </c>
      <c r="E76" s="184">
        <f>+C76/D76</f>
        <v>1.8367379526660964E-2</v>
      </c>
      <c r="F76" s="128"/>
      <c r="G76" s="111"/>
      <c r="H76" s="130"/>
      <c r="I76" s="130"/>
      <c r="J76" s="130"/>
    </row>
    <row r="77" spans="2:10" ht="13.5" thickBot="1" x14ac:dyDescent="0.25">
      <c r="B77" s="148"/>
      <c r="C77" s="149"/>
      <c r="D77" s="149"/>
      <c r="E77" s="188"/>
      <c r="F77" s="128"/>
      <c r="G77" s="111"/>
      <c r="H77" s="130"/>
      <c r="I77" s="130"/>
    </row>
    <row r="78" spans="2:10" ht="13.5" thickBot="1" x14ac:dyDescent="0.25">
      <c r="B78" s="328" t="s">
        <v>146</v>
      </c>
      <c r="C78" s="329"/>
      <c r="D78" s="330"/>
      <c r="E78" s="184">
        <f>+E69+E74</f>
        <v>0.9565733532934132</v>
      </c>
      <c r="G78" s="128"/>
      <c r="H78" s="111"/>
      <c r="I78" s="130"/>
      <c r="J78" s="188"/>
    </row>
    <row r="79" spans="2:10" x14ac:dyDescent="0.2">
      <c r="I79" s="111"/>
      <c r="J79" s="104"/>
    </row>
    <row r="80" spans="2:10" ht="13.5" thickBot="1" x14ac:dyDescent="0.25">
      <c r="B80" s="331" t="s">
        <v>147</v>
      </c>
      <c r="C80" s="331"/>
      <c r="D80" s="331"/>
      <c r="E80" s="331"/>
      <c r="F80" s="331"/>
      <c r="G80" s="128"/>
      <c r="H80" s="111"/>
      <c r="J80" s="104"/>
    </row>
    <row r="81" spans="1:10" ht="13.5" thickBot="1" x14ac:dyDescent="0.25">
      <c r="B81" s="182" t="s">
        <v>141</v>
      </c>
      <c r="C81" s="183">
        <f>+C69</f>
        <v>6157.91</v>
      </c>
      <c r="D81" s="183">
        <f>+D60</f>
        <v>1</v>
      </c>
      <c r="E81" s="184">
        <f>+C81/D81</f>
        <v>6157.91</v>
      </c>
      <c r="F81" s="128"/>
      <c r="G81" s="111"/>
      <c r="H81" s="130"/>
      <c r="I81" s="111"/>
      <c r="J81" s="104"/>
    </row>
    <row r="82" spans="1:10" x14ac:dyDescent="0.2">
      <c r="B82" s="185"/>
      <c r="C82" s="186"/>
      <c r="D82" s="187"/>
      <c r="E82" s="171"/>
      <c r="F82" s="128"/>
      <c r="G82" s="111"/>
      <c r="H82" s="130"/>
      <c r="I82" s="130"/>
      <c r="J82" s="104"/>
    </row>
    <row r="83" spans="1:10" x14ac:dyDescent="0.2">
      <c r="B83" s="182" t="s">
        <v>142</v>
      </c>
      <c r="C83" s="183">
        <f>+C71</f>
        <v>6403.7622952380952</v>
      </c>
      <c r="D83" s="183">
        <f>+D60</f>
        <v>1</v>
      </c>
      <c r="E83" s="188">
        <f>+C83/D83</f>
        <v>6403.7622952380952</v>
      </c>
      <c r="F83" s="128"/>
      <c r="G83" s="111"/>
      <c r="H83" s="130"/>
      <c r="I83" s="130"/>
      <c r="J83" s="104"/>
    </row>
    <row r="84" spans="1:10" x14ac:dyDescent="0.2">
      <c r="B84" s="182"/>
      <c r="C84" s="183"/>
      <c r="D84" s="183"/>
      <c r="E84" s="188"/>
      <c r="F84" s="128"/>
      <c r="G84" s="111"/>
      <c r="H84" s="130"/>
      <c r="I84" s="130"/>
      <c r="J84" s="104"/>
    </row>
    <row r="85" spans="1:10" ht="13.5" thickBot="1" x14ac:dyDescent="0.25">
      <c r="B85" s="182" t="s">
        <v>144</v>
      </c>
      <c r="C85" s="183">
        <f>+C73</f>
        <v>232</v>
      </c>
      <c r="D85" s="183">
        <f>+D60</f>
        <v>1</v>
      </c>
      <c r="E85" s="188">
        <f>+C85/D85</f>
        <v>232</v>
      </c>
      <c r="F85" s="190"/>
      <c r="G85" s="181"/>
      <c r="H85" s="115"/>
      <c r="I85" s="130"/>
    </row>
    <row r="86" spans="1:10" ht="13.5" thickBot="1" x14ac:dyDescent="0.25">
      <c r="B86" s="182" t="s">
        <v>144</v>
      </c>
      <c r="C86" s="183">
        <f>+C74</f>
        <v>232</v>
      </c>
      <c r="D86" s="183">
        <f>+D85</f>
        <v>1</v>
      </c>
      <c r="E86" s="184">
        <f>+C86/D86</f>
        <v>232</v>
      </c>
      <c r="F86" s="189"/>
      <c r="G86" s="181"/>
      <c r="H86" s="115"/>
      <c r="I86" s="115"/>
    </row>
    <row r="87" spans="1:10" x14ac:dyDescent="0.2">
      <c r="I87" s="115"/>
    </row>
    <row r="88" spans="1:10" x14ac:dyDescent="0.2">
      <c r="A88" s="332"/>
      <c r="B88" s="332"/>
      <c r="C88" s="191"/>
      <c r="D88" s="191"/>
      <c r="E88" s="192"/>
      <c r="G88" s="193"/>
    </row>
    <row r="89" spans="1:10" x14ac:dyDescent="0.2">
      <c r="A89" s="102"/>
      <c r="B89" s="194"/>
      <c r="C89" s="195"/>
      <c r="D89" s="195"/>
      <c r="E89" s="196"/>
      <c r="G89" s="193"/>
    </row>
    <row r="90" spans="1:10" x14ac:dyDescent="0.2">
      <c r="A90" s="102"/>
      <c r="B90" s="194"/>
      <c r="C90" s="197"/>
      <c r="D90" s="197"/>
      <c r="E90" s="102"/>
      <c r="G90" s="193"/>
    </row>
    <row r="91" spans="1:10" x14ac:dyDescent="0.2">
      <c r="A91" s="102"/>
      <c r="B91" s="194"/>
      <c r="C91" s="198"/>
      <c r="D91" s="198"/>
      <c r="E91" s="102"/>
      <c r="G91" s="193"/>
    </row>
  </sheetData>
  <mergeCells count="30">
    <mergeCell ref="B60:C60"/>
    <mergeCell ref="L60:M60"/>
    <mergeCell ref="B61:C61"/>
    <mergeCell ref="B59:C59"/>
    <mergeCell ref="M59:N59"/>
    <mergeCell ref="B58:C58"/>
    <mergeCell ref="A4:H4"/>
    <mergeCell ref="F6:G6"/>
    <mergeCell ref="K27:L27"/>
    <mergeCell ref="K28:L28"/>
    <mergeCell ref="K29:L29"/>
    <mergeCell ref="K30:L30"/>
    <mergeCell ref="A5:H5"/>
    <mergeCell ref="B53:E53"/>
    <mergeCell ref="B54:E54"/>
    <mergeCell ref="K54:N54"/>
    <mergeCell ref="B55:E55"/>
    <mergeCell ref="C56:E56"/>
    <mergeCell ref="B78:D78"/>
    <mergeCell ref="B80:F80"/>
    <mergeCell ref="A88:B88"/>
    <mergeCell ref="K61:N61"/>
    <mergeCell ref="L62:N62"/>
    <mergeCell ref="B63:D63"/>
    <mergeCell ref="K63:N63"/>
    <mergeCell ref="B64:D64"/>
    <mergeCell ref="B66:E66"/>
    <mergeCell ref="H66:H67"/>
    <mergeCell ref="B68:F68"/>
    <mergeCell ref="B65:C6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50647-0880-421E-8777-611AA715487E}">
  <dimension ref="A1:Q91"/>
  <sheetViews>
    <sheetView topLeftCell="A2" workbookViewId="0">
      <selection activeCell="H8" sqref="H8"/>
    </sheetView>
  </sheetViews>
  <sheetFormatPr baseColWidth="10" defaultColWidth="8.42578125" defaultRowHeight="12.75" x14ac:dyDescent="0.2"/>
  <cols>
    <col min="1" max="1" width="10" style="104" bestFit="1" customWidth="1"/>
    <col min="2" max="2" width="44.28515625" style="104" bestFit="1" customWidth="1"/>
    <col min="3" max="3" width="10.42578125" style="104" bestFit="1" customWidth="1"/>
    <col min="4" max="4" width="10.42578125" style="104" customWidth="1"/>
    <col min="5" max="5" width="9.7109375" style="104" bestFit="1" customWidth="1"/>
    <col min="6" max="6" width="9.5703125" style="104" bestFit="1" customWidth="1"/>
    <col min="7" max="7" width="9.5703125" style="189" bestFit="1" customWidth="1"/>
    <col min="8" max="8" width="10.42578125" style="181" bestFit="1" customWidth="1"/>
    <col min="9" max="9" width="4.5703125" style="181" customWidth="1"/>
    <col min="10" max="10" width="1.7109375" style="115" customWidth="1"/>
    <col min="11" max="11" width="7" style="104" bestFit="1" customWidth="1"/>
    <col min="12" max="12" width="6.28515625" style="104" customWidth="1"/>
    <col min="13" max="13" width="20.42578125" style="104" customWidth="1"/>
    <col min="14" max="14" width="6.42578125" style="104" bestFit="1" customWidth="1"/>
    <col min="15" max="16" width="8.42578125" style="104"/>
    <col min="17" max="17" width="3.28515625" style="104" customWidth="1"/>
    <col min="18" max="16384" width="8.42578125" style="104"/>
  </cols>
  <sheetData>
    <row r="1" spans="1:10" ht="27.75" customHeight="1" x14ac:dyDescent="0.2">
      <c r="A1" s="112"/>
      <c r="B1" s="112"/>
      <c r="C1" s="112"/>
      <c r="D1" s="112"/>
      <c r="E1" s="113" t="s">
        <v>148</v>
      </c>
      <c r="F1" s="114" t="s">
        <v>104</v>
      </c>
      <c r="G1" s="114" t="s">
        <v>105</v>
      </c>
      <c r="H1" s="114" t="s">
        <v>106</v>
      </c>
      <c r="I1" s="103"/>
    </row>
    <row r="2" spans="1:10" ht="30.75" customHeight="1" x14ac:dyDescent="0.2">
      <c r="A2" s="112"/>
      <c r="B2" s="112"/>
      <c r="C2" s="112"/>
      <c r="D2" s="112"/>
      <c r="E2" s="116">
        <f>IFERROR(O62,"")</f>
        <v>3350</v>
      </c>
      <c r="F2" s="116">
        <f>IFERROR(H53,"")</f>
        <v>2500</v>
      </c>
      <c r="G2" s="116">
        <f>IFERROR(H54,"")</f>
        <v>0</v>
      </c>
      <c r="H2" s="116">
        <f>IFERROR(H56,"")</f>
        <v>232</v>
      </c>
      <c r="I2" s="117"/>
    </row>
    <row r="3" spans="1:10" ht="15" customHeight="1" x14ac:dyDescent="0.2">
      <c r="A3" s="112"/>
      <c r="B3" s="112"/>
      <c r="C3" s="112"/>
      <c r="D3" s="112"/>
      <c r="E3" s="112"/>
      <c r="F3" s="118"/>
      <c r="G3" s="118"/>
      <c r="H3" s="118"/>
      <c r="I3" s="118"/>
    </row>
    <row r="4" spans="1:10" ht="24.75" customHeight="1" thickBot="1" x14ac:dyDescent="0.25">
      <c r="A4" s="348"/>
      <c r="B4" s="348"/>
      <c r="C4" s="348"/>
      <c r="D4" s="348"/>
      <c r="E4" s="348"/>
      <c r="F4" s="348"/>
      <c r="G4" s="348"/>
      <c r="H4" s="348"/>
      <c r="I4" s="119"/>
    </row>
    <row r="5" spans="1:10" ht="19.5" customHeight="1" thickBot="1" x14ac:dyDescent="0.25">
      <c r="A5" s="351" t="s">
        <v>107</v>
      </c>
      <c r="B5" s="352"/>
      <c r="C5" s="352"/>
      <c r="D5" s="352"/>
      <c r="E5" s="352"/>
      <c r="F5" s="352"/>
      <c r="G5" s="352"/>
      <c r="H5" s="353"/>
      <c r="I5" s="105"/>
    </row>
    <row r="6" spans="1:10" ht="19.5" thickBot="1" x14ac:dyDescent="0.25">
      <c r="A6" s="105"/>
      <c r="B6" s="105"/>
      <c r="C6" s="105"/>
      <c r="D6" s="105"/>
      <c r="E6" s="105"/>
      <c r="F6" s="349" t="s">
        <v>108</v>
      </c>
      <c r="G6" s="349"/>
      <c r="H6" s="120">
        <f ca="1">TODAY()</f>
        <v>45749</v>
      </c>
      <c r="I6" s="120"/>
    </row>
    <row r="7" spans="1:10" ht="26.25" thickBot="1" x14ac:dyDescent="0.25">
      <c r="A7" s="121" t="s">
        <v>109</v>
      </c>
      <c r="B7" s="122" t="s">
        <v>110</v>
      </c>
      <c r="C7" s="122" t="s">
        <v>109</v>
      </c>
      <c r="D7" s="123" t="s">
        <v>149</v>
      </c>
      <c r="E7" s="123" t="s">
        <v>111</v>
      </c>
      <c r="F7" s="123" t="s">
        <v>112</v>
      </c>
      <c r="G7" s="123" t="s">
        <v>113</v>
      </c>
      <c r="H7" s="124" t="s">
        <v>114</v>
      </c>
      <c r="I7" s="106"/>
    </row>
    <row r="8" spans="1:10" ht="13.5" x14ac:dyDescent="0.25">
      <c r="A8" s="125">
        <v>50</v>
      </c>
      <c r="B8" s="104" t="s">
        <v>68</v>
      </c>
      <c r="C8" s="126">
        <f>+A8</f>
        <v>50</v>
      </c>
      <c r="D8" s="127" t="s">
        <v>158</v>
      </c>
      <c r="E8" s="127">
        <v>50</v>
      </c>
      <c r="F8" s="127">
        <f>IFERROR(C8*E8,"")</f>
        <v>2500</v>
      </c>
      <c r="G8" s="128">
        <f t="shared" ref="G8:G14" si="0">IFERROR(F8/$F$66,"")</f>
        <v>0.89863407620416969</v>
      </c>
      <c r="H8" s="129" t="s">
        <v>67</v>
      </c>
      <c r="I8" s="129"/>
      <c r="J8" s="130"/>
    </row>
    <row r="9" spans="1:10" ht="13.5" hidden="1" x14ac:dyDescent="0.25">
      <c r="A9" s="125"/>
      <c r="B9" s="104" t="str">
        <f>IFERROR(VLOOKUP(H9,'[1]Consolidado MP Planta'!$A$2:$M$823,3,0),"")</f>
        <v/>
      </c>
      <c r="C9" s="126">
        <f t="shared" ref="C9:C14" si="1">+A9</f>
        <v>0</v>
      </c>
      <c r="D9" s="127" t="str">
        <f>IFERROR(VLOOKUP(H9,'[1]Consolidado MP Planta'!$A$2:$M$823,13,0),"")</f>
        <v/>
      </c>
      <c r="E9" s="127" t="str">
        <f>IFERROR(VLOOKUP(H9,'[1]Consolidado MP Planta'!$A$2:$M$823,12,0),"")</f>
        <v/>
      </c>
      <c r="F9" s="127" t="str">
        <f t="shared" ref="F9:F14" si="2">IFERROR(C9*E9,"")</f>
        <v/>
      </c>
      <c r="G9" s="128" t="str">
        <f t="shared" si="0"/>
        <v/>
      </c>
      <c r="H9" s="129"/>
      <c r="I9" s="129"/>
      <c r="J9" s="130"/>
    </row>
    <row r="10" spans="1:10" ht="13.5" hidden="1" x14ac:dyDescent="0.25">
      <c r="A10" s="125"/>
      <c r="B10" s="104" t="str">
        <f>IFERROR(VLOOKUP(H10,'[1]Consolidado MP Planta'!$A$2:$M$823,3,0),"")</f>
        <v/>
      </c>
      <c r="C10" s="126">
        <f t="shared" si="1"/>
        <v>0</v>
      </c>
      <c r="D10" s="127" t="str">
        <f>IFERROR(VLOOKUP(H10,'[1]Consolidado MP Planta'!$A$2:$M$823,13,0),"")</f>
        <v/>
      </c>
      <c r="E10" s="127" t="str">
        <f>IFERROR(VLOOKUP(H10,'[1]Consolidado MP Planta'!$A$2:$M$823,12,0),"")</f>
        <v/>
      </c>
      <c r="F10" s="127" t="str">
        <f t="shared" si="2"/>
        <v/>
      </c>
      <c r="G10" s="128" t="str">
        <f t="shared" si="0"/>
        <v/>
      </c>
      <c r="H10" s="129"/>
      <c r="I10" s="129"/>
      <c r="J10" s="130"/>
    </row>
    <row r="11" spans="1:10" ht="13.5" hidden="1" x14ac:dyDescent="0.25">
      <c r="A11" s="125"/>
      <c r="B11" s="104" t="str">
        <f>IFERROR(VLOOKUP(H11,'[1]Consolidado MP Planta'!$A$2:$M$823,3,0),"")</f>
        <v/>
      </c>
      <c r="C11" s="126">
        <f t="shared" si="1"/>
        <v>0</v>
      </c>
      <c r="D11" s="127" t="str">
        <f>IFERROR(VLOOKUP(H11,'[1]Consolidado MP Planta'!$A$2:$M$823,13,0),"")</f>
        <v/>
      </c>
      <c r="E11" s="127" t="str">
        <f>IFERROR(VLOOKUP(H11,'[1]Consolidado MP Planta'!$A$2:$M$823,12,0),"")</f>
        <v/>
      </c>
      <c r="F11" s="127" t="str">
        <f t="shared" si="2"/>
        <v/>
      </c>
      <c r="G11" s="128" t="str">
        <f t="shared" si="0"/>
        <v/>
      </c>
      <c r="H11" s="129"/>
      <c r="I11" s="129"/>
      <c r="J11" s="130"/>
    </row>
    <row r="12" spans="1:10" ht="13.5" hidden="1" x14ac:dyDescent="0.25">
      <c r="A12" s="125"/>
      <c r="B12" s="104" t="str">
        <f>IFERROR(VLOOKUP(H12,'[1]Consolidado MP Planta'!$A$2:$M$823,3,0),"")</f>
        <v/>
      </c>
      <c r="C12" s="126">
        <f t="shared" si="1"/>
        <v>0</v>
      </c>
      <c r="D12" s="127" t="str">
        <f>IFERROR(VLOOKUP(H12,'[1]Consolidado MP Planta'!$A$2:$M$823,13,0),"")</f>
        <v/>
      </c>
      <c r="E12" s="127" t="str">
        <f>IFERROR(VLOOKUP(H12,'[1]Consolidado MP Planta'!$A$2:$M$823,12,0),"")</f>
        <v/>
      </c>
      <c r="F12" s="127" t="str">
        <f t="shared" si="2"/>
        <v/>
      </c>
      <c r="G12" s="128" t="str">
        <f t="shared" si="0"/>
        <v/>
      </c>
      <c r="H12" s="129"/>
      <c r="I12" s="129"/>
      <c r="J12" s="130"/>
    </row>
    <row r="13" spans="1:10" ht="13.5" hidden="1" x14ac:dyDescent="0.25">
      <c r="A13" s="125"/>
      <c r="B13" s="104" t="str">
        <f>IFERROR(VLOOKUP(H13,'[1]Consolidado MP Planta'!$A$2:$M$823,3,0),"")</f>
        <v/>
      </c>
      <c r="C13" s="126">
        <f t="shared" si="1"/>
        <v>0</v>
      </c>
      <c r="D13" s="127" t="str">
        <f>IFERROR(VLOOKUP(H13,'[1]Consolidado MP Planta'!$A$2:$M$823,13,0),"")</f>
        <v/>
      </c>
      <c r="E13" s="127" t="str">
        <f>IFERROR(VLOOKUP(H13,'[1]Consolidado MP Planta'!$A$2:$M$823,12,0),"")</f>
        <v/>
      </c>
      <c r="F13" s="127" t="str">
        <f t="shared" si="2"/>
        <v/>
      </c>
      <c r="G13" s="128" t="str">
        <f t="shared" si="0"/>
        <v/>
      </c>
      <c r="H13" s="129"/>
      <c r="I13" s="129"/>
      <c r="J13" s="130"/>
    </row>
    <row r="14" spans="1:10" ht="13.5" hidden="1" x14ac:dyDescent="0.25">
      <c r="A14" s="125"/>
      <c r="B14" s="104" t="str">
        <f>IFERROR(VLOOKUP(H14,'[1]Consolidado MP Planta'!$A$2:$M$823,3,0),"")</f>
        <v/>
      </c>
      <c r="C14" s="126">
        <f t="shared" si="1"/>
        <v>0</v>
      </c>
      <c r="D14" s="127" t="str">
        <f>IFERROR(VLOOKUP(H14,'[1]Consolidado MP Planta'!$A$2:$M$823,13,0),"")</f>
        <v/>
      </c>
      <c r="E14" s="127" t="str">
        <f>IFERROR(VLOOKUP(H14,'[1]Consolidado MP Planta'!$A$2:$M$823,12,0),"")</f>
        <v/>
      </c>
      <c r="F14" s="127" t="str">
        <f t="shared" si="2"/>
        <v/>
      </c>
      <c r="G14" s="128" t="str">
        <f t="shared" si="0"/>
        <v/>
      </c>
      <c r="H14" s="129"/>
      <c r="I14" s="129"/>
      <c r="J14" s="130"/>
    </row>
    <row r="15" spans="1:10" ht="14.25" thickBot="1" x14ac:dyDescent="0.3">
      <c r="A15" s="125"/>
      <c r="B15" s="104" t="str">
        <f>IFERROR(VLOOKUP(H15,'[2]ARTICULOS MP PLANTA'!$A$2:$G$589,2,0),"")</f>
        <v/>
      </c>
      <c r="C15" s="126"/>
      <c r="D15" s="127"/>
      <c r="E15" s="127"/>
      <c r="F15" s="127"/>
      <c r="G15" s="128"/>
      <c r="H15" s="129"/>
      <c r="I15" s="129"/>
      <c r="J15" s="130"/>
    </row>
    <row r="16" spans="1:10" ht="26.25" hidden="1" thickBot="1" x14ac:dyDescent="0.25">
      <c r="A16" s="121" t="s">
        <v>109</v>
      </c>
      <c r="B16" s="122" t="s">
        <v>115</v>
      </c>
      <c r="C16" s="122" t="s">
        <v>109</v>
      </c>
      <c r="D16" s="123" t="s">
        <v>149</v>
      </c>
      <c r="E16" s="123" t="s">
        <v>111</v>
      </c>
      <c r="F16" s="123" t="s">
        <v>112</v>
      </c>
      <c r="G16" s="123" t="s">
        <v>113</v>
      </c>
      <c r="H16" s="124" t="s">
        <v>114</v>
      </c>
      <c r="I16" s="106"/>
      <c r="J16" s="130"/>
    </row>
    <row r="17" spans="1:12" ht="13.5" hidden="1" x14ac:dyDescent="0.25">
      <c r="A17" s="125"/>
      <c r="B17" s="104" t="str">
        <f>IFERROR(VLOOKUP(H17,[1]SEMIELABORADOS!$A$2:$M$6000,2,0),"")</f>
        <v/>
      </c>
      <c r="C17" s="126">
        <f>+A17</f>
        <v>0</v>
      </c>
      <c r="D17" s="126" t="str">
        <f>IFERROR(VLOOKUP(H17,[1]SEMIELABORADOS!$A$2:$M$6000,6,0),"")</f>
        <v/>
      </c>
      <c r="E17" s="127" t="str">
        <f>IFERROR(VLOOKUP(H17,[1]SEMIELABORADOS!$A$2:$H$65536,8,0),"")</f>
        <v/>
      </c>
      <c r="F17" s="127" t="str">
        <f>IFERROR(E17*C17,"")</f>
        <v/>
      </c>
      <c r="G17" s="128" t="str">
        <f t="shared" ref="G17:G24" si="3">IFERROR(F17/$F$66,"")</f>
        <v/>
      </c>
      <c r="H17" s="129"/>
      <c r="I17" s="129"/>
      <c r="J17" s="130"/>
    </row>
    <row r="18" spans="1:12" ht="13.5" hidden="1" x14ac:dyDescent="0.25">
      <c r="A18" s="125"/>
      <c r="B18" s="104" t="str">
        <f>IFERROR(VLOOKUP(H18,[1]SEMIELABORADOS!$A$2:$M$6000,2,0),"")</f>
        <v/>
      </c>
      <c r="C18" s="126">
        <f t="shared" ref="C18:C24" si="4">+A18</f>
        <v>0</v>
      </c>
      <c r="D18" s="126" t="str">
        <f>IFERROR(VLOOKUP(H18,[1]SEMIELABORADOS!$A$2:$M$6000,6,0),"")</f>
        <v/>
      </c>
      <c r="E18" s="127" t="str">
        <f>IFERROR(VLOOKUP(H18,[1]SEMIELABORADOS!$A$2:$H$65536,8,0),"")</f>
        <v/>
      </c>
      <c r="F18" s="127" t="str">
        <f t="shared" ref="F18:F24" si="5">IFERROR(E18*C18,"")</f>
        <v/>
      </c>
      <c r="G18" s="128" t="str">
        <f t="shared" si="3"/>
        <v/>
      </c>
      <c r="H18" s="129"/>
      <c r="I18" s="129"/>
      <c r="J18" s="130"/>
    </row>
    <row r="19" spans="1:12" ht="13.5" hidden="1" x14ac:dyDescent="0.25">
      <c r="A19" s="125"/>
      <c r="B19" s="104" t="str">
        <f>IFERROR(VLOOKUP(H19,[1]SEMIELABORADOS!$A$2:$M$6000,2,0),"")</f>
        <v/>
      </c>
      <c r="C19" s="126">
        <f>+A19</f>
        <v>0</v>
      </c>
      <c r="D19" s="126" t="str">
        <f>IFERROR(VLOOKUP(H19,[1]SEMIELABORADOS!$A$2:$M$6000,6,0),"")</f>
        <v/>
      </c>
      <c r="E19" s="127" t="str">
        <f>IFERROR(VLOOKUP(H19,[1]SEMIELABORADOS!$A$2:$H$65536,8,0),"")</f>
        <v/>
      </c>
      <c r="F19" s="127" t="str">
        <f>IFERROR(E19*C19,"")</f>
        <v/>
      </c>
      <c r="G19" s="128" t="str">
        <f t="shared" si="3"/>
        <v/>
      </c>
      <c r="H19" s="129"/>
      <c r="I19" s="129"/>
      <c r="J19" s="130"/>
    </row>
    <row r="20" spans="1:12" ht="13.5" hidden="1" x14ac:dyDescent="0.25">
      <c r="A20" s="125"/>
      <c r="B20" s="104" t="str">
        <f>IFERROR(VLOOKUP(H20,[1]SEMIELABORADOS!$A$2:$M$6000,2,0),"")</f>
        <v/>
      </c>
      <c r="C20" s="126">
        <f>+A20</f>
        <v>0</v>
      </c>
      <c r="D20" s="126" t="str">
        <f>IFERROR(VLOOKUP(H20,[1]SEMIELABORADOS!$A$2:$M$6000,6,0),"")</f>
        <v/>
      </c>
      <c r="E20" s="127" t="str">
        <f>IFERROR(VLOOKUP(H20,[1]SEMIELABORADOS!$A$2:$H$65536,8,0),"")</f>
        <v/>
      </c>
      <c r="F20" s="127" t="str">
        <f>IFERROR(E20*C20,"")</f>
        <v/>
      </c>
      <c r="G20" s="128" t="str">
        <f t="shared" si="3"/>
        <v/>
      </c>
      <c r="H20" s="129"/>
      <c r="I20" s="129"/>
      <c r="J20" s="130"/>
    </row>
    <row r="21" spans="1:12" ht="13.5" hidden="1" x14ac:dyDescent="0.25">
      <c r="A21" s="125"/>
      <c r="B21" s="104" t="str">
        <f>IFERROR(VLOOKUP(H21,[1]SEMIELABORADOS!$A$2:$M$6000,2,0),"")</f>
        <v/>
      </c>
      <c r="C21" s="126">
        <f>+A21</f>
        <v>0</v>
      </c>
      <c r="D21" s="126" t="str">
        <f>IFERROR(VLOOKUP(H21,[1]SEMIELABORADOS!$A$2:$M$6000,6,0),"")</f>
        <v/>
      </c>
      <c r="E21" s="127" t="str">
        <f>IFERROR(VLOOKUP(H21,[1]SEMIELABORADOS!$A$2:$H$65536,8,0),"")</f>
        <v/>
      </c>
      <c r="F21" s="127" t="str">
        <f>IFERROR(E21*C21,"")</f>
        <v/>
      </c>
      <c r="G21" s="128" t="str">
        <f t="shared" si="3"/>
        <v/>
      </c>
      <c r="H21" s="129"/>
      <c r="I21" s="129"/>
      <c r="J21" s="130"/>
    </row>
    <row r="22" spans="1:12" ht="13.5" hidden="1" x14ac:dyDescent="0.25">
      <c r="A22" s="125"/>
      <c r="B22" s="104" t="str">
        <f>IFERROR(VLOOKUP(H22,[1]SEMIELABORADOS!$A$2:$M$6000,2,0),"")</f>
        <v/>
      </c>
      <c r="C22" s="126">
        <f t="shared" si="4"/>
        <v>0</v>
      </c>
      <c r="D22" s="126" t="str">
        <f>IFERROR(VLOOKUP(H22,[1]SEMIELABORADOS!$A$2:$M$6000,6,0),"")</f>
        <v/>
      </c>
      <c r="E22" s="127" t="str">
        <f>IFERROR(VLOOKUP(H22,[1]SEMIELABORADOS!$A$2:$H$65536,8,0),"")</f>
        <v/>
      </c>
      <c r="F22" s="127" t="str">
        <f t="shared" si="5"/>
        <v/>
      </c>
      <c r="G22" s="128" t="str">
        <f t="shared" si="3"/>
        <v/>
      </c>
      <c r="H22" s="129"/>
      <c r="I22" s="129"/>
      <c r="J22" s="130"/>
    </row>
    <row r="23" spans="1:12" ht="13.5" hidden="1" x14ac:dyDescent="0.25">
      <c r="A23" s="125"/>
      <c r="B23" s="104" t="str">
        <f>IFERROR(VLOOKUP(H23,[1]SEMIELABORADOS!$A$2:$M$6000,2,0),"")</f>
        <v/>
      </c>
      <c r="C23" s="126">
        <f t="shared" si="4"/>
        <v>0</v>
      </c>
      <c r="D23" s="126" t="str">
        <f>IFERROR(VLOOKUP(H23,[1]SEMIELABORADOS!$A$2:$M$6000,6,0),"")</f>
        <v/>
      </c>
      <c r="E23" s="127" t="str">
        <f>IFERROR(VLOOKUP(H23,[1]SEMIELABORADOS!$A$2:$H$65536,8,0),"")</f>
        <v/>
      </c>
      <c r="F23" s="127" t="str">
        <f t="shared" si="5"/>
        <v/>
      </c>
      <c r="G23" s="128" t="str">
        <f t="shared" si="3"/>
        <v/>
      </c>
      <c r="H23" s="129"/>
      <c r="I23" s="129"/>
      <c r="J23" s="130"/>
    </row>
    <row r="24" spans="1:12" ht="13.5" hidden="1" x14ac:dyDescent="0.25">
      <c r="A24" s="125"/>
      <c r="B24" s="104" t="str">
        <f>IFERROR(VLOOKUP(H24,[1]SEMIELABORADOS!$A$2:$M$6000,2,0),"")</f>
        <v/>
      </c>
      <c r="C24" s="126">
        <f t="shared" si="4"/>
        <v>0</v>
      </c>
      <c r="D24" s="126" t="str">
        <f>IFERROR(VLOOKUP(H24,[1]SEMIELABORADOS!$A$2:$M$6000,6,0),"")</f>
        <v/>
      </c>
      <c r="E24" s="127" t="str">
        <f>IFERROR(VLOOKUP(H24,[1]SEMIELABORADOS!$A$2:$H$65536,8,0),"")</f>
        <v/>
      </c>
      <c r="F24" s="127" t="str">
        <f t="shared" si="5"/>
        <v/>
      </c>
      <c r="G24" s="128" t="str">
        <f t="shared" si="3"/>
        <v/>
      </c>
      <c r="H24" s="129"/>
      <c r="I24" s="129"/>
      <c r="J24" s="130"/>
    </row>
    <row r="25" spans="1:12" ht="14.25" hidden="1" thickBot="1" x14ac:dyDescent="0.3">
      <c r="A25" s="125"/>
      <c r="C25" s="126"/>
      <c r="D25" s="126"/>
      <c r="E25" s="127"/>
      <c r="F25" s="127"/>
      <c r="G25" s="128"/>
      <c r="H25" s="129"/>
      <c r="I25" s="129"/>
      <c r="J25" s="130"/>
    </row>
    <row r="26" spans="1:12" ht="26.25" hidden="1" thickBot="1" x14ac:dyDescent="0.25">
      <c r="A26" s="121" t="s">
        <v>109</v>
      </c>
      <c r="B26" s="122" t="s">
        <v>86</v>
      </c>
      <c r="C26" s="122" t="s">
        <v>109</v>
      </c>
      <c r="D26" s="123" t="s">
        <v>149</v>
      </c>
      <c r="E26" s="123" t="s">
        <v>111</v>
      </c>
      <c r="F26" s="123" t="s">
        <v>112</v>
      </c>
      <c r="G26" s="123" t="s">
        <v>113</v>
      </c>
      <c r="H26" s="124" t="s">
        <v>114</v>
      </c>
      <c r="I26" s="106"/>
    </row>
    <row r="27" spans="1:12" ht="13.5" hidden="1" x14ac:dyDescent="0.25">
      <c r="A27" s="125">
        <v>0</v>
      </c>
      <c r="B27" s="102" t="str">
        <f>IFERROR(VLOOKUP(H27,'[1]Consolidado MP Planta'!$A$2:$M$823,3,0),"")</f>
        <v/>
      </c>
      <c r="C27" s="126">
        <f t="shared" ref="C27:C32" si="6">+A27</f>
        <v>0</v>
      </c>
      <c r="D27" s="127" t="str">
        <f>IFERROR(VLOOKUP(H27,'[1]Consolidado MP Planta'!$A$2:$M$823,13,0),"")</f>
        <v/>
      </c>
      <c r="E27" s="127" t="str">
        <f>IFERROR(VLOOKUP(H27,'[1]Consolidado MP Planta'!$A$2:$M$823,12,0),"")</f>
        <v/>
      </c>
      <c r="F27" s="127" t="str">
        <f t="shared" ref="F27:F32" si="7">IFERROR(C27*E27,"")</f>
        <v/>
      </c>
      <c r="G27" s="128" t="str">
        <f t="shared" ref="G27:G32" si="8">IFERROR(F27/$F$66,"")</f>
        <v/>
      </c>
      <c r="H27" s="131"/>
      <c r="I27" s="131"/>
      <c r="J27" s="130"/>
      <c r="K27" s="350"/>
      <c r="L27" s="350"/>
    </row>
    <row r="28" spans="1:12" ht="13.5" hidden="1" x14ac:dyDescent="0.25">
      <c r="A28" s="125"/>
      <c r="B28" s="102" t="str">
        <f>IFERROR(VLOOKUP(H28,'[1]Consolidado MP Planta'!$A$2:$M$823,3,0),"")</f>
        <v/>
      </c>
      <c r="C28" s="126">
        <f t="shared" si="6"/>
        <v>0</v>
      </c>
      <c r="D28" s="127" t="str">
        <f>IFERROR(VLOOKUP(H28,'[1]Consolidado MP Planta'!$A$2:$M$823,13,0),"")</f>
        <v/>
      </c>
      <c r="E28" s="127" t="str">
        <f>IFERROR(VLOOKUP(H28,'[1]Consolidado MP Planta'!$A$2:$M$823,12,0),"")</f>
        <v/>
      </c>
      <c r="F28" s="127" t="str">
        <f t="shared" si="7"/>
        <v/>
      </c>
      <c r="G28" s="128" t="str">
        <f t="shared" si="8"/>
        <v/>
      </c>
      <c r="H28" s="131"/>
      <c r="I28" s="131"/>
      <c r="J28" s="130"/>
      <c r="K28" s="350"/>
      <c r="L28" s="350"/>
    </row>
    <row r="29" spans="1:12" ht="13.5" hidden="1" x14ac:dyDescent="0.25">
      <c r="A29" s="125"/>
      <c r="B29" s="102" t="str">
        <f>IFERROR(VLOOKUP(H29,'[1]Consolidado MP Planta'!$A$2:$M$823,3,0),"")</f>
        <v/>
      </c>
      <c r="C29" s="126">
        <f t="shared" si="6"/>
        <v>0</v>
      </c>
      <c r="D29" s="127" t="str">
        <f>IFERROR(VLOOKUP(H29,'[1]Consolidado MP Planta'!$A$2:$M$823,13,0),"")</f>
        <v/>
      </c>
      <c r="E29" s="127" t="str">
        <f>IFERROR(VLOOKUP(H29,'[1]Consolidado MP Planta'!$A$2:$M$823,12,0),"")</f>
        <v/>
      </c>
      <c r="F29" s="127" t="str">
        <f t="shared" si="7"/>
        <v/>
      </c>
      <c r="G29" s="128" t="str">
        <f t="shared" si="8"/>
        <v/>
      </c>
      <c r="H29" s="131"/>
      <c r="I29" s="131"/>
      <c r="J29" s="130"/>
      <c r="K29" s="350"/>
      <c r="L29" s="350"/>
    </row>
    <row r="30" spans="1:12" ht="13.5" hidden="1" x14ac:dyDescent="0.25">
      <c r="A30" s="125"/>
      <c r="B30" s="102" t="str">
        <f>IFERROR(VLOOKUP(H30,'[1]Consolidado MP Planta'!$A$2:$M$823,3,0),"")</f>
        <v/>
      </c>
      <c r="C30" s="126">
        <f t="shared" si="6"/>
        <v>0</v>
      </c>
      <c r="D30" s="127" t="str">
        <f>IFERROR(VLOOKUP(H30,'[1]Consolidado MP Planta'!$A$2:$M$823,13,0),"")</f>
        <v/>
      </c>
      <c r="E30" s="127" t="str">
        <f>IFERROR(VLOOKUP(H30,'[1]Consolidado MP Planta'!$A$2:$M$823,12,0),"")</f>
        <v/>
      </c>
      <c r="F30" s="127" t="str">
        <f t="shared" si="7"/>
        <v/>
      </c>
      <c r="G30" s="128" t="str">
        <f t="shared" si="8"/>
        <v/>
      </c>
      <c r="H30" s="131"/>
      <c r="I30" s="131"/>
      <c r="J30" s="130"/>
      <c r="K30" s="350"/>
      <c r="L30" s="350"/>
    </row>
    <row r="31" spans="1:12" ht="13.5" hidden="1" x14ac:dyDescent="0.25">
      <c r="A31" s="125"/>
      <c r="B31" s="102" t="str">
        <f>IFERROR(VLOOKUP(H31,'[1]Consolidado MP Planta'!$A$2:$M$823,3,0),"")</f>
        <v/>
      </c>
      <c r="C31" s="126">
        <f t="shared" si="6"/>
        <v>0</v>
      </c>
      <c r="D31" s="127" t="str">
        <f>IFERROR(VLOOKUP(H31,'[1]Consolidado MP Planta'!$A$2:$M$823,13,0),"")</f>
        <v/>
      </c>
      <c r="E31" s="127" t="str">
        <f>IFERROR(VLOOKUP(H31,'[1]Consolidado MP Planta'!$A$2:$M$823,12,0),"")</f>
        <v/>
      </c>
      <c r="F31" s="127" t="str">
        <f t="shared" si="7"/>
        <v/>
      </c>
      <c r="G31" s="128" t="str">
        <f t="shared" si="8"/>
        <v/>
      </c>
      <c r="H31" s="131"/>
      <c r="I31" s="131"/>
      <c r="J31" s="130"/>
      <c r="K31" s="132"/>
      <c r="L31" s="107"/>
    </row>
    <row r="32" spans="1:12" ht="13.5" hidden="1" x14ac:dyDescent="0.25">
      <c r="A32" s="125"/>
      <c r="B32" s="102" t="str">
        <f>IFERROR(VLOOKUP(H32,'[1]Consolidado MP Planta'!$A$2:$M$823,3,0),"")</f>
        <v/>
      </c>
      <c r="C32" s="126">
        <f t="shared" si="6"/>
        <v>0</v>
      </c>
      <c r="D32" s="127" t="str">
        <f>IFERROR(VLOOKUP(H32,'[1]Consolidado MP Planta'!$A$2:$M$823,13,0),"")</f>
        <v/>
      </c>
      <c r="E32" s="127" t="str">
        <f>IFERROR(VLOOKUP(H32,'[1]Consolidado MP Planta'!$A$2:$M$823,12,0),"")</f>
        <v/>
      </c>
      <c r="F32" s="127" t="str">
        <f t="shared" si="7"/>
        <v/>
      </c>
      <c r="G32" s="128" t="str">
        <f t="shared" si="8"/>
        <v/>
      </c>
      <c r="H32" s="131"/>
      <c r="I32" s="131"/>
      <c r="J32" s="130"/>
    </row>
    <row r="33" spans="1:13" ht="14.25" hidden="1" thickBot="1" x14ac:dyDescent="0.3">
      <c r="A33" s="125"/>
      <c r="B33" s="102"/>
      <c r="C33" s="126"/>
      <c r="D33" s="127"/>
      <c r="E33" s="127"/>
      <c r="F33" s="127"/>
      <c r="G33" s="128"/>
      <c r="H33" s="131"/>
      <c r="I33" s="131"/>
      <c r="J33" s="130"/>
    </row>
    <row r="34" spans="1:13" ht="26.25" hidden="1" thickBot="1" x14ac:dyDescent="0.25">
      <c r="A34" s="121" t="s">
        <v>109</v>
      </c>
      <c r="B34" s="122" t="s">
        <v>116</v>
      </c>
      <c r="C34" s="122" t="s">
        <v>109</v>
      </c>
      <c r="D34" s="123" t="s">
        <v>149</v>
      </c>
      <c r="E34" s="123" t="s">
        <v>111</v>
      </c>
      <c r="F34" s="123" t="s">
        <v>112</v>
      </c>
      <c r="G34" s="123" t="s">
        <v>113</v>
      </c>
      <c r="H34" s="124" t="s">
        <v>114</v>
      </c>
      <c r="I34" s="131"/>
      <c r="J34" s="130"/>
    </row>
    <row r="35" spans="1:13" ht="13.5" hidden="1" x14ac:dyDescent="0.25">
      <c r="A35" s="125">
        <f>+A17</f>
        <v>0</v>
      </c>
      <c r="B35" s="102" t="str">
        <f>IFERROR(VLOOKUP(H35,[1]SEMIELABORADOS!$A$2:$M$6000,2,0),"")</f>
        <v/>
      </c>
      <c r="C35" s="126">
        <f>+A35</f>
        <v>0</v>
      </c>
      <c r="D35" s="127" t="str">
        <f>IFERROR(VLOOKUP(H35,[1]SEMIELABORADOS!$A$2:$M$6000,6,0),"")</f>
        <v/>
      </c>
      <c r="E35" s="127" t="str">
        <f>IFERROR(VLOOKUP(H35,[1]SEMIELABORADOS!$A$2:$M$65536,10,0),"")</f>
        <v/>
      </c>
      <c r="F35" s="127" t="str">
        <f>IFERROR(E35*C35,"")</f>
        <v/>
      </c>
      <c r="G35" s="128" t="str">
        <f t="shared" ref="G35:G41" si="9">IFERROR(F35/$F$66,"")</f>
        <v/>
      </c>
      <c r="H35" s="131"/>
      <c r="I35" s="131"/>
      <c r="J35" s="130"/>
    </row>
    <row r="36" spans="1:13" ht="13.5" hidden="1" x14ac:dyDescent="0.25">
      <c r="A36" s="125">
        <f t="shared" ref="A36:A41" si="10">+A18</f>
        <v>0</v>
      </c>
      <c r="B36" s="102" t="str">
        <f>IFERROR(VLOOKUP(H36,[1]SEMIELABORADOS!$A$2:$M$6000,2,0),"")</f>
        <v/>
      </c>
      <c r="C36" s="126">
        <f t="shared" ref="C36:C41" si="11">+A36</f>
        <v>0</v>
      </c>
      <c r="D36" s="127" t="str">
        <f>IFERROR(VLOOKUP(H36,[1]SEMIELABORADOS!$A$2:$M$6000,6,0),"")</f>
        <v/>
      </c>
      <c r="E36" s="127" t="str">
        <f>IFERROR(VLOOKUP(H36,[1]SEMIELABORADOS!$A$2:$M$65536,10,0),"")</f>
        <v/>
      </c>
      <c r="F36" s="127" t="str">
        <f t="shared" ref="F36:F41" si="12">IFERROR(E36*C36,"")</f>
        <v/>
      </c>
      <c r="G36" s="128" t="str">
        <f t="shared" si="9"/>
        <v/>
      </c>
      <c r="H36" s="131"/>
      <c r="I36" s="131"/>
      <c r="J36" s="130"/>
    </row>
    <row r="37" spans="1:13" ht="13.5" hidden="1" x14ac:dyDescent="0.25">
      <c r="A37" s="125">
        <f t="shared" si="10"/>
        <v>0</v>
      </c>
      <c r="B37" s="102" t="str">
        <f>IFERROR(VLOOKUP(H37,[1]SEMIELABORADOS!$A$2:$M$6000,2,0),"")</f>
        <v/>
      </c>
      <c r="C37" s="126">
        <f t="shared" si="11"/>
        <v>0</v>
      </c>
      <c r="D37" s="127" t="str">
        <f>IFERROR(VLOOKUP(H37,[1]SEMIELABORADOS!$A$2:$M$6000,6,0),"")</f>
        <v/>
      </c>
      <c r="E37" s="127" t="str">
        <f>IFERROR(VLOOKUP(H37,[1]SEMIELABORADOS!$A$2:$M$65536,10,0),"")</f>
        <v/>
      </c>
      <c r="F37" s="127" t="str">
        <f t="shared" si="12"/>
        <v/>
      </c>
      <c r="G37" s="128" t="str">
        <f t="shared" si="9"/>
        <v/>
      </c>
      <c r="H37" s="131"/>
      <c r="I37" s="131"/>
      <c r="J37" s="130"/>
    </row>
    <row r="38" spans="1:13" ht="13.5" hidden="1" x14ac:dyDescent="0.25">
      <c r="A38" s="125">
        <f t="shared" si="10"/>
        <v>0</v>
      </c>
      <c r="B38" s="102" t="str">
        <f>IFERROR(VLOOKUP(H38,[1]SEMIELABORADOS!$A$2:$M$6000,2,0),"")</f>
        <v/>
      </c>
      <c r="C38" s="126">
        <f>+A38</f>
        <v>0</v>
      </c>
      <c r="D38" s="127" t="str">
        <f>IFERROR(VLOOKUP(H38,[1]SEMIELABORADOS!$A$2:$M$6000,6,0),"")</f>
        <v/>
      </c>
      <c r="E38" s="127" t="str">
        <f>IFERROR(VLOOKUP(H38,[1]SEMIELABORADOS!$A$2:$M$65536,10,0),"")</f>
        <v/>
      </c>
      <c r="F38" s="127" t="str">
        <f>IFERROR(E38*C38,"")</f>
        <v/>
      </c>
      <c r="G38" s="128" t="str">
        <f t="shared" si="9"/>
        <v/>
      </c>
      <c r="H38" s="131"/>
      <c r="I38" s="131"/>
      <c r="J38" s="130"/>
    </row>
    <row r="39" spans="1:13" ht="13.5" hidden="1" x14ac:dyDescent="0.25">
      <c r="A39" s="125">
        <f t="shared" si="10"/>
        <v>0</v>
      </c>
      <c r="B39" s="102" t="str">
        <f>IFERROR(VLOOKUP(H39,[1]SEMIELABORADOS!$A$2:$M$6000,2,0),"")</f>
        <v/>
      </c>
      <c r="C39" s="126">
        <f>+A39</f>
        <v>0</v>
      </c>
      <c r="D39" s="127" t="str">
        <f>IFERROR(VLOOKUP(H39,[1]SEMIELABORADOS!$A$2:$M$6000,6,0),"")</f>
        <v/>
      </c>
      <c r="E39" s="127" t="str">
        <f>IFERROR(VLOOKUP(H39,[1]SEMIELABORADOS!$A$2:$M$65536,10,0),"")</f>
        <v/>
      </c>
      <c r="F39" s="127" t="str">
        <f>IFERROR(E39*C39,"")</f>
        <v/>
      </c>
      <c r="G39" s="128" t="str">
        <f t="shared" si="9"/>
        <v/>
      </c>
      <c r="H39" s="131"/>
      <c r="I39" s="131"/>
      <c r="J39" s="130"/>
    </row>
    <row r="40" spans="1:13" ht="13.5" hidden="1" x14ac:dyDescent="0.25">
      <c r="A40" s="125">
        <f t="shared" si="10"/>
        <v>0</v>
      </c>
      <c r="B40" s="102" t="str">
        <f>IFERROR(VLOOKUP(H40,[1]SEMIELABORADOS!$A$2:$M$6000,2,0),"")</f>
        <v/>
      </c>
      <c r="C40" s="126">
        <f t="shared" si="11"/>
        <v>0</v>
      </c>
      <c r="D40" s="127" t="str">
        <f>IFERROR(VLOOKUP(H40,[1]SEMIELABORADOS!$A$2:$M$6000,6,0),"")</f>
        <v/>
      </c>
      <c r="E40" s="127" t="str">
        <f>IFERROR(VLOOKUP(H40,[1]SEMIELABORADOS!$A$2:$M$65536,10,0),"")</f>
        <v/>
      </c>
      <c r="F40" s="127" t="str">
        <f t="shared" si="12"/>
        <v/>
      </c>
      <c r="G40" s="128" t="str">
        <f t="shared" si="9"/>
        <v/>
      </c>
      <c r="H40" s="131"/>
      <c r="I40" s="131"/>
      <c r="J40" s="130"/>
    </row>
    <row r="41" spans="1:13" ht="13.5" hidden="1" x14ac:dyDescent="0.25">
      <c r="A41" s="125">
        <f t="shared" si="10"/>
        <v>0</v>
      </c>
      <c r="B41" s="102" t="str">
        <f>IFERROR(VLOOKUP(H41,[1]SEMIELABORADOS!$A$2:$M$6000,2,0),"")</f>
        <v/>
      </c>
      <c r="C41" s="126">
        <f t="shared" si="11"/>
        <v>0</v>
      </c>
      <c r="D41" s="127" t="str">
        <f>IFERROR(VLOOKUP(H41,[1]SEMIELABORADOS!$A$2:$M$6000,6,0),"")</f>
        <v/>
      </c>
      <c r="E41" s="127" t="str">
        <f>IFERROR(VLOOKUP(H41,[1]SEMIELABORADOS!$A$2:$M$65536,10,0),"")</f>
        <v/>
      </c>
      <c r="F41" s="127" t="str">
        <f t="shared" si="12"/>
        <v/>
      </c>
      <c r="G41" s="128" t="str">
        <f t="shared" si="9"/>
        <v/>
      </c>
      <c r="H41" s="131"/>
      <c r="I41" s="131"/>
      <c r="J41" s="130"/>
    </row>
    <row r="42" spans="1:13" ht="14.25" hidden="1" thickBot="1" x14ac:dyDescent="0.3">
      <c r="A42" s="125"/>
      <c r="B42" s="102"/>
      <c r="C42" s="126"/>
      <c r="D42" s="127"/>
      <c r="E42" s="127"/>
      <c r="F42" s="127"/>
      <c r="G42" s="128"/>
      <c r="H42" s="131"/>
      <c r="I42" s="131"/>
      <c r="J42" s="130"/>
    </row>
    <row r="43" spans="1:13" ht="26.25" thickBot="1" x14ac:dyDescent="0.25">
      <c r="A43" s="121" t="s">
        <v>109</v>
      </c>
      <c r="B43" s="122" t="s">
        <v>117</v>
      </c>
      <c r="C43" s="122" t="s">
        <v>109</v>
      </c>
      <c r="D43" s="123" t="s">
        <v>149</v>
      </c>
      <c r="E43" s="123" t="s">
        <v>111</v>
      </c>
      <c r="F43" s="123" t="s">
        <v>112</v>
      </c>
      <c r="G43" s="123" t="s">
        <v>113</v>
      </c>
      <c r="H43" s="124" t="s">
        <v>114</v>
      </c>
      <c r="I43" s="106"/>
      <c r="J43" s="130"/>
    </row>
    <row r="44" spans="1:13" ht="13.5" hidden="1" x14ac:dyDescent="0.25">
      <c r="A44" s="125">
        <f>+A35</f>
        <v>0</v>
      </c>
      <c r="B44" s="102" t="str">
        <f>IFERROR(VLOOKUP(H44,[1]SEMIELABORADOS!$A$2:$M$6000,2,0),"")</f>
        <v/>
      </c>
      <c r="C44" s="126">
        <f>+A44</f>
        <v>0</v>
      </c>
      <c r="D44" s="127" t="str">
        <f>IFERROR(VLOOKUP(H44,[1]SEMIELABORADOS!$A$2:$M$6000,6,0),"")</f>
        <v/>
      </c>
      <c r="E44" s="127" t="str">
        <f>IFERROR(VLOOKUP(H44,[1]SEMIELABORADOS!$A$2:$M$65536,12,0),"")</f>
        <v/>
      </c>
      <c r="F44" s="127" t="str">
        <f>IFERROR(E44*C44,"")</f>
        <v/>
      </c>
      <c r="G44" s="128" t="str">
        <f>IFERROR(F44/$F$66,"")</f>
        <v/>
      </c>
      <c r="H44" s="131"/>
      <c r="I44" s="106"/>
      <c r="J44" s="130"/>
    </row>
    <row r="45" spans="1:13" ht="13.5" hidden="1" x14ac:dyDescent="0.25">
      <c r="A45" s="125">
        <f t="shared" ref="A45:A50" si="13">+A36</f>
        <v>0</v>
      </c>
      <c r="B45" s="102" t="str">
        <f>IFERROR(VLOOKUP(H45,[1]SEMIELABORADOS!$A$2:$M$6000,2,0),"")</f>
        <v/>
      </c>
      <c r="C45" s="126">
        <f t="shared" ref="C45:C50" si="14">+A45</f>
        <v>0</v>
      </c>
      <c r="D45" s="127" t="str">
        <f>IFERROR(VLOOKUP(H45,[1]SEMIELABORADOS!$A$2:$M$6000,6,0),"")</f>
        <v/>
      </c>
      <c r="E45" s="127" t="str">
        <f>IFERROR(VLOOKUP(H45,[1]SEMIELABORADOS!$A$2:$M$65536,12,0),"")</f>
        <v/>
      </c>
      <c r="F45" s="127" t="str">
        <f t="shared" ref="F45:F50" si="15">IFERROR(E45*C45,"")</f>
        <v/>
      </c>
      <c r="G45" s="128" t="str">
        <f t="shared" ref="G45:G50" si="16">IFERROR(F45/$F$66,"")</f>
        <v/>
      </c>
      <c r="H45" s="131"/>
      <c r="I45" s="106"/>
      <c r="J45" s="130"/>
      <c r="M45" s="133"/>
    </row>
    <row r="46" spans="1:13" ht="13.5" hidden="1" x14ac:dyDescent="0.25">
      <c r="A46" s="125">
        <f t="shared" si="13"/>
        <v>0</v>
      </c>
      <c r="B46" s="102" t="str">
        <f>IFERROR(VLOOKUP(H46,[1]SEMIELABORADOS!$A$2:$M$6000,2,0),"")</f>
        <v/>
      </c>
      <c r="C46" s="126">
        <f t="shared" si="14"/>
        <v>0</v>
      </c>
      <c r="D46" s="127" t="str">
        <f>IFERROR(VLOOKUP(H46,[1]SEMIELABORADOS!$A$2:$M$6000,6,0),"")</f>
        <v/>
      </c>
      <c r="E46" s="127" t="str">
        <f>IFERROR(VLOOKUP(H46,[1]SEMIELABORADOS!$A$2:$M$65536,12,0),"")</f>
        <v/>
      </c>
      <c r="F46" s="127" t="str">
        <f t="shared" si="15"/>
        <v/>
      </c>
      <c r="G46" s="128" t="str">
        <f t="shared" si="16"/>
        <v/>
      </c>
      <c r="H46" s="131"/>
      <c r="I46" s="106"/>
      <c r="J46" s="130"/>
    </row>
    <row r="47" spans="1:13" ht="13.5" hidden="1" x14ac:dyDescent="0.25">
      <c r="A47" s="125">
        <f t="shared" si="13"/>
        <v>0</v>
      </c>
      <c r="B47" s="102" t="str">
        <f>IFERROR(VLOOKUP(H47,[1]SEMIELABORADOS!$A$2:$M$6000,2,0),"")</f>
        <v/>
      </c>
      <c r="C47" s="126">
        <f t="shared" si="14"/>
        <v>0</v>
      </c>
      <c r="D47" s="127" t="str">
        <f>IFERROR(VLOOKUP(H47,[1]SEMIELABORADOS!$A$2:$M$6000,6,0),"")</f>
        <v/>
      </c>
      <c r="E47" s="127" t="str">
        <f>IFERROR(VLOOKUP(H47,[1]SEMIELABORADOS!$A$2:$M$65536,12,0),"")</f>
        <v/>
      </c>
      <c r="F47" s="127" t="str">
        <f t="shared" si="15"/>
        <v/>
      </c>
      <c r="G47" s="128" t="str">
        <f t="shared" si="16"/>
        <v/>
      </c>
      <c r="H47" s="131"/>
      <c r="I47" s="106"/>
      <c r="J47" s="130"/>
    </row>
    <row r="48" spans="1:13" ht="13.5" hidden="1" x14ac:dyDescent="0.25">
      <c r="A48" s="125">
        <f t="shared" si="13"/>
        <v>0</v>
      </c>
      <c r="B48" s="102" t="str">
        <f>IFERROR(VLOOKUP(H48,[1]SEMIELABORADOS!$A$2:$M$6000,2,0),"")</f>
        <v/>
      </c>
      <c r="C48" s="126">
        <f t="shared" si="14"/>
        <v>0</v>
      </c>
      <c r="D48" s="127" t="str">
        <f>IFERROR(VLOOKUP(H48,[1]SEMIELABORADOS!$A$2:$M$6000,6,0),"")</f>
        <v/>
      </c>
      <c r="E48" s="127" t="str">
        <f>IFERROR(VLOOKUP(H48,[1]SEMIELABORADOS!$A$2:$M$65536,12,0),"")</f>
        <v/>
      </c>
      <c r="F48" s="127" t="str">
        <f t="shared" si="15"/>
        <v/>
      </c>
      <c r="G48" s="128" t="str">
        <f t="shared" si="16"/>
        <v/>
      </c>
      <c r="H48" s="131"/>
      <c r="I48" s="106"/>
      <c r="J48" s="130"/>
    </row>
    <row r="49" spans="1:17" ht="13.5" hidden="1" x14ac:dyDescent="0.25">
      <c r="A49" s="125">
        <f t="shared" si="13"/>
        <v>0</v>
      </c>
      <c r="B49" s="102" t="str">
        <f>IFERROR(VLOOKUP(H49,[1]SEMIELABORADOS!$A$2:$M$6000,2,0),"")</f>
        <v/>
      </c>
      <c r="C49" s="126">
        <f t="shared" si="14"/>
        <v>0</v>
      </c>
      <c r="D49" s="127" t="str">
        <f>IFERROR(VLOOKUP(H49,[1]SEMIELABORADOS!$A$2:$M$6000,6,0),"")</f>
        <v/>
      </c>
      <c r="E49" s="127" t="str">
        <f>IFERROR(VLOOKUP(H49,[1]SEMIELABORADOS!$A$2:$M$65536,12,0),"")</f>
        <v/>
      </c>
      <c r="F49" s="127" t="str">
        <f t="shared" si="15"/>
        <v/>
      </c>
      <c r="G49" s="128" t="str">
        <f t="shared" si="16"/>
        <v/>
      </c>
      <c r="H49" s="131"/>
      <c r="I49" s="106"/>
      <c r="J49" s="130"/>
    </row>
    <row r="50" spans="1:17" ht="13.5" hidden="1" x14ac:dyDescent="0.25">
      <c r="A50" s="125">
        <f t="shared" si="13"/>
        <v>0</v>
      </c>
      <c r="B50" s="102" t="str">
        <f>IFERROR(VLOOKUP(H50,[1]SEMIELABORADOS!$A$2:$M$6000,2,0),"")</f>
        <v/>
      </c>
      <c r="C50" s="126">
        <f t="shared" si="14"/>
        <v>0</v>
      </c>
      <c r="D50" s="127" t="str">
        <f>IFERROR(VLOOKUP(H50,[1]SEMIELABORADOS!$A$2:$M$6000,6,0),"")</f>
        <v/>
      </c>
      <c r="E50" s="127" t="str">
        <f>IFERROR(VLOOKUP(H50,[1]SEMIELABORADOS!$A$2:$M$65536,12,0),"")</f>
        <v/>
      </c>
      <c r="F50" s="127" t="str">
        <f t="shared" si="15"/>
        <v/>
      </c>
      <c r="G50" s="128" t="str">
        <f t="shared" si="16"/>
        <v/>
      </c>
      <c r="H50" s="102"/>
      <c r="I50" s="106"/>
      <c r="J50" s="130"/>
    </row>
    <row r="51" spans="1:17" ht="13.5" x14ac:dyDescent="0.25">
      <c r="A51" s="125">
        <v>1</v>
      </c>
      <c r="B51" s="102" t="s">
        <v>118</v>
      </c>
      <c r="C51" s="126">
        <f>+A51</f>
        <v>1</v>
      </c>
      <c r="D51" s="126" t="s">
        <v>119</v>
      </c>
      <c r="E51" s="127">
        <f>+F65</f>
        <v>232</v>
      </c>
      <c r="F51" s="127">
        <f>IFERROR(C51*E51,"")</f>
        <v>232</v>
      </c>
      <c r="G51" s="128">
        <f>IFERROR(F51/$F$66,"")</f>
        <v>8.3393242271746951E-2</v>
      </c>
      <c r="H51" s="134"/>
      <c r="I51" s="134"/>
      <c r="J51" s="130"/>
    </row>
    <row r="52" spans="1:17" ht="14.25" thickBot="1" x14ac:dyDescent="0.3">
      <c r="A52" s="125"/>
      <c r="B52" s="102"/>
      <c r="C52" s="126"/>
      <c r="D52" s="126"/>
      <c r="E52" s="127"/>
      <c r="F52" s="127"/>
      <c r="G52" s="128"/>
      <c r="H52" s="134"/>
      <c r="I52" s="134"/>
      <c r="J52" s="130"/>
    </row>
    <row r="53" spans="1:17" ht="13.5" thickBot="1" x14ac:dyDescent="0.25">
      <c r="A53" s="108"/>
      <c r="B53" s="354" t="s">
        <v>150</v>
      </c>
      <c r="C53" s="354"/>
      <c r="D53" s="354"/>
      <c r="E53" s="354"/>
      <c r="F53" s="135">
        <f>SUM(F8:F14,F17:F24)</f>
        <v>2500</v>
      </c>
      <c r="G53" s="128">
        <f>+F53/$F$66</f>
        <v>0.89863407620416969</v>
      </c>
      <c r="H53" s="136">
        <f>+F53/$D$60</f>
        <v>2500</v>
      </c>
      <c r="I53" s="136"/>
      <c r="J53" s="137"/>
      <c r="K53" s="138"/>
      <c r="L53" s="138"/>
      <c r="M53" s="138"/>
      <c r="N53" s="138"/>
      <c r="O53" s="138"/>
      <c r="P53" s="138"/>
      <c r="Q53" s="139"/>
    </row>
    <row r="54" spans="1:17" x14ac:dyDescent="0.2">
      <c r="A54" s="108"/>
      <c r="B54" s="354" t="s">
        <v>120</v>
      </c>
      <c r="C54" s="354"/>
      <c r="D54" s="354"/>
      <c r="E54" s="354"/>
      <c r="F54" s="135">
        <f>SUM(F27:F32,F35:F41)</f>
        <v>0</v>
      </c>
      <c r="G54" s="128">
        <f>+F54/$F$66</f>
        <v>0</v>
      </c>
      <c r="H54" s="136">
        <f>+F54/$D$60</f>
        <v>0</v>
      </c>
      <c r="I54" s="136"/>
      <c r="J54" s="140"/>
      <c r="K54" s="355" t="s">
        <v>121</v>
      </c>
      <c r="L54" s="356"/>
      <c r="M54" s="356"/>
      <c r="N54" s="356"/>
      <c r="O54" s="141">
        <f>+F55</f>
        <v>2500</v>
      </c>
      <c r="P54" s="141"/>
      <c r="Q54" s="142"/>
    </row>
    <row r="55" spans="1:17" x14ac:dyDescent="0.2">
      <c r="A55" s="108"/>
      <c r="B55" s="354" t="s">
        <v>122</v>
      </c>
      <c r="C55" s="354"/>
      <c r="D55" s="354"/>
      <c r="E55" s="354"/>
      <c r="F55" s="135">
        <f>+F53+F54</f>
        <v>2500</v>
      </c>
      <c r="G55" s="128">
        <f>+F55/$F$66</f>
        <v>0.89863407620416969</v>
      </c>
      <c r="H55" s="136">
        <f>+F55/$D$60</f>
        <v>2500</v>
      </c>
      <c r="I55" s="136"/>
      <c r="J55" s="143"/>
      <c r="K55" s="144"/>
      <c r="M55" s="145" t="s">
        <v>123</v>
      </c>
      <c r="N55" s="146">
        <v>0.18</v>
      </c>
      <c r="O55" s="141">
        <f>+O54*N55</f>
        <v>450</v>
      </c>
      <c r="P55" s="141"/>
      <c r="Q55" s="142"/>
    </row>
    <row r="56" spans="1:17" ht="13.5" thickBot="1" x14ac:dyDescent="0.25">
      <c r="A56" s="108"/>
      <c r="B56" s="109"/>
      <c r="C56" s="354" t="s">
        <v>124</v>
      </c>
      <c r="D56" s="354"/>
      <c r="E56" s="354"/>
      <c r="F56" s="135">
        <f>SUM(F44:F51)</f>
        <v>232</v>
      </c>
      <c r="G56" s="128">
        <f>+F56/$F$66</f>
        <v>8.3393242271746951E-2</v>
      </c>
      <c r="H56" s="136">
        <f>+F56/$D$60</f>
        <v>232</v>
      </c>
      <c r="I56" s="136"/>
      <c r="J56" s="143"/>
      <c r="K56" s="144"/>
      <c r="L56" s="144"/>
      <c r="M56" s="144" t="s">
        <v>125</v>
      </c>
      <c r="N56" s="147"/>
      <c r="O56" s="141">
        <f>O54*N56</f>
        <v>0</v>
      </c>
      <c r="P56" s="141"/>
      <c r="Q56" s="142"/>
    </row>
    <row r="57" spans="1:17" ht="13.5" thickBot="1" x14ac:dyDescent="0.25">
      <c r="A57" s="108"/>
      <c r="B57" s="148"/>
      <c r="C57" s="148"/>
      <c r="D57" s="148"/>
      <c r="E57" s="148"/>
      <c r="F57" s="149"/>
      <c r="G57" s="128"/>
      <c r="H57" s="150"/>
      <c r="I57" s="136"/>
      <c r="J57" s="143"/>
      <c r="K57" s="151"/>
      <c r="M57" s="152" t="s">
        <v>126</v>
      </c>
      <c r="N57" s="153"/>
      <c r="O57" s="154">
        <f>SUM(O54:O56)</f>
        <v>2950</v>
      </c>
      <c r="P57" s="155"/>
      <c r="Q57" s="142"/>
    </row>
    <row r="58" spans="1:17" x14ac:dyDescent="0.2">
      <c r="B58" s="347" t="s">
        <v>127</v>
      </c>
      <c r="C58" s="347"/>
      <c r="D58" s="156">
        <v>6500</v>
      </c>
      <c r="E58" s="110"/>
      <c r="G58" s="128"/>
      <c r="H58" s="150"/>
      <c r="I58" s="157"/>
      <c r="J58" s="143"/>
      <c r="K58" s="151"/>
      <c r="L58" s="144"/>
      <c r="M58" s="144" t="s">
        <v>128</v>
      </c>
      <c r="N58" s="158">
        <v>0.16</v>
      </c>
      <c r="O58" s="141">
        <f>+O54*N58</f>
        <v>400</v>
      </c>
      <c r="P58" s="141"/>
      <c r="Q58" s="142"/>
    </row>
    <row r="59" spans="1:17" x14ac:dyDescent="0.2">
      <c r="B59" s="347" t="s">
        <v>129</v>
      </c>
      <c r="C59" s="347"/>
      <c r="D59" s="159">
        <v>6500</v>
      </c>
      <c r="E59" s="110"/>
      <c r="G59" s="128"/>
      <c r="H59" s="150"/>
      <c r="I59" s="157"/>
      <c r="J59" s="143"/>
      <c r="K59" s="151"/>
      <c r="L59" s="144"/>
      <c r="M59" s="358" t="s">
        <v>126</v>
      </c>
      <c r="N59" s="358"/>
      <c r="O59" s="141">
        <f>SUM(O57:O58)</f>
        <v>3350</v>
      </c>
      <c r="P59" s="141"/>
      <c r="Q59" s="142"/>
    </row>
    <row r="60" spans="1:17" ht="13.5" thickBot="1" x14ac:dyDescent="0.25">
      <c r="B60" s="357" t="s">
        <v>130</v>
      </c>
      <c r="C60" s="357"/>
      <c r="D60" s="156">
        <f>+D58/D59</f>
        <v>1</v>
      </c>
      <c r="E60" s="110"/>
      <c r="F60" s="160"/>
      <c r="G60" s="128"/>
      <c r="H60" s="150"/>
      <c r="I60" s="157"/>
      <c r="J60" s="143"/>
      <c r="K60" s="151"/>
      <c r="L60" s="358"/>
      <c r="M60" s="358"/>
      <c r="N60" s="158"/>
      <c r="O60" s="141">
        <f>+O59*N60</f>
        <v>0</v>
      </c>
      <c r="P60" s="141"/>
      <c r="Q60" s="142"/>
    </row>
    <row r="61" spans="1:17" ht="13.5" thickBot="1" x14ac:dyDescent="0.25">
      <c r="B61" s="357" t="s">
        <v>131</v>
      </c>
      <c r="C61" s="357"/>
      <c r="D61" s="161"/>
      <c r="E61" s="110"/>
      <c r="F61" s="160"/>
      <c r="G61" s="128"/>
      <c r="H61" s="150"/>
      <c r="I61" s="157"/>
      <c r="J61" s="143"/>
      <c r="K61" s="333" t="s">
        <v>132</v>
      </c>
      <c r="L61" s="334"/>
      <c r="M61" s="334"/>
      <c r="N61" s="335"/>
      <c r="O61" s="154">
        <f>SUM(O59:O60)</f>
        <v>3350</v>
      </c>
      <c r="P61" s="162" t="s">
        <v>133</v>
      </c>
      <c r="Q61" s="142"/>
    </row>
    <row r="62" spans="1:17" ht="13.5" thickBot="1" x14ac:dyDescent="0.25">
      <c r="C62" s="108" t="s">
        <v>134</v>
      </c>
      <c r="D62" s="163"/>
      <c r="E62" s="103" t="s">
        <v>135</v>
      </c>
      <c r="F62" s="164" t="s">
        <v>136</v>
      </c>
      <c r="G62" s="128"/>
      <c r="H62" s="150"/>
      <c r="I62" s="157"/>
      <c r="J62" s="165"/>
      <c r="K62" s="166"/>
      <c r="L62" s="336" t="s">
        <v>137</v>
      </c>
      <c r="M62" s="336"/>
      <c r="N62" s="336"/>
      <c r="O62" s="167">
        <f>+O61/D60</f>
        <v>3350</v>
      </c>
      <c r="P62" s="168">
        <f>+O62/D59</f>
        <v>0.51538461538461533</v>
      </c>
      <c r="Q62" s="169"/>
    </row>
    <row r="63" spans="1:17" ht="13.5" thickBot="1" x14ac:dyDescent="0.25">
      <c r="B63" s="337" t="s">
        <v>122</v>
      </c>
      <c r="C63" s="337"/>
      <c r="D63" s="337"/>
      <c r="E63" s="170">
        <f>+F63/F63</f>
        <v>1</v>
      </c>
      <c r="F63" s="171">
        <f>SUM(F55)</f>
        <v>2500</v>
      </c>
      <c r="G63" s="128">
        <f>+F63/$F$66</f>
        <v>0.89863407620416969</v>
      </c>
      <c r="H63" s="150"/>
      <c r="I63" s="157"/>
      <c r="K63" s="338"/>
      <c r="L63" s="339"/>
      <c r="M63" s="339"/>
      <c r="N63" s="339"/>
      <c r="O63" s="172"/>
      <c r="P63" s="173"/>
    </row>
    <row r="64" spans="1:17" ht="13.5" thickBot="1" x14ac:dyDescent="0.25">
      <c r="B64" s="340" t="s">
        <v>151</v>
      </c>
      <c r="C64" s="340"/>
      <c r="D64" s="340"/>
      <c r="E64" s="174">
        <v>0.02</v>
      </c>
      <c r="F64" s="171">
        <f>+F53*E64</f>
        <v>50</v>
      </c>
      <c r="G64" s="128">
        <f>+F64/$F$66</f>
        <v>1.7972681524083392E-2</v>
      </c>
      <c r="H64" s="136"/>
      <c r="I64" s="157"/>
      <c r="J64" s="175"/>
      <c r="O64" s="176"/>
      <c r="P64" s="109"/>
    </row>
    <row r="65" spans="2:10" ht="13.5" thickBot="1" x14ac:dyDescent="0.25">
      <c r="B65" s="345" t="s">
        <v>138</v>
      </c>
      <c r="C65" s="346"/>
      <c r="D65" s="177">
        <v>4</v>
      </c>
      <c r="E65" s="178">
        <v>58</v>
      </c>
      <c r="F65" s="171">
        <f>+E65*D65</f>
        <v>232</v>
      </c>
      <c r="G65" s="128">
        <f>+F65/$F$66</f>
        <v>8.3393242271746951E-2</v>
      </c>
      <c r="H65" s="136"/>
      <c r="I65" s="136"/>
      <c r="J65" s="130"/>
    </row>
    <row r="66" spans="2:10" ht="13.5" thickBot="1" x14ac:dyDescent="0.25">
      <c r="B66" s="341" t="s">
        <v>139</v>
      </c>
      <c r="C66" s="342"/>
      <c r="D66" s="342"/>
      <c r="E66" s="343"/>
      <c r="F66" s="149">
        <f>SUM(F63:F65)</f>
        <v>2782</v>
      </c>
      <c r="G66" s="128">
        <f>+F66/$F$66</f>
        <v>1</v>
      </c>
      <c r="H66" s="344"/>
      <c r="I66" s="136"/>
      <c r="J66" s="130"/>
    </row>
    <row r="67" spans="2:10" x14ac:dyDescent="0.2">
      <c r="C67" s="133"/>
      <c r="D67" s="133"/>
      <c r="E67" s="180"/>
      <c r="F67" s="171"/>
      <c r="G67" s="128"/>
      <c r="H67" s="344"/>
      <c r="I67" s="179"/>
      <c r="J67" s="104"/>
    </row>
    <row r="68" spans="2:10" ht="13.5" thickBot="1" x14ac:dyDescent="0.25">
      <c r="B68" s="331" t="s">
        <v>140</v>
      </c>
      <c r="C68" s="331"/>
      <c r="D68" s="331"/>
      <c r="E68" s="331"/>
      <c r="F68" s="331"/>
      <c r="G68" s="128"/>
      <c r="H68" s="111"/>
      <c r="I68" s="179"/>
      <c r="J68" s="104"/>
    </row>
    <row r="69" spans="2:10" ht="13.5" thickBot="1" x14ac:dyDescent="0.25">
      <c r="B69" s="182" t="s">
        <v>141</v>
      </c>
      <c r="C69" s="183">
        <f>+F53</f>
        <v>2500</v>
      </c>
      <c r="D69" s="183">
        <f>+D58</f>
        <v>6500</v>
      </c>
      <c r="E69" s="184">
        <f>+C69/D69</f>
        <v>0.38461538461538464</v>
      </c>
      <c r="F69" s="128"/>
      <c r="G69" s="111"/>
      <c r="H69" s="130"/>
      <c r="I69" s="111"/>
      <c r="J69" s="104"/>
    </row>
    <row r="70" spans="2:10" x14ac:dyDescent="0.2">
      <c r="B70" s="185"/>
      <c r="C70" s="186"/>
      <c r="D70" s="187"/>
      <c r="E70" s="171"/>
      <c r="F70" s="128"/>
      <c r="G70" s="111"/>
      <c r="H70" s="130"/>
      <c r="I70" s="130"/>
      <c r="J70" s="104"/>
    </row>
    <row r="71" spans="2:10" x14ac:dyDescent="0.2">
      <c r="B71" s="182" t="s">
        <v>142</v>
      </c>
      <c r="C71" s="183">
        <f>SUM(F63:F64)</f>
        <v>2550</v>
      </c>
      <c r="D71" s="183">
        <f>+D58</f>
        <v>6500</v>
      </c>
      <c r="E71" s="188">
        <f>+C71/D71</f>
        <v>0.3923076923076923</v>
      </c>
      <c r="F71" s="128"/>
      <c r="G71" s="111"/>
      <c r="H71" s="130"/>
      <c r="I71" s="130"/>
      <c r="J71" s="104"/>
    </row>
    <row r="72" spans="2:10" x14ac:dyDescent="0.2">
      <c r="B72" s="182"/>
      <c r="C72" s="183"/>
      <c r="D72" s="183"/>
      <c r="E72" s="188"/>
      <c r="F72" s="128"/>
      <c r="G72" s="111"/>
      <c r="H72" s="130"/>
      <c r="I72" s="130"/>
      <c r="J72" s="104"/>
    </row>
    <row r="73" spans="2:10" ht="13.5" thickBot="1" x14ac:dyDescent="0.25">
      <c r="B73" s="182" t="s">
        <v>143</v>
      </c>
      <c r="C73" s="183">
        <f>+F65</f>
        <v>232</v>
      </c>
      <c r="D73" s="183">
        <f>+D58</f>
        <v>6500</v>
      </c>
      <c r="E73" s="188">
        <f>+C73/D73</f>
        <v>3.569230769230769E-2</v>
      </c>
      <c r="F73" s="128"/>
      <c r="G73" s="111"/>
      <c r="H73" s="130"/>
      <c r="I73" s="130"/>
      <c r="J73" s="104"/>
    </row>
    <row r="74" spans="2:10" ht="13.5" thickBot="1" x14ac:dyDescent="0.25">
      <c r="B74" s="182" t="s">
        <v>144</v>
      </c>
      <c r="C74" s="183">
        <f>+F56</f>
        <v>232</v>
      </c>
      <c r="D74" s="183">
        <f>+D73</f>
        <v>6500</v>
      </c>
      <c r="E74" s="184">
        <f>+C74/D74</f>
        <v>3.569230769230769E-2</v>
      </c>
      <c r="F74" s="128"/>
      <c r="G74" s="111"/>
      <c r="H74" s="130"/>
      <c r="I74" s="130"/>
      <c r="J74" s="104"/>
    </row>
    <row r="75" spans="2:10" ht="13.5" thickBot="1" x14ac:dyDescent="0.25">
      <c r="B75" s="148"/>
      <c r="C75" s="149"/>
      <c r="D75" s="149"/>
      <c r="E75" s="188"/>
      <c r="F75" s="128"/>
      <c r="G75" s="111"/>
      <c r="H75" s="130"/>
      <c r="I75" s="130"/>
      <c r="J75" s="104"/>
    </row>
    <row r="76" spans="2:10" ht="13.5" thickBot="1" x14ac:dyDescent="0.25">
      <c r="B76" s="182" t="s">
        <v>145</v>
      </c>
      <c r="C76" s="183">
        <f>+F54</f>
        <v>0</v>
      </c>
      <c r="D76" s="183">
        <f>+D74</f>
        <v>6500</v>
      </c>
      <c r="E76" s="184">
        <f>+C76/D76</f>
        <v>0</v>
      </c>
      <c r="F76" s="128"/>
      <c r="G76" s="111"/>
      <c r="H76" s="130"/>
      <c r="I76" s="130"/>
      <c r="J76" s="130"/>
    </row>
    <row r="77" spans="2:10" ht="13.5" thickBot="1" x14ac:dyDescent="0.25">
      <c r="B77" s="148"/>
      <c r="C77" s="149"/>
      <c r="D77" s="149"/>
      <c r="E77" s="188"/>
      <c r="F77" s="128"/>
      <c r="G77" s="111"/>
      <c r="H77" s="130"/>
      <c r="I77" s="130"/>
    </row>
    <row r="78" spans="2:10" ht="13.5" thickBot="1" x14ac:dyDescent="0.25">
      <c r="B78" s="328" t="s">
        <v>146</v>
      </c>
      <c r="C78" s="329"/>
      <c r="D78" s="330"/>
      <c r="E78" s="184">
        <f>+E69+E74</f>
        <v>0.42030769230769233</v>
      </c>
      <c r="G78" s="128"/>
      <c r="H78" s="111"/>
      <c r="I78" s="130"/>
      <c r="J78" s="188"/>
    </row>
    <row r="79" spans="2:10" x14ac:dyDescent="0.2">
      <c r="I79" s="111"/>
      <c r="J79" s="104"/>
    </row>
    <row r="80" spans="2:10" ht="13.5" thickBot="1" x14ac:dyDescent="0.25">
      <c r="B80" s="331" t="s">
        <v>147</v>
      </c>
      <c r="C80" s="331"/>
      <c r="D80" s="331"/>
      <c r="E80" s="331"/>
      <c r="F80" s="331"/>
      <c r="G80" s="128"/>
      <c r="H80" s="111"/>
      <c r="J80" s="104"/>
    </row>
    <row r="81" spans="1:10" ht="13.5" thickBot="1" x14ac:dyDescent="0.25">
      <c r="B81" s="182" t="s">
        <v>141</v>
      </c>
      <c r="C81" s="183">
        <f>+C69</f>
        <v>2500</v>
      </c>
      <c r="D81" s="183">
        <f>+D60</f>
        <v>1</v>
      </c>
      <c r="E81" s="184">
        <f>+C81/D81</f>
        <v>2500</v>
      </c>
      <c r="F81" s="128"/>
      <c r="G81" s="111"/>
      <c r="H81" s="130"/>
      <c r="I81" s="111"/>
      <c r="J81" s="104"/>
    </row>
    <row r="82" spans="1:10" x14ac:dyDescent="0.2">
      <c r="B82" s="185"/>
      <c r="C82" s="186"/>
      <c r="D82" s="187"/>
      <c r="E82" s="171"/>
      <c r="F82" s="128"/>
      <c r="G82" s="111"/>
      <c r="H82" s="130"/>
      <c r="I82" s="130"/>
      <c r="J82" s="104"/>
    </row>
    <row r="83" spans="1:10" x14ac:dyDescent="0.2">
      <c r="B83" s="182" t="s">
        <v>142</v>
      </c>
      <c r="C83" s="183">
        <f>+C71</f>
        <v>2550</v>
      </c>
      <c r="D83" s="183">
        <f>+D60</f>
        <v>1</v>
      </c>
      <c r="E83" s="188">
        <f>+C83/D83</f>
        <v>2550</v>
      </c>
      <c r="F83" s="128"/>
      <c r="G83" s="111"/>
      <c r="H83" s="130"/>
      <c r="I83" s="130"/>
      <c r="J83" s="104"/>
    </row>
    <row r="84" spans="1:10" x14ac:dyDescent="0.2">
      <c r="B84" s="182"/>
      <c r="C84" s="183"/>
      <c r="D84" s="183"/>
      <c r="E84" s="188"/>
      <c r="F84" s="128"/>
      <c r="G84" s="111"/>
      <c r="H84" s="130"/>
      <c r="I84" s="130"/>
      <c r="J84" s="104"/>
    </row>
    <row r="85" spans="1:10" ht="13.5" thickBot="1" x14ac:dyDescent="0.25">
      <c r="B85" s="182" t="s">
        <v>144</v>
      </c>
      <c r="C85" s="183">
        <f>+C73</f>
        <v>232</v>
      </c>
      <c r="D85" s="183">
        <f>+D60</f>
        <v>1</v>
      </c>
      <c r="E85" s="188">
        <f>+C85/D85</f>
        <v>232</v>
      </c>
      <c r="F85" s="190"/>
      <c r="G85" s="181"/>
      <c r="H85" s="115"/>
      <c r="I85" s="130"/>
    </row>
    <row r="86" spans="1:10" ht="13.5" thickBot="1" x14ac:dyDescent="0.25">
      <c r="B86" s="182" t="s">
        <v>144</v>
      </c>
      <c r="C86" s="183">
        <f>+C74</f>
        <v>232</v>
      </c>
      <c r="D86" s="183">
        <f>+D85</f>
        <v>1</v>
      </c>
      <c r="E86" s="184">
        <f>+C86/D86</f>
        <v>232</v>
      </c>
      <c r="F86" s="189"/>
      <c r="G86" s="181"/>
      <c r="H86" s="115"/>
      <c r="I86" s="115"/>
    </row>
    <row r="87" spans="1:10" x14ac:dyDescent="0.2">
      <c r="I87" s="115"/>
    </row>
    <row r="88" spans="1:10" x14ac:dyDescent="0.2">
      <c r="A88" s="332"/>
      <c r="B88" s="332"/>
      <c r="C88" s="191"/>
      <c r="D88" s="191"/>
      <c r="E88" s="192"/>
      <c r="G88" s="193"/>
    </row>
    <row r="89" spans="1:10" x14ac:dyDescent="0.2">
      <c r="A89" s="102"/>
      <c r="B89" s="194"/>
      <c r="C89" s="195"/>
      <c r="D89" s="195"/>
      <c r="E89" s="196"/>
      <c r="G89" s="193"/>
    </row>
    <row r="90" spans="1:10" x14ac:dyDescent="0.2">
      <c r="A90" s="102"/>
      <c r="B90" s="194"/>
      <c r="C90" s="197"/>
      <c r="D90" s="197"/>
      <c r="E90" s="102"/>
      <c r="G90" s="193"/>
    </row>
    <row r="91" spans="1:10" x14ac:dyDescent="0.2">
      <c r="A91" s="102"/>
      <c r="B91" s="194"/>
      <c r="C91" s="198"/>
      <c r="D91" s="198"/>
      <c r="E91" s="102"/>
      <c r="G91" s="193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EC09F-DA70-4F87-9DB4-6272CC2946BD}">
  <dimension ref="A1:H33"/>
  <sheetViews>
    <sheetView workbookViewId="0">
      <selection activeCell="A12" sqref="A12"/>
    </sheetView>
  </sheetViews>
  <sheetFormatPr baseColWidth="10" defaultRowHeight="12.75" x14ac:dyDescent="0.2"/>
  <cols>
    <col min="1" max="1" width="16" customWidth="1"/>
    <col min="2" max="2" width="42.5703125" customWidth="1"/>
    <col min="3" max="3" width="22.28515625" customWidth="1"/>
  </cols>
  <sheetData>
    <row r="1" spans="1:8" ht="18" x14ac:dyDescent="0.25">
      <c r="A1" s="281"/>
      <c r="B1" s="273" t="s">
        <v>22</v>
      </c>
      <c r="C1" s="273"/>
      <c r="D1" s="273"/>
      <c r="E1" s="273"/>
      <c r="F1" s="273"/>
      <c r="G1" s="1" t="s">
        <v>21</v>
      </c>
      <c r="H1" s="2"/>
    </row>
    <row r="2" spans="1:8" ht="18" x14ac:dyDescent="0.25">
      <c r="A2" s="282"/>
      <c r="B2" s="274" t="s">
        <v>0</v>
      </c>
      <c r="C2" s="274"/>
      <c r="D2" s="274"/>
      <c r="E2" s="274"/>
      <c r="F2" s="274"/>
      <c r="G2" s="4" t="s">
        <v>20</v>
      </c>
      <c r="H2" s="5"/>
    </row>
    <row r="3" spans="1:8" ht="15" customHeight="1" x14ac:dyDescent="0.2">
      <c r="A3" s="282"/>
      <c r="B3" s="275" t="s">
        <v>65</v>
      </c>
      <c r="C3" s="275"/>
      <c r="D3" s="275"/>
      <c r="E3" s="275"/>
      <c r="F3" s="275"/>
      <c r="G3" s="292" t="s">
        <v>19</v>
      </c>
      <c r="H3" s="294"/>
    </row>
    <row r="4" spans="1:8" x14ac:dyDescent="0.2">
      <c r="A4" s="282"/>
      <c r="B4" s="35" t="s">
        <v>18</v>
      </c>
      <c r="C4" s="288" t="s">
        <v>25</v>
      </c>
      <c r="D4" s="288"/>
      <c r="E4" s="288"/>
      <c r="F4" s="288"/>
      <c r="G4" s="292"/>
      <c r="H4" s="294"/>
    </row>
    <row r="5" spans="1:8" ht="13.5" thickBot="1" x14ac:dyDescent="0.25">
      <c r="A5" s="283"/>
      <c r="B5" s="36" t="s">
        <v>17</v>
      </c>
      <c r="C5" s="296" t="s">
        <v>34</v>
      </c>
      <c r="D5" s="296"/>
      <c r="E5" s="296"/>
      <c r="F5" s="296"/>
      <c r="G5" s="293"/>
      <c r="H5" s="295"/>
    </row>
    <row r="6" spans="1:8" x14ac:dyDescent="0.2">
      <c r="A6" s="30"/>
      <c r="B6" s="31"/>
      <c r="C6" s="32"/>
      <c r="D6" s="32"/>
      <c r="E6" s="32"/>
      <c r="F6" s="32"/>
      <c r="G6" s="33"/>
      <c r="H6" s="34"/>
    </row>
    <row r="7" spans="1:8" ht="18.75" thickBot="1" x14ac:dyDescent="0.3">
      <c r="A7" s="289" t="s">
        <v>23</v>
      </c>
      <c r="B7" s="289"/>
      <c r="C7" s="290" t="s">
        <v>57</v>
      </c>
      <c r="D7" s="290"/>
      <c r="E7" s="290"/>
      <c r="F7" s="291" t="s">
        <v>24</v>
      </c>
      <c r="G7" s="291"/>
      <c r="H7" s="40" t="s">
        <v>57</v>
      </c>
    </row>
    <row r="8" spans="1:8" ht="25.5" x14ac:dyDescent="0.2">
      <c r="A8" s="284" t="s">
        <v>1</v>
      </c>
      <c r="B8" s="286" t="s">
        <v>2</v>
      </c>
      <c r="C8" s="286" t="s">
        <v>3</v>
      </c>
      <c r="D8" s="286" t="s">
        <v>4</v>
      </c>
      <c r="E8" s="286"/>
      <c r="F8" s="286" t="s">
        <v>16</v>
      </c>
      <c r="G8" s="286"/>
      <c r="H8" s="6" t="s">
        <v>5</v>
      </c>
    </row>
    <row r="9" spans="1:8" ht="26.25" thickBot="1" x14ac:dyDescent="0.25">
      <c r="A9" s="321"/>
      <c r="B9" s="322"/>
      <c r="C9" s="322"/>
      <c r="D9" s="7" t="s">
        <v>6</v>
      </c>
      <c r="E9" s="8" t="s">
        <v>7</v>
      </c>
      <c r="F9" s="7" t="s">
        <v>6</v>
      </c>
      <c r="G9" s="8" t="s">
        <v>7</v>
      </c>
      <c r="H9" s="39" t="s">
        <v>8</v>
      </c>
    </row>
    <row r="10" spans="1:8" x14ac:dyDescent="0.2">
      <c r="A10" s="42" t="s">
        <v>31</v>
      </c>
      <c r="B10" s="50" t="s">
        <v>66</v>
      </c>
      <c r="C10" s="37" t="s">
        <v>32</v>
      </c>
      <c r="D10" s="37">
        <v>6500</v>
      </c>
      <c r="E10" s="37" t="s">
        <v>26</v>
      </c>
      <c r="F10" s="23"/>
      <c r="G10" s="37"/>
      <c r="H10" s="38"/>
    </row>
    <row r="11" spans="1:8" ht="15" x14ac:dyDescent="0.25">
      <c r="A11" s="51" t="s">
        <v>71</v>
      </c>
      <c r="B11" s="52" t="s">
        <v>72</v>
      </c>
      <c r="C11" s="37" t="s">
        <v>73</v>
      </c>
      <c r="D11" s="37">
        <v>1000</v>
      </c>
      <c r="E11" s="37" t="s">
        <v>26</v>
      </c>
      <c r="F11" s="23"/>
      <c r="G11" s="37"/>
      <c r="H11" s="38"/>
    </row>
    <row r="12" spans="1:8" ht="15" x14ac:dyDescent="0.25">
      <c r="A12" s="51" t="s">
        <v>59</v>
      </c>
      <c r="B12" s="52" t="s">
        <v>60</v>
      </c>
      <c r="C12" s="37" t="s">
        <v>58</v>
      </c>
      <c r="D12" s="37">
        <v>800</v>
      </c>
      <c r="E12" s="37" t="s">
        <v>26</v>
      </c>
      <c r="F12" s="23"/>
      <c r="G12" s="37"/>
      <c r="H12" s="38"/>
    </row>
    <row r="13" spans="1:8" ht="13.5" x14ac:dyDescent="0.25">
      <c r="A13" s="53" t="s">
        <v>74</v>
      </c>
      <c r="B13" s="54" t="s">
        <v>75</v>
      </c>
      <c r="C13" s="48" t="s">
        <v>32</v>
      </c>
      <c r="D13" s="37">
        <v>6500</v>
      </c>
      <c r="E13" s="37" t="s">
        <v>26</v>
      </c>
      <c r="F13" s="23"/>
      <c r="G13" s="37"/>
      <c r="H13" s="38"/>
    </row>
    <row r="14" spans="1:8" ht="15" x14ac:dyDescent="0.25">
      <c r="A14" s="51" t="s">
        <v>61</v>
      </c>
      <c r="B14" s="52" t="s">
        <v>62</v>
      </c>
      <c r="C14" s="37" t="s">
        <v>63</v>
      </c>
      <c r="D14" s="37">
        <v>2000</v>
      </c>
      <c r="E14" s="37" t="s">
        <v>64</v>
      </c>
      <c r="F14" s="23"/>
      <c r="G14" s="37"/>
      <c r="H14" s="38"/>
    </row>
    <row r="15" spans="1:8" ht="15" x14ac:dyDescent="0.25">
      <c r="A15" s="55"/>
      <c r="B15" s="56"/>
      <c r="C15" s="57"/>
      <c r="D15" s="57"/>
      <c r="E15" s="57"/>
      <c r="F15" s="58"/>
      <c r="G15" s="57"/>
      <c r="H15" s="59"/>
    </row>
    <row r="16" spans="1:8" ht="15" x14ac:dyDescent="0.25">
      <c r="A16" s="55"/>
      <c r="B16" s="56"/>
      <c r="C16" s="57"/>
      <c r="D16" s="57"/>
      <c r="E16" s="57"/>
      <c r="F16" s="58"/>
      <c r="G16" s="57"/>
      <c r="H16" s="59"/>
    </row>
    <row r="17" spans="1:8" ht="13.5" thickBot="1" x14ac:dyDescent="0.25">
      <c r="A17" s="12"/>
      <c r="B17" s="3"/>
      <c r="C17" s="3"/>
      <c r="D17" s="13"/>
      <c r="E17" s="14"/>
      <c r="F17" s="3"/>
      <c r="G17" s="3"/>
      <c r="H17" s="15"/>
    </row>
    <row r="18" spans="1:8" ht="13.5" thickBot="1" x14ac:dyDescent="0.25">
      <c r="A18" s="17"/>
      <c r="B18" s="18"/>
      <c r="C18" s="19" t="s">
        <v>6</v>
      </c>
      <c r="D18" s="20" t="s">
        <v>15</v>
      </c>
      <c r="E18" s="21"/>
      <c r="F18" s="18"/>
      <c r="G18" s="18"/>
      <c r="H18" s="22"/>
    </row>
    <row r="19" spans="1:8" x14ac:dyDescent="0.2">
      <c r="A19" s="276" t="s">
        <v>10</v>
      </c>
      <c r="B19" s="277"/>
      <c r="C19" s="23">
        <v>16000</v>
      </c>
      <c r="D19" s="24" t="s">
        <v>26</v>
      </c>
      <c r="E19" s="278"/>
      <c r="F19" s="278"/>
      <c r="G19" s="279"/>
      <c r="H19" s="280"/>
    </row>
    <row r="20" spans="1:8" x14ac:dyDescent="0.2">
      <c r="A20" s="297" t="s">
        <v>9</v>
      </c>
      <c r="B20" s="298"/>
      <c r="C20" s="25">
        <v>8</v>
      </c>
      <c r="D20" s="10" t="s">
        <v>28</v>
      </c>
      <c r="E20" s="299"/>
      <c r="F20" s="299"/>
      <c r="G20" s="300"/>
      <c r="H20" s="301"/>
    </row>
    <row r="21" spans="1:8" x14ac:dyDescent="0.2">
      <c r="A21" s="297" t="s">
        <v>14</v>
      </c>
      <c r="B21" s="298"/>
      <c r="C21" s="9">
        <f>C19/C22</f>
        <v>533.33333333333337</v>
      </c>
      <c r="D21" s="10" t="s">
        <v>27</v>
      </c>
      <c r="E21" s="299" t="s">
        <v>83</v>
      </c>
      <c r="F21" s="299"/>
      <c r="G21" s="300"/>
      <c r="H21" s="301"/>
    </row>
    <row r="22" spans="1:8" x14ac:dyDescent="0.2">
      <c r="A22" s="297" t="s">
        <v>13</v>
      </c>
      <c r="B22" s="298"/>
      <c r="C22" s="9">
        <v>30</v>
      </c>
      <c r="D22" s="10" t="s">
        <v>26</v>
      </c>
      <c r="E22" s="302"/>
      <c r="F22" s="303"/>
      <c r="G22" s="300"/>
      <c r="H22" s="301"/>
    </row>
    <row r="23" spans="1:8" ht="13.5" thickBot="1" x14ac:dyDescent="0.25">
      <c r="A23" s="310" t="s">
        <v>12</v>
      </c>
      <c r="B23" s="311"/>
      <c r="C23" s="27">
        <f>SUM(D10:D14)-C19</f>
        <v>800</v>
      </c>
      <c r="D23" s="28" t="s">
        <v>26</v>
      </c>
      <c r="E23" s="312"/>
      <c r="F23" s="312"/>
      <c r="G23" s="313"/>
      <c r="H23" s="314"/>
    </row>
    <row r="24" spans="1:8" ht="13.5" thickBot="1" x14ac:dyDescent="0.25">
      <c r="A24" s="318" t="s">
        <v>11</v>
      </c>
      <c r="B24" s="319"/>
      <c r="C24" s="319"/>
      <c r="D24" s="319"/>
      <c r="E24" s="319"/>
      <c r="F24" s="319"/>
      <c r="G24" s="319"/>
      <c r="H24" s="320"/>
    </row>
    <row r="25" spans="1:8" ht="15" customHeight="1" x14ac:dyDescent="0.25">
      <c r="A25" s="304" t="s">
        <v>78</v>
      </c>
      <c r="B25" s="305"/>
      <c r="C25" s="305"/>
      <c r="D25" s="305"/>
      <c r="E25" s="305"/>
      <c r="F25" s="305"/>
      <c r="G25" s="305"/>
      <c r="H25" s="306"/>
    </row>
    <row r="26" spans="1:8" ht="15" customHeight="1" x14ac:dyDescent="0.25">
      <c r="A26" s="304" t="s">
        <v>79</v>
      </c>
      <c r="B26" s="305"/>
      <c r="C26" s="305"/>
      <c r="D26" s="305"/>
      <c r="E26" s="305"/>
      <c r="F26" s="305"/>
      <c r="G26" s="305"/>
      <c r="H26" s="306"/>
    </row>
    <row r="27" spans="1:8" ht="15" x14ac:dyDescent="0.25">
      <c r="A27" s="304" t="s">
        <v>80</v>
      </c>
      <c r="B27" s="305"/>
      <c r="C27" s="305"/>
      <c r="D27" s="305"/>
      <c r="E27" s="305"/>
      <c r="F27" s="305"/>
      <c r="G27" s="305"/>
      <c r="H27" s="306"/>
    </row>
    <row r="28" spans="1:8" ht="15" x14ac:dyDescent="0.25">
      <c r="A28" s="304" t="s">
        <v>81</v>
      </c>
      <c r="B28" s="305"/>
      <c r="C28" s="305"/>
      <c r="D28" s="305"/>
      <c r="E28" s="305"/>
      <c r="F28" s="305"/>
      <c r="G28" s="305"/>
      <c r="H28" s="306"/>
    </row>
    <row r="29" spans="1:8" ht="15" x14ac:dyDescent="0.25">
      <c r="A29" s="304" t="s">
        <v>82</v>
      </c>
      <c r="B29" s="305"/>
      <c r="C29" s="305"/>
      <c r="D29" s="305"/>
      <c r="E29" s="305"/>
      <c r="F29" s="305"/>
      <c r="G29" s="305"/>
      <c r="H29" s="306"/>
    </row>
    <row r="30" spans="1:8" ht="15" x14ac:dyDescent="0.25">
      <c r="A30" s="60"/>
    </row>
    <row r="31" spans="1:8" ht="14.25" x14ac:dyDescent="0.2">
      <c r="A31" s="315"/>
      <c r="B31" s="316"/>
      <c r="C31" s="316"/>
      <c r="D31" s="316"/>
      <c r="E31" s="316"/>
      <c r="F31" s="316"/>
      <c r="G31" s="316"/>
      <c r="H31" s="317"/>
    </row>
    <row r="32" spans="1:8" ht="14.25" x14ac:dyDescent="0.2">
      <c r="A32" s="315"/>
      <c r="B32" s="316"/>
      <c r="C32" s="316"/>
      <c r="D32" s="316"/>
      <c r="E32" s="316"/>
      <c r="F32" s="316"/>
      <c r="G32" s="316"/>
      <c r="H32" s="317"/>
    </row>
    <row r="33" spans="1:8" ht="15" thickBot="1" x14ac:dyDescent="0.25">
      <c r="A33" s="307"/>
      <c r="B33" s="308"/>
      <c r="C33" s="308"/>
      <c r="D33" s="308"/>
      <c r="E33" s="308"/>
      <c r="F33" s="308"/>
      <c r="G33" s="308"/>
      <c r="H33" s="309"/>
    </row>
  </sheetData>
  <mergeCells count="40">
    <mergeCell ref="A26:H26"/>
    <mergeCell ref="A33:H33"/>
    <mergeCell ref="A27:H27"/>
    <mergeCell ref="A28:H28"/>
    <mergeCell ref="A29:H29"/>
    <mergeCell ref="A31:H31"/>
    <mergeCell ref="A32:H32"/>
    <mergeCell ref="A23:B23"/>
    <mergeCell ref="E23:F23"/>
    <mergeCell ref="G23:H23"/>
    <mergeCell ref="A24:H24"/>
    <mergeCell ref="A25:H25"/>
    <mergeCell ref="A21:B21"/>
    <mergeCell ref="E21:F21"/>
    <mergeCell ref="G21:H21"/>
    <mergeCell ref="A22:B22"/>
    <mergeCell ref="E22:F22"/>
    <mergeCell ref="G22:H22"/>
    <mergeCell ref="A19:B19"/>
    <mergeCell ref="E19:F19"/>
    <mergeCell ref="G19:H19"/>
    <mergeCell ref="A20:B20"/>
    <mergeCell ref="E20:F20"/>
    <mergeCell ref="G20:H20"/>
    <mergeCell ref="A8:A9"/>
    <mergeCell ref="B8:B9"/>
    <mergeCell ref="C8:C9"/>
    <mergeCell ref="D8:E8"/>
    <mergeCell ref="F8:G8"/>
    <mergeCell ref="H3:H5"/>
    <mergeCell ref="C4:F4"/>
    <mergeCell ref="C5:F5"/>
    <mergeCell ref="A7:B7"/>
    <mergeCell ref="C7:E7"/>
    <mergeCell ref="F7:G7"/>
    <mergeCell ref="A1:A5"/>
    <mergeCell ref="B1:F1"/>
    <mergeCell ref="B2:F2"/>
    <mergeCell ref="B3:F3"/>
    <mergeCell ref="G3:G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61560-D339-4D5B-9378-EB18594543B6}">
  <dimension ref="A1:H33"/>
  <sheetViews>
    <sheetView topLeftCell="A5" workbookViewId="0">
      <selection activeCell="B14" sqref="B14"/>
    </sheetView>
  </sheetViews>
  <sheetFormatPr baseColWidth="10" defaultRowHeight="12.75" x14ac:dyDescent="0.2"/>
  <cols>
    <col min="1" max="1" width="16" customWidth="1"/>
    <col min="2" max="2" width="42.5703125" customWidth="1"/>
  </cols>
  <sheetData>
    <row r="1" spans="1:8" ht="18" x14ac:dyDescent="0.25">
      <c r="A1" s="281"/>
      <c r="B1" s="273" t="s">
        <v>22</v>
      </c>
      <c r="C1" s="273"/>
      <c r="D1" s="273"/>
      <c r="E1" s="273"/>
      <c r="F1" s="273"/>
      <c r="G1" s="1" t="s">
        <v>21</v>
      </c>
      <c r="H1" s="2"/>
    </row>
    <row r="2" spans="1:8" ht="18" x14ac:dyDescent="0.25">
      <c r="A2" s="282"/>
      <c r="B2" s="274" t="s">
        <v>0</v>
      </c>
      <c r="C2" s="274"/>
      <c r="D2" s="274"/>
      <c r="E2" s="274"/>
      <c r="F2" s="274"/>
      <c r="G2" s="4" t="s">
        <v>20</v>
      </c>
      <c r="H2" s="5"/>
    </row>
    <row r="3" spans="1:8" ht="15" customHeight="1" x14ac:dyDescent="0.2">
      <c r="A3" s="282"/>
      <c r="B3" s="275" t="s">
        <v>160</v>
      </c>
      <c r="C3" s="275"/>
      <c r="D3" s="275"/>
      <c r="E3" s="275"/>
      <c r="F3" s="275"/>
      <c r="G3" s="292" t="s">
        <v>19</v>
      </c>
      <c r="H3" s="294"/>
    </row>
    <row r="4" spans="1:8" x14ac:dyDescent="0.2">
      <c r="A4" s="282"/>
      <c r="B4" s="35" t="s">
        <v>18</v>
      </c>
      <c r="C4" s="288" t="s">
        <v>25</v>
      </c>
      <c r="D4" s="288"/>
      <c r="E4" s="288"/>
      <c r="F4" s="288"/>
      <c r="G4" s="292"/>
      <c r="H4" s="294"/>
    </row>
    <row r="5" spans="1:8" ht="13.5" thickBot="1" x14ac:dyDescent="0.25">
      <c r="A5" s="283"/>
      <c r="B5" s="36" t="s">
        <v>17</v>
      </c>
      <c r="C5" s="296" t="s">
        <v>34</v>
      </c>
      <c r="D5" s="296"/>
      <c r="E5" s="296"/>
      <c r="F5" s="296"/>
      <c r="G5" s="293"/>
      <c r="H5" s="295"/>
    </row>
    <row r="6" spans="1:8" x14ac:dyDescent="0.2">
      <c r="A6" s="30"/>
      <c r="B6" s="31"/>
      <c r="C6" s="32"/>
      <c r="D6" s="32"/>
      <c r="E6" s="32"/>
      <c r="F6" s="32"/>
      <c r="G6" s="33"/>
      <c r="H6" s="34"/>
    </row>
    <row r="7" spans="1:8" ht="18.75" thickBot="1" x14ac:dyDescent="0.3">
      <c r="A7" s="289" t="s">
        <v>23</v>
      </c>
      <c r="B7" s="289"/>
      <c r="C7" s="290" t="s">
        <v>57</v>
      </c>
      <c r="D7" s="290"/>
      <c r="E7" s="290"/>
      <c r="F7" s="291" t="s">
        <v>24</v>
      </c>
      <c r="G7" s="291"/>
      <c r="H7" s="40" t="s">
        <v>57</v>
      </c>
    </row>
    <row r="8" spans="1:8" ht="25.5" x14ac:dyDescent="0.2">
      <c r="A8" s="284" t="s">
        <v>1</v>
      </c>
      <c r="B8" s="286" t="s">
        <v>2</v>
      </c>
      <c r="C8" s="286" t="s">
        <v>3</v>
      </c>
      <c r="D8" s="286" t="s">
        <v>4</v>
      </c>
      <c r="E8" s="286"/>
      <c r="F8" s="286" t="s">
        <v>16</v>
      </c>
      <c r="G8" s="286"/>
      <c r="H8" s="6" t="s">
        <v>5</v>
      </c>
    </row>
    <row r="9" spans="1:8" ht="26.25" thickBot="1" x14ac:dyDescent="0.25">
      <c r="A9" s="321"/>
      <c r="B9" s="322"/>
      <c r="C9" s="322"/>
      <c r="D9" s="7" t="s">
        <v>6</v>
      </c>
      <c r="E9" s="8" t="s">
        <v>7</v>
      </c>
      <c r="F9" s="7" t="s">
        <v>6</v>
      </c>
      <c r="G9" s="8" t="s">
        <v>7</v>
      </c>
      <c r="H9" s="39" t="s">
        <v>8</v>
      </c>
    </row>
    <row r="10" spans="1:8" x14ac:dyDescent="0.2">
      <c r="A10" s="42" t="s">
        <v>31</v>
      </c>
      <c r="B10" s="50" t="s">
        <v>161</v>
      </c>
      <c r="C10" s="37" t="s">
        <v>32</v>
      </c>
      <c r="D10" s="37">
        <v>6680</v>
      </c>
      <c r="E10" s="37" t="s">
        <v>26</v>
      </c>
      <c r="F10" s="23"/>
      <c r="G10" s="37"/>
      <c r="H10" s="38"/>
    </row>
    <row r="11" spans="1:8" ht="15" x14ac:dyDescent="0.25">
      <c r="A11" s="51" t="s">
        <v>71</v>
      </c>
      <c r="B11" s="52" t="s">
        <v>72</v>
      </c>
      <c r="C11" s="37" t="s">
        <v>73</v>
      </c>
      <c r="D11" s="37">
        <v>1000</v>
      </c>
      <c r="E11" s="37" t="s">
        <v>26</v>
      </c>
      <c r="F11" s="23"/>
      <c r="G11" s="37"/>
      <c r="H11" s="38"/>
    </row>
    <row r="12" spans="1:8" ht="15" x14ac:dyDescent="0.25">
      <c r="A12" s="51" t="s">
        <v>181</v>
      </c>
      <c r="B12" s="52" t="s">
        <v>182</v>
      </c>
      <c r="C12" s="37" t="s">
        <v>58</v>
      </c>
      <c r="D12" s="37">
        <v>800</v>
      </c>
      <c r="E12" s="37" t="s">
        <v>26</v>
      </c>
      <c r="F12" s="23"/>
      <c r="G12" s="37"/>
      <c r="H12" s="38"/>
    </row>
    <row r="13" spans="1:8" ht="13.5" x14ac:dyDescent="0.25">
      <c r="A13" s="53" t="s">
        <v>74</v>
      </c>
      <c r="B13" s="54" t="s">
        <v>75</v>
      </c>
      <c r="C13" s="48" t="s">
        <v>32</v>
      </c>
      <c r="D13" s="37">
        <v>6500</v>
      </c>
      <c r="E13" s="37" t="s">
        <v>26</v>
      </c>
      <c r="F13" s="23"/>
      <c r="G13" s="37"/>
      <c r="H13" s="38"/>
    </row>
    <row r="14" spans="1:8" ht="15" x14ac:dyDescent="0.25">
      <c r="A14" s="51" t="s">
        <v>61</v>
      </c>
      <c r="B14" s="52" t="s">
        <v>62</v>
      </c>
      <c r="C14" s="37" t="s">
        <v>63</v>
      </c>
      <c r="D14" s="37">
        <v>2000</v>
      </c>
      <c r="E14" s="37" t="s">
        <v>64</v>
      </c>
      <c r="F14" s="23"/>
      <c r="G14" s="37"/>
      <c r="H14" s="38"/>
    </row>
    <row r="15" spans="1:8" ht="15" x14ac:dyDescent="0.25">
      <c r="A15" s="55"/>
      <c r="B15" s="56"/>
      <c r="C15" s="57"/>
      <c r="D15" s="57"/>
      <c r="E15" s="57"/>
      <c r="F15" s="58"/>
      <c r="G15" s="57"/>
      <c r="H15" s="59"/>
    </row>
    <row r="16" spans="1:8" ht="15" x14ac:dyDescent="0.25">
      <c r="A16" s="55"/>
      <c r="B16" s="56"/>
      <c r="C16" s="57"/>
      <c r="D16" s="57"/>
      <c r="E16" s="57"/>
      <c r="F16" s="58"/>
      <c r="G16" s="57"/>
      <c r="H16" s="59"/>
    </row>
    <row r="17" spans="1:8" ht="13.5" thickBot="1" x14ac:dyDescent="0.25">
      <c r="A17" s="12"/>
      <c r="B17" s="3"/>
      <c r="C17" s="3"/>
      <c r="D17" s="13"/>
      <c r="E17" s="14"/>
      <c r="F17" s="3"/>
      <c r="G17" s="3"/>
      <c r="H17" s="15"/>
    </row>
    <row r="18" spans="1:8" ht="13.5" thickBot="1" x14ac:dyDescent="0.25">
      <c r="A18" s="17"/>
      <c r="B18" s="18"/>
      <c r="C18" s="19" t="s">
        <v>6</v>
      </c>
      <c r="D18" s="20" t="s">
        <v>15</v>
      </c>
      <c r="E18" s="21"/>
      <c r="F18" s="18"/>
      <c r="G18" s="18"/>
      <c r="H18" s="22"/>
    </row>
    <row r="19" spans="1:8" x14ac:dyDescent="0.2">
      <c r="A19" s="276" t="s">
        <v>10</v>
      </c>
      <c r="B19" s="277"/>
      <c r="C19" s="23">
        <v>16000</v>
      </c>
      <c r="D19" s="24" t="s">
        <v>26</v>
      </c>
      <c r="E19" s="278"/>
      <c r="F19" s="278"/>
      <c r="G19" s="279"/>
      <c r="H19" s="280"/>
    </row>
    <row r="20" spans="1:8" x14ac:dyDescent="0.2">
      <c r="A20" s="297" t="s">
        <v>9</v>
      </c>
      <c r="B20" s="298"/>
      <c r="C20" s="25">
        <v>8</v>
      </c>
      <c r="D20" s="10" t="s">
        <v>28</v>
      </c>
      <c r="E20" s="299"/>
      <c r="F20" s="299"/>
      <c r="G20" s="300"/>
      <c r="H20" s="301"/>
    </row>
    <row r="21" spans="1:8" x14ac:dyDescent="0.2">
      <c r="A21" s="297" t="s">
        <v>14</v>
      </c>
      <c r="B21" s="298"/>
      <c r="C21" s="9">
        <f>C19/C22</f>
        <v>21.333333333333332</v>
      </c>
      <c r="D21" s="10" t="s">
        <v>27</v>
      </c>
      <c r="E21" s="299"/>
      <c r="F21" s="299"/>
      <c r="G21" s="300"/>
      <c r="H21" s="301"/>
    </row>
    <row r="22" spans="1:8" x14ac:dyDescent="0.2">
      <c r="A22" s="297" t="s">
        <v>13</v>
      </c>
      <c r="B22" s="298"/>
      <c r="C22" s="9">
        <v>750</v>
      </c>
      <c r="D22" s="10" t="s">
        <v>26</v>
      </c>
      <c r="E22" s="302"/>
      <c r="F22" s="303"/>
      <c r="G22" s="300"/>
      <c r="H22" s="301"/>
    </row>
    <row r="23" spans="1:8" ht="13.5" thickBot="1" x14ac:dyDescent="0.25">
      <c r="A23" s="310" t="s">
        <v>12</v>
      </c>
      <c r="B23" s="311"/>
      <c r="C23" s="27">
        <f>SUM(D10:D14)-C19</f>
        <v>980</v>
      </c>
      <c r="D23" s="28" t="s">
        <v>26</v>
      </c>
      <c r="E23" s="312"/>
      <c r="F23" s="312"/>
      <c r="G23" s="313"/>
      <c r="H23" s="314"/>
    </row>
    <row r="24" spans="1:8" ht="13.5" thickBot="1" x14ac:dyDescent="0.25">
      <c r="A24" s="318" t="s">
        <v>11</v>
      </c>
      <c r="B24" s="319"/>
      <c r="C24" s="319"/>
      <c r="D24" s="319"/>
      <c r="E24" s="319"/>
      <c r="F24" s="319"/>
      <c r="G24" s="319"/>
      <c r="H24" s="320"/>
    </row>
    <row r="25" spans="1:8" ht="15" customHeight="1" x14ac:dyDescent="0.25">
      <c r="A25" s="304" t="s">
        <v>78</v>
      </c>
      <c r="B25" s="305"/>
      <c r="C25" s="305"/>
      <c r="D25" s="305"/>
      <c r="E25" s="305"/>
      <c r="F25" s="305"/>
      <c r="G25" s="305"/>
      <c r="H25" s="306"/>
    </row>
    <row r="26" spans="1:8" ht="15" customHeight="1" x14ac:dyDescent="0.25">
      <c r="A26" s="304" t="s">
        <v>79</v>
      </c>
      <c r="B26" s="305"/>
      <c r="C26" s="305"/>
      <c r="D26" s="305"/>
      <c r="E26" s="305"/>
      <c r="F26" s="305"/>
      <c r="G26" s="305"/>
      <c r="H26" s="306"/>
    </row>
    <row r="27" spans="1:8" ht="15" x14ac:dyDescent="0.25">
      <c r="A27" s="304" t="s">
        <v>80</v>
      </c>
      <c r="B27" s="305"/>
      <c r="C27" s="305"/>
      <c r="D27" s="305"/>
      <c r="E27" s="305"/>
      <c r="F27" s="305"/>
      <c r="G27" s="305"/>
      <c r="H27" s="306"/>
    </row>
    <row r="28" spans="1:8" ht="15" x14ac:dyDescent="0.25">
      <c r="A28" s="304" t="s">
        <v>81</v>
      </c>
      <c r="B28" s="305"/>
      <c r="C28" s="305"/>
      <c r="D28" s="305"/>
      <c r="E28" s="305"/>
      <c r="F28" s="305"/>
      <c r="G28" s="305"/>
      <c r="H28" s="306"/>
    </row>
    <row r="29" spans="1:8" ht="15" x14ac:dyDescent="0.25">
      <c r="A29" s="304" t="s">
        <v>82</v>
      </c>
      <c r="B29" s="305"/>
      <c r="C29" s="305"/>
      <c r="D29" s="305"/>
      <c r="E29" s="305"/>
      <c r="F29" s="305"/>
      <c r="G29" s="305"/>
      <c r="H29" s="306"/>
    </row>
    <row r="30" spans="1:8" ht="15" x14ac:dyDescent="0.25">
      <c r="A30" s="60"/>
    </row>
    <row r="31" spans="1:8" ht="14.25" x14ac:dyDescent="0.2">
      <c r="A31" s="315"/>
      <c r="B31" s="316"/>
      <c r="C31" s="316"/>
      <c r="D31" s="316"/>
      <c r="E31" s="316"/>
      <c r="F31" s="316"/>
      <c r="G31" s="316"/>
      <c r="H31" s="317"/>
    </row>
    <row r="32" spans="1:8" ht="14.25" x14ac:dyDescent="0.2">
      <c r="A32" s="315"/>
      <c r="B32" s="316"/>
      <c r="C32" s="316"/>
      <c r="D32" s="316"/>
      <c r="E32" s="316"/>
      <c r="F32" s="316"/>
      <c r="G32" s="316"/>
      <c r="H32" s="317"/>
    </row>
    <row r="33" spans="1:8" ht="15" thickBot="1" x14ac:dyDescent="0.25">
      <c r="A33" s="307"/>
      <c r="B33" s="308"/>
      <c r="C33" s="308"/>
      <c r="D33" s="308"/>
      <c r="E33" s="308"/>
      <c r="F33" s="308"/>
      <c r="G33" s="308"/>
      <c r="H33" s="309"/>
    </row>
  </sheetData>
  <mergeCells count="40">
    <mergeCell ref="A32:H32"/>
    <mergeCell ref="A33:H33"/>
    <mergeCell ref="A26:H26"/>
    <mergeCell ref="A27:H27"/>
    <mergeCell ref="A28:H28"/>
    <mergeCell ref="A29:H29"/>
    <mergeCell ref="A31:H31"/>
    <mergeCell ref="A23:B23"/>
    <mergeCell ref="E23:F23"/>
    <mergeCell ref="G23:H23"/>
    <mergeCell ref="A24:H24"/>
    <mergeCell ref="A25:H25"/>
    <mergeCell ref="A21:B21"/>
    <mergeCell ref="E21:F21"/>
    <mergeCell ref="G21:H21"/>
    <mergeCell ref="A22:B22"/>
    <mergeCell ref="E22:F22"/>
    <mergeCell ref="G22:H22"/>
    <mergeCell ref="A19:B19"/>
    <mergeCell ref="E19:F19"/>
    <mergeCell ref="G19:H19"/>
    <mergeCell ref="A20:B20"/>
    <mergeCell ref="E20:F20"/>
    <mergeCell ref="G20:H20"/>
    <mergeCell ref="A8:A9"/>
    <mergeCell ref="B8:B9"/>
    <mergeCell ref="C8:C9"/>
    <mergeCell ref="D8:E8"/>
    <mergeCell ref="F8:G8"/>
    <mergeCell ref="H3:H5"/>
    <mergeCell ref="C4:F4"/>
    <mergeCell ref="C5:F5"/>
    <mergeCell ref="A7:B7"/>
    <mergeCell ref="C7:E7"/>
    <mergeCell ref="F7:G7"/>
    <mergeCell ref="A1:A5"/>
    <mergeCell ref="B1:F1"/>
    <mergeCell ref="B2:F2"/>
    <mergeCell ref="B3:F3"/>
    <mergeCell ref="G3:G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FA790-9B1F-4ACB-B08E-F52E1DC912A3}">
  <dimension ref="A1:Q91"/>
  <sheetViews>
    <sheetView topLeftCell="A3" workbookViewId="0">
      <selection activeCell="E18" sqref="E18"/>
    </sheetView>
  </sheetViews>
  <sheetFormatPr baseColWidth="10" defaultColWidth="8.42578125" defaultRowHeight="12.75" x14ac:dyDescent="0.2"/>
  <cols>
    <col min="1" max="1" width="10" style="104" bestFit="1" customWidth="1"/>
    <col min="2" max="2" width="44.28515625" style="104" bestFit="1" customWidth="1"/>
    <col min="3" max="3" width="10.42578125" style="104" bestFit="1" customWidth="1"/>
    <col min="4" max="4" width="10.42578125" style="104" customWidth="1"/>
    <col min="5" max="5" width="9.7109375" style="104" bestFit="1" customWidth="1"/>
    <col min="6" max="6" width="9.5703125" style="104" bestFit="1" customWidth="1"/>
    <col min="7" max="7" width="9.5703125" style="189" bestFit="1" customWidth="1"/>
    <col min="8" max="8" width="10.42578125" style="181" bestFit="1" customWidth="1"/>
    <col min="9" max="9" width="4.5703125" style="181" customWidth="1"/>
    <col min="10" max="10" width="1.7109375" style="115" customWidth="1"/>
    <col min="11" max="11" width="7" style="104" bestFit="1" customWidth="1"/>
    <col min="12" max="12" width="6.28515625" style="104" customWidth="1"/>
    <col min="13" max="13" width="20.42578125" style="104" customWidth="1"/>
    <col min="14" max="14" width="6.42578125" style="104" bestFit="1" customWidth="1"/>
    <col min="15" max="16" width="8.42578125" style="104"/>
    <col min="17" max="17" width="3.28515625" style="104" customWidth="1"/>
    <col min="18" max="16384" width="8.42578125" style="104"/>
  </cols>
  <sheetData>
    <row r="1" spans="1:10" ht="27.75" customHeight="1" x14ac:dyDescent="0.2">
      <c r="A1" s="112"/>
      <c r="B1" s="112"/>
      <c r="C1" s="112"/>
      <c r="D1" s="112"/>
      <c r="E1" s="113" t="s">
        <v>148</v>
      </c>
      <c r="F1" s="114" t="s">
        <v>104</v>
      </c>
      <c r="G1" s="114" t="s">
        <v>105</v>
      </c>
      <c r="H1" s="114" t="s">
        <v>106</v>
      </c>
      <c r="I1" s="103"/>
    </row>
    <row r="2" spans="1:10" ht="30.75" customHeight="1" x14ac:dyDescent="0.2">
      <c r="A2" s="112"/>
      <c r="B2" s="112"/>
      <c r="C2" s="112"/>
      <c r="D2" s="112"/>
      <c r="E2" s="116">
        <f>IFERROR(O62,"")</f>
        <v>18471.369487619049</v>
      </c>
      <c r="F2" s="116">
        <f>IFERROR(H53,"")</f>
        <v>13661.91</v>
      </c>
      <c r="G2" s="116">
        <f>IFERROR(H54,"")</f>
        <v>122.69409523809524</v>
      </c>
      <c r="H2" s="116">
        <f>IFERROR(H56,"")</f>
        <v>928</v>
      </c>
      <c r="I2" s="117"/>
    </row>
    <row r="3" spans="1:10" ht="15" customHeight="1" x14ac:dyDescent="0.2">
      <c r="A3" s="112"/>
      <c r="B3" s="112"/>
      <c r="C3" s="112"/>
      <c r="D3" s="112"/>
      <c r="E3" s="112"/>
      <c r="F3" s="118"/>
      <c r="G3" s="118"/>
      <c r="H3" s="118"/>
      <c r="I3" s="118"/>
    </row>
    <row r="4" spans="1:10" ht="24.75" customHeight="1" thickBot="1" x14ac:dyDescent="0.25">
      <c r="A4" s="348"/>
      <c r="B4" s="348"/>
      <c r="C4" s="348"/>
      <c r="D4" s="348"/>
      <c r="E4" s="348"/>
      <c r="F4" s="348"/>
      <c r="G4" s="348"/>
      <c r="H4" s="348"/>
      <c r="I4" s="119"/>
    </row>
    <row r="5" spans="1:10" ht="19.5" customHeight="1" thickBot="1" x14ac:dyDescent="0.25">
      <c r="A5" s="351" t="s">
        <v>107</v>
      </c>
      <c r="B5" s="352"/>
      <c r="C5" s="352"/>
      <c r="D5" s="352"/>
      <c r="E5" s="352"/>
      <c r="F5" s="352"/>
      <c r="G5" s="352"/>
      <c r="H5" s="353"/>
      <c r="I5" s="105"/>
    </row>
    <row r="6" spans="1:10" ht="19.5" thickBot="1" x14ac:dyDescent="0.25">
      <c r="A6" s="105"/>
      <c r="B6" s="105"/>
      <c r="C6" s="105"/>
      <c r="D6" s="105"/>
      <c r="E6" s="105"/>
      <c r="F6" s="349" t="s">
        <v>108</v>
      </c>
      <c r="G6" s="349"/>
      <c r="H6" s="120">
        <f ca="1">TODAY()</f>
        <v>45749</v>
      </c>
      <c r="I6" s="120"/>
    </row>
    <row r="7" spans="1:10" ht="26.25" thickBot="1" x14ac:dyDescent="0.25">
      <c r="A7" s="121" t="s">
        <v>109</v>
      </c>
      <c r="B7" s="122" t="s">
        <v>110</v>
      </c>
      <c r="C7" s="122" t="s">
        <v>109</v>
      </c>
      <c r="D7" s="123" t="s">
        <v>149</v>
      </c>
      <c r="E7" s="123" t="s">
        <v>111</v>
      </c>
      <c r="F7" s="123" t="s">
        <v>112</v>
      </c>
      <c r="G7" s="123" t="s">
        <v>113</v>
      </c>
      <c r="H7" s="124" t="s">
        <v>114</v>
      </c>
      <c r="I7" s="106"/>
    </row>
    <row r="8" spans="1:10" ht="13.5" x14ac:dyDescent="0.25">
      <c r="A8" s="125">
        <v>1000</v>
      </c>
      <c r="B8" s="104" t="str">
        <f>IFERROR(VLOOKUP(H8,'[1]Consolidado MP Planta'!$A$2:$M$823,3,0),"")</f>
        <v xml:space="preserve">CLARA DE HUEVO (CAJA:5 K) </v>
      </c>
      <c r="C8" s="126">
        <f>+A8</f>
        <v>1000</v>
      </c>
      <c r="D8" s="127" t="str">
        <f>IFERROR(VLOOKUP(H8,'[1]Consolidado MP Planta'!$A$2:$M$823,13,0),"")</f>
        <v>Gramos</v>
      </c>
      <c r="E8" s="127">
        <v>2.78</v>
      </c>
      <c r="F8" s="127">
        <f>IFERROR(C8*E8,"")</f>
        <v>2780</v>
      </c>
      <c r="G8" s="128">
        <f t="shared" ref="G8:G14" si="0">IFERROR(F8/$F$66,"")</f>
        <v>0.19143576575759944</v>
      </c>
      <c r="H8" s="129" t="s">
        <v>71</v>
      </c>
      <c r="I8" s="129"/>
      <c r="J8" s="130"/>
    </row>
    <row r="9" spans="1:10" ht="13.5" x14ac:dyDescent="0.25">
      <c r="A9" s="125">
        <v>800</v>
      </c>
      <c r="B9" s="104" t="str">
        <f>IFERROR(VLOOKUP(H9,'[1]Consolidado MP Planta'!$A$2:$M$823,3,0),"")</f>
        <v>HUEVO ENTERO PASTERI INNOVO (CAJA:10 K)</v>
      </c>
      <c r="C9" s="126">
        <f t="shared" ref="C9:C14" si="1">+A9</f>
        <v>800</v>
      </c>
      <c r="D9" s="127" t="str">
        <f>IFERROR(VLOOKUP(H9,'[1]Consolidado MP Planta'!$A$2:$M$823,13,0),"")</f>
        <v>Gramos</v>
      </c>
      <c r="E9" s="127">
        <v>2.78</v>
      </c>
      <c r="F9" s="127">
        <f t="shared" ref="F9:F14" si="2">IFERROR(C9*E9,"")</f>
        <v>2224</v>
      </c>
      <c r="G9" s="128">
        <f t="shared" si="0"/>
        <v>0.15314861260607954</v>
      </c>
      <c r="H9" s="129" t="s">
        <v>181</v>
      </c>
      <c r="I9" s="129"/>
      <c r="J9" s="130"/>
    </row>
    <row r="10" spans="1:10" ht="13.5" hidden="1" x14ac:dyDescent="0.25">
      <c r="A10" s="125">
        <v>0</v>
      </c>
      <c r="B10" s="104" t="str">
        <f>IFERROR(VLOOKUP(H10,'[1]Consolidado MP Planta'!$A$2:$M$823,3,0),"")</f>
        <v>NUEZ PECANA QUEBRADURA (CAJA:10 Kg)</v>
      </c>
      <c r="C10" s="126">
        <f t="shared" si="1"/>
        <v>0</v>
      </c>
      <c r="D10" s="127" t="str">
        <f>IFERROR(VLOOKUP(H10,'[1]Consolidado MP Planta'!$A$2:$M$823,13,0),"")</f>
        <v>Gramos</v>
      </c>
      <c r="E10" s="127">
        <v>10.09</v>
      </c>
      <c r="F10" s="127">
        <f t="shared" si="2"/>
        <v>0</v>
      </c>
      <c r="G10" s="128">
        <f t="shared" si="0"/>
        <v>0</v>
      </c>
      <c r="H10" s="129" t="s">
        <v>61</v>
      </c>
      <c r="I10" s="129"/>
      <c r="J10" s="130"/>
    </row>
    <row r="11" spans="1:10" ht="13.5" hidden="1" x14ac:dyDescent="0.25">
      <c r="A11" s="125"/>
      <c r="B11" s="104" t="str">
        <f>IFERROR(VLOOKUP(H11,'[1]Consolidado MP Planta'!$A$2:$M$823,3,0),"")</f>
        <v/>
      </c>
      <c r="C11" s="126">
        <f t="shared" si="1"/>
        <v>0</v>
      </c>
      <c r="D11" s="127" t="str">
        <f>IFERROR(VLOOKUP(H11,'[1]Consolidado MP Planta'!$A$2:$M$823,13,0),"")</f>
        <v/>
      </c>
      <c r="E11" s="127" t="str">
        <f>IFERROR(VLOOKUP(H11,'[1]Consolidado MP Planta'!$A$2:$M$823,12,0),"")</f>
        <v/>
      </c>
      <c r="F11" s="127" t="str">
        <f t="shared" si="2"/>
        <v/>
      </c>
      <c r="G11" s="128" t="str">
        <f t="shared" si="0"/>
        <v/>
      </c>
      <c r="H11" s="129"/>
      <c r="I11" s="129"/>
      <c r="J11" s="130"/>
    </row>
    <row r="12" spans="1:10" ht="13.5" hidden="1" x14ac:dyDescent="0.25">
      <c r="A12" s="125"/>
      <c r="B12" s="104" t="str">
        <f>IFERROR(VLOOKUP(H12,'[1]Consolidado MP Planta'!$A$2:$M$823,3,0),"")</f>
        <v/>
      </c>
      <c r="C12" s="126">
        <f t="shared" si="1"/>
        <v>0</v>
      </c>
      <c r="D12" s="127" t="str">
        <f>IFERROR(VLOOKUP(H12,'[1]Consolidado MP Planta'!$A$2:$M$823,13,0),"")</f>
        <v/>
      </c>
      <c r="E12" s="127" t="str">
        <f>IFERROR(VLOOKUP(H12,'[1]Consolidado MP Planta'!$A$2:$M$823,12,0),"")</f>
        <v/>
      </c>
      <c r="F12" s="127" t="str">
        <f t="shared" si="2"/>
        <v/>
      </c>
      <c r="G12" s="128" t="str">
        <f t="shared" si="0"/>
        <v/>
      </c>
      <c r="H12" s="129"/>
      <c r="I12" s="129"/>
      <c r="J12" s="130"/>
    </row>
    <row r="13" spans="1:10" ht="13.5" hidden="1" x14ac:dyDescent="0.25">
      <c r="A13" s="125"/>
      <c r="B13" s="104" t="str">
        <f>IFERROR(VLOOKUP(H13,'[1]Consolidado MP Planta'!$A$2:$M$823,3,0),"")</f>
        <v/>
      </c>
      <c r="C13" s="126">
        <f t="shared" si="1"/>
        <v>0</v>
      </c>
      <c r="D13" s="127" t="str">
        <f>IFERROR(VLOOKUP(H13,'[1]Consolidado MP Planta'!$A$2:$M$823,13,0),"")</f>
        <v/>
      </c>
      <c r="E13" s="127" t="str">
        <f>IFERROR(VLOOKUP(H13,'[1]Consolidado MP Planta'!$A$2:$M$823,12,0),"")</f>
        <v/>
      </c>
      <c r="F13" s="127" t="str">
        <f t="shared" si="2"/>
        <v/>
      </c>
      <c r="G13" s="128" t="str">
        <f t="shared" si="0"/>
        <v/>
      </c>
      <c r="H13" s="129"/>
      <c r="I13" s="129"/>
      <c r="J13" s="130"/>
    </row>
    <row r="14" spans="1:10" ht="13.5" hidden="1" x14ac:dyDescent="0.25">
      <c r="A14" s="125"/>
      <c r="B14" s="104" t="str">
        <f>IFERROR(VLOOKUP(H14,'[1]Consolidado MP Planta'!$A$2:$M$823,3,0),"")</f>
        <v/>
      </c>
      <c r="C14" s="126">
        <f t="shared" si="1"/>
        <v>0</v>
      </c>
      <c r="D14" s="127" t="str">
        <f>IFERROR(VLOOKUP(H14,'[1]Consolidado MP Planta'!$A$2:$M$823,13,0),"")</f>
        <v/>
      </c>
      <c r="E14" s="127" t="str">
        <f>IFERROR(VLOOKUP(H14,'[1]Consolidado MP Planta'!$A$2:$M$823,12,0),"")</f>
        <v/>
      </c>
      <c r="F14" s="127" t="str">
        <f t="shared" si="2"/>
        <v/>
      </c>
      <c r="G14" s="128" t="str">
        <f t="shared" si="0"/>
        <v/>
      </c>
      <c r="H14" s="129"/>
      <c r="I14" s="129"/>
      <c r="J14" s="130"/>
    </row>
    <row r="15" spans="1:10" ht="14.25" thickBot="1" x14ac:dyDescent="0.3">
      <c r="A15" s="125"/>
      <c r="B15" s="104" t="str">
        <f>IFERROR(VLOOKUP(H15,'[2]ARTICULOS MP PLANTA'!$A$2:$G$589,2,0),"")</f>
        <v/>
      </c>
      <c r="C15" s="126"/>
      <c r="D15" s="127"/>
      <c r="E15" s="127"/>
      <c r="F15" s="127"/>
      <c r="G15" s="128"/>
      <c r="H15" s="129"/>
      <c r="I15" s="129"/>
      <c r="J15" s="130"/>
    </row>
    <row r="16" spans="1:10" ht="26.25" thickBot="1" x14ac:dyDescent="0.25">
      <c r="A16" s="121" t="s">
        <v>109</v>
      </c>
      <c r="B16" s="122" t="s">
        <v>115</v>
      </c>
      <c r="C16" s="122" t="s">
        <v>109</v>
      </c>
      <c r="D16" s="123" t="s">
        <v>149</v>
      </c>
      <c r="E16" s="123" t="s">
        <v>111</v>
      </c>
      <c r="F16" s="123" t="s">
        <v>112</v>
      </c>
      <c r="G16" s="123" t="s">
        <v>113</v>
      </c>
      <c r="H16" s="124" t="s">
        <v>114</v>
      </c>
      <c r="I16" s="106"/>
      <c r="J16" s="130"/>
    </row>
    <row r="17" spans="1:12" ht="13.5" x14ac:dyDescent="0.25">
      <c r="A17" s="125">
        <v>6680</v>
      </c>
      <c r="B17" s="104" t="s">
        <v>66</v>
      </c>
      <c r="C17" s="126">
        <f>+A17</f>
        <v>6680</v>
      </c>
      <c r="D17" s="126" t="s">
        <v>152</v>
      </c>
      <c r="E17" s="127">
        <f>+'Costo Premezcla '!E69</f>
        <v>0.92184281437125748</v>
      </c>
      <c r="F17" s="127">
        <f>IFERROR(E17*C17,"")</f>
        <v>6157.91</v>
      </c>
      <c r="G17" s="128">
        <f t="shared" ref="G17:G24" si="3">IFERROR(F17/$F$66,"")</f>
        <v>0.42404468212819391</v>
      </c>
      <c r="H17" s="129" t="s">
        <v>31</v>
      </c>
      <c r="I17" s="129"/>
      <c r="J17" s="130"/>
    </row>
    <row r="18" spans="1:12" ht="13.5" x14ac:dyDescent="0.25">
      <c r="A18" s="125">
        <v>6500</v>
      </c>
      <c r="B18" s="104" t="s">
        <v>75</v>
      </c>
      <c r="C18" s="126">
        <f t="shared" ref="C18:C24" si="4">+A18</f>
        <v>6500</v>
      </c>
      <c r="D18" s="126" t="s">
        <v>152</v>
      </c>
      <c r="E18" s="127">
        <f>+'Costo Banano batido'!E69</f>
        <v>0.38461538461538464</v>
      </c>
      <c r="F18" s="127">
        <f t="shared" ref="F18:F24" si="5">IFERROR(E18*C18,"")</f>
        <v>2500</v>
      </c>
      <c r="G18" s="128">
        <f t="shared" si="3"/>
        <v>0.17215446560935199</v>
      </c>
      <c r="H18" s="129" t="s">
        <v>31</v>
      </c>
      <c r="I18" s="129"/>
      <c r="J18" s="130"/>
    </row>
    <row r="19" spans="1:12" ht="13.5" hidden="1" x14ac:dyDescent="0.25">
      <c r="A19" s="125"/>
      <c r="B19" s="104" t="str">
        <f>IFERROR(VLOOKUP(H19,[1]SEMIELABORADOS!$A$2:$M$6000,2,0),"")</f>
        <v/>
      </c>
      <c r="C19" s="126">
        <f>+A19</f>
        <v>0</v>
      </c>
      <c r="D19" s="126" t="str">
        <f>IFERROR(VLOOKUP(H19,[1]SEMIELABORADOS!$A$2:$M$6000,6,0),"")</f>
        <v/>
      </c>
      <c r="E19" s="127" t="str">
        <f>IFERROR(VLOOKUP(H19,[1]SEMIELABORADOS!$A$2:$H$65536,8,0),"")</f>
        <v/>
      </c>
      <c r="F19" s="127" t="str">
        <f>IFERROR(E19*C19,"")</f>
        <v/>
      </c>
      <c r="G19" s="128" t="str">
        <f t="shared" si="3"/>
        <v/>
      </c>
      <c r="H19" s="129"/>
      <c r="I19" s="129"/>
      <c r="J19" s="130"/>
    </row>
    <row r="20" spans="1:12" ht="13.5" hidden="1" x14ac:dyDescent="0.25">
      <c r="A20" s="125"/>
      <c r="B20" s="104" t="str">
        <f>IFERROR(VLOOKUP(H20,[1]SEMIELABORADOS!$A$2:$M$6000,2,0),"")</f>
        <v/>
      </c>
      <c r="C20" s="126">
        <f>+A20</f>
        <v>0</v>
      </c>
      <c r="D20" s="126" t="str">
        <f>IFERROR(VLOOKUP(H20,[1]SEMIELABORADOS!$A$2:$M$6000,6,0),"")</f>
        <v/>
      </c>
      <c r="E20" s="127" t="str">
        <f>IFERROR(VLOOKUP(H20,[1]SEMIELABORADOS!$A$2:$H$65536,8,0),"")</f>
        <v/>
      </c>
      <c r="F20" s="127" t="str">
        <f>IFERROR(E20*C20,"")</f>
        <v/>
      </c>
      <c r="G20" s="128" t="str">
        <f t="shared" si="3"/>
        <v/>
      </c>
      <c r="H20" s="129"/>
      <c r="I20" s="129"/>
      <c r="J20" s="130"/>
    </row>
    <row r="21" spans="1:12" ht="13.5" hidden="1" x14ac:dyDescent="0.25">
      <c r="A21" s="125"/>
      <c r="B21" s="104" t="str">
        <f>IFERROR(VLOOKUP(H21,[1]SEMIELABORADOS!$A$2:$M$6000,2,0),"")</f>
        <v/>
      </c>
      <c r="C21" s="126">
        <f>+A21</f>
        <v>0</v>
      </c>
      <c r="D21" s="126" t="str">
        <f>IFERROR(VLOOKUP(H21,[1]SEMIELABORADOS!$A$2:$M$6000,6,0),"")</f>
        <v/>
      </c>
      <c r="E21" s="127" t="str">
        <f>IFERROR(VLOOKUP(H21,[1]SEMIELABORADOS!$A$2:$H$65536,8,0),"")</f>
        <v/>
      </c>
      <c r="F21" s="127" t="str">
        <f>IFERROR(E21*C21,"")</f>
        <v/>
      </c>
      <c r="G21" s="128" t="str">
        <f t="shared" si="3"/>
        <v/>
      </c>
      <c r="H21" s="129"/>
      <c r="I21" s="129"/>
      <c r="J21" s="130"/>
    </row>
    <row r="22" spans="1:12" ht="13.5" hidden="1" x14ac:dyDescent="0.25">
      <c r="A22" s="125"/>
      <c r="B22" s="104" t="str">
        <f>IFERROR(VLOOKUP(H22,[1]SEMIELABORADOS!$A$2:$M$6000,2,0),"")</f>
        <v/>
      </c>
      <c r="C22" s="126">
        <f t="shared" si="4"/>
        <v>0</v>
      </c>
      <c r="D22" s="126" t="str">
        <f>IFERROR(VLOOKUP(H22,[1]SEMIELABORADOS!$A$2:$M$6000,6,0),"")</f>
        <v/>
      </c>
      <c r="E22" s="127" t="str">
        <f>IFERROR(VLOOKUP(H22,[1]SEMIELABORADOS!$A$2:$H$65536,8,0),"")</f>
        <v/>
      </c>
      <c r="F22" s="127" t="str">
        <f t="shared" si="5"/>
        <v/>
      </c>
      <c r="G22" s="128" t="str">
        <f t="shared" si="3"/>
        <v/>
      </c>
      <c r="H22" s="129"/>
      <c r="I22" s="129"/>
      <c r="J22" s="130"/>
    </row>
    <row r="23" spans="1:12" ht="13.5" hidden="1" x14ac:dyDescent="0.25">
      <c r="A23" s="125"/>
      <c r="B23" s="104" t="str">
        <f>IFERROR(VLOOKUP(H23,[1]SEMIELABORADOS!$A$2:$M$6000,2,0),"")</f>
        <v/>
      </c>
      <c r="C23" s="126">
        <f t="shared" si="4"/>
        <v>0</v>
      </c>
      <c r="D23" s="126" t="str">
        <f>IFERROR(VLOOKUP(H23,[1]SEMIELABORADOS!$A$2:$M$6000,6,0),"")</f>
        <v/>
      </c>
      <c r="E23" s="127" t="str">
        <f>IFERROR(VLOOKUP(H23,[1]SEMIELABORADOS!$A$2:$H$65536,8,0),"")</f>
        <v/>
      </c>
      <c r="F23" s="127" t="str">
        <f t="shared" si="5"/>
        <v/>
      </c>
      <c r="G23" s="128" t="str">
        <f t="shared" si="3"/>
        <v/>
      </c>
      <c r="H23" s="129"/>
      <c r="I23" s="129"/>
      <c r="J23" s="130"/>
    </row>
    <row r="24" spans="1:12" ht="13.5" hidden="1" x14ac:dyDescent="0.25">
      <c r="A24" s="125"/>
      <c r="B24" s="104" t="str">
        <f>IFERROR(VLOOKUP(H24,[1]SEMIELABORADOS!$A$2:$M$6000,2,0),"")</f>
        <v/>
      </c>
      <c r="C24" s="126">
        <f t="shared" si="4"/>
        <v>0</v>
      </c>
      <c r="D24" s="126" t="str">
        <f>IFERROR(VLOOKUP(H24,[1]SEMIELABORADOS!$A$2:$M$6000,6,0),"")</f>
        <v/>
      </c>
      <c r="E24" s="127" t="str">
        <f>IFERROR(VLOOKUP(H24,[1]SEMIELABORADOS!$A$2:$H$65536,8,0),"")</f>
        <v/>
      </c>
      <c r="F24" s="127" t="str">
        <f t="shared" si="5"/>
        <v/>
      </c>
      <c r="G24" s="128" t="str">
        <f t="shared" si="3"/>
        <v/>
      </c>
      <c r="H24" s="129"/>
      <c r="I24" s="129"/>
      <c r="J24" s="130"/>
    </row>
    <row r="25" spans="1:12" ht="14.25" thickBot="1" x14ac:dyDescent="0.3">
      <c r="A25" s="125"/>
      <c r="C25" s="126"/>
      <c r="D25" s="126"/>
      <c r="E25" s="127"/>
      <c r="F25" s="127"/>
      <c r="G25" s="128"/>
      <c r="H25" s="129"/>
      <c r="I25" s="129"/>
      <c r="J25" s="130"/>
    </row>
    <row r="26" spans="1:12" ht="26.25" hidden="1" thickBot="1" x14ac:dyDescent="0.25">
      <c r="A26" s="121" t="s">
        <v>109</v>
      </c>
      <c r="B26" s="122" t="s">
        <v>86</v>
      </c>
      <c r="C26" s="122" t="s">
        <v>109</v>
      </c>
      <c r="D26" s="123" t="s">
        <v>149</v>
      </c>
      <c r="E26" s="123" t="s">
        <v>111</v>
      </c>
      <c r="F26" s="123" t="s">
        <v>112</v>
      </c>
      <c r="G26" s="123" t="s">
        <v>113</v>
      </c>
      <c r="H26" s="124" t="s">
        <v>114</v>
      </c>
      <c r="I26" s="106"/>
    </row>
    <row r="27" spans="1:12" ht="13.5" hidden="1" x14ac:dyDescent="0.25">
      <c r="A27" s="125">
        <v>0</v>
      </c>
      <c r="B27" s="102" t="str">
        <f>IFERROR(VLOOKUP(H27,'[1]Consolidado MP Planta'!$A$2:$M$823,3,0),"")</f>
        <v/>
      </c>
      <c r="C27" s="126">
        <f t="shared" ref="C27:C32" si="6">+A27</f>
        <v>0</v>
      </c>
      <c r="D27" s="127" t="str">
        <f>IFERROR(VLOOKUP(H27,'[1]Consolidado MP Planta'!$A$2:$M$823,13,0),"")</f>
        <v/>
      </c>
      <c r="E27" s="127" t="str">
        <f>IFERROR(VLOOKUP(H27,'[1]Consolidado MP Planta'!$A$2:$M$823,12,0),"")</f>
        <v/>
      </c>
      <c r="F27" s="127" t="str">
        <f t="shared" ref="F27:F32" si="7">IFERROR(C27*E27,"")</f>
        <v/>
      </c>
      <c r="G27" s="128" t="str">
        <f t="shared" ref="G27:G32" si="8">IFERROR(F27/$F$66,"")</f>
        <v/>
      </c>
      <c r="H27" s="131"/>
      <c r="I27" s="131"/>
      <c r="J27" s="130"/>
      <c r="K27" s="350"/>
      <c r="L27" s="350"/>
    </row>
    <row r="28" spans="1:12" ht="13.5" hidden="1" x14ac:dyDescent="0.25">
      <c r="A28" s="125"/>
      <c r="B28" s="102" t="str">
        <f>IFERROR(VLOOKUP(H28,'[1]Consolidado MP Planta'!$A$2:$M$823,3,0),"")</f>
        <v/>
      </c>
      <c r="C28" s="126">
        <f t="shared" si="6"/>
        <v>0</v>
      </c>
      <c r="D28" s="127" t="str">
        <f>IFERROR(VLOOKUP(H28,'[1]Consolidado MP Planta'!$A$2:$M$823,13,0),"")</f>
        <v/>
      </c>
      <c r="E28" s="127" t="str">
        <f>IFERROR(VLOOKUP(H28,'[1]Consolidado MP Planta'!$A$2:$M$823,12,0),"")</f>
        <v/>
      </c>
      <c r="F28" s="127" t="str">
        <f t="shared" si="7"/>
        <v/>
      </c>
      <c r="G28" s="128" t="str">
        <f t="shared" si="8"/>
        <v/>
      </c>
      <c r="H28" s="131"/>
      <c r="I28" s="131"/>
      <c r="J28" s="130"/>
      <c r="K28" s="350"/>
      <c r="L28" s="350"/>
    </row>
    <row r="29" spans="1:12" ht="13.5" hidden="1" x14ac:dyDescent="0.25">
      <c r="A29" s="125"/>
      <c r="B29" s="102" t="str">
        <f>IFERROR(VLOOKUP(H29,'[1]Consolidado MP Planta'!$A$2:$M$823,3,0),"")</f>
        <v/>
      </c>
      <c r="C29" s="126">
        <f t="shared" si="6"/>
        <v>0</v>
      </c>
      <c r="D29" s="127" t="str">
        <f>IFERROR(VLOOKUP(H29,'[1]Consolidado MP Planta'!$A$2:$M$823,13,0),"")</f>
        <v/>
      </c>
      <c r="E29" s="127" t="str">
        <f>IFERROR(VLOOKUP(H29,'[1]Consolidado MP Planta'!$A$2:$M$823,12,0),"")</f>
        <v/>
      </c>
      <c r="F29" s="127" t="str">
        <f t="shared" si="7"/>
        <v/>
      </c>
      <c r="G29" s="128" t="str">
        <f t="shared" si="8"/>
        <v/>
      </c>
      <c r="H29" s="131"/>
      <c r="I29" s="131"/>
      <c r="J29" s="130"/>
      <c r="K29" s="350"/>
      <c r="L29" s="350"/>
    </row>
    <row r="30" spans="1:12" ht="13.5" hidden="1" x14ac:dyDescent="0.25">
      <c r="A30" s="125"/>
      <c r="B30" s="102" t="str">
        <f>IFERROR(VLOOKUP(H30,'[1]Consolidado MP Planta'!$A$2:$M$823,3,0),"")</f>
        <v/>
      </c>
      <c r="C30" s="126">
        <f t="shared" si="6"/>
        <v>0</v>
      </c>
      <c r="D30" s="127" t="str">
        <f>IFERROR(VLOOKUP(H30,'[1]Consolidado MP Planta'!$A$2:$M$823,13,0),"")</f>
        <v/>
      </c>
      <c r="E30" s="127" t="str">
        <f>IFERROR(VLOOKUP(H30,'[1]Consolidado MP Planta'!$A$2:$M$823,12,0),"")</f>
        <v/>
      </c>
      <c r="F30" s="127" t="str">
        <f t="shared" si="7"/>
        <v/>
      </c>
      <c r="G30" s="128" t="str">
        <f t="shared" si="8"/>
        <v/>
      </c>
      <c r="H30" s="131"/>
      <c r="I30" s="131"/>
      <c r="J30" s="130"/>
      <c r="K30" s="350"/>
      <c r="L30" s="350"/>
    </row>
    <row r="31" spans="1:12" ht="13.5" hidden="1" x14ac:dyDescent="0.25">
      <c r="A31" s="125"/>
      <c r="B31" s="102" t="str">
        <f>IFERROR(VLOOKUP(H31,'[1]Consolidado MP Planta'!$A$2:$M$823,3,0),"")</f>
        <v/>
      </c>
      <c r="C31" s="126">
        <f t="shared" si="6"/>
        <v>0</v>
      </c>
      <c r="D31" s="127" t="str">
        <f>IFERROR(VLOOKUP(H31,'[1]Consolidado MP Planta'!$A$2:$M$823,13,0),"")</f>
        <v/>
      </c>
      <c r="E31" s="127" t="str">
        <f>IFERROR(VLOOKUP(H31,'[1]Consolidado MP Planta'!$A$2:$M$823,12,0),"")</f>
        <v/>
      </c>
      <c r="F31" s="127" t="str">
        <f t="shared" si="7"/>
        <v/>
      </c>
      <c r="G31" s="128" t="str">
        <f t="shared" si="8"/>
        <v/>
      </c>
      <c r="H31" s="131"/>
      <c r="I31" s="131"/>
      <c r="J31" s="130"/>
      <c r="K31" s="132"/>
      <c r="L31" s="107"/>
    </row>
    <row r="32" spans="1:12" ht="13.5" hidden="1" x14ac:dyDescent="0.25">
      <c r="A32" s="125"/>
      <c r="B32" s="102" t="str">
        <f>IFERROR(VLOOKUP(H32,'[1]Consolidado MP Planta'!$A$2:$M$823,3,0),"")</f>
        <v/>
      </c>
      <c r="C32" s="126">
        <f t="shared" si="6"/>
        <v>0</v>
      </c>
      <c r="D32" s="127" t="str">
        <f>IFERROR(VLOOKUP(H32,'[1]Consolidado MP Planta'!$A$2:$M$823,13,0),"")</f>
        <v/>
      </c>
      <c r="E32" s="127" t="str">
        <f>IFERROR(VLOOKUP(H32,'[1]Consolidado MP Planta'!$A$2:$M$823,12,0),"")</f>
        <v/>
      </c>
      <c r="F32" s="127" t="str">
        <f t="shared" si="7"/>
        <v/>
      </c>
      <c r="G32" s="128" t="str">
        <f t="shared" si="8"/>
        <v/>
      </c>
      <c r="H32" s="131"/>
      <c r="I32" s="131"/>
      <c r="J32" s="130"/>
    </row>
    <row r="33" spans="1:13" ht="14.25" hidden="1" thickBot="1" x14ac:dyDescent="0.3">
      <c r="A33" s="125"/>
      <c r="B33" s="102"/>
      <c r="C33" s="126"/>
      <c r="D33" s="127"/>
      <c r="E33" s="127"/>
      <c r="F33" s="127"/>
      <c r="G33" s="128"/>
      <c r="H33" s="131"/>
      <c r="I33" s="131"/>
      <c r="J33" s="130"/>
    </row>
    <row r="34" spans="1:13" ht="26.25" thickBot="1" x14ac:dyDescent="0.25">
      <c r="A34" s="121" t="s">
        <v>109</v>
      </c>
      <c r="B34" s="122" t="s">
        <v>116</v>
      </c>
      <c r="C34" s="122" t="s">
        <v>109</v>
      </c>
      <c r="D34" s="123" t="s">
        <v>149</v>
      </c>
      <c r="E34" s="123" t="s">
        <v>111</v>
      </c>
      <c r="F34" s="123" t="s">
        <v>112</v>
      </c>
      <c r="G34" s="123" t="s">
        <v>113</v>
      </c>
      <c r="H34" s="124" t="s">
        <v>114</v>
      </c>
      <c r="I34" s="131"/>
      <c r="J34" s="130"/>
    </row>
    <row r="35" spans="1:13" ht="13.5" x14ac:dyDescent="0.25">
      <c r="A35" s="125">
        <f>+A17</f>
        <v>6680</v>
      </c>
      <c r="B35" s="102" t="s">
        <v>66</v>
      </c>
      <c r="C35" s="126">
        <f>+A35</f>
        <v>6680</v>
      </c>
      <c r="D35" s="127" t="s">
        <v>152</v>
      </c>
      <c r="E35" s="127">
        <f>+'Costo Premezcla '!E76</f>
        <v>1.8367379526660964E-2</v>
      </c>
      <c r="F35" s="127">
        <f>IFERROR(E35*C35,"")</f>
        <v>122.69409523809524</v>
      </c>
      <c r="G35" s="128">
        <f t="shared" ref="G35:G41" si="9">IFERROR(F35/$F$66,"")</f>
        <v>8.4489345596548901E-3</v>
      </c>
      <c r="H35" s="131" t="s">
        <v>31</v>
      </c>
      <c r="I35" s="131"/>
      <c r="J35" s="130"/>
    </row>
    <row r="36" spans="1:13" ht="13.5" x14ac:dyDescent="0.25">
      <c r="A36" s="125">
        <f t="shared" ref="A36:A41" si="10">+A18</f>
        <v>6500</v>
      </c>
      <c r="B36" s="102" t="s">
        <v>75</v>
      </c>
      <c r="C36" s="126">
        <f t="shared" ref="C36:C41" si="11">+A36</f>
        <v>6500</v>
      </c>
      <c r="D36" s="127" t="s">
        <v>152</v>
      </c>
      <c r="E36" s="127">
        <f>+'Costo Banano batido'!E76</f>
        <v>0</v>
      </c>
      <c r="F36" s="127">
        <f t="shared" ref="F36:F41" si="12">IFERROR(E36*C36,"")</f>
        <v>0</v>
      </c>
      <c r="G36" s="128">
        <f t="shared" si="9"/>
        <v>0</v>
      </c>
      <c r="H36" s="131" t="s">
        <v>31</v>
      </c>
      <c r="I36" s="131"/>
      <c r="J36" s="130"/>
    </row>
    <row r="37" spans="1:13" ht="13.5" hidden="1" x14ac:dyDescent="0.25">
      <c r="A37" s="125">
        <f t="shared" si="10"/>
        <v>0</v>
      </c>
      <c r="B37" s="102" t="str">
        <f>IFERROR(VLOOKUP(H37,[1]SEMIELABORADOS!$A$2:$M$6000,2,0),"")</f>
        <v/>
      </c>
      <c r="C37" s="126">
        <f t="shared" si="11"/>
        <v>0</v>
      </c>
      <c r="D37" s="127" t="str">
        <f>IFERROR(VLOOKUP(H37,[1]SEMIELABORADOS!$A$2:$M$6000,6,0),"")</f>
        <v/>
      </c>
      <c r="E37" s="127" t="str">
        <f>IFERROR(VLOOKUP(H37,[1]SEMIELABORADOS!$A$2:$M$65536,10,0),"")</f>
        <v/>
      </c>
      <c r="F37" s="127" t="str">
        <f t="shared" si="12"/>
        <v/>
      </c>
      <c r="G37" s="128" t="str">
        <f t="shared" si="9"/>
        <v/>
      </c>
      <c r="H37" s="131"/>
      <c r="I37" s="131"/>
      <c r="J37" s="130"/>
    </row>
    <row r="38" spans="1:13" ht="13.5" hidden="1" x14ac:dyDescent="0.25">
      <c r="A38" s="125">
        <f t="shared" si="10"/>
        <v>0</v>
      </c>
      <c r="B38" s="102" t="str">
        <f>IFERROR(VLOOKUP(H38,[1]SEMIELABORADOS!$A$2:$M$6000,2,0),"")</f>
        <v/>
      </c>
      <c r="C38" s="126">
        <f>+A38</f>
        <v>0</v>
      </c>
      <c r="D38" s="127" t="str">
        <f>IFERROR(VLOOKUP(H38,[1]SEMIELABORADOS!$A$2:$M$6000,6,0),"")</f>
        <v/>
      </c>
      <c r="E38" s="127" t="str">
        <f>IFERROR(VLOOKUP(H38,[1]SEMIELABORADOS!$A$2:$M$65536,10,0),"")</f>
        <v/>
      </c>
      <c r="F38" s="127" t="str">
        <f>IFERROR(E38*C38,"")</f>
        <v/>
      </c>
      <c r="G38" s="128" t="str">
        <f t="shared" si="9"/>
        <v/>
      </c>
      <c r="H38" s="131"/>
      <c r="I38" s="131"/>
      <c r="J38" s="130"/>
    </row>
    <row r="39" spans="1:13" ht="13.5" hidden="1" x14ac:dyDescent="0.25">
      <c r="A39" s="125">
        <f t="shared" si="10"/>
        <v>0</v>
      </c>
      <c r="B39" s="102" t="str">
        <f>IFERROR(VLOOKUP(H39,[1]SEMIELABORADOS!$A$2:$M$6000,2,0),"")</f>
        <v/>
      </c>
      <c r="C39" s="126">
        <f>+A39</f>
        <v>0</v>
      </c>
      <c r="D39" s="127" t="str">
        <f>IFERROR(VLOOKUP(H39,[1]SEMIELABORADOS!$A$2:$M$6000,6,0),"")</f>
        <v/>
      </c>
      <c r="E39" s="127" t="str">
        <f>IFERROR(VLOOKUP(H39,[1]SEMIELABORADOS!$A$2:$M$65536,10,0),"")</f>
        <v/>
      </c>
      <c r="F39" s="127" t="str">
        <f>IFERROR(E39*C39,"")</f>
        <v/>
      </c>
      <c r="G39" s="128" t="str">
        <f t="shared" si="9"/>
        <v/>
      </c>
      <c r="H39" s="131"/>
      <c r="I39" s="131"/>
      <c r="J39" s="130"/>
    </row>
    <row r="40" spans="1:13" ht="13.5" hidden="1" x14ac:dyDescent="0.25">
      <c r="A40" s="125">
        <f t="shared" si="10"/>
        <v>0</v>
      </c>
      <c r="B40" s="102" t="str">
        <f>IFERROR(VLOOKUP(H40,[1]SEMIELABORADOS!$A$2:$M$6000,2,0),"")</f>
        <v/>
      </c>
      <c r="C40" s="126">
        <f t="shared" si="11"/>
        <v>0</v>
      </c>
      <c r="D40" s="127" t="str">
        <f>IFERROR(VLOOKUP(H40,[1]SEMIELABORADOS!$A$2:$M$6000,6,0),"")</f>
        <v/>
      </c>
      <c r="E40" s="127" t="str">
        <f>IFERROR(VLOOKUP(H40,[1]SEMIELABORADOS!$A$2:$M$65536,10,0),"")</f>
        <v/>
      </c>
      <c r="F40" s="127" t="str">
        <f t="shared" si="12"/>
        <v/>
      </c>
      <c r="G40" s="128" t="str">
        <f t="shared" si="9"/>
        <v/>
      </c>
      <c r="H40" s="131"/>
      <c r="I40" s="131"/>
      <c r="J40" s="130"/>
    </row>
    <row r="41" spans="1:13" ht="13.5" hidden="1" x14ac:dyDescent="0.25">
      <c r="A41" s="125">
        <f t="shared" si="10"/>
        <v>0</v>
      </c>
      <c r="B41" s="102" t="str">
        <f>IFERROR(VLOOKUP(H41,[1]SEMIELABORADOS!$A$2:$M$6000,2,0),"")</f>
        <v/>
      </c>
      <c r="C41" s="126">
        <f t="shared" si="11"/>
        <v>0</v>
      </c>
      <c r="D41" s="127" t="str">
        <f>IFERROR(VLOOKUP(H41,[1]SEMIELABORADOS!$A$2:$M$6000,6,0),"")</f>
        <v/>
      </c>
      <c r="E41" s="127" t="str">
        <f>IFERROR(VLOOKUP(H41,[1]SEMIELABORADOS!$A$2:$M$65536,10,0),"")</f>
        <v/>
      </c>
      <c r="F41" s="127" t="str">
        <f t="shared" si="12"/>
        <v/>
      </c>
      <c r="G41" s="128" t="str">
        <f t="shared" si="9"/>
        <v/>
      </c>
      <c r="H41" s="131"/>
      <c r="I41" s="131"/>
      <c r="J41" s="130"/>
    </row>
    <row r="42" spans="1:13" ht="14.25" thickBot="1" x14ac:dyDescent="0.3">
      <c r="A42" s="125"/>
      <c r="B42" s="102"/>
      <c r="C42" s="126"/>
      <c r="D42" s="127"/>
      <c r="E42" s="127"/>
      <c r="F42" s="127"/>
      <c r="G42" s="128"/>
      <c r="H42" s="131"/>
      <c r="I42" s="131"/>
      <c r="J42" s="130"/>
    </row>
    <row r="43" spans="1:13" ht="26.25" thickBot="1" x14ac:dyDescent="0.25">
      <c r="A43" s="121" t="s">
        <v>109</v>
      </c>
      <c r="B43" s="122" t="s">
        <v>117</v>
      </c>
      <c r="C43" s="122" t="s">
        <v>109</v>
      </c>
      <c r="D43" s="123" t="s">
        <v>149</v>
      </c>
      <c r="E43" s="123" t="s">
        <v>111</v>
      </c>
      <c r="F43" s="123" t="s">
        <v>112</v>
      </c>
      <c r="G43" s="123" t="s">
        <v>113</v>
      </c>
      <c r="H43" s="124" t="s">
        <v>114</v>
      </c>
      <c r="I43" s="106"/>
      <c r="J43" s="130"/>
    </row>
    <row r="44" spans="1:13" ht="13.5" x14ac:dyDescent="0.25">
      <c r="A44" s="125">
        <f>+A35</f>
        <v>6680</v>
      </c>
      <c r="B44" s="102" t="s">
        <v>66</v>
      </c>
      <c r="C44" s="126">
        <f>+A44</f>
        <v>6680</v>
      </c>
      <c r="D44" s="127" t="s">
        <v>152</v>
      </c>
      <c r="E44" s="127">
        <f>+'Costo Premezcla '!E74</f>
        <v>3.473053892215569E-2</v>
      </c>
      <c r="F44" s="127">
        <f>IFERROR(E44*C44,"")</f>
        <v>232</v>
      </c>
      <c r="G44" s="128">
        <f>IFERROR(F44/$F$66,"")</f>
        <v>1.5975934408547866E-2</v>
      </c>
      <c r="H44" s="131" t="s">
        <v>31</v>
      </c>
      <c r="I44" s="106"/>
      <c r="J44" s="130"/>
    </row>
    <row r="45" spans="1:13" ht="13.5" x14ac:dyDescent="0.25">
      <c r="A45" s="125">
        <f t="shared" ref="A45:A50" si="13">+A36</f>
        <v>6500</v>
      </c>
      <c r="B45" s="102" t="s">
        <v>75</v>
      </c>
      <c r="C45" s="126">
        <f t="shared" ref="C45:C50" si="14">+A45</f>
        <v>6500</v>
      </c>
      <c r="D45" s="127" t="s">
        <v>152</v>
      </c>
      <c r="E45" s="127">
        <f>+'Costo Banano batido'!E74</f>
        <v>3.569230769230769E-2</v>
      </c>
      <c r="F45" s="127">
        <f t="shared" ref="F45:F50" si="15">IFERROR(E45*C45,"")</f>
        <v>231.99999999999997</v>
      </c>
      <c r="G45" s="128">
        <f t="shared" ref="G45:G50" si="16">IFERROR(F45/$F$66,"")</f>
        <v>1.5975934408547863E-2</v>
      </c>
      <c r="H45" s="131" t="s">
        <v>31</v>
      </c>
      <c r="I45" s="106"/>
      <c r="J45" s="130"/>
      <c r="M45" s="133"/>
    </row>
    <row r="46" spans="1:13" ht="13.5" hidden="1" x14ac:dyDescent="0.25">
      <c r="A46" s="125">
        <f t="shared" si="13"/>
        <v>0</v>
      </c>
      <c r="B46" s="102" t="str">
        <f>IFERROR(VLOOKUP(H46,[1]SEMIELABORADOS!$A$2:$M$6000,2,0),"")</f>
        <v/>
      </c>
      <c r="C46" s="126">
        <f t="shared" si="14"/>
        <v>0</v>
      </c>
      <c r="D46" s="127" t="str">
        <f>IFERROR(VLOOKUP(H46,[1]SEMIELABORADOS!$A$2:$M$6000,6,0),"")</f>
        <v/>
      </c>
      <c r="E46" s="127" t="str">
        <f>IFERROR(VLOOKUP(H46,[1]SEMIELABORADOS!$A$2:$M$65536,12,0),"")</f>
        <v/>
      </c>
      <c r="F46" s="127" t="str">
        <f t="shared" si="15"/>
        <v/>
      </c>
      <c r="G46" s="128" t="str">
        <f t="shared" si="16"/>
        <v/>
      </c>
      <c r="H46" s="131"/>
      <c r="I46" s="106"/>
      <c r="J46" s="130"/>
    </row>
    <row r="47" spans="1:13" ht="13.5" hidden="1" x14ac:dyDescent="0.25">
      <c r="A47" s="125">
        <f t="shared" si="13"/>
        <v>0</v>
      </c>
      <c r="B47" s="102" t="str">
        <f>IFERROR(VLOOKUP(H47,[1]SEMIELABORADOS!$A$2:$M$6000,2,0),"")</f>
        <v/>
      </c>
      <c r="C47" s="126">
        <f t="shared" si="14"/>
        <v>0</v>
      </c>
      <c r="D47" s="127" t="str">
        <f>IFERROR(VLOOKUP(H47,[1]SEMIELABORADOS!$A$2:$M$6000,6,0),"")</f>
        <v/>
      </c>
      <c r="E47" s="127" t="str">
        <f>IFERROR(VLOOKUP(H47,[1]SEMIELABORADOS!$A$2:$M$65536,12,0),"")</f>
        <v/>
      </c>
      <c r="F47" s="127" t="str">
        <f t="shared" si="15"/>
        <v/>
      </c>
      <c r="G47" s="128" t="str">
        <f t="shared" si="16"/>
        <v/>
      </c>
      <c r="H47" s="131"/>
      <c r="I47" s="106"/>
      <c r="J47" s="130"/>
    </row>
    <row r="48" spans="1:13" ht="13.5" hidden="1" x14ac:dyDescent="0.25">
      <c r="A48" s="125">
        <f t="shared" si="13"/>
        <v>0</v>
      </c>
      <c r="B48" s="102" t="str">
        <f>IFERROR(VLOOKUP(H48,[1]SEMIELABORADOS!$A$2:$M$6000,2,0),"")</f>
        <v/>
      </c>
      <c r="C48" s="126">
        <f t="shared" si="14"/>
        <v>0</v>
      </c>
      <c r="D48" s="127" t="str">
        <f>IFERROR(VLOOKUP(H48,[1]SEMIELABORADOS!$A$2:$M$6000,6,0),"")</f>
        <v/>
      </c>
      <c r="E48" s="127" t="str">
        <f>IFERROR(VLOOKUP(H48,[1]SEMIELABORADOS!$A$2:$M$65536,12,0),"")</f>
        <v/>
      </c>
      <c r="F48" s="127" t="str">
        <f t="shared" si="15"/>
        <v/>
      </c>
      <c r="G48" s="128" t="str">
        <f t="shared" si="16"/>
        <v/>
      </c>
      <c r="H48" s="131"/>
      <c r="I48" s="106"/>
      <c r="J48" s="130"/>
    </row>
    <row r="49" spans="1:17" ht="13.5" hidden="1" x14ac:dyDescent="0.25">
      <c r="A49" s="125">
        <f t="shared" si="13"/>
        <v>0</v>
      </c>
      <c r="B49" s="102" t="str">
        <f>IFERROR(VLOOKUP(H49,[1]SEMIELABORADOS!$A$2:$M$6000,2,0),"")</f>
        <v/>
      </c>
      <c r="C49" s="126">
        <f t="shared" si="14"/>
        <v>0</v>
      </c>
      <c r="D49" s="127" t="str">
        <f>IFERROR(VLOOKUP(H49,[1]SEMIELABORADOS!$A$2:$M$6000,6,0),"")</f>
        <v/>
      </c>
      <c r="E49" s="127" t="str">
        <f>IFERROR(VLOOKUP(H49,[1]SEMIELABORADOS!$A$2:$M$65536,12,0),"")</f>
        <v/>
      </c>
      <c r="F49" s="127" t="str">
        <f t="shared" si="15"/>
        <v/>
      </c>
      <c r="G49" s="128" t="str">
        <f t="shared" si="16"/>
        <v/>
      </c>
      <c r="H49" s="131"/>
      <c r="I49" s="106"/>
      <c r="J49" s="130"/>
    </row>
    <row r="50" spans="1:17" ht="13.5" hidden="1" x14ac:dyDescent="0.25">
      <c r="A50" s="125">
        <f t="shared" si="13"/>
        <v>0</v>
      </c>
      <c r="B50" s="102" t="str">
        <f>IFERROR(VLOOKUP(H50,[1]SEMIELABORADOS!$A$2:$M$6000,2,0),"")</f>
        <v/>
      </c>
      <c r="C50" s="126">
        <f t="shared" si="14"/>
        <v>0</v>
      </c>
      <c r="D50" s="127" t="str">
        <f>IFERROR(VLOOKUP(H50,[1]SEMIELABORADOS!$A$2:$M$6000,6,0),"")</f>
        <v/>
      </c>
      <c r="E50" s="127" t="str">
        <f>IFERROR(VLOOKUP(H50,[1]SEMIELABORADOS!$A$2:$M$65536,12,0),"")</f>
        <v/>
      </c>
      <c r="F50" s="127" t="str">
        <f t="shared" si="15"/>
        <v/>
      </c>
      <c r="G50" s="128" t="str">
        <f t="shared" si="16"/>
        <v/>
      </c>
      <c r="H50" s="102"/>
      <c r="I50" s="106"/>
      <c r="J50" s="130"/>
    </row>
    <row r="51" spans="1:17" ht="13.5" x14ac:dyDescent="0.25">
      <c r="A51" s="125">
        <v>1</v>
      </c>
      <c r="B51" s="102" t="s">
        <v>118</v>
      </c>
      <c r="C51" s="126">
        <f>+A51</f>
        <v>1</v>
      </c>
      <c r="D51" s="126" t="s">
        <v>119</v>
      </c>
      <c r="E51" s="127">
        <f>+F65</f>
        <v>464</v>
      </c>
      <c r="F51" s="127">
        <f>IFERROR(C51*E51,"")</f>
        <v>464</v>
      </c>
      <c r="G51" s="128">
        <f>IFERROR(F51/$F$66,"")</f>
        <v>3.1951868817095733E-2</v>
      </c>
      <c r="H51" s="134"/>
      <c r="I51" s="134"/>
      <c r="J51" s="130"/>
    </row>
    <row r="52" spans="1:17" ht="14.25" thickBot="1" x14ac:dyDescent="0.3">
      <c r="A52" s="125"/>
      <c r="B52" s="102"/>
      <c r="C52" s="126"/>
      <c r="D52" s="126"/>
      <c r="E52" s="127"/>
      <c r="F52" s="127"/>
      <c r="G52" s="128"/>
      <c r="H52" s="134"/>
      <c r="I52" s="134"/>
      <c r="J52" s="130"/>
    </row>
    <row r="53" spans="1:17" ht="13.5" thickBot="1" x14ac:dyDescent="0.25">
      <c r="A53" s="108"/>
      <c r="B53" s="354" t="s">
        <v>150</v>
      </c>
      <c r="C53" s="354"/>
      <c r="D53" s="354"/>
      <c r="E53" s="354"/>
      <c r="F53" s="135">
        <f>SUM(F8:F14,F17:F24)</f>
        <v>13661.91</v>
      </c>
      <c r="G53" s="128">
        <f>+F53/$F$66</f>
        <v>0.94078352610122484</v>
      </c>
      <c r="H53" s="136">
        <f>+F53/$D$60</f>
        <v>13661.91</v>
      </c>
      <c r="I53" s="136"/>
      <c r="J53" s="137"/>
      <c r="K53" s="138"/>
      <c r="L53" s="138"/>
      <c r="M53" s="138"/>
      <c r="N53" s="138"/>
      <c r="O53" s="138"/>
      <c r="P53" s="138"/>
      <c r="Q53" s="139"/>
    </row>
    <row r="54" spans="1:17" x14ac:dyDescent="0.2">
      <c r="A54" s="108"/>
      <c r="B54" s="354" t="s">
        <v>120</v>
      </c>
      <c r="C54" s="354"/>
      <c r="D54" s="354"/>
      <c r="E54" s="354"/>
      <c r="F54" s="135">
        <f>SUM(F27:F32,F35:F41)</f>
        <v>122.69409523809524</v>
      </c>
      <c r="G54" s="128">
        <f>+F54/$F$66</f>
        <v>8.4489345596548901E-3</v>
      </c>
      <c r="H54" s="136">
        <f>+F54/$D$60</f>
        <v>122.69409523809524</v>
      </c>
      <c r="I54" s="136"/>
      <c r="J54" s="140"/>
      <c r="K54" s="355" t="s">
        <v>121</v>
      </c>
      <c r="L54" s="356"/>
      <c r="M54" s="356"/>
      <c r="N54" s="356"/>
      <c r="O54" s="141">
        <f>+F55</f>
        <v>13784.604095238095</v>
      </c>
      <c r="P54" s="141"/>
      <c r="Q54" s="142"/>
    </row>
    <row r="55" spans="1:17" x14ac:dyDescent="0.2">
      <c r="A55" s="108"/>
      <c r="B55" s="354" t="s">
        <v>122</v>
      </c>
      <c r="C55" s="354"/>
      <c r="D55" s="354"/>
      <c r="E55" s="354"/>
      <c r="F55" s="135">
        <f>+F53+F54</f>
        <v>13784.604095238095</v>
      </c>
      <c r="G55" s="128">
        <f>+F55/$F$66</f>
        <v>0.94923246066087974</v>
      </c>
      <c r="H55" s="136">
        <f>+F55/$D$60</f>
        <v>13784.604095238095</v>
      </c>
      <c r="I55" s="136"/>
      <c r="J55" s="143"/>
      <c r="K55" s="144"/>
      <c r="M55" s="145" t="s">
        <v>123</v>
      </c>
      <c r="N55" s="146">
        <v>0.18</v>
      </c>
      <c r="O55" s="141">
        <f>+O54*N55</f>
        <v>2481.228737142857</v>
      </c>
      <c r="P55" s="141"/>
      <c r="Q55" s="142"/>
    </row>
    <row r="56" spans="1:17" ht="13.5" thickBot="1" x14ac:dyDescent="0.25">
      <c r="A56" s="108"/>
      <c r="B56" s="109"/>
      <c r="C56" s="354" t="s">
        <v>124</v>
      </c>
      <c r="D56" s="354"/>
      <c r="E56" s="354"/>
      <c r="F56" s="135">
        <f>SUM(F44:F51)</f>
        <v>928</v>
      </c>
      <c r="G56" s="128">
        <f>+F56/$F$66</f>
        <v>6.3903737634191465E-2</v>
      </c>
      <c r="H56" s="136">
        <f>+F56/$D$60</f>
        <v>928</v>
      </c>
      <c r="I56" s="136"/>
      <c r="J56" s="143"/>
      <c r="K56" s="144"/>
      <c r="L56" s="144"/>
      <c r="M56" s="144" t="s">
        <v>125</v>
      </c>
      <c r="N56" s="147"/>
      <c r="O56" s="141">
        <f>O54*N56</f>
        <v>0</v>
      </c>
      <c r="P56" s="141"/>
      <c r="Q56" s="142"/>
    </row>
    <row r="57" spans="1:17" ht="13.5" thickBot="1" x14ac:dyDescent="0.25">
      <c r="A57" s="108"/>
      <c r="B57" s="148"/>
      <c r="C57" s="148"/>
      <c r="D57" s="148"/>
      <c r="E57" s="148"/>
      <c r="F57" s="149"/>
      <c r="G57" s="128"/>
      <c r="H57" s="150"/>
      <c r="I57" s="136"/>
      <c r="J57" s="143"/>
      <c r="K57" s="151"/>
      <c r="M57" s="152" t="s">
        <v>126</v>
      </c>
      <c r="N57" s="153"/>
      <c r="O57" s="154">
        <f>SUM(O54:O56)</f>
        <v>16265.832832380953</v>
      </c>
      <c r="P57" s="155"/>
      <c r="Q57" s="142"/>
    </row>
    <row r="58" spans="1:17" x14ac:dyDescent="0.2">
      <c r="B58" s="347" t="s">
        <v>127</v>
      </c>
      <c r="C58" s="347"/>
      <c r="D58" s="156">
        <v>14000</v>
      </c>
      <c r="E58" s="110"/>
      <c r="G58" s="128"/>
      <c r="H58" s="150"/>
      <c r="I58" s="157"/>
      <c r="J58" s="143"/>
      <c r="K58" s="151"/>
      <c r="L58" s="144"/>
      <c r="M58" s="144" t="s">
        <v>128</v>
      </c>
      <c r="N58" s="158">
        <v>0.16</v>
      </c>
      <c r="O58" s="141">
        <f>+O54*N58</f>
        <v>2205.5366552380951</v>
      </c>
      <c r="P58" s="141"/>
      <c r="Q58" s="142"/>
    </row>
    <row r="59" spans="1:17" x14ac:dyDescent="0.2">
      <c r="B59" s="347" t="s">
        <v>129</v>
      </c>
      <c r="C59" s="347"/>
      <c r="D59" s="159">
        <v>14000</v>
      </c>
      <c r="E59" s="110"/>
      <c r="G59" s="128"/>
      <c r="H59" s="150"/>
      <c r="I59" s="157"/>
      <c r="J59" s="143"/>
      <c r="K59" s="151"/>
      <c r="L59" s="144"/>
      <c r="M59" s="358" t="s">
        <v>126</v>
      </c>
      <c r="N59" s="358"/>
      <c r="O59" s="141">
        <f>SUM(O57:O58)</f>
        <v>18471.369487619049</v>
      </c>
      <c r="P59" s="141"/>
      <c r="Q59" s="142"/>
    </row>
    <row r="60" spans="1:17" ht="13.5" thickBot="1" x14ac:dyDescent="0.25">
      <c r="B60" s="357" t="s">
        <v>130</v>
      </c>
      <c r="C60" s="357"/>
      <c r="D60" s="156">
        <f>+D58/D59</f>
        <v>1</v>
      </c>
      <c r="E60" s="110"/>
      <c r="F60" s="160"/>
      <c r="G60" s="128"/>
      <c r="H60" s="150"/>
      <c r="I60" s="157"/>
      <c r="J60" s="143"/>
      <c r="K60" s="151"/>
      <c r="L60" s="358"/>
      <c r="M60" s="358"/>
      <c r="N60" s="158"/>
      <c r="O60" s="141">
        <f>+O59*N60</f>
        <v>0</v>
      </c>
      <c r="P60" s="141"/>
      <c r="Q60" s="142"/>
    </row>
    <row r="61" spans="1:17" ht="13.5" thickBot="1" x14ac:dyDescent="0.25">
      <c r="B61" s="357" t="s">
        <v>131</v>
      </c>
      <c r="C61" s="357"/>
      <c r="D61" s="161"/>
      <c r="E61" s="110"/>
      <c r="F61" s="160"/>
      <c r="G61" s="128"/>
      <c r="H61" s="150"/>
      <c r="I61" s="157"/>
      <c r="J61" s="143"/>
      <c r="K61" s="333" t="s">
        <v>132</v>
      </c>
      <c r="L61" s="334"/>
      <c r="M61" s="334"/>
      <c r="N61" s="335"/>
      <c r="O61" s="154">
        <f>SUM(O59:O60)</f>
        <v>18471.369487619049</v>
      </c>
      <c r="P61" s="162" t="s">
        <v>133</v>
      </c>
      <c r="Q61" s="142"/>
    </row>
    <row r="62" spans="1:17" ht="13.5" thickBot="1" x14ac:dyDescent="0.25">
      <c r="C62" s="108" t="s">
        <v>134</v>
      </c>
      <c r="D62" s="163"/>
      <c r="E62" s="103" t="s">
        <v>135</v>
      </c>
      <c r="F62" s="164" t="s">
        <v>136</v>
      </c>
      <c r="G62" s="128"/>
      <c r="H62" s="150"/>
      <c r="I62" s="157"/>
      <c r="J62" s="165"/>
      <c r="K62" s="166"/>
      <c r="L62" s="336" t="s">
        <v>137</v>
      </c>
      <c r="M62" s="336"/>
      <c r="N62" s="336"/>
      <c r="O62" s="167">
        <f>+O61/D60</f>
        <v>18471.369487619049</v>
      </c>
      <c r="P62" s="168">
        <f>+O62/D59</f>
        <v>1.3193835348299321</v>
      </c>
      <c r="Q62" s="169"/>
    </row>
    <row r="63" spans="1:17" ht="13.5" thickBot="1" x14ac:dyDescent="0.25">
      <c r="B63" s="337" t="s">
        <v>122</v>
      </c>
      <c r="C63" s="337"/>
      <c r="D63" s="337"/>
      <c r="E63" s="170">
        <f>+F63/F63</f>
        <v>1</v>
      </c>
      <c r="F63" s="171">
        <f>SUM(F55)</f>
        <v>13784.604095238095</v>
      </c>
      <c r="G63" s="128">
        <f>+F63/$F$66</f>
        <v>0.94923246066087974</v>
      </c>
      <c r="H63" s="150"/>
      <c r="I63" s="157"/>
      <c r="K63" s="338"/>
      <c r="L63" s="339"/>
      <c r="M63" s="339"/>
      <c r="N63" s="339"/>
      <c r="O63" s="172"/>
      <c r="P63" s="173"/>
    </row>
    <row r="64" spans="1:17" ht="13.5" thickBot="1" x14ac:dyDescent="0.25">
      <c r="B64" s="340" t="s">
        <v>151</v>
      </c>
      <c r="C64" s="340"/>
      <c r="D64" s="340"/>
      <c r="E64" s="174">
        <v>0.02</v>
      </c>
      <c r="F64" s="171">
        <f>+F53*E64</f>
        <v>273.23820000000001</v>
      </c>
      <c r="G64" s="128">
        <f>+F64/$F$66</f>
        <v>1.88156705220245E-2</v>
      </c>
      <c r="H64" s="136"/>
      <c r="I64" s="157"/>
      <c r="J64" s="175"/>
      <c r="O64" s="176"/>
      <c r="P64" s="109"/>
    </row>
    <row r="65" spans="2:10" ht="13.5" thickBot="1" x14ac:dyDescent="0.25">
      <c r="B65" s="345" t="s">
        <v>138</v>
      </c>
      <c r="C65" s="346"/>
      <c r="D65" s="177">
        <v>8</v>
      </c>
      <c r="E65" s="178">
        <v>58</v>
      </c>
      <c r="F65" s="171">
        <f>+E65*D65</f>
        <v>464</v>
      </c>
      <c r="G65" s="128">
        <f>+F65/$F$66</f>
        <v>3.1951868817095733E-2</v>
      </c>
      <c r="H65" s="136"/>
      <c r="I65" s="136"/>
      <c r="J65" s="130"/>
    </row>
    <row r="66" spans="2:10" ht="13.5" thickBot="1" x14ac:dyDescent="0.25">
      <c r="B66" s="341" t="s">
        <v>139</v>
      </c>
      <c r="C66" s="342"/>
      <c r="D66" s="342"/>
      <c r="E66" s="343"/>
      <c r="F66" s="149">
        <f>SUM(F63:F65)</f>
        <v>14521.842295238095</v>
      </c>
      <c r="G66" s="128">
        <f>+F66/$F$66</f>
        <v>1</v>
      </c>
      <c r="H66" s="344"/>
      <c r="I66" s="136"/>
      <c r="J66" s="130"/>
    </row>
    <row r="67" spans="2:10" x14ac:dyDescent="0.2">
      <c r="C67" s="133"/>
      <c r="D67" s="133"/>
      <c r="E67" s="180"/>
      <c r="F67" s="171"/>
      <c r="G67" s="128"/>
      <c r="H67" s="344"/>
      <c r="I67" s="179"/>
      <c r="J67" s="104"/>
    </row>
    <row r="68" spans="2:10" ht="13.5" thickBot="1" x14ac:dyDescent="0.25">
      <c r="B68" s="331" t="s">
        <v>140</v>
      </c>
      <c r="C68" s="331"/>
      <c r="D68" s="331"/>
      <c r="E68" s="331"/>
      <c r="F68" s="331"/>
      <c r="G68" s="128"/>
      <c r="H68" s="111"/>
      <c r="I68" s="179"/>
      <c r="J68" s="104"/>
    </row>
    <row r="69" spans="2:10" ht="13.5" thickBot="1" x14ac:dyDescent="0.25">
      <c r="B69" s="182" t="s">
        <v>141</v>
      </c>
      <c r="C69" s="183">
        <f>+F53</f>
        <v>13661.91</v>
      </c>
      <c r="D69" s="183">
        <f>+D58</f>
        <v>14000</v>
      </c>
      <c r="E69" s="184">
        <f>+C69/D69</f>
        <v>0.97585071428571424</v>
      </c>
      <c r="F69" s="128"/>
      <c r="G69" s="111"/>
      <c r="H69" s="130"/>
      <c r="I69" s="111"/>
      <c r="J69" s="104"/>
    </row>
    <row r="70" spans="2:10" x14ac:dyDescent="0.2">
      <c r="B70" s="185"/>
      <c r="C70" s="186"/>
      <c r="D70" s="187"/>
      <c r="E70" s="171"/>
      <c r="F70" s="128"/>
      <c r="G70" s="111"/>
      <c r="H70" s="130"/>
      <c r="I70" s="130"/>
      <c r="J70" s="104"/>
    </row>
    <row r="71" spans="2:10" x14ac:dyDescent="0.2">
      <c r="B71" s="182" t="s">
        <v>142</v>
      </c>
      <c r="C71" s="183">
        <f>SUM(F63:F64)</f>
        <v>14057.842295238095</v>
      </c>
      <c r="D71" s="183">
        <f>+D58</f>
        <v>14000</v>
      </c>
      <c r="E71" s="188">
        <f>+C71/D71</f>
        <v>1.0041315925170069</v>
      </c>
      <c r="F71" s="128"/>
      <c r="G71" s="111"/>
      <c r="H71" s="130"/>
      <c r="I71" s="130"/>
      <c r="J71" s="104"/>
    </row>
    <row r="72" spans="2:10" x14ac:dyDescent="0.2">
      <c r="B72" s="182"/>
      <c r="C72" s="183"/>
      <c r="D72" s="183"/>
      <c r="E72" s="188"/>
      <c r="F72" s="128"/>
      <c r="G72" s="111"/>
      <c r="H72" s="130"/>
      <c r="I72" s="130"/>
      <c r="J72" s="104"/>
    </row>
    <row r="73" spans="2:10" ht="13.5" thickBot="1" x14ac:dyDescent="0.25">
      <c r="B73" s="182" t="s">
        <v>143</v>
      </c>
      <c r="C73" s="183">
        <f>+F65</f>
        <v>464</v>
      </c>
      <c r="D73" s="183">
        <f>+D58</f>
        <v>14000</v>
      </c>
      <c r="E73" s="188">
        <f>+C73/D73</f>
        <v>3.3142857142857141E-2</v>
      </c>
      <c r="F73" s="128"/>
      <c r="G73" s="111"/>
      <c r="H73" s="130"/>
      <c r="I73" s="130"/>
      <c r="J73" s="104"/>
    </row>
    <row r="74" spans="2:10" ht="13.5" thickBot="1" x14ac:dyDescent="0.25">
      <c r="B74" s="182" t="s">
        <v>144</v>
      </c>
      <c r="C74" s="183">
        <f>+F56</f>
        <v>928</v>
      </c>
      <c r="D74" s="183">
        <f>+D73</f>
        <v>14000</v>
      </c>
      <c r="E74" s="184">
        <f>+C74/D74</f>
        <v>6.6285714285714281E-2</v>
      </c>
      <c r="F74" s="128"/>
      <c r="G74" s="111"/>
      <c r="H74" s="130"/>
      <c r="I74" s="130"/>
      <c r="J74" s="104"/>
    </row>
    <row r="75" spans="2:10" ht="13.5" thickBot="1" x14ac:dyDescent="0.25">
      <c r="B75" s="148"/>
      <c r="C75" s="149"/>
      <c r="D75" s="149"/>
      <c r="E75" s="188"/>
      <c r="F75" s="128"/>
      <c r="G75" s="111"/>
      <c r="H75" s="130"/>
      <c r="I75" s="130"/>
      <c r="J75" s="104"/>
    </row>
    <row r="76" spans="2:10" ht="13.5" thickBot="1" x14ac:dyDescent="0.25">
      <c r="B76" s="182" t="s">
        <v>145</v>
      </c>
      <c r="C76" s="183">
        <f>+F54</f>
        <v>122.69409523809524</v>
      </c>
      <c r="D76" s="183">
        <f>+D74</f>
        <v>14000</v>
      </c>
      <c r="E76" s="184">
        <f>+C76/D76</f>
        <v>8.7638639455782322E-3</v>
      </c>
      <c r="F76" s="128"/>
      <c r="G76" s="111"/>
      <c r="H76" s="130"/>
      <c r="I76" s="130"/>
      <c r="J76" s="130"/>
    </row>
    <row r="77" spans="2:10" ht="13.5" thickBot="1" x14ac:dyDescent="0.25">
      <c r="B77" s="148"/>
      <c r="C77" s="149"/>
      <c r="D77" s="149"/>
      <c r="E77" s="188"/>
      <c r="F77" s="128"/>
      <c r="G77" s="111"/>
      <c r="H77" s="130"/>
      <c r="I77" s="130"/>
    </row>
    <row r="78" spans="2:10" ht="13.5" thickBot="1" x14ac:dyDescent="0.25">
      <c r="B78" s="328" t="s">
        <v>146</v>
      </c>
      <c r="C78" s="329"/>
      <c r="D78" s="330"/>
      <c r="E78" s="184">
        <f>+E69+E74</f>
        <v>1.0421364285714285</v>
      </c>
      <c r="G78" s="128"/>
      <c r="H78" s="111"/>
      <c r="I78" s="130"/>
      <c r="J78" s="188"/>
    </row>
    <row r="79" spans="2:10" x14ac:dyDescent="0.2">
      <c r="I79" s="111"/>
      <c r="J79" s="104"/>
    </row>
    <row r="80" spans="2:10" ht="13.5" thickBot="1" x14ac:dyDescent="0.25">
      <c r="B80" s="331" t="s">
        <v>147</v>
      </c>
      <c r="C80" s="331"/>
      <c r="D80" s="331"/>
      <c r="E80" s="331"/>
      <c r="F80" s="331"/>
      <c r="G80" s="128"/>
      <c r="H80" s="111"/>
      <c r="J80" s="104"/>
    </row>
    <row r="81" spans="1:10" ht="13.5" thickBot="1" x14ac:dyDescent="0.25">
      <c r="B81" s="182" t="s">
        <v>141</v>
      </c>
      <c r="C81" s="183">
        <f>+C69</f>
        <v>13661.91</v>
      </c>
      <c r="D81" s="183">
        <f>+D60</f>
        <v>1</v>
      </c>
      <c r="E81" s="184">
        <f>+C81/D81</f>
        <v>13661.91</v>
      </c>
      <c r="F81" s="128"/>
      <c r="G81" s="111"/>
      <c r="H81" s="130"/>
      <c r="I81" s="111"/>
      <c r="J81" s="104"/>
    </row>
    <row r="82" spans="1:10" x14ac:dyDescent="0.2">
      <c r="B82" s="185"/>
      <c r="C82" s="186"/>
      <c r="D82" s="187"/>
      <c r="E82" s="171"/>
      <c r="F82" s="128"/>
      <c r="G82" s="111"/>
      <c r="H82" s="130"/>
      <c r="I82" s="130"/>
      <c r="J82" s="104"/>
    </row>
    <row r="83" spans="1:10" x14ac:dyDescent="0.2">
      <c r="B83" s="182" t="s">
        <v>142</v>
      </c>
      <c r="C83" s="183">
        <f>+C71</f>
        <v>14057.842295238095</v>
      </c>
      <c r="D83" s="183">
        <f>+D60</f>
        <v>1</v>
      </c>
      <c r="E83" s="188">
        <f>+C83/D83</f>
        <v>14057.842295238095</v>
      </c>
      <c r="F83" s="128"/>
      <c r="G83" s="111"/>
      <c r="H83" s="130"/>
      <c r="I83" s="130"/>
      <c r="J83" s="104"/>
    </row>
    <row r="84" spans="1:10" x14ac:dyDescent="0.2">
      <c r="B84" s="182"/>
      <c r="C84" s="183"/>
      <c r="D84" s="183"/>
      <c r="E84" s="188"/>
      <c r="F84" s="128"/>
      <c r="G84" s="111"/>
      <c r="H84" s="130"/>
      <c r="I84" s="130"/>
      <c r="J84" s="104"/>
    </row>
    <row r="85" spans="1:10" ht="13.5" thickBot="1" x14ac:dyDescent="0.25">
      <c r="B85" s="182" t="s">
        <v>144</v>
      </c>
      <c r="C85" s="183">
        <f>+C73</f>
        <v>464</v>
      </c>
      <c r="D85" s="183">
        <f>+D60</f>
        <v>1</v>
      </c>
      <c r="E85" s="188">
        <f>+C85/D85</f>
        <v>464</v>
      </c>
      <c r="F85" s="190"/>
      <c r="G85" s="181"/>
      <c r="H85" s="115"/>
      <c r="I85" s="130"/>
    </row>
    <row r="86" spans="1:10" ht="13.5" thickBot="1" x14ac:dyDescent="0.25">
      <c r="B86" s="182" t="s">
        <v>144</v>
      </c>
      <c r="C86" s="183">
        <f>+C74</f>
        <v>928</v>
      </c>
      <c r="D86" s="183">
        <f>+D85</f>
        <v>1</v>
      </c>
      <c r="E86" s="184">
        <f>+C86/D86</f>
        <v>928</v>
      </c>
      <c r="F86" s="189"/>
      <c r="G86" s="181"/>
      <c r="H86" s="115"/>
      <c r="I86" s="115"/>
    </row>
    <row r="87" spans="1:10" x14ac:dyDescent="0.2">
      <c r="I87" s="115"/>
    </row>
    <row r="88" spans="1:10" x14ac:dyDescent="0.2">
      <c r="A88" s="332"/>
      <c r="B88" s="332"/>
      <c r="C88" s="191"/>
      <c r="D88" s="191"/>
      <c r="E88" s="192"/>
      <c r="G88" s="193"/>
    </row>
    <row r="89" spans="1:10" x14ac:dyDescent="0.2">
      <c r="A89" s="102"/>
      <c r="B89" s="194"/>
      <c r="C89" s="195"/>
      <c r="D89" s="195"/>
      <c r="E89" s="196"/>
      <c r="G89" s="193"/>
    </row>
    <row r="90" spans="1:10" x14ac:dyDescent="0.2">
      <c r="A90" s="102"/>
      <c r="B90" s="194"/>
      <c r="C90" s="197"/>
      <c r="D90" s="197"/>
      <c r="E90" s="102"/>
      <c r="G90" s="193"/>
    </row>
    <row r="91" spans="1:10" x14ac:dyDescent="0.2">
      <c r="A91" s="102"/>
      <c r="B91" s="194"/>
      <c r="C91" s="198"/>
      <c r="D91" s="198"/>
      <c r="E91" s="102"/>
      <c r="G91" s="193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F14E3-B4CC-458F-857E-7C9882337E31}">
  <dimension ref="A1:H31"/>
  <sheetViews>
    <sheetView workbookViewId="0">
      <selection activeCell="A27" sqref="A27:H27"/>
    </sheetView>
  </sheetViews>
  <sheetFormatPr baseColWidth="10" defaultRowHeight="12.75" x14ac:dyDescent="0.2"/>
  <cols>
    <col min="1" max="1" width="16.5703125" customWidth="1"/>
    <col min="2" max="2" width="36" customWidth="1"/>
    <col min="7" max="7" width="18.42578125" customWidth="1"/>
  </cols>
  <sheetData>
    <row r="1" spans="1:8" ht="18" x14ac:dyDescent="0.25">
      <c r="A1" s="281"/>
      <c r="B1" s="273" t="s">
        <v>22</v>
      </c>
      <c r="C1" s="273"/>
      <c r="D1" s="273"/>
      <c r="E1" s="273"/>
      <c r="F1" s="273"/>
      <c r="G1" s="1" t="s">
        <v>21</v>
      </c>
      <c r="H1" s="2"/>
    </row>
    <row r="2" spans="1:8" ht="18" x14ac:dyDescent="0.25">
      <c r="A2" s="282"/>
      <c r="B2" s="274" t="s">
        <v>0</v>
      </c>
      <c r="C2" s="274"/>
      <c r="D2" s="274"/>
      <c r="E2" s="274"/>
      <c r="F2" s="274"/>
      <c r="G2" s="4" t="s">
        <v>20</v>
      </c>
      <c r="H2" s="5"/>
    </row>
    <row r="3" spans="1:8" ht="15" x14ac:dyDescent="0.2">
      <c r="A3" s="282"/>
      <c r="B3" s="275" t="s">
        <v>95</v>
      </c>
      <c r="C3" s="275"/>
      <c r="D3" s="275"/>
      <c r="E3" s="275"/>
      <c r="F3" s="275"/>
      <c r="G3" s="292" t="s">
        <v>19</v>
      </c>
      <c r="H3" s="294"/>
    </row>
    <row r="4" spans="1:8" x14ac:dyDescent="0.2">
      <c r="A4" s="282"/>
      <c r="B4" s="35" t="s">
        <v>18</v>
      </c>
      <c r="C4" s="288" t="s">
        <v>25</v>
      </c>
      <c r="D4" s="288"/>
      <c r="E4" s="288"/>
      <c r="F4" s="288"/>
      <c r="G4" s="292"/>
      <c r="H4" s="294"/>
    </row>
    <row r="5" spans="1:8" ht="13.5" thickBot="1" x14ac:dyDescent="0.25">
      <c r="A5" s="283"/>
      <c r="B5" s="36" t="s">
        <v>17</v>
      </c>
      <c r="C5" s="296" t="s">
        <v>34</v>
      </c>
      <c r="D5" s="296"/>
      <c r="E5" s="296"/>
      <c r="F5" s="296"/>
      <c r="G5" s="293"/>
      <c r="H5" s="295"/>
    </row>
    <row r="6" spans="1:8" x14ac:dyDescent="0.2">
      <c r="A6" s="30"/>
      <c r="B6" s="31"/>
      <c r="C6" s="32"/>
      <c r="D6" s="32"/>
      <c r="E6" s="32"/>
      <c r="F6" s="32"/>
      <c r="G6" s="33"/>
      <c r="H6" s="34"/>
    </row>
    <row r="7" spans="1:8" ht="18.75" thickBot="1" x14ac:dyDescent="0.3">
      <c r="A7" s="289" t="s">
        <v>23</v>
      </c>
      <c r="B7" s="289"/>
      <c r="C7" s="290" t="s">
        <v>57</v>
      </c>
      <c r="D7" s="290"/>
      <c r="E7" s="290"/>
      <c r="F7" s="291" t="s">
        <v>24</v>
      </c>
      <c r="G7" s="291"/>
      <c r="H7" s="40" t="s">
        <v>57</v>
      </c>
    </row>
    <row r="8" spans="1:8" ht="25.5" x14ac:dyDescent="0.2">
      <c r="A8" s="284" t="s">
        <v>1</v>
      </c>
      <c r="B8" s="286" t="s">
        <v>2</v>
      </c>
      <c r="C8" s="286" t="s">
        <v>3</v>
      </c>
      <c r="D8" s="286" t="s">
        <v>4</v>
      </c>
      <c r="E8" s="286"/>
      <c r="F8" s="286" t="s">
        <v>16</v>
      </c>
      <c r="G8" s="286"/>
      <c r="H8" s="6" t="s">
        <v>5</v>
      </c>
    </row>
    <row r="9" spans="1:8" ht="26.25" thickBot="1" x14ac:dyDescent="0.25">
      <c r="A9" s="321"/>
      <c r="B9" s="322"/>
      <c r="C9" s="322"/>
      <c r="D9" s="7" t="s">
        <v>6</v>
      </c>
      <c r="E9" s="8" t="s">
        <v>7</v>
      </c>
      <c r="F9" s="7" t="s">
        <v>6</v>
      </c>
      <c r="G9" s="8" t="s">
        <v>7</v>
      </c>
      <c r="H9" s="39" t="s">
        <v>8</v>
      </c>
    </row>
    <row r="10" spans="1:8" x14ac:dyDescent="0.2">
      <c r="A10" s="101" t="s">
        <v>31</v>
      </c>
      <c r="B10" s="100" t="s">
        <v>96</v>
      </c>
      <c r="C10" s="37" t="s">
        <v>32</v>
      </c>
      <c r="D10" s="37">
        <v>16000</v>
      </c>
      <c r="E10" s="37" t="s">
        <v>26</v>
      </c>
      <c r="F10" s="23">
        <v>533</v>
      </c>
      <c r="G10" s="37" t="s">
        <v>27</v>
      </c>
      <c r="H10" s="38"/>
    </row>
    <row r="11" spans="1:8" ht="15" x14ac:dyDescent="0.25">
      <c r="A11" s="51" t="s">
        <v>76</v>
      </c>
      <c r="B11" s="52" t="s">
        <v>77</v>
      </c>
      <c r="C11" s="37" t="s">
        <v>97</v>
      </c>
      <c r="D11" s="37">
        <v>533</v>
      </c>
      <c r="E11" s="37" t="s">
        <v>27</v>
      </c>
      <c r="F11" s="23"/>
      <c r="G11" s="37"/>
      <c r="H11" s="38"/>
    </row>
    <row r="12" spans="1:8" ht="15" x14ac:dyDescent="0.25">
      <c r="A12" s="51"/>
      <c r="B12" s="52"/>
      <c r="C12" s="37"/>
      <c r="D12" s="37"/>
      <c r="E12" s="37"/>
      <c r="F12" s="23"/>
      <c r="G12" s="37"/>
      <c r="H12" s="38"/>
    </row>
    <row r="13" spans="1:8" ht="15" x14ac:dyDescent="0.25">
      <c r="A13" s="55"/>
      <c r="B13" s="56"/>
      <c r="C13" s="57"/>
      <c r="D13" s="57"/>
      <c r="E13" s="57"/>
      <c r="F13" s="58"/>
      <c r="G13" s="57"/>
      <c r="H13" s="59"/>
    </row>
    <row r="14" spans="1:8" ht="15" x14ac:dyDescent="0.25">
      <c r="A14" s="55"/>
      <c r="B14" s="56"/>
      <c r="C14" s="57"/>
      <c r="D14" s="57"/>
      <c r="E14" s="57"/>
      <c r="F14" s="58"/>
      <c r="G14" s="57"/>
      <c r="H14" s="59"/>
    </row>
    <row r="15" spans="1:8" ht="13.5" thickBot="1" x14ac:dyDescent="0.25">
      <c r="A15" s="12"/>
      <c r="B15" s="3"/>
      <c r="C15" s="3"/>
      <c r="D15" s="13"/>
      <c r="E15" s="14"/>
      <c r="F15" s="3"/>
      <c r="G15" s="3"/>
      <c r="H15" s="15"/>
    </row>
    <row r="16" spans="1:8" ht="13.5" thickBot="1" x14ac:dyDescent="0.25">
      <c r="A16" s="17"/>
      <c r="B16" s="18"/>
      <c r="C16" s="19" t="s">
        <v>6</v>
      </c>
      <c r="D16" s="20" t="s">
        <v>15</v>
      </c>
      <c r="E16" s="21"/>
      <c r="F16" s="18"/>
      <c r="G16" s="18"/>
      <c r="H16" s="22"/>
    </row>
    <row r="17" spans="1:8" x14ac:dyDescent="0.2">
      <c r="A17" s="276" t="s">
        <v>10</v>
      </c>
      <c r="B17" s="277"/>
      <c r="C17" s="23">
        <v>16000</v>
      </c>
      <c r="D17" s="24" t="s">
        <v>26</v>
      </c>
      <c r="E17" s="278"/>
      <c r="F17" s="278"/>
      <c r="G17" s="279"/>
      <c r="H17" s="280"/>
    </row>
    <row r="18" spans="1:8" x14ac:dyDescent="0.2">
      <c r="A18" s="297" t="s">
        <v>9</v>
      </c>
      <c r="B18" s="298"/>
      <c r="C18" s="25">
        <v>20</v>
      </c>
      <c r="D18" s="10" t="s">
        <v>28</v>
      </c>
      <c r="E18" s="299"/>
      <c r="F18" s="299"/>
      <c r="G18" s="300"/>
      <c r="H18" s="301"/>
    </row>
    <row r="19" spans="1:8" x14ac:dyDescent="0.2">
      <c r="A19" s="297" t="s">
        <v>14</v>
      </c>
      <c r="B19" s="298"/>
      <c r="C19" s="9">
        <f>C17/C20</f>
        <v>533.33333333333337</v>
      </c>
      <c r="D19" s="10" t="s">
        <v>27</v>
      </c>
      <c r="E19" s="299" t="s">
        <v>83</v>
      </c>
      <c r="F19" s="299"/>
      <c r="G19" s="300"/>
      <c r="H19" s="301"/>
    </row>
    <row r="20" spans="1:8" x14ac:dyDescent="0.2">
      <c r="A20" s="297" t="s">
        <v>13</v>
      </c>
      <c r="B20" s="298"/>
      <c r="C20" s="9">
        <v>30</v>
      </c>
      <c r="D20" s="10" t="s">
        <v>26</v>
      </c>
      <c r="E20" s="302"/>
      <c r="F20" s="303"/>
      <c r="G20" s="300"/>
      <c r="H20" s="301"/>
    </row>
    <row r="21" spans="1:8" ht="13.5" thickBot="1" x14ac:dyDescent="0.25">
      <c r="A21" s="310" t="s">
        <v>12</v>
      </c>
      <c r="B21" s="311"/>
      <c r="C21" s="27">
        <f>SUM(D10:D12)-C17</f>
        <v>533</v>
      </c>
      <c r="D21" s="28" t="s">
        <v>26</v>
      </c>
      <c r="E21" s="312"/>
      <c r="F21" s="312"/>
      <c r="G21" s="313"/>
      <c r="H21" s="314"/>
    </row>
    <row r="22" spans="1:8" ht="13.5" thickBot="1" x14ac:dyDescent="0.25">
      <c r="A22" s="318" t="s">
        <v>11</v>
      </c>
      <c r="B22" s="319"/>
      <c r="C22" s="319"/>
      <c r="D22" s="319"/>
      <c r="E22" s="319"/>
      <c r="F22" s="319"/>
      <c r="G22" s="319"/>
      <c r="H22" s="320"/>
    </row>
    <row r="23" spans="1:8" ht="15" x14ac:dyDescent="0.25">
      <c r="A23" s="304" t="s">
        <v>98</v>
      </c>
      <c r="B23" s="305"/>
      <c r="C23" s="305"/>
      <c r="D23" s="305"/>
      <c r="E23" s="305"/>
      <c r="F23" s="305"/>
      <c r="G23" s="305"/>
      <c r="H23" s="306"/>
    </row>
    <row r="24" spans="1:8" ht="15" x14ac:dyDescent="0.25">
      <c r="A24" s="304" t="s">
        <v>99</v>
      </c>
      <c r="B24" s="305"/>
      <c r="C24" s="305"/>
      <c r="D24" s="305"/>
      <c r="E24" s="305"/>
      <c r="F24" s="305"/>
      <c r="G24" s="305"/>
      <c r="H24" s="306"/>
    </row>
    <row r="25" spans="1:8" ht="15" x14ac:dyDescent="0.25">
      <c r="A25" s="304"/>
      <c r="B25" s="305"/>
      <c r="C25" s="305"/>
      <c r="D25" s="305"/>
      <c r="E25" s="305"/>
      <c r="F25" s="305"/>
      <c r="G25" s="305"/>
      <c r="H25" s="306"/>
    </row>
    <row r="26" spans="1:8" ht="15" x14ac:dyDescent="0.25">
      <c r="A26" s="304"/>
      <c r="B26" s="305"/>
      <c r="C26" s="305"/>
      <c r="D26" s="305"/>
      <c r="E26" s="305"/>
      <c r="F26" s="305"/>
      <c r="G26" s="305"/>
      <c r="H26" s="306"/>
    </row>
    <row r="27" spans="1:8" ht="15" x14ac:dyDescent="0.25">
      <c r="A27" s="304"/>
      <c r="B27" s="305"/>
      <c r="C27" s="305"/>
      <c r="D27" s="305"/>
      <c r="E27" s="305"/>
      <c r="F27" s="305"/>
      <c r="G27" s="305"/>
      <c r="H27" s="306"/>
    </row>
    <row r="28" spans="1:8" ht="15" x14ac:dyDescent="0.25">
      <c r="A28" s="60"/>
    </row>
    <row r="29" spans="1:8" ht="14.25" x14ac:dyDescent="0.2">
      <c r="A29" s="315"/>
      <c r="B29" s="316"/>
      <c r="C29" s="316"/>
      <c r="D29" s="316"/>
      <c r="E29" s="316"/>
      <c r="F29" s="316"/>
      <c r="G29" s="316"/>
      <c r="H29" s="317"/>
    </row>
    <row r="30" spans="1:8" ht="14.25" x14ac:dyDescent="0.2">
      <c r="A30" s="315"/>
      <c r="B30" s="316"/>
      <c r="C30" s="316"/>
      <c r="D30" s="316"/>
      <c r="E30" s="316"/>
      <c r="F30" s="316"/>
      <c r="G30" s="316"/>
      <c r="H30" s="317"/>
    </row>
    <row r="31" spans="1:8" ht="15" thickBot="1" x14ac:dyDescent="0.25">
      <c r="A31" s="307"/>
      <c r="B31" s="308"/>
      <c r="C31" s="308"/>
      <c r="D31" s="308"/>
      <c r="E31" s="308"/>
      <c r="F31" s="308"/>
      <c r="G31" s="308"/>
      <c r="H31" s="309"/>
    </row>
  </sheetData>
  <mergeCells count="40">
    <mergeCell ref="A30:H30"/>
    <mergeCell ref="A31:H31"/>
    <mergeCell ref="A24:H24"/>
    <mergeCell ref="A25:H25"/>
    <mergeCell ref="A26:H26"/>
    <mergeCell ref="A27:H27"/>
    <mergeCell ref="A29:H29"/>
    <mergeCell ref="A21:B21"/>
    <mergeCell ref="E21:F21"/>
    <mergeCell ref="G21:H21"/>
    <mergeCell ref="A22:H22"/>
    <mergeCell ref="A23:H23"/>
    <mergeCell ref="A19:B19"/>
    <mergeCell ref="E19:F19"/>
    <mergeCell ref="G19:H19"/>
    <mergeCell ref="A20:B20"/>
    <mergeCell ref="E20:F20"/>
    <mergeCell ref="G20:H20"/>
    <mergeCell ref="A17:B17"/>
    <mergeCell ref="E17:F17"/>
    <mergeCell ref="G17:H17"/>
    <mergeCell ref="A18:B18"/>
    <mergeCell ref="E18:F18"/>
    <mergeCell ref="G18:H18"/>
    <mergeCell ref="A8:A9"/>
    <mergeCell ref="B8:B9"/>
    <mergeCell ref="C8:C9"/>
    <mergeCell ref="D8:E8"/>
    <mergeCell ref="F8:G8"/>
    <mergeCell ref="H3:H5"/>
    <mergeCell ref="C4:F4"/>
    <mergeCell ref="C5:F5"/>
    <mergeCell ref="A7:B7"/>
    <mergeCell ref="C7:E7"/>
    <mergeCell ref="F7:G7"/>
    <mergeCell ref="A1:A5"/>
    <mergeCell ref="B1:F1"/>
    <mergeCell ref="B2:F2"/>
    <mergeCell ref="B3:F3"/>
    <mergeCell ref="G3:G5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3A0B3-0E1B-4A58-9E87-8B18985EF4B9}">
  <dimension ref="A1:H31"/>
  <sheetViews>
    <sheetView topLeftCell="A5" workbookViewId="0">
      <selection activeCell="C18" sqref="C18"/>
    </sheetView>
  </sheetViews>
  <sheetFormatPr baseColWidth="10" defaultRowHeight="12.75" x14ac:dyDescent="0.2"/>
  <cols>
    <col min="1" max="1" width="16.5703125" customWidth="1"/>
    <col min="2" max="2" width="36" customWidth="1"/>
    <col min="7" max="7" width="18.42578125" customWidth="1"/>
  </cols>
  <sheetData>
    <row r="1" spans="1:8" ht="18" x14ac:dyDescent="0.25">
      <c r="A1" s="281"/>
      <c r="B1" s="273" t="s">
        <v>22</v>
      </c>
      <c r="C1" s="273"/>
      <c r="D1" s="273"/>
      <c r="E1" s="273"/>
      <c r="F1" s="273"/>
      <c r="G1" s="1" t="s">
        <v>21</v>
      </c>
      <c r="H1" s="2"/>
    </row>
    <row r="2" spans="1:8" ht="18" x14ac:dyDescent="0.25">
      <c r="A2" s="282"/>
      <c r="B2" s="274" t="s">
        <v>0</v>
      </c>
      <c r="C2" s="274"/>
      <c r="D2" s="274"/>
      <c r="E2" s="274"/>
      <c r="F2" s="274"/>
      <c r="G2" s="4" t="s">
        <v>20</v>
      </c>
      <c r="H2" s="5"/>
    </row>
    <row r="3" spans="1:8" ht="15" x14ac:dyDescent="0.2">
      <c r="A3" s="282"/>
      <c r="B3" s="275" t="s">
        <v>162</v>
      </c>
      <c r="C3" s="275"/>
      <c r="D3" s="275"/>
      <c r="E3" s="275"/>
      <c r="F3" s="275"/>
      <c r="G3" s="292" t="s">
        <v>19</v>
      </c>
      <c r="H3" s="294"/>
    </row>
    <row r="4" spans="1:8" x14ac:dyDescent="0.2">
      <c r="A4" s="282"/>
      <c r="B4" s="35" t="s">
        <v>18</v>
      </c>
      <c r="C4" s="288" t="s">
        <v>25</v>
      </c>
      <c r="D4" s="288"/>
      <c r="E4" s="288"/>
      <c r="F4" s="288"/>
      <c r="G4" s="292"/>
      <c r="H4" s="294"/>
    </row>
    <row r="5" spans="1:8" ht="13.5" thickBot="1" x14ac:dyDescent="0.25">
      <c r="A5" s="283"/>
      <c r="B5" s="36" t="s">
        <v>17</v>
      </c>
      <c r="C5" s="296" t="s">
        <v>34</v>
      </c>
      <c r="D5" s="296"/>
      <c r="E5" s="296"/>
      <c r="F5" s="296"/>
      <c r="G5" s="293"/>
      <c r="H5" s="295"/>
    </row>
    <row r="6" spans="1:8" x14ac:dyDescent="0.2">
      <c r="A6" s="30"/>
      <c r="B6" s="31"/>
      <c r="C6" s="32"/>
      <c r="D6" s="32"/>
      <c r="E6" s="32"/>
      <c r="F6" s="32"/>
      <c r="G6" s="33"/>
      <c r="H6" s="34"/>
    </row>
    <row r="7" spans="1:8" ht="18.75" thickBot="1" x14ac:dyDescent="0.3">
      <c r="A7" s="289" t="s">
        <v>23</v>
      </c>
      <c r="B7" s="289"/>
      <c r="C7" s="290" t="s">
        <v>57</v>
      </c>
      <c r="D7" s="290"/>
      <c r="E7" s="290"/>
      <c r="F7" s="291" t="s">
        <v>24</v>
      </c>
      <c r="G7" s="291"/>
      <c r="H7" s="40" t="s">
        <v>57</v>
      </c>
    </row>
    <row r="8" spans="1:8" ht="25.5" x14ac:dyDescent="0.2">
      <c r="A8" s="284" t="s">
        <v>1</v>
      </c>
      <c r="B8" s="286" t="s">
        <v>2</v>
      </c>
      <c r="C8" s="286" t="s">
        <v>3</v>
      </c>
      <c r="D8" s="286" t="s">
        <v>4</v>
      </c>
      <c r="E8" s="286"/>
      <c r="F8" s="286" t="s">
        <v>16</v>
      </c>
      <c r="G8" s="286"/>
      <c r="H8" s="6" t="s">
        <v>5</v>
      </c>
    </row>
    <row r="9" spans="1:8" ht="26.25" thickBot="1" x14ac:dyDescent="0.25">
      <c r="A9" s="321"/>
      <c r="B9" s="322"/>
      <c r="C9" s="322"/>
      <c r="D9" s="7" t="s">
        <v>6</v>
      </c>
      <c r="E9" s="8" t="s">
        <v>7</v>
      </c>
      <c r="F9" s="7" t="s">
        <v>6</v>
      </c>
      <c r="G9" s="8" t="s">
        <v>7</v>
      </c>
      <c r="H9" s="39" t="s">
        <v>8</v>
      </c>
    </row>
    <row r="10" spans="1:8" x14ac:dyDescent="0.2">
      <c r="A10" s="220" t="s">
        <v>31</v>
      </c>
      <c r="B10" s="50" t="s">
        <v>163</v>
      </c>
      <c r="C10" s="37" t="s">
        <v>32</v>
      </c>
      <c r="D10" s="37">
        <v>16000</v>
      </c>
      <c r="E10" s="37" t="s">
        <v>26</v>
      </c>
      <c r="F10" s="23">
        <v>533</v>
      </c>
      <c r="G10" s="37" t="s">
        <v>27</v>
      </c>
      <c r="H10" s="38"/>
    </row>
    <row r="11" spans="1:8" x14ac:dyDescent="0.2">
      <c r="A11" s="101"/>
      <c r="B11" s="100"/>
      <c r="C11" s="37"/>
      <c r="D11" s="37"/>
      <c r="E11" s="37"/>
      <c r="F11" s="23"/>
      <c r="G11" s="37"/>
      <c r="H11" s="38"/>
    </row>
    <row r="12" spans="1:8" ht="15" x14ac:dyDescent="0.25">
      <c r="A12" s="41">
        <v>902000019</v>
      </c>
      <c r="B12" t="s">
        <v>164</v>
      </c>
      <c r="C12" s="221" t="s">
        <v>165</v>
      </c>
      <c r="D12" s="45">
        <v>140</v>
      </c>
      <c r="E12" s="49" t="s">
        <v>26</v>
      </c>
      <c r="F12" s="23"/>
      <c r="G12" s="37"/>
      <c r="H12" s="38"/>
    </row>
    <row r="13" spans="1:8" ht="15" x14ac:dyDescent="0.25">
      <c r="A13" s="77">
        <v>1950772</v>
      </c>
      <c r="B13" s="78" t="s">
        <v>166</v>
      </c>
      <c r="C13" s="221" t="s">
        <v>50</v>
      </c>
      <c r="D13" s="86">
        <v>7</v>
      </c>
      <c r="E13" s="86" t="s">
        <v>27</v>
      </c>
      <c r="F13" s="58"/>
      <c r="G13" s="57"/>
      <c r="H13" s="59"/>
    </row>
    <row r="14" spans="1:8" ht="15" x14ac:dyDescent="0.25">
      <c r="A14" s="55"/>
      <c r="B14" s="56"/>
      <c r="C14" s="57"/>
      <c r="D14" s="57"/>
      <c r="E14" s="57"/>
      <c r="F14" s="58"/>
      <c r="G14" s="57"/>
      <c r="H14" s="59"/>
    </row>
    <row r="15" spans="1:8" ht="13.5" thickBot="1" x14ac:dyDescent="0.25">
      <c r="A15" s="12"/>
      <c r="B15" s="3"/>
      <c r="C15" s="3"/>
      <c r="D15" s="13"/>
      <c r="E15" s="14"/>
      <c r="F15" s="3"/>
      <c r="G15" s="3"/>
      <c r="H15" s="15"/>
    </row>
    <row r="16" spans="1:8" ht="13.5" thickBot="1" x14ac:dyDescent="0.25">
      <c r="A16" s="17"/>
      <c r="B16" s="18"/>
      <c r="C16" s="19" t="s">
        <v>6</v>
      </c>
      <c r="D16" s="20" t="s">
        <v>15</v>
      </c>
      <c r="E16" s="21"/>
      <c r="F16" s="18"/>
      <c r="G16" s="18"/>
      <c r="H16" s="22"/>
    </row>
    <row r="17" spans="1:8" x14ac:dyDescent="0.2">
      <c r="A17" s="276" t="s">
        <v>10</v>
      </c>
      <c r="B17" s="277"/>
      <c r="C17" s="23">
        <v>16000</v>
      </c>
      <c r="D17" s="24" t="s">
        <v>26</v>
      </c>
      <c r="E17" s="278"/>
      <c r="F17" s="278"/>
      <c r="G17" s="279"/>
      <c r="H17" s="280"/>
    </row>
    <row r="18" spans="1:8" x14ac:dyDescent="0.2">
      <c r="A18" s="297" t="s">
        <v>9</v>
      </c>
      <c r="B18" s="298"/>
      <c r="C18" s="25">
        <v>20</v>
      </c>
      <c r="D18" s="10" t="s">
        <v>28</v>
      </c>
      <c r="E18" s="299"/>
      <c r="F18" s="299"/>
      <c r="G18" s="300"/>
      <c r="H18" s="301"/>
    </row>
    <row r="19" spans="1:8" x14ac:dyDescent="0.2">
      <c r="A19" s="297" t="s">
        <v>14</v>
      </c>
      <c r="B19" s="298"/>
      <c r="C19" s="9">
        <f>C17/C20</f>
        <v>21.333333333333332</v>
      </c>
      <c r="D19" s="10" t="s">
        <v>27</v>
      </c>
      <c r="E19" s="299" t="s">
        <v>83</v>
      </c>
      <c r="F19" s="299"/>
      <c r="G19" s="300"/>
      <c r="H19" s="301"/>
    </row>
    <row r="20" spans="1:8" x14ac:dyDescent="0.2">
      <c r="A20" s="297" t="s">
        <v>13</v>
      </c>
      <c r="B20" s="298"/>
      <c r="C20" s="9">
        <v>750</v>
      </c>
      <c r="D20" s="10" t="s">
        <v>26</v>
      </c>
      <c r="E20" s="302"/>
      <c r="F20" s="303"/>
      <c r="G20" s="300"/>
      <c r="H20" s="301"/>
    </row>
    <row r="21" spans="1:8" ht="13.5" thickBot="1" x14ac:dyDescent="0.25">
      <c r="A21" s="310" t="s">
        <v>12</v>
      </c>
      <c r="B21" s="311"/>
      <c r="C21" s="27">
        <f>SUM(D10:D12)-C17</f>
        <v>140</v>
      </c>
      <c r="D21" s="28" t="s">
        <v>26</v>
      </c>
      <c r="E21" s="312"/>
      <c r="F21" s="312"/>
      <c r="G21" s="313"/>
      <c r="H21" s="314"/>
    </row>
    <row r="22" spans="1:8" ht="13.5" thickBot="1" x14ac:dyDescent="0.25">
      <c r="A22" s="318" t="s">
        <v>11</v>
      </c>
      <c r="B22" s="319"/>
      <c r="C22" s="319"/>
      <c r="D22" s="319"/>
      <c r="E22" s="319"/>
      <c r="F22" s="319"/>
      <c r="G22" s="319"/>
      <c r="H22" s="320"/>
    </row>
    <row r="23" spans="1:8" ht="15" x14ac:dyDescent="0.25">
      <c r="A23" s="304" t="s">
        <v>167</v>
      </c>
      <c r="B23" s="305"/>
      <c r="C23" s="305"/>
      <c r="D23" s="305"/>
      <c r="E23" s="305"/>
      <c r="F23" s="305"/>
      <c r="G23" s="305"/>
      <c r="H23" s="306"/>
    </row>
    <row r="24" spans="1:8" ht="15" x14ac:dyDescent="0.25">
      <c r="A24" s="304" t="s">
        <v>99</v>
      </c>
      <c r="B24" s="305"/>
      <c r="C24" s="305"/>
      <c r="D24" s="305"/>
      <c r="E24" s="305"/>
      <c r="F24" s="305"/>
      <c r="G24" s="305"/>
      <c r="H24" s="306"/>
    </row>
    <row r="25" spans="1:8" ht="15" x14ac:dyDescent="0.25">
      <c r="A25" s="304"/>
      <c r="B25" s="305"/>
      <c r="C25" s="305"/>
      <c r="D25" s="305"/>
      <c r="E25" s="305"/>
      <c r="F25" s="305"/>
      <c r="G25" s="305"/>
      <c r="H25" s="306"/>
    </row>
    <row r="26" spans="1:8" ht="15" x14ac:dyDescent="0.25">
      <c r="A26" s="304"/>
      <c r="B26" s="305"/>
      <c r="C26" s="305"/>
      <c r="D26" s="305"/>
      <c r="E26" s="305"/>
      <c r="F26" s="305"/>
      <c r="G26" s="305"/>
      <c r="H26" s="306"/>
    </row>
    <row r="27" spans="1:8" ht="15" x14ac:dyDescent="0.25">
      <c r="A27" s="304"/>
      <c r="B27" s="305"/>
      <c r="C27" s="305"/>
      <c r="D27" s="305"/>
      <c r="E27" s="305"/>
      <c r="F27" s="305"/>
      <c r="G27" s="305"/>
      <c r="H27" s="306"/>
    </row>
    <row r="28" spans="1:8" ht="15" x14ac:dyDescent="0.25">
      <c r="A28" s="60"/>
    </row>
    <row r="29" spans="1:8" ht="14.25" x14ac:dyDescent="0.2">
      <c r="A29" s="315"/>
      <c r="B29" s="316"/>
      <c r="C29" s="316"/>
      <c r="D29" s="316"/>
      <c r="E29" s="316"/>
      <c r="F29" s="316"/>
      <c r="G29" s="316"/>
      <c r="H29" s="317"/>
    </row>
    <row r="30" spans="1:8" ht="14.25" x14ac:dyDescent="0.2">
      <c r="A30" s="315"/>
      <c r="B30" s="316"/>
      <c r="C30" s="316"/>
      <c r="D30" s="316"/>
      <c r="E30" s="316"/>
      <c r="F30" s="316"/>
      <c r="G30" s="316"/>
      <c r="H30" s="317"/>
    </row>
    <row r="31" spans="1:8" ht="15" thickBot="1" x14ac:dyDescent="0.25">
      <c r="A31" s="307"/>
      <c r="B31" s="308"/>
      <c r="C31" s="308"/>
      <c r="D31" s="308"/>
      <c r="E31" s="308"/>
      <c r="F31" s="308"/>
      <c r="G31" s="308"/>
      <c r="H31" s="309"/>
    </row>
  </sheetData>
  <mergeCells count="40">
    <mergeCell ref="A30:H30"/>
    <mergeCell ref="A31:H31"/>
    <mergeCell ref="A24:H24"/>
    <mergeCell ref="A25:H25"/>
    <mergeCell ref="A26:H26"/>
    <mergeCell ref="A27:H27"/>
    <mergeCell ref="A29:H29"/>
    <mergeCell ref="A21:B21"/>
    <mergeCell ref="E21:F21"/>
    <mergeCell ref="G21:H21"/>
    <mergeCell ref="A22:H22"/>
    <mergeCell ref="A23:H23"/>
    <mergeCell ref="A19:B19"/>
    <mergeCell ref="E19:F19"/>
    <mergeCell ref="G19:H19"/>
    <mergeCell ref="A20:B20"/>
    <mergeCell ref="E20:F20"/>
    <mergeCell ref="G20:H20"/>
    <mergeCell ref="A17:B17"/>
    <mergeCell ref="E17:F17"/>
    <mergeCell ref="G17:H17"/>
    <mergeCell ref="A18:B18"/>
    <mergeCell ref="E18:F18"/>
    <mergeCell ref="G18:H18"/>
    <mergeCell ref="A8:A9"/>
    <mergeCell ref="B8:B9"/>
    <mergeCell ref="C8:C9"/>
    <mergeCell ref="D8:E8"/>
    <mergeCell ref="F8:G8"/>
    <mergeCell ref="H3:H5"/>
    <mergeCell ref="C4:F4"/>
    <mergeCell ref="C5:F5"/>
    <mergeCell ref="A7:B7"/>
    <mergeCell ref="C7:E7"/>
    <mergeCell ref="F7:G7"/>
    <mergeCell ref="A1:A5"/>
    <mergeCell ref="B1:F1"/>
    <mergeCell ref="B2:F2"/>
    <mergeCell ref="B3:F3"/>
    <mergeCell ref="G3:G5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38207-7A70-41E5-82C5-A8BF1D484C5E}">
  <dimension ref="A1:Q91"/>
  <sheetViews>
    <sheetView topLeftCell="A44" workbookViewId="0">
      <selection activeCell="B66" sqref="B66:E66"/>
    </sheetView>
  </sheetViews>
  <sheetFormatPr baseColWidth="10" defaultColWidth="8.42578125" defaultRowHeight="12.75" x14ac:dyDescent="0.2"/>
  <cols>
    <col min="1" max="1" width="10" style="104" bestFit="1" customWidth="1"/>
    <col min="2" max="2" width="44.28515625" style="104" bestFit="1" customWidth="1"/>
    <col min="3" max="3" width="10.42578125" style="104" bestFit="1" customWidth="1"/>
    <col min="4" max="4" width="10.42578125" style="104" customWidth="1"/>
    <col min="5" max="5" width="9.7109375" style="104" bestFit="1" customWidth="1"/>
    <col min="6" max="6" width="9.5703125" style="104" bestFit="1" customWidth="1"/>
    <col min="7" max="7" width="9.5703125" style="189" bestFit="1" customWidth="1"/>
    <col min="8" max="8" width="10.42578125" style="181" bestFit="1" customWidth="1"/>
    <col min="9" max="9" width="4.5703125" style="181" customWidth="1"/>
    <col min="10" max="10" width="1.7109375" style="115" customWidth="1"/>
    <col min="11" max="11" width="7" style="104" bestFit="1" customWidth="1"/>
    <col min="12" max="12" width="6.28515625" style="104" customWidth="1"/>
    <col min="13" max="13" width="20.42578125" style="104" customWidth="1"/>
    <col min="14" max="14" width="6.42578125" style="104" bestFit="1" customWidth="1"/>
    <col min="15" max="15" width="9.28515625" style="104" customWidth="1"/>
    <col min="16" max="16" width="8.42578125" style="104"/>
    <col min="17" max="17" width="3.28515625" style="104" customWidth="1"/>
    <col min="18" max="16384" width="8.42578125" style="104"/>
  </cols>
  <sheetData>
    <row r="1" spans="1:10" ht="27.75" customHeight="1" x14ac:dyDescent="0.2">
      <c r="A1" s="112"/>
      <c r="B1" s="112"/>
      <c r="C1" s="112"/>
      <c r="D1" s="112"/>
      <c r="E1" s="113" t="s">
        <v>148</v>
      </c>
      <c r="F1" s="114" t="s">
        <v>104</v>
      </c>
      <c r="G1" s="114" t="s">
        <v>105</v>
      </c>
      <c r="H1" s="114" t="s">
        <v>106</v>
      </c>
      <c r="I1" s="103"/>
    </row>
    <row r="2" spans="1:10" ht="30.75" customHeight="1" x14ac:dyDescent="0.2">
      <c r="A2" s="112"/>
      <c r="B2" s="112"/>
      <c r="C2" s="112"/>
      <c r="D2" s="112"/>
      <c r="E2" s="116">
        <f>IFERROR(O62,"")</f>
        <v>159.32499417959181</v>
      </c>
      <c r="F2" s="116">
        <f>IFERROR(H53,"")</f>
        <v>117.10208571428571</v>
      </c>
      <c r="G2" s="116">
        <f>IFERROR(H54,"")</f>
        <v>1.7971636734693877</v>
      </c>
      <c r="H2" s="116">
        <f>IFERROR(H56,"")</f>
        <v>18.829285714285714</v>
      </c>
      <c r="I2" s="117"/>
    </row>
    <row r="3" spans="1:10" ht="15" customHeight="1" x14ac:dyDescent="0.2">
      <c r="A3" s="112"/>
      <c r="B3" s="112"/>
      <c r="C3" s="112"/>
      <c r="D3" s="112"/>
      <c r="E3" s="112"/>
      <c r="F3" s="118"/>
      <c r="G3" s="118"/>
      <c r="H3" s="118"/>
      <c r="I3" s="118"/>
    </row>
    <row r="4" spans="1:10" ht="24.75" customHeight="1" thickBot="1" x14ac:dyDescent="0.25">
      <c r="A4" s="348"/>
      <c r="B4" s="348"/>
      <c r="C4" s="348"/>
      <c r="D4" s="348"/>
      <c r="E4" s="348"/>
      <c r="F4" s="348"/>
      <c r="G4" s="348"/>
      <c r="H4" s="348"/>
      <c r="I4" s="119"/>
    </row>
    <row r="5" spans="1:10" ht="19.5" customHeight="1" thickBot="1" x14ac:dyDescent="0.25">
      <c r="A5" s="351" t="s">
        <v>107</v>
      </c>
      <c r="B5" s="352"/>
      <c r="C5" s="352"/>
      <c r="D5" s="352"/>
      <c r="E5" s="352"/>
      <c r="F5" s="352"/>
      <c r="G5" s="352"/>
      <c r="H5" s="353"/>
      <c r="I5" s="105"/>
    </row>
    <row r="6" spans="1:10" ht="19.5" thickBot="1" x14ac:dyDescent="0.25">
      <c r="A6" s="105"/>
      <c r="B6" s="105"/>
      <c r="C6" s="105"/>
      <c r="D6" s="105"/>
      <c r="E6" s="105"/>
      <c r="F6" s="349" t="s">
        <v>108</v>
      </c>
      <c r="G6" s="349"/>
      <c r="H6" s="120">
        <f ca="1">TODAY()</f>
        <v>45749</v>
      </c>
      <c r="I6" s="120"/>
    </row>
    <row r="7" spans="1:10" ht="26.25" hidden="1" thickBot="1" x14ac:dyDescent="0.25">
      <c r="A7" s="121" t="s">
        <v>109</v>
      </c>
      <c r="B7" s="122" t="s">
        <v>110</v>
      </c>
      <c r="C7" s="122" t="s">
        <v>109</v>
      </c>
      <c r="D7" s="123" t="s">
        <v>149</v>
      </c>
      <c r="E7" s="123" t="s">
        <v>111</v>
      </c>
      <c r="F7" s="123" t="s">
        <v>112</v>
      </c>
      <c r="G7" s="123" t="s">
        <v>113</v>
      </c>
      <c r="H7" s="124" t="s">
        <v>114</v>
      </c>
      <c r="I7" s="106"/>
    </row>
    <row r="8" spans="1:10" ht="13.5" hidden="1" x14ac:dyDescent="0.25">
      <c r="A8" s="125"/>
      <c r="B8" s="104" t="str">
        <f>IFERROR(VLOOKUP(H8,'[1]Consolidado MP Planta'!$A$2:$M$823,3,0),"")</f>
        <v/>
      </c>
      <c r="C8" s="126">
        <f>+A8</f>
        <v>0</v>
      </c>
      <c r="D8" s="127" t="str">
        <f>IFERROR(VLOOKUP(H8,'[1]Consolidado MP Planta'!$A$2:$M$823,13,0),"")</f>
        <v/>
      </c>
      <c r="E8" s="127" t="str">
        <f>IFERROR(VLOOKUP(H8,'[1]Consolidado MP Planta'!$A$2:$M$823,12,0),"")</f>
        <v/>
      </c>
      <c r="F8" s="127" t="str">
        <f>IFERROR(C8*E8,"")</f>
        <v/>
      </c>
      <c r="G8" s="128" t="str">
        <f t="shared" ref="G8:G14" si="0">IFERROR(F8/$F$66,"")</f>
        <v/>
      </c>
      <c r="H8" s="129"/>
      <c r="I8" s="129"/>
      <c r="J8" s="130"/>
    </row>
    <row r="9" spans="1:10" ht="13.5" hidden="1" x14ac:dyDescent="0.25">
      <c r="A9" s="125"/>
      <c r="B9" s="104" t="str">
        <f>IFERROR(VLOOKUP(H9,'[1]Consolidado MP Planta'!$A$2:$M$823,3,0),"")</f>
        <v/>
      </c>
      <c r="C9" s="126">
        <f t="shared" ref="C9:C14" si="1">+A9</f>
        <v>0</v>
      </c>
      <c r="D9" s="127" t="str">
        <f>IFERROR(VLOOKUP(H9,'[1]Consolidado MP Planta'!$A$2:$M$823,13,0),"")</f>
        <v/>
      </c>
      <c r="E9" s="127" t="str">
        <f>IFERROR(VLOOKUP(H9,'[1]Consolidado MP Planta'!$A$2:$M$823,12,0),"")</f>
        <v/>
      </c>
      <c r="F9" s="127" t="str">
        <f t="shared" ref="F9:F14" si="2">IFERROR(C9*E9,"")</f>
        <v/>
      </c>
      <c r="G9" s="128" t="str">
        <f t="shared" si="0"/>
        <v/>
      </c>
      <c r="H9" s="129"/>
      <c r="I9" s="129"/>
      <c r="J9" s="130"/>
    </row>
    <row r="10" spans="1:10" ht="13.5" hidden="1" x14ac:dyDescent="0.25">
      <c r="A10" s="125"/>
      <c r="B10" s="104" t="str">
        <f>IFERROR(VLOOKUP(H10,'[1]Consolidado MP Planta'!$A$2:$M$823,3,0),"")</f>
        <v/>
      </c>
      <c r="C10" s="126">
        <f t="shared" si="1"/>
        <v>0</v>
      </c>
      <c r="D10" s="127" t="str">
        <f>IFERROR(VLOOKUP(H10,'[1]Consolidado MP Planta'!$A$2:$M$823,13,0),"")</f>
        <v/>
      </c>
      <c r="E10" s="127" t="str">
        <f>IFERROR(VLOOKUP(H10,'[1]Consolidado MP Planta'!$A$2:$M$823,12,0),"")</f>
        <v/>
      </c>
      <c r="F10" s="127" t="str">
        <f t="shared" si="2"/>
        <v/>
      </c>
      <c r="G10" s="128" t="str">
        <f t="shared" si="0"/>
        <v/>
      </c>
      <c r="H10" s="129"/>
      <c r="I10" s="129"/>
      <c r="J10" s="130"/>
    </row>
    <row r="11" spans="1:10" ht="13.5" hidden="1" x14ac:dyDescent="0.25">
      <c r="A11" s="125"/>
      <c r="B11" s="104" t="str">
        <f>IFERROR(VLOOKUP(H11,'[1]Consolidado MP Planta'!$A$2:$M$823,3,0),"")</f>
        <v/>
      </c>
      <c r="C11" s="126">
        <f t="shared" si="1"/>
        <v>0</v>
      </c>
      <c r="D11" s="127" t="str">
        <f>IFERROR(VLOOKUP(H11,'[1]Consolidado MP Planta'!$A$2:$M$823,13,0),"")</f>
        <v/>
      </c>
      <c r="E11" s="127" t="str">
        <f>IFERROR(VLOOKUP(H11,'[1]Consolidado MP Planta'!$A$2:$M$823,12,0),"")</f>
        <v/>
      </c>
      <c r="F11" s="127" t="str">
        <f t="shared" si="2"/>
        <v/>
      </c>
      <c r="G11" s="128" t="str">
        <f t="shared" si="0"/>
        <v/>
      </c>
      <c r="H11" s="129"/>
      <c r="I11" s="129"/>
      <c r="J11" s="130"/>
    </row>
    <row r="12" spans="1:10" ht="13.5" hidden="1" x14ac:dyDescent="0.25">
      <c r="A12" s="125"/>
      <c r="B12" s="104" t="str">
        <f>IFERROR(VLOOKUP(H12,'[1]Consolidado MP Planta'!$A$2:$M$823,3,0),"")</f>
        <v/>
      </c>
      <c r="C12" s="126">
        <f t="shared" si="1"/>
        <v>0</v>
      </c>
      <c r="D12" s="127" t="str">
        <f>IFERROR(VLOOKUP(H12,'[1]Consolidado MP Planta'!$A$2:$M$823,13,0),"")</f>
        <v/>
      </c>
      <c r="E12" s="127" t="str">
        <f>IFERROR(VLOOKUP(H12,'[1]Consolidado MP Planta'!$A$2:$M$823,12,0),"")</f>
        <v/>
      </c>
      <c r="F12" s="127" t="str">
        <f t="shared" si="2"/>
        <v/>
      </c>
      <c r="G12" s="128" t="str">
        <f t="shared" si="0"/>
        <v/>
      </c>
      <c r="H12" s="129"/>
      <c r="I12" s="129"/>
      <c r="J12" s="130"/>
    </row>
    <row r="13" spans="1:10" ht="13.5" hidden="1" x14ac:dyDescent="0.25">
      <c r="A13" s="125"/>
      <c r="B13" s="104" t="str">
        <f>IFERROR(VLOOKUP(H13,'[1]Consolidado MP Planta'!$A$2:$M$823,3,0),"")</f>
        <v/>
      </c>
      <c r="C13" s="126">
        <f t="shared" si="1"/>
        <v>0</v>
      </c>
      <c r="D13" s="127" t="str">
        <f>IFERROR(VLOOKUP(H13,'[1]Consolidado MP Planta'!$A$2:$M$823,13,0),"")</f>
        <v/>
      </c>
      <c r="E13" s="127" t="str">
        <f>IFERROR(VLOOKUP(H13,'[1]Consolidado MP Planta'!$A$2:$M$823,12,0),"")</f>
        <v/>
      </c>
      <c r="F13" s="127" t="str">
        <f t="shared" si="2"/>
        <v/>
      </c>
      <c r="G13" s="128" t="str">
        <f t="shared" si="0"/>
        <v/>
      </c>
      <c r="H13" s="129"/>
      <c r="I13" s="129"/>
      <c r="J13" s="130"/>
    </row>
    <row r="14" spans="1:10" ht="13.5" hidden="1" x14ac:dyDescent="0.25">
      <c r="A14" s="125"/>
      <c r="B14" s="104" t="str">
        <f>IFERROR(VLOOKUP(H14,'[1]Consolidado MP Planta'!$A$2:$M$823,3,0),"")</f>
        <v/>
      </c>
      <c r="C14" s="126">
        <f t="shared" si="1"/>
        <v>0</v>
      </c>
      <c r="D14" s="127" t="str">
        <f>IFERROR(VLOOKUP(H14,'[1]Consolidado MP Planta'!$A$2:$M$823,13,0),"")</f>
        <v/>
      </c>
      <c r="E14" s="127" t="str">
        <f>IFERROR(VLOOKUP(H14,'[1]Consolidado MP Planta'!$A$2:$M$823,12,0),"")</f>
        <v/>
      </c>
      <c r="F14" s="127" t="str">
        <f t="shared" si="2"/>
        <v/>
      </c>
      <c r="G14" s="128" t="str">
        <f t="shared" si="0"/>
        <v/>
      </c>
      <c r="H14" s="129"/>
      <c r="I14" s="129"/>
      <c r="J14" s="130"/>
    </row>
    <row r="15" spans="1:10" ht="14.25" hidden="1" thickBot="1" x14ac:dyDescent="0.3">
      <c r="A15" s="125"/>
      <c r="B15" s="104" t="str">
        <f>IFERROR(VLOOKUP(H15,'[2]ARTICULOS MP PLANTA'!$A$2:$G$589,2,0),"")</f>
        <v/>
      </c>
      <c r="C15" s="126"/>
      <c r="D15" s="127"/>
      <c r="E15" s="127"/>
      <c r="F15" s="127"/>
      <c r="G15" s="128"/>
      <c r="H15" s="129"/>
      <c r="I15" s="129"/>
      <c r="J15" s="130"/>
    </row>
    <row r="16" spans="1:10" ht="26.25" thickBot="1" x14ac:dyDescent="0.25">
      <c r="A16" s="121" t="s">
        <v>109</v>
      </c>
      <c r="B16" s="122" t="s">
        <v>115</v>
      </c>
      <c r="C16" s="122" t="s">
        <v>109</v>
      </c>
      <c r="D16" s="123" t="s">
        <v>149</v>
      </c>
      <c r="E16" s="123" t="s">
        <v>111</v>
      </c>
      <c r="F16" s="123" t="s">
        <v>112</v>
      </c>
      <c r="G16" s="123" t="s">
        <v>113</v>
      </c>
      <c r="H16" s="124" t="s">
        <v>114</v>
      </c>
      <c r="I16" s="106"/>
      <c r="J16" s="130"/>
    </row>
    <row r="17" spans="1:12" ht="13.5" x14ac:dyDescent="0.25">
      <c r="A17" s="125">
        <v>16000</v>
      </c>
      <c r="B17" s="104" t="s">
        <v>163</v>
      </c>
      <c r="C17" s="126">
        <f>+A17</f>
        <v>16000</v>
      </c>
      <c r="D17" s="126" t="s">
        <v>152</v>
      </c>
      <c r="E17" s="127">
        <f>+'Costo Batido'!E69</f>
        <v>0.97585071428571424</v>
      </c>
      <c r="F17" s="127">
        <f>IFERROR(E17*C17,"")</f>
        <v>15613.611428571428</v>
      </c>
      <c r="G17" s="128">
        <f t="shared" ref="G17:G24" si="3">IFERROR(F17/$F$66,"")</f>
        <v>0.88635613925796042</v>
      </c>
      <c r="H17" s="129" t="s">
        <v>183</v>
      </c>
      <c r="I17" s="129"/>
      <c r="J17" s="130"/>
    </row>
    <row r="18" spans="1:12" ht="13.5" hidden="1" x14ac:dyDescent="0.25">
      <c r="A18" s="125">
        <v>0</v>
      </c>
      <c r="B18" s="104" t="str">
        <f>IFERROR(VLOOKUP(H18,[1]SEMIELABORADOS!$A$2:$M$6000,2,0),"")</f>
        <v>MEZCLA P/ENGRASE MOLDES KILO</v>
      </c>
      <c r="C18" s="126">
        <f t="shared" ref="C18:C24" si="4">+A18</f>
        <v>0</v>
      </c>
      <c r="D18" s="126" t="str">
        <f>IFERROR(VLOOKUP(H18,[1]SEMIELABORADOS!$A$2:$M$6000,6,0),"")</f>
        <v>Gramo</v>
      </c>
      <c r="E18" s="127">
        <v>2.04</v>
      </c>
      <c r="F18" s="127">
        <f t="shared" ref="F18:F24" si="5">IFERROR(E18*C18,"")</f>
        <v>0</v>
      </c>
      <c r="G18" s="128">
        <f t="shared" si="3"/>
        <v>0</v>
      </c>
      <c r="H18" s="129" t="s">
        <v>184</v>
      </c>
      <c r="I18" s="129"/>
      <c r="J18" s="130"/>
    </row>
    <row r="19" spans="1:12" ht="13.5" hidden="1" x14ac:dyDescent="0.25">
      <c r="A19" s="125"/>
      <c r="B19" s="104" t="str">
        <f>IFERROR(VLOOKUP(H19,[1]SEMIELABORADOS!$A$2:$M$6000,2,0),"")</f>
        <v/>
      </c>
      <c r="C19" s="126">
        <f>+A19</f>
        <v>0</v>
      </c>
      <c r="D19" s="126" t="str">
        <f>IFERROR(VLOOKUP(H19,[1]SEMIELABORADOS!$A$2:$M$6000,6,0),"")</f>
        <v/>
      </c>
      <c r="E19" s="127" t="str">
        <f>IFERROR(VLOOKUP(H19,[1]SEMIELABORADOS!$A$2:$H$65536,8,0),"")</f>
        <v/>
      </c>
      <c r="F19" s="127" t="str">
        <f>IFERROR(E19*C19,"")</f>
        <v/>
      </c>
      <c r="G19" s="128" t="str">
        <f t="shared" si="3"/>
        <v/>
      </c>
      <c r="H19" s="129"/>
      <c r="I19" s="129"/>
      <c r="J19" s="130"/>
    </row>
    <row r="20" spans="1:12" ht="13.5" hidden="1" x14ac:dyDescent="0.25">
      <c r="A20" s="125"/>
      <c r="B20" s="104" t="str">
        <f>IFERROR(VLOOKUP(H20,[1]SEMIELABORADOS!$A$2:$M$6000,2,0),"")</f>
        <v/>
      </c>
      <c r="C20" s="126">
        <f>+A20</f>
        <v>0</v>
      </c>
      <c r="D20" s="126" t="str">
        <f>IFERROR(VLOOKUP(H20,[1]SEMIELABORADOS!$A$2:$M$6000,6,0),"")</f>
        <v/>
      </c>
      <c r="E20" s="127" t="str">
        <f>IFERROR(VLOOKUP(H20,[1]SEMIELABORADOS!$A$2:$H$65536,8,0),"")</f>
        <v/>
      </c>
      <c r="F20" s="127" t="str">
        <f>IFERROR(E20*C20,"")</f>
        <v/>
      </c>
      <c r="G20" s="128" t="str">
        <f t="shared" si="3"/>
        <v/>
      </c>
      <c r="H20" s="129"/>
      <c r="I20" s="129"/>
      <c r="J20" s="130"/>
    </row>
    <row r="21" spans="1:12" ht="13.5" hidden="1" x14ac:dyDescent="0.25">
      <c r="A21" s="125"/>
      <c r="B21" s="104" t="str">
        <f>IFERROR(VLOOKUP(H21,[1]SEMIELABORADOS!$A$2:$M$6000,2,0),"")</f>
        <v/>
      </c>
      <c r="C21" s="126">
        <f>+A21</f>
        <v>0</v>
      </c>
      <c r="D21" s="126" t="str">
        <f>IFERROR(VLOOKUP(H21,[1]SEMIELABORADOS!$A$2:$M$6000,6,0),"")</f>
        <v/>
      </c>
      <c r="E21" s="127" t="str">
        <f>IFERROR(VLOOKUP(H21,[1]SEMIELABORADOS!$A$2:$H$65536,8,0),"")</f>
        <v/>
      </c>
      <c r="F21" s="127" t="str">
        <f>IFERROR(E21*C21,"")</f>
        <v/>
      </c>
      <c r="G21" s="128" t="str">
        <f t="shared" si="3"/>
        <v/>
      </c>
      <c r="H21" s="129"/>
      <c r="I21" s="129"/>
      <c r="J21" s="130"/>
    </row>
    <row r="22" spans="1:12" ht="13.5" hidden="1" x14ac:dyDescent="0.25">
      <c r="A22" s="125"/>
      <c r="B22" s="104" t="str">
        <f>IFERROR(VLOOKUP(H22,[1]SEMIELABORADOS!$A$2:$M$6000,2,0),"")</f>
        <v/>
      </c>
      <c r="C22" s="126">
        <f t="shared" si="4"/>
        <v>0</v>
      </c>
      <c r="D22" s="126" t="str">
        <f>IFERROR(VLOOKUP(H22,[1]SEMIELABORADOS!$A$2:$M$6000,6,0),"")</f>
        <v/>
      </c>
      <c r="E22" s="127" t="str">
        <f>IFERROR(VLOOKUP(H22,[1]SEMIELABORADOS!$A$2:$H$65536,8,0),"")</f>
        <v/>
      </c>
      <c r="F22" s="127" t="str">
        <f t="shared" si="5"/>
        <v/>
      </c>
      <c r="G22" s="128" t="str">
        <f t="shared" si="3"/>
        <v/>
      </c>
      <c r="H22" s="129"/>
      <c r="I22" s="129"/>
      <c r="J22" s="130"/>
    </row>
    <row r="23" spans="1:12" ht="13.5" hidden="1" x14ac:dyDescent="0.25">
      <c r="A23" s="125"/>
      <c r="B23" s="104" t="str">
        <f>IFERROR(VLOOKUP(H23,[1]SEMIELABORADOS!$A$2:$M$6000,2,0),"")</f>
        <v/>
      </c>
      <c r="C23" s="126">
        <f t="shared" si="4"/>
        <v>0</v>
      </c>
      <c r="D23" s="126" t="str">
        <f>IFERROR(VLOOKUP(H23,[1]SEMIELABORADOS!$A$2:$M$6000,6,0),"")</f>
        <v/>
      </c>
      <c r="E23" s="127" t="str">
        <f>IFERROR(VLOOKUP(H23,[1]SEMIELABORADOS!$A$2:$H$65536,8,0),"")</f>
        <v/>
      </c>
      <c r="F23" s="127" t="str">
        <f t="shared" si="5"/>
        <v/>
      </c>
      <c r="G23" s="128" t="str">
        <f t="shared" si="3"/>
        <v/>
      </c>
      <c r="H23" s="129"/>
      <c r="I23" s="129"/>
      <c r="J23" s="130"/>
    </row>
    <row r="24" spans="1:12" ht="13.5" hidden="1" x14ac:dyDescent="0.25">
      <c r="A24" s="125"/>
      <c r="B24" s="104" t="str">
        <f>IFERROR(VLOOKUP(H24,[1]SEMIELABORADOS!$A$2:$M$6000,2,0),"")</f>
        <v/>
      </c>
      <c r="C24" s="126">
        <f t="shared" si="4"/>
        <v>0</v>
      </c>
      <c r="D24" s="126" t="str">
        <f>IFERROR(VLOOKUP(H24,[1]SEMIELABORADOS!$A$2:$M$6000,6,0),"")</f>
        <v/>
      </c>
      <c r="E24" s="127" t="str">
        <f>IFERROR(VLOOKUP(H24,[1]SEMIELABORADOS!$A$2:$H$65536,8,0),"")</f>
        <v/>
      </c>
      <c r="F24" s="127" t="str">
        <f t="shared" si="5"/>
        <v/>
      </c>
      <c r="G24" s="128" t="str">
        <f t="shared" si="3"/>
        <v/>
      </c>
      <c r="H24" s="129"/>
      <c r="I24" s="129"/>
      <c r="J24" s="130"/>
    </row>
    <row r="25" spans="1:12" ht="14.25" thickBot="1" x14ac:dyDescent="0.3">
      <c r="A25" s="125"/>
      <c r="C25" s="126"/>
      <c r="D25" s="126"/>
      <c r="E25" s="127"/>
      <c r="F25" s="127"/>
      <c r="G25" s="128"/>
      <c r="H25" s="129"/>
      <c r="I25" s="129"/>
      <c r="J25" s="130"/>
    </row>
    <row r="26" spans="1:12" ht="26.25" thickBot="1" x14ac:dyDescent="0.25">
      <c r="A26" s="121" t="s">
        <v>109</v>
      </c>
      <c r="B26" s="122" t="s">
        <v>86</v>
      </c>
      <c r="C26" s="122" t="s">
        <v>109</v>
      </c>
      <c r="D26" s="123" t="s">
        <v>149</v>
      </c>
      <c r="E26" s="123" t="s">
        <v>111</v>
      </c>
      <c r="F26" s="123" t="s">
        <v>112</v>
      </c>
      <c r="G26" s="123" t="s">
        <v>113</v>
      </c>
      <c r="H26" s="124" t="s">
        <v>114</v>
      </c>
      <c r="I26" s="106"/>
    </row>
    <row r="27" spans="1:12" ht="13.5" x14ac:dyDescent="0.25">
      <c r="A27" s="125">
        <v>7</v>
      </c>
      <c r="B27" s="102" t="str">
        <f>IFERROR(VLOOKUP(H27,'[1]Consolidado MP Planta'!$A$2:$M$823,3,0),"")</f>
        <v>PAPEL ENCERADO 10X10 (CAJA)</v>
      </c>
      <c r="C27" s="126">
        <f t="shared" ref="C27:C32" si="6">+A27</f>
        <v>7</v>
      </c>
      <c r="D27" s="127" t="str">
        <f>IFERROR(VLOOKUP(H27,'[1]Consolidado MP Planta'!$A$2:$M$823,13,0),"")</f>
        <v>Und</v>
      </c>
      <c r="E27" s="127">
        <v>14.2</v>
      </c>
      <c r="F27" s="127">
        <f t="shared" ref="F27:F32" si="7">IFERROR(C27*E27,"")</f>
        <v>99.399999999999991</v>
      </c>
      <c r="G27" s="128">
        <f t="shared" ref="G27:G32" si="8">IFERROR(F27/$F$66,"")</f>
        <v>5.642756043039451E-3</v>
      </c>
      <c r="H27" s="131" t="s">
        <v>185</v>
      </c>
      <c r="I27" s="131"/>
      <c r="J27" s="130"/>
      <c r="K27" s="350"/>
      <c r="L27" s="350"/>
    </row>
    <row r="28" spans="1:12" ht="13.5" hidden="1" x14ac:dyDescent="0.25">
      <c r="A28" s="125"/>
      <c r="B28" s="102" t="str">
        <f>IFERROR(VLOOKUP(H28,'[1]Consolidado MP Planta'!$A$2:$M$823,3,0),"")</f>
        <v/>
      </c>
      <c r="C28" s="126">
        <f t="shared" si="6"/>
        <v>0</v>
      </c>
      <c r="D28" s="127" t="str">
        <f>IFERROR(VLOOKUP(H28,'[1]Consolidado MP Planta'!$A$2:$M$823,13,0),"")</f>
        <v/>
      </c>
      <c r="E28" s="127" t="str">
        <f>IFERROR(VLOOKUP(H28,'[1]Consolidado MP Planta'!$A$2:$M$823,12,0),"")</f>
        <v/>
      </c>
      <c r="F28" s="127" t="str">
        <f t="shared" si="7"/>
        <v/>
      </c>
      <c r="G28" s="128" t="str">
        <f t="shared" si="8"/>
        <v/>
      </c>
      <c r="H28" s="131"/>
      <c r="I28" s="131"/>
      <c r="J28" s="130"/>
      <c r="K28" s="350"/>
      <c r="L28" s="350"/>
    </row>
    <row r="29" spans="1:12" ht="13.5" hidden="1" x14ac:dyDescent="0.25">
      <c r="A29" s="125"/>
      <c r="B29" s="102" t="str">
        <f>IFERROR(VLOOKUP(H29,'[1]Consolidado MP Planta'!$A$2:$M$823,3,0),"")</f>
        <v/>
      </c>
      <c r="C29" s="126">
        <f t="shared" si="6"/>
        <v>0</v>
      </c>
      <c r="D29" s="127" t="str">
        <f>IFERROR(VLOOKUP(H29,'[1]Consolidado MP Planta'!$A$2:$M$823,13,0),"")</f>
        <v/>
      </c>
      <c r="E29" s="127" t="str">
        <f>IFERROR(VLOOKUP(H29,'[1]Consolidado MP Planta'!$A$2:$M$823,12,0),"")</f>
        <v/>
      </c>
      <c r="F29" s="127" t="str">
        <f t="shared" si="7"/>
        <v/>
      </c>
      <c r="G29" s="128" t="str">
        <f t="shared" si="8"/>
        <v/>
      </c>
      <c r="H29" s="131"/>
      <c r="I29" s="131"/>
      <c r="J29" s="130"/>
      <c r="K29" s="350"/>
      <c r="L29" s="350"/>
    </row>
    <row r="30" spans="1:12" ht="13.5" hidden="1" x14ac:dyDescent="0.25">
      <c r="A30" s="125"/>
      <c r="B30" s="102" t="str">
        <f>IFERROR(VLOOKUP(H30,'[1]Consolidado MP Planta'!$A$2:$M$823,3,0),"")</f>
        <v/>
      </c>
      <c r="C30" s="126">
        <f t="shared" si="6"/>
        <v>0</v>
      </c>
      <c r="D30" s="127" t="str">
        <f>IFERROR(VLOOKUP(H30,'[1]Consolidado MP Planta'!$A$2:$M$823,13,0),"")</f>
        <v/>
      </c>
      <c r="E30" s="127" t="str">
        <f>IFERROR(VLOOKUP(H30,'[1]Consolidado MP Planta'!$A$2:$M$823,12,0),"")</f>
        <v/>
      </c>
      <c r="F30" s="127" t="str">
        <f t="shared" si="7"/>
        <v/>
      </c>
      <c r="G30" s="128" t="str">
        <f t="shared" si="8"/>
        <v/>
      </c>
      <c r="H30" s="131"/>
      <c r="I30" s="131"/>
      <c r="J30" s="130"/>
      <c r="K30" s="350"/>
      <c r="L30" s="350"/>
    </row>
    <row r="31" spans="1:12" ht="13.5" hidden="1" x14ac:dyDescent="0.25">
      <c r="A31" s="125"/>
      <c r="B31" s="102" t="str">
        <f>IFERROR(VLOOKUP(H31,'[1]Consolidado MP Planta'!$A$2:$M$823,3,0),"")</f>
        <v/>
      </c>
      <c r="C31" s="126">
        <f t="shared" si="6"/>
        <v>0</v>
      </c>
      <c r="D31" s="127" t="str">
        <f>IFERROR(VLOOKUP(H31,'[1]Consolidado MP Planta'!$A$2:$M$823,13,0),"")</f>
        <v/>
      </c>
      <c r="E31" s="127" t="str">
        <f>IFERROR(VLOOKUP(H31,'[1]Consolidado MP Planta'!$A$2:$M$823,12,0),"")</f>
        <v/>
      </c>
      <c r="F31" s="127" t="str">
        <f t="shared" si="7"/>
        <v/>
      </c>
      <c r="G31" s="128" t="str">
        <f t="shared" si="8"/>
        <v/>
      </c>
      <c r="H31" s="131"/>
      <c r="I31" s="131"/>
      <c r="J31" s="130"/>
      <c r="K31" s="132"/>
      <c r="L31" s="107"/>
    </row>
    <row r="32" spans="1:12" ht="13.5" hidden="1" x14ac:dyDescent="0.25">
      <c r="A32" s="125"/>
      <c r="B32" s="102" t="str">
        <f>IFERROR(VLOOKUP(H32,'[1]Consolidado MP Planta'!$A$2:$M$823,3,0),"")</f>
        <v/>
      </c>
      <c r="C32" s="126">
        <f t="shared" si="6"/>
        <v>0</v>
      </c>
      <c r="D32" s="127" t="str">
        <f>IFERROR(VLOOKUP(H32,'[1]Consolidado MP Planta'!$A$2:$M$823,13,0),"")</f>
        <v/>
      </c>
      <c r="E32" s="127" t="str">
        <f>IFERROR(VLOOKUP(H32,'[1]Consolidado MP Planta'!$A$2:$M$823,12,0),"")</f>
        <v/>
      </c>
      <c r="F32" s="127" t="str">
        <f t="shared" si="7"/>
        <v/>
      </c>
      <c r="G32" s="128" t="str">
        <f t="shared" si="8"/>
        <v/>
      </c>
      <c r="H32" s="131"/>
      <c r="I32" s="131"/>
      <c r="J32" s="130"/>
    </row>
    <row r="33" spans="1:13" ht="14.25" thickBot="1" x14ac:dyDescent="0.3">
      <c r="A33" s="125"/>
      <c r="B33" s="102"/>
      <c r="C33" s="126"/>
      <c r="D33" s="127"/>
      <c r="E33" s="127"/>
      <c r="F33" s="127"/>
      <c r="G33" s="128"/>
      <c r="H33" s="131"/>
      <c r="I33" s="131"/>
      <c r="J33" s="130"/>
    </row>
    <row r="34" spans="1:13" ht="26.25" thickBot="1" x14ac:dyDescent="0.25">
      <c r="A34" s="121" t="s">
        <v>109</v>
      </c>
      <c r="B34" s="122" t="s">
        <v>116</v>
      </c>
      <c r="C34" s="122" t="s">
        <v>109</v>
      </c>
      <c r="D34" s="123" t="s">
        <v>149</v>
      </c>
      <c r="E34" s="123" t="s">
        <v>111</v>
      </c>
      <c r="F34" s="123" t="s">
        <v>112</v>
      </c>
      <c r="G34" s="123" t="s">
        <v>113</v>
      </c>
      <c r="H34" s="124" t="s">
        <v>114</v>
      </c>
      <c r="I34" s="131"/>
      <c r="J34" s="130"/>
    </row>
    <row r="35" spans="1:13" ht="13.5" x14ac:dyDescent="0.25">
      <c r="A35" s="125">
        <f>+A17</f>
        <v>16000</v>
      </c>
      <c r="B35" s="102" t="s">
        <v>163</v>
      </c>
      <c r="C35" s="126">
        <f>+A35</f>
        <v>16000</v>
      </c>
      <c r="D35" s="127" t="s">
        <v>152</v>
      </c>
      <c r="E35" s="127">
        <f>+'Costo Batido'!E76</f>
        <v>8.7638639455782322E-3</v>
      </c>
      <c r="F35" s="127">
        <f>IFERROR(E35*C35,"")</f>
        <v>140.2218231292517</v>
      </c>
      <c r="G35" s="128">
        <f t="shared" ref="G35:G41" si="9">IFERROR(F35/$F$66,"")</f>
        <v>7.9601362155794185E-3</v>
      </c>
      <c r="H35" s="129" t="s">
        <v>183</v>
      </c>
      <c r="I35" s="131"/>
      <c r="J35" s="130"/>
    </row>
    <row r="36" spans="1:13" ht="13.5" hidden="1" x14ac:dyDescent="0.25">
      <c r="A36" s="125">
        <f t="shared" ref="A36:A41" si="10">+A18</f>
        <v>0</v>
      </c>
      <c r="B36" s="102" t="str">
        <f>IFERROR(VLOOKUP(H36,[1]SEMIELABORADOS!$A$2:$M$6000,2,0),"")</f>
        <v>MEZCLA P/ENGRASE MOLDES KILO</v>
      </c>
      <c r="C36" s="126">
        <f t="shared" ref="C36:C41" si="11">+A36</f>
        <v>0</v>
      </c>
      <c r="D36" s="127" t="str">
        <f>IFERROR(VLOOKUP(H36,[1]SEMIELABORADOS!$A$2:$M$6000,6,0),"")</f>
        <v>Gramo</v>
      </c>
      <c r="E36" s="127">
        <f>IFERROR(VLOOKUP(H36,[1]SEMIELABORADOS!$A$2:$M$65536,10,0),"")</f>
        <v>2.1536385000000002E-2</v>
      </c>
      <c r="F36" s="127">
        <f t="shared" ref="F36:F41" si="12">IFERROR(E36*C36,"")</f>
        <v>0</v>
      </c>
      <c r="G36" s="128">
        <f t="shared" si="9"/>
        <v>0</v>
      </c>
      <c r="H36" s="131" t="s">
        <v>184</v>
      </c>
      <c r="I36" s="131"/>
      <c r="J36" s="130"/>
    </row>
    <row r="37" spans="1:13" ht="13.5" hidden="1" x14ac:dyDescent="0.25">
      <c r="A37" s="125">
        <f t="shared" si="10"/>
        <v>0</v>
      </c>
      <c r="B37" s="102" t="str">
        <f>IFERROR(VLOOKUP(H37,[1]SEMIELABORADOS!$A$2:$M$6000,2,0),"")</f>
        <v/>
      </c>
      <c r="C37" s="126">
        <f t="shared" si="11"/>
        <v>0</v>
      </c>
      <c r="D37" s="127" t="str">
        <f>IFERROR(VLOOKUP(H37,[1]SEMIELABORADOS!$A$2:$M$6000,6,0),"")</f>
        <v/>
      </c>
      <c r="E37" s="127" t="str">
        <f>IFERROR(VLOOKUP(H37,[1]SEMIELABORADOS!$A$2:$M$65536,10,0),"")</f>
        <v/>
      </c>
      <c r="F37" s="127" t="str">
        <f t="shared" si="12"/>
        <v/>
      </c>
      <c r="G37" s="128" t="str">
        <f t="shared" si="9"/>
        <v/>
      </c>
      <c r="H37" s="131"/>
      <c r="I37" s="131"/>
      <c r="J37" s="130"/>
    </row>
    <row r="38" spans="1:13" ht="13.5" hidden="1" x14ac:dyDescent="0.25">
      <c r="A38" s="125">
        <f t="shared" si="10"/>
        <v>0</v>
      </c>
      <c r="B38" s="102" t="str">
        <f>IFERROR(VLOOKUP(H38,[1]SEMIELABORADOS!$A$2:$M$6000,2,0),"")</f>
        <v/>
      </c>
      <c r="C38" s="126">
        <f>+A38</f>
        <v>0</v>
      </c>
      <c r="D38" s="127" t="str">
        <f>IFERROR(VLOOKUP(H38,[1]SEMIELABORADOS!$A$2:$M$6000,6,0),"")</f>
        <v/>
      </c>
      <c r="E38" s="127" t="str">
        <f>IFERROR(VLOOKUP(H38,[1]SEMIELABORADOS!$A$2:$M$65536,10,0),"")</f>
        <v/>
      </c>
      <c r="F38" s="127" t="str">
        <f>IFERROR(E38*C38,"")</f>
        <v/>
      </c>
      <c r="G38" s="128" t="str">
        <f t="shared" si="9"/>
        <v/>
      </c>
      <c r="H38" s="131"/>
      <c r="I38" s="131"/>
      <c r="J38" s="130"/>
    </row>
    <row r="39" spans="1:13" ht="13.5" hidden="1" x14ac:dyDescent="0.25">
      <c r="A39" s="125">
        <f t="shared" si="10"/>
        <v>0</v>
      </c>
      <c r="B39" s="102" t="str">
        <f>IFERROR(VLOOKUP(H39,[1]SEMIELABORADOS!$A$2:$M$6000,2,0),"")</f>
        <v/>
      </c>
      <c r="C39" s="126">
        <f>+A39</f>
        <v>0</v>
      </c>
      <c r="D39" s="127" t="str">
        <f>IFERROR(VLOOKUP(H39,[1]SEMIELABORADOS!$A$2:$M$6000,6,0),"")</f>
        <v/>
      </c>
      <c r="E39" s="127" t="str">
        <f>IFERROR(VLOOKUP(H39,[1]SEMIELABORADOS!$A$2:$M$65536,10,0),"")</f>
        <v/>
      </c>
      <c r="F39" s="127" t="str">
        <f>IFERROR(E39*C39,"")</f>
        <v/>
      </c>
      <c r="G39" s="128" t="str">
        <f t="shared" si="9"/>
        <v/>
      </c>
      <c r="H39" s="131"/>
      <c r="I39" s="131"/>
      <c r="J39" s="130"/>
    </row>
    <row r="40" spans="1:13" ht="13.5" hidden="1" x14ac:dyDescent="0.25">
      <c r="A40" s="125">
        <f t="shared" si="10"/>
        <v>0</v>
      </c>
      <c r="B40" s="102" t="str">
        <f>IFERROR(VLOOKUP(H40,[1]SEMIELABORADOS!$A$2:$M$6000,2,0),"")</f>
        <v/>
      </c>
      <c r="C40" s="126">
        <f t="shared" si="11"/>
        <v>0</v>
      </c>
      <c r="D40" s="127" t="str">
        <f>IFERROR(VLOOKUP(H40,[1]SEMIELABORADOS!$A$2:$M$6000,6,0),"")</f>
        <v/>
      </c>
      <c r="E40" s="127" t="str">
        <f>IFERROR(VLOOKUP(H40,[1]SEMIELABORADOS!$A$2:$M$65536,10,0),"")</f>
        <v/>
      </c>
      <c r="F40" s="127" t="str">
        <f t="shared" si="12"/>
        <v/>
      </c>
      <c r="G40" s="128" t="str">
        <f t="shared" si="9"/>
        <v/>
      </c>
      <c r="H40" s="131"/>
      <c r="I40" s="131"/>
      <c r="J40" s="130"/>
    </row>
    <row r="41" spans="1:13" ht="13.5" hidden="1" x14ac:dyDescent="0.25">
      <c r="A41" s="125">
        <f t="shared" si="10"/>
        <v>0</v>
      </c>
      <c r="B41" s="102" t="str">
        <f>IFERROR(VLOOKUP(H41,[1]SEMIELABORADOS!$A$2:$M$6000,2,0),"")</f>
        <v/>
      </c>
      <c r="C41" s="126">
        <f t="shared" si="11"/>
        <v>0</v>
      </c>
      <c r="D41" s="127" t="str">
        <f>IFERROR(VLOOKUP(H41,[1]SEMIELABORADOS!$A$2:$M$6000,6,0),"")</f>
        <v/>
      </c>
      <c r="E41" s="127" t="str">
        <f>IFERROR(VLOOKUP(H41,[1]SEMIELABORADOS!$A$2:$M$65536,10,0),"")</f>
        <v/>
      </c>
      <c r="F41" s="127" t="str">
        <f t="shared" si="12"/>
        <v/>
      </c>
      <c r="G41" s="128" t="str">
        <f t="shared" si="9"/>
        <v/>
      </c>
      <c r="H41" s="131"/>
      <c r="I41" s="131"/>
      <c r="J41" s="130"/>
    </row>
    <row r="42" spans="1:13" ht="14.25" thickBot="1" x14ac:dyDescent="0.3">
      <c r="A42" s="125"/>
      <c r="B42" s="102"/>
      <c r="C42" s="126"/>
      <c r="D42" s="127"/>
      <c r="E42" s="127"/>
      <c r="F42" s="127"/>
      <c r="G42" s="128"/>
      <c r="H42" s="131"/>
      <c r="I42" s="131"/>
      <c r="J42" s="130"/>
    </row>
    <row r="43" spans="1:13" ht="26.25" thickBot="1" x14ac:dyDescent="0.25">
      <c r="A43" s="121" t="s">
        <v>109</v>
      </c>
      <c r="B43" s="122" t="s">
        <v>117</v>
      </c>
      <c r="C43" s="122" t="s">
        <v>109</v>
      </c>
      <c r="D43" s="123" t="s">
        <v>149</v>
      </c>
      <c r="E43" s="123" t="s">
        <v>111</v>
      </c>
      <c r="F43" s="123" t="s">
        <v>112</v>
      </c>
      <c r="G43" s="123" t="s">
        <v>113</v>
      </c>
      <c r="H43" s="124" t="s">
        <v>114</v>
      </c>
      <c r="I43" s="106"/>
      <c r="J43" s="130"/>
    </row>
    <row r="44" spans="1:13" ht="13.5" x14ac:dyDescent="0.25">
      <c r="A44" s="125">
        <f>+A35</f>
        <v>16000</v>
      </c>
      <c r="B44" s="102" t="s">
        <v>163</v>
      </c>
      <c r="C44" s="126">
        <f>+A44</f>
        <v>16000</v>
      </c>
      <c r="D44" s="127" t="s">
        <v>152</v>
      </c>
      <c r="E44" s="127">
        <f>+'Costo Batido'!E74</f>
        <v>6.6285714285714281E-2</v>
      </c>
      <c r="F44" s="127">
        <f>IFERROR(E44*C44,"")</f>
        <v>1060.5714285714284</v>
      </c>
      <c r="G44" s="128">
        <f>IFERROR(F44/$F$66,"")</f>
        <v>6.0206698567871343E-2</v>
      </c>
      <c r="H44" s="129" t="s">
        <v>183</v>
      </c>
      <c r="I44" s="106"/>
      <c r="J44" s="130"/>
    </row>
    <row r="45" spans="1:13" ht="13.5" hidden="1" x14ac:dyDescent="0.25">
      <c r="A45" s="125">
        <f t="shared" ref="A45:A50" si="13">+A36</f>
        <v>0</v>
      </c>
      <c r="B45" s="102" t="str">
        <f>IFERROR(VLOOKUP(H45,[1]SEMIELABORADOS!$A$2:$M$6000,2,0),"")</f>
        <v>MEZCLA P/ENGRASE MOLDES KILO</v>
      </c>
      <c r="C45" s="126">
        <f t="shared" ref="C45:C50" si="14">+A45</f>
        <v>0</v>
      </c>
      <c r="D45" s="127" t="str">
        <f>IFERROR(VLOOKUP(H45,[1]SEMIELABORADOS!$A$2:$M$6000,6,0),"")</f>
        <v>Gramo</v>
      </c>
      <c r="E45" s="127">
        <f>IFERROR(VLOOKUP(H45,[1]SEMIELABORADOS!$A$2:$M$65536,12,0),"")</f>
        <v>0.25127579955503354</v>
      </c>
      <c r="F45" s="127">
        <f t="shared" ref="F45:F50" si="15">IFERROR(E45*C45,"")</f>
        <v>0</v>
      </c>
      <c r="G45" s="128">
        <f t="shared" ref="G45:G50" si="16">IFERROR(F45/$F$66,"")</f>
        <v>0</v>
      </c>
      <c r="H45" s="131" t="s">
        <v>184</v>
      </c>
      <c r="I45" s="106"/>
      <c r="J45" s="130"/>
      <c r="M45" s="133"/>
    </row>
    <row r="46" spans="1:13" ht="13.5" hidden="1" x14ac:dyDescent="0.25">
      <c r="A46" s="125">
        <f t="shared" si="13"/>
        <v>0</v>
      </c>
      <c r="B46" s="102" t="str">
        <f>IFERROR(VLOOKUP(H46,[1]SEMIELABORADOS!$A$2:$M$6000,2,0),"")</f>
        <v/>
      </c>
      <c r="C46" s="126">
        <f t="shared" si="14"/>
        <v>0</v>
      </c>
      <c r="D46" s="127" t="str">
        <f>IFERROR(VLOOKUP(H46,[1]SEMIELABORADOS!$A$2:$M$6000,6,0),"")</f>
        <v/>
      </c>
      <c r="E46" s="127" t="str">
        <f>IFERROR(VLOOKUP(H46,[1]SEMIELABORADOS!$A$2:$M$65536,12,0),"")</f>
        <v/>
      </c>
      <c r="F46" s="127" t="str">
        <f t="shared" si="15"/>
        <v/>
      </c>
      <c r="G46" s="128" t="str">
        <f t="shared" si="16"/>
        <v/>
      </c>
      <c r="H46" s="131"/>
      <c r="I46" s="106"/>
      <c r="J46" s="130"/>
    </row>
    <row r="47" spans="1:13" ht="13.5" hidden="1" x14ac:dyDescent="0.25">
      <c r="A47" s="125">
        <f t="shared" si="13"/>
        <v>0</v>
      </c>
      <c r="B47" s="102" t="str">
        <f>IFERROR(VLOOKUP(H47,[1]SEMIELABORADOS!$A$2:$M$6000,2,0),"")</f>
        <v/>
      </c>
      <c r="C47" s="126">
        <f t="shared" si="14"/>
        <v>0</v>
      </c>
      <c r="D47" s="127" t="str">
        <f>IFERROR(VLOOKUP(H47,[1]SEMIELABORADOS!$A$2:$M$6000,6,0),"")</f>
        <v/>
      </c>
      <c r="E47" s="127" t="str">
        <f>IFERROR(VLOOKUP(H47,[1]SEMIELABORADOS!$A$2:$M$65536,12,0),"")</f>
        <v/>
      </c>
      <c r="F47" s="127" t="str">
        <f t="shared" si="15"/>
        <v/>
      </c>
      <c r="G47" s="128" t="str">
        <f t="shared" si="16"/>
        <v/>
      </c>
      <c r="H47" s="131"/>
      <c r="I47" s="106"/>
      <c r="J47" s="130"/>
    </row>
    <row r="48" spans="1:13" ht="13.5" hidden="1" x14ac:dyDescent="0.25">
      <c r="A48" s="125">
        <f t="shared" si="13"/>
        <v>0</v>
      </c>
      <c r="B48" s="102" t="str">
        <f>IFERROR(VLOOKUP(H48,[1]SEMIELABORADOS!$A$2:$M$6000,2,0),"")</f>
        <v/>
      </c>
      <c r="C48" s="126">
        <f t="shared" si="14"/>
        <v>0</v>
      </c>
      <c r="D48" s="127" t="str">
        <f>IFERROR(VLOOKUP(H48,[1]SEMIELABORADOS!$A$2:$M$6000,6,0),"")</f>
        <v/>
      </c>
      <c r="E48" s="127" t="str">
        <f>IFERROR(VLOOKUP(H48,[1]SEMIELABORADOS!$A$2:$M$65536,12,0),"")</f>
        <v/>
      </c>
      <c r="F48" s="127" t="str">
        <f t="shared" si="15"/>
        <v/>
      </c>
      <c r="G48" s="128" t="str">
        <f t="shared" si="16"/>
        <v/>
      </c>
      <c r="H48" s="131"/>
      <c r="I48" s="106"/>
      <c r="J48" s="130"/>
    </row>
    <row r="49" spans="1:17" ht="13.5" hidden="1" x14ac:dyDescent="0.25">
      <c r="A49" s="125">
        <f t="shared" si="13"/>
        <v>0</v>
      </c>
      <c r="B49" s="102" t="str">
        <f>IFERROR(VLOOKUP(H49,[1]SEMIELABORADOS!$A$2:$M$6000,2,0),"")</f>
        <v/>
      </c>
      <c r="C49" s="126">
        <f t="shared" si="14"/>
        <v>0</v>
      </c>
      <c r="D49" s="127" t="str">
        <f>IFERROR(VLOOKUP(H49,[1]SEMIELABORADOS!$A$2:$M$6000,6,0),"")</f>
        <v/>
      </c>
      <c r="E49" s="127" t="str">
        <f>IFERROR(VLOOKUP(H49,[1]SEMIELABORADOS!$A$2:$M$65536,12,0),"")</f>
        <v/>
      </c>
      <c r="F49" s="127" t="str">
        <f t="shared" si="15"/>
        <v/>
      </c>
      <c r="G49" s="128" t="str">
        <f t="shared" si="16"/>
        <v/>
      </c>
      <c r="H49" s="131"/>
      <c r="I49" s="106"/>
      <c r="J49" s="130"/>
    </row>
    <row r="50" spans="1:17" ht="13.5" hidden="1" x14ac:dyDescent="0.25">
      <c r="A50" s="125">
        <f t="shared" si="13"/>
        <v>0</v>
      </c>
      <c r="B50" s="102" t="str">
        <f>IFERROR(VLOOKUP(H50,[1]SEMIELABORADOS!$A$2:$M$6000,2,0),"")</f>
        <v/>
      </c>
      <c r="C50" s="126">
        <f t="shared" si="14"/>
        <v>0</v>
      </c>
      <c r="D50" s="127" t="str">
        <f>IFERROR(VLOOKUP(H50,[1]SEMIELABORADOS!$A$2:$M$6000,6,0),"")</f>
        <v/>
      </c>
      <c r="E50" s="127" t="str">
        <f>IFERROR(VLOOKUP(H50,[1]SEMIELABORADOS!$A$2:$M$65536,12,0),"")</f>
        <v/>
      </c>
      <c r="F50" s="127" t="str">
        <f t="shared" si="15"/>
        <v/>
      </c>
      <c r="G50" s="128" t="str">
        <f t="shared" si="16"/>
        <v/>
      </c>
      <c r="H50" s="102"/>
      <c r="I50" s="106"/>
      <c r="J50" s="130"/>
    </row>
    <row r="51" spans="1:17" ht="13.5" x14ac:dyDescent="0.25">
      <c r="A51" s="125">
        <v>1</v>
      </c>
      <c r="B51" s="102" t="s">
        <v>118</v>
      </c>
      <c r="C51" s="126">
        <f>+A51</f>
        <v>1</v>
      </c>
      <c r="D51" s="126" t="s">
        <v>119</v>
      </c>
      <c r="E51" s="127">
        <f>+F65</f>
        <v>1450</v>
      </c>
      <c r="F51" s="127">
        <f>IFERROR(C51*E51,"")</f>
        <v>1450</v>
      </c>
      <c r="G51" s="128">
        <f>IFERROR(F51/$F$66,"")</f>
        <v>8.2313845698261612E-2</v>
      </c>
      <c r="H51" s="134"/>
      <c r="I51" s="134"/>
      <c r="J51" s="130"/>
    </row>
    <row r="52" spans="1:17" ht="14.25" thickBot="1" x14ac:dyDescent="0.3">
      <c r="A52" s="125"/>
      <c r="B52" s="102"/>
      <c r="C52" s="126"/>
      <c r="D52" s="126"/>
      <c r="E52" s="127"/>
      <c r="F52" s="127"/>
      <c r="G52" s="128"/>
      <c r="H52" s="134"/>
      <c r="I52" s="134"/>
      <c r="J52" s="130"/>
    </row>
    <row r="53" spans="1:17" ht="13.5" thickBot="1" x14ac:dyDescent="0.25">
      <c r="A53" s="108"/>
      <c r="B53" s="354" t="s">
        <v>150</v>
      </c>
      <c r="C53" s="354"/>
      <c r="D53" s="354"/>
      <c r="E53" s="354"/>
      <c r="F53" s="135">
        <f>SUM(F8:F14,F17:F24)</f>
        <v>15613.611428571428</v>
      </c>
      <c r="G53" s="128">
        <f>+F53/$F$66</f>
        <v>0.88635613925796042</v>
      </c>
      <c r="H53" s="136">
        <f>+F53/$D$60</f>
        <v>117.10208571428571</v>
      </c>
      <c r="I53" s="136"/>
      <c r="J53" s="137"/>
      <c r="K53" s="138"/>
      <c r="L53" s="138"/>
      <c r="M53" s="138"/>
      <c r="N53" s="138"/>
      <c r="O53" s="138"/>
      <c r="P53" s="138"/>
      <c r="Q53" s="139"/>
    </row>
    <row r="54" spans="1:17" x14ac:dyDescent="0.2">
      <c r="A54" s="108"/>
      <c r="B54" s="354" t="s">
        <v>120</v>
      </c>
      <c r="C54" s="354"/>
      <c r="D54" s="354"/>
      <c r="E54" s="354"/>
      <c r="F54" s="135">
        <f>SUM(F27:F32,F35:F41)</f>
        <v>239.62182312925171</v>
      </c>
      <c r="G54" s="128">
        <f>+F54/$F$66</f>
        <v>1.3602892258618869E-2</v>
      </c>
      <c r="H54" s="136">
        <f>+F54/$D$60</f>
        <v>1.7971636734693877</v>
      </c>
      <c r="I54" s="136"/>
      <c r="J54" s="140"/>
      <c r="K54" s="355" t="s">
        <v>121</v>
      </c>
      <c r="L54" s="356"/>
      <c r="M54" s="356"/>
      <c r="N54" s="356"/>
      <c r="O54" s="141">
        <f>+F55</f>
        <v>15853.23325170068</v>
      </c>
      <c r="P54" s="141"/>
      <c r="Q54" s="142"/>
    </row>
    <row r="55" spans="1:17" x14ac:dyDescent="0.2">
      <c r="A55" s="108"/>
      <c r="B55" s="354" t="s">
        <v>122</v>
      </c>
      <c r="C55" s="354"/>
      <c r="D55" s="354"/>
      <c r="E55" s="354"/>
      <c r="F55" s="135">
        <f>+F53+F54</f>
        <v>15853.23325170068</v>
      </c>
      <c r="G55" s="128">
        <f>+F55/$F$66</f>
        <v>0.8999590315165793</v>
      </c>
      <c r="H55" s="136">
        <f>+F55/$D$60</f>
        <v>118.89924938775509</v>
      </c>
      <c r="I55" s="136"/>
      <c r="J55" s="143"/>
      <c r="K55" s="144"/>
      <c r="M55" s="145" t="s">
        <v>123</v>
      </c>
      <c r="N55" s="146">
        <v>0.18</v>
      </c>
      <c r="O55" s="141">
        <f>+O54*N55</f>
        <v>2853.5819853061221</v>
      </c>
      <c r="P55" s="141"/>
      <c r="Q55" s="142"/>
    </row>
    <row r="56" spans="1:17" ht="13.5" thickBot="1" x14ac:dyDescent="0.25">
      <c r="A56" s="108"/>
      <c r="B56" s="109"/>
      <c r="C56" s="354" t="s">
        <v>124</v>
      </c>
      <c r="D56" s="354"/>
      <c r="E56" s="354"/>
      <c r="F56" s="135">
        <f>SUM(F44:F51)</f>
        <v>2510.5714285714284</v>
      </c>
      <c r="G56" s="128">
        <f>+F56/$F$66</f>
        <v>0.14252054426613295</v>
      </c>
      <c r="H56" s="136">
        <f>+F56/$D$60</f>
        <v>18.829285714285714</v>
      </c>
      <c r="I56" s="136"/>
      <c r="J56" s="143"/>
      <c r="K56" s="144"/>
      <c r="L56" s="144"/>
      <c r="M56" s="144" t="s">
        <v>125</v>
      </c>
      <c r="N56" s="147"/>
      <c r="O56" s="141">
        <f>O54*N56</f>
        <v>0</v>
      </c>
      <c r="P56" s="141"/>
      <c r="Q56" s="142"/>
    </row>
    <row r="57" spans="1:17" ht="13.5" thickBot="1" x14ac:dyDescent="0.25">
      <c r="A57" s="108"/>
      <c r="B57" s="148"/>
      <c r="C57" s="148"/>
      <c r="D57" s="148"/>
      <c r="E57" s="148"/>
      <c r="F57" s="149"/>
      <c r="G57" s="128"/>
      <c r="H57" s="150"/>
      <c r="I57" s="136"/>
      <c r="J57" s="143"/>
      <c r="K57" s="151"/>
      <c r="M57" s="152" t="s">
        <v>126</v>
      </c>
      <c r="N57" s="153"/>
      <c r="O57" s="154">
        <f>SUM(O54:O56)</f>
        <v>18706.815237006802</v>
      </c>
      <c r="P57" s="155"/>
      <c r="Q57" s="142"/>
    </row>
    <row r="58" spans="1:17" x14ac:dyDescent="0.2">
      <c r="B58" s="347" t="s">
        <v>127</v>
      </c>
      <c r="C58" s="347"/>
      <c r="D58" s="156">
        <v>16000</v>
      </c>
      <c r="E58" s="110"/>
      <c r="G58" s="128"/>
      <c r="H58" s="150"/>
      <c r="I58" s="157"/>
      <c r="J58" s="143"/>
      <c r="K58" s="151"/>
      <c r="L58" s="144"/>
      <c r="M58" s="144" t="s">
        <v>128</v>
      </c>
      <c r="N58" s="158">
        <v>0.16</v>
      </c>
      <c r="O58" s="141">
        <f>+O54*N58</f>
        <v>2536.5173202721089</v>
      </c>
      <c r="P58" s="141"/>
      <c r="Q58" s="142"/>
    </row>
    <row r="59" spans="1:17" x14ac:dyDescent="0.2">
      <c r="B59" s="347" t="s">
        <v>129</v>
      </c>
      <c r="C59" s="347"/>
      <c r="D59" s="159">
        <v>120</v>
      </c>
      <c r="E59" s="110"/>
      <c r="G59" s="128"/>
      <c r="H59" s="150"/>
      <c r="I59" s="157"/>
      <c r="J59" s="143"/>
      <c r="K59" s="151"/>
      <c r="L59" s="144"/>
      <c r="M59" s="358" t="s">
        <v>126</v>
      </c>
      <c r="N59" s="358"/>
      <c r="O59" s="141">
        <f>SUM(O57:O58)</f>
        <v>21243.332557278911</v>
      </c>
      <c r="P59" s="141"/>
      <c r="Q59" s="142"/>
    </row>
    <row r="60" spans="1:17" ht="13.5" thickBot="1" x14ac:dyDescent="0.25">
      <c r="B60" s="357" t="s">
        <v>130</v>
      </c>
      <c r="C60" s="357"/>
      <c r="D60" s="156">
        <f>+D58/D59</f>
        <v>133.33333333333334</v>
      </c>
      <c r="E60" s="110"/>
      <c r="F60" s="160"/>
      <c r="G60" s="128"/>
      <c r="H60" s="150"/>
      <c r="I60" s="157"/>
      <c r="J60" s="143"/>
      <c r="K60" s="151"/>
      <c r="L60" s="358"/>
      <c r="M60" s="358"/>
      <c r="N60" s="158"/>
      <c r="O60" s="141">
        <f>+O59*N60</f>
        <v>0</v>
      </c>
      <c r="P60" s="141"/>
      <c r="Q60" s="142"/>
    </row>
    <row r="61" spans="1:17" ht="13.5" thickBot="1" x14ac:dyDescent="0.25">
      <c r="B61" s="357" t="s">
        <v>131</v>
      </c>
      <c r="C61" s="357"/>
      <c r="D61" s="161"/>
      <c r="E61" s="110"/>
      <c r="F61" s="160"/>
      <c r="G61" s="128"/>
      <c r="H61" s="150"/>
      <c r="I61" s="157"/>
      <c r="J61" s="143"/>
      <c r="K61" s="333" t="s">
        <v>132</v>
      </c>
      <c r="L61" s="334"/>
      <c r="M61" s="334"/>
      <c r="N61" s="335"/>
      <c r="O61" s="154">
        <f>SUM(O59:O60)</f>
        <v>21243.332557278911</v>
      </c>
      <c r="P61" s="162" t="s">
        <v>133</v>
      </c>
      <c r="Q61" s="142"/>
    </row>
    <row r="62" spans="1:17" ht="13.5" thickBot="1" x14ac:dyDescent="0.25">
      <c r="C62" s="108" t="s">
        <v>134</v>
      </c>
      <c r="D62" s="163"/>
      <c r="E62" s="103" t="s">
        <v>135</v>
      </c>
      <c r="F62" s="164" t="s">
        <v>136</v>
      </c>
      <c r="G62" s="128"/>
      <c r="H62" s="150"/>
      <c r="I62" s="157"/>
      <c r="J62" s="165"/>
      <c r="K62" s="166"/>
      <c r="L62" s="336" t="s">
        <v>137</v>
      </c>
      <c r="M62" s="336"/>
      <c r="N62" s="336"/>
      <c r="O62" s="167">
        <f>+O61/D60</f>
        <v>159.32499417959181</v>
      </c>
      <c r="P62" s="168">
        <f>+O62/D59</f>
        <v>1.3277082848299318</v>
      </c>
      <c r="Q62" s="169"/>
    </row>
    <row r="63" spans="1:17" ht="13.5" thickBot="1" x14ac:dyDescent="0.25">
      <c r="B63" s="337" t="s">
        <v>122</v>
      </c>
      <c r="C63" s="337"/>
      <c r="D63" s="337"/>
      <c r="E63" s="170">
        <f>+F63/F63</f>
        <v>1</v>
      </c>
      <c r="F63" s="171">
        <f>SUM(F55)</f>
        <v>15853.23325170068</v>
      </c>
      <c r="G63" s="128">
        <f>+F63/$F$66</f>
        <v>0.8999590315165793</v>
      </c>
      <c r="H63" s="150"/>
      <c r="I63" s="157"/>
      <c r="K63" s="338"/>
      <c r="L63" s="339"/>
      <c r="M63" s="339"/>
      <c r="N63" s="339"/>
      <c r="O63" s="172"/>
      <c r="P63" s="173"/>
    </row>
    <row r="64" spans="1:17" ht="13.5" thickBot="1" x14ac:dyDescent="0.25">
      <c r="B64" s="340" t="s">
        <v>151</v>
      </c>
      <c r="C64" s="340"/>
      <c r="D64" s="340"/>
      <c r="E64" s="174">
        <v>0.02</v>
      </c>
      <c r="F64" s="171">
        <f>+F53*E64</f>
        <v>312.27222857142857</v>
      </c>
      <c r="G64" s="128">
        <f>+F64/$F$66</f>
        <v>1.772712278515921E-2</v>
      </c>
      <c r="H64" s="136"/>
      <c r="I64" s="157"/>
      <c r="J64" s="175"/>
      <c r="O64" s="176"/>
      <c r="P64" s="109"/>
    </row>
    <row r="65" spans="2:10" ht="13.5" thickBot="1" x14ac:dyDescent="0.25">
      <c r="B65" s="345" t="s">
        <v>138</v>
      </c>
      <c r="C65" s="346"/>
      <c r="D65" s="177">
        <v>25</v>
      </c>
      <c r="E65" s="178">
        <v>58</v>
      </c>
      <c r="F65" s="171">
        <f>+E65*D65</f>
        <v>1450</v>
      </c>
      <c r="G65" s="128">
        <f>+F65/$F$66</f>
        <v>8.2313845698261612E-2</v>
      </c>
      <c r="H65" s="136"/>
      <c r="I65" s="136"/>
      <c r="J65" s="130"/>
    </row>
    <row r="66" spans="2:10" ht="13.5" thickBot="1" x14ac:dyDescent="0.25">
      <c r="B66" s="341" t="s">
        <v>139</v>
      </c>
      <c r="C66" s="342"/>
      <c r="D66" s="342"/>
      <c r="E66" s="343"/>
      <c r="F66" s="149">
        <f>SUM(F63:F65)</f>
        <v>17615.505480272106</v>
      </c>
      <c r="G66" s="128">
        <f>+F66/$F$66</f>
        <v>1</v>
      </c>
      <c r="H66" s="344"/>
      <c r="I66" s="136"/>
      <c r="J66" s="130"/>
    </row>
    <row r="67" spans="2:10" x14ac:dyDescent="0.2">
      <c r="C67" s="133"/>
      <c r="D67" s="133"/>
      <c r="E67" s="180"/>
      <c r="F67" s="171"/>
      <c r="G67" s="128"/>
      <c r="H67" s="344"/>
      <c r="I67" s="179"/>
      <c r="J67" s="104"/>
    </row>
    <row r="68" spans="2:10" ht="13.5" thickBot="1" x14ac:dyDescent="0.25">
      <c r="B68" s="331" t="s">
        <v>140</v>
      </c>
      <c r="C68" s="331"/>
      <c r="D68" s="331"/>
      <c r="E68" s="331"/>
      <c r="F68" s="331"/>
      <c r="G68" s="128"/>
      <c r="H68" s="111"/>
      <c r="I68" s="179"/>
      <c r="J68" s="104"/>
    </row>
    <row r="69" spans="2:10" ht="13.5" thickBot="1" x14ac:dyDescent="0.25">
      <c r="B69" s="182" t="s">
        <v>141</v>
      </c>
      <c r="C69" s="183">
        <f>+F53</f>
        <v>15613.611428571428</v>
      </c>
      <c r="D69" s="183">
        <f>+D58</f>
        <v>16000</v>
      </c>
      <c r="E69" s="184">
        <f>+C69/D69</f>
        <v>0.97585071428571424</v>
      </c>
      <c r="F69" s="128"/>
      <c r="G69" s="111"/>
      <c r="H69" s="130"/>
      <c r="I69" s="111"/>
      <c r="J69" s="104"/>
    </row>
    <row r="70" spans="2:10" x14ac:dyDescent="0.2">
      <c r="B70" s="185"/>
      <c r="C70" s="186"/>
      <c r="D70" s="187"/>
      <c r="E70" s="171"/>
      <c r="F70" s="128"/>
      <c r="G70" s="111"/>
      <c r="H70" s="130"/>
      <c r="I70" s="130"/>
      <c r="J70" s="104"/>
    </row>
    <row r="71" spans="2:10" x14ac:dyDescent="0.2">
      <c r="B71" s="182" t="s">
        <v>142</v>
      </c>
      <c r="C71" s="183">
        <f>SUM(F63:F64)</f>
        <v>16165.505480272108</v>
      </c>
      <c r="D71" s="183">
        <f>+D58</f>
        <v>16000</v>
      </c>
      <c r="E71" s="188">
        <f>+C71/D71</f>
        <v>1.0103440925170069</v>
      </c>
      <c r="F71" s="128"/>
      <c r="G71" s="111"/>
      <c r="H71" s="130"/>
      <c r="I71" s="130"/>
      <c r="J71" s="104"/>
    </row>
    <row r="72" spans="2:10" x14ac:dyDescent="0.2">
      <c r="B72" s="182"/>
      <c r="C72" s="183"/>
      <c r="D72" s="183"/>
      <c r="E72" s="188"/>
      <c r="F72" s="128"/>
      <c r="G72" s="111"/>
      <c r="H72" s="130"/>
      <c r="I72" s="130"/>
      <c r="J72" s="104"/>
    </row>
    <row r="73" spans="2:10" ht="13.5" thickBot="1" x14ac:dyDescent="0.25">
      <c r="B73" s="182" t="s">
        <v>143</v>
      </c>
      <c r="C73" s="183">
        <f>+F65</f>
        <v>1450</v>
      </c>
      <c r="D73" s="183">
        <f>+D58</f>
        <v>16000</v>
      </c>
      <c r="E73" s="188">
        <f>+C73/D73</f>
        <v>9.0624999999999997E-2</v>
      </c>
      <c r="F73" s="128"/>
      <c r="G73" s="111"/>
      <c r="H73" s="130"/>
      <c r="I73" s="130"/>
      <c r="J73" s="104"/>
    </row>
    <row r="74" spans="2:10" ht="13.5" thickBot="1" x14ac:dyDescent="0.25">
      <c r="B74" s="182" t="s">
        <v>144</v>
      </c>
      <c r="C74" s="183">
        <f>+F56</f>
        <v>2510.5714285714284</v>
      </c>
      <c r="D74" s="183">
        <f>+D73</f>
        <v>16000</v>
      </c>
      <c r="E74" s="184">
        <f>+C74/D74</f>
        <v>0.15691071428571426</v>
      </c>
      <c r="F74" s="128"/>
      <c r="G74" s="111"/>
      <c r="H74" s="130"/>
      <c r="I74" s="130"/>
      <c r="J74" s="104"/>
    </row>
    <row r="75" spans="2:10" ht="13.5" thickBot="1" x14ac:dyDescent="0.25">
      <c r="B75" s="148"/>
      <c r="C75" s="149"/>
      <c r="D75" s="149"/>
      <c r="E75" s="188"/>
      <c r="F75" s="128"/>
      <c r="G75" s="111"/>
      <c r="H75" s="130"/>
      <c r="I75" s="130"/>
      <c r="J75" s="104"/>
    </row>
    <row r="76" spans="2:10" ht="13.5" thickBot="1" x14ac:dyDescent="0.25">
      <c r="B76" s="182" t="s">
        <v>145</v>
      </c>
      <c r="C76" s="183">
        <f>+F54</f>
        <v>239.62182312925171</v>
      </c>
      <c r="D76" s="183">
        <f>+D74</f>
        <v>16000</v>
      </c>
      <c r="E76" s="184">
        <f>+C76/D76</f>
        <v>1.4976363945578232E-2</v>
      </c>
      <c r="F76" s="128"/>
      <c r="G76" s="111"/>
      <c r="H76" s="130"/>
      <c r="I76" s="130"/>
      <c r="J76" s="130"/>
    </row>
    <row r="77" spans="2:10" ht="13.5" thickBot="1" x14ac:dyDescent="0.25">
      <c r="B77" s="148"/>
      <c r="C77" s="149"/>
      <c r="D77" s="149"/>
      <c r="E77" s="188"/>
      <c r="F77" s="128"/>
      <c r="G77" s="111"/>
      <c r="H77" s="130"/>
      <c r="I77" s="130"/>
    </row>
    <row r="78" spans="2:10" ht="13.5" thickBot="1" x14ac:dyDescent="0.25">
      <c r="B78" s="328" t="s">
        <v>146</v>
      </c>
      <c r="C78" s="329"/>
      <c r="D78" s="330"/>
      <c r="E78" s="184">
        <f>+E69+E74</f>
        <v>1.1327614285714285</v>
      </c>
      <c r="G78" s="128"/>
      <c r="H78" s="111"/>
      <c r="I78" s="130"/>
      <c r="J78" s="188"/>
    </row>
    <row r="79" spans="2:10" x14ac:dyDescent="0.2">
      <c r="I79" s="111"/>
      <c r="J79" s="104"/>
    </row>
    <row r="80" spans="2:10" ht="13.5" thickBot="1" x14ac:dyDescent="0.25">
      <c r="B80" s="331" t="s">
        <v>147</v>
      </c>
      <c r="C80" s="331"/>
      <c r="D80" s="331"/>
      <c r="E80" s="331"/>
      <c r="F80" s="331"/>
      <c r="G80" s="128"/>
      <c r="H80" s="111"/>
      <c r="J80" s="104"/>
    </row>
    <row r="81" spans="1:10" ht="13.5" thickBot="1" x14ac:dyDescent="0.25">
      <c r="B81" s="182" t="s">
        <v>141</v>
      </c>
      <c r="C81" s="183">
        <f>+C69</f>
        <v>15613.611428571428</v>
      </c>
      <c r="D81" s="183">
        <f>+D60</f>
        <v>133.33333333333334</v>
      </c>
      <c r="E81" s="184">
        <f>+C81/D81</f>
        <v>117.10208571428571</v>
      </c>
      <c r="F81" s="128"/>
      <c r="G81" s="111"/>
      <c r="H81" s="130"/>
      <c r="I81" s="111"/>
      <c r="J81" s="104"/>
    </row>
    <row r="82" spans="1:10" x14ac:dyDescent="0.2">
      <c r="B82" s="185"/>
      <c r="C82" s="186"/>
      <c r="D82" s="187"/>
      <c r="E82" s="171"/>
      <c r="F82" s="128"/>
      <c r="G82" s="111"/>
      <c r="H82" s="130"/>
      <c r="I82" s="130"/>
      <c r="J82" s="104"/>
    </row>
    <row r="83" spans="1:10" x14ac:dyDescent="0.2">
      <c r="B83" s="182" t="s">
        <v>142</v>
      </c>
      <c r="C83" s="183">
        <f>+C71</f>
        <v>16165.505480272108</v>
      </c>
      <c r="D83" s="183">
        <f>+D60</f>
        <v>133.33333333333334</v>
      </c>
      <c r="E83" s="188">
        <f>+C83/D83</f>
        <v>121.2412911020408</v>
      </c>
      <c r="F83" s="128"/>
      <c r="G83" s="111"/>
      <c r="H83" s="130"/>
      <c r="I83" s="130"/>
      <c r="J83" s="104"/>
    </row>
    <row r="84" spans="1:10" x14ac:dyDescent="0.2">
      <c r="B84" s="182"/>
      <c r="C84" s="183"/>
      <c r="D84" s="183"/>
      <c r="E84" s="188"/>
      <c r="F84" s="128"/>
      <c r="G84" s="111"/>
      <c r="H84" s="130"/>
      <c r="I84" s="130"/>
      <c r="J84" s="104"/>
    </row>
    <row r="85" spans="1:10" ht="13.5" thickBot="1" x14ac:dyDescent="0.25">
      <c r="B85" s="182" t="s">
        <v>144</v>
      </c>
      <c r="C85" s="183">
        <f>+C73</f>
        <v>1450</v>
      </c>
      <c r="D85" s="183">
        <f>+D60</f>
        <v>133.33333333333334</v>
      </c>
      <c r="E85" s="188">
        <f>+C85/D85</f>
        <v>10.875</v>
      </c>
      <c r="F85" s="190"/>
      <c r="G85" s="181"/>
      <c r="H85" s="115"/>
      <c r="I85" s="130"/>
    </row>
    <row r="86" spans="1:10" ht="13.5" thickBot="1" x14ac:dyDescent="0.25">
      <c r="B86" s="182" t="s">
        <v>144</v>
      </c>
      <c r="C86" s="183">
        <f>+C74</f>
        <v>2510.5714285714284</v>
      </c>
      <c r="D86" s="183">
        <f>+D85</f>
        <v>133.33333333333334</v>
      </c>
      <c r="E86" s="184">
        <f>+C86/D86</f>
        <v>18.829285714285714</v>
      </c>
      <c r="F86" s="189"/>
      <c r="G86" s="181"/>
      <c r="H86" s="115"/>
      <c r="I86" s="115"/>
    </row>
    <row r="87" spans="1:10" x14ac:dyDescent="0.2">
      <c r="I87" s="115"/>
    </row>
    <row r="88" spans="1:10" x14ac:dyDescent="0.2">
      <c r="A88" s="332"/>
      <c r="B88" s="332"/>
      <c r="C88" s="191"/>
      <c r="D88" s="191"/>
      <c r="E88" s="192"/>
      <c r="G88" s="193"/>
    </row>
    <row r="89" spans="1:10" x14ac:dyDescent="0.2">
      <c r="A89" s="102"/>
      <c r="B89" s="194"/>
      <c r="C89" s="195"/>
      <c r="D89" s="195"/>
      <c r="E89" s="196"/>
      <c r="G89" s="193"/>
    </row>
    <row r="90" spans="1:10" x14ac:dyDescent="0.2">
      <c r="A90" s="102"/>
      <c r="B90" s="194"/>
      <c r="C90" s="197"/>
      <c r="D90" s="197"/>
      <c r="E90" s="102"/>
      <c r="G90" s="193"/>
    </row>
    <row r="91" spans="1:10" x14ac:dyDescent="0.2">
      <c r="A91" s="102"/>
      <c r="B91" s="194"/>
      <c r="C91" s="198"/>
      <c r="D91" s="198"/>
      <c r="E91" s="102"/>
      <c r="G91" s="193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B2584-4EF9-4B44-829D-FA185F4BDFD4}">
  <dimension ref="A1:H36"/>
  <sheetViews>
    <sheetView topLeftCell="A3" workbookViewId="0">
      <selection activeCell="B10" sqref="B10"/>
    </sheetView>
  </sheetViews>
  <sheetFormatPr baseColWidth="10" defaultRowHeight="12.75" x14ac:dyDescent="0.2"/>
  <cols>
    <col min="1" max="1" width="17" customWidth="1"/>
    <col min="2" max="2" width="39" customWidth="1"/>
    <col min="7" max="7" width="19.28515625" customWidth="1"/>
  </cols>
  <sheetData>
    <row r="1" spans="1:8" ht="18" x14ac:dyDescent="0.25">
      <c r="A1" s="371"/>
      <c r="B1" s="374" t="s">
        <v>22</v>
      </c>
      <c r="C1" s="375"/>
      <c r="D1" s="375"/>
      <c r="E1" s="375"/>
      <c r="F1" s="376"/>
      <c r="G1" s="62" t="s">
        <v>21</v>
      </c>
      <c r="H1" s="63"/>
    </row>
    <row r="2" spans="1:8" ht="18" x14ac:dyDescent="0.25">
      <c r="A2" s="372"/>
      <c r="B2" s="377" t="s">
        <v>0</v>
      </c>
      <c r="C2" s="378"/>
      <c r="D2" s="378"/>
      <c r="E2" s="378"/>
      <c r="F2" s="379"/>
      <c r="G2" s="64" t="s">
        <v>20</v>
      </c>
      <c r="H2" s="65"/>
    </row>
    <row r="3" spans="1:8" ht="30" customHeight="1" x14ac:dyDescent="0.2">
      <c r="A3" s="372"/>
      <c r="B3" s="380" t="s">
        <v>93</v>
      </c>
      <c r="C3" s="381"/>
      <c r="D3" s="381"/>
      <c r="E3" s="381"/>
      <c r="F3" s="382"/>
      <c r="G3" s="383" t="s">
        <v>19</v>
      </c>
      <c r="H3" s="359"/>
    </row>
    <row r="4" spans="1:8" x14ac:dyDescent="0.2">
      <c r="A4" s="372"/>
      <c r="B4" s="67" t="s">
        <v>18</v>
      </c>
      <c r="C4" s="362" t="s">
        <v>94</v>
      </c>
      <c r="D4" s="363"/>
      <c r="E4" s="363"/>
      <c r="F4" s="364"/>
      <c r="G4" s="384"/>
      <c r="H4" s="360"/>
    </row>
    <row r="5" spans="1:8" ht="13.5" thickBot="1" x14ac:dyDescent="0.25">
      <c r="A5" s="373"/>
      <c r="B5" s="69" t="s">
        <v>17</v>
      </c>
      <c r="C5" s="365" t="s">
        <v>34</v>
      </c>
      <c r="D5" s="366"/>
      <c r="E5" s="366"/>
      <c r="F5" s="367"/>
      <c r="G5" s="385"/>
      <c r="H5" s="361"/>
    </row>
    <row r="6" spans="1:8" x14ac:dyDescent="0.2">
      <c r="A6" s="61"/>
      <c r="B6" s="70"/>
      <c r="C6" s="68"/>
      <c r="D6" s="68"/>
      <c r="E6" s="68"/>
      <c r="F6" s="68"/>
      <c r="G6" s="66"/>
      <c r="H6" s="71"/>
    </row>
    <row r="7" spans="1:8" ht="18.75" thickBot="1" x14ac:dyDescent="0.3">
      <c r="A7" s="368" t="s">
        <v>23</v>
      </c>
      <c r="B7" s="368"/>
      <c r="C7" s="369" t="s">
        <v>84</v>
      </c>
      <c r="D7" s="369"/>
      <c r="E7" s="369"/>
      <c r="F7" s="370" t="s">
        <v>24</v>
      </c>
      <c r="G7" s="370"/>
      <c r="H7" s="72" t="s">
        <v>85</v>
      </c>
    </row>
    <row r="8" spans="1:8" ht="25.5" x14ac:dyDescent="0.2">
      <c r="A8" s="386" t="s">
        <v>1</v>
      </c>
      <c r="B8" s="388" t="s">
        <v>2</v>
      </c>
      <c r="C8" s="388" t="s">
        <v>3</v>
      </c>
      <c r="D8" s="390" t="s">
        <v>4</v>
      </c>
      <c r="E8" s="391"/>
      <c r="F8" s="390" t="s">
        <v>16</v>
      </c>
      <c r="G8" s="391"/>
      <c r="H8" s="73" t="s">
        <v>5</v>
      </c>
    </row>
    <row r="9" spans="1:8" ht="26.25" thickBot="1" x14ac:dyDescent="0.25">
      <c r="A9" s="387"/>
      <c r="B9" s="389"/>
      <c r="C9" s="389"/>
      <c r="D9" s="74" t="s">
        <v>6</v>
      </c>
      <c r="E9" s="75" t="s">
        <v>7</v>
      </c>
      <c r="F9" s="74" t="s">
        <v>6</v>
      </c>
      <c r="G9" s="75" t="s">
        <v>7</v>
      </c>
      <c r="H9" s="76" t="s">
        <v>8</v>
      </c>
    </row>
    <row r="10" spans="1:8" ht="15" x14ac:dyDescent="0.25">
      <c r="A10" s="77" t="s">
        <v>31</v>
      </c>
      <c r="B10" s="78" t="s">
        <v>100</v>
      </c>
      <c r="C10" s="45" t="s">
        <v>32</v>
      </c>
      <c r="D10" s="45">
        <v>84</v>
      </c>
      <c r="E10" s="49" t="s">
        <v>26</v>
      </c>
      <c r="F10" s="392" t="s">
        <v>101</v>
      </c>
      <c r="G10" s="393"/>
      <c r="H10" s="79"/>
    </row>
    <row r="11" spans="1:8" ht="15.75" x14ac:dyDescent="0.25">
      <c r="A11" s="77"/>
      <c r="B11" s="78"/>
      <c r="C11" s="80"/>
      <c r="D11" s="45"/>
      <c r="E11" s="49"/>
      <c r="F11" s="81"/>
      <c r="G11" s="48"/>
      <c r="H11" s="79"/>
    </row>
    <row r="12" spans="1:8" ht="15.75" x14ac:dyDescent="0.25">
      <c r="A12" s="77"/>
      <c r="B12" s="82" t="s">
        <v>86</v>
      </c>
      <c r="C12" s="83"/>
      <c r="D12" s="45"/>
      <c r="E12" s="49"/>
      <c r="F12" s="81"/>
      <c r="G12" s="48"/>
      <c r="H12" s="79"/>
    </row>
    <row r="13" spans="1:8" ht="15.75" x14ac:dyDescent="0.25">
      <c r="A13" s="77">
        <v>702077</v>
      </c>
      <c r="B13" s="78" t="s">
        <v>87</v>
      </c>
      <c r="C13" s="84" t="s">
        <v>88</v>
      </c>
      <c r="D13" s="45">
        <v>1</v>
      </c>
      <c r="E13" s="49" t="s">
        <v>27</v>
      </c>
      <c r="F13" s="81"/>
      <c r="G13" s="48"/>
      <c r="H13" s="79"/>
    </row>
    <row r="14" spans="1:8" ht="15.75" x14ac:dyDescent="0.25">
      <c r="A14" s="77">
        <v>702012</v>
      </c>
      <c r="B14" s="78" t="s">
        <v>89</v>
      </c>
      <c r="C14" s="77" t="s">
        <v>33</v>
      </c>
      <c r="D14" s="45">
        <v>1</v>
      </c>
      <c r="E14" s="49" t="s">
        <v>27</v>
      </c>
      <c r="F14" s="81"/>
      <c r="G14" s="48"/>
      <c r="H14" s="79"/>
    </row>
    <row r="15" spans="1:8" ht="15" x14ac:dyDescent="0.25">
      <c r="A15" s="77">
        <v>702067</v>
      </c>
      <c r="B15" s="85" t="s">
        <v>90</v>
      </c>
      <c r="C15" s="85"/>
      <c r="D15" s="86">
        <v>1</v>
      </c>
      <c r="E15" s="86" t="s">
        <v>27</v>
      </c>
      <c r="F15" s="86"/>
      <c r="G15" s="86"/>
      <c r="H15" s="79"/>
    </row>
    <row r="16" spans="1:8" ht="15" x14ac:dyDescent="0.2">
      <c r="A16" s="87">
        <v>1950895</v>
      </c>
      <c r="B16" s="78" t="s">
        <v>91</v>
      </c>
      <c r="C16" s="88"/>
      <c r="D16" s="88">
        <v>1</v>
      </c>
      <c r="E16" s="88" t="s">
        <v>27</v>
      </c>
      <c r="F16" s="37"/>
      <c r="G16" s="37"/>
      <c r="H16" s="79"/>
    </row>
    <row r="17" spans="1:8" ht="15.75" x14ac:dyDescent="0.25">
      <c r="A17" s="87"/>
      <c r="B17" s="89"/>
      <c r="C17" s="88"/>
      <c r="D17" s="88"/>
      <c r="E17" s="88"/>
      <c r="F17" s="37"/>
      <c r="G17" s="37"/>
      <c r="H17" s="79"/>
    </row>
    <row r="18" spans="1:8" ht="13.5" thickBot="1" x14ac:dyDescent="0.25">
      <c r="A18" s="90"/>
      <c r="B18" s="91"/>
      <c r="C18" s="91"/>
      <c r="D18" s="61"/>
      <c r="E18" s="92"/>
      <c r="F18" s="91"/>
      <c r="G18" s="91"/>
      <c r="H18" s="93"/>
    </row>
    <row r="19" spans="1:8" ht="13.5" thickBot="1" x14ac:dyDescent="0.25">
      <c r="A19" s="94"/>
      <c r="B19" s="95"/>
      <c r="C19" s="96" t="s">
        <v>6</v>
      </c>
      <c r="D19" s="96" t="s">
        <v>15</v>
      </c>
      <c r="E19" s="97"/>
      <c r="F19" s="95"/>
      <c r="G19" s="95"/>
      <c r="H19" s="98"/>
    </row>
    <row r="20" spans="1:8" x14ac:dyDescent="0.2">
      <c r="A20" s="394" t="s">
        <v>10</v>
      </c>
      <c r="B20" s="395"/>
      <c r="C20" s="37">
        <v>84</v>
      </c>
      <c r="D20" s="24" t="s">
        <v>26</v>
      </c>
      <c r="E20" s="396"/>
      <c r="F20" s="397"/>
      <c r="G20" s="398"/>
      <c r="H20" s="399"/>
    </row>
    <row r="21" spans="1:8" x14ac:dyDescent="0.2">
      <c r="A21" s="297" t="s">
        <v>9</v>
      </c>
      <c r="B21" s="298"/>
      <c r="C21" s="25">
        <v>1</v>
      </c>
      <c r="D21" s="10" t="s">
        <v>28</v>
      </c>
      <c r="E21" s="400"/>
      <c r="F21" s="401"/>
      <c r="G21" s="402"/>
      <c r="H21" s="403"/>
    </row>
    <row r="22" spans="1:8" x14ac:dyDescent="0.2">
      <c r="A22" s="297" t="s">
        <v>14</v>
      </c>
      <c r="B22" s="298"/>
      <c r="C22" s="10">
        <v>1</v>
      </c>
      <c r="D22" s="10" t="s">
        <v>27</v>
      </c>
      <c r="E22" s="400"/>
      <c r="F22" s="401"/>
      <c r="G22" s="402"/>
      <c r="H22" s="403"/>
    </row>
    <row r="23" spans="1:8" x14ac:dyDescent="0.2">
      <c r="A23" s="297" t="s">
        <v>13</v>
      </c>
      <c r="B23" s="298"/>
      <c r="C23" s="10">
        <v>84</v>
      </c>
      <c r="D23" s="10" t="s">
        <v>26</v>
      </c>
      <c r="E23" s="404"/>
      <c r="F23" s="405"/>
      <c r="G23" s="402"/>
      <c r="H23" s="403"/>
    </row>
    <row r="24" spans="1:8" ht="13.5" thickBot="1" x14ac:dyDescent="0.25">
      <c r="A24" s="406" t="s">
        <v>12</v>
      </c>
      <c r="B24" s="407"/>
      <c r="C24" s="28">
        <v>0</v>
      </c>
      <c r="D24" s="28" t="s">
        <v>26</v>
      </c>
      <c r="E24" s="408"/>
      <c r="F24" s="409"/>
      <c r="G24" s="410"/>
      <c r="H24" s="411"/>
    </row>
    <row r="25" spans="1:8" ht="13.5" thickBot="1" x14ac:dyDescent="0.25">
      <c r="A25" s="412" t="s">
        <v>11</v>
      </c>
      <c r="B25" s="413"/>
      <c r="C25" s="413"/>
      <c r="D25" s="413"/>
      <c r="E25" s="413"/>
      <c r="F25" s="413"/>
      <c r="G25" s="413"/>
      <c r="H25" s="413"/>
    </row>
    <row r="26" spans="1:8" ht="15" customHeight="1" x14ac:dyDescent="0.25">
      <c r="A26" s="414" t="s">
        <v>102</v>
      </c>
      <c r="B26" s="415"/>
      <c r="C26" s="415"/>
      <c r="D26" s="415"/>
      <c r="E26" s="415"/>
      <c r="F26" s="415"/>
      <c r="G26" s="415"/>
      <c r="H26" s="415"/>
    </row>
    <row r="27" spans="1:8" ht="15" customHeight="1" x14ac:dyDescent="0.25">
      <c r="A27" s="416" t="s">
        <v>103</v>
      </c>
      <c r="B27" s="417"/>
      <c r="C27" s="417"/>
      <c r="D27" s="417"/>
      <c r="E27" s="417"/>
      <c r="F27" s="417"/>
      <c r="G27" s="417"/>
      <c r="H27" s="417"/>
    </row>
    <row r="28" spans="1:8" ht="15" customHeight="1" x14ac:dyDescent="0.25">
      <c r="A28" s="416"/>
      <c r="B28" s="417"/>
      <c r="C28" s="417"/>
      <c r="D28" s="417"/>
      <c r="E28" s="417"/>
      <c r="F28" s="417"/>
      <c r="G28" s="417"/>
      <c r="H28" s="417"/>
    </row>
    <row r="29" spans="1:8" ht="15" x14ac:dyDescent="0.25">
      <c r="A29" s="416"/>
      <c r="B29" s="417"/>
      <c r="C29" s="417"/>
      <c r="D29" s="417"/>
      <c r="E29" s="417"/>
      <c r="F29" s="417"/>
      <c r="G29" s="417"/>
      <c r="H29" s="417"/>
    </row>
    <row r="30" spans="1:8" ht="15" x14ac:dyDescent="0.25">
      <c r="A30" s="416"/>
      <c r="B30" s="417"/>
      <c r="C30" s="417"/>
      <c r="D30" s="417"/>
      <c r="E30" s="417"/>
      <c r="F30" s="417"/>
      <c r="G30" s="417"/>
      <c r="H30" s="417"/>
    </row>
    <row r="31" spans="1:8" ht="15" x14ac:dyDescent="0.25">
      <c r="A31" s="416"/>
      <c r="B31" s="417"/>
      <c r="C31" s="417"/>
      <c r="D31" s="417"/>
      <c r="E31" s="417"/>
      <c r="F31" s="417"/>
      <c r="G31" s="417"/>
      <c r="H31" s="417"/>
    </row>
    <row r="32" spans="1:8" ht="14.25" x14ac:dyDescent="0.2">
      <c r="A32" s="420"/>
      <c r="B32" s="421"/>
      <c r="C32" s="421"/>
      <c r="D32" s="421"/>
      <c r="E32" s="421"/>
      <c r="F32" s="421"/>
      <c r="G32" s="421"/>
      <c r="H32" s="421"/>
    </row>
    <row r="33" spans="1:8" ht="14.25" x14ac:dyDescent="0.2">
      <c r="A33" s="420"/>
      <c r="B33" s="421"/>
      <c r="C33" s="421"/>
      <c r="D33" s="421"/>
      <c r="E33" s="421"/>
      <c r="F33" s="421"/>
      <c r="G33" s="421"/>
      <c r="H33" s="421"/>
    </row>
    <row r="34" spans="1:8" ht="15" thickBot="1" x14ac:dyDescent="0.25">
      <c r="A34" s="418"/>
      <c r="B34" s="419"/>
      <c r="C34" s="419"/>
      <c r="D34" s="419"/>
      <c r="E34" s="419"/>
      <c r="F34" s="419"/>
      <c r="G34" s="419"/>
      <c r="H34" s="419"/>
    </row>
    <row r="35" spans="1:8" ht="13.5" thickBot="1" x14ac:dyDescent="0.25">
      <c r="A35" s="412" t="s">
        <v>92</v>
      </c>
      <c r="B35" s="413"/>
      <c r="C35" s="413"/>
      <c r="D35" s="413"/>
      <c r="E35" s="413"/>
      <c r="F35" s="413"/>
      <c r="G35" s="413"/>
      <c r="H35" s="413"/>
    </row>
    <row r="36" spans="1:8" x14ac:dyDescent="0.2">
      <c r="A36" s="99"/>
      <c r="B36" s="99"/>
      <c r="C36" s="91"/>
      <c r="D36" s="91"/>
      <c r="E36" s="91"/>
      <c r="F36" s="91"/>
      <c r="G36" s="91"/>
      <c r="H36" s="91"/>
    </row>
  </sheetData>
  <mergeCells count="43">
    <mergeCell ref="A27:H27"/>
    <mergeCell ref="A34:H34"/>
    <mergeCell ref="A35:H35"/>
    <mergeCell ref="A28:H28"/>
    <mergeCell ref="A29:H29"/>
    <mergeCell ref="A30:H30"/>
    <mergeCell ref="A31:H31"/>
    <mergeCell ref="A32:H32"/>
    <mergeCell ref="A33:H33"/>
    <mergeCell ref="A24:B24"/>
    <mergeCell ref="E24:F24"/>
    <mergeCell ref="G24:H24"/>
    <mergeCell ref="A25:H25"/>
    <mergeCell ref="A26:H26"/>
    <mergeCell ref="A22:B22"/>
    <mergeCell ref="E22:F22"/>
    <mergeCell ref="G22:H22"/>
    <mergeCell ref="A23:B23"/>
    <mergeCell ref="E23:F23"/>
    <mergeCell ref="G23:H23"/>
    <mergeCell ref="F10:G10"/>
    <mergeCell ref="A20:B20"/>
    <mergeCell ref="E20:F20"/>
    <mergeCell ref="G20:H20"/>
    <mergeCell ref="A21:B21"/>
    <mergeCell ref="E21:F21"/>
    <mergeCell ref="G21:H21"/>
    <mergeCell ref="A8:A9"/>
    <mergeCell ref="B8:B9"/>
    <mergeCell ref="C8:C9"/>
    <mergeCell ref="D8:E8"/>
    <mergeCell ref="F8:G8"/>
    <mergeCell ref="H3:H5"/>
    <mergeCell ref="C4:F4"/>
    <mergeCell ref="C5:F5"/>
    <mergeCell ref="A7:B7"/>
    <mergeCell ref="C7:E7"/>
    <mergeCell ref="F7:G7"/>
    <mergeCell ref="A1:A5"/>
    <mergeCell ref="B1:F1"/>
    <mergeCell ref="B2:F2"/>
    <mergeCell ref="B3:F3"/>
    <mergeCell ref="G3:G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8F4A7-C147-4AF3-B346-D0F9FE72157B}">
  <dimension ref="A1:H36"/>
  <sheetViews>
    <sheetView topLeftCell="A4" workbookViewId="0">
      <selection activeCell="B15" sqref="B15"/>
    </sheetView>
  </sheetViews>
  <sheetFormatPr baseColWidth="10" defaultRowHeight="12.75" x14ac:dyDescent="0.2"/>
  <cols>
    <col min="1" max="1" width="17" customWidth="1"/>
    <col min="2" max="2" width="39" customWidth="1"/>
    <col min="7" max="7" width="19.28515625" customWidth="1"/>
  </cols>
  <sheetData>
    <row r="1" spans="1:8" ht="18" x14ac:dyDescent="0.25">
      <c r="A1" s="371"/>
      <c r="B1" s="374" t="s">
        <v>22</v>
      </c>
      <c r="C1" s="375"/>
      <c r="D1" s="375"/>
      <c r="E1" s="375"/>
      <c r="F1" s="376"/>
      <c r="G1" s="62" t="s">
        <v>21</v>
      </c>
      <c r="H1" s="63"/>
    </row>
    <row r="2" spans="1:8" ht="18" x14ac:dyDescent="0.25">
      <c r="A2" s="372"/>
      <c r="B2" s="377" t="s">
        <v>0</v>
      </c>
      <c r="C2" s="378"/>
      <c r="D2" s="378"/>
      <c r="E2" s="378"/>
      <c r="F2" s="379"/>
      <c r="G2" s="64" t="s">
        <v>20</v>
      </c>
      <c r="H2" s="65"/>
    </row>
    <row r="3" spans="1:8" ht="30" customHeight="1" x14ac:dyDescent="0.2">
      <c r="A3" s="372"/>
      <c r="B3" s="380" t="s">
        <v>168</v>
      </c>
      <c r="C3" s="381"/>
      <c r="D3" s="381"/>
      <c r="E3" s="381"/>
      <c r="F3" s="382"/>
      <c r="G3" s="383" t="s">
        <v>19</v>
      </c>
      <c r="H3" s="359"/>
    </row>
    <row r="4" spans="1:8" x14ac:dyDescent="0.2">
      <c r="A4" s="372"/>
      <c r="B4" s="67" t="s">
        <v>18</v>
      </c>
      <c r="C4" s="362" t="s">
        <v>94</v>
      </c>
      <c r="D4" s="363"/>
      <c r="E4" s="363"/>
      <c r="F4" s="364"/>
      <c r="G4" s="384"/>
      <c r="H4" s="360"/>
    </row>
    <row r="5" spans="1:8" ht="13.5" thickBot="1" x14ac:dyDescent="0.25">
      <c r="A5" s="373"/>
      <c r="B5" s="69" t="s">
        <v>17</v>
      </c>
      <c r="C5" s="365" t="s">
        <v>34</v>
      </c>
      <c r="D5" s="366"/>
      <c r="E5" s="366"/>
      <c r="F5" s="367"/>
      <c r="G5" s="385"/>
      <c r="H5" s="361"/>
    </row>
    <row r="6" spans="1:8" x14ac:dyDescent="0.2">
      <c r="A6" s="61"/>
      <c r="B6" s="70"/>
      <c r="C6" s="68"/>
      <c r="D6" s="68"/>
      <c r="E6" s="68"/>
      <c r="F6" s="68"/>
      <c r="G6" s="66"/>
      <c r="H6" s="71"/>
    </row>
    <row r="7" spans="1:8" ht="18.75" thickBot="1" x14ac:dyDescent="0.3">
      <c r="A7" s="368" t="s">
        <v>23</v>
      </c>
      <c r="B7" s="368"/>
      <c r="C7" s="369" t="s">
        <v>84</v>
      </c>
      <c r="D7" s="369"/>
      <c r="E7" s="369"/>
      <c r="F7" s="370" t="s">
        <v>24</v>
      </c>
      <c r="G7" s="370"/>
      <c r="H7" s="72" t="s">
        <v>85</v>
      </c>
    </row>
    <row r="8" spans="1:8" ht="25.5" x14ac:dyDescent="0.2">
      <c r="A8" s="386" t="s">
        <v>1</v>
      </c>
      <c r="B8" s="388" t="s">
        <v>2</v>
      </c>
      <c r="C8" s="388" t="s">
        <v>3</v>
      </c>
      <c r="D8" s="390" t="s">
        <v>4</v>
      </c>
      <c r="E8" s="391"/>
      <c r="F8" s="390" t="s">
        <v>16</v>
      </c>
      <c r="G8" s="391"/>
      <c r="H8" s="73" t="s">
        <v>5</v>
      </c>
    </row>
    <row r="9" spans="1:8" ht="26.25" thickBot="1" x14ac:dyDescent="0.25">
      <c r="A9" s="387"/>
      <c r="B9" s="389"/>
      <c r="C9" s="389"/>
      <c r="D9" s="74" t="s">
        <v>6</v>
      </c>
      <c r="E9" s="75" t="s">
        <v>7</v>
      </c>
      <c r="F9" s="74" t="s">
        <v>6</v>
      </c>
      <c r="G9" s="75" t="s">
        <v>7</v>
      </c>
      <c r="H9" s="76" t="s">
        <v>8</v>
      </c>
    </row>
    <row r="10" spans="1:8" ht="15" x14ac:dyDescent="0.25">
      <c r="A10" s="77"/>
      <c r="B10" s="78" t="s">
        <v>100</v>
      </c>
      <c r="C10" s="77" t="s">
        <v>165</v>
      </c>
      <c r="D10" s="77">
        <v>680</v>
      </c>
      <c r="E10" s="222" t="s">
        <v>26</v>
      </c>
      <c r="F10" s="77">
        <v>1</v>
      </c>
      <c r="G10" s="77" t="s">
        <v>15</v>
      </c>
      <c r="H10" s="79"/>
    </row>
    <row r="11" spans="1:8" ht="15.75" thickBot="1" x14ac:dyDescent="0.3">
      <c r="A11" s="223"/>
      <c r="B11" s="224"/>
      <c r="C11" s="77"/>
      <c r="D11" s="77"/>
      <c r="E11" s="222"/>
      <c r="F11" s="77"/>
      <c r="G11" s="77"/>
      <c r="H11" s="79"/>
    </row>
    <row r="12" spans="1:8" ht="15.75" thickBot="1" x14ac:dyDescent="0.3">
      <c r="A12" s="223"/>
      <c r="B12" s="225" t="s">
        <v>86</v>
      </c>
      <c r="C12" s="77"/>
      <c r="D12" s="77"/>
      <c r="E12" s="222"/>
      <c r="F12" s="77"/>
      <c r="G12" s="77"/>
      <c r="H12" s="79"/>
    </row>
    <row r="13" spans="1:8" ht="15" x14ac:dyDescent="0.25">
      <c r="A13" s="226">
        <v>703201</v>
      </c>
      <c r="B13" s="78" t="s">
        <v>169</v>
      </c>
      <c r="C13" s="77" t="s">
        <v>88</v>
      </c>
      <c r="D13" s="77">
        <v>140</v>
      </c>
      <c r="E13" s="222" t="s">
        <v>170</v>
      </c>
      <c r="F13" s="77"/>
      <c r="G13" s="77"/>
      <c r="H13" s="79"/>
    </row>
    <row r="14" spans="1:8" ht="15" x14ac:dyDescent="0.25">
      <c r="A14" s="226">
        <v>1950895</v>
      </c>
      <c r="B14" s="78" t="s">
        <v>171</v>
      </c>
      <c r="C14" s="77" t="s">
        <v>172</v>
      </c>
      <c r="D14" s="77">
        <v>21</v>
      </c>
      <c r="E14" s="222" t="s">
        <v>26</v>
      </c>
      <c r="F14" s="77"/>
      <c r="G14" s="77"/>
      <c r="H14" s="79"/>
    </row>
    <row r="15" spans="1:8" ht="15" x14ac:dyDescent="0.25">
      <c r="A15" s="226">
        <v>702006</v>
      </c>
      <c r="B15" s="78" t="s">
        <v>89</v>
      </c>
      <c r="C15" s="77" t="s">
        <v>33</v>
      </c>
      <c r="D15" s="77">
        <v>7</v>
      </c>
      <c r="E15" s="222" t="s">
        <v>173</v>
      </c>
      <c r="F15" s="77"/>
      <c r="G15" s="77"/>
      <c r="H15" s="79"/>
    </row>
    <row r="16" spans="1:8" ht="15" x14ac:dyDescent="0.25">
      <c r="A16" s="226">
        <v>60100027</v>
      </c>
      <c r="B16" s="78" t="s">
        <v>174</v>
      </c>
      <c r="C16" s="77" t="s">
        <v>88</v>
      </c>
      <c r="D16" s="77">
        <v>7</v>
      </c>
      <c r="E16" s="222" t="s">
        <v>173</v>
      </c>
      <c r="F16" s="77"/>
      <c r="G16" s="77"/>
      <c r="H16" s="79"/>
    </row>
    <row r="17" spans="1:8" ht="15" x14ac:dyDescent="0.25">
      <c r="A17" s="223">
        <v>1950752</v>
      </c>
      <c r="B17" s="224" t="s">
        <v>175</v>
      </c>
      <c r="C17" s="227"/>
      <c r="D17" s="77">
        <v>2</v>
      </c>
      <c r="E17" s="222" t="s">
        <v>176</v>
      </c>
      <c r="F17" s="77"/>
      <c r="G17" s="77"/>
      <c r="H17" s="79"/>
    </row>
    <row r="18" spans="1:8" ht="13.5" thickBot="1" x14ac:dyDescent="0.25">
      <c r="A18" s="90"/>
      <c r="B18" s="91"/>
      <c r="C18" s="91"/>
      <c r="D18" s="61"/>
      <c r="E18" s="92"/>
      <c r="F18" s="91"/>
      <c r="G18" s="91"/>
      <c r="H18" s="93"/>
    </row>
    <row r="19" spans="1:8" ht="13.5" thickBot="1" x14ac:dyDescent="0.25">
      <c r="A19" s="94"/>
      <c r="B19" s="95"/>
      <c r="C19" s="96" t="s">
        <v>6</v>
      </c>
      <c r="D19" s="96" t="s">
        <v>15</v>
      </c>
      <c r="E19" s="97"/>
      <c r="F19" s="95"/>
      <c r="G19" s="95"/>
      <c r="H19" s="98"/>
    </row>
    <row r="20" spans="1:8" ht="13.5" x14ac:dyDescent="0.25">
      <c r="A20" s="394" t="s">
        <v>10</v>
      </c>
      <c r="B20" s="395"/>
      <c r="C20" s="45">
        <v>680</v>
      </c>
      <c r="D20" s="24" t="s">
        <v>26</v>
      </c>
      <c r="E20" s="396"/>
      <c r="F20" s="397"/>
      <c r="G20" s="398"/>
      <c r="H20" s="399"/>
    </row>
    <row r="21" spans="1:8" x14ac:dyDescent="0.2">
      <c r="A21" s="297" t="s">
        <v>9</v>
      </c>
      <c r="B21" s="298"/>
      <c r="C21" s="228">
        <v>3</v>
      </c>
      <c r="D21" s="10" t="s">
        <v>28</v>
      </c>
      <c r="E21" s="400"/>
      <c r="F21" s="401"/>
      <c r="G21" s="402"/>
      <c r="H21" s="403"/>
    </row>
    <row r="22" spans="1:8" ht="13.5" x14ac:dyDescent="0.25">
      <c r="A22" s="297" t="s">
        <v>14</v>
      </c>
      <c r="B22" s="298"/>
      <c r="C22" s="48">
        <v>7</v>
      </c>
      <c r="D22" s="10" t="s">
        <v>27</v>
      </c>
      <c r="E22" s="400"/>
      <c r="F22" s="401"/>
      <c r="G22" s="402"/>
      <c r="H22" s="403"/>
    </row>
    <row r="23" spans="1:8" ht="13.5" x14ac:dyDescent="0.25">
      <c r="A23" s="297" t="s">
        <v>13</v>
      </c>
      <c r="B23" s="298"/>
      <c r="C23" s="48">
        <v>97</v>
      </c>
      <c r="D23" s="10" t="s">
        <v>26</v>
      </c>
      <c r="E23" s="404"/>
      <c r="F23" s="405"/>
      <c r="G23" s="402"/>
      <c r="H23" s="403"/>
    </row>
    <row r="24" spans="1:8" ht="14.25" thickBot="1" x14ac:dyDescent="0.3">
      <c r="A24" s="406" t="s">
        <v>12</v>
      </c>
      <c r="B24" s="407"/>
      <c r="C24" s="229">
        <v>0</v>
      </c>
      <c r="D24" s="28" t="s">
        <v>26</v>
      </c>
      <c r="E24" s="408"/>
      <c r="F24" s="409"/>
      <c r="G24" s="410"/>
      <c r="H24" s="411"/>
    </row>
    <row r="25" spans="1:8" ht="13.5" thickBot="1" x14ac:dyDescent="0.25">
      <c r="A25" s="412" t="s">
        <v>11</v>
      </c>
      <c r="B25" s="413"/>
      <c r="C25" s="413"/>
      <c r="D25" s="413"/>
      <c r="E25" s="413"/>
      <c r="F25" s="413"/>
      <c r="G25" s="413"/>
      <c r="H25" s="413"/>
    </row>
    <row r="26" spans="1:8" ht="15" customHeight="1" x14ac:dyDescent="0.25">
      <c r="A26" s="422" t="s">
        <v>177</v>
      </c>
      <c r="B26" s="423"/>
      <c r="C26" s="423"/>
      <c r="D26" s="423"/>
      <c r="E26" s="423"/>
      <c r="F26" s="423"/>
      <c r="G26" s="423"/>
      <c r="H26" s="424"/>
    </row>
    <row r="27" spans="1:8" ht="15" customHeight="1" x14ac:dyDescent="0.25">
      <c r="A27" s="425" t="s">
        <v>178</v>
      </c>
      <c r="B27" s="426"/>
      <c r="C27" s="426"/>
      <c r="D27" s="426"/>
      <c r="E27" s="426"/>
      <c r="F27" s="426"/>
      <c r="G27" s="426"/>
      <c r="H27" s="427"/>
    </row>
    <row r="28" spans="1:8" ht="15" customHeight="1" x14ac:dyDescent="0.25">
      <c r="A28" s="428" t="s">
        <v>179</v>
      </c>
      <c r="B28" s="429"/>
      <c r="C28" s="429"/>
      <c r="D28" s="429"/>
      <c r="E28" s="429"/>
      <c r="F28" s="429"/>
      <c r="G28" s="429"/>
      <c r="H28" s="430"/>
    </row>
    <row r="29" spans="1:8" ht="15" x14ac:dyDescent="0.25">
      <c r="A29" s="428" t="s">
        <v>180</v>
      </c>
      <c r="B29" s="429"/>
      <c r="C29" s="429"/>
      <c r="D29" s="429"/>
      <c r="E29" s="429"/>
      <c r="F29" s="429"/>
      <c r="G29" s="429"/>
      <c r="H29" s="430"/>
    </row>
    <row r="30" spans="1:8" ht="15" x14ac:dyDescent="0.25">
      <c r="A30" s="422"/>
      <c r="B30" s="423"/>
      <c r="C30" s="423"/>
      <c r="D30" s="423"/>
      <c r="E30" s="423"/>
      <c r="F30" s="423"/>
      <c r="G30" s="423"/>
      <c r="H30" s="424"/>
    </row>
    <row r="31" spans="1:8" ht="15" x14ac:dyDescent="0.25">
      <c r="A31" s="425"/>
      <c r="B31" s="426"/>
      <c r="C31" s="426"/>
      <c r="D31" s="426"/>
      <c r="E31" s="426"/>
      <c r="F31" s="426"/>
      <c r="G31" s="426"/>
      <c r="H31" s="427"/>
    </row>
    <row r="32" spans="1:8" ht="15" x14ac:dyDescent="0.25">
      <c r="A32" s="428"/>
      <c r="B32" s="429"/>
      <c r="C32" s="429"/>
      <c r="D32" s="429"/>
      <c r="E32" s="429"/>
      <c r="F32" s="429"/>
      <c r="G32" s="429"/>
      <c r="H32" s="430"/>
    </row>
    <row r="33" spans="1:8" ht="15" x14ac:dyDescent="0.25">
      <c r="A33" s="428"/>
      <c r="B33" s="429"/>
      <c r="C33" s="429"/>
      <c r="D33" s="429"/>
      <c r="E33" s="429"/>
      <c r="F33" s="429"/>
      <c r="G33" s="429"/>
      <c r="H33" s="430"/>
    </row>
    <row r="34" spans="1:8" ht="15" thickBot="1" x14ac:dyDescent="0.25">
      <c r="A34" s="418"/>
      <c r="B34" s="419"/>
      <c r="C34" s="419"/>
      <c r="D34" s="419"/>
      <c r="E34" s="419"/>
      <c r="F34" s="419"/>
      <c r="G34" s="419"/>
      <c r="H34" s="419"/>
    </row>
    <row r="35" spans="1:8" ht="13.5" thickBot="1" x14ac:dyDescent="0.25">
      <c r="A35" s="412" t="s">
        <v>92</v>
      </c>
      <c r="B35" s="413"/>
      <c r="C35" s="413"/>
      <c r="D35" s="413"/>
      <c r="E35" s="413"/>
      <c r="F35" s="413"/>
      <c r="G35" s="413"/>
      <c r="H35" s="413"/>
    </row>
    <row r="36" spans="1:8" x14ac:dyDescent="0.2">
      <c r="A36" s="99"/>
      <c r="B36" s="99"/>
      <c r="C36" s="91"/>
      <c r="D36" s="91"/>
      <c r="E36" s="91"/>
      <c r="F36" s="91"/>
      <c r="G36" s="91"/>
      <c r="H36" s="91"/>
    </row>
  </sheetData>
  <mergeCells count="42">
    <mergeCell ref="A27:H27"/>
    <mergeCell ref="A34:H34"/>
    <mergeCell ref="A35:H35"/>
    <mergeCell ref="A28:H28"/>
    <mergeCell ref="A29:H29"/>
    <mergeCell ref="A30:H30"/>
    <mergeCell ref="A31:H31"/>
    <mergeCell ref="A32:H32"/>
    <mergeCell ref="A33:H33"/>
    <mergeCell ref="A24:B24"/>
    <mergeCell ref="E24:F24"/>
    <mergeCell ref="G24:H24"/>
    <mergeCell ref="A25:H25"/>
    <mergeCell ref="A26:H26"/>
    <mergeCell ref="A22:B22"/>
    <mergeCell ref="E22:F22"/>
    <mergeCell ref="G22:H22"/>
    <mergeCell ref="A23:B23"/>
    <mergeCell ref="E23:F23"/>
    <mergeCell ref="G23:H23"/>
    <mergeCell ref="A20:B20"/>
    <mergeCell ref="E20:F20"/>
    <mergeCell ref="G20:H20"/>
    <mergeCell ref="A21:B21"/>
    <mergeCell ref="E21:F21"/>
    <mergeCell ref="G21:H21"/>
    <mergeCell ref="A8:A9"/>
    <mergeCell ref="B8:B9"/>
    <mergeCell ref="C8:C9"/>
    <mergeCell ref="D8:E8"/>
    <mergeCell ref="F8:G8"/>
    <mergeCell ref="H3:H5"/>
    <mergeCell ref="C4:F4"/>
    <mergeCell ref="C5:F5"/>
    <mergeCell ref="A7:B7"/>
    <mergeCell ref="C7:E7"/>
    <mergeCell ref="F7:G7"/>
    <mergeCell ref="A1:A5"/>
    <mergeCell ref="B1:F1"/>
    <mergeCell ref="B2:F2"/>
    <mergeCell ref="B3:F3"/>
    <mergeCell ref="G3:G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4DDAA-BE27-4C02-821B-C64E25467F09}">
  <dimension ref="A1:H35"/>
  <sheetViews>
    <sheetView topLeftCell="A2" workbookViewId="0">
      <selection activeCell="E15" sqref="E15"/>
    </sheetView>
  </sheetViews>
  <sheetFormatPr baseColWidth="10" defaultRowHeight="12.75" x14ac:dyDescent="0.2"/>
  <cols>
    <col min="2" max="2" width="41" customWidth="1"/>
  </cols>
  <sheetData>
    <row r="1" spans="1:8" ht="18" x14ac:dyDescent="0.25">
      <c r="A1" s="449"/>
      <c r="B1" s="452" t="s">
        <v>22</v>
      </c>
      <c r="C1" s="453"/>
      <c r="D1" s="453"/>
      <c r="E1" s="453"/>
      <c r="F1" s="454"/>
      <c r="G1" s="236" t="s">
        <v>21</v>
      </c>
      <c r="H1" s="237"/>
    </row>
    <row r="2" spans="1:8" ht="18" x14ac:dyDescent="0.25">
      <c r="A2" s="450"/>
      <c r="B2" s="455" t="s">
        <v>0</v>
      </c>
      <c r="C2" s="456"/>
      <c r="D2" s="456"/>
      <c r="E2" s="456"/>
      <c r="F2" s="457"/>
      <c r="G2" s="238" t="s">
        <v>20</v>
      </c>
      <c r="H2" s="239"/>
    </row>
    <row r="3" spans="1:8" ht="15" x14ac:dyDescent="0.2">
      <c r="A3" s="450"/>
      <c r="B3" s="458" t="s">
        <v>168</v>
      </c>
      <c r="C3" s="459"/>
      <c r="D3" s="459"/>
      <c r="E3" s="459"/>
      <c r="F3" s="460"/>
      <c r="G3" s="461" t="s">
        <v>19</v>
      </c>
      <c r="H3" s="437"/>
    </row>
    <row r="4" spans="1:8" x14ac:dyDescent="0.2">
      <c r="A4" s="450"/>
      <c r="B4" s="241" t="s">
        <v>18</v>
      </c>
      <c r="C4" s="440" t="s">
        <v>94</v>
      </c>
      <c r="D4" s="441"/>
      <c r="E4" s="441"/>
      <c r="F4" s="442"/>
      <c r="G4" s="462"/>
      <c r="H4" s="438"/>
    </row>
    <row r="5" spans="1:8" ht="13.5" thickBot="1" x14ac:dyDescent="0.25">
      <c r="A5" s="451"/>
      <c r="B5" s="243" t="s">
        <v>17</v>
      </c>
      <c r="C5" s="443" t="s">
        <v>34</v>
      </c>
      <c r="D5" s="444"/>
      <c r="E5" s="444"/>
      <c r="F5" s="445"/>
      <c r="G5" s="463"/>
      <c r="H5" s="439"/>
    </row>
    <row r="6" spans="1:8" x14ac:dyDescent="0.2">
      <c r="A6" s="235"/>
      <c r="B6" s="244"/>
      <c r="C6" s="242"/>
      <c r="D6" s="242"/>
      <c r="E6" s="242"/>
      <c r="F6" s="242"/>
      <c r="G6" s="240"/>
      <c r="H6" s="245"/>
    </row>
    <row r="7" spans="1:8" ht="18.75" thickBot="1" x14ac:dyDescent="0.3">
      <c r="A7" s="446" t="s">
        <v>23</v>
      </c>
      <c r="B7" s="446"/>
      <c r="C7" s="447" t="s">
        <v>84</v>
      </c>
      <c r="D7" s="447"/>
      <c r="E7" s="447"/>
      <c r="F7" s="448" t="s">
        <v>24</v>
      </c>
      <c r="G7" s="448"/>
      <c r="H7" s="246" t="s">
        <v>85</v>
      </c>
    </row>
    <row r="8" spans="1:8" ht="25.5" x14ac:dyDescent="0.2">
      <c r="A8" s="431" t="s">
        <v>1</v>
      </c>
      <c r="B8" s="433" t="s">
        <v>2</v>
      </c>
      <c r="C8" s="433" t="s">
        <v>3</v>
      </c>
      <c r="D8" s="435" t="s">
        <v>4</v>
      </c>
      <c r="E8" s="436"/>
      <c r="F8" s="435" t="s">
        <v>16</v>
      </c>
      <c r="G8" s="436"/>
      <c r="H8" s="247" t="s">
        <v>5</v>
      </c>
    </row>
    <row r="9" spans="1:8" ht="26.25" thickBot="1" x14ac:dyDescent="0.25">
      <c r="A9" s="432"/>
      <c r="B9" s="434"/>
      <c r="C9" s="434"/>
      <c r="D9" s="248" t="s">
        <v>6</v>
      </c>
      <c r="E9" s="249" t="s">
        <v>7</v>
      </c>
      <c r="F9" s="248" t="s">
        <v>6</v>
      </c>
      <c r="G9" s="249" t="s">
        <v>7</v>
      </c>
      <c r="H9" s="250" t="s">
        <v>8</v>
      </c>
    </row>
    <row r="10" spans="1:8" ht="15" x14ac:dyDescent="0.25">
      <c r="A10" s="251" t="s">
        <v>31</v>
      </c>
      <c r="B10" s="252" t="s">
        <v>189</v>
      </c>
      <c r="C10" s="251" t="s">
        <v>165</v>
      </c>
      <c r="D10" s="251">
        <v>680</v>
      </c>
      <c r="E10" s="264" t="s">
        <v>26</v>
      </c>
      <c r="F10" s="251">
        <v>1</v>
      </c>
      <c r="G10" s="251" t="s">
        <v>15</v>
      </c>
      <c r="H10" s="253"/>
    </row>
    <row r="11" spans="1:8" ht="15.75" thickBot="1" x14ac:dyDescent="0.3">
      <c r="A11" s="265"/>
      <c r="B11" s="266"/>
      <c r="C11" s="251"/>
      <c r="D11" s="251"/>
      <c r="E11" s="264"/>
      <c r="F11" s="251"/>
      <c r="G11" s="251"/>
      <c r="H11" s="253"/>
    </row>
    <row r="12" spans="1:8" ht="15.75" thickBot="1" x14ac:dyDescent="0.3">
      <c r="A12" s="265"/>
      <c r="B12" s="267" t="s">
        <v>86</v>
      </c>
      <c r="C12" s="251"/>
      <c r="D12" s="251"/>
      <c r="E12" s="264"/>
      <c r="F12" s="251"/>
      <c r="G12" s="251"/>
      <c r="H12" s="253"/>
    </row>
    <row r="13" spans="1:8" ht="15" x14ac:dyDescent="0.25">
      <c r="A13" s="268">
        <v>1950895</v>
      </c>
      <c r="B13" s="252" t="s">
        <v>171</v>
      </c>
      <c r="C13" s="251" t="s">
        <v>172</v>
      </c>
      <c r="D13" s="251">
        <v>21</v>
      </c>
      <c r="E13" s="264" t="s">
        <v>26</v>
      </c>
      <c r="F13" s="251"/>
      <c r="G13" s="251"/>
      <c r="H13" s="253"/>
    </row>
    <row r="14" spans="1:8" ht="15" x14ac:dyDescent="0.25">
      <c r="A14" s="268">
        <v>702006</v>
      </c>
      <c r="B14" s="252" t="s">
        <v>89</v>
      </c>
      <c r="C14" s="251" t="s">
        <v>33</v>
      </c>
      <c r="D14" s="251">
        <v>7</v>
      </c>
      <c r="E14" s="264" t="s">
        <v>173</v>
      </c>
      <c r="F14" s="251"/>
      <c r="G14" s="251"/>
      <c r="H14" s="253"/>
    </row>
    <row r="15" spans="1:8" ht="15" x14ac:dyDescent="0.25">
      <c r="A15" s="268">
        <v>60100027</v>
      </c>
      <c r="B15" s="252" t="s">
        <v>174</v>
      </c>
      <c r="C15" s="251" t="s">
        <v>88</v>
      </c>
      <c r="D15" s="251">
        <v>7</v>
      </c>
      <c r="E15" s="264" t="s">
        <v>173</v>
      </c>
      <c r="F15" s="251"/>
      <c r="G15" s="251"/>
      <c r="H15" s="253"/>
    </row>
    <row r="16" spans="1:8" ht="15" x14ac:dyDescent="0.25">
      <c r="A16" s="230" t="s">
        <v>187</v>
      </c>
      <c r="B16" s="272" t="s">
        <v>188</v>
      </c>
      <c r="C16" s="269"/>
      <c r="D16" s="251">
        <v>2</v>
      </c>
      <c r="E16" s="264" t="s">
        <v>176</v>
      </c>
      <c r="F16" s="251"/>
      <c r="G16" s="251"/>
      <c r="H16" s="253"/>
    </row>
    <row r="17" spans="1:8" ht="13.5" thickBot="1" x14ac:dyDescent="0.25">
      <c r="A17" s="254"/>
      <c r="B17" s="255"/>
      <c r="C17" s="255"/>
      <c r="D17" s="235"/>
      <c r="E17" s="256"/>
      <c r="F17" s="255"/>
      <c r="G17" s="255"/>
      <c r="H17" s="257"/>
    </row>
    <row r="18" spans="1:8" ht="13.5" thickBot="1" x14ac:dyDescent="0.25">
      <c r="A18" s="258"/>
      <c r="B18" s="259"/>
      <c r="C18" s="260" t="s">
        <v>6</v>
      </c>
      <c r="D18" s="260" t="s">
        <v>15</v>
      </c>
      <c r="E18" s="261"/>
      <c r="F18" s="259"/>
      <c r="G18" s="259"/>
      <c r="H18" s="262"/>
    </row>
    <row r="19" spans="1:8" ht="13.5" x14ac:dyDescent="0.25">
      <c r="A19" s="466" t="s">
        <v>10</v>
      </c>
      <c r="B19" s="467"/>
      <c r="C19" s="233">
        <v>680</v>
      </c>
      <c r="D19" s="231" t="s">
        <v>26</v>
      </c>
      <c r="E19" s="468"/>
      <c r="F19" s="469"/>
      <c r="G19" s="470"/>
      <c r="H19" s="471"/>
    </row>
    <row r="20" spans="1:8" x14ac:dyDescent="0.2">
      <c r="A20" s="472" t="s">
        <v>9</v>
      </c>
      <c r="B20" s="473"/>
      <c r="C20" s="270">
        <v>3</v>
      </c>
      <c r="D20" s="230" t="s">
        <v>28</v>
      </c>
      <c r="E20" s="474"/>
      <c r="F20" s="475"/>
      <c r="G20" s="464"/>
      <c r="H20" s="465"/>
    </row>
    <row r="21" spans="1:8" ht="13.5" x14ac:dyDescent="0.25">
      <c r="A21" s="472" t="s">
        <v>14</v>
      </c>
      <c r="B21" s="473"/>
      <c r="C21" s="234">
        <v>7</v>
      </c>
      <c r="D21" s="230" t="s">
        <v>27</v>
      </c>
      <c r="E21" s="474"/>
      <c r="F21" s="475"/>
      <c r="G21" s="464"/>
      <c r="H21" s="465"/>
    </row>
    <row r="22" spans="1:8" ht="13.5" x14ac:dyDescent="0.25">
      <c r="A22" s="472" t="s">
        <v>13</v>
      </c>
      <c r="B22" s="473"/>
      <c r="C22" s="234">
        <v>97</v>
      </c>
      <c r="D22" s="230" t="s">
        <v>26</v>
      </c>
      <c r="E22" s="476"/>
      <c r="F22" s="477"/>
      <c r="G22" s="464"/>
      <c r="H22" s="465"/>
    </row>
    <row r="23" spans="1:8" ht="14.25" thickBot="1" x14ac:dyDescent="0.3">
      <c r="A23" s="478" t="s">
        <v>12</v>
      </c>
      <c r="B23" s="479"/>
      <c r="C23" s="271">
        <v>0</v>
      </c>
      <c r="D23" s="232" t="s">
        <v>26</v>
      </c>
      <c r="E23" s="480"/>
      <c r="F23" s="481"/>
      <c r="G23" s="482"/>
      <c r="H23" s="483"/>
    </row>
    <row r="24" spans="1:8" ht="13.5" thickBot="1" x14ac:dyDescent="0.25">
      <c r="A24" s="484" t="s">
        <v>11</v>
      </c>
      <c r="B24" s="485"/>
      <c r="C24" s="485"/>
      <c r="D24" s="485"/>
      <c r="E24" s="485"/>
      <c r="F24" s="485"/>
      <c r="G24" s="485"/>
      <c r="H24" s="485"/>
    </row>
    <row r="25" spans="1:8" ht="15" x14ac:dyDescent="0.25">
      <c r="A25" s="486" t="s">
        <v>177</v>
      </c>
      <c r="B25" s="487"/>
      <c r="C25" s="487"/>
      <c r="D25" s="487"/>
      <c r="E25" s="487"/>
      <c r="F25" s="487"/>
      <c r="G25" s="487"/>
      <c r="H25" s="488"/>
    </row>
    <row r="26" spans="1:8" ht="15" x14ac:dyDescent="0.25">
      <c r="A26" s="489" t="s">
        <v>178</v>
      </c>
      <c r="B26" s="490"/>
      <c r="C26" s="490"/>
      <c r="D26" s="490"/>
      <c r="E26" s="490"/>
      <c r="F26" s="490"/>
      <c r="G26" s="490"/>
      <c r="H26" s="491"/>
    </row>
    <row r="27" spans="1:8" ht="15" x14ac:dyDescent="0.25">
      <c r="A27" s="494" t="s">
        <v>179</v>
      </c>
      <c r="B27" s="495"/>
      <c r="C27" s="495"/>
      <c r="D27" s="495"/>
      <c r="E27" s="495"/>
      <c r="F27" s="495"/>
      <c r="G27" s="495"/>
      <c r="H27" s="496"/>
    </row>
    <row r="28" spans="1:8" ht="15" x14ac:dyDescent="0.25">
      <c r="A28" s="494" t="s">
        <v>180</v>
      </c>
      <c r="B28" s="495"/>
      <c r="C28" s="495"/>
      <c r="D28" s="495"/>
      <c r="E28" s="495"/>
      <c r="F28" s="495"/>
      <c r="G28" s="495"/>
      <c r="H28" s="496"/>
    </row>
    <row r="29" spans="1:8" ht="15" x14ac:dyDescent="0.25">
      <c r="A29" s="486"/>
      <c r="B29" s="487"/>
      <c r="C29" s="487"/>
      <c r="D29" s="487"/>
      <c r="E29" s="487"/>
      <c r="F29" s="487"/>
      <c r="G29" s="487"/>
      <c r="H29" s="488"/>
    </row>
    <row r="30" spans="1:8" ht="15" x14ac:dyDescent="0.25">
      <c r="A30" s="489"/>
      <c r="B30" s="490"/>
      <c r="C30" s="490"/>
      <c r="D30" s="490"/>
      <c r="E30" s="490"/>
      <c r="F30" s="490"/>
      <c r="G30" s="490"/>
      <c r="H30" s="491"/>
    </row>
    <row r="31" spans="1:8" ht="15" x14ac:dyDescent="0.25">
      <c r="A31" s="494"/>
      <c r="B31" s="495"/>
      <c r="C31" s="495"/>
      <c r="D31" s="495"/>
      <c r="E31" s="495"/>
      <c r="F31" s="495"/>
      <c r="G31" s="495"/>
      <c r="H31" s="496"/>
    </row>
    <row r="32" spans="1:8" ht="15" x14ac:dyDescent="0.25">
      <c r="A32" s="494"/>
      <c r="B32" s="495"/>
      <c r="C32" s="495"/>
      <c r="D32" s="495"/>
      <c r="E32" s="495"/>
      <c r="F32" s="495"/>
      <c r="G32" s="495"/>
      <c r="H32" s="496"/>
    </row>
    <row r="33" spans="1:8" ht="15" thickBot="1" x14ac:dyDescent="0.25">
      <c r="A33" s="492"/>
      <c r="B33" s="493"/>
      <c r="C33" s="493"/>
      <c r="D33" s="493"/>
      <c r="E33" s="493"/>
      <c r="F33" s="493"/>
      <c r="G33" s="493"/>
      <c r="H33" s="493"/>
    </row>
    <row r="34" spans="1:8" ht="13.5" thickBot="1" x14ac:dyDescent="0.25">
      <c r="A34" s="484" t="s">
        <v>92</v>
      </c>
      <c r="B34" s="485"/>
      <c r="C34" s="485"/>
      <c r="D34" s="485"/>
      <c r="E34" s="485"/>
      <c r="F34" s="485"/>
      <c r="G34" s="485"/>
      <c r="H34" s="485"/>
    </row>
    <row r="35" spans="1:8" x14ac:dyDescent="0.2">
      <c r="A35" s="263"/>
      <c r="B35" s="263"/>
      <c r="C35" s="255"/>
      <c r="D35" s="255"/>
      <c r="E35" s="255"/>
      <c r="F35" s="255"/>
      <c r="G35" s="255"/>
      <c r="H35" s="255"/>
    </row>
  </sheetData>
  <mergeCells count="42">
    <mergeCell ref="A26:H26"/>
    <mergeCell ref="A33:H33"/>
    <mergeCell ref="A34:H34"/>
    <mergeCell ref="A27:H27"/>
    <mergeCell ref="A28:H28"/>
    <mergeCell ref="A29:H29"/>
    <mergeCell ref="A30:H30"/>
    <mergeCell ref="A31:H31"/>
    <mergeCell ref="A32:H32"/>
    <mergeCell ref="A23:B23"/>
    <mergeCell ref="E23:F23"/>
    <mergeCell ref="G23:H23"/>
    <mergeCell ref="A24:H24"/>
    <mergeCell ref="A25:H25"/>
    <mergeCell ref="G22:H22"/>
    <mergeCell ref="A19:B19"/>
    <mergeCell ref="E19:F19"/>
    <mergeCell ref="G19:H19"/>
    <mergeCell ref="A20:B20"/>
    <mergeCell ref="E20:F20"/>
    <mergeCell ref="G20:H20"/>
    <mergeCell ref="A21:B21"/>
    <mergeCell ref="E21:F21"/>
    <mergeCell ref="G21:H21"/>
    <mergeCell ref="A22:B22"/>
    <mergeCell ref="E22:F22"/>
    <mergeCell ref="H3:H5"/>
    <mergeCell ref="C4:F4"/>
    <mergeCell ref="C5:F5"/>
    <mergeCell ref="A7:B7"/>
    <mergeCell ref="C7:E7"/>
    <mergeCell ref="F7:G7"/>
    <mergeCell ref="A1:A5"/>
    <mergeCell ref="B1:F1"/>
    <mergeCell ref="B2:F2"/>
    <mergeCell ref="B3:F3"/>
    <mergeCell ref="G3:G5"/>
    <mergeCell ref="A8:A9"/>
    <mergeCell ref="B8:B9"/>
    <mergeCell ref="C8:C9"/>
    <mergeCell ref="D8:E8"/>
    <mergeCell ref="F8:G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822BF-D00F-473C-AE51-142A4AADAEDB}">
  <dimension ref="A1:Q91"/>
  <sheetViews>
    <sheetView topLeftCell="A16" workbookViewId="0">
      <selection activeCell="L33" sqref="L33"/>
    </sheetView>
  </sheetViews>
  <sheetFormatPr baseColWidth="10" defaultColWidth="8.42578125" defaultRowHeight="12.75" x14ac:dyDescent="0.2"/>
  <cols>
    <col min="1" max="1" width="10" style="104" bestFit="1" customWidth="1"/>
    <col min="2" max="2" width="44.28515625" style="104" bestFit="1" customWidth="1"/>
    <col min="3" max="3" width="10.42578125" style="104" bestFit="1" customWidth="1"/>
    <col min="4" max="4" width="10.42578125" style="104" customWidth="1"/>
    <col min="5" max="5" width="9.7109375" style="104" bestFit="1" customWidth="1"/>
    <col min="6" max="6" width="9.5703125" style="104" bestFit="1" customWidth="1"/>
    <col min="7" max="7" width="9.5703125" style="189" bestFit="1" customWidth="1"/>
    <col min="8" max="8" width="10.42578125" style="181" bestFit="1" customWidth="1"/>
    <col min="9" max="9" width="4.5703125" style="181" customWidth="1"/>
    <col min="10" max="10" width="1.7109375" style="115" customWidth="1"/>
    <col min="11" max="11" width="7" style="104" bestFit="1" customWidth="1"/>
    <col min="12" max="12" width="6.28515625" style="104" customWidth="1"/>
    <col min="13" max="13" width="20.42578125" style="104" customWidth="1"/>
    <col min="14" max="14" width="6.42578125" style="104" bestFit="1" customWidth="1"/>
    <col min="15" max="16" width="8.42578125" style="104"/>
    <col min="17" max="17" width="3.28515625" style="104" customWidth="1"/>
    <col min="18" max="16384" width="8.42578125" style="104"/>
  </cols>
  <sheetData>
    <row r="1" spans="1:10" ht="27.75" customHeight="1" x14ac:dyDescent="0.2">
      <c r="A1" s="112"/>
      <c r="B1" s="112"/>
      <c r="C1" s="112"/>
      <c r="D1" s="112"/>
      <c r="E1" s="113" t="s">
        <v>148</v>
      </c>
      <c r="F1" s="114" t="s">
        <v>104</v>
      </c>
      <c r="G1" s="114" t="s">
        <v>105</v>
      </c>
      <c r="H1" s="114" t="s">
        <v>106</v>
      </c>
      <c r="I1" s="103"/>
    </row>
    <row r="2" spans="1:10" ht="30.75" customHeight="1" x14ac:dyDescent="0.2">
      <c r="A2" s="112"/>
      <c r="B2" s="112"/>
      <c r="C2" s="112"/>
      <c r="D2" s="112"/>
      <c r="E2" s="116">
        <f>IFERROR(O62,"")</f>
        <v>1486.7409061625963</v>
      </c>
      <c r="F2" s="116">
        <f>IFERROR(H53,"")</f>
        <v>702.61251428571427</v>
      </c>
      <c r="G2" s="116">
        <f>IFERROR(H54,"")</f>
        <v>111.14298204081632</v>
      </c>
      <c r="H2" s="116">
        <f>IFERROR(H56,"")</f>
        <v>344.97571428571428</v>
      </c>
      <c r="I2" s="117"/>
    </row>
    <row r="3" spans="1:10" ht="15" customHeight="1" x14ac:dyDescent="0.2">
      <c r="A3" s="112"/>
      <c r="B3" s="112"/>
      <c r="C3" s="112"/>
      <c r="D3" s="112"/>
      <c r="E3" s="112"/>
      <c r="F3" s="118"/>
      <c r="G3" s="118"/>
      <c r="H3" s="118"/>
      <c r="I3" s="118"/>
    </row>
    <row r="4" spans="1:10" ht="24.75" customHeight="1" thickBot="1" x14ac:dyDescent="0.25">
      <c r="A4" s="348"/>
      <c r="B4" s="348"/>
      <c r="C4" s="348"/>
      <c r="D4" s="348"/>
      <c r="E4" s="348"/>
      <c r="F4" s="348"/>
      <c r="G4" s="348"/>
      <c r="H4" s="348"/>
      <c r="I4" s="119"/>
    </row>
    <row r="5" spans="1:10" ht="19.5" customHeight="1" thickBot="1" x14ac:dyDescent="0.25">
      <c r="A5" s="351" t="s">
        <v>107</v>
      </c>
      <c r="B5" s="352"/>
      <c r="C5" s="352"/>
      <c r="D5" s="352"/>
      <c r="E5" s="352"/>
      <c r="F5" s="352"/>
      <c r="G5" s="352"/>
      <c r="H5" s="353"/>
      <c r="I5" s="105"/>
    </row>
    <row r="6" spans="1:10" ht="19.5" thickBot="1" x14ac:dyDescent="0.25">
      <c r="A6" s="105"/>
      <c r="B6" s="105"/>
      <c r="C6" s="105"/>
      <c r="D6" s="105"/>
      <c r="E6" s="105"/>
      <c r="F6" s="349" t="s">
        <v>108</v>
      </c>
      <c r="G6" s="349"/>
      <c r="H6" s="120">
        <f ca="1">TODAY()</f>
        <v>45749</v>
      </c>
      <c r="I6" s="120"/>
    </row>
    <row r="7" spans="1:10" ht="26.25" hidden="1" thickBot="1" x14ac:dyDescent="0.25">
      <c r="A7" s="121" t="s">
        <v>109</v>
      </c>
      <c r="B7" s="122" t="s">
        <v>110</v>
      </c>
      <c r="C7" s="122" t="s">
        <v>109</v>
      </c>
      <c r="D7" s="123" t="s">
        <v>149</v>
      </c>
      <c r="E7" s="123" t="s">
        <v>111</v>
      </c>
      <c r="F7" s="123" t="s">
        <v>112</v>
      </c>
      <c r="G7" s="123" t="s">
        <v>113</v>
      </c>
      <c r="H7" s="124" t="s">
        <v>114</v>
      </c>
      <c r="I7" s="106"/>
    </row>
    <row r="8" spans="1:10" ht="13.5" hidden="1" x14ac:dyDescent="0.25">
      <c r="A8" s="125"/>
      <c r="B8" s="104" t="str">
        <f>IFERROR(VLOOKUP(H8,'[1]Consolidado MP Planta'!$A$2:$M$823,3,0),"")</f>
        <v/>
      </c>
      <c r="C8" s="126">
        <f>+A8</f>
        <v>0</v>
      </c>
      <c r="D8" s="127" t="str">
        <f>IFERROR(VLOOKUP(H8,'[1]Consolidado MP Planta'!$A$2:$M$823,13,0),"")</f>
        <v/>
      </c>
      <c r="E8" s="127" t="str">
        <f>IFERROR(VLOOKUP(H8,'[1]Consolidado MP Planta'!$A$2:$M$823,12,0),"")</f>
        <v/>
      </c>
      <c r="F8" s="127" t="str">
        <f>IFERROR(C8*E8,"")</f>
        <v/>
      </c>
      <c r="G8" s="128" t="str">
        <f t="shared" ref="G8:G14" si="0">IFERROR(F8/$F$66,"")</f>
        <v/>
      </c>
      <c r="H8" s="129"/>
      <c r="I8" s="129"/>
      <c r="J8" s="130"/>
    </row>
    <row r="9" spans="1:10" ht="13.5" hidden="1" x14ac:dyDescent="0.25">
      <c r="A9" s="125"/>
      <c r="B9" s="104" t="str">
        <f>IFERROR(VLOOKUP(H9,'[1]Consolidado MP Planta'!$A$2:$M$823,3,0),"")</f>
        <v/>
      </c>
      <c r="C9" s="126">
        <f t="shared" ref="C9:C14" si="1">+A9</f>
        <v>0</v>
      </c>
      <c r="D9" s="127" t="str">
        <f>IFERROR(VLOOKUP(H9,'[1]Consolidado MP Planta'!$A$2:$M$823,13,0),"")</f>
        <v/>
      </c>
      <c r="E9" s="127" t="str">
        <f>IFERROR(VLOOKUP(H9,'[1]Consolidado MP Planta'!$A$2:$M$823,12,0),"")</f>
        <v/>
      </c>
      <c r="F9" s="127" t="str">
        <f t="shared" ref="F9:F14" si="2">IFERROR(C9*E9,"")</f>
        <v/>
      </c>
      <c r="G9" s="128" t="str">
        <f t="shared" si="0"/>
        <v/>
      </c>
      <c r="H9" s="129"/>
      <c r="I9" s="129"/>
      <c r="J9" s="130"/>
    </row>
    <row r="10" spans="1:10" ht="13.5" hidden="1" x14ac:dyDescent="0.25">
      <c r="A10" s="125"/>
      <c r="B10" s="104" t="str">
        <f>IFERROR(VLOOKUP(H10,'[1]Consolidado MP Planta'!$A$2:$M$823,3,0),"")</f>
        <v/>
      </c>
      <c r="C10" s="126">
        <f t="shared" si="1"/>
        <v>0</v>
      </c>
      <c r="D10" s="127" t="str">
        <f>IFERROR(VLOOKUP(H10,'[1]Consolidado MP Planta'!$A$2:$M$823,13,0),"")</f>
        <v/>
      </c>
      <c r="E10" s="127" t="str">
        <f>IFERROR(VLOOKUP(H10,'[1]Consolidado MP Planta'!$A$2:$M$823,12,0),"")</f>
        <v/>
      </c>
      <c r="F10" s="127" t="str">
        <f t="shared" si="2"/>
        <v/>
      </c>
      <c r="G10" s="128" t="str">
        <f t="shared" si="0"/>
        <v/>
      </c>
      <c r="H10" s="129"/>
      <c r="I10" s="129"/>
      <c r="J10" s="130"/>
    </row>
    <row r="11" spans="1:10" ht="13.5" hidden="1" x14ac:dyDescent="0.25">
      <c r="A11" s="125"/>
      <c r="B11" s="104" t="str">
        <f>IFERROR(VLOOKUP(H11,'[1]Consolidado MP Planta'!$A$2:$M$823,3,0),"")</f>
        <v/>
      </c>
      <c r="C11" s="126">
        <f t="shared" si="1"/>
        <v>0</v>
      </c>
      <c r="D11" s="127" t="str">
        <f>IFERROR(VLOOKUP(H11,'[1]Consolidado MP Planta'!$A$2:$M$823,13,0),"")</f>
        <v/>
      </c>
      <c r="E11" s="127" t="str">
        <f>IFERROR(VLOOKUP(H11,'[1]Consolidado MP Planta'!$A$2:$M$823,12,0),"")</f>
        <v/>
      </c>
      <c r="F11" s="127" t="str">
        <f t="shared" si="2"/>
        <v/>
      </c>
      <c r="G11" s="128" t="str">
        <f t="shared" si="0"/>
        <v/>
      </c>
      <c r="H11" s="129"/>
      <c r="I11" s="129"/>
      <c r="J11" s="130"/>
    </row>
    <row r="12" spans="1:10" ht="13.5" hidden="1" x14ac:dyDescent="0.25">
      <c r="A12" s="125"/>
      <c r="B12" s="104" t="str">
        <f>IFERROR(VLOOKUP(H12,'[1]Consolidado MP Planta'!$A$2:$M$823,3,0),"")</f>
        <v/>
      </c>
      <c r="C12" s="126">
        <f t="shared" si="1"/>
        <v>0</v>
      </c>
      <c r="D12" s="127" t="str">
        <f>IFERROR(VLOOKUP(H12,'[1]Consolidado MP Planta'!$A$2:$M$823,13,0),"")</f>
        <v/>
      </c>
      <c r="E12" s="127" t="str">
        <f>IFERROR(VLOOKUP(H12,'[1]Consolidado MP Planta'!$A$2:$M$823,12,0),"")</f>
        <v/>
      </c>
      <c r="F12" s="127" t="str">
        <f t="shared" si="2"/>
        <v/>
      </c>
      <c r="G12" s="128" t="str">
        <f t="shared" si="0"/>
        <v/>
      </c>
      <c r="H12" s="129"/>
      <c r="I12" s="129"/>
      <c r="J12" s="130"/>
    </row>
    <row r="13" spans="1:10" ht="13.5" hidden="1" x14ac:dyDescent="0.25">
      <c r="A13" s="125"/>
      <c r="B13" s="104" t="str">
        <f>IFERROR(VLOOKUP(H13,'[1]Consolidado MP Planta'!$A$2:$M$823,3,0),"")</f>
        <v/>
      </c>
      <c r="C13" s="126">
        <f t="shared" si="1"/>
        <v>0</v>
      </c>
      <c r="D13" s="127" t="str">
        <f>IFERROR(VLOOKUP(H13,'[1]Consolidado MP Planta'!$A$2:$M$823,13,0),"")</f>
        <v/>
      </c>
      <c r="E13" s="127" t="str">
        <f>IFERROR(VLOOKUP(H13,'[1]Consolidado MP Planta'!$A$2:$M$823,12,0),"")</f>
        <v/>
      </c>
      <c r="F13" s="127" t="str">
        <f t="shared" si="2"/>
        <v/>
      </c>
      <c r="G13" s="128" t="str">
        <f t="shared" si="0"/>
        <v/>
      </c>
      <c r="H13" s="129"/>
      <c r="I13" s="129"/>
      <c r="J13" s="130"/>
    </row>
    <row r="14" spans="1:10" ht="13.5" hidden="1" x14ac:dyDescent="0.25">
      <c r="A14" s="125"/>
      <c r="B14" s="104" t="str">
        <f>IFERROR(VLOOKUP(H14,'[1]Consolidado MP Planta'!$A$2:$M$823,3,0),"")</f>
        <v/>
      </c>
      <c r="C14" s="126">
        <f t="shared" si="1"/>
        <v>0</v>
      </c>
      <c r="D14" s="127" t="str">
        <f>IFERROR(VLOOKUP(H14,'[1]Consolidado MP Planta'!$A$2:$M$823,13,0),"")</f>
        <v/>
      </c>
      <c r="E14" s="127" t="str">
        <f>IFERROR(VLOOKUP(H14,'[1]Consolidado MP Planta'!$A$2:$M$823,12,0),"")</f>
        <v/>
      </c>
      <c r="F14" s="127" t="str">
        <f t="shared" si="2"/>
        <v/>
      </c>
      <c r="G14" s="128" t="str">
        <f t="shared" si="0"/>
        <v/>
      </c>
      <c r="H14" s="129"/>
      <c r="I14" s="129"/>
      <c r="J14" s="130"/>
    </row>
    <row r="15" spans="1:10" ht="14.25" hidden="1" thickBot="1" x14ac:dyDescent="0.3">
      <c r="A15" s="125"/>
      <c r="B15" s="104" t="str">
        <f>IFERROR(VLOOKUP(H15,'[2]ARTICULOS MP PLANTA'!$A$2:$G$589,2,0),"")</f>
        <v/>
      </c>
      <c r="C15" s="126"/>
      <c r="D15" s="127"/>
      <c r="E15" s="127"/>
      <c r="F15" s="127"/>
      <c r="G15" s="128"/>
      <c r="H15" s="129"/>
      <c r="I15" s="129"/>
      <c r="J15" s="130"/>
    </row>
    <row r="16" spans="1:10" ht="26.25" thickBot="1" x14ac:dyDescent="0.25">
      <c r="A16" s="121" t="s">
        <v>109</v>
      </c>
      <c r="B16" s="122" t="s">
        <v>115</v>
      </c>
      <c r="C16" s="122" t="s">
        <v>109</v>
      </c>
      <c r="D16" s="123" t="s">
        <v>149</v>
      </c>
      <c r="E16" s="123" t="s">
        <v>111</v>
      </c>
      <c r="F16" s="123" t="s">
        <v>112</v>
      </c>
      <c r="G16" s="123" t="s">
        <v>113</v>
      </c>
      <c r="H16" s="124" t="s">
        <v>114</v>
      </c>
      <c r="I16" s="106"/>
      <c r="J16" s="130"/>
    </row>
    <row r="17" spans="1:12" ht="13.5" x14ac:dyDescent="0.25">
      <c r="A17" s="125">
        <v>6</v>
      </c>
      <c r="B17" s="104" t="s">
        <v>100</v>
      </c>
      <c r="C17" s="126">
        <f>+A17</f>
        <v>6</v>
      </c>
      <c r="D17" s="126" t="s">
        <v>158</v>
      </c>
      <c r="E17" s="127">
        <f>+'Costo Rosquete '!H53</f>
        <v>117.10208571428571</v>
      </c>
      <c r="F17" s="127">
        <f>IFERROR(E17*C17,"")</f>
        <v>702.61251428571427</v>
      </c>
      <c r="G17" s="128">
        <f t="shared" ref="G17:G24" si="3">IFERROR(F17/$F$66,"")</f>
        <v>0.66296223681291999</v>
      </c>
      <c r="H17" s="129" t="s">
        <v>31</v>
      </c>
      <c r="I17" s="129"/>
      <c r="J17" s="130"/>
    </row>
    <row r="18" spans="1:12" ht="13.5" hidden="1" x14ac:dyDescent="0.25">
      <c r="A18" s="125"/>
      <c r="B18" s="104" t="str">
        <f>IFERROR(VLOOKUP(H18,[1]SEMIELABORADOS!$A$2:$M$6000,2,0),"")</f>
        <v/>
      </c>
      <c r="C18" s="126">
        <f t="shared" ref="C18:C24" si="4">+A18</f>
        <v>0</v>
      </c>
      <c r="D18" s="126" t="str">
        <f>IFERROR(VLOOKUP(H18,[1]SEMIELABORADOS!$A$2:$M$6000,6,0),"")</f>
        <v/>
      </c>
      <c r="E18" s="127" t="str">
        <f>IFERROR(VLOOKUP(H18,[1]SEMIELABORADOS!$A$2:$H$65536,8,0),"")</f>
        <v/>
      </c>
      <c r="F18" s="127" t="str">
        <f t="shared" ref="F18:F24" si="5">IFERROR(E18*C18,"")</f>
        <v/>
      </c>
      <c r="G18" s="128" t="str">
        <f t="shared" si="3"/>
        <v/>
      </c>
      <c r="H18" s="129"/>
      <c r="I18" s="129"/>
      <c r="J18" s="130"/>
    </row>
    <row r="19" spans="1:12" ht="13.5" hidden="1" x14ac:dyDescent="0.25">
      <c r="A19" s="125"/>
      <c r="B19" s="104" t="str">
        <f>IFERROR(VLOOKUP(H19,[1]SEMIELABORADOS!$A$2:$M$6000,2,0),"")</f>
        <v/>
      </c>
      <c r="C19" s="126">
        <f>+A19</f>
        <v>0</v>
      </c>
      <c r="D19" s="126" t="str">
        <f>IFERROR(VLOOKUP(H19,[1]SEMIELABORADOS!$A$2:$M$6000,6,0),"")</f>
        <v/>
      </c>
      <c r="E19" s="127" t="str">
        <f>IFERROR(VLOOKUP(H19,[1]SEMIELABORADOS!$A$2:$H$65536,8,0),"")</f>
        <v/>
      </c>
      <c r="F19" s="127" t="str">
        <f>IFERROR(E19*C19,"")</f>
        <v/>
      </c>
      <c r="G19" s="128" t="str">
        <f t="shared" si="3"/>
        <v/>
      </c>
      <c r="H19" s="129"/>
      <c r="I19" s="129"/>
      <c r="J19" s="130"/>
    </row>
    <row r="20" spans="1:12" ht="13.5" hidden="1" x14ac:dyDescent="0.25">
      <c r="A20" s="125"/>
      <c r="B20" s="104" t="str">
        <f>IFERROR(VLOOKUP(H20,[1]SEMIELABORADOS!$A$2:$M$6000,2,0),"")</f>
        <v/>
      </c>
      <c r="C20" s="126">
        <f>+A20</f>
        <v>0</v>
      </c>
      <c r="D20" s="126" t="str">
        <f>IFERROR(VLOOKUP(H20,[1]SEMIELABORADOS!$A$2:$M$6000,6,0),"")</f>
        <v/>
      </c>
      <c r="E20" s="127" t="str">
        <f>IFERROR(VLOOKUP(H20,[1]SEMIELABORADOS!$A$2:$H$65536,8,0),"")</f>
        <v/>
      </c>
      <c r="F20" s="127" t="str">
        <f>IFERROR(E20*C20,"")</f>
        <v/>
      </c>
      <c r="G20" s="128" t="str">
        <f t="shared" si="3"/>
        <v/>
      </c>
      <c r="H20" s="129"/>
      <c r="I20" s="129"/>
      <c r="J20" s="130"/>
    </row>
    <row r="21" spans="1:12" ht="13.5" hidden="1" x14ac:dyDescent="0.25">
      <c r="A21" s="125"/>
      <c r="B21" s="104" t="str">
        <f>IFERROR(VLOOKUP(H21,[1]SEMIELABORADOS!$A$2:$M$6000,2,0),"")</f>
        <v/>
      </c>
      <c r="C21" s="126">
        <f>+A21</f>
        <v>0</v>
      </c>
      <c r="D21" s="126" t="str">
        <f>IFERROR(VLOOKUP(H21,[1]SEMIELABORADOS!$A$2:$M$6000,6,0),"")</f>
        <v/>
      </c>
      <c r="E21" s="127" t="str">
        <f>IFERROR(VLOOKUP(H21,[1]SEMIELABORADOS!$A$2:$H$65536,8,0),"")</f>
        <v/>
      </c>
      <c r="F21" s="127" t="str">
        <f>IFERROR(E21*C21,"")</f>
        <v/>
      </c>
      <c r="G21" s="128" t="str">
        <f t="shared" si="3"/>
        <v/>
      </c>
      <c r="H21" s="129"/>
      <c r="I21" s="129"/>
      <c r="J21" s="130"/>
    </row>
    <row r="22" spans="1:12" ht="13.5" hidden="1" x14ac:dyDescent="0.25">
      <c r="A22" s="125"/>
      <c r="B22" s="104" t="str">
        <f>IFERROR(VLOOKUP(H22,[1]SEMIELABORADOS!$A$2:$M$6000,2,0),"")</f>
        <v/>
      </c>
      <c r="C22" s="126">
        <f t="shared" si="4"/>
        <v>0</v>
      </c>
      <c r="D22" s="126" t="str">
        <f>IFERROR(VLOOKUP(H22,[1]SEMIELABORADOS!$A$2:$M$6000,6,0),"")</f>
        <v/>
      </c>
      <c r="E22" s="127" t="str">
        <f>IFERROR(VLOOKUP(H22,[1]SEMIELABORADOS!$A$2:$H$65536,8,0),"")</f>
        <v/>
      </c>
      <c r="F22" s="127" t="str">
        <f t="shared" si="5"/>
        <v/>
      </c>
      <c r="G22" s="128" t="str">
        <f t="shared" si="3"/>
        <v/>
      </c>
      <c r="H22" s="129"/>
      <c r="I22" s="129"/>
      <c r="J22" s="130"/>
    </row>
    <row r="23" spans="1:12" ht="13.5" hidden="1" x14ac:dyDescent="0.25">
      <c r="A23" s="125"/>
      <c r="B23" s="104" t="str">
        <f>IFERROR(VLOOKUP(H23,[1]SEMIELABORADOS!$A$2:$M$6000,2,0),"")</f>
        <v/>
      </c>
      <c r="C23" s="126">
        <f t="shared" si="4"/>
        <v>0</v>
      </c>
      <c r="D23" s="126" t="str">
        <f>IFERROR(VLOOKUP(H23,[1]SEMIELABORADOS!$A$2:$M$6000,6,0),"")</f>
        <v/>
      </c>
      <c r="E23" s="127" t="str">
        <f>IFERROR(VLOOKUP(H23,[1]SEMIELABORADOS!$A$2:$H$65536,8,0),"")</f>
        <v/>
      </c>
      <c r="F23" s="127" t="str">
        <f t="shared" si="5"/>
        <v/>
      </c>
      <c r="G23" s="128" t="str">
        <f t="shared" si="3"/>
        <v/>
      </c>
      <c r="H23" s="129"/>
      <c r="I23" s="129"/>
      <c r="J23" s="130"/>
    </row>
    <row r="24" spans="1:12" ht="13.5" hidden="1" x14ac:dyDescent="0.25">
      <c r="A24" s="125"/>
      <c r="B24" s="104" t="str">
        <f>IFERROR(VLOOKUP(H24,[1]SEMIELABORADOS!$A$2:$M$6000,2,0),"")</f>
        <v/>
      </c>
      <c r="C24" s="126">
        <f t="shared" si="4"/>
        <v>0</v>
      </c>
      <c r="D24" s="126" t="str">
        <f>IFERROR(VLOOKUP(H24,[1]SEMIELABORADOS!$A$2:$M$6000,6,0),"")</f>
        <v/>
      </c>
      <c r="E24" s="127" t="str">
        <f>IFERROR(VLOOKUP(H24,[1]SEMIELABORADOS!$A$2:$H$65536,8,0),"")</f>
        <v/>
      </c>
      <c r="F24" s="127" t="str">
        <f t="shared" si="5"/>
        <v/>
      </c>
      <c r="G24" s="128" t="str">
        <f t="shared" si="3"/>
        <v/>
      </c>
      <c r="H24" s="129"/>
      <c r="I24" s="129"/>
      <c r="J24" s="130"/>
    </row>
    <row r="25" spans="1:12" ht="14.25" thickBot="1" x14ac:dyDescent="0.3">
      <c r="A25" s="125"/>
      <c r="C25" s="126"/>
      <c r="D25" s="126"/>
      <c r="E25" s="127"/>
      <c r="F25" s="127"/>
      <c r="G25" s="128"/>
      <c r="H25" s="129"/>
      <c r="I25" s="129"/>
      <c r="J25" s="130"/>
    </row>
    <row r="26" spans="1:12" ht="26.25" thickBot="1" x14ac:dyDescent="0.25">
      <c r="A26" s="121" t="s">
        <v>109</v>
      </c>
      <c r="B26" s="122" t="s">
        <v>86</v>
      </c>
      <c r="C26" s="122" t="s">
        <v>109</v>
      </c>
      <c r="D26" s="123" t="s">
        <v>149</v>
      </c>
      <c r="E26" s="123" t="s">
        <v>111</v>
      </c>
      <c r="F26" s="123" t="s">
        <v>112</v>
      </c>
      <c r="G26" s="123" t="s">
        <v>113</v>
      </c>
      <c r="H26" s="124" t="s">
        <v>114</v>
      </c>
      <c r="I26" s="106"/>
    </row>
    <row r="27" spans="1:12" ht="13.5" hidden="1" x14ac:dyDescent="0.25">
      <c r="A27" s="125">
        <v>0</v>
      </c>
      <c r="B27" s="102" t="str">
        <f>IFERROR(VLOOKUP(H27,'[1]Consolidado MP Planta'!$A$2:$M$823,3,0),"")</f>
        <v/>
      </c>
      <c r="C27" s="126">
        <f t="shared" ref="C27:C32" si="6">+A27</f>
        <v>0</v>
      </c>
      <c r="D27" s="127" t="str">
        <f>IFERROR(VLOOKUP(H27,'[1]Consolidado MP Planta'!$A$2:$M$823,13,0),"")</f>
        <v/>
      </c>
      <c r="E27" s="127" t="str">
        <f>IFERROR(VLOOKUP(H27,'[1]Consolidado MP Planta'!$A$2:$M$823,12,0),"")</f>
        <v/>
      </c>
      <c r="F27" s="127" t="str">
        <f t="shared" ref="F27:F32" si="7">IFERROR(C27*E27,"")</f>
        <v/>
      </c>
      <c r="G27" s="128" t="str">
        <f t="shared" ref="G27:G32" si="8">IFERROR(F27/$F$66,"")</f>
        <v/>
      </c>
      <c r="H27" s="131"/>
      <c r="I27" s="131"/>
      <c r="J27" s="130"/>
      <c r="K27" s="350"/>
      <c r="L27" s="350"/>
    </row>
    <row r="28" spans="1:12" ht="13.5" hidden="1" x14ac:dyDescent="0.25">
      <c r="A28" s="125">
        <v>0</v>
      </c>
      <c r="B28" s="102" t="str">
        <f>IFERROR(VLOOKUP(H28,'[1]Consolidado MP Planta'!$A$2:$M$823,3,0),"")</f>
        <v/>
      </c>
      <c r="C28" s="126">
        <f t="shared" si="6"/>
        <v>0</v>
      </c>
      <c r="D28" s="127" t="str">
        <f>IFERROR(VLOOKUP(H28,'[1]Consolidado MP Planta'!$A$2:$M$823,13,0),"")</f>
        <v/>
      </c>
      <c r="E28" s="127">
        <v>0</v>
      </c>
      <c r="F28" s="127">
        <f t="shared" si="7"/>
        <v>0</v>
      </c>
      <c r="G28" s="128">
        <f t="shared" si="8"/>
        <v>0</v>
      </c>
      <c r="H28" s="131"/>
      <c r="I28" s="131"/>
      <c r="J28" s="130"/>
      <c r="K28" s="350"/>
      <c r="L28" s="350"/>
    </row>
    <row r="29" spans="1:12" ht="13.5" x14ac:dyDescent="0.25">
      <c r="A29" s="125">
        <v>2</v>
      </c>
      <c r="B29" s="102" t="str">
        <f>IFERROR(VLOOKUP(H29,'[1]Consolidado MP Planta'!$A$2:$M$823,3,0),"")</f>
        <v>CAJA BLANCA MEDIANA (PAQ:100 UND)</v>
      </c>
      <c r="C29" s="126">
        <f t="shared" si="6"/>
        <v>2</v>
      </c>
      <c r="D29" s="127" t="str">
        <f>IFERROR(VLOOKUP(H29,'[1]Consolidado MP Planta'!$A$2:$M$823,13,0),"")</f>
        <v>Und</v>
      </c>
      <c r="E29" s="127">
        <v>49.75</v>
      </c>
      <c r="F29" s="127">
        <f t="shared" si="7"/>
        <v>99.5</v>
      </c>
      <c r="G29" s="128">
        <f t="shared" si="8"/>
        <v>9.3884952547345704E-2</v>
      </c>
      <c r="H29" s="131" t="s">
        <v>205</v>
      </c>
      <c r="I29" s="131"/>
      <c r="J29" s="130"/>
      <c r="K29" s="350"/>
      <c r="L29" s="350"/>
    </row>
    <row r="30" spans="1:12" ht="13.5" x14ac:dyDescent="0.25">
      <c r="A30" s="125">
        <v>1</v>
      </c>
      <c r="B30" s="102" t="str">
        <f>IFERROR(VLOOKUP(H30,'[1]Consolidado MP Planta'!$A$2:$M$823,3,0),"")</f>
        <v>ETIQ.FECHA VENCIMIENTO BLANCO (ROLLO)</v>
      </c>
      <c r="C30" s="126">
        <f t="shared" si="6"/>
        <v>1</v>
      </c>
      <c r="D30" s="127" t="str">
        <f>IFERROR(VLOOKUP(H30,'[1]Consolidado MP Planta'!$A$2:$M$823,13,0),"")</f>
        <v>Gramos</v>
      </c>
      <c r="E30" s="127">
        <v>0.28000000000000003</v>
      </c>
      <c r="F30" s="127">
        <f t="shared" si="7"/>
        <v>0.28000000000000003</v>
      </c>
      <c r="G30" s="128">
        <f t="shared" si="8"/>
        <v>2.6419886143976684E-4</v>
      </c>
      <c r="H30" s="131" t="s">
        <v>206</v>
      </c>
      <c r="I30" s="131"/>
      <c r="J30" s="130"/>
      <c r="K30" s="350"/>
      <c r="L30" s="350"/>
    </row>
    <row r="31" spans="1:12" ht="13.5" x14ac:dyDescent="0.25">
      <c r="A31" s="125">
        <v>1</v>
      </c>
      <c r="B31" s="102" t="str">
        <f>IFERROR(VLOOKUP(H31,'[1]Consolidado MP Planta'!$A$2:$M$823,3,0),"")</f>
        <v>ETIQ.BLANCA 1 1/4 * 3/4 (UND)</v>
      </c>
      <c r="C31" s="126">
        <f t="shared" si="6"/>
        <v>1</v>
      </c>
      <c r="D31" s="127" t="str">
        <f>IFERROR(VLOOKUP(H31,'[1]Consolidado MP Planta'!$A$2:$M$823,13,0),"")</f>
        <v>Und</v>
      </c>
      <c r="E31" s="127">
        <v>0.57999999999999996</v>
      </c>
      <c r="F31" s="127">
        <f t="shared" si="7"/>
        <v>0.57999999999999996</v>
      </c>
      <c r="G31" s="128">
        <f t="shared" si="8"/>
        <v>5.4726907012523122E-4</v>
      </c>
      <c r="H31" s="131" t="s">
        <v>207</v>
      </c>
      <c r="I31" s="131"/>
      <c r="J31" s="130"/>
      <c r="K31" s="132"/>
      <c r="L31" s="107"/>
    </row>
    <row r="32" spans="1:12" ht="13.5" x14ac:dyDescent="0.25">
      <c r="A32" s="125"/>
      <c r="B32" s="102" t="str">
        <f>IFERROR(VLOOKUP(H32,'[1]Consolidado MP Planta'!$A$2:$M$823,3,0),"")</f>
        <v/>
      </c>
      <c r="C32" s="126">
        <f t="shared" si="6"/>
        <v>0</v>
      </c>
      <c r="D32" s="127" t="str">
        <f>IFERROR(VLOOKUP(H32,'[1]Consolidado MP Planta'!$A$2:$M$823,13,0),"")</f>
        <v/>
      </c>
      <c r="E32" s="127" t="str">
        <f>IFERROR(VLOOKUP(H32,'[1]Consolidado MP Planta'!$A$2:$M$823,12,0),"")</f>
        <v/>
      </c>
      <c r="F32" s="127" t="str">
        <f t="shared" si="7"/>
        <v/>
      </c>
      <c r="G32" s="128" t="str">
        <f t="shared" si="8"/>
        <v/>
      </c>
      <c r="H32" s="131"/>
      <c r="I32" s="131"/>
      <c r="J32" s="130"/>
    </row>
    <row r="33" spans="1:13" ht="14.25" thickBot="1" x14ac:dyDescent="0.3">
      <c r="A33" s="125"/>
      <c r="B33" s="102"/>
      <c r="C33" s="126"/>
      <c r="D33" s="127"/>
      <c r="E33" s="127"/>
      <c r="F33" s="127"/>
      <c r="G33" s="128"/>
      <c r="H33" s="131"/>
      <c r="I33" s="131"/>
      <c r="J33" s="130"/>
    </row>
    <row r="34" spans="1:13" ht="26.25" thickBot="1" x14ac:dyDescent="0.25">
      <c r="A34" s="121" t="s">
        <v>109</v>
      </c>
      <c r="B34" s="122" t="s">
        <v>116</v>
      </c>
      <c r="C34" s="122" t="s">
        <v>109</v>
      </c>
      <c r="D34" s="123" t="s">
        <v>149</v>
      </c>
      <c r="E34" s="123" t="s">
        <v>111</v>
      </c>
      <c r="F34" s="123" t="s">
        <v>112</v>
      </c>
      <c r="G34" s="123" t="s">
        <v>113</v>
      </c>
      <c r="H34" s="124" t="s">
        <v>114</v>
      </c>
      <c r="I34" s="131"/>
      <c r="J34" s="130"/>
    </row>
    <row r="35" spans="1:13" ht="13.5" x14ac:dyDescent="0.25">
      <c r="A35" s="125">
        <f>+A17</f>
        <v>6</v>
      </c>
      <c r="B35" s="102" t="s">
        <v>100</v>
      </c>
      <c r="C35" s="126">
        <f>+A35</f>
        <v>6</v>
      </c>
      <c r="D35" s="127" t="s">
        <v>186</v>
      </c>
      <c r="E35" s="127">
        <f>+'Costo Rosquete '!H54</f>
        <v>1.7971636734693877</v>
      </c>
      <c r="F35" s="127">
        <f>IFERROR(E35*C35,"")</f>
        <v>10.782982040816325</v>
      </c>
      <c r="G35" s="128">
        <f t="shared" ref="G35:G41" si="9">IFERROR(F35/$F$66,"")</f>
        <v>1.0174469921818308E-2</v>
      </c>
      <c r="H35" s="131" t="s">
        <v>31</v>
      </c>
      <c r="I35" s="131"/>
      <c r="J35" s="130"/>
    </row>
    <row r="36" spans="1:13" ht="13.5" hidden="1" x14ac:dyDescent="0.25">
      <c r="A36" s="125">
        <f t="shared" ref="A36:A41" si="10">+A18</f>
        <v>0</v>
      </c>
      <c r="B36" s="102" t="str">
        <f>IFERROR(VLOOKUP(H36,[1]SEMIELABORADOS!$A$2:$M$6000,2,0),"")</f>
        <v/>
      </c>
      <c r="C36" s="126">
        <f t="shared" ref="C36:C41" si="11">+A36</f>
        <v>0</v>
      </c>
      <c r="D36" s="127" t="str">
        <f>IFERROR(VLOOKUP(H36,[1]SEMIELABORADOS!$A$2:$M$6000,6,0),"")</f>
        <v/>
      </c>
      <c r="E36" s="127" t="str">
        <f>IFERROR(VLOOKUP(H36,[1]SEMIELABORADOS!$A$2:$M$65536,10,0),"")</f>
        <v/>
      </c>
      <c r="F36" s="127" t="str">
        <f t="shared" ref="F36:F41" si="12">IFERROR(E36*C36,"")</f>
        <v/>
      </c>
      <c r="G36" s="128" t="str">
        <f t="shared" si="9"/>
        <v/>
      </c>
      <c r="H36" s="131"/>
      <c r="I36" s="131"/>
      <c r="J36" s="130"/>
    </row>
    <row r="37" spans="1:13" ht="13.5" hidden="1" x14ac:dyDescent="0.25">
      <c r="A37" s="125">
        <f t="shared" si="10"/>
        <v>0</v>
      </c>
      <c r="B37" s="102" t="str">
        <f>IFERROR(VLOOKUP(H37,[1]SEMIELABORADOS!$A$2:$M$6000,2,0),"")</f>
        <v/>
      </c>
      <c r="C37" s="126">
        <f t="shared" si="11"/>
        <v>0</v>
      </c>
      <c r="D37" s="127" t="str">
        <f>IFERROR(VLOOKUP(H37,[1]SEMIELABORADOS!$A$2:$M$6000,6,0),"")</f>
        <v/>
      </c>
      <c r="E37" s="127" t="str">
        <f>IFERROR(VLOOKUP(H37,[1]SEMIELABORADOS!$A$2:$M$65536,10,0),"")</f>
        <v/>
      </c>
      <c r="F37" s="127" t="str">
        <f t="shared" si="12"/>
        <v/>
      </c>
      <c r="G37" s="128" t="str">
        <f t="shared" si="9"/>
        <v/>
      </c>
      <c r="H37" s="131"/>
      <c r="I37" s="131"/>
      <c r="J37" s="130"/>
    </row>
    <row r="38" spans="1:13" ht="13.5" hidden="1" x14ac:dyDescent="0.25">
      <c r="A38" s="125">
        <f t="shared" si="10"/>
        <v>0</v>
      </c>
      <c r="B38" s="102" t="str">
        <f>IFERROR(VLOOKUP(H38,[1]SEMIELABORADOS!$A$2:$M$6000,2,0),"")</f>
        <v/>
      </c>
      <c r="C38" s="126">
        <f>+A38</f>
        <v>0</v>
      </c>
      <c r="D38" s="127" t="str">
        <f>IFERROR(VLOOKUP(H38,[1]SEMIELABORADOS!$A$2:$M$6000,6,0),"")</f>
        <v/>
      </c>
      <c r="E38" s="127" t="str">
        <f>IFERROR(VLOOKUP(H38,[1]SEMIELABORADOS!$A$2:$M$65536,10,0),"")</f>
        <v/>
      </c>
      <c r="F38" s="127" t="str">
        <f>IFERROR(E38*C38,"")</f>
        <v/>
      </c>
      <c r="G38" s="128" t="str">
        <f t="shared" si="9"/>
        <v/>
      </c>
      <c r="H38" s="131"/>
      <c r="I38" s="131"/>
      <c r="J38" s="130"/>
    </row>
    <row r="39" spans="1:13" ht="13.5" hidden="1" x14ac:dyDescent="0.25">
      <c r="A39" s="125">
        <f t="shared" si="10"/>
        <v>0</v>
      </c>
      <c r="B39" s="102" t="str">
        <f>IFERROR(VLOOKUP(H39,[1]SEMIELABORADOS!$A$2:$M$6000,2,0),"")</f>
        <v/>
      </c>
      <c r="C39" s="126">
        <f>+A39</f>
        <v>0</v>
      </c>
      <c r="D39" s="127" t="str">
        <f>IFERROR(VLOOKUP(H39,[1]SEMIELABORADOS!$A$2:$M$6000,6,0),"")</f>
        <v/>
      </c>
      <c r="E39" s="127" t="str">
        <f>IFERROR(VLOOKUP(H39,[1]SEMIELABORADOS!$A$2:$M$65536,10,0),"")</f>
        <v/>
      </c>
      <c r="F39" s="127" t="str">
        <f>IFERROR(E39*C39,"")</f>
        <v/>
      </c>
      <c r="G39" s="128" t="str">
        <f t="shared" si="9"/>
        <v/>
      </c>
      <c r="H39" s="131"/>
      <c r="I39" s="131"/>
      <c r="J39" s="130"/>
    </row>
    <row r="40" spans="1:13" ht="13.5" hidden="1" x14ac:dyDescent="0.25">
      <c r="A40" s="125">
        <f t="shared" si="10"/>
        <v>0</v>
      </c>
      <c r="B40" s="102" t="str">
        <f>IFERROR(VLOOKUP(H40,[1]SEMIELABORADOS!$A$2:$M$6000,2,0),"")</f>
        <v/>
      </c>
      <c r="C40" s="126">
        <f t="shared" si="11"/>
        <v>0</v>
      </c>
      <c r="D40" s="127" t="str">
        <f>IFERROR(VLOOKUP(H40,[1]SEMIELABORADOS!$A$2:$M$6000,6,0),"")</f>
        <v/>
      </c>
      <c r="E40" s="127" t="str">
        <f>IFERROR(VLOOKUP(H40,[1]SEMIELABORADOS!$A$2:$M$65536,10,0),"")</f>
        <v/>
      </c>
      <c r="F40" s="127" t="str">
        <f t="shared" si="12"/>
        <v/>
      </c>
      <c r="G40" s="128" t="str">
        <f t="shared" si="9"/>
        <v/>
      </c>
      <c r="H40" s="131"/>
      <c r="I40" s="131"/>
      <c r="J40" s="130"/>
    </row>
    <row r="41" spans="1:13" ht="13.5" hidden="1" x14ac:dyDescent="0.25">
      <c r="A41" s="125">
        <f t="shared" si="10"/>
        <v>0</v>
      </c>
      <c r="B41" s="102" t="str">
        <f>IFERROR(VLOOKUP(H41,[1]SEMIELABORADOS!$A$2:$M$6000,2,0),"")</f>
        <v/>
      </c>
      <c r="C41" s="126">
        <f t="shared" si="11"/>
        <v>0</v>
      </c>
      <c r="D41" s="127" t="str">
        <f>IFERROR(VLOOKUP(H41,[1]SEMIELABORADOS!$A$2:$M$6000,6,0),"")</f>
        <v/>
      </c>
      <c r="E41" s="127" t="str">
        <f>IFERROR(VLOOKUP(H41,[1]SEMIELABORADOS!$A$2:$M$65536,10,0),"")</f>
        <v/>
      </c>
      <c r="F41" s="127" t="str">
        <f t="shared" si="12"/>
        <v/>
      </c>
      <c r="G41" s="128" t="str">
        <f t="shared" si="9"/>
        <v/>
      </c>
      <c r="H41" s="131"/>
      <c r="I41" s="131"/>
      <c r="J41" s="130"/>
    </row>
    <row r="42" spans="1:13" ht="14.25" thickBot="1" x14ac:dyDescent="0.3">
      <c r="A42" s="125"/>
      <c r="B42" s="102"/>
      <c r="C42" s="126"/>
      <c r="D42" s="127"/>
      <c r="E42" s="127"/>
      <c r="F42" s="127"/>
      <c r="G42" s="128"/>
      <c r="H42" s="131"/>
      <c r="I42" s="131"/>
      <c r="J42" s="130"/>
    </row>
    <row r="43" spans="1:13" ht="26.25" thickBot="1" x14ac:dyDescent="0.25">
      <c r="A43" s="121" t="s">
        <v>109</v>
      </c>
      <c r="B43" s="122" t="s">
        <v>117</v>
      </c>
      <c r="C43" s="122" t="s">
        <v>109</v>
      </c>
      <c r="D43" s="123" t="s">
        <v>149</v>
      </c>
      <c r="E43" s="123" t="s">
        <v>111</v>
      </c>
      <c r="F43" s="123" t="s">
        <v>112</v>
      </c>
      <c r="G43" s="123" t="s">
        <v>113</v>
      </c>
      <c r="H43" s="124" t="s">
        <v>114</v>
      </c>
      <c r="I43" s="106"/>
      <c r="J43" s="130"/>
    </row>
    <row r="44" spans="1:13" ht="13.5" x14ac:dyDescent="0.25">
      <c r="A44" s="125">
        <f>+A35</f>
        <v>6</v>
      </c>
      <c r="B44" s="102" t="s">
        <v>100</v>
      </c>
      <c r="C44" s="126">
        <f>+A44</f>
        <v>6</v>
      </c>
      <c r="D44" s="127" t="s">
        <v>186</v>
      </c>
      <c r="E44" s="127">
        <f>+'Costo Rosquete '!H56</f>
        <v>18.829285714285714</v>
      </c>
      <c r="F44" s="127">
        <f>IFERROR(E44*C44,"")</f>
        <v>112.97571428571428</v>
      </c>
      <c r="G44" s="128">
        <f>IFERROR(F44/$F$66,"")</f>
        <v>0.10660019673082181</v>
      </c>
      <c r="H44" s="131" t="s">
        <v>31</v>
      </c>
      <c r="I44" s="106"/>
      <c r="J44" s="130"/>
    </row>
    <row r="45" spans="1:13" ht="13.5" hidden="1" x14ac:dyDescent="0.25">
      <c r="A45" s="125">
        <f t="shared" ref="A45:A50" si="13">+A36</f>
        <v>0</v>
      </c>
      <c r="B45" s="102" t="str">
        <f>IFERROR(VLOOKUP(H45,[1]SEMIELABORADOS!$A$2:$M$6000,2,0),"")</f>
        <v/>
      </c>
      <c r="C45" s="126">
        <f t="shared" ref="C45:C50" si="14">+A45</f>
        <v>0</v>
      </c>
      <c r="D45" s="127" t="str">
        <f>IFERROR(VLOOKUP(H45,[1]SEMIELABORADOS!$A$2:$M$6000,6,0),"")</f>
        <v/>
      </c>
      <c r="E45" s="127" t="str">
        <f>IFERROR(VLOOKUP(H45,[1]SEMIELABORADOS!$A$2:$M$65536,12,0),"")</f>
        <v/>
      </c>
      <c r="F45" s="127" t="str">
        <f t="shared" ref="F45:F50" si="15">IFERROR(E45*C45,"")</f>
        <v/>
      </c>
      <c r="G45" s="128" t="str">
        <f t="shared" ref="G45:G50" si="16">IFERROR(F45/$F$66,"")</f>
        <v/>
      </c>
      <c r="H45" s="131"/>
      <c r="I45" s="106"/>
      <c r="J45" s="130"/>
      <c r="M45" s="133"/>
    </row>
    <row r="46" spans="1:13" ht="13.5" hidden="1" x14ac:dyDescent="0.25">
      <c r="A46" s="125">
        <f t="shared" si="13"/>
        <v>0</v>
      </c>
      <c r="B46" s="102" t="str">
        <f>IFERROR(VLOOKUP(H46,[1]SEMIELABORADOS!$A$2:$M$6000,2,0),"")</f>
        <v/>
      </c>
      <c r="C46" s="126">
        <f t="shared" si="14"/>
        <v>0</v>
      </c>
      <c r="D46" s="127" t="str">
        <f>IFERROR(VLOOKUP(H46,[1]SEMIELABORADOS!$A$2:$M$6000,6,0),"")</f>
        <v/>
      </c>
      <c r="E46" s="127" t="str">
        <f>IFERROR(VLOOKUP(H46,[1]SEMIELABORADOS!$A$2:$M$65536,12,0),"")</f>
        <v/>
      </c>
      <c r="F46" s="127" t="str">
        <f t="shared" si="15"/>
        <v/>
      </c>
      <c r="G46" s="128" t="str">
        <f t="shared" si="16"/>
        <v/>
      </c>
      <c r="H46" s="131"/>
      <c r="I46" s="106"/>
      <c r="J46" s="130"/>
    </row>
    <row r="47" spans="1:13" ht="13.5" hidden="1" x14ac:dyDescent="0.25">
      <c r="A47" s="125">
        <f t="shared" si="13"/>
        <v>0</v>
      </c>
      <c r="B47" s="102" t="str">
        <f>IFERROR(VLOOKUP(H47,[1]SEMIELABORADOS!$A$2:$M$6000,2,0),"")</f>
        <v/>
      </c>
      <c r="C47" s="126">
        <f t="shared" si="14"/>
        <v>0</v>
      </c>
      <c r="D47" s="127" t="str">
        <f>IFERROR(VLOOKUP(H47,[1]SEMIELABORADOS!$A$2:$M$6000,6,0),"")</f>
        <v/>
      </c>
      <c r="E47" s="127" t="str">
        <f>IFERROR(VLOOKUP(H47,[1]SEMIELABORADOS!$A$2:$M$65536,12,0),"")</f>
        <v/>
      </c>
      <c r="F47" s="127" t="str">
        <f t="shared" si="15"/>
        <v/>
      </c>
      <c r="G47" s="128" t="str">
        <f t="shared" si="16"/>
        <v/>
      </c>
      <c r="H47" s="131"/>
      <c r="I47" s="106"/>
      <c r="J47" s="130"/>
    </row>
    <row r="48" spans="1:13" ht="13.5" hidden="1" x14ac:dyDescent="0.25">
      <c r="A48" s="125">
        <f t="shared" si="13"/>
        <v>0</v>
      </c>
      <c r="B48" s="102" t="str">
        <f>IFERROR(VLOOKUP(H48,[1]SEMIELABORADOS!$A$2:$M$6000,2,0),"")</f>
        <v/>
      </c>
      <c r="C48" s="126">
        <f t="shared" si="14"/>
        <v>0</v>
      </c>
      <c r="D48" s="127" t="str">
        <f>IFERROR(VLOOKUP(H48,[1]SEMIELABORADOS!$A$2:$M$6000,6,0),"")</f>
        <v/>
      </c>
      <c r="E48" s="127" t="str">
        <f>IFERROR(VLOOKUP(H48,[1]SEMIELABORADOS!$A$2:$M$65536,12,0),"")</f>
        <v/>
      </c>
      <c r="F48" s="127" t="str">
        <f t="shared" si="15"/>
        <v/>
      </c>
      <c r="G48" s="128" t="str">
        <f t="shared" si="16"/>
        <v/>
      </c>
      <c r="H48" s="131"/>
      <c r="I48" s="106"/>
      <c r="J48" s="130"/>
    </row>
    <row r="49" spans="1:17" ht="13.5" hidden="1" x14ac:dyDescent="0.25">
      <c r="A49" s="125">
        <f t="shared" si="13"/>
        <v>0</v>
      </c>
      <c r="B49" s="102" t="str">
        <f>IFERROR(VLOOKUP(H49,[1]SEMIELABORADOS!$A$2:$M$6000,2,0),"")</f>
        <v/>
      </c>
      <c r="C49" s="126">
        <f t="shared" si="14"/>
        <v>0</v>
      </c>
      <c r="D49" s="127" t="str">
        <f>IFERROR(VLOOKUP(H49,[1]SEMIELABORADOS!$A$2:$M$6000,6,0),"")</f>
        <v/>
      </c>
      <c r="E49" s="127" t="str">
        <f>IFERROR(VLOOKUP(H49,[1]SEMIELABORADOS!$A$2:$M$65536,12,0),"")</f>
        <v/>
      </c>
      <c r="F49" s="127" t="str">
        <f t="shared" si="15"/>
        <v/>
      </c>
      <c r="G49" s="128" t="str">
        <f t="shared" si="16"/>
        <v/>
      </c>
      <c r="H49" s="131"/>
      <c r="I49" s="106"/>
      <c r="J49" s="130"/>
    </row>
    <row r="50" spans="1:17" ht="13.5" hidden="1" x14ac:dyDescent="0.25">
      <c r="A50" s="125">
        <f t="shared" si="13"/>
        <v>0</v>
      </c>
      <c r="B50" s="102" t="str">
        <f>IFERROR(VLOOKUP(H50,[1]SEMIELABORADOS!$A$2:$M$6000,2,0),"")</f>
        <v/>
      </c>
      <c r="C50" s="126">
        <f t="shared" si="14"/>
        <v>0</v>
      </c>
      <c r="D50" s="127" t="str">
        <f>IFERROR(VLOOKUP(H50,[1]SEMIELABORADOS!$A$2:$M$6000,6,0),"")</f>
        <v/>
      </c>
      <c r="E50" s="127" t="str">
        <f>IFERROR(VLOOKUP(H50,[1]SEMIELABORADOS!$A$2:$M$65536,12,0),"")</f>
        <v/>
      </c>
      <c r="F50" s="127" t="str">
        <f t="shared" si="15"/>
        <v/>
      </c>
      <c r="G50" s="128" t="str">
        <f t="shared" si="16"/>
        <v/>
      </c>
      <c r="H50" s="102"/>
      <c r="I50" s="106"/>
      <c r="J50" s="130"/>
    </row>
    <row r="51" spans="1:17" ht="13.5" x14ac:dyDescent="0.25">
      <c r="A51" s="125">
        <v>1</v>
      </c>
      <c r="B51" s="102" t="s">
        <v>118</v>
      </c>
      <c r="C51" s="126">
        <f>+A51</f>
        <v>1</v>
      </c>
      <c r="D51" s="126" t="s">
        <v>119</v>
      </c>
      <c r="E51" s="127">
        <f>+F65</f>
        <v>232</v>
      </c>
      <c r="F51" s="127">
        <f>IFERROR(C51*E51,"")</f>
        <v>232</v>
      </c>
      <c r="G51" s="128">
        <f>IFERROR(F51/$F$66,"")</f>
        <v>0.21890762805009251</v>
      </c>
      <c r="H51" s="134"/>
      <c r="I51" s="134"/>
      <c r="J51" s="130"/>
    </row>
    <row r="52" spans="1:17" ht="14.25" thickBot="1" x14ac:dyDescent="0.3">
      <c r="A52" s="125"/>
      <c r="B52" s="102"/>
      <c r="C52" s="126"/>
      <c r="D52" s="126"/>
      <c r="E52" s="127"/>
      <c r="F52" s="127"/>
      <c r="G52" s="128"/>
      <c r="H52" s="134"/>
      <c r="I52" s="134"/>
      <c r="J52" s="130"/>
    </row>
    <row r="53" spans="1:17" ht="13.5" thickBot="1" x14ac:dyDescent="0.25">
      <c r="A53" s="108"/>
      <c r="B53" s="354" t="s">
        <v>150</v>
      </c>
      <c r="C53" s="354"/>
      <c r="D53" s="354"/>
      <c r="E53" s="354"/>
      <c r="F53" s="135">
        <f>SUM(F8:F14,F17:F24)</f>
        <v>702.61251428571427</v>
      </c>
      <c r="G53" s="128">
        <f>+F53/$F$66</f>
        <v>0.66296223681291999</v>
      </c>
      <c r="H53" s="136">
        <f>+F53/$D$60</f>
        <v>702.61251428571427</v>
      </c>
      <c r="I53" s="136"/>
      <c r="J53" s="137"/>
      <c r="K53" s="138"/>
      <c r="L53" s="138"/>
      <c r="M53" s="138"/>
      <c r="N53" s="138"/>
      <c r="O53" s="138"/>
      <c r="P53" s="138"/>
      <c r="Q53" s="139"/>
    </row>
    <row r="54" spans="1:17" x14ac:dyDescent="0.2">
      <c r="A54" s="108"/>
      <c r="B54" s="354" t="s">
        <v>120</v>
      </c>
      <c r="C54" s="354"/>
      <c r="D54" s="354"/>
      <c r="E54" s="354"/>
      <c r="F54" s="135">
        <f>SUM(F27:F32,F35:F41)</f>
        <v>111.14298204081632</v>
      </c>
      <c r="G54" s="128">
        <f>+F54/$F$66</f>
        <v>0.10487089040072901</v>
      </c>
      <c r="H54" s="136">
        <f>+F54/$D$60</f>
        <v>111.14298204081632</v>
      </c>
      <c r="I54" s="136"/>
      <c r="J54" s="140"/>
      <c r="K54" s="355" t="s">
        <v>121</v>
      </c>
      <c r="L54" s="356"/>
      <c r="M54" s="356"/>
      <c r="N54" s="356"/>
      <c r="O54" s="141">
        <f>+F55</f>
        <v>813.75549632653065</v>
      </c>
      <c r="P54" s="141"/>
      <c r="Q54" s="142"/>
    </row>
    <row r="55" spans="1:17" x14ac:dyDescent="0.2">
      <c r="A55" s="108"/>
      <c r="B55" s="354" t="s">
        <v>122</v>
      </c>
      <c r="C55" s="354"/>
      <c r="D55" s="354"/>
      <c r="E55" s="354"/>
      <c r="F55" s="135">
        <f>+F53+F54</f>
        <v>813.75549632653065</v>
      </c>
      <c r="G55" s="128">
        <f>+F55/$F$66</f>
        <v>0.76783312721364905</v>
      </c>
      <c r="H55" s="136">
        <f>+F55/$D$60</f>
        <v>813.75549632653065</v>
      </c>
      <c r="I55" s="136"/>
      <c r="J55" s="143"/>
      <c r="K55" s="144"/>
      <c r="M55" s="145" t="s">
        <v>123</v>
      </c>
      <c r="N55" s="146"/>
      <c r="O55" s="141">
        <f>+F56</f>
        <v>344.97571428571428</v>
      </c>
      <c r="P55" s="141"/>
      <c r="Q55" s="142"/>
    </row>
    <row r="56" spans="1:17" ht="13.5" thickBot="1" x14ac:dyDescent="0.25">
      <c r="A56" s="108"/>
      <c r="B56" s="109"/>
      <c r="C56" s="354" t="s">
        <v>124</v>
      </c>
      <c r="D56" s="354"/>
      <c r="E56" s="354"/>
      <c r="F56" s="135">
        <f>SUM(F44:F51)</f>
        <v>344.97571428571428</v>
      </c>
      <c r="G56" s="128">
        <f>+F56/$F$66</f>
        <v>0.32550782478091433</v>
      </c>
      <c r="H56" s="136">
        <f>+F56/$D$60</f>
        <v>344.97571428571428</v>
      </c>
      <c r="I56" s="136"/>
      <c r="J56" s="143"/>
      <c r="K56" s="144"/>
      <c r="L56" s="144"/>
      <c r="M56" s="144" t="s">
        <v>125</v>
      </c>
      <c r="N56" s="147"/>
      <c r="O56" s="141">
        <f>O54*N56</f>
        <v>0</v>
      </c>
      <c r="P56" s="141"/>
      <c r="Q56" s="142"/>
    </row>
    <row r="57" spans="1:17" ht="13.5" thickBot="1" x14ac:dyDescent="0.25">
      <c r="A57" s="108"/>
      <c r="B57" s="148"/>
      <c r="C57" s="148"/>
      <c r="D57" s="148"/>
      <c r="E57" s="148"/>
      <c r="F57" s="149"/>
      <c r="G57" s="128"/>
      <c r="H57" s="150"/>
      <c r="I57" s="136"/>
      <c r="J57" s="143"/>
      <c r="K57" s="151"/>
      <c r="M57" s="152" t="s">
        <v>126</v>
      </c>
      <c r="N57" s="153"/>
      <c r="O57" s="154">
        <f>SUM(O54:O56)</f>
        <v>1158.7312106122449</v>
      </c>
      <c r="P57" s="155"/>
      <c r="Q57" s="142"/>
    </row>
    <row r="58" spans="1:17" x14ac:dyDescent="0.2">
      <c r="B58" s="347" t="s">
        <v>127</v>
      </c>
      <c r="C58" s="347"/>
      <c r="D58" s="156">
        <v>660</v>
      </c>
      <c r="E58" s="110"/>
      <c r="F58" s="104">
        <f>+F56/61</f>
        <v>5.6553395784543321</v>
      </c>
      <c r="G58" s="128"/>
      <c r="H58" s="150"/>
      <c r="I58" s="157"/>
      <c r="J58" s="143"/>
      <c r="K58" s="151"/>
      <c r="L58" s="144"/>
      <c r="M58" s="144" t="s">
        <v>128</v>
      </c>
      <c r="N58" s="158"/>
      <c r="O58" s="141">
        <f>+F59</f>
        <v>328.00969555035124</v>
      </c>
      <c r="P58" s="141"/>
      <c r="Q58" s="142"/>
    </row>
    <row r="59" spans="1:17" x14ac:dyDescent="0.2">
      <c r="B59" s="347" t="s">
        <v>129</v>
      </c>
      <c r="C59" s="347"/>
      <c r="D59" s="159">
        <v>660</v>
      </c>
      <c r="E59" s="110"/>
      <c r="F59" s="104">
        <f>+F58*58</f>
        <v>328.00969555035124</v>
      </c>
      <c r="G59" s="128"/>
      <c r="H59" s="150"/>
      <c r="I59" s="157"/>
      <c r="J59" s="143"/>
      <c r="K59" s="151"/>
      <c r="L59" s="144"/>
      <c r="M59" s="358" t="s">
        <v>126</v>
      </c>
      <c r="N59" s="358"/>
      <c r="O59" s="141">
        <f>SUM(O57:O58)</f>
        <v>1486.7409061625963</v>
      </c>
      <c r="P59" s="141"/>
      <c r="Q59" s="142"/>
    </row>
    <row r="60" spans="1:17" ht="13.5" thickBot="1" x14ac:dyDescent="0.25">
      <c r="B60" s="357" t="s">
        <v>130</v>
      </c>
      <c r="C60" s="357"/>
      <c r="D60" s="156">
        <f>+D58/D59</f>
        <v>1</v>
      </c>
      <c r="E60" s="110"/>
      <c r="F60" s="160"/>
      <c r="G60" s="128"/>
      <c r="H60" s="150"/>
      <c r="I60" s="157"/>
      <c r="J60" s="143"/>
      <c r="K60" s="151"/>
      <c r="L60" s="358"/>
      <c r="M60" s="358"/>
      <c r="N60" s="158"/>
      <c r="O60" s="141">
        <f>+O59*N60</f>
        <v>0</v>
      </c>
      <c r="P60" s="141"/>
      <c r="Q60" s="142"/>
    </row>
    <row r="61" spans="1:17" ht="13.5" thickBot="1" x14ac:dyDescent="0.25">
      <c r="B61" s="357" t="s">
        <v>131</v>
      </c>
      <c r="C61" s="357"/>
      <c r="D61" s="161"/>
      <c r="E61" s="110"/>
      <c r="F61" s="160"/>
      <c r="G61" s="128"/>
      <c r="H61" s="150"/>
      <c r="I61" s="157"/>
      <c r="J61" s="143"/>
      <c r="K61" s="333" t="s">
        <v>132</v>
      </c>
      <c r="L61" s="334"/>
      <c r="M61" s="334"/>
      <c r="N61" s="335"/>
      <c r="O61" s="154">
        <f>SUM(O59:O60)</f>
        <v>1486.7409061625963</v>
      </c>
      <c r="P61" s="162" t="s">
        <v>133</v>
      </c>
      <c r="Q61" s="142"/>
    </row>
    <row r="62" spans="1:17" ht="13.5" thickBot="1" x14ac:dyDescent="0.25">
      <c r="C62" s="108" t="s">
        <v>134</v>
      </c>
      <c r="D62" s="163"/>
      <c r="E62" s="103" t="s">
        <v>135</v>
      </c>
      <c r="F62" s="164" t="s">
        <v>136</v>
      </c>
      <c r="G62" s="128"/>
      <c r="H62" s="150"/>
      <c r="I62" s="157"/>
      <c r="J62" s="165"/>
      <c r="K62" s="166"/>
      <c r="L62" s="336" t="s">
        <v>137</v>
      </c>
      <c r="M62" s="336"/>
      <c r="N62" s="336"/>
      <c r="O62" s="167">
        <f>+O61/D60</f>
        <v>1486.7409061625963</v>
      </c>
      <c r="P62" s="168">
        <f>+O62/D59</f>
        <v>2.2526377366099943</v>
      </c>
      <c r="Q62" s="169"/>
    </row>
    <row r="63" spans="1:17" ht="13.5" thickBot="1" x14ac:dyDescent="0.25">
      <c r="B63" s="337" t="s">
        <v>122</v>
      </c>
      <c r="C63" s="337"/>
      <c r="D63" s="337"/>
      <c r="E63" s="170">
        <f>+F63/F63</f>
        <v>1</v>
      </c>
      <c r="F63" s="171">
        <f>SUM(F55)</f>
        <v>813.75549632653065</v>
      </c>
      <c r="G63" s="128">
        <f>+F63/$F$66</f>
        <v>0.76783312721364905</v>
      </c>
      <c r="H63" s="150"/>
      <c r="I63" s="157"/>
      <c r="K63" s="338"/>
      <c r="L63" s="339"/>
      <c r="M63" s="339"/>
      <c r="N63" s="339"/>
      <c r="O63" s="172"/>
      <c r="P63" s="173"/>
    </row>
    <row r="64" spans="1:17" ht="13.5" thickBot="1" x14ac:dyDescent="0.25">
      <c r="B64" s="340" t="s">
        <v>151</v>
      </c>
      <c r="C64" s="340"/>
      <c r="D64" s="340"/>
      <c r="E64" s="174">
        <v>0.02</v>
      </c>
      <c r="F64" s="171">
        <f>+F53*E64</f>
        <v>14.052250285714285</v>
      </c>
      <c r="G64" s="128">
        <f>+F64/$F$66</f>
        <v>1.32592447362584E-2</v>
      </c>
      <c r="H64" s="136"/>
      <c r="I64" s="157"/>
      <c r="J64" s="175"/>
      <c r="O64" s="176">
        <f>+O62/6</f>
        <v>247.79015102709937</v>
      </c>
      <c r="P64" s="109"/>
    </row>
    <row r="65" spans="2:10" ht="13.5" thickBot="1" x14ac:dyDescent="0.25">
      <c r="B65" s="345" t="s">
        <v>138</v>
      </c>
      <c r="C65" s="346"/>
      <c r="D65" s="177">
        <v>4</v>
      </c>
      <c r="E65" s="178">
        <v>58</v>
      </c>
      <c r="F65" s="171">
        <f>+E65*D65</f>
        <v>232</v>
      </c>
      <c r="G65" s="128">
        <f>+F65/$F$66</f>
        <v>0.21890762805009251</v>
      </c>
      <c r="H65" s="136"/>
      <c r="I65" s="136"/>
      <c r="J65" s="130"/>
    </row>
    <row r="66" spans="2:10" ht="13.5" thickBot="1" x14ac:dyDescent="0.25">
      <c r="B66" s="341" t="s">
        <v>139</v>
      </c>
      <c r="C66" s="342"/>
      <c r="D66" s="342"/>
      <c r="E66" s="343"/>
      <c r="F66" s="149">
        <f>SUM(F63:F65)</f>
        <v>1059.807746612245</v>
      </c>
      <c r="G66" s="128">
        <f>+F66/$F$66</f>
        <v>1</v>
      </c>
      <c r="H66" s="344"/>
      <c r="I66" s="136"/>
      <c r="J66" s="130"/>
    </row>
    <row r="67" spans="2:10" x14ac:dyDescent="0.2">
      <c r="C67" s="133"/>
      <c r="D67" s="133"/>
      <c r="E67" s="180"/>
      <c r="F67" s="171"/>
      <c r="G67" s="128"/>
      <c r="H67" s="344"/>
      <c r="I67" s="179"/>
      <c r="J67" s="104"/>
    </row>
    <row r="68" spans="2:10" ht="13.5" thickBot="1" x14ac:dyDescent="0.25">
      <c r="B68" s="331" t="s">
        <v>140</v>
      </c>
      <c r="C68" s="331"/>
      <c r="D68" s="331"/>
      <c r="E68" s="331"/>
      <c r="F68" s="331"/>
      <c r="G68" s="128"/>
      <c r="H68" s="111"/>
      <c r="I68" s="179"/>
      <c r="J68" s="104"/>
    </row>
    <row r="69" spans="2:10" ht="13.5" thickBot="1" x14ac:dyDescent="0.25">
      <c r="B69" s="182" t="s">
        <v>141</v>
      </c>
      <c r="C69" s="183">
        <f>+F53</f>
        <v>702.61251428571427</v>
      </c>
      <c r="D69" s="183">
        <f>+D58</f>
        <v>660</v>
      </c>
      <c r="E69" s="184">
        <f>+C69/D69</f>
        <v>1.0645644155844156</v>
      </c>
      <c r="F69" s="128"/>
      <c r="G69" s="111"/>
      <c r="H69" s="130"/>
      <c r="I69" s="111"/>
      <c r="J69" s="104"/>
    </row>
    <row r="70" spans="2:10" x14ac:dyDescent="0.2">
      <c r="B70" s="185"/>
      <c r="C70" s="186"/>
      <c r="D70" s="187"/>
      <c r="E70" s="171"/>
      <c r="F70" s="128"/>
      <c r="G70" s="111"/>
      <c r="H70" s="130"/>
      <c r="I70" s="130"/>
      <c r="J70" s="104"/>
    </row>
    <row r="71" spans="2:10" x14ac:dyDescent="0.2">
      <c r="B71" s="182" t="s">
        <v>142</v>
      </c>
      <c r="C71" s="183">
        <f>SUM(F63:F64)</f>
        <v>827.80774661224496</v>
      </c>
      <c r="D71" s="183">
        <f>+D58</f>
        <v>660</v>
      </c>
      <c r="E71" s="188">
        <f>+C71/D71</f>
        <v>1.2542541615337044</v>
      </c>
      <c r="F71" s="128"/>
      <c r="G71" s="111"/>
      <c r="H71" s="130"/>
      <c r="I71" s="130"/>
      <c r="J71" s="104"/>
    </row>
    <row r="72" spans="2:10" x14ac:dyDescent="0.2">
      <c r="B72" s="182"/>
      <c r="C72" s="183"/>
      <c r="D72" s="183"/>
      <c r="E72" s="188"/>
      <c r="F72" s="128"/>
      <c r="G72" s="111"/>
      <c r="H72" s="130"/>
      <c r="I72" s="130"/>
      <c r="J72" s="104"/>
    </row>
    <row r="73" spans="2:10" ht="13.5" thickBot="1" x14ac:dyDescent="0.25">
      <c r="B73" s="182" t="s">
        <v>143</v>
      </c>
      <c r="C73" s="183">
        <f>+F65</f>
        <v>232</v>
      </c>
      <c r="D73" s="183">
        <f>+D58</f>
        <v>660</v>
      </c>
      <c r="E73" s="188">
        <f>+C73/D73</f>
        <v>0.3515151515151515</v>
      </c>
      <c r="F73" s="128"/>
      <c r="G73" s="111"/>
      <c r="H73" s="130"/>
      <c r="I73" s="130"/>
      <c r="J73" s="104"/>
    </row>
    <row r="74" spans="2:10" ht="13.5" thickBot="1" x14ac:dyDescent="0.25">
      <c r="B74" s="182" t="s">
        <v>144</v>
      </c>
      <c r="C74" s="183">
        <f>+F56</f>
        <v>344.97571428571428</v>
      </c>
      <c r="D74" s="183">
        <f>+D73</f>
        <v>660</v>
      </c>
      <c r="E74" s="184">
        <f>+C74/D74</f>
        <v>0.52269047619047615</v>
      </c>
      <c r="F74" s="128"/>
      <c r="G74" s="111"/>
      <c r="H74" s="130"/>
      <c r="I74" s="130"/>
      <c r="J74" s="104"/>
    </row>
    <row r="75" spans="2:10" ht="13.5" thickBot="1" x14ac:dyDescent="0.25">
      <c r="B75" s="148"/>
      <c r="C75" s="149"/>
      <c r="D75" s="149"/>
      <c r="E75" s="188"/>
      <c r="F75" s="128"/>
      <c r="G75" s="111"/>
      <c r="H75" s="130"/>
      <c r="I75" s="130"/>
      <c r="J75" s="104"/>
    </row>
    <row r="76" spans="2:10" ht="13.5" thickBot="1" x14ac:dyDescent="0.25">
      <c r="B76" s="182" t="s">
        <v>145</v>
      </c>
      <c r="C76" s="183">
        <f>+F54</f>
        <v>111.14298204081632</v>
      </c>
      <c r="D76" s="183">
        <f>+D74</f>
        <v>660</v>
      </c>
      <c r="E76" s="184">
        <f>+C76/D76</f>
        <v>0.16839845763760047</v>
      </c>
      <c r="F76" s="128"/>
      <c r="G76" s="111"/>
      <c r="H76" s="130"/>
      <c r="I76" s="130"/>
      <c r="J76" s="130"/>
    </row>
    <row r="77" spans="2:10" ht="13.5" thickBot="1" x14ac:dyDescent="0.25">
      <c r="B77" s="148"/>
      <c r="C77" s="149"/>
      <c r="D77" s="149"/>
      <c r="E77" s="188"/>
      <c r="F77" s="128"/>
      <c r="G77" s="111"/>
      <c r="H77" s="130"/>
      <c r="I77" s="130"/>
    </row>
    <row r="78" spans="2:10" ht="13.5" thickBot="1" x14ac:dyDescent="0.25">
      <c r="B78" s="328" t="s">
        <v>146</v>
      </c>
      <c r="C78" s="329"/>
      <c r="D78" s="330"/>
      <c r="E78" s="184">
        <f>+E69+E74</f>
        <v>1.5872548917748919</v>
      </c>
      <c r="G78" s="128"/>
      <c r="H78" s="111"/>
      <c r="I78" s="130"/>
      <c r="J78" s="188"/>
    </row>
    <row r="79" spans="2:10" x14ac:dyDescent="0.2">
      <c r="I79" s="111"/>
      <c r="J79" s="104"/>
    </row>
    <row r="80" spans="2:10" ht="13.5" thickBot="1" x14ac:dyDescent="0.25">
      <c r="B80" s="331" t="s">
        <v>147</v>
      </c>
      <c r="C80" s="331"/>
      <c r="D80" s="331"/>
      <c r="E80" s="331"/>
      <c r="F80" s="331"/>
      <c r="G80" s="128"/>
      <c r="H80" s="111"/>
      <c r="J80" s="104"/>
    </row>
    <row r="81" spans="1:10" ht="13.5" thickBot="1" x14ac:dyDescent="0.25">
      <c r="B81" s="182" t="s">
        <v>141</v>
      </c>
      <c r="C81" s="183">
        <f>+C69</f>
        <v>702.61251428571427</v>
      </c>
      <c r="D81" s="183">
        <f>+D60</f>
        <v>1</v>
      </c>
      <c r="E81" s="184">
        <f>+C81/D81</f>
        <v>702.61251428571427</v>
      </c>
      <c r="F81" s="128"/>
      <c r="G81" s="111"/>
      <c r="H81" s="130"/>
      <c r="I81" s="111"/>
      <c r="J81" s="104"/>
    </row>
    <row r="82" spans="1:10" x14ac:dyDescent="0.2">
      <c r="B82" s="185"/>
      <c r="C82" s="186"/>
      <c r="D82" s="187"/>
      <c r="E82" s="171"/>
      <c r="F82" s="128"/>
      <c r="G82" s="111"/>
      <c r="H82" s="130"/>
      <c r="I82" s="130"/>
      <c r="J82" s="104"/>
    </row>
    <row r="83" spans="1:10" x14ac:dyDescent="0.2">
      <c r="B83" s="182" t="s">
        <v>142</v>
      </c>
      <c r="C83" s="183">
        <f>+C71</f>
        <v>827.80774661224496</v>
      </c>
      <c r="D83" s="183">
        <f>+D60</f>
        <v>1</v>
      </c>
      <c r="E83" s="188">
        <f>+C83/D83</f>
        <v>827.80774661224496</v>
      </c>
      <c r="F83" s="128"/>
      <c r="G83" s="111"/>
      <c r="H83" s="130"/>
      <c r="I83" s="130"/>
      <c r="J83" s="104"/>
    </row>
    <row r="84" spans="1:10" x14ac:dyDescent="0.2">
      <c r="B84" s="182"/>
      <c r="C84" s="183"/>
      <c r="D84" s="183"/>
      <c r="E84" s="188"/>
      <c r="F84" s="128"/>
      <c r="G84" s="111"/>
      <c r="H84" s="130"/>
      <c r="I84" s="130"/>
      <c r="J84" s="104"/>
    </row>
    <row r="85" spans="1:10" ht="13.5" thickBot="1" x14ac:dyDescent="0.25">
      <c r="B85" s="182" t="s">
        <v>144</v>
      </c>
      <c r="C85" s="183">
        <f>+C73</f>
        <v>232</v>
      </c>
      <c r="D85" s="183">
        <f>+D60</f>
        <v>1</v>
      </c>
      <c r="E85" s="188">
        <f>+C85/D85</f>
        <v>232</v>
      </c>
      <c r="F85" s="190"/>
      <c r="G85" s="181"/>
      <c r="H85" s="115"/>
      <c r="I85" s="130"/>
    </row>
    <row r="86" spans="1:10" ht="13.5" thickBot="1" x14ac:dyDescent="0.25">
      <c r="B86" s="182" t="s">
        <v>144</v>
      </c>
      <c r="C86" s="183">
        <f>+C74</f>
        <v>344.97571428571428</v>
      </c>
      <c r="D86" s="183">
        <f>+D85</f>
        <v>1</v>
      </c>
      <c r="E86" s="184">
        <f>+C86/D86</f>
        <v>344.97571428571428</v>
      </c>
      <c r="F86" s="189"/>
      <c r="G86" s="181"/>
      <c r="H86" s="115"/>
      <c r="I86" s="115"/>
    </row>
    <row r="87" spans="1:10" x14ac:dyDescent="0.2">
      <c r="I87" s="115"/>
    </row>
    <row r="88" spans="1:10" x14ac:dyDescent="0.2">
      <c r="A88" s="332"/>
      <c r="B88" s="332"/>
      <c r="C88" s="191"/>
      <c r="D88" s="191"/>
      <c r="E88" s="192"/>
      <c r="G88" s="193"/>
    </row>
    <row r="89" spans="1:10" x14ac:dyDescent="0.2">
      <c r="A89" s="102"/>
      <c r="B89" s="194"/>
      <c r="C89" s="195"/>
      <c r="D89" s="195"/>
      <c r="E89" s="196"/>
      <c r="G89" s="193"/>
    </row>
    <row r="90" spans="1:10" x14ac:dyDescent="0.2">
      <c r="A90" s="102"/>
      <c r="B90" s="194"/>
      <c r="C90" s="197"/>
      <c r="D90" s="197"/>
      <c r="E90" s="102"/>
      <c r="G90" s="193"/>
    </row>
    <row r="91" spans="1:10" x14ac:dyDescent="0.2">
      <c r="A91" s="102"/>
      <c r="B91" s="194"/>
      <c r="C91" s="198"/>
      <c r="D91" s="198"/>
      <c r="E91" s="102"/>
      <c r="G91" s="193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96A651B8-F42E-45DB-8E79-AE98ACC000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8969712-F077-425F-8F8C-FD112074962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1ED8AE8-856A-45A5-89D8-7418FFF98772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1</vt:i4>
      </vt:variant>
    </vt:vector>
  </HeadingPairs>
  <TitlesOfParts>
    <vt:vector size="16" baseType="lpstr">
      <vt:lpstr>Premezcla</vt:lpstr>
      <vt:lpstr>Premezcla 2</vt:lpstr>
      <vt:lpstr>Hoja1</vt:lpstr>
      <vt:lpstr>Costo Premezcla </vt:lpstr>
      <vt:lpstr>Costo Banano batido</vt:lpstr>
      <vt:lpstr>Batido</vt:lpstr>
      <vt:lpstr>Batido 2</vt:lpstr>
      <vt:lpstr>Costo Batido</vt:lpstr>
      <vt:lpstr>Rosquete</vt:lpstr>
      <vt:lpstr>Rosquete 2</vt:lpstr>
      <vt:lpstr>Costo Rosquete </vt:lpstr>
      <vt:lpstr>Empaque</vt:lpstr>
      <vt:lpstr>Empaque 2</vt:lpstr>
      <vt:lpstr>Empaque 3</vt:lpstr>
      <vt:lpstr>Costo empaque </vt:lpstr>
      <vt:lpstr>Premezcla!Área_de_impresión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rsolis</dc:creator>
  <cp:lastModifiedBy>Miguel Coto Consultor</cp:lastModifiedBy>
  <cp:lastPrinted>2025-04-02T13:29:45Z</cp:lastPrinted>
  <dcterms:created xsi:type="dcterms:W3CDTF">2009-03-11T22:07:15Z</dcterms:created>
  <dcterms:modified xsi:type="dcterms:W3CDTF">2025-04-02T13:29:47Z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0x0101005C97FB89D0086C4984F8F1A28A5D30F9</vt:lpwstr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
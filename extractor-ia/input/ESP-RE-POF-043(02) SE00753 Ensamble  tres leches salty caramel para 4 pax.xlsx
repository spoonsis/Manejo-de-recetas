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" documentId="8_{23CB958B-2CE5-429F-B19D-35916CA151BB}" xr6:coauthVersionLast="47" xr6:coauthVersionMax="47" xr10:uidLastSave="{3C80D238-5B4B-4511-B741-D7F6D654596A}"/>
  <bookViews>
    <workbookView xWindow="-120" yWindow="-120" windowWidth="20730" windowHeight="11040" xr2:uid="{B223B5A6-3073-441B-966C-D76CEA33E40A}"/>
  </bookViews>
  <sheets>
    <sheet name="Ensamble" sheetId="1" r:id="rId1"/>
  </sheets>
  <definedNames>
    <definedName name="_xlnm.Print_Area" localSheetId="0">Ensamble!$A$1:$I$38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7" i="1"/>
</calcChain>
</file>

<file path=xl/sharedStrings.xml><?xml version="1.0" encoding="utf-8"?>
<sst xmlns="http://schemas.openxmlformats.org/spreadsheetml/2006/main" count="87" uniqueCount="71">
  <si>
    <t xml:space="preserve">CONTROL DE CAMBIOS </t>
  </si>
  <si>
    <t>3.- Tapar y etiquetar.</t>
  </si>
  <si>
    <t>2.- Con boquilla redonda cubrir el rosquete con la crema dulce y luego hacer lineas con el manjar con agua.</t>
  </si>
  <si>
    <t>1.- Colocar en el molde plastico el rosquete y bañarlo con la mezcla de leches caramelo.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</si>
  <si>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</si>
  <si>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</si>
  <si>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</si>
  <si>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</si>
  <si>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</si>
  <si>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</si>
  <si>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</si>
  <si>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</si>
  <si>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</si>
  <si>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</si>
  <si>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</si>
  <si>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</si>
  <si>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</si>
  <si>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</si>
  <si>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</si>
  <si>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KFC individual Navidad Rompope</t>
  </si>
  <si>
    <t>EM10404</t>
  </si>
  <si>
    <t>Etiplast</t>
  </si>
  <si>
    <t>ETIQ.FECHA VENCIMIENTO BLANCO</t>
  </si>
  <si>
    <t>EM10004</t>
  </si>
  <si>
    <t>Cemusa</t>
  </si>
  <si>
    <t>ETIQ.BLANCA 1 1/4 * 3/4</t>
  </si>
  <si>
    <t>EM10002</t>
  </si>
  <si>
    <t xml:space="preserve">TAPA CONTENEDOR KFC </t>
  </si>
  <si>
    <t>EM10462</t>
  </si>
  <si>
    <t>CONTENEDOR KFC PEQUEÑO</t>
  </si>
  <si>
    <t>EM10457</t>
  </si>
  <si>
    <t>EMPAQUE</t>
  </si>
  <si>
    <t>BADIA</t>
  </si>
  <si>
    <t>Manjar con Agua</t>
  </si>
  <si>
    <t>SE00533</t>
  </si>
  <si>
    <t>25g c/u</t>
  </si>
  <si>
    <t>FAS</t>
  </si>
  <si>
    <t>Crema Dulce Leche</t>
  </si>
  <si>
    <t>SE00032</t>
  </si>
  <si>
    <t>MEZCLA TRES LECHES SALTY CARAMEL</t>
  </si>
  <si>
    <t>SE00751</t>
  </si>
  <si>
    <t>NUEVO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</si>
  <si>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</si>
  <si>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</si>
  <si>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</si>
  <si>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</si>
  <si>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</si>
  <si>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</si>
  <si>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</si>
  <si>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</si>
  <si>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</si>
  <si>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</si>
  <si>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</si>
  <si>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</si>
  <si>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</si>
  <si>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</si>
  <si>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Juan Pablo Brenes 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</si>
  <si>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</si>
  <si>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</si>
  <si>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</si>
  <si>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</si>
  <si>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</si>
  <si>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</si>
  <si>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ESP-RE-POF-043</t>
  </si>
  <si>
    <t>SE00302</t>
  </si>
  <si>
    <t>ROSQUETE TRES LECHES SOUFLE (43G) KFC</t>
  </si>
  <si>
    <t>34 GRAMOS C/U</t>
  </si>
  <si>
    <t>100g</t>
  </si>
  <si>
    <t xml:space="preserve">5g </t>
  </si>
  <si>
    <t xml:space="preserve">Revision #2: Aumento en los pesos de la leche, cambio en el rosquete de mas peso. </t>
  </si>
  <si>
    <t>SE00753 Ensamble  tres leches salty caramel para 4 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</si>
</sst>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Century Gothic"/>
      <family val="2"/>
    </font>
    <font>
      <sz val="16"/>
      <color rgb="FF000000"/>
      <name val="Arial"/>
      <family val="2"/>
    </font>
    <font>
      <b/>
      <sz val="2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FF"/>
        <bgColor rgb="FF000000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4" fillId="0" borderId="0"/>
  </cellStyleXfs>
  <cellXfs count="158">
    <xf numFmtId="0" fontId="0" fillId="0" borderId="0" xfId="0"/>
    <xf numFmtId="0" fontId="2" fillId="0" borderId="0" xfId="1"/>
    <xf numFmtId="0" fontId="1" fillId="3" borderId="0" xfId="1" applyFont="1" applyFill="1"/>
    <xf numFmtId="0" fontId="1" fillId="3" borderId="0" xfId="1" applyFont="1" applyFill="1" applyAlignment="1">
      <alignment horizontal="left" indent="1"/>
    </xf>
    <xf numFmtId="9" fontId="1" fillId="3" borderId="0" xfId="2" applyFont="1" applyFill="1"/>
    <xf numFmtId="0" fontId="1" fillId="3" borderId="0" xfId="0" applyFont="1" applyFill="1"/>
    <xf numFmtId="0" fontId="1" fillId="3" borderId="0" xfId="0" applyFont="1" applyFill="1" applyAlignment="1">
      <alignment horizontal="left" indent="1"/>
    </xf>
    <xf numFmtId="0" fontId="2" fillId="0" borderId="0" xfId="3"/>
    <xf numFmtId="0" fontId="3" fillId="4" borderId="31" xfId="0" applyFont="1" applyFill="1" applyBorder="1" applyAlignment="1">
      <alignment horizontal="center" vertical="center"/>
    </xf>
    <xf numFmtId="1" fontId="3" fillId="4" borderId="32" xfId="0" applyNumberFormat="1" applyFont="1" applyFill="1" applyBorder="1" applyAlignment="1">
      <alignment horizontal="center" vertical="center" wrapText="1"/>
    </xf>
    <xf numFmtId="1" fontId="3" fillId="4" borderId="32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right"/>
    </xf>
    <xf numFmtId="0" fontId="6" fillId="0" borderId="13" xfId="0" applyFont="1" applyBorder="1" applyAlignment="1">
      <alignment horizontal="right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right"/>
    </xf>
    <xf numFmtId="0" fontId="8" fillId="0" borderId="13" xfId="0" applyFont="1" applyBorder="1"/>
    <xf numFmtId="16" fontId="9" fillId="0" borderId="13" xfId="3" applyNumberFormat="1" applyFont="1" applyBorder="1" applyAlignment="1">
      <alignment horizontal="center"/>
    </xf>
    <xf numFmtId="1" fontId="9" fillId="0" borderId="13" xfId="3" applyNumberFormat="1" applyFont="1" applyBorder="1" applyAlignment="1">
      <alignment horizontal="center"/>
    </xf>
    <xf numFmtId="1" fontId="9" fillId="0" borderId="13" xfId="3" applyNumberFormat="1" applyFont="1" applyBorder="1" applyAlignment="1">
      <alignment horizontal="center" wrapText="1"/>
    </xf>
    <xf numFmtId="1" fontId="9" fillId="0" borderId="9" xfId="3" applyNumberFormat="1" applyFont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8" fillId="6" borderId="13" xfId="0" applyFont="1" applyFill="1" applyBorder="1"/>
    <xf numFmtId="0" fontId="9" fillId="0" borderId="13" xfId="3" applyFont="1" applyBorder="1" applyAlignment="1">
      <alignment horizontal="center"/>
    </xf>
    <xf numFmtId="0" fontId="9" fillId="0" borderId="12" xfId="3" applyFont="1" applyBorder="1" applyAlignment="1">
      <alignment horizontal="center" wrapText="1"/>
    </xf>
    <xf numFmtId="0" fontId="9" fillId="0" borderId="12" xfId="3" applyFont="1" applyBorder="1" applyAlignment="1">
      <alignment horizontal="center"/>
    </xf>
    <xf numFmtId="0" fontId="9" fillId="0" borderId="9" xfId="3" applyFont="1" applyBorder="1" applyAlignment="1">
      <alignment horizontal="center"/>
    </xf>
    <xf numFmtId="16" fontId="9" fillId="0" borderId="33" xfId="3" applyNumberFormat="1" applyFont="1" applyBorder="1" applyAlignment="1">
      <alignment horizontal="center"/>
    </xf>
    <xf numFmtId="1" fontId="9" fillId="0" borderId="9" xfId="3" applyNumberFormat="1" applyFont="1" applyBorder="1" applyAlignment="1">
      <alignment horizontal="center" wrapText="1"/>
    </xf>
    <xf numFmtId="0" fontId="8" fillId="0" borderId="13" xfId="3" applyFont="1" applyBorder="1" applyAlignment="1">
      <alignment horizontal="center"/>
    </xf>
    <xf numFmtId="1" fontId="9" fillId="0" borderId="32" xfId="3" applyNumberFormat="1" applyFont="1" applyBorder="1" applyAlignment="1">
      <alignment horizontal="center"/>
    </xf>
    <xf numFmtId="0" fontId="9" fillId="0" borderId="31" xfId="3" applyFont="1" applyBorder="1" applyAlignment="1">
      <alignment horizontal="center"/>
    </xf>
    <xf numFmtId="0" fontId="8" fillId="0" borderId="13" xfId="3" applyFont="1" applyBorder="1"/>
    <xf numFmtId="1" fontId="9" fillId="0" borderId="32" xfId="3" applyNumberFormat="1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8" fillId="5" borderId="13" xfId="0" applyFont="1" applyFill="1" applyBorder="1"/>
    <xf numFmtId="0" fontId="9" fillId="5" borderId="14" xfId="0" applyFont="1" applyFill="1" applyBorder="1" applyAlignment="1">
      <alignment horizontal="center"/>
    </xf>
    <xf numFmtId="1" fontId="9" fillId="5" borderId="13" xfId="3" applyNumberFormat="1" applyFont="1" applyFill="1" applyBorder="1" applyAlignment="1">
      <alignment horizontal="center"/>
    </xf>
    <xf numFmtId="1" fontId="9" fillId="5" borderId="13" xfId="3" applyNumberFormat="1" applyFont="1" applyFill="1" applyBorder="1" applyAlignment="1">
      <alignment horizontal="center" wrapText="1"/>
    </xf>
    <xf numFmtId="0" fontId="9" fillId="5" borderId="12" xfId="0" applyFont="1" applyFill="1" applyBorder="1" applyAlignment="1">
      <alignment horizontal="center"/>
    </xf>
    <xf numFmtId="49" fontId="11" fillId="3" borderId="30" xfId="0" applyNumberFormat="1" applyFont="1" applyFill="1" applyBorder="1" applyAlignment="1">
      <alignment horizontal="left" vertical="center"/>
    </xf>
    <xf numFmtId="49" fontId="11" fillId="3" borderId="29" xfId="0" applyNumberFormat="1" applyFont="1" applyFill="1" applyBorder="1" applyAlignment="1">
      <alignment horizontal="left" vertical="center"/>
    </xf>
    <xf numFmtId="0" fontId="9" fillId="3" borderId="29" xfId="0" applyFont="1" applyFill="1" applyBorder="1"/>
    <xf numFmtId="1" fontId="9" fillId="3" borderId="29" xfId="0" applyNumberFormat="1" applyFont="1" applyFill="1" applyBorder="1" applyAlignment="1">
      <alignment horizontal="center"/>
    </xf>
    <xf numFmtId="164" fontId="9" fillId="3" borderId="29" xfId="0" applyNumberFormat="1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0" xfId="0" applyFont="1" applyFill="1"/>
    <xf numFmtId="0" fontId="10" fillId="4" borderId="0" xfId="0" applyFont="1" applyFill="1" applyAlignment="1">
      <alignment horizontal="center"/>
    </xf>
    <xf numFmtId="1" fontId="10" fillId="4" borderId="0" xfId="0" applyNumberFormat="1" applyFont="1" applyFill="1" applyAlignment="1">
      <alignment horizontal="center"/>
    </xf>
    <xf numFmtId="164" fontId="9" fillId="4" borderId="0" xfId="0" applyNumberFormat="1" applyFont="1" applyFill="1" applyAlignment="1">
      <alignment horizontal="center" wrapText="1"/>
    </xf>
    <xf numFmtId="0" fontId="9" fillId="4" borderId="20" xfId="0" applyFont="1" applyFill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9" fillId="0" borderId="13" xfId="0" applyNumberFormat="1" applyFont="1" applyBorder="1" applyAlignment="1">
      <alignment horizontal="center"/>
    </xf>
    <xf numFmtId="1" fontId="8" fillId="0" borderId="13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49" fontId="9" fillId="0" borderId="13" xfId="3" applyNumberFormat="1" applyFont="1" applyBorder="1" applyAlignment="1">
      <alignment horizontal="center"/>
    </xf>
    <xf numFmtId="49" fontId="9" fillId="0" borderId="13" xfId="3" applyNumberFormat="1" applyFont="1" applyBorder="1"/>
    <xf numFmtId="49" fontId="10" fillId="0" borderId="13" xfId="3" applyNumberFormat="1" applyFont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14" fontId="12" fillId="3" borderId="37" xfId="4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left"/>
    </xf>
    <xf numFmtId="0" fontId="9" fillId="8" borderId="9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1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2" borderId="7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2" fillId="3" borderId="29" xfId="4" applyFont="1" applyFill="1" applyBorder="1" applyAlignment="1">
      <alignment horizontal="center" vertical="center"/>
    </xf>
    <xf numFmtId="12" fontId="9" fillId="5" borderId="13" xfId="3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right"/>
    </xf>
    <xf numFmtId="0" fontId="10" fillId="0" borderId="27" xfId="0" applyFont="1" applyBorder="1" applyAlignment="1">
      <alignment horizontal="right"/>
    </xf>
    <xf numFmtId="0" fontId="10" fillId="0" borderId="18" xfId="0" applyFont="1" applyBorder="1" applyAlignment="1">
      <alignment horizontal="right"/>
    </xf>
    <xf numFmtId="164" fontId="9" fillId="0" borderId="17" xfId="0" applyNumberFormat="1" applyFont="1" applyBorder="1" applyAlignment="1">
      <alignment horizontal="right"/>
    </xf>
    <xf numFmtId="0" fontId="9" fillId="3" borderId="26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10" fillId="0" borderId="7" xfId="0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9" fillId="0" borderId="13" xfId="0" applyFont="1" applyBorder="1" applyAlignment="1">
      <alignment horizontal="right"/>
    </xf>
    <xf numFmtId="164" fontId="9" fillId="0" borderId="24" xfId="0" applyNumberFormat="1" applyFont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 wrapText="1"/>
    </xf>
    <xf numFmtId="0" fontId="9" fillId="0" borderId="14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14" fontId="1" fillId="3" borderId="31" xfId="4" applyNumberFormat="1" applyFont="1" applyFill="1" applyBorder="1" applyAlignment="1">
      <alignment horizontal="center" vertical="center" wrapText="1"/>
    </xf>
    <xf numFmtId="14" fontId="1" fillId="3" borderId="40" xfId="4" applyNumberFormat="1" applyFont="1" applyFill="1" applyBorder="1" applyAlignment="1">
      <alignment horizontal="center" vertical="center" wrapText="1"/>
    </xf>
    <xf numFmtId="14" fontId="1" fillId="3" borderId="38" xfId="4" applyNumberFormat="1" applyFont="1" applyFill="1" applyBorder="1" applyAlignment="1">
      <alignment horizontal="center" vertical="center" wrapText="1"/>
    </xf>
    <xf numFmtId="0" fontId="1" fillId="3" borderId="13" xfId="4" applyFont="1" applyFill="1" applyBorder="1" applyAlignment="1">
      <alignment horizontal="left"/>
    </xf>
    <xf numFmtId="0" fontId="1" fillId="3" borderId="2" xfId="4" applyFont="1" applyFill="1" applyBorder="1" applyAlignment="1">
      <alignment horizontal="left"/>
    </xf>
    <xf numFmtId="0" fontId="3" fillId="4" borderId="11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1" fillId="3" borderId="43" xfId="4" applyFont="1" applyFill="1" applyBorder="1" applyAlignment="1">
      <alignment horizontal="center"/>
    </xf>
    <xf numFmtId="0" fontId="1" fillId="3" borderId="42" xfId="4" applyFont="1" applyFill="1" applyBorder="1" applyAlignment="1">
      <alignment horizontal="center"/>
    </xf>
    <xf numFmtId="0" fontId="1" fillId="3" borderId="21" xfId="4" applyFont="1" applyFill="1" applyBorder="1" applyAlignment="1">
      <alignment horizontal="center"/>
    </xf>
    <xf numFmtId="0" fontId="1" fillId="3" borderId="0" xfId="4" applyFont="1" applyFill="1" applyAlignment="1">
      <alignment horizontal="center"/>
    </xf>
    <xf numFmtId="0" fontId="1" fillId="3" borderId="30" xfId="4" applyFont="1" applyFill="1" applyBorder="1" applyAlignment="1">
      <alignment horizontal="center"/>
    </xf>
    <xf numFmtId="0" fontId="1" fillId="3" borderId="29" xfId="4" applyFont="1" applyFill="1" applyBorder="1" applyAlignment="1">
      <alignment horizontal="center"/>
    </xf>
    <xf numFmtId="0" fontId="5" fillId="3" borderId="29" xfId="4" applyFont="1" applyFill="1" applyBorder="1" applyAlignment="1">
      <alignment vertical="center"/>
    </xf>
    <xf numFmtId="0" fontId="7" fillId="3" borderId="17" xfId="4" applyFont="1" applyFill="1" applyBorder="1" applyAlignment="1">
      <alignment horizontal="center"/>
    </xf>
    <xf numFmtId="0" fontId="7" fillId="3" borderId="32" xfId="4" applyFont="1" applyFill="1" applyBorder="1" applyAlignment="1">
      <alignment horizontal="center"/>
    </xf>
    <xf numFmtId="0" fontId="3" fillId="3" borderId="33" xfId="4" applyFont="1" applyFill="1" applyBorder="1" applyAlignment="1">
      <alignment horizontal="right" vertical="top" wrapText="1"/>
    </xf>
    <xf numFmtId="0" fontId="3" fillId="3" borderId="41" xfId="4" applyFont="1" applyFill="1" applyBorder="1" applyAlignment="1">
      <alignment horizontal="right" vertical="top" wrapText="1"/>
    </xf>
    <xf numFmtId="0" fontId="3" fillId="3" borderId="39" xfId="4" applyFont="1" applyFill="1" applyBorder="1" applyAlignment="1">
      <alignment horizontal="right" vertical="top" wrapText="1"/>
    </xf>
    <xf numFmtId="0" fontId="5" fillId="3" borderId="30" xfId="4" applyFont="1" applyFill="1" applyBorder="1" applyAlignment="1">
      <alignment horizontal="right" vertical="center"/>
    </xf>
    <xf numFmtId="0" fontId="5" fillId="3" borderId="29" xfId="4" applyFont="1" applyFill="1" applyBorder="1" applyAlignment="1">
      <alignment horizontal="right" vertical="center"/>
    </xf>
    <xf numFmtId="0" fontId="9" fillId="0" borderId="4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10" fillId="4" borderId="21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20" xfId="0" applyFont="1" applyFill="1" applyBorder="1" applyAlignment="1">
      <alignment horizontal="center"/>
    </xf>
    <xf numFmtId="0" fontId="9" fillId="0" borderId="19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164" fontId="9" fillId="0" borderId="23" xfId="0" applyNumberFormat="1" applyFont="1" applyBorder="1" applyAlignment="1">
      <alignment horizontal="center"/>
    </xf>
    <xf numFmtId="164" fontId="9" fillId="0" borderId="22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9" fillId="0" borderId="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164" fontId="9" fillId="0" borderId="13" xfId="0" applyNumberFormat="1" applyFont="1" applyBorder="1" applyAlignment="1">
      <alignment horizontal="right" wrapText="1"/>
    </xf>
    <xf numFmtId="0" fontId="10" fillId="0" borderId="4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14" fillId="7" borderId="28" xfId="4" applyFont="1" applyFill="1" applyBorder="1" applyAlignment="1">
      <alignment horizontal="center" vertical="center" wrapText="1"/>
    </xf>
    <xf numFmtId="0" fontId="14" fillId="7" borderId="27" xfId="4" applyFont="1" applyFill="1" applyBorder="1" applyAlignment="1">
      <alignment horizontal="center" vertical="center" wrapText="1"/>
    </xf>
    <xf numFmtId="0" fontId="14" fillId="7" borderId="25" xfId="4" applyFont="1" applyFill="1" applyBorder="1" applyAlignment="1">
      <alignment horizontal="center" vertical="center" wrapText="1"/>
    </xf>
  </cellXfs>
  <cellStyles count="5">
    <cellStyle name="Normal" xfId="0" builtinId="0"/>
    <cellStyle name="Normal 2" xfId="3" xr:uid="{426DC05F-49A0-4271-A046-0975EEF432D8}"/>
    <cellStyle name="Normal 3" xfId="1" xr:uid="{B083B442-F7E5-40AE-8240-732469EE6F51}"/>
    <cellStyle name="Normal_CRITERIOS DE EVALUACION PT DE GB 2" xfId="4" xr:uid="{25BAF434-699C-452F-BD4B-D6B483908D96}"/>
    <cellStyle name="Porcentaje 2" xfId="2" xr:uid="{C2A557D7-5D0C-4710-8C81-FC9D649BE5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54428</xdr:colOff>
      <xdr:row>0</xdr:row>
      <xdr:rowOff>176893</xdr:rowOff>
    </xdr:from>
    <xdr:to>
      <xdr:col>1</xdr:col>
      <xdr:colOff>1196056</xdr:colOff>
      <xdr:row>3</xdr:row>
      <xdr:rowOff>190499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2882B0D8-56A8-4014-A647-E677D8B3E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" y="176893"/>
          <a:ext cx="1958057" cy="107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637E-0FC2-45C0-BEB0-596CA27F17CF}">
  <sheetPr>
    <pageSetUpPr fitToPage="1"/>
  </sheetPr>
  <dimension ref="A1:M44"/>
  <sheetViews>
    <sheetView tabSelected="1" zoomScale="70" zoomScaleNormal="70" workbookViewId="0">
      <selection activeCell="C1" sqref="C1:G1"/>
    </sheetView>
  </sheetViews>
  <sheetFormatPr baseColWidth="10" defaultColWidth="11.42578125" defaultRowHeight="15" x14ac:dyDescent="0.25"/>
  <cols>
    <col min="1" max="1" width="12.140625" customWidth="1"/>
    <col min="2" max="2" width="18.5703125" bestFit="1" customWidth="1"/>
    <col min="3" max="3" width="82.140625" customWidth="1"/>
    <col min="4" max="4" width="13.85546875" customWidth="1"/>
    <col min="7" max="7" width="22.28515625" customWidth="1"/>
    <col min="8" max="8" width="18.85546875" customWidth="1"/>
    <col min="9" max="9" width="19.7109375" customWidth="1"/>
  </cols>
  <sheetData>
    <row r="1" spans="1:11" ht="21" customHeight="1" x14ac:dyDescent="0.3">
      <c r="A1" s="116"/>
      <c r="B1" s="117"/>
      <c r="C1" s="123" t="s">
        <v>62</v>
      </c>
      <c r="D1" s="123"/>
      <c r="E1" s="123"/>
      <c r="F1" s="123"/>
      <c r="G1" s="123"/>
      <c r="H1" s="15" t="s">
        <v>61</v>
      </c>
      <c r="I1" s="14" t="s">
        <v>63</v>
      </c>
    </row>
    <row r="2" spans="1:11" ht="24" customHeight="1" thickBot="1" x14ac:dyDescent="0.35">
      <c r="A2" s="118"/>
      <c r="B2" s="119"/>
      <c r="C2" s="124" t="s">
        <v>60</v>
      </c>
      <c r="D2" s="124"/>
      <c r="E2" s="124"/>
      <c r="F2" s="124"/>
      <c r="G2" s="124"/>
      <c r="H2" s="13" t="s">
        <v>59</v>
      </c>
      <c r="I2" s="18">
        <v>2</v>
      </c>
    </row>
    <row r="3" spans="1:11" ht="39" customHeight="1" x14ac:dyDescent="0.25">
      <c r="A3" s="118"/>
      <c r="B3" s="119"/>
      <c r="C3" s="155" t="s">
        <v>70</v>
      </c>
      <c r="D3" s="156"/>
      <c r="E3" s="156"/>
      <c r="F3" s="156"/>
      <c r="G3" s="157"/>
      <c r="H3" s="125" t="s">
        <v>58</v>
      </c>
      <c r="I3" s="105">
        <v>45918</v>
      </c>
    </row>
    <row r="4" spans="1:11" ht="16.5" x14ac:dyDescent="0.3">
      <c r="A4" s="118"/>
      <c r="B4" s="119"/>
      <c r="C4" s="13" t="s">
        <v>57</v>
      </c>
      <c r="D4" s="108" t="s">
        <v>56</v>
      </c>
      <c r="E4" s="108"/>
      <c r="F4" s="108"/>
      <c r="G4" s="108"/>
      <c r="H4" s="126"/>
      <c r="I4" s="106"/>
    </row>
    <row r="5" spans="1:11" ht="17.25" thickBot="1" x14ac:dyDescent="0.35">
      <c r="A5" s="120"/>
      <c r="B5" s="121"/>
      <c r="C5" s="12" t="s">
        <v>55</v>
      </c>
      <c r="D5" s="109" t="s">
        <v>54</v>
      </c>
      <c r="E5" s="109"/>
      <c r="F5" s="109"/>
      <c r="G5" s="109"/>
      <c r="H5" s="127"/>
      <c r="I5" s="107"/>
    </row>
    <row r="6" spans="1:11" ht="27.75" customHeight="1" thickBot="1" x14ac:dyDescent="0.3">
      <c r="A6" s="128" t="s">
        <v>53</v>
      </c>
      <c r="B6" s="129"/>
      <c r="C6" s="129"/>
      <c r="D6" s="87" t="s">
        <v>51</v>
      </c>
      <c r="E6" s="87"/>
      <c r="F6" s="87"/>
      <c r="G6" s="122" t="s">
        <v>52</v>
      </c>
      <c r="H6" s="122"/>
      <c r="I6" s="64" t="s">
        <v>51</v>
      </c>
    </row>
    <row r="7" spans="1:11" ht="29.25" customHeight="1" x14ac:dyDescent="0.25">
      <c r="A7" s="110" t="s">
        <v>50</v>
      </c>
      <c r="B7" s="114" t="s">
        <v>49</v>
      </c>
      <c r="C7" s="112" t="s">
        <v>48</v>
      </c>
      <c r="D7" s="112" t="s">
        <v>47</v>
      </c>
      <c r="E7" s="112" t="s">
        <v>46</v>
      </c>
      <c r="F7" s="112"/>
      <c r="G7" s="112" t="s">
        <v>45</v>
      </c>
      <c r="H7" s="112"/>
      <c r="I7" s="11" t="s">
        <v>44</v>
      </c>
    </row>
    <row r="8" spans="1:11" ht="26.25" thickBot="1" x14ac:dyDescent="0.3">
      <c r="A8" s="111"/>
      <c r="B8" s="115"/>
      <c r="C8" s="113"/>
      <c r="D8" s="113"/>
      <c r="E8" s="10" t="s">
        <v>18</v>
      </c>
      <c r="F8" s="9" t="s">
        <v>43</v>
      </c>
      <c r="G8" s="10" t="s">
        <v>18</v>
      </c>
      <c r="H8" s="9" t="s">
        <v>43</v>
      </c>
      <c r="I8" s="8" t="s">
        <v>42</v>
      </c>
    </row>
    <row r="9" spans="1:11" ht="20.25" x14ac:dyDescent="0.3">
      <c r="A9" s="65">
        <v>907000073</v>
      </c>
      <c r="B9" s="65" t="s">
        <v>64</v>
      </c>
      <c r="C9" s="66" t="s">
        <v>65</v>
      </c>
      <c r="D9" s="67" t="s">
        <v>36</v>
      </c>
      <c r="E9" s="67">
        <v>8</v>
      </c>
      <c r="F9" s="68" t="s">
        <v>10</v>
      </c>
      <c r="G9" s="69"/>
      <c r="H9" s="70" t="s">
        <v>66</v>
      </c>
      <c r="I9" s="71"/>
    </row>
    <row r="10" spans="1:11" ht="20.25" x14ac:dyDescent="0.3">
      <c r="A10" s="21" t="s">
        <v>41</v>
      </c>
      <c r="B10" s="21" t="s">
        <v>40</v>
      </c>
      <c r="C10" s="22" t="s">
        <v>39</v>
      </c>
      <c r="D10" s="17" t="s">
        <v>36</v>
      </c>
      <c r="E10" s="18">
        <v>800</v>
      </c>
      <c r="F10" s="19" t="s">
        <v>5</v>
      </c>
      <c r="G10" s="18"/>
      <c r="H10" s="23"/>
      <c r="I10" s="24" t="s">
        <v>67</v>
      </c>
    </row>
    <row r="11" spans="1:11" ht="20.25" x14ac:dyDescent="0.3">
      <c r="A11" s="60"/>
      <c r="B11" s="34" t="s">
        <v>38</v>
      </c>
      <c r="C11" s="16" t="s">
        <v>37</v>
      </c>
      <c r="D11" s="17" t="s">
        <v>36</v>
      </c>
      <c r="E11" s="18">
        <v>200</v>
      </c>
      <c r="F11" s="19" t="s">
        <v>5</v>
      </c>
      <c r="G11" s="18"/>
      <c r="H11" s="23"/>
      <c r="I11" s="25" t="s">
        <v>35</v>
      </c>
    </row>
    <row r="12" spans="1:11" ht="20.25" x14ac:dyDescent="0.3">
      <c r="A12" s="34"/>
      <c r="B12" s="34" t="s">
        <v>34</v>
      </c>
      <c r="C12" s="16" t="s">
        <v>33</v>
      </c>
      <c r="D12" s="17" t="s">
        <v>32</v>
      </c>
      <c r="E12" s="18">
        <v>40</v>
      </c>
      <c r="F12" s="19" t="s">
        <v>5</v>
      </c>
      <c r="G12" s="20"/>
      <c r="H12" s="26"/>
      <c r="I12" s="25" t="s">
        <v>68</v>
      </c>
    </row>
    <row r="13" spans="1:11" ht="20.25" x14ac:dyDescent="0.3">
      <c r="A13" s="60"/>
      <c r="B13" s="60"/>
      <c r="C13" s="61"/>
      <c r="D13" s="27"/>
      <c r="E13" s="20"/>
      <c r="F13" s="28"/>
      <c r="G13" s="20"/>
      <c r="H13" s="26"/>
      <c r="I13" s="25"/>
    </row>
    <row r="14" spans="1:11" ht="20.25" x14ac:dyDescent="0.3">
      <c r="A14" s="29"/>
      <c r="B14" s="29"/>
      <c r="C14" s="62" t="s">
        <v>31</v>
      </c>
      <c r="D14" s="17"/>
      <c r="E14" s="18"/>
      <c r="F14" s="28"/>
      <c r="G14" s="18"/>
      <c r="H14" s="18"/>
      <c r="I14" s="25"/>
      <c r="K14">
        <v>272</v>
      </c>
    </row>
    <row r="15" spans="1:11" ht="20.25" x14ac:dyDescent="0.3">
      <c r="A15" s="34"/>
      <c r="B15" s="21" t="s">
        <v>30</v>
      </c>
      <c r="C15" s="22" t="s">
        <v>29</v>
      </c>
      <c r="D15" s="17"/>
      <c r="E15" s="18">
        <v>8</v>
      </c>
      <c r="F15" s="28" t="s">
        <v>10</v>
      </c>
      <c r="G15" s="30"/>
      <c r="H15" s="30"/>
      <c r="I15" s="31"/>
    </row>
    <row r="16" spans="1:11" ht="20.25" x14ac:dyDescent="0.3">
      <c r="A16" s="34"/>
      <c r="B16" s="21" t="s">
        <v>28</v>
      </c>
      <c r="C16" s="22" t="s">
        <v>27</v>
      </c>
      <c r="D16" s="17"/>
      <c r="E16" s="18"/>
      <c r="F16" s="28"/>
      <c r="G16" s="30"/>
      <c r="H16" s="30"/>
      <c r="I16" s="31"/>
    </row>
    <row r="17" spans="1:13" ht="20.25" x14ac:dyDescent="0.3">
      <c r="A17" s="29">
        <v>702069</v>
      </c>
      <c r="B17" s="29" t="s">
        <v>26</v>
      </c>
      <c r="C17" s="32" t="s">
        <v>25</v>
      </c>
      <c r="D17" s="23" t="s">
        <v>24</v>
      </c>
      <c r="E17" s="18">
        <v>8</v>
      </c>
      <c r="F17" s="19" t="s">
        <v>10</v>
      </c>
      <c r="G17" s="33"/>
      <c r="H17" s="33"/>
      <c r="I17" s="31"/>
    </row>
    <row r="18" spans="1:13" ht="20.25" x14ac:dyDescent="0.3">
      <c r="A18" s="29">
        <v>702007</v>
      </c>
      <c r="B18" s="34" t="s">
        <v>23</v>
      </c>
      <c r="C18" s="32" t="s">
        <v>22</v>
      </c>
      <c r="D18" s="23" t="s">
        <v>21</v>
      </c>
      <c r="E18" s="18">
        <v>8</v>
      </c>
      <c r="F18" s="19" t="s">
        <v>10</v>
      </c>
      <c r="G18" s="19"/>
      <c r="H18" s="19"/>
      <c r="I18" s="25"/>
    </row>
    <row r="19" spans="1:13" ht="20.25" x14ac:dyDescent="0.3">
      <c r="A19" s="63"/>
      <c r="B19" s="63" t="s">
        <v>20</v>
      </c>
      <c r="C19" s="35" t="s">
        <v>19</v>
      </c>
      <c r="D19" s="36"/>
      <c r="E19" s="37">
        <v>8</v>
      </c>
      <c r="F19" s="38" t="s">
        <v>10</v>
      </c>
      <c r="G19" s="88"/>
      <c r="H19" s="88"/>
      <c r="I19" s="39"/>
    </row>
    <row r="20" spans="1:13" ht="20.25" x14ac:dyDescent="0.3">
      <c r="A20" s="63"/>
      <c r="B20" s="63"/>
      <c r="C20" s="35"/>
      <c r="D20" s="36"/>
      <c r="E20" s="37"/>
      <c r="F20" s="38"/>
      <c r="G20" s="88"/>
      <c r="H20" s="88"/>
      <c r="I20" s="39"/>
      <c r="L20" s="7"/>
    </row>
    <row r="21" spans="1:13" ht="21" thickBot="1" x14ac:dyDescent="0.35">
      <c r="A21" s="40"/>
      <c r="B21" s="41"/>
      <c r="C21" s="42"/>
      <c r="D21" s="42"/>
      <c r="E21" s="43"/>
      <c r="F21" s="44"/>
      <c r="G21" s="42"/>
      <c r="H21" s="42"/>
      <c r="I21" s="45"/>
      <c r="L21" s="6"/>
    </row>
    <row r="22" spans="1:13" ht="21" thickBot="1" x14ac:dyDescent="0.35">
      <c r="A22" s="46"/>
      <c r="B22" s="47"/>
      <c r="C22" s="48"/>
      <c r="D22" s="49" t="s">
        <v>18</v>
      </c>
      <c r="E22" s="50" t="s">
        <v>17</v>
      </c>
      <c r="F22" s="51"/>
      <c r="G22" s="48"/>
      <c r="H22" s="48"/>
      <c r="I22" s="52"/>
      <c r="L22" s="6"/>
    </row>
    <row r="23" spans="1:13" ht="20.25" x14ac:dyDescent="0.3">
      <c r="A23" s="89" t="s">
        <v>16</v>
      </c>
      <c r="B23" s="90"/>
      <c r="C23" s="91"/>
      <c r="D23" s="53">
        <v>1040</v>
      </c>
      <c r="E23" s="54" t="s">
        <v>5</v>
      </c>
      <c r="F23" s="92" t="s">
        <v>15</v>
      </c>
      <c r="G23" s="92"/>
      <c r="H23" s="93"/>
      <c r="I23" s="94"/>
      <c r="L23" s="6"/>
    </row>
    <row r="24" spans="1:13" ht="20.25" x14ac:dyDescent="0.3">
      <c r="A24" s="95" t="s">
        <v>14</v>
      </c>
      <c r="B24" s="96"/>
      <c r="C24" s="97"/>
      <c r="D24" s="55">
        <v>8</v>
      </c>
      <c r="E24" s="55" t="s">
        <v>13</v>
      </c>
      <c r="F24" s="98" t="s">
        <v>12</v>
      </c>
      <c r="G24" s="98"/>
      <c r="H24" s="99"/>
      <c r="I24" s="100"/>
      <c r="L24" s="6"/>
    </row>
    <row r="25" spans="1:13" ht="20.25" x14ac:dyDescent="0.3">
      <c r="A25" s="95" t="s">
        <v>11</v>
      </c>
      <c r="B25" s="96"/>
      <c r="C25" s="97"/>
      <c r="D25" s="56">
        <f>D23/D26</f>
        <v>6.3414634146341466</v>
      </c>
      <c r="E25" s="55" t="s">
        <v>10</v>
      </c>
      <c r="F25" s="98" t="s">
        <v>9</v>
      </c>
      <c r="G25" s="98"/>
      <c r="H25" s="99"/>
      <c r="I25" s="100"/>
      <c r="L25" s="6"/>
    </row>
    <row r="26" spans="1:13" ht="20.25" x14ac:dyDescent="0.3">
      <c r="A26" s="95" t="s">
        <v>8</v>
      </c>
      <c r="B26" s="96"/>
      <c r="C26" s="97"/>
      <c r="D26" s="57">
        <v>164</v>
      </c>
      <c r="E26" s="34" t="s">
        <v>5</v>
      </c>
      <c r="F26" s="150" t="s">
        <v>7</v>
      </c>
      <c r="G26" s="150"/>
      <c r="H26" s="99"/>
      <c r="I26" s="100"/>
      <c r="L26" s="6"/>
    </row>
    <row r="27" spans="1:13" ht="21" thickBot="1" x14ac:dyDescent="0.35">
      <c r="A27" s="151" t="s">
        <v>6</v>
      </c>
      <c r="B27" s="152"/>
      <c r="C27" s="153"/>
      <c r="D27" s="58">
        <f>SUM(E9:E12)-D23</f>
        <v>8</v>
      </c>
      <c r="E27" s="59" t="s">
        <v>5</v>
      </c>
      <c r="F27" s="154"/>
      <c r="G27" s="154"/>
      <c r="H27" s="141"/>
      <c r="I27" s="142"/>
      <c r="J27" s="5"/>
      <c r="K27" s="5"/>
      <c r="M27" s="5"/>
    </row>
    <row r="28" spans="1:13" ht="21" thickBot="1" x14ac:dyDescent="0.35">
      <c r="A28" s="134" t="s">
        <v>4</v>
      </c>
      <c r="B28" s="135"/>
      <c r="C28" s="135"/>
      <c r="D28" s="135"/>
      <c r="E28" s="135"/>
      <c r="F28" s="135"/>
      <c r="G28" s="135"/>
      <c r="H28" s="135"/>
      <c r="I28" s="136"/>
    </row>
    <row r="29" spans="1:13" ht="20.25" x14ac:dyDescent="0.3">
      <c r="A29" s="137" t="s">
        <v>3</v>
      </c>
      <c r="B29" s="138"/>
      <c r="C29" s="139"/>
      <c r="D29" s="139"/>
      <c r="E29" s="139"/>
      <c r="F29" s="139"/>
      <c r="G29" s="139"/>
      <c r="H29" s="139"/>
      <c r="I29" s="140"/>
      <c r="J29" s="1"/>
      <c r="K29" s="1"/>
      <c r="L29" s="3"/>
      <c r="M29" s="1"/>
    </row>
    <row r="30" spans="1:13" ht="20.25" x14ac:dyDescent="0.3">
      <c r="A30" s="101" t="s">
        <v>2</v>
      </c>
      <c r="B30" s="102"/>
      <c r="C30" s="103"/>
      <c r="D30" s="103"/>
      <c r="E30" s="103"/>
      <c r="F30" s="103"/>
      <c r="G30" s="103"/>
      <c r="H30" s="103"/>
      <c r="I30" s="104"/>
      <c r="J30" s="1"/>
      <c r="K30" s="1"/>
      <c r="L30" s="3"/>
      <c r="M30" s="4"/>
    </row>
    <row r="31" spans="1:13" ht="20.25" x14ac:dyDescent="0.3">
      <c r="A31" s="72" t="s">
        <v>1</v>
      </c>
      <c r="B31" s="73"/>
      <c r="C31" s="74"/>
      <c r="D31" s="74"/>
      <c r="E31" s="74"/>
      <c r="F31" s="74"/>
      <c r="G31" s="74"/>
      <c r="H31" s="74"/>
      <c r="I31" s="75"/>
      <c r="J31" s="2"/>
      <c r="K31" s="2"/>
      <c r="L31" s="3"/>
      <c r="M31" s="2"/>
    </row>
    <row r="32" spans="1:13" ht="20.25" x14ac:dyDescent="0.25">
      <c r="A32" s="147"/>
      <c r="B32" s="148"/>
      <c r="C32" s="148"/>
      <c r="D32" s="148"/>
      <c r="E32" s="148"/>
      <c r="F32" s="148"/>
      <c r="G32" s="148"/>
      <c r="H32" s="148"/>
      <c r="I32" s="149"/>
      <c r="J32" s="2"/>
      <c r="K32" s="2"/>
      <c r="L32" s="3"/>
      <c r="M32" s="2"/>
    </row>
    <row r="33" spans="1:13" ht="20.25" x14ac:dyDescent="0.3">
      <c r="A33" s="76"/>
      <c r="B33" s="77"/>
      <c r="C33" s="78"/>
      <c r="D33" s="78"/>
      <c r="E33" s="78"/>
      <c r="F33" s="78"/>
      <c r="G33" s="78"/>
      <c r="H33" s="78"/>
      <c r="I33" s="79"/>
      <c r="J33" s="1"/>
      <c r="K33" s="1"/>
      <c r="L33" s="1"/>
      <c r="M33" s="1"/>
    </row>
    <row r="34" spans="1:13" ht="21" thickBot="1" x14ac:dyDescent="0.35">
      <c r="A34" s="80"/>
      <c r="B34" s="81"/>
      <c r="C34" s="82"/>
      <c r="D34" s="82"/>
      <c r="E34" s="82"/>
      <c r="F34" s="82"/>
      <c r="G34" s="82"/>
      <c r="H34" s="82"/>
      <c r="I34" s="83"/>
      <c r="J34" s="1"/>
      <c r="K34" s="1"/>
      <c r="L34" s="1"/>
      <c r="M34" s="1"/>
    </row>
    <row r="35" spans="1:13" ht="20.25" x14ac:dyDescent="0.3">
      <c r="A35" s="84" t="s">
        <v>0</v>
      </c>
      <c r="B35" s="85"/>
      <c r="C35" s="85"/>
      <c r="D35" s="85"/>
      <c r="E35" s="85"/>
      <c r="F35" s="85"/>
      <c r="G35" s="85"/>
      <c r="H35" s="85"/>
      <c r="I35" s="86"/>
      <c r="J35" s="1"/>
      <c r="K35" s="1"/>
      <c r="L35" s="1"/>
      <c r="M35" s="1"/>
    </row>
    <row r="36" spans="1:13" ht="21" thickBot="1" x14ac:dyDescent="0.35">
      <c r="A36" s="143" t="s">
        <v>69</v>
      </c>
      <c r="B36" s="144"/>
      <c r="C36" s="145"/>
      <c r="D36" s="145"/>
      <c r="E36" s="145"/>
      <c r="F36" s="145"/>
      <c r="G36" s="145"/>
      <c r="H36" s="145"/>
      <c r="I36" s="146"/>
      <c r="J36" s="1"/>
      <c r="K36" s="1"/>
      <c r="L36" s="1"/>
      <c r="M36" s="1"/>
    </row>
    <row r="37" spans="1:13" ht="21" thickBot="1" x14ac:dyDescent="0.35">
      <c r="A37" s="130"/>
      <c r="B37" s="131"/>
      <c r="C37" s="132"/>
      <c r="D37" s="132"/>
      <c r="E37" s="132"/>
      <c r="F37" s="132"/>
      <c r="G37" s="132"/>
      <c r="H37" s="132"/>
      <c r="I37" s="133"/>
      <c r="J37" s="1"/>
      <c r="K37" s="1"/>
      <c r="L37" s="1"/>
      <c r="M37" s="1"/>
    </row>
    <row r="38" spans="1:13" ht="21" thickBot="1" x14ac:dyDescent="0.35">
      <c r="A38" s="130"/>
      <c r="B38" s="131"/>
      <c r="C38" s="132"/>
      <c r="D38" s="132"/>
      <c r="E38" s="132"/>
      <c r="F38" s="132"/>
      <c r="G38" s="132"/>
      <c r="H38" s="132"/>
      <c r="I38" s="133"/>
    </row>
    <row r="44" spans="1:13" ht="15" customHeight="1" x14ac:dyDescent="0.25"/>
  </sheetData>
  <mergeCells count="45">
    <mergeCell ref="A38:I38"/>
    <mergeCell ref="G20:H20"/>
    <mergeCell ref="A28:I28"/>
    <mergeCell ref="A29:I29"/>
    <mergeCell ref="H27:I27"/>
    <mergeCell ref="A25:C25"/>
    <mergeCell ref="F25:G25"/>
    <mergeCell ref="H25:I25"/>
    <mergeCell ref="A26:C26"/>
    <mergeCell ref="A36:I36"/>
    <mergeCell ref="A37:I37"/>
    <mergeCell ref="A32:I32"/>
    <mergeCell ref="F26:G26"/>
    <mergeCell ref="H26:I26"/>
    <mergeCell ref="A27:C27"/>
    <mergeCell ref="F27:G27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A31:I31"/>
    <mergeCell ref="A33:I33"/>
    <mergeCell ref="A34:I34"/>
    <mergeCell ref="A35:I35"/>
    <mergeCell ref="D6:F6"/>
    <mergeCell ref="G19:H19"/>
    <mergeCell ref="A23:C23"/>
    <mergeCell ref="F23:G23"/>
    <mergeCell ref="H23:I23"/>
    <mergeCell ref="A24:C24"/>
    <mergeCell ref="F24:G24"/>
    <mergeCell ref="H24:I24"/>
    <mergeCell ref="A30:I30"/>
  </mergeCells>
  <pageMargins left="0.7" right="0.7" top="0.75" bottom="0.75" header="0.3" footer="0.3"/>
  <pageSetup scale="42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F85DBE-7847-4DD4-86FC-3B8EDB3521F8}">
  <ds:schemaRefs>
    <ds:schemaRef ds:uri="http://schemas.microsoft.com/office/infopath/2007/PartnerControls"/>
    <ds:schemaRef ds:uri="eae225b5-53a6-4b69-be5f-a92fedf9fd97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7b4e74ba-38a7-42d4-a9ca-1da0fc041db0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A546DB8-4109-4BC2-891D-F4650CC75BEE}"/>
</file>

<file path=customXml/itemProps3.xml><?xml version="1.0" encoding="utf-8"?>
<ds:datastoreItem xmlns:ds="http://schemas.openxmlformats.org/officeDocument/2006/customXml" ds:itemID="{6B7FB95D-03B5-4675-8FA1-CABCCD4FA6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</vt:lpstr>
      <vt:lpstr>Ensamble!Área_de_impresión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2025-11-06T22:26:51Z</cp:lastPrinted>
  <dcterms:created xsi:type="dcterms:W3CDTF">2025-09-18T16:46:14Z</dcterms:created>
  <dcterms:modified xsi:type="dcterms:W3CDTF">2025-11-06T22:28:07Z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
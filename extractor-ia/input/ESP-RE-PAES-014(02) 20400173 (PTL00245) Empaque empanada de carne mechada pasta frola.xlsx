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13" documentId="8_{CB09E4E8-9DA8-4FC6-82BB-CF53D8ACDF4B}" xr6:coauthVersionLast="47" xr6:coauthVersionMax="47" xr10:uidLastSave="{AF949520-B14A-4380-BC0D-E95778C5C4F2}"/>
  <bookViews>
    <workbookView xWindow="-120" yWindow="-120" windowWidth="20730" windowHeight="11040" firstSheet="1" activeTab="1" xr2:uid="{FDF16368-2F3F-4E42-8007-8759C4FFFAAD}"/>
  </bookViews>
  <sheets>
    <sheet name="Empaque " sheetId="2" state="hidden" r:id="rId1"/>
    <sheet name="Empaque 2" sheetId="5" r:id="rId2"/>
    <sheet name="Costo Actual " sheetId="3" state="hidden" r:id="rId3"/>
    <sheet name="Costo nuevo empaque " sheetId="4" state="hidden" r:id="rId4"/>
  </sheets>
  <definedNames>
    <definedName name="_xlnm.Print_Area" localSheetId="1">'Empaque 2'!$A$1:$I$42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4" l="1"/>
  <c r="H33" i="4"/>
  <c r="G32" i="3"/>
  <c r="G31" i="3"/>
  <c r="H30" i="4"/>
  <c r="H29" i="4"/>
  <c r="N28" i="4"/>
  <c r="N27" i="4"/>
  <c r="L29" i="4"/>
  <c r="L28" i="4"/>
  <c r="L28" i="3"/>
  <c r="N27" i="3"/>
  <c r="L29" i="3"/>
  <c r="K27" i="4"/>
</calcChain>
</file>

<file path=xl/sharedStrings.xml><?xml version="1.0" encoding="utf-8"?>
<sst xmlns="http://schemas.openxmlformats.org/spreadsheetml/2006/main" count="367" uniqueCount="126">
  <si>
    <t>2.- Colocar dentro de una bolsa 12*18, sellar. Etiquetar con nombre y fecha de vencimiento.</t>
  </si>
  <si>
    <t>PROCEDIMIENTO DE PREPARACION DE LA  RECETA</t>
  </si>
  <si>
    <t>g</t>
  </si>
  <si>
    <t>MERMA</t>
  </si>
  <si>
    <t>Otros</t>
  </si>
  <si>
    <t>PESO DE CADA PORCIÓN</t>
  </si>
  <si>
    <t>ud</t>
  </si>
  <si>
    <t>CANTIDAD DE PORCIONES OBTENIDAS</t>
  </si>
  <si>
    <t>Horno:</t>
  </si>
  <si>
    <t>min</t>
  </si>
  <si>
    <t>TIEMPO TOTAL DE PREPARACION</t>
  </si>
  <si>
    <t>PESO TOTAL OBTENIDO</t>
  </si>
  <si>
    <t>Unidad</t>
  </si>
  <si>
    <t>Cantidad</t>
  </si>
  <si>
    <t>BOLSA 12x18 TRANSP (KILO)</t>
  </si>
  <si>
    <t>EM10017</t>
  </si>
  <si>
    <t>ETIQ.BLANCA 1 1/4 * 3/4</t>
  </si>
  <si>
    <t>CAJA BLANCA  MEDIANAS (100 X PAQ)</t>
  </si>
  <si>
    <t>Spoon</t>
  </si>
  <si>
    <t>EMPANADA CARNE MECHADA TRADICIONAL</t>
  </si>
  <si>
    <t>SE00544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</si>
  <si>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</si>
  <si>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</si>
  <si>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</si>
  <si>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</si>
  <si>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</si>
  <si>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</si>
  <si>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</si>
  <si>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</si>
  <si>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</si>
  <si>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</si>
  <si>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</si>
  <si>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</si>
  <si>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</si>
  <si>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</si>
  <si>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01</t>
  </si>
  <si>
    <t>Javier Tong, Chef</t>
  </si>
  <si>
    <t>Esteban Cartin, Gte Manufactura</t>
  </si>
  <si>
    <t>AREA QUE PRODUCE:</t>
  </si>
  <si>
    <t>Pastas</t>
  </si>
  <si>
    <t xml:space="preserve">AREA QUE EMPACA: </t>
  </si>
  <si>
    <t xml:space="preserve"># Código </t>
  </si>
  <si>
    <t># Código Netsuite</t>
  </si>
  <si>
    <t>Ensamble</t>
  </si>
  <si>
    <t>Decoración</t>
  </si>
  <si>
    <t>Empaque</t>
  </si>
  <si>
    <t>LITOGRAFIA CR</t>
  </si>
  <si>
    <t>CEMUSA</t>
  </si>
  <si>
    <t>PLASTICOS P</t>
  </si>
  <si>
    <t>Tiempo de Horneo:</t>
  </si>
  <si>
    <t>Temperatura de Horneo:</t>
  </si>
  <si>
    <t>CONTROL DE CAMBIOS</t>
  </si>
  <si>
    <t>ESP-RE-PAES-014</t>
  </si>
  <si>
    <t>1.- Empacar 5 unidades en una caja mediana con medio papel encerado en la base y poner caja tapa.</t>
  </si>
  <si>
    <t>3- La caja puede venir con impreseion de nombre y lote.</t>
  </si>
  <si>
    <t>Revision #2: Se quita papel encerado, se aumentan las unidades.</t>
  </si>
  <si>
    <t>FILTROS :</t>
  </si>
  <si>
    <t>SUBSIDIARIA</t>
  </si>
  <si>
    <t>Empresa principal : Servicios de Pastelería S.A.</t>
  </si>
  <si>
    <t>ARTÍCULO</t>
  </si>
  <si>
    <t>PTL00180 Empanada de Carne Mechada 1/4 und</t>
  </si>
  <si>
    <t>UBICACIÓN</t>
  </si>
  <si>
    <t>Bodega Administrativa</t>
  </si>
  <si>
    <t>LISTA DE MATERIALES</t>
  </si>
  <si>
    <t>BOM PTL00180</t>
  </si>
  <si>
    <t>CONTROL DE VISUALIZACIÓN</t>
  </si>
  <si>
    <t>Por revisión</t>
  </si>
  <si>
    <t>FECHA/FECHA EFECTIVA</t>
  </si>
  <si>
    <t>07/04/2025</t>
  </si>
  <si>
    <t>REVISIÓN DE LISTA DE MATERIALES</t>
  </si>
  <si>
    <t>REV V1 PTL00180</t>
  </si>
  <si>
    <t>POR RUTA DE FABRICACIÓN</t>
  </si>
  <si>
    <t>No</t>
  </si>
  <si>
    <t>RUTA DE FABRICACIÓN</t>
  </si>
  <si>
    <t/>
  </si>
  <si>
    <t>CANTIDAD DE ENSAMBLAJE</t>
  </si>
  <si>
    <t>1</t>
  </si>
  <si>
    <t>SOLO NIVEL SUPERIOR</t>
  </si>
  <si>
    <t>Sí</t>
  </si>
  <si>
    <t>COSTO DE MATERIALES</t>
  </si>
  <si>
    <t>Según valor predeterminado de artículo</t>
  </si>
  <si>
    <t>COSTO TOTAL DE MATERIALES</t>
  </si>
  <si>
    <t>COSTO DE MATERIAL POR UNIDAD</t>
  </si>
  <si>
    <t>CRC1,454.70</t>
  </si>
  <si>
    <t>CRC1,454.70 UNIDADES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</si>
  <si>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</si>
  <si>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</si>
  <si>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</si>
  <si>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</si>
  <si>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</si>
  <si>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</si>
  <si>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</si>
  <si>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</si>
  <si>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COSTO UNITARIO</t>
  </si>
  <si>
    <t>UNIDADES</t>
  </si>
  <si>
    <t>COSTO TOTAL</t>
  </si>
  <si>
    <t>Caja Blanca Mediana</t>
  </si>
  <si>
    <t>100%</t>
  </si>
  <si>
    <t>49.75</t>
  </si>
  <si>
    <t>EM10090</t>
  </si>
  <si>
    <t>Papel Encerado 12 X 10</t>
  </si>
  <si>
    <t>13.00</t>
  </si>
  <si>
    <t>EM10002</t>
  </si>
  <si>
    <t>Etiq.Blanca 1 1/4 * 3/4</t>
  </si>
  <si>
    <t>0.58</t>
  </si>
  <si>
    <t>EM10016</t>
  </si>
  <si>
    <t>Bolsa 12X18 Transparente</t>
  </si>
  <si>
    <t>1.80</t>
  </si>
  <si>
    <t>GRAMOS</t>
  </si>
  <si>
    <t>SC-MO1</t>
  </si>
  <si>
    <t>Mano de Obra</t>
  </si>
  <si>
    <t>1.06</t>
  </si>
  <si>
    <t>77.00</t>
  </si>
  <si>
    <t>81.62</t>
  </si>
  <si>
    <t>SC-GIF1</t>
  </si>
  <si>
    <t>Gastos Indirectos Fabricación</t>
  </si>
  <si>
    <t>64.00</t>
  </si>
  <si>
    <t>67.84</t>
  </si>
  <si>
    <t>Empanada de Carne Mechada Tradicional</t>
  </si>
  <si>
    <t>4</t>
  </si>
  <si>
    <t>310.02729252</t>
  </si>
  <si>
    <t>1,240.11</t>
  </si>
  <si>
    <t xml:space="preserve"> 20400173 (PTL00245) Empaque empanada de carne mechada pasta frola</t>
  </si>
  <si>
    <t>1.- Empacar 5 unidades en una caja mediana y poner caja tapa.</t>
  </si>
  <si>
    <t>02</t>
  </si>
  <si>
    <t>20400173 (PTL00245) Empaque empanada de carne mechada pasta frola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</si>
</sst>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(* #,##0.000_);_(* \(#,##0.000\);_(* &quot;-&quot;??_);_(@_)"/>
    <numFmt numFmtId="166" formatCode="0.000"/>
  </numFmts>
  <fonts count="3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4"/>
      <name val="Century Gothic"/>
      <family val="2"/>
    </font>
    <font>
      <b/>
      <sz val="12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  <font>
      <b/>
      <sz val="1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5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/>
    <xf numFmtId="43" fontId="9" fillId="0" borderId="0" applyFont="0" applyFill="0" applyBorder="0" applyAlignment="0" applyProtection="0"/>
    <xf numFmtId="0" fontId="10" fillId="0" borderId="0"/>
    <xf numFmtId="0" fontId="10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46" applyNumberFormat="0" applyFill="0" applyAlignment="0" applyProtection="0"/>
    <xf numFmtId="0" fontId="25" fillId="0" borderId="47" applyNumberFormat="0" applyFill="0" applyAlignment="0" applyProtection="0"/>
    <xf numFmtId="0" fontId="26" fillId="0" borderId="48" applyNumberFormat="0" applyFill="0" applyAlignment="0" applyProtection="0"/>
    <xf numFmtId="0" fontId="26" fillId="0" borderId="0" applyNumberFormat="0" applyFill="0" applyBorder="0" applyAlignment="0" applyProtection="0"/>
    <xf numFmtId="0" fontId="27" fillId="8" borderId="0" applyNumberFormat="0" applyBorder="0" applyAlignment="0" applyProtection="0"/>
    <xf numFmtId="0" fontId="28" fillId="9" borderId="0" applyNumberFormat="0" applyBorder="0" applyAlignment="0" applyProtection="0"/>
    <xf numFmtId="0" fontId="29" fillId="10" borderId="0" applyNumberFormat="0" applyBorder="0" applyAlignment="0" applyProtection="0"/>
    <xf numFmtId="0" fontId="30" fillId="11" borderId="49" applyNumberFormat="0" applyAlignment="0" applyProtection="0"/>
    <xf numFmtId="0" fontId="31" fillId="12" borderId="50" applyNumberFormat="0" applyAlignment="0" applyProtection="0"/>
    <xf numFmtId="0" fontId="32" fillId="12" borderId="49" applyNumberFormat="0" applyAlignment="0" applyProtection="0"/>
    <xf numFmtId="0" fontId="33" fillId="0" borderId="51" applyNumberFormat="0" applyFill="0" applyAlignment="0" applyProtection="0"/>
    <xf numFmtId="0" fontId="34" fillId="13" borderId="52" applyNumberFormat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54" applyNumberFormat="0" applyFill="0" applyAlignment="0" applyProtection="0"/>
    <xf numFmtId="0" fontId="38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38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38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38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38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38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38" borderId="0" applyNumberFormat="0" applyBorder="0" applyAlignment="0" applyProtection="0"/>
    <xf numFmtId="0" fontId="2" fillId="0" borderId="0"/>
    <xf numFmtId="0" fontId="2" fillId="14" borderId="53" applyNumberFormat="0" applyFont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9" fontId="9" fillId="0" borderId="0" applyFont="0" applyFill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0" borderId="0"/>
    <xf numFmtId="0" fontId="1" fillId="14" borderId="53" applyNumberFormat="0" applyFont="0" applyAlignment="0" applyProtection="0"/>
  </cellStyleXfs>
  <cellXfs count="300">
    <xf numFmtId="0" fontId="0" fillId="0" borderId="0" xfId="0"/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11" xfId="0" applyFont="1" applyBorder="1" applyAlignment="1">
      <alignment horizontal="center"/>
    </xf>
    <xf numFmtId="0" fontId="5" fillId="0" borderId="15" xfId="0" applyFont="1" applyBorder="1"/>
    <xf numFmtId="0" fontId="3" fillId="0" borderId="27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3" fillId="2" borderId="30" xfId="0" applyFont="1" applyFill="1" applyBorder="1" applyAlignment="1">
      <alignment horizontal="left"/>
    </xf>
    <xf numFmtId="0" fontId="4" fillId="4" borderId="34" xfId="2" applyFont="1" applyFill="1" applyBorder="1" applyAlignment="1">
      <alignment horizontal="right"/>
    </xf>
    <xf numFmtId="0" fontId="3" fillId="4" borderId="0" xfId="0" applyFont="1" applyFill="1"/>
    <xf numFmtId="0" fontId="4" fillId="4" borderId="11" xfId="2" applyFont="1" applyFill="1" applyBorder="1" applyAlignment="1">
      <alignment horizontal="right"/>
    </xf>
    <xf numFmtId="49" fontId="3" fillId="4" borderId="21" xfId="2" applyNumberFormat="1" applyFont="1" applyFill="1" applyBorder="1" applyAlignment="1">
      <alignment horizontal="center"/>
    </xf>
    <xf numFmtId="0" fontId="3" fillId="4" borderId="15" xfId="2" applyFont="1" applyFill="1" applyBorder="1" applyAlignment="1">
      <alignment horizontal="right"/>
    </xf>
    <xf numFmtId="0" fontId="3" fillId="4" borderId="11" xfId="2" applyFont="1" applyFill="1" applyBorder="1" applyAlignment="1">
      <alignment horizontal="right"/>
    </xf>
    <xf numFmtId="14" fontId="12" fillId="4" borderId="0" xfId="3" applyNumberFormat="1" applyFont="1" applyFill="1" applyAlignment="1">
      <alignment horizontal="center" vertical="center" wrapText="1"/>
    </xf>
    <xf numFmtId="0" fontId="4" fillId="5" borderId="30" xfId="4" applyFont="1" applyFill="1" applyBorder="1" applyAlignment="1">
      <alignment horizontal="center" vertical="center" wrapText="1"/>
    </xf>
    <xf numFmtId="1" fontId="4" fillId="5" borderId="9" xfId="4" applyNumberFormat="1" applyFont="1" applyFill="1" applyBorder="1" applyAlignment="1">
      <alignment horizontal="center"/>
    </xf>
    <xf numFmtId="1" fontId="4" fillId="5" borderId="9" xfId="4" applyNumberFormat="1" applyFont="1" applyFill="1" applyBorder="1" applyAlignment="1">
      <alignment horizontal="center" wrapText="1"/>
    </xf>
    <xf numFmtId="0" fontId="4" fillId="5" borderId="29" xfId="4" applyFont="1" applyFill="1" applyBorder="1" applyAlignment="1">
      <alignment horizontal="center"/>
    </xf>
    <xf numFmtId="0" fontId="14" fillId="0" borderId="22" xfId="4" applyFont="1" applyBorder="1" applyAlignment="1">
      <alignment horizontal="center" vertical="center"/>
    </xf>
    <xf numFmtId="0" fontId="14" fillId="0" borderId="6" xfId="4" applyFont="1" applyBorder="1" applyAlignment="1">
      <alignment horizontal="center" vertical="center"/>
    </xf>
    <xf numFmtId="0" fontId="15" fillId="0" borderId="11" xfId="4" applyFont="1" applyBorder="1" applyAlignment="1">
      <alignment vertical="center"/>
    </xf>
    <xf numFmtId="0" fontId="14" fillId="0" borderId="11" xfId="4" applyFont="1" applyBorder="1" applyAlignment="1">
      <alignment horizontal="center" vertical="center"/>
    </xf>
    <xf numFmtId="1" fontId="14" fillId="0" borderId="11" xfId="4" applyNumberFormat="1" applyFont="1" applyBorder="1" applyAlignment="1">
      <alignment horizontal="center"/>
    </xf>
    <xf numFmtId="1" fontId="14" fillId="0" borderId="11" xfId="4" applyNumberFormat="1" applyFont="1" applyBorder="1" applyAlignment="1">
      <alignment horizontal="center" wrapText="1"/>
    </xf>
    <xf numFmtId="0" fontId="6" fillId="0" borderId="21" xfId="4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13" fillId="0" borderId="11" xfId="0" applyFont="1" applyBorder="1" applyAlignment="1">
      <alignment horizontal="center"/>
    </xf>
    <xf numFmtId="0" fontId="13" fillId="0" borderId="11" xfId="0" applyFont="1" applyBorder="1"/>
    <xf numFmtId="0" fontId="13" fillId="0" borderId="15" xfId="0" applyFont="1" applyBorder="1" applyAlignment="1">
      <alignment horizontal="center"/>
    </xf>
    <xf numFmtId="2" fontId="14" fillId="0" borderId="11" xfId="4" applyNumberFormat="1" applyFont="1" applyBorder="1" applyAlignment="1">
      <alignment horizontal="center"/>
    </xf>
    <xf numFmtId="1" fontId="4" fillId="6" borderId="24" xfId="4" applyNumberFormat="1" applyFont="1" applyFill="1" applyBorder="1" applyAlignment="1">
      <alignment horizontal="center" wrapText="1"/>
    </xf>
    <xf numFmtId="0" fontId="13" fillId="0" borderId="11" xfId="4" applyBorder="1" applyAlignment="1">
      <alignment horizontal="center"/>
    </xf>
    <xf numFmtId="1" fontId="6" fillId="0" borderId="11" xfId="4" applyNumberFormat="1" applyFont="1" applyBorder="1" applyAlignment="1">
      <alignment horizontal="center"/>
    </xf>
    <xf numFmtId="1" fontId="6" fillId="0" borderId="11" xfId="4" applyNumberFormat="1" applyFont="1" applyBorder="1" applyAlignment="1">
      <alignment horizontal="center" wrapText="1"/>
    </xf>
    <xf numFmtId="49" fontId="6" fillId="0" borderId="22" xfId="4" applyNumberFormat="1" applyFont="1" applyBorder="1" applyAlignment="1">
      <alignment horizontal="center"/>
    </xf>
    <xf numFmtId="49" fontId="6" fillId="0" borderId="6" xfId="4" applyNumberFormat="1" applyFont="1" applyBorder="1" applyAlignment="1">
      <alignment horizontal="center"/>
    </xf>
    <xf numFmtId="0" fontId="16" fillId="6" borderId="11" xfId="4" applyFont="1" applyFill="1" applyBorder="1" applyAlignment="1">
      <alignment horizontal="left"/>
    </xf>
    <xf numFmtId="0" fontId="6" fillId="0" borderId="11" xfId="4" applyFont="1" applyBorder="1" applyAlignment="1">
      <alignment horizontal="center"/>
    </xf>
    <xf numFmtId="164" fontId="6" fillId="0" borderId="11" xfId="4" applyNumberFormat="1" applyFont="1" applyBorder="1" applyAlignment="1">
      <alignment horizontal="center"/>
    </xf>
    <xf numFmtId="0" fontId="13" fillId="0" borderId="22" xfId="5" applyBorder="1" applyAlignment="1">
      <alignment horizontal="center"/>
    </xf>
    <xf numFmtId="0" fontId="13" fillId="6" borderId="11" xfId="5" applyFill="1" applyBorder="1"/>
    <xf numFmtId="16" fontId="6" fillId="0" borderId="11" xfId="5" applyNumberFormat="1" applyFont="1" applyBorder="1" applyAlignment="1">
      <alignment horizontal="center"/>
    </xf>
    <xf numFmtId="49" fontId="14" fillId="0" borderId="5" xfId="4" applyNumberFormat="1" applyFont="1" applyBorder="1" applyAlignment="1">
      <alignment horizontal="center"/>
    </xf>
    <xf numFmtId="49" fontId="14" fillId="0" borderId="4" xfId="4" applyNumberFormat="1" applyFont="1" applyBorder="1" applyAlignment="1">
      <alignment horizontal="center"/>
    </xf>
    <xf numFmtId="0" fontId="17" fillId="6" borderId="11" xfId="4" applyFont="1" applyFill="1" applyBorder="1" applyAlignment="1">
      <alignment vertical="center"/>
    </xf>
    <xf numFmtId="0" fontId="14" fillId="0" borderId="6" xfId="4" applyFont="1" applyBorder="1" applyAlignment="1">
      <alignment horizontal="center"/>
    </xf>
    <xf numFmtId="164" fontId="14" fillId="0" borderId="11" xfId="4" applyNumberFormat="1" applyFon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49" fontId="5" fillId="0" borderId="11" xfId="0" applyNumberFormat="1" applyFont="1" applyBorder="1"/>
    <xf numFmtId="16" fontId="6" fillId="0" borderId="6" xfId="0" applyNumberFormat="1" applyFont="1" applyBorder="1" applyAlignment="1">
      <alignment horizontal="center"/>
    </xf>
    <xf numFmtId="165" fontId="4" fillId="6" borderId="11" xfId="1" applyNumberFormat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 wrapText="1"/>
    </xf>
    <xf numFmtId="0" fontId="18" fillId="0" borderId="22" xfId="0" quotePrefix="1" applyFont="1" applyBorder="1" applyAlignment="1">
      <alignment horizontal="center"/>
    </xf>
    <xf numFmtId="0" fontId="18" fillId="0" borderId="6" xfId="0" quotePrefix="1" applyFont="1" applyBorder="1" applyAlignment="1">
      <alignment horizontal="center"/>
    </xf>
    <xf numFmtId="0" fontId="19" fillId="0" borderId="11" xfId="0" quotePrefix="1" applyFont="1" applyBorder="1"/>
    <xf numFmtId="0" fontId="4" fillId="6" borderId="11" xfId="0" applyFont="1" applyFill="1" applyBorder="1" applyAlignment="1">
      <alignment horizontal="center" vertical="center"/>
    </xf>
    <xf numFmtId="1" fontId="3" fillId="6" borderId="11" xfId="0" applyNumberFormat="1" applyFont="1" applyFill="1" applyBorder="1" applyAlignment="1">
      <alignment horizontal="center"/>
    </xf>
    <xf numFmtId="1" fontId="3" fillId="6" borderId="11" xfId="0" applyNumberFormat="1" applyFont="1" applyFill="1" applyBorder="1" applyAlignment="1">
      <alignment horizontal="center" wrapText="1"/>
    </xf>
    <xf numFmtId="49" fontId="6" fillId="6" borderId="22" xfId="4" applyNumberFormat="1" applyFont="1" applyFill="1" applyBorder="1" applyAlignment="1">
      <alignment horizontal="center"/>
    </xf>
    <xf numFmtId="49" fontId="6" fillId="6" borderId="6" xfId="4" applyNumberFormat="1" applyFont="1" applyFill="1" applyBorder="1" applyAlignment="1">
      <alignment horizontal="center"/>
    </xf>
    <xf numFmtId="49" fontId="5" fillId="6" borderId="11" xfId="4" applyNumberFormat="1" applyFont="1" applyFill="1" applyBorder="1"/>
    <xf numFmtId="12" fontId="6" fillId="0" borderId="11" xfId="4" applyNumberFormat="1" applyFont="1" applyBorder="1" applyAlignment="1">
      <alignment horizontal="center"/>
    </xf>
    <xf numFmtId="49" fontId="5" fillId="0" borderId="11" xfId="4" applyNumberFormat="1" applyFont="1" applyBorder="1"/>
    <xf numFmtId="1" fontId="20" fillId="0" borderId="11" xfId="4" applyNumberFormat="1" applyFont="1" applyBorder="1" applyAlignment="1">
      <alignment horizontal="center"/>
    </xf>
    <xf numFmtId="0" fontId="20" fillId="0" borderId="11" xfId="4" applyFont="1" applyBorder="1" applyAlignment="1">
      <alignment horizontal="center"/>
    </xf>
    <xf numFmtId="49" fontId="21" fillId="4" borderId="20" xfId="4" applyNumberFormat="1" applyFont="1" applyFill="1" applyBorder="1" applyAlignment="1">
      <alignment horizontal="center" vertical="center"/>
    </xf>
    <xf numFmtId="49" fontId="21" fillId="4" borderId="0" xfId="4" applyNumberFormat="1" applyFont="1" applyFill="1" applyAlignment="1">
      <alignment horizontal="center" vertical="center"/>
    </xf>
    <xf numFmtId="0" fontId="3" fillId="4" borderId="0" xfId="4" applyFont="1" applyFill="1"/>
    <xf numFmtId="1" fontId="3" fillId="4" borderId="0" xfId="4" applyNumberFormat="1" applyFont="1" applyFill="1" applyAlignment="1">
      <alignment horizontal="center"/>
    </xf>
    <xf numFmtId="166" fontId="3" fillId="4" borderId="0" xfId="4" applyNumberFormat="1" applyFont="1" applyFill="1" applyAlignment="1">
      <alignment horizontal="center" wrapText="1"/>
    </xf>
    <xf numFmtId="0" fontId="3" fillId="4" borderId="19" xfId="4" applyFont="1" applyFill="1" applyBorder="1" applyAlignment="1">
      <alignment horizontal="center"/>
    </xf>
    <xf numFmtId="0" fontId="13" fillId="0" borderId="0" xfId="4"/>
    <xf numFmtId="0" fontId="3" fillId="4" borderId="0" xfId="4" applyFont="1" applyFill="1" applyAlignment="1">
      <alignment horizontal="left" indent="1"/>
    </xf>
    <xf numFmtId="0" fontId="3" fillId="5" borderId="18" xfId="4" applyFont="1" applyFill="1" applyBorder="1" applyAlignment="1">
      <alignment horizontal="center"/>
    </xf>
    <xf numFmtId="0" fontId="3" fillId="5" borderId="17" xfId="4" applyFont="1" applyFill="1" applyBorder="1" applyAlignment="1">
      <alignment horizontal="center"/>
    </xf>
    <xf numFmtId="0" fontId="3" fillId="5" borderId="17" xfId="4" applyFont="1" applyFill="1" applyBorder="1"/>
    <xf numFmtId="0" fontId="4" fillId="5" borderId="17" xfId="4" applyFont="1" applyFill="1" applyBorder="1" applyAlignment="1">
      <alignment horizontal="center"/>
    </xf>
    <xf numFmtId="1" fontId="4" fillId="5" borderId="17" xfId="4" applyNumberFormat="1" applyFont="1" applyFill="1" applyBorder="1" applyAlignment="1">
      <alignment horizontal="center"/>
    </xf>
    <xf numFmtId="166" fontId="3" fillId="5" borderId="17" xfId="4" applyNumberFormat="1" applyFont="1" applyFill="1" applyBorder="1" applyAlignment="1">
      <alignment horizontal="center" wrapText="1"/>
    </xf>
    <xf numFmtId="0" fontId="3" fillId="5" borderId="16" xfId="4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1" fontId="3" fillId="0" borderId="11" xfId="0" applyNumberFormat="1" applyFont="1" applyBorder="1" applyAlignment="1">
      <alignment horizontal="center"/>
    </xf>
    <xf numFmtId="9" fontId="3" fillId="4" borderId="0" xfId="6" applyFont="1" applyFill="1"/>
    <xf numFmtId="1" fontId="3" fillId="0" borderId="9" xfId="0" applyNumberFormat="1" applyFont="1" applyBorder="1" applyAlignment="1">
      <alignment horizontal="center"/>
    </xf>
    <xf numFmtId="0" fontId="2" fillId="0" borderId="0" xfId="47"/>
    <xf numFmtId="0" fontId="9" fillId="0" borderId="0" xfId="49"/>
    <xf numFmtId="0" fontId="3" fillId="0" borderId="9" xfId="49" applyFont="1" applyBorder="1" applyAlignment="1">
      <alignment horizontal="center"/>
    </xf>
    <xf numFmtId="0" fontId="3" fillId="0" borderId="11" xfId="49" applyFont="1" applyBorder="1" applyAlignment="1">
      <alignment horizontal="center"/>
    </xf>
    <xf numFmtId="0" fontId="3" fillId="0" borderId="14" xfId="49" applyFont="1" applyBorder="1" applyAlignment="1">
      <alignment horizontal="center"/>
    </xf>
    <xf numFmtId="0" fontId="3" fillId="0" borderId="15" xfId="49" applyFont="1" applyBorder="1" applyAlignment="1">
      <alignment horizontal="center"/>
    </xf>
    <xf numFmtId="0" fontId="9" fillId="0" borderId="0" xfId="49" applyAlignment="1">
      <alignment horizontal="center"/>
    </xf>
    <xf numFmtId="0" fontId="6" fillId="0" borderId="11" xfId="49" applyFont="1" applyBorder="1" applyAlignment="1">
      <alignment horizontal="center"/>
    </xf>
    <xf numFmtId="0" fontId="5" fillId="0" borderId="15" xfId="49" applyFont="1" applyBorder="1"/>
    <xf numFmtId="0" fontId="3" fillId="0" borderId="27" xfId="49" applyFont="1" applyBorder="1" applyAlignment="1">
      <alignment horizontal="center"/>
    </xf>
    <xf numFmtId="0" fontId="5" fillId="0" borderId="15" xfId="49" applyFont="1" applyBorder="1" applyAlignment="1">
      <alignment horizontal="center"/>
    </xf>
    <xf numFmtId="0" fontId="5" fillId="0" borderId="11" xfId="49" applyFont="1" applyBorder="1" applyAlignment="1">
      <alignment horizontal="center"/>
    </xf>
    <xf numFmtId="0" fontId="3" fillId="2" borderId="30" xfId="49" applyFont="1" applyFill="1" applyBorder="1" applyAlignment="1">
      <alignment horizontal="left"/>
    </xf>
    <xf numFmtId="0" fontId="3" fillId="4" borderId="0" xfId="49" applyFont="1" applyFill="1"/>
    <xf numFmtId="0" fontId="4" fillId="5" borderId="30" xfId="51" applyFont="1" applyFill="1" applyBorder="1" applyAlignment="1">
      <alignment horizontal="center" vertical="center" wrapText="1"/>
    </xf>
    <xf numFmtId="1" fontId="4" fillId="5" borderId="9" xfId="51" applyNumberFormat="1" applyFont="1" applyFill="1" applyBorder="1" applyAlignment="1">
      <alignment horizontal="center"/>
    </xf>
    <xf numFmtId="1" fontId="4" fillId="5" borderId="9" xfId="51" applyNumberFormat="1" applyFont="1" applyFill="1" applyBorder="1" applyAlignment="1">
      <alignment horizontal="center" wrapText="1"/>
    </xf>
    <xf numFmtId="0" fontId="4" fillId="5" borderId="29" xfId="51" applyFont="1" applyFill="1" applyBorder="1" applyAlignment="1">
      <alignment horizontal="center"/>
    </xf>
    <xf numFmtId="0" fontId="14" fillId="0" borderId="22" xfId="51" applyFont="1" applyBorder="1" applyAlignment="1">
      <alignment horizontal="center" vertical="center"/>
    </xf>
    <xf numFmtId="0" fontId="14" fillId="0" borderId="6" xfId="51" applyFont="1" applyBorder="1" applyAlignment="1">
      <alignment horizontal="center" vertical="center"/>
    </xf>
    <xf numFmtId="0" fontId="15" fillId="0" borderId="11" xfId="51" applyFont="1" applyBorder="1" applyAlignment="1">
      <alignment vertical="center"/>
    </xf>
    <xf numFmtId="0" fontId="14" fillId="0" borderId="11" xfId="51" applyFont="1" applyBorder="1" applyAlignment="1">
      <alignment horizontal="center" vertical="center"/>
    </xf>
    <xf numFmtId="1" fontId="14" fillId="0" borderId="11" xfId="51" applyNumberFormat="1" applyFont="1" applyBorder="1" applyAlignment="1">
      <alignment horizontal="center"/>
    </xf>
    <xf numFmtId="1" fontId="14" fillId="0" borderId="11" xfId="51" applyNumberFormat="1" applyFont="1" applyBorder="1" applyAlignment="1">
      <alignment horizontal="center" wrapText="1"/>
    </xf>
    <xf numFmtId="0" fontId="6" fillId="0" borderId="21" xfId="51" applyFont="1" applyBorder="1" applyAlignment="1">
      <alignment horizontal="center"/>
    </xf>
    <xf numFmtId="1" fontId="3" fillId="0" borderId="15" xfId="49" applyNumberFormat="1" applyFont="1" applyBorder="1" applyAlignment="1">
      <alignment horizontal="center"/>
    </xf>
    <xf numFmtId="0" fontId="9" fillId="0" borderId="11" xfId="49" applyBorder="1" applyAlignment="1">
      <alignment horizontal="center"/>
    </xf>
    <xf numFmtId="0" fontId="9" fillId="0" borderId="11" xfId="49" applyBorder="1"/>
    <xf numFmtId="0" fontId="9" fillId="0" borderId="15" xfId="49" applyBorder="1" applyAlignment="1">
      <alignment horizontal="center"/>
    </xf>
    <xf numFmtId="2" fontId="14" fillId="0" borderId="11" xfId="51" applyNumberFormat="1" applyFont="1" applyBorder="1" applyAlignment="1">
      <alignment horizontal="center"/>
    </xf>
    <xf numFmtId="1" fontId="4" fillId="6" borderId="24" xfId="51" applyNumberFormat="1" applyFont="1" applyFill="1" applyBorder="1" applyAlignment="1">
      <alignment horizontal="center" wrapText="1"/>
    </xf>
    <xf numFmtId="0" fontId="9" fillId="0" borderId="11" xfId="51" applyBorder="1" applyAlignment="1">
      <alignment horizontal="center"/>
    </xf>
    <xf numFmtId="1" fontId="6" fillId="0" borderId="11" xfId="51" applyNumberFormat="1" applyFont="1" applyBorder="1" applyAlignment="1">
      <alignment horizontal="center"/>
    </xf>
    <xf numFmtId="1" fontId="6" fillId="0" borderId="11" xfId="51" applyNumberFormat="1" applyFont="1" applyBorder="1" applyAlignment="1">
      <alignment horizontal="center" wrapText="1"/>
    </xf>
    <xf numFmtId="49" fontId="6" fillId="0" borderId="22" xfId="51" applyNumberFormat="1" applyFont="1" applyBorder="1" applyAlignment="1">
      <alignment horizontal="center"/>
    </xf>
    <xf numFmtId="49" fontId="6" fillId="0" borderId="6" xfId="51" applyNumberFormat="1" applyFont="1" applyBorder="1" applyAlignment="1">
      <alignment horizontal="center"/>
    </xf>
    <xf numFmtId="0" fontId="16" fillId="6" borderId="11" xfId="51" applyFont="1" applyFill="1" applyBorder="1" applyAlignment="1">
      <alignment horizontal="left"/>
    </xf>
    <xf numFmtId="0" fontId="6" fillId="0" borderId="11" xfId="51" applyFont="1" applyBorder="1" applyAlignment="1">
      <alignment horizontal="center"/>
    </xf>
    <xf numFmtId="164" fontId="6" fillId="0" borderId="11" xfId="51" applyNumberFormat="1" applyFont="1" applyBorder="1" applyAlignment="1">
      <alignment horizontal="center"/>
    </xf>
    <xf numFmtId="0" fontId="9" fillId="0" borderId="22" xfId="52" applyBorder="1" applyAlignment="1">
      <alignment horizontal="center"/>
    </xf>
    <xf numFmtId="0" fontId="9" fillId="6" borderId="11" xfId="52" applyFill="1" applyBorder="1"/>
    <xf numFmtId="16" fontId="6" fillId="0" borderId="11" xfId="52" applyNumberFormat="1" applyFont="1" applyBorder="1" applyAlignment="1">
      <alignment horizontal="center"/>
    </xf>
    <xf numFmtId="49" fontId="14" fillId="0" borderId="5" xfId="51" applyNumberFormat="1" applyFont="1" applyBorder="1" applyAlignment="1">
      <alignment horizontal="center"/>
    </xf>
    <xf numFmtId="49" fontId="14" fillId="0" borderId="4" xfId="51" applyNumberFormat="1" applyFont="1" applyBorder="1" applyAlignment="1">
      <alignment horizontal="center"/>
    </xf>
    <xf numFmtId="0" fontId="17" fillId="6" borderId="11" xfId="51" applyFont="1" applyFill="1" applyBorder="1" applyAlignment="1">
      <alignment vertical="center"/>
    </xf>
    <xf numFmtId="0" fontId="14" fillId="0" borderId="6" xfId="51" applyFont="1" applyBorder="1" applyAlignment="1">
      <alignment horizontal="center"/>
    </xf>
    <xf numFmtId="164" fontId="14" fillId="0" borderId="11" xfId="51" applyNumberFormat="1" applyFont="1" applyBorder="1" applyAlignment="1">
      <alignment horizontal="center"/>
    </xf>
    <xf numFmtId="49" fontId="6" fillId="0" borderId="11" xfId="49" applyNumberFormat="1" applyFont="1" applyBorder="1" applyAlignment="1">
      <alignment horizontal="center"/>
    </xf>
    <xf numFmtId="49" fontId="5" fillId="0" borderId="11" xfId="49" applyNumberFormat="1" applyFont="1" applyBorder="1"/>
    <xf numFmtId="16" fontId="6" fillId="0" borderId="6" xfId="49" applyNumberFormat="1" applyFont="1" applyBorder="1" applyAlignment="1">
      <alignment horizontal="center"/>
    </xf>
    <xf numFmtId="165" fontId="4" fillId="6" borderId="11" xfId="50" applyNumberFormat="1" applyFont="1" applyFill="1" applyBorder="1" applyAlignment="1">
      <alignment horizontal="center"/>
    </xf>
    <xf numFmtId="1" fontId="3" fillId="0" borderId="11" xfId="49" applyNumberFormat="1" applyFont="1" applyBorder="1" applyAlignment="1">
      <alignment horizontal="center" wrapText="1"/>
    </xf>
    <xf numFmtId="0" fontId="18" fillId="0" borderId="22" xfId="49" quotePrefix="1" applyFont="1" applyBorder="1" applyAlignment="1">
      <alignment horizontal="center"/>
    </xf>
    <xf numFmtId="0" fontId="18" fillId="0" borderId="6" xfId="49" quotePrefix="1" applyFont="1" applyBorder="1" applyAlignment="1">
      <alignment horizontal="center"/>
    </xf>
    <xf numFmtId="0" fontId="19" fillId="0" borderId="11" xfId="49" quotePrefix="1" applyFont="1" applyBorder="1"/>
    <xf numFmtId="0" fontId="4" fillId="6" borderId="11" xfId="49" applyFont="1" applyFill="1" applyBorder="1" applyAlignment="1">
      <alignment horizontal="center" vertical="center"/>
    </xf>
    <xf numFmtId="1" fontId="3" fillId="6" borderId="11" xfId="49" applyNumberFormat="1" applyFont="1" applyFill="1" applyBorder="1" applyAlignment="1">
      <alignment horizontal="center"/>
    </xf>
    <xf numFmtId="1" fontId="3" fillId="6" borderId="11" xfId="49" applyNumberFormat="1" applyFont="1" applyFill="1" applyBorder="1" applyAlignment="1">
      <alignment horizontal="center" wrapText="1"/>
    </xf>
    <xf numFmtId="49" fontId="6" fillId="6" borderId="22" xfId="51" applyNumberFormat="1" applyFont="1" applyFill="1" applyBorder="1" applyAlignment="1">
      <alignment horizontal="center"/>
    </xf>
    <xf numFmtId="49" fontId="6" fillId="6" borderId="6" xfId="51" applyNumberFormat="1" applyFont="1" applyFill="1" applyBorder="1" applyAlignment="1">
      <alignment horizontal="center"/>
    </xf>
    <xf numFmtId="49" fontId="5" fillId="6" borderId="11" xfId="51" applyNumberFormat="1" applyFont="1" applyFill="1" applyBorder="1"/>
    <xf numFmtId="12" fontId="6" fillId="0" borderId="11" xfId="51" applyNumberFormat="1" applyFont="1" applyBorder="1" applyAlignment="1">
      <alignment horizontal="center"/>
    </xf>
    <xf numFmtId="49" fontId="5" fillId="0" borderId="11" xfId="51" applyNumberFormat="1" applyFont="1" applyBorder="1"/>
    <xf numFmtId="1" fontId="20" fillId="0" borderId="11" xfId="51" applyNumberFormat="1" applyFont="1" applyBorder="1" applyAlignment="1">
      <alignment horizontal="center"/>
    </xf>
    <xf numFmtId="0" fontId="20" fillId="0" borderId="11" xfId="51" applyFont="1" applyBorder="1" applyAlignment="1">
      <alignment horizontal="center"/>
    </xf>
    <xf numFmtId="49" fontId="21" fillId="4" borderId="20" xfId="51" applyNumberFormat="1" applyFont="1" applyFill="1" applyBorder="1" applyAlignment="1">
      <alignment horizontal="center" vertical="center"/>
    </xf>
    <xf numFmtId="49" fontId="21" fillId="4" borderId="0" xfId="51" applyNumberFormat="1" applyFont="1" applyFill="1" applyAlignment="1">
      <alignment horizontal="center" vertical="center"/>
    </xf>
    <xf numFmtId="0" fontId="3" fillId="4" borderId="0" xfId="51" applyFont="1" applyFill="1"/>
    <xf numFmtId="1" fontId="3" fillId="4" borderId="0" xfId="51" applyNumberFormat="1" applyFont="1" applyFill="1" applyAlignment="1">
      <alignment horizontal="center"/>
    </xf>
    <xf numFmtId="166" fontId="3" fillId="4" borderId="0" xfId="51" applyNumberFormat="1" applyFont="1" applyFill="1" applyAlignment="1">
      <alignment horizontal="center" wrapText="1"/>
    </xf>
    <xf numFmtId="0" fontId="3" fillId="4" borderId="19" xfId="51" applyFont="1" applyFill="1" applyBorder="1" applyAlignment="1">
      <alignment horizontal="center"/>
    </xf>
    <xf numFmtId="0" fontId="9" fillId="0" borderId="0" xfId="51"/>
    <xf numFmtId="0" fontId="3" fillId="4" borderId="0" xfId="51" applyFont="1" applyFill="1" applyAlignment="1">
      <alignment horizontal="left" indent="1"/>
    </xf>
    <xf numFmtId="0" fontId="3" fillId="5" borderId="18" xfId="51" applyFont="1" applyFill="1" applyBorder="1" applyAlignment="1">
      <alignment horizontal="center"/>
    </xf>
    <xf numFmtId="0" fontId="3" fillId="5" borderId="17" xfId="51" applyFont="1" applyFill="1" applyBorder="1" applyAlignment="1">
      <alignment horizontal="center"/>
    </xf>
    <xf numFmtId="0" fontId="3" fillId="5" borderId="17" xfId="51" applyFont="1" applyFill="1" applyBorder="1"/>
    <xf numFmtId="0" fontId="4" fillId="5" borderId="17" xfId="51" applyFont="1" applyFill="1" applyBorder="1" applyAlignment="1">
      <alignment horizontal="center"/>
    </xf>
    <xf numFmtId="1" fontId="4" fillId="5" borderId="17" xfId="51" applyNumberFormat="1" applyFont="1" applyFill="1" applyBorder="1" applyAlignment="1">
      <alignment horizontal="center"/>
    </xf>
    <xf numFmtId="166" fontId="3" fillId="5" borderId="17" xfId="51" applyNumberFormat="1" applyFont="1" applyFill="1" applyBorder="1" applyAlignment="1">
      <alignment horizontal="center" wrapText="1"/>
    </xf>
    <xf numFmtId="0" fontId="3" fillId="5" borderId="16" xfId="51" applyFont="1" applyFill="1" applyBorder="1" applyAlignment="1">
      <alignment horizontal="center"/>
    </xf>
    <xf numFmtId="0" fontId="4" fillId="0" borderId="11" xfId="49" applyFont="1" applyBorder="1" applyAlignment="1">
      <alignment horizontal="center"/>
    </xf>
    <xf numFmtId="1" fontId="3" fillId="0" borderId="11" xfId="49" applyNumberFormat="1" applyFont="1" applyBorder="1" applyAlignment="1">
      <alignment horizontal="center"/>
    </xf>
    <xf numFmtId="9" fontId="3" fillId="4" borderId="0" xfId="53" applyFont="1" applyFill="1"/>
    <xf numFmtId="1" fontId="3" fillId="0" borderId="9" xfId="49" applyNumberFormat="1" applyFont="1" applyBorder="1" applyAlignment="1">
      <alignment horizontal="center"/>
    </xf>
    <xf numFmtId="14" fontId="3" fillId="4" borderId="23" xfId="2" applyNumberFormat="1" applyFont="1" applyFill="1" applyBorder="1" applyAlignment="1">
      <alignment horizontal="center" vertical="center" wrapText="1"/>
    </xf>
    <xf numFmtId="14" fontId="3" fillId="4" borderId="31" xfId="2" applyNumberFormat="1" applyFont="1" applyFill="1" applyBorder="1" applyAlignment="1">
      <alignment horizontal="center" vertical="center" wrapText="1"/>
    </xf>
    <xf numFmtId="14" fontId="3" fillId="4" borderId="26" xfId="2" applyNumberFormat="1" applyFont="1" applyFill="1" applyBorder="1" applyAlignment="1">
      <alignment horizontal="center" vertical="center" wrapText="1"/>
    </xf>
    <xf numFmtId="0" fontId="3" fillId="4" borderId="12" xfId="2" applyFont="1" applyFill="1" applyBorder="1" applyAlignment="1">
      <alignment horizontal="left"/>
    </xf>
    <xf numFmtId="0" fontId="3" fillId="4" borderId="7" xfId="2" applyFont="1" applyFill="1" applyBorder="1" applyAlignment="1">
      <alignment horizontal="left"/>
    </xf>
    <xf numFmtId="0" fontId="3" fillId="4" borderId="13" xfId="2" applyFont="1" applyFill="1" applyBorder="1" applyAlignment="1">
      <alignment horizontal="left"/>
    </xf>
    <xf numFmtId="0" fontId="3" fillId="4" borderId="10" xfId="2" applyFont="1" applyFill="1" applyBorder="1" applyAlignment="1">
      <alignment horizontal="left"/>
    </xf>
    <xf numFmtId="0" fontId="3" fillId="4" borderId="4" xfId="2" applyFont="1" applyFill="1" applyBorder="1" applyAlignment="1">
      <alignment horizontal="left"/>
    </xf>
    <xf numFmtId="0" fontId="3" fillId="4" borderId="6" xfId="2" applyFont="1" applyFill="1" applyBorder="1" applyAlignment="1">
      <alignment horizontal="left"/>
    </xf>
    <xf numFmtId="0" fontId="3" fillId="4" borderId="36" xfId="2" applyFont="1" applyFill="1" applyBorder="1" applyAlignment="1">
      <alignment horizontal="center"/>
    </xf>
    <xf numFmtId="0" fontId="3" fillId="4" borderId="35" xfId="2" applyFont="1" applyFill="1" applyBorder="1" applyAlignment="1">
      <alignment horizontal="center"/>
    </xf>
    <xf numFmtId="0" fontId="3" fillId="4" borderId="20" xfId="2" applyFont="1" applyFill="1" applyBorder="1" applyAlignment="1">
      <alignment horizontal="center"/>
    </xf>
    <xf numFmtId="0" fontId="3" fillId="4" borderId="0" xfId="2" applyFont="1" applyFill="1" applyAlignment="1">
      <alignment horizontal="center"/>
    </xf>
    <xf numFmtId="0" fontId="3" fillId="4" borderId="37" xfId="2" applyFont="1" applyFill="1" applyBorder="1" applyAlignment="1">
      <alignment horizontal="center"/>
    </xf>
    <xf numFmtId="0" fontId="3" fillId="4" borderId="32" xfId="2" applyFont="1" applyFill="1" applyBorder="1" applyAlignment="1">
      <alignment horizontal="center"/>
    </xf>
    <xf numFmtId="0" fontId="8" fillId="4" borderId="34" xfId="2" applyFont="1" applyFill="1" applyBorder="1" applyAlignment="1">
      <alignment horizontal="center"/>
    </xf>
    <xf numFmtId="0" fontId="8" fillId="4" borderId="8" xfId="2" applyFont="1" applyFill="1" applyBorder="1" applyAlignment="1">
      <alignment horizontal="center"/>
    </xf>
    <xf numFmtId="0" fontId="8" fillId="4" borderId="2" xfId="2" applyFont="1" applyFill="1" applyBorder="1" applyAlignment="1">
      <alignment horizontal="center"/>
    </xf>
    <xf numFmtId="0" fontId="8" fillId="4" borderId="1" xfId="2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4" fillId="4" borderId="25" xfId="2" applyFont="1" applyFill="1" applyBorder="1" applyAlignment="1">
      <alignment horizontal="right" vertical="top" wrapText="1"/>
    </xf>
    <xf numFmtId="0" fontId="4" fillId="4" borderId="28" xfId="2" applyFont="1" applyFill="1" applyBorder="1" applyAlignment="1">
      <alignment horizontal="right" vertical="top" wrapText="1"/>
    </xf>
    <xf numFmtId="0" fontId="4" fillId="4" borderId="38" xfId="2" applyFont="1" applyFill="1" applyBorder="1" applyAlignment="1">
      <alignment horizontal="right" vertical="top" wrapText="1"/>
    </xf>
    <xf numFmtId="0" fontId="11" fillId="4" borderId="0" xfId="3" applyFont="1" applyFill="1" applyAlignment="1">
      <alignment horizontal="right"/>
    </xf>
    <xf numFmtId="0" fontId="12" fillId="4" borderId="33" xfId="3" applyFont="1" applyFill="1" applyBorder="1" applyAlignment="1">
      <alignment horizontal="center"/>
    </xf>
    <xf numFmtId="0" fontId="11" fillId="4" borderId="0" xfId="3" applyFont="1" applyFill="1"/>
    <xf numFmtId="0" fontId="4" fillId="5" borderId="39" xfId="4" applyFont="1" applyFill="1" applyBorder="1" applyAlignment="1">
      <alignment horizontal="center" vertical="center"/>
    </xf>
    <xf numFmtId="0" fontId="4" fillId="5" borderId="40" xfId="4" applyFont="1" applyFill="1" applyBorder="1" applyAlignment="1">
      <alignment horizontal="center" vertical="center"/>
    </xf>
    <xf numFmtId="0" fontId="4" fillId="5" borderId="39" xfId="4" applyFont="1" applyFill="1" applyBorder="1" applyAlignment="1">
      <alignment horizontal="center" vertical="center" wrapText="1"/>
    </xf>
    <xf numFmtId="0" fontId="4" fillId="5" borderId="40" xfId="4" applyFont="1" applyFill="1" applyBorder="1" applyAlignment="1">
      <alignment horizontal="center" vertical="center" wrapText="1"/>
    </xf>
    <xf numFmtId="0" fontId="4" fillId="5" borderId="34" xfId="4" applyFont="1" applyFill="1" applyBorder="1" applyAlignment="1">
      <alignment horizontal="center" vertical="center"/>
    </xf>
    <xf numFmtId="0" fontId="4" fillId="5" borderId="9" xfId="4" applyFont="1" applyFill="1" applyBorder="1" applyAlignment="1">
      <alignment horizontal="center" vertical="center"/>
    </xf>
    <xf numFmtId="0" fontId="4" fillId="0" borderId="37" xfId="4" applyFont="1" applyBorder="1" applyAlignment="1">
      <alignment horizontal="right"/>
    </xf>
    <xf numFmtId="0" fontId="4" fillId="0" borderId="32" xfId="4" applyFont="1" applyBorder="1" applyAlignment="1">
      <alignment horizontal="right"/>
    </xf>
    <xf numFmtId="0" fontId="4" fillId="0" borderId="27" xfId="4" applyFont="1" applyBorder="1" applyAlignment="1">
      <alignment horizontal="right"/>
    </xf>
    <xf numFmtId="166" fontId="3" fillId="0" borderId="15" xfId="4" applyNumberFormat="1" applyFont="1" applyBorder="1" applyAlignment="1">
      <alignment horizontal="right"/>
    </xf>
    <xf numFmtId="0" fontId="3" fillId="4" borderId="14" xfId="4" applyFont="1" applyFill="1" applyBorder="1" applyAlignment="1">
      <alignment horizontal="center"/>
    </xf>
    <xf numFmtId="0" fontId="3" fillId="4" borderId="41" xfId="4" applyFont="1" applyFill="1" applyBorder="1" applyAlignment="1">
      <alignment horizontal="center"/>
    </xf>
    <xf numFmtId="0" fontId="4" fillId="0" borderId="5" xfId="4" applyFont="1" applyBorder="1" applyAlignment="1">
      <alignment horizontal="right"/>
    </xf>
    <xf numFmtId="0" fontId="4" fillId="0" borderId="4" xfId="4" applyFont="1" applyBorder="1" applyAlignment="1">
      <alignment horizontal="right"/>
    </xf>
    <xf numFmtId="0" fontId="4" fillId="0" borderId="6" xfId="4" applyFont="1" applyBorder="1" applyAlignment="1">
      <alignment horizontal="right"/>
    </xf>
    <xf numFmtId="0" fontId="3" fillId="0" borderId="11" xfId="4" applyFont="1" applyBorder="1" applyAlignment="1">
      <alignment horizontal="right"/>
    </xf>
    <xf numFmtId="166" fontId="3" fillId="0" borderId="10" xfId="4" applyNumberFormat="1" applyFont="1" applyBorder="1" applyAlignment="1">
      <alignment horizontal="center"/>
    </xf>
    <xf numFmtId="166" fontId="3" fillId="0" borderId="42" xfId="4" applyNumberFormat="1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166" fontId="3" fillId="0" borderId="10" xfId="4" applyNumberFormat="1" applyFont="1" applyBorder="1" applyAlignment="1">
      <alignment horizontal="right" wrapText="1"/>
    </xf>
    <xf numFmtId="166" fontId="3" fillId="0" borderId="6" xfId="4" applyNumberFormat="1" applyFont="1" applyBorder="1" applyAlignment="1">
      <alignment horizontal="right" wrapText="1"/>
    </xf>
    <xf numFmtId="0" fontId="4" fillId="0" borderId="40" xfId="4" applyFont="1" applyBorder="1" applyAlignment="1">
      <alignment horizontal="right"/>
    </xf>
    <xf numFmtId="0" fontId="4" fillId="0" borderId="1" xfId="4" applyFont="1" applyBorder="1" applyAlignment="1">
      <alignment horizontal="right"/>
    </xf>
    <xf numFmtId="0" fontId="4" fillId="0" borderId="9" xfId="4" applyFont="1" applyBorder="1" applyAlignment="1">
      <alignment horizontal="right"/>
    </xf>
    <xf numFmtId="0" fontId="3" fillId="0" borderId="9" xfId="4" applyFont="1" applyBorder="1" applyAlignment="1">
      <alignment horizontal="right"/>
    </xf>
    <xf numFmtId="166" fontId="3" fillId="0" borderId="8" xfId="4" applyNumberFormat="1" applyFont="1" applyBorder="1" applyAlignment="1">
      <alignment horizontal="center"/>
    </xf>
    <xf numFmtId="166" fontId="3" fillId="0" borderId="43" xfId="4" applyNumberFormat="1" applyFont="1" applyBorder="1" applyAlignment="1">
      <alignment horizontal="center"/>
    </xf>
    <xf numFmtId="0" fontId="4" fillId="5" borderId="18" xfId="4" applyFont="1" applyFill="1" applyBorder="1" applyAlignment="1">
      <alignment horizontal="left"/>
    </xf>
    <xf numFmtId="0" fontId="4" fillId="5" borderId="17" xfId="4" applyFont="1" applyFill="1" applyBorder="1" applyAlignment="1">
      <alignment horizontal="left"/>
    </xf>
    <xf numFmtId="0" fontId="4" fillId="5" borderId="16" xfId="4" applyFont="1" applyFill="1" applyBorder="1" applyAlignment="1">
      <alignment horizontal="left"/>
    </xf>
    <xf numFmtId="0" fontId="3" fillId="0" borderId="3" xfId="4" applyFont="1" applyBorder="1" applyAlignment="1">
      <alignment horizontal="left"/>
    </xf>
    <xf numFmtId="0" fontId="3" fillId="0" borderId="2" xfId="4" applyFont="1" applyBorder="1" applyAlignment="1">
      <alignment horizontal="left"/>
    </xf>
    <xf numFmtId="0" fontId="3" fillId="0" borderId="43" xfId="4" applyFont="1" applyBorder="1" applyAlignment="1">
      <alignment horizontal="left"/>
    </xf>
    <xf numFmtId="0" fontId="4" fillId="7" borderId="44" xfId="2" applyFont="1" applyFill="1" applyBorder="1" applyAlignment="1">
      <alignment horizontal="center"/>
    </xf>
    <xf numFmtId="0" fontId="4" fillId="7" borderId="35" xfId="2" applyFont="1" applyFill="1" applyBorder="1" applyAlignment="1">
      <alignment horizontal="center"/>
    </xf>
    <xf numFmtId="0" fontId="3" fillId="4" borderId="45" xfId="2" applyFont="1" applyFill="1" applyBorder="1" applyAlignment="1">
      <alignment horizontal="left"/>
    </xf>
    <xf numFmtId="0" fontId="3" fillId="4" borderId="0" xfId="2" applyFont="1" applyFill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2" fillId="0" borderId="37" xfId="4" applyFont="1" applyBorder="1" applyAlignment="1">
      <alignment horizontal="left" wrapText="1"/>
    </xf>
    <xf numFmtId="0" fontId="22" fillId="0" borderId="32" xfId="4" applyFont="1" applyBorder="1" applyAlignment="1">
      <alignment horizontal="left" wrapText="1"/>
    </xf>
    <xf numFmtId="0" fontId="22" fillId="0" borderId="41" xfId="4" applyFont="1" applyBorder="1" applyAlignment="1">
      <alignment horizontal="left" wrapText="1"/>
    </xf>
    <xf numFmtId="0" fontId="5" fillId="0" borderId="5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0" borderId="42" xfId="0" applyFont="1" applyBorder="1" applyAlignment="1">
      <alignment horizontal="left"/>
    </xf>
    <xf numFmtId="0" fontId="3" fillId="0" borderId="5" xfId="4" applyFont="1" applyBorder="1" applyAlignment="1">
      <alignment horizontal="left" wrapText="1"/>
    </xf>
    <xf numFmtId="0" fontId="3" fillId="0" borderId="4" xfId="4" applyFont="1" applyBorder="1" applyAlignment="1">
      <alignment horizontal="left" wrapText="1"/>
    </xf>
    <xf numFmtId="0" fontId="3" fillId="0" borderId="42" xfId="4" applyFont="1" applyBorder="1" applyAlignment="1">
      <alignment horizontal="left" wrapText="1"/>
    </xf>
    <xf numFmtId="0" fontId="7" fillId="3" borderId="18" xfId="49" applyFont="1" applyFill="1" applyBorder="1" applyAlignment="1">
      <alignment horizontal="center"/>
    </xf>
    <xf numFmtId="0" fontId="7" fillId="3" borderId="17" xfId="49" applyFont="1" applyFill="1" applyBorder="1" applyAlignment="1">
      <alignment horizontal="center"/>
    </xf>
    <xf numFmtId="0" fontId="4" fillId="5" borderId="39" xfId="51" applyFont="1" applyFill="1" applyBorder="1" applyAlignment="1">
      <alignment horizontal="center" vertical="center"/>
    </xf>
    <xf numFmtId="0" fontId="4" fillId="5" borderId="40" xfId="51" applyFont="1" applyFill="1" applyBorder="1" applyAlignment="1">
      <alignment horizontal="center" vertical="center"/>
    </xf>
    <xf numFmtId="0" fontId="4" fillId="5" borderId="39" xfId="51" applyFont="1" applyFill="1" applyBorder="1" applyAlignment="1">
      <alignment horizontal="center" vertical="center" wrapText="1"/>
    </xf>
    <xf numFmtId="0" fontId="4" fillId="5" borderId="40" xfId="51" applyFont="1" applyFill="1" applyBorder="1" applyAlignment="1">
      <alignment horizontal="center" vertical="center" wrapText="1"/>
    </xf>
    <xf numFmtId="0" fontId="4" fillId="5" borderId="34" xfId="51" applyFont="1" applyFill="1" applyBorder="1" applyAlignment="1">
      <alignment horizontal="center" vertical="center"/>
    </xf>
    <xf numFmtId="0" fontId="4" fillId="5" borderId="9" xfId="51" applyFont="1" applyFill="1" applyBorder="1" applyAlignment="1">
      <alignment horizontal="center" vertical="center"/>
    </xf>
    <xf numFmtId="0" fontId="4" fillId="0" borderId="37" xfId="51" applyFont="1" applyBorder="1" applyAlignment="1">
      <alignment horizontal="right"/>
    </xf>
    <xf numFmtId="0" fontId="4" fillId="0" borderId="32" xfId="51" applyFont="1" applyBorder="1" applyAlignment="1">
      <alignment horizontal="right"/>
    </xf>
    <xf numFmtId="0" fontId="4" fillId="0" borderId="27" xfId="51" applyFont="1" applyBorder="1" applyAlignment="1">
      <alignment horizontal="right"/>
    </xf>
    <xf numFmtId="166" fontId="3" fillId="0" borderId="15" xfId="51" applyNumberFormat="1" applyFont="1" applyBorder="1" applyAlignment="1">
      <alignment horizontal="right"/>
    </xf>
    <xf numFmtId="0" fontId="3" fillId="4" borderId="14" xfId="51" applyFont="1" applyFill="1" applyBorder="1" applyAlignment="1">
      <alignment horizontal="center"/>
    </xf>
    <xf numFmtId="0" fontId="3" fillId="4" borderId="41" xfId="51" applyFont="1" applyFill="1" applyBorder="1" applyAlignment="1">
      <alignment horizontal="center"/>
    </xf>
    <xf numFmtId="0" fontId="4" fillId="0" borderId="5" xfId="51" applyFont="1" applyBorder="1" applyAlignment="1">
      <alignment horizontal="right"/>
    </xf>
    <xf numFmtId="0" fontId="4" fillId="0" borderId="4" xfId="51" applyFont="1" applyBorder="1" applyAlignment="1">
      <alignment horizontal="right"/>
    </xf>
    <xf numFmtId="0" fontId="4" fillId="0" borderId="6" xfId="51" applyFont="1" applyBorder="1" applyAlignment="1">
      <alignment horizontal="right"/>
    </xf>
    <xf numFmtId="0" fontId="3" fillId="0" borderId="11" xfId="51" applyFont="1" applyBorder="1" applyAlignment="1">
      <alignment horizontal="right"/>
    </xf>
    <xf numFmtId="166" fontId="3" fillId="0" borderId="10" xfId="51" applyNumberFormat="1" applyFont="1" applyBorder="1" applyAlignment="1">
      <alignment horizontal="center"/>
    </xf>
    <xf numFmtId="166" fontId="3" fillId="0" borderId="42" xfId="51" applyNumberFormat="1" applyFont="1" applyBorder="1" applyAlignment="1">
      <alignment horizontal="center"/>
    </xf>
    <xf numFmtId="0" fontId="3" fillId="0" borderId="5" xfId="49" applyFont="1" applyBorder="1" applyAlignment="1">
      <alignment horizontal="left"/>
    </xf>
    <xf numFmtId="0" fontId="3" fillId="0" borderId="4" xfId="49" applyFont="1" applyBorder="1" applyAlignment="1">
      <alignment horizontal="left"/>
    </xf>
    <xf numFmtId="0" fontId="3" fillId="0" borderId="6" xfId="49" applyFont="1" applyBorder="1" applyAlignment="1">
      <alignment horizontal="left"/>
    </xf>
    <xf numFmtId="166" fontId="3" fillId="0" borderId="10" xfId="51" applyNumberFormat="1" applyFont="1" applyBorder="1" applyAlignment="1">
      <alignment horizontal="right" wrapText="1"/>
    </xf>
    <xf numFmtId="166" fontId="3" fillId="0" borderId="6" xfId="51" applyNumberFormat="1" applyFont="1" applyBorder="1" applyAlignment="1">
      <alignment horizontal="right" wrapText="1"/>
    </xf>
    <xf numFmtId="0" fontId="4" fillId="0" borderId="40" xfId="51" applyFont="1" applyBorder="1" applyAlignment="1">
      <alignment horizontal="right"/>
    </xf>
    <xf numFmtId="0" fontId="4" fillId="0" borderId="1" xfId="51" applyFont="1" applyBorder="1" applyAlignment="1">
      <alignment horizontal="right"/>
    </xf>
    <xf numFmtId="0" fontId="4" fillId="0" borderId="9" xfId="51" applyFont="1" applyBorder="1" applyAlignment="1">
      <alignment horizontal="right"/>
    </xf>
    <xf numFmtId="0" fontId="3" fillId="0" borderId="9" xfId="51" applyFont="1" applyBorder="1" applyAlignment="1">
      <alignment horizontal="right"/>
    </xf>
    <xf numFmtId="166" fontId="3" fillId="0" borderId="8" xfId="51" applyNumberFormat="1" applyFont="1" applyBorder="1" applyAlignment="1">
      <alignment horizontal="center"/>
    </xf>
    <xf numFmtId="166" fontId="3" fillId="0" borderId="43" xfId="51" applyNumberFormat="1" applyFont="1" applyBorder="1" applyAlignment="1">
      <alignment horizontal="center"/>
    </xf>
    <xf numFmtId="0" fontId="4" fillId="5" borderId="18" xfId="51" applyFont="1" applyFill="1" applyBorder="1" applyAlignment="1">
      <alignment horizontal="left"/>
    </xf>
    <xf numFmtId="0" fontId="4" fillId="5" borderId="17" xfId="51" applyFont="1" applyFill="1" applyBorder="1" applyAlignment="1">
      <alignment horizontal="left"/>
    </xf>
    <xf numFmtId="0" fontId="4" fillId="5" borderId="16" xfId="51" applyFont="1" applyFill="1" applyBorder="1" applyAlignment="1">
      <alignment horizontal="left"/>
    </xf>
    <xf numFmtId="0" fontId="3" fillId="0" borderId="3" xfId="51" applyFont="1" applyBorder="1" applyAlignment="1">
      <alignment horizontal="left"/>
    </xf>
    <xf numFmtId="0" fontId="3" fillId="0" borderId="2" xfId="51" applyFont="1" applyBorder="1" applyAlignment="1">
      <alignment horizontal="left"/>
    </xf>
    <xf numFmtId="0" fontId="3" fillId="0" borderId="43" xfId="51" applyFont="1" applyBorder="1" applyAlignment="1">
      <alignment horizontal="left"/>
    </xf>
    <xf numFmtId="0" fontId="3" fillId="0" borderId="3" xfId="49" applyFont="1" applyBorder="1" applyAlignment="1">
      <alignment horizontal="left"/>
    </xf>
    <xf numFmtId="0" fontId="3" fillId="0" borderId="2" xfId="49" applyFont="1" applyBorder="1" applyAlignment="1">
      <alignment horizontal="left"/>
    </xf>
    <xf numFmtId="0" fontId="3" fillId="0" borderId="1" xfId="49" applyFont="1" applyBorder="1" applyAlignment="1">
      <alignment horizontal="left"/>
    </xf>
    <xf numFmtId="0" fontId="22" fillId="0" borderId="37" xfId="51" applyFont="1" applyBorder="1" applyAlignment="1">
      <alignment horizontal="left" wrapText="1"/>
    </xf>
    <xf numFmtId="0" fontId="22" fillId="0" borderId="32" xfId="51" applyFont="1" applyBorder="1" applyAlignment="1">
      <alignment horizontal="left" wrapText="1"/>
    </xf>
    <xf numFmtId="0" fontId="22" fillId="0" borderId="41" xfId="51" applyFont="1" applyBorder="1" applyAlignment="1">
      <alignment horizontal="left" wrapText="1"/>
    </xf>
    <xf numFmtId="0" fontId="5" fillId="0" borderId="5" xfId="49" applyFont="1" applyBorder="1" applyAlignment="1">
      <alignment horizontal="left"/>
    </xf>
    <xf numFmtId="0" fontId="5" fillId="0" borderId="4" xfId="49" applyFont="1" applyBorder="1" applyAlignment="1">
      <alignment horizontal="left"/>
    </xf>
    <xf numFmtId="0" fontId="5" fillId="0" borderId="42" xfId="49" applyFont="1" applyBorder="1" applyAlignment="1">
      <alignment horizontal="left"/>
    </xf>
    <xf numFmtId="0" fontId="3" fillId="0" borderId="5" xfId="51" applyFont="1" applyBorder="1" applyAlignment="1">
      <alignment horizontal="left" wrapText="1"/>
    </xf>
    <xf numFmtId="0" fontId="3" fillId="0" borderId="4" xfId="51" applyFont="1" applyBorder="1" applyAlignment="1">
      <alignment horizontal="left" wrapText="1"/>
    </xf>
    <xf numFmtId="0" fontId="3" fillId="0" borderId="42" xfId="51" applyFont="1" applyBorder="1" applyAlignment="1">
      <alignment horizontal="left" wrapText="1"/>
    </xf>
  </cellXfs>
  <cellStyles count="74">
    <cellStyle name="20% - Énfasis1" xfId="24" builtinId="30" customBuiltin="1"/>
    <cellStyle name="20% - Énfasis1 2" xfId="54" xr:uid="{2B04CAE9-BA28-42E6-AC0D-F67FADF9DF84}"/>
    <cellStyle name="20% - Énfasis2" xfId="28" builtinId="34" customBuiltin="1"/>
    <cellStyle name="20% - Énfasis2 2" xfId="57" xr:uid="{BDE6DB0A-5B08-4DE0-9D53-F17FFED94829}"/>
    <cellStyle name="20% - Énfasis3" xfId="32" builtinId="38" customBuiltin="1"/>
    <cellStyle name="20% - Énfasis3 2" xfId="60" xr:uid="{EA8366EA-2262-423F-B1E8-0FEF8EF4E01B}"/>
    <cellStyle name="20% - Énfasis4" xfId="36" builtinId="42" customBuiltin="1"/>
    <cellStyle name="20% - Énfasis4 2" xfId="63" xr:uid="{6E2225AD-75A1-4BB2-A14F-CBDE925AF48D}"/>
    <cellStyle name="20% - Énfasis5" xfId="40" builtinId="46" customBuiltin="1"/>
    <cellStyle name="20% - Énfasis5 2" xfId="66" xr:uid="{AC6C8302-85FA-4510-8908-A5E872E5BC97}"/>
    <cellStyle name="20% - Énfasis6" xfId="44" builtinId="50" customBuiltin="1"/>
    <cellStyle name="20% - Énfasis6 2" xfId="69" xr:uid="{E77CF3C1-CBBA-4CDF-B10A-D026A83A82CD}"/>
    <cellStyle name="40% - Énfasis1" xfId="25" builtinId="31" customBuiltin="1"/>
    <cellStyle name="40% - Énfasis1 2" xfId="55" xr:uid="{29E0E2B6-B81C-4655-9540-301271E8A7BA}"/>
    <cellStyle name="40% - Énfasis2" xfId="29" builtinId="35" customBuiltin="1"/>
    <cellStyle name="40% - Énfasis2 2" xfId="58" xr:uid="{DF7F33E0-E3FB-476D-AE21-C85D4752956E}"/>
    <cellStyle name="40% - Énfasis3" xfId="33" builtinId="39" customBuiltin="1"/>
    <cellStyle name="40% - Énfasis3 2" xfId="61" xr:uid="{CD40FE58-B27A-4D44-BBF0-8EDFD24968F8}"/>
    <cellStyle name="40% - Énfasis4" xfId="37" builtinId="43" customBuiltin="1"/>
    <cellStyle name="40% - Énfasis4 2" xfId="64" xr:uid="{50D8B326-75BF-48FD-BC5D-1E8ACE8D5995}"/>
    <cellStyle name="40% - Énfasis5" xfId="41" builtinId="47" customBuiltin="1"/>
    <cellStyle name="40% - Énfasis5 2" xfId="67" xr:uid="{329F8FD7-0A57-4DDF-8AE0-49AF28DFC39A}"/>
    <cellStyle name="40% - Énfasis6" xfId="45" builtinId="51" customBuiltin="1"/>
    <cellStyle name="40% - Énfasis6 2" xfId="70" xr:uid="{4C5285A8-56E8-40F4-A85E-8C6D14769071}"/>
    <cellStyle name="60% - Énfasis1" xfId="26" builtinId="32" customBuiltin="1"/>
    <cellStyle name="60% - Énfasis1 2" xfId="56" xr:uid="{0B959BB2-1F50-43F5-9029-19B101EDD602}"/>
    <cellStyle name="60% - Énfasis2" xfId="30" builtinId="36" customBuiltin="1"/>
    <cellStyle name="60% - Énfasis2 2" xfId="59" xr:uid="{5C11ACF8-FC2F-486F-AC6A-7DAE2739D57B}"/>
    <cellStyle name="60% - Énfasis3" xfId="34" builtinId="40" customBuiltin="1"/>
    <cellStyle name="60% - Énfasis3 2" xfId="62" xr:uid="{3DD3EA06-7D02-4099-AD11-2360A901A424}"/>
    <cellStyle name="60% - Énfasis4" xfId="38" builtinId="44" customBuiltin="1"/>
    <cellStyle name="60% - Énfasis4 2" xfId="65" xr:uid="{D1578404-5B5A-48A6-B3CC-B3C720234ED3}"/>
    <cellStyle name="60% - Énfasis5" xfId="42" builtinId="48" customBuiltin="1"/>
    <cellStyle name="60% - Énfasis5 2" xfId="68" xr:uid="{8ABEC4D5-26E6-4941-BCC7-4EB1172BD008}"/>
    <cellStyle name="60% - Énfasis6" xfId="46" builtinId="52" customBuiltin="1"/>
    <cellStyle name="60% - Énfasis6 2" xfId="71" xr:uid="{42650F85-F2C6-470F-87F5-DAC19781011E}"/>
    <cellStyle name="Bueno" xfId="12" builtinId="26" customBuiltin="1"/>
    <cellStyle name="Cálculo" xfId="17" builtinId="22" customBuiltin="1"/>
    <cellStyle name="Celda de comprobación" xfId="19" builtinId="23" customBuiltin="1"/>
    <cellStyle name="Celda vinculada" xfId="18" builtinId="24" customBuiltin="1"/>
    <cellStyle name="Encabezado 1" xfId="8" builtinId="16" customBuiltin="1"/>
    <cellStyle name="Encabezado 4" xfId="11" builtinId="19" customBuiltin="1"/>
    <cellStyle name="Énfasis1" xfId="23" builtinId="29" customBuiltin="1"/>
    <cellStyle name="Énfasis2" xfId="27" builtinId="33" customBuiltin="1"/>
    <cellStyle name="Énfasis3" xfId="31" builtinId="37" customBuiltin="1"/>
    <cellStyle name="Énfasis4" xfId="35" builtinId="41" customBuiltin="1"/>
    <cellStyle name="Énfasis5" xfId="39" builtinId="45" customBuiltin="1"/>
    <cellStyle name="Énfasis6" xfId="43" builtinId="49" customBuiltin="1"/>
    <cellStyle name="Entrada" xfId="15" builtinId="20" customBuiltin="1"/>
    <cellStyle name="Incorrecto" xfId="13" builtinId="27" customBuiltin="1"/>
    <cellStyle name="Millares" xfId="1" builtinId="3"/>
    <cellStyle name="Millares 2" xfId="50" xr:uid="{CB6AA326-8FBC-43DD-BE2B-F1F8F5248210}"/>
    <cellStyle name="Neutral" xfId="14" builtinId="28" customBuiltin="1"/>
    <cellStyle name="Normal" xfId="0" builtinId="0"/>
    <cellStyle name="Normal 2" xfId="4" xr:uid="{F9BB0020-4674-4302-9026-E57C36EB81BE}"/>
    <cellStyle name="Normal 2 2" xfId="51" xr:uid="{D24FDD1D-43EB-4205-B262-DA1E511EFFBC}"/>
    <cellStyle name="Normal 3" xfId="47" xr:uid="{6B4038C3-C30C-404D-9835-EB2287FA4899}"/>
    <cellStyle name="Normal 3 2" xfId="5" xr:uid="{25B70929-6F2C-47F2-92BE-4990B1C4DAC0}"/>
    <cellStyle name="Normal 3 2 2" xfId="52" xr:uid="{EE0907F3-923C-483D-9CDA-B9E1DF4A11AC}"/>
    <cellStyle name="Normal 3 3" xfId="72" xr:uid="{FBB4EE0C-BFC6-436B-A753-EC17BB8C23D1}"/>
    <cellStyle name="Normal 4" xfId="49" xr:uid="{D9426605-762F-471B-811A-D700C0A51EB4}"/>
    <cellStyle name="Normal_CRITERIOS DE EVALUACION PT DE GB" xfId="2" xr:uid="{171E91F5-9C45-49C9-B193-215ACF2576CA}"/>
    <cellStyle name="Normal_CRITERIOS DE EVALUACION PT DE GB 2" xfId="3" xr:uid="{92E0E63A-2D29-45B9-AD5C-1E5E18910FF6}"/>
    <cellStyle name="Notas 2" xfId="48" xr:uid="{9BB7E345-712C-4766-BCE0-DFC32CAD8582}"/>
    <cellStyle name="Notas 2 2" xfId="73" xr:uid="{F59C1BCC-73B9-4A4B-9C4D-C8984FD6A747}"/>
    <cellStyle name="Porcentaje 2 2" xfId="6" xr:uid="{69E975C4-1A42-486E-85FB-470EAFCB83CC}"/>
    <cellStyle name="Porcentaje 2 2 2" xfId="53" xr:uid="{3C22F5D7-783A-4428-9FE7-A63169BEBBB9}"/>
    <cellStyle name="Salida" xfId="16" builtinId="21" customBuiltin="1"/>
    <cellStyle name="Texto de advertencia" xfId="20" builtinId="11" customBuiltin="1"/>
    <cellStyle name="Texto explicativo" xfId="21" builtinId="53" customBuiltin="1"/>
    <cellStyle name="Título" xfId="7" builtinId="15" customBuiltin="1"/>
    <cellStyle name="Título 2" xfId="9" builtinId="17" customBuiltin="1"/>
    <cellStyle name="Título 3" xfId="10" builtinId="18" customBuiltin="1"/>
    <cellStyle name="Total" xfId="2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0</xdr:rowOff>
    </xdr:from>
    <xdr:to>
      <xdr:col>1</xdr:col>
      <xdr:colOff>518159</xdr:colOff>
      <xdr:row>3</xdr:row>
      <xdr:rowOff>104775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0200E60-8CEF-4549-9463-9F568BEE3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00025"/>
          <a:ext cx="122300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0D63E-716F-44E6-8823-7679C781AEC4}">
  <dimension ref="A1:M42"/>
  <sheetViews>
    <sheetView zoomScale="70" zoomScaleNormal="70" workbookViewId="0">
      <selection activeCell="C15" sqref="C1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13" ht="15.75" x14ac:dyDescent="0.25">
      <c r="A1" s="182"/>
      <c r="B1" s="183"/>
      <c r="C1" s="188" t="s">
        <v>34</v>
      </c>
      <c r="D1" s="188"/>
      <c r="E1" s="188"/>
      <c r="F1" s="188"/>
      <c r="G1" s="188"/>
      <c r="H1" s="12" t="s">
        <v>33</v>
      </c>
      <c r="I1" s="11" t="s">
        <v>52</v>
      </c>
      <c r="J1" s="13"/>
      <c r="K1" s="13"/>
      <c r="L1" s="13"/>
      <c r="M1" s="13"/>
    </row>
    <row r="2" spans="1:13" ht="18" customHeight="1" thickBot="1" x14ac:dyDescent="0.3">
      <c r="A2" s="184"/>
      <c r="B2" s="185"/>
      <c r="C2" s="189" t="s">
        <v>32</v>
      </c>
      <c r="D2" s="190"/>
      <c r="E2" s="190"/>
      <c r="F2" s="190"/>
      <c r="G2" s="191"/>
      <c r="H2" s="14" t="s">
        <v>31</v>
      </c>
      <c r="I2" s="15" t="s">
        <v>35</v>
      </c>
    </row>
    <row r="3" spans="1:13" ht="15.95" customHeight="1" thickBot="1" x14ac:dyDescent="0.3">
      <c r="A3" s="184"/>
      <c r="B3" s="185"/>
      <c r="C3" s="192" t="s">
        <v>122</v>
      </c>
      <c r="D3" s="193"/>
      <c r="E3" s="193"/>
      <c r="F3" s="193"/>
      <c r="G3" s="193"/>
      <c r="H3" s="194" t="s">
        <v>30</v>
      </c>
      <c r="I3" s="173">
        <v>45611</v>
      </c>
    </row>
    <row r="4" spans="1:13" ht="18" customHeight="1" x14ac:dyDescent="0.25">
      <c r="A4" s="184"/>
      <c r="B4" s="185"/>
      <c r="C4" s="16" t="s">
        <v>29</v>
      </c>
      <c r="D4" s="176" t="s">
        <v>36</v>
      </c>
      <c r="E4" s="177"/>
      <c r="F4" s="177"/>
      <c r="G4" s="178"/>
      <c r="H4" s="195"/>
      <c r="I4" s="174"/>
    </row>
    <row r="5" spans="1:13" ht="14.25" thickBot="1" x14ac:dyDescent="0.3">
      <c r="A5" s="186"/>
      <c r="B5" s="187"/>
      <c r="C5" s="17" t="s">
        <v>28</v>
      </c>
      <c r="D5" s="179" t="s">
        <v>37</v>
      </c>
      <c r="E5" s="180"/>
      <c r="F5" s="180"/>
      <c r="G5" s="181"/>
      <c r="H5" s="196"/>
      <c r="I5" s="175"/>
    </row>
    <row r="6" spans="1:13" ht="18.75" thickBot="1" x14ac:dyDescent="0.3">
      <c r="A6" s="197" t="s">
        <v>38</v>
      </c>
      <c r="B6" s="197"/>
      <c r="C6" s="197"/>
      <c r="D6" s="198" t="s">
        <v>39</v>
      </c>
      <c r="E6" s="198"/>
      <c r="F6" s="198"/>
      <c r="G6" s="199" t="s">
        <v>40</v>
      </c>
      <c r="H6" s="199"/>
      <c r="I6" s="18" t="s">
        <v>39</v>
      </c>
    </row>
    <row r="7" spans="1:13" ht="25.5" x14ac:dyDescent="0.2">
      <c r="A7" s="200" t="s">
        <v>41</v>
      </c>
      <c r="B7" s="202" t="s">
        <v>42</v>
      </c>
      <c r="C7" s="204" t="s">
        <v>27</v>
      </c>
      <c r="D7" s="204" t="s">
        <v>26</v>
      </c>
      <c r="E7" s="204" t="s">
        <v>25</v>
      </c>
      <c r="F7" s="204"/>
      <c r="G7" s="204" t="s">
        <v>24</v>
      </c>
      <c r="H7" s="204"/>
      <c r="I7" s="19" t="s">
        <v>23</v>
      </c>
    </row>
    <row r="8" spans="1:13" ht="26.25" thickBot="1" x14ac:dyDescent="0.25">
      <c r="A8" s="201"/>
      <c r="B8" s="203"/>
      <c r="C8" s="205"/>
      <c r="D8" s="205"/>
      <c r="E8" s="20" t="s">
        <v>13</v>
      </c>
      <c r="F8" s="21" t="s">
        <v>22</v>
      </c>
      <c r="G8" s="20" t="s">
        <v>13</v>
      </c>
      <c r="H8" s="21" t="s">
        <v>22</v>
      </c>
      <c r="I8" s="22" t="s">
        <v>21</v>
      </c>
    </row>
    <row r="9" spans="1:13" ht="15" x14ac:dyDescent="0.25">
      <c r="A9" s="23"/>
      <c r="B9" s="24"/>
      <c r="C9" s="25" t="s">
        <v>43</v>
      </c>
      <c r="D9" s="26"/>
      <c r="E9" s="27"/>
      <c r="F9" s="28"/>
      <c r="G9" s="27"/>
      <c r="H9" s="28"/>
      <c r="I9" s="29"/>
    </row>
    <row r="10" spans="1:13" ht="18" customHeight="1" x14ac:dyDescent="0.25">
      <c r="A10" s="10">
        <v>903000196</v>
      </c>
      <c r="B10" s="9" t="s">
        <v>20</v>
      </c>
      <c r="C10" s="7" t="s">
        <v>19</v>
      </c>
      <c r="D10" s="8" t="s">
        <v>18</v>
      </c>
      <c r="E10" s="4">
        <v>5</v>
      </c>
      <c r="F10" s="4" t="s">
        <v>6</v>
      </c>
      <c r="G10" s="30"/>
      <c r="H10" s="4"/>
      <c r="I10" s="29"/>
    </row>
    <row r="11" spans="1:13" ht="15" x14ac:dyDescent="0.25">
      <c r="A11" s="31"/>
      <c r="B11" s="31"/>
      <c r="C11" s="32"/>
      <c r="D11" s="31"/>
      <c r="E11" s="33"/>
      <c r="F11" s="33"/>
      <c r="G11" s="34"/>
      <c r="H11" s="35"/>
      <c r="I11" s="29"/>
    </row>
    <row r="12" spans="1:13" ht="15.75" x14ac:dyDescent="0.25">
      <c r="A12" s="39"/>
      <c r="B12" s="40"/>
      <c r="C12" s="41" t="s">
        <v>44</v>
      </c>
      <c r="D12" s="42"/>
      <c r="E12" s="43"/>
      <c r="F12" s="38"/>
      <c r="G12" s="27"/>
      <c r="H12" s="28"/>
      <c r="I12" s="29"/>
    </row>
    <row r="13" spans="1:13" ht="15" x14ac:dyDescent="0.25">
      <c r="A13" s="44"/>
      <c r="B13" s="36"/>
      <c r="C13" s="45"/>
      <c r="D13" s="46"/>
      <c r="E13" s="37"/>
      <c r="F13" s="38"/>
      <c r="G13" s="27"/>
      <c r="H13" s="28"/>
      <c r="I13" s="29"/>
    </row>
    <row r="14" spans="1:13" ht="15.75" x14ac:dyDescent="0.25">
      <c r="A14" s="47"/>
      <c r="B14" s="48"/>
      <c r="C14" s="49" t="s">
        <v>45</v>
      </c>
      <c r="D14" s="50"/>
      <c r="E14" s="51"/>
      <c r="F14" s="28"/>
      <c r="G14" s="27"/>
      <c r="I14" s="29"/>
    </row>
    <row r="15" spans="1:13" ht="15" x14ac:dyDescent="0.25">
      <c r="A15" s="52">
        <v>1950729</v>
      </c>
      <c r="B15" s="52" t="s">
        <v>15</v>
      </c>
      <c r="C15" s="53" t="s">
        <v>17</v>
      </c>
      <c r="D15" s="54" t="s">
        <v>46</v>
      </c>
      <c r="E15" s="30">
        <v>2</v>
      </c>
      <c r="F15" s="4" t="s">
        <v>6</v>
      </c>
      <c r="G15" s="55"/>
      <c r="H15" s="28"/>
      <c r="I15" s="29"/>
    </row>
    <row r="16" spans="1:13" ht="15" x14ac:dyDescent="0.25">
      <c r="A16" s="52">
        <v>702069</v>
      </c>
      <c r="B16" s="52" t="s">
        <v>15</v>
      </c>
      <c r="C16" s="53" t="s">
        <v>16</v>
      </c>
      <c r="D16" s="6" t="s">
        <v>47</v>
      </c>
      <c r="E16" s="56">
        <v>1</v>
      </c>
      <c r="F16" s="4" t="s">
        <v>6</v>
      </c>
      <c r="G16" s="55"/>
      <c r="H16" s="28"/>
      <c r="I16" s="29"/>
    </row>
    <row r="17" spans="1:13" ht="15" x14ac:dyDescent="0.25">
      <c r="A17" s="52">
        <v>1950702</v>
      </c>
      <c r="B17" s="5" t="s">
        <v>15</v>
      </c>
      <c r="C17" s="53" t="s">
        <v>14</v>
      </c>
      <c r="D17" s="6" t="s">
        <v>48</v>
      </c>
      <c r="E17" s="56">
        <v>1</v>
      </c>
      <c r="F17" s="4" t="s">
        <v>6</v>
      </c>
      <c r="G17" s="27"/>
      <c r="H17" s="28"/>
      <c r="I17" s="29"/>
    </row>
    <row r="18" spans="1:13" ht="15" x14ac:dyDescent="0.25">
      <c r="A18" s="57"/>
      <c r="B18" s="58"/>
      <c r="C18" s="59"/>
      <c r="D18" s="60"/>
      <c r="E18" s="61"/>
      <c r="F18" s="62"/>
      <c r="G18" s="27"/>
      <c r="H18" s="28"/>
      <c r="I18" s="29"/>
    </row>
    <row r="19" spans="1:13" ht="15" x14ac:dyDescent="0.25">
      <c r="A19" s="63"/>
      <c r="B19" s="64"/>
      <c r="C19" s="65"/>
      <c r="D19" s="6"/>
      <c r="E19" s="37"/>
      <c r="F19" s="38"/>
      <c r="G19" s="66"/>
      <c r="H19" s="42"/>
      <c r="I19" s="29"/>
    </row>
    <row r="20" spans="1:13" ht="15" x14ac:dyDescent="0.25">
      <c r="A20" s="39"/>
      <c r="B20" s="40"/>
      <c r="C20" s="67"/>
      <c r="D20" s="6"/>
      <c r="E20" s="37"/>
      <c r="F20" s="38"/>
      <c r="G20" s="37"/>
      <c r="H20" s="42"/>
      <c r="I20" s="29"/>
    </row>
    <row r="21" spans="1:13" ht="15.75" x14ac:dyDescent="0.25">
      <c r="A21" s="39"/>
      <c r="B21" s="40"/>
      <c r="C21" s="67"/>
      <c r="D21" s="6"/>
      <c r="E21" s="37"/>
      <c r="F21" s="38"/>
      <c r="G21" s="68"/>
      <c r="H21" s="38"/>
      <c r="I21" s="29"/>
    </row>
    <row r="22" spans="1:13" ht="15.75" x14ac:dyDescent="0.25">
      <c r="A22" s="39"/>
      <c r="B22" s="40"/>
      <c r="C22" s="67"/>
      <c r="D22" s="42"/>
      <c r="E22" s="42"/>
      <c r="F22" s="38"/>
      <c r="G22" s="69"/>
      <c r="H22" s="69"/>
      <c r="I22" s="29"/>
    </row>
    <row r="23" spans="1:13" ht="14.25" thickBot="1" x14ac:dyDescent="0.3">
      <c r="A23" s="70"/>
      <c r="B23" s="71"/>
      <c r="C23" s="72"/>
      <c r="D23" s="72"/>
      <c r="E23" s="73"/>
      <c r="F23" s="74"/>
      <c r="G23" s="72"/>
      <c r="H23" s="72"/>
      <c r="I23" s="75"/>
      <c r="J23" s="76"/>
      <c r="K23" s="76"/>
      <c r="L23" s="77"/>
      <c r="M23" s="76"/>
    </row>
    <row r="24" spans="1:13" ht="14.25" thickBot="1" x14ac:dyDescent="0.3">
      <c r="A24" s="78"/>
      <c r="B24" s="79"/>
      <c r="C24" s="80"/>
      <c r="D24" s="81" t="s">
        <v>13</v>
      </c>
      <c r="E24" s="82" t="s">
        <v>12</v>
      </c>
      <c r="F24" s="83"/>
      <c r="G24" s="80"/>
      <c r="H24" s="80"/>
      <c r="I24" s="84"/>
      <c r="J24" s="76"/>
      <c r="K24" s="76"/>
      <c r="L24" s="77"/>
      <c r="M24" s="76"/>
    </row>
    <row r="25" spans="1:13" ht="13.5" x14ac:dyDescent="0.25">
      <c r="A25" s="206" t="s">
        <v>11</v>
      </c>
      <c r="B25" s="207"/>
      <c r="C25" s="208"/>
      <c r="D25" s="30">
        <v>550</v>
      </c>
      <c r="E25" s="3" t="s">
        <v>2</v>
      </c>
      <c r="F25" s="209" t="s">
        <v>49</v>
      </c>
      <c r="G25" s="209"/>
      <c r="H25" s="210"/>
      <c r="I25" s="211"/>
      <c r="J25" s="76"/>
      <c r="K25" s="76"/>
      <c r="L25" s="77"/>
      <c r="M25" s="76"/>
    </row>
    <row r="26" spans="1:13" ht="13.5" x14ac:dyDescent="0.25">
      <c r="A26" s="212" t="s">
        <v>10</v>
      </c>
      <c r="B26" s="213"/>
      <c r="C26" s="214"/>
      <c r="D26" s="85">
        <v>2</v>
      </c>
      <c r="E26" s="2" t="s">
        <v>9</v>
      </c>
      <c r="F26" s="215" t="s">
        <v>8</v>
      </c>
      <c r="G26" s="215"/>
      <c r="H26" s="216"/>
      <c r="I26" s="217"/>
      <c r="J26" s="76"/>
      <c r="K26" s="76"/>
      <c r="L26" s="77"/>
      <c r="M26" s="76"/>
    </row>
    <row r="27" spans="1:13" ht="13.5" x14ac:dyDescent="0.25">
      <c r="A27" s="212" t="s">
        <v>7</v>
      </c>
      <c r="B27" s="213"/>
      <c r="C27" s="214"/>
      <c r="D27" s="2">
        <v>5</v>
      </c>
      <c r="E27" s="2" t="s">
        <v>6</v>
      </c>
      <c r="F27" s="215" t="s">
        <v>50</v>
      </c>
      <c r="G27" s="215"/>
      <c r="H27" s="216"/>
      <c r="I27" s="217"/>
      <c r="J27" s="76"/>
      <c r="K27" s="76"/>
      <c r="L27" s="77"/>
      <c r="M27" s="76"/>
    </row>
    <row r="28" spans="1:13" ht="13.5" x14ac:dyDescent="0.25">
      <c r="A28" s="212" t="s">
        <v>5</v>
      </c>
      <c r="B28" s="213"/>
      <c r="C28" s="214"/>
      <c r="D28" s="86">
        <v>110</v>
      </c>
      <c r="E28" s="2" t="s">
        <v>2</v>
      </c>
      <c r="F28" s="221" t="s">
        <v>4</v>
      </c>
      <c r="G28" s="222"/>
      <c r="H28" s="216"/>
      <c r="I28" s="217"/>
      <c r="J28" s="76"/>
      <c r="K28" s="76"/>
      <c r="L28" s="77"/>
      <c r="M28" s="87"/>
    </row>
    <row r="29" spans="1:13" ht="14.25" thickBot="1" x14ac:dyDescent="0.3">
      <c r="A29" s="223" t="s">
        <v>3</v>
      </c>
      <c r="B29" s="224"/>
      <c r="C29" s="225"/>
      <c r="D29" s="88">
        <v>0</v>
      </c>
      <c r="E29" s="1" t="s">
        <v>2</v>
      </c>
      <c r="F29" s="226"/>
      <c r="G29" s="226"/>
      <c r="H29" s="227"/>
      <c r="I29" s="228"/>
      <c r="J29" s="72"/>
      <c r="K29" s="72"/>
      <c r="L29" s="77"/>
      <c r="M29" s="72"/>
    </row>
    <row r="30" spans="1:13" ht="13.5" thickBot="1" x14ac:dyDescent="0.25">
      <c r="A30" s="229" t="s">
        <v>1</v>
      </c>
      <c r="B30" s="230"/>
      <c r="C30" s="230"/>
      <c r="D30" s="230"/>
      <c r="E30" s="230"/>
      <c r="F30" s="230"/>
      <c r="G30" s="230"/>
      <c r="H30" s="230"/>
      <c r="I30" s="231"/>
      <c r="J30" s="76"/>
      <c r="K30" s="76"/>
      <c r="L30" s="76"/>
      <c r="M30" s="76"/>
    </row>
    <row r="31" spans="1:13" ht="18.600000000000001" customHeight="1" x14ac:dyDescent="0.25">
      <c r="A31" s="218" t="s">
        <v>53</v>
      </c>
      <c r="B31" s="219"/>
      <c r="C31" s="219"/>
      <c r="D31" s="219"/>
      <c r="E31" s="219"/>
      <c r="F31" s="219"/>
      <c r="G31" s="219"/>
      <c r="H31" s="219"/>
      <c r="I31" s="220"/>
      <c r="J31" s="76"/>
      <c r="K31" s="76"/>
      <c r="L31" s="76"/>
      <c r="M31" s="76"/>
    </row>
    <row r="32" spans="1:13" ht="14.45" customHeight="1" x14ac:dyDescent="0.25">
      <c r="A32" s="218" t="s">
        <v>0</v>
      </c>
      <c r="B32" s="219"/>
      <c r="C32" s="219"/>
      <c r="D32" s="219"/>
      <c r="E32" s="219"/>
      <c r="F32" s="219"/>
      <c r="G32" s="219"/>
      <c r="H32" s="219"/>
      <c r="I32" s="220"/>
      <c r="J32" s="76"/>
      <c r="K32" s="76"/>
      <c r="L32" s="76"/>
      <c r="M32" s="76"/>
    </row>
    <row r="33" spans="1:13" ht="14.45" customHeight="1" x14ac:dyDescent="0.25">
      <c r="A33" s="218" t="s">
        <v>54</v>
      </c>
      <c r="B33" s="219"/>
      <c r="C33" s="219"/>
      <c r="D33" s="219"/>
      <c r="E33" s="219"/>
      <c r="F33" s="219"/>
      <c r="G33" s="219"/>
      <c r="H33" s="219"/>
      <c r="I33" s="219"/>
      <c r="J33" s="76"/>
      <c r="K33" s="76"/>
      <c r="L33" s="76"/>
      <c r="M33" s="76"/>
    </row>
    <row r="34" spans="1:13" ht="14.45" customHeight="1" thickBot="1" x14ac:dyDescent="0.3">
      <c r="A34" s="239"/>
      <c r="B34" s="240"/>
      <c r="C34" s="240"/>
      <c r="D34" s="240"/>
      <c r="E34" s="240"/>
      <c r="F34" s="240"/>
      <c r="G34" s="240"/>
      <c r="H34" s="240"/>
      <c r="I34" s="241"/>
      <c r="J34" s="76"/>
      <c r="K34" s="76"/>
      <c r="L34" s="76"/>
      <c r="M34" s="76"/>
    </row>
    <row r="35" spans="1:13" ht="14.45" customHeight="1" x14ac:dyDescent="0.25">
      <c r="A35" s="242"/>
      <c r="B35" s="243"/>
      <c r="C35" s="243"/>
      <c r="D35" s="243"/>
      <c r="E35" s="243"/>
      <c r="F35" s="243"/>
      <c r="G35" s="243"/>
      <c r="H35" s="243"/>
      <c r="I35" s="244"/>
      <c r="J35" s="76"/>
      <c r="K35" s="76"/>
      <c r="L35" s="76"/>
      <c r="M35" s="76"/>
    </row>
    <row r="36" spans="1:13" ht="15" x14ac:dyDescent="0.25">
      <c r="A36" s="242"/>
      <c r="B36" s="243"/>
      <c r="C36" s="243"/>
      <c r="D36" s="243"/>
      <c r="E36" s="243"/>
      <c r="F36" s="243"/>
      <c r="G36" s="243"/>
      <c r="H36" s="243"/>
      <c r="I36" s="244"/>
      <c r="J36" s="76"/>
      <c r="K36" s="76"/>
      <c r="L36" s="76"/>
      <c r="M36" s="76"/>
    </row>
    <row r="37" spans="1:13" ht="18" customHeight="1" x14ac:dyDescent="0.2">
      <c r="A37" s="245"/>
      <c r="B37" s="246"/>
      <c r="C37" s="246"/>
      <c r="D37" s="246"/>
      <c r="E37" s="246"/>
      <c r="F37" s="246"/>
      <c r="G37" s="246"/>
      <c r="H37" s="246"/>
      <c r="I37" s="247"/>
      <c r="J37" s="76"/>
      <c r="K37" s="76"/>
      <c r="L37" s="76"/>
      <c r="M37" s="76"/>
    </row>
    <row r="38" spans="1:13" ht="13.5" x14ac:dyDescent="0.25">
      <c r="A38" s="248"/>
      <c r="B38" s="249"/>
      <c r="C38" s="249"/>
      <c r="D38" s="249"/>
      <c r="E38" s="249"/>
      <c r="F38" s="249"/>
      <c r="G38" s="249"/>
      <c r="H38" s="249"/>
      <c r="I38" s="250"/>
      <c r="J38" s="76"/>
      <c r="K38" s="76"/>
      <c r="L38" s="76"/>
      <c r="M38" s="76"/>
    </row>
    <row r="39" spans="1:13" ht="14.25" thickBot="1" x14ac:dyDescent="0.3">
      <c r="A39" s="232"/>
      <c r="B39" s="233"/>
      <c r="C39" s="233"/>
      <c r="D39" s="233"/>
      <c r="E39" s="233"/>
      <c r="F39" s="233"/>
      <c r="G39" s="233"/>
      <c r="H39" s="233"/>
      <c r="I39" s="234"/>
      <c r="J39" s="76"/>
      <c r="K39" s="76"/>
      <c r="L39" s="76"/>
      <c r="M39" s="76"/>
    </row>
    <row r="40" spans="1:13" x14ac:dyDescent="0.2">
      <c r="A40" s="235" t="s">
        <v>51</v>
      </c>
      <c r="B40" s="236"/>
      <c r="C40" s="236"/>
      <c r="D40" s="236"/>
      <c r="E40" s="236"/>
      <c r="F40" s="236"/>
      <c r="G40" s="236"/>
      <c r="H40" s="236"/>
      <c r="I40" s="236"/>
      <c r="J40" s="76"/>
      <c r="K40" s="76"/>
      <c r="L40" s="76"/>
      <c r="M40" s="76"/>
    </row>
    <row r="41" spans="1:13" ht="13.5" x14ac:dyDescent="0.25">
      <c r="A41" s="237" t="s">
        <v>55</v>
      </c>
      <c r="B41" s="238"/>
      <c r="C41" s="238"/>
      <c r="D41" s="238"/>
      <c r="E41" s="238"/>
      <c r="F41" s="238"/>
      <c r="G41" s="238"/>
      <c r="H41" s="238"/>
      <c r="I41" s="238"/>
      <c r="J41" s="76"/>
      <c r="K41" s="76"/>
      <c r="L41" s="76"/>
      <c r="M41" s="76"/>
    </row>
    <row r="42" spans="1:13" ht="13.5" x14ac:dyDescent="0.25">
      <c r="A42" s="237"/>
      <c r="B42" s="238"/>
      <c r="C42" s="238"/>
      <c r="D42" s="238"/>
      <c r="E42" s="238"/>
      <c r="F42" s="238"/>
      <c r="G42" s="238"/>
      <c r="H42" s="238"/>
      <c r="I42" s="238"/>
    </row>
  </sheetData>
  <mergeCells count="45">
    <mergeCell ref="A39:I39"/>
    <mergeCell ref="A40:I40"/>
    <mergeCell ref="A41:I41"/>
    <mergeCell ref="A42:I42"/>
    <mergeCell ref="A33:I33"/>
    <mergeCell ref="A34:I34"/>
    <mergeCell ref="A35:I35"/>
    <mergeCell ref="A36:I36"/>
    <mergeCell ref="A37:I37"/>
    <mergeCell ref="A38:I38"/>
    <mergeCell ref="A32:I32"/>
    <mergeCell ref="A27:C27"/>
    <mergeCell ref="F27:G27"/>
    <mergeCell ref="H27:I27"/>
    <mergeCell ref="A28:C28"/>
    <mergeCell ref="F28:G28"/>
    <mergeCell ref="H28:I28"/>
    <mergeCell ref="A29:C29"/>
    <mergeCell ref="F29:G29"/>
    <mergeCell ref="H29:I29"/>
    <mergeCell ref="A30:I30"/>
    <mergeCell ref="A31:I31"/>
    <mergeCell ref="A25:C25"/>
    <mergeCell ref="F25:G25"/>
    <mergeCell ref="H25:I25"/>
    <mergeCell ref="A26:C26"/>
    <mergeCell ref="F26:G26"/>
    <mergeCell ref="H26:I2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5F255-E52D-4053-97FE-3437FC09427E}">
  <dimension ref="A1:M42"/>
  <sheetViews>
    <sheetView tabSelected="1" zoomScaleNormal="100" workbookViewId="0">
      <selection activeCell="K8" sqref="K8"/>
    </sheetView>
  </sheetViews>
  <sheetFormatPr baseColWidth="10" defaultRowHeight="12.75" x14ac:dyDescent="0.2"/>
  <cols>
    <col min="3" max="3" width="41" customWidth="1"/>
    <col min="7" max="7" width="22.5703125" customWidth="1"/>
    <col min="8" max="8" width="16.7109375" customWidth="1"/>
    <col min="9" max="9" width="15.5703125" customWidth="1"/>
  </cols>
  <sheetData>
    <row r="1" spans="1:13" ht="15.75" x14ac:dyDescent="0.25">
      <c r="A1" s="182"/>
      <c r="B1" s="183"/>
      <c r="C1" s="188" t="s">
        <v>34</v>
      </c>
      <c r="D1" s="188"/>
      <c r="E1" s="188"/>
      <c r="F1" s="188"/>
      <c r="G1" s="188"/>
      <c r="H1" s="12" t="s">
        <v>33</v>
      </c>
      <c r="I1" s="101" t="s">
        <v>52</v>
      </c>
      <c r="J1" s="102"/>
      <c r="K1" s="102"/>
      <c r="L1" s="102"/>
      <c r="M1" s="102"/>
    </row>
    <row r="2" spans="1:13" ht="16.5" thickBot="1" x14ac:dyDescent="0.3">
      <c r="A2" s="184"/>
      <c r="B2" s="185"/>
      <c r="C2" s="189" t="s">
        <v>32</v>
      </c>
      <c r="D2" s="190"/>
      <c r="E2" s="190"/>
      <c r="F2" s="190"/>
      <c r="G2" s="191"/>
      <c r="H2" s="14" t="s">
        <v>31</v>
      </c>
      <c r="I2" s="15" t="s">
        <v>124</v>
      </c>
      <c r="J2" s="90"/>
      <c r="K2" s="90"/>
      <c r="L2" s="90"/>
      <c r="M2" s="90"/>
    </row>
    <row r="3" spans="1:13" ht="18.75" thickBot="1" x14ac:dyDescent="0.3">
      <c r="A3" s="184"/>
      <c r="B3" s="185"/>
      <c r="C3" s="251" t="s">
        <v>125</v>
      </c>
      <c r="D3" s="252"/>
      <c r="E3" s="252"/>
      <c r="F3" s="252"/>
      <c r="G3" s="252"/>
      <c r="H3" s="194" t="s">
        <v>30</v>
      </c>
      <c r="I3" s="173">
        <v>45611</v>
      </c>
      <c r="J3" s="90"/>
      <c r="K3" s="90"/>
      <c r="L3" s="90"/>
      <c r="M3" s="90"/>
    </row>
    <row r="4" spans="1:13" ht="13.5" x14ac:dyDescent="0.25">
      <c r="A4" s="184"/>
      <c r="B4" s="185"/>
      <c r="C4" s="16" t="s">
        <v>29</v>
      </c>
      <c r="D4" s="176" t="s">
        <v>36</v>
      </c>
      <c r="E4" s="177"/>
      <c r="F4" s="177"/>
      <c r="G4" s="178"/>
      <c r="H4" s="195"/>
      <c r="I4" s="174"/>
      <c r="J4" s="90"/>
      <c r="K4" s="90"/>
      <c r="L4" s="90"/>
      <c r="M4" s="90"/>
    </row>
    <row r="5" spans="1:13" ht="14.25" thickBot="1" x14ac:dyDescent="0.3">
      <c r="A5" s="186"/>
      <c r="B5" s="187"/>
      <c r="C5" s="17" t="s">
        <v>28</v>
      </c>
      <c r="D5" s="179" t="s">
        <v>37</v>
      </c>
      <c r="E5" s="180"/>
      <c r="F5" s="180"/>
      <c r="G5" s="181"/>
      <c r="H5" s="196"/>
      <c r="I5" s="175"/>
      <c r="J5" s="90"/>
      <c r="K5" s="90"/>
      <c r="L5" s="90"/>
      <c r="M5" s="90"/>
    </row>
    <row r="6" spans="1:13" ht="18.75" thickBot="1" x14ac:dyDescent="0.3">
      <c r="A6" s="197" t="s">
        <v>38</v>
      </c>
      <c r="B6" s="197"/>
      <c r="C6" s="197"/>
      <c r="D6" s="198" t="s">
        <v>39</v>
      </c>
      <c r="E6" s="198"/>
      <c r="F6" s="198"/>
      <c r="G6" s="199" t="s">
        <v>40</v>
      </c>
      <c r="H6" s="199"/>
      <c r="I6" s="18" t="s">
        <v>39</v>
      </c>
      <c r="J6" s="90"/>
      <c r="K6" s="90"/>
      <c r="L6" s="90"/>
      <c r="M6" s="90"/>
    </row>
    <row r="7" spans="1:13" ht="25.5" x14ac:dyDescent="0.2">
      <c r="A7" s="253" t="s">
        <v>41</v>
      </c>
      <c r="B7" s="255" t="s">
        <v>42</v>
      </c>
      <c r="C7" s="257" t="s">
        <v>27</v>
      </c>
      <c r="D7" s="257" t="s">
        <v>26</v>
      </c>
      <c r="E7" s="257" t="s">
        <v>25</v>
      </c>
      <c r="F7" s="257"/>
      <c r="G7" s="257" t="s">
        <v>24</v>
      </c>
      <c r="H7" s="257"/>
      <c r="I7" s="103" t="s">
        <v>23</v>
      </c>
      <c r="J7" s="90"/>
      <c r="K7" s="90"/>
      <c r="L7" s="90"/>
      <c r="M7" s="90"/>
    </row>
    <row r="8" spans="1:13" ht="26.25" thickBot="1" x14ac:dyDescent="0.25">
      <c r="A8" s="254"/>
      <c r="B8" s="256"/>
      <c r="C8" s="258"/>
      <c r="D8" s="258"/>
      <c r="E8" s="104" t="s">
        <v>13</v>
      </c>
      <c r="F8" s="105" t="s">
        <v>22</v>
      </c>
      <c r="G8" s="104" t="s">
        <v>13</v>
      </c>
      <c r="H8" s="105" t="s">
        <v>22</v>
      </c>
      <c r="I8" s="106" t="s">
        <v>21</v>
      </c>
      <c r="J8" s="90"/>
      <c r="K8" s="90"/>
      <c r="L8" s="90"/>
      <c r="M8" s="90"/>
    </row>
    <row r="9" spans="1:13" ht="15" x14ac:dyDescent="0.25">
      <c r="A9" s="107"/>
      <c r="B9" s="108"/>
      <c r="C9" s="109" t="s">
        <v>43</v>
      </c>
      <c r="D9" s="110"/>
      <c r="E9" s="111"/>
      <c r="F9" s="112"/>
      <c r="G9" s="111"/>
      <c r="H9" s="112"/>
      <c r="I9" s="113"/>
      <c r="J9" s="90"/>
      <c r="K9" s="90"/>
      <c r="L9" s="90"/>
      <c r="M9" s="90"/>
    </row>
    <row r="10" spans="1:13" ht="15" x14ac:dyDescent="0.25">
      <c r="A10" s="100">
        <v>903000196</v>
      </c>
      <c r="B10" s="99" t="s">
        <v>20</v>
      </c>
      <c r="C10" s="97" t="s">
        <v>19</v>
      </c>
      <c r="D10" s="98" t="s">
        <v>18</v>
      </c>
      <c r="E10" s="94">
        <v>5</v>
      </c>
      <c r="F10" s="94" t="s">
        <v>6</v>
      </c>
      <c r="G10" s="114"/>
      <c r="H10" s="94"/>
      <c r="I10" s="113"/>
      <c r="J10" s="90"/>
      <c r="K10" s="90"/>
      <c r="L10" s="90"/>
      <c r="M10" s="90"/>
    </row>
    <row r="11" spans="1:13" ht="15" x14ac:dyDescent="0.25">
      <c r="A11" s="115"/>
      <c r="B11" s="115"/>
      <c r="C11" s="116"/>
      <c r="D11" s="115"/>
      <c r="E11" s="117"/>
      <c r="F11" s="117"/>
      <c r="G11" s="118"/>
      <c r="H11" s="119"/>
      <c r="I11" s="113"/>
      <c r="J11" s="90"/>
      <c r="K11" s="90"/>
      <c r="L11" s="90"/>
      <c r="M11" s="90"/>
    </row>
    <row r="12" spans="1:13" ht="15.75" x14ac:dyDescent="0.25">
      <c r="A12" s="123"/>
      <c r="B12" s="124"/>
      <c r="C12" s="125" t="s">
        <v>44</v>
      </c>
      <c r="D12" s="126"/>
      <c r="E12" s="127"/>
      <c r="F12" s="122"/>
      <c r="G12" s="111"/>
      <c r="H12" s="112"/>
      <c r="I12" s="113"/>
      <c r="J12" s="90"/>
      <c r="K12" s="90"/>
      <c r="L12" s="90"/>
      <c r="M12" s="90"/>
    </row>
    <row r="13" spans="1:13" ht="15" x14ac:dyDescent="0.25">
      <c r="A13" s="128"/>
      <c r="B13" s="120"/>
      <c r="C13" s="129"/>
      <c r="D13" s="130"/>
      <c r="E13" s="121"/>
      <c r="F13" s="122"/>
      <c r="G13" s="111"/>
      <c r="H13" s="112"/>
      <c r="I13" s="113"/>
      <c r="J13" s="90"/>
      <c r="K13" s="90"/>
      <c r="L13" s="90"/>
      <c r="M13" s="90"/>
    </row>
    <row r="14" spans="1:13" ht="15.75" x14ac:dyDescent="0.25">
      <c r="A14" s="131"/>
      <c r="B14" s="132"/>
      <c r="C14" s="133" t="s">
        <v>45</v>
      </c>
      <c r="D14" s="134"/>
      <c r="E14" s="135"/>
      <c r="F14" s="112"/>
      <c r="G14" s="111"/>
      <c r="H14" s="90"/>
      <c r="I14" s="113"/>
      <c r="J14" s="90"/>
      <c r="K14" s="90"/>
      <c r="L14" s="90"/>
      <c r="M14" s="90"/>
    </row>
    <row r="15" spans="1:13" ht="15" x14ac:dyDescent="0.25">
      <c r="A15" s="136">
        <v>1950729</v>
      </c>
      <c r="B15" s="136" t="s">
        <v>15</v>
      </c>
      <c r="C15" s="137" t="s">
        <v>17</v>
      </c>
      <c r="D15" s="138" t="s">
        <v>46</v>
      </c>
      <c r="E15" s="114">
        <v>2</v>
      </c>
      <c r="F15" s="94" t="s">
        <v>6</v>
      </c>
      <c r="G15" s="139"/>
      <c r="H15" s="112"/>
      <c r="I15" s="113"/>
      <c r="J15" s="90"/>
      <c r="K15" s="90"/>
      <c r="L15" s="90"/>
      <c r="M15" s="90"/>
    </row>
    <row r="16" spans="1:13" ht="15" x14ac:dyDescent="0.25">
      <c r="A16" s="136">
        <v>702069</v>
      </c>
      <c r="B16" s="136" t="s">
        <v>102</v>
      </c>
      <c r="C16" s="137" t="s">
        <v>16</v>
      </c>
      <c r="D16" s="96" t="s">
        <v>47</v>
      </c>
      <c r="E16" s="140">
        <v>1</v>
      </c>
      <c r="F16" s="94" t="s">
        <v>6</v>
      </c>
      <c r="G16" s="139"/>
      <c r="H16" s="112"/>
      <c r="I16" s="113"/>
      <c r="J16" s="90"/>
      <c r="K16" s="90"/>
      <c r="L16" s="90"/>
      <c r="M16" s="90"/>
    </row>
    <row r="17" spans="1:13" ht="15" x14ac:dyDescent="0.25">
      <c r="A17" s="136">
        <v>1950702</v>
      </c>
      <c r="B17" s="95" t="s">
        <v>105</v>
      </c>
      <c r="C17" s="137" t="s">
        <v>14</v>
      </c>
      <c r="D17" s="96" t="s">
        <v>48</v>
      </c>
      <c r="E17" s="140">
        <v>1</v>
      </c>
      <c r="F17" s="94" t="s">
        <v>6</v>
      </c>
      <c r="G17" s="111"/>
      <c r="H17" s="112"/>
      <c r="I17" s="113"/>
      <c r="J17" s="90"/>
      <c r="K17" s="90"/>
      <c r="L17" s="90"/>
      <c r="M17" s="90"/>
    </row>
    <row r="18" spans="1:13" ht="15" x14ac:dyDescent="0.25">
      <c r="A18" s="141"/>
      <c r="B18" s="142"/>
      <c r="C18" s="143"/>
      <c r="D18" s="144"/>
      <c r="E18" s="145"/>
      <c r="F18" s="146"/>
      <c r="G18" s="111"/>
      <c r="H18" s="112"/>
      <c r="I18" s="113"/>
      <c r="J18" s="90"/>
      <c r="K18" s="90"/>
      <c r="L18" s="90"/>
      <c r="M18" s="90"/>
    </row>
    <row r="19" spans="1:13" ht="15" x14ac:dyDescent="0.25">
      <c r="A19" s="147"/>
      <c r="B19" s="148"/>
      <c r="C19" s="149"/>
      <c r="D19" s="96"/>
      <c r="E19" s="121"/>
      <c r="F19" s="122"/>
      <c r="G19" s="150"/>
      <c r="H19" s="126"/>
      <c r="I19" s="113"/>
      <c r="J19" s="90"/>
      <c r="K19" s="90"/>
      <c r="L19" s="90"/>
      <c r="M19" s="90"/>
    </row>
    <row r="20" spans="1:13" ht="15" x14ac:dyDescent="0.25">
      <c r="A20" s="123"/>
      <c r="B20" s="124"/>
      <c r="C20" s="151"/>
      <c r="D20" s="96"/>
      <c r="E20" s="121"/>
      <c r="F20" s="122"/>
      <c r="G20" s="121"/>
      <c r="H20" s="126"/>
      <c r="I20" s="113"/>
      <c r="J20" s="90"/>
      <c r="K20" s="90"/>
      <c r="L20" s="90"/>
      <c r="M20" s="90"/>
    </row>
    <row r="21" spans="1:13" ht="15.75" x14ac:dyDescent="0.25">
      <c r="A21" s="123"/>
      <c r="B21" s="124"/>
      <c r="C21" s="151"/>
      <c r="D21" s="96"/>
      <c r="E21" s="121"/>
      <c r="F21" s="122"/>
      <c r="G21" s="152"/>
      <c r="H21" s="122"/>
      <c r="I21" s="113"/>
      <c r="J21" s="90"/>
      <c r="K21" s="90"/>
      <c r="L21" s="90"/>
      <c r="M21" s="90"/>
    </row>
    <row r="22" spans="1:13" ht="15.75" x14ac:dyDescent="0.25">
      <c r="A22" s="123"/>
      <c r="B22" s="124"/>
      <c r="C22" s="151"/>
      <c r="D22" s="126"/>
      <c r="E22" s="126"/>
      <c r="F22" s="122"/>
      <c r="G22" s="153"/>
      <c r="H22" s="153"/>
      <c r="I22" s="113"/>
      <c r="J22" s="90"/>
      <c r="K22" s="90"/>
      <c r="L22" s="90"/>
      <c r="M22" s="90"/>
    </row>
    <row r="23" spans="1:13" ht="14.25" thickBot="1" x14ac:dyDescent="0.3">
      <c r="A23" s="154"/>
      <c r="B23" s="155"/>
      <c r="C23" s="156"/>
      <c r="D23" s="156"/>
      <c r="E23" s="157"/>
      <c r="F23" s="158"/>
      <c r="G23" s="156"/>
      <c r="H23" s="156"/>
      <c r="I23" s="159"/>
      <c r="J23" s="160"/>
      <c r="K23" s="160"/>
      <c r="L23" s="161"/>
      <c r="M23" s="160"/>
    </row>
    <row r="24" spans="1:13" ht="14.25" thickBot="1" x14ac:dyDescent="0.3">
      <c r="A24" s="162"/>
      <c r="B24" s="163"/>
      <c r="C24" s="164"/>
      <c r="D24" s="165" t="s">
        <v>13</v>
      </c>
      <c r="E24" s="166" t="s">
        <v>12</v>
      </c>
      <c r="F24" s="167"/>
      <c r="G24" s="164"/>
      <c r="H24" s="164"/>
      <c r="I24" s="168"/>
      <c r="J24" s="160"/>
      <c r="K24" s="160"/>
      <c r="L24" s="161"/>
      <c r="M24" s="160"/>
    </row>
    <row r="25" spans="1:13" ht="13.5" x14ac:dyDescent="0.25">
      <c r="A25" s="259" t="s">
        <v>11</v>
      </c>
      <c r="B25" s="260"/>
      <c r="C25" s="261"/>
      <c r="D25" s="114">
        <v>550</v>
      </c>
      <c r="E25" s="93" t="s">
        <v>2</v>
      </c>
      <c r="F25" s="262" t="s">
        <v>49</v>
      </c>
      <c r="G25" s="262"/>
      <c r="H25" s="263"/>
      <c r="I25" s="264"/>
      <c r="J25" s="160"/>
      <c r="K25" s="160"/>
      <c r="L25" s="161"/>
      <c r="M25" s="160"/>
    </row>
    <row r="26" spans="1:13" ht="13.5" x14ac:dyDescent="0.25">
      <c r="A26" s="265" t="s">
        <v>10</v>
      </c>
      <c r="B26" s="266"/>
      <c r="C26" s="267"/>
      <c r="D26" s="169">
        <v>2</v>
      </c>
      <c r="E26" s="92" t="s">
        <v>9</v>
      </c>
      <c r="F26" s="268" t="s">
        <v>8</v>
      </c>
      <c r="G26" s="268"/>
      <c r="H26" s="269"/>
      <c r="I26" s="270"/>
      <c r="J26" s="160"/>
      <c r="K26" s="160"/>
      <c r="L26" s="161"/>
      <c r="M26" s="160"/>
    </row>
    <row r="27" spans="1:13" ht="13.5" x14ac:dyDescent="0.25">
      <c r="A27" s="265" t="s">
        <v>7</v>
      </c>
      <c r="B27" s="266"/>
      <c r="C27" s="267"/>
      <c r="D27" s="92">
        <v>5</v>
      </c>
      <c r="E27" s="92" t="s">
        <v>6</v>
      </c>
      <c r="F27" s="268" t="s">
        <v>50</v>
      </c>
      <c r="G27" s="268"/>
      <c r="H27" s="269"/>
      <c r="I27" s="270"/>
      <c r="J27" s="160"/>
      <c r="K27" s="160"/>
      <c r="L27" s="161"/>
      <c r="M27" s="160"/>
    </row>
    <row r="28" spans="1:13" ht="13.5" x14ac:dyDescent="0.25">
      <c r="A28" s="265" t="s">
        <v>5</v>
      </c>
      <c r="B28" s="266"/>
      <c r="C28" s="267"/>
      <c r="D28" s="170">
        <v>110</v>
      </c>
      <c r="E28" s="92" t="s">
        <v>2</v>
      </c>
      <c r="F28" s="274" t="s">
        <v>4</v>
      </c>
      <c r="G28" s="275"/>
      <c r="H28" s="269"/>
      <c r="I28" s="270"/>
      <c r="J28" s="160"/>
      <c r="K28" s="160"/>
      <c r="L28" s="161"/>
      <c r="M28" s="171"/>
    </row>
    <row r="29" spans="1:13" ht="14.25" thickBot="1" x14ac:dyDescent="0.3">
      <c r="A29" s="276" t="s">
        <v>3</v>
      </c>
      <c r="B29" s="277"/>
      <c r="C29" s="278"/>
      <c r="D29" s="172">
        <v>0</v>
      </c>
      <c r="E29" s="91" t="s">
        <v>2</v>
      </c>
      <c r="F29" s="279"/>
      <c r="G29" s="279"/>
      <c r="H29" s="280"/>
      <c r="I29" s="281"/>
      <c r="J29" s="156"/>
      <c r="K29" s="156"/>
      <c r="L29" s="161"/>
      <c r="M29" s="156"/>
    </row>
    <row r="30" spans="1:13" ht="13.5" thickBot="1" x14ac:dyDescent="0.25">
      <c r="A30" s="282" t="s">
        <v>1</v>
      </c>
      <c r="B30" s="283"/>
      <c r="C30" s="283"/>
      <c r="D30" s="283"/>
      <c r="E30" s="283"/>
      <c r="F30" s="283"/>
      <c r="G30" s="283"/>
      <c r="H30" s="283"/>
      <c r="I30" s="284"/>
      <c r="J30" s="160"/>
      <c r="K30" s="160"/>
      <c r="L30" s="160"/>
      <c r="M30" s="160"/>
    </row>
    <row r="31" spans="1:13" ht="13.5" x14ac:dyDescent="0.25">
      <c r="A31" s="271" t="s">
        <v>123</v>
      </c>
      <c r="B31" s="272"/>
      <c r="C31" s="272"/>
      <c r="D31" s="272"/>
      <c r="E31" s="272"/>
      <c r="F31" s="272"/>
      <c r="G31" s="272"/>
      <c r="H31" s="272"/>
      <c r="I31" s="273"/>
      <c r="J31" s="160"/>
      <c r="K31" s="160"/>
      <c r="L31" s="160"/>
      <c r="M31" s="160"/>
    </row>
    <row r="32" spans="1:13" ht="13.5" x14ac:dyDescent="0.25">
      <c r="A32" s="271" t="s">
        <v>0</v>
      </c>
      <c r="B32" s="272"/>
      <c r="C32" s="272"/>
      <c r="D32" s="272"/>
      <c r="E32" s="272"/>
      <c r="F32" s="272"/>
      <c r="G32" s="272"/>
      <c r="H32" s="272"/>
      <c r="I32" s="273"/>
      <c r="J32" s="160"/>
      <c r="K32" s="160"/>
      <c r="L32" s="160"/>
      <c r="M32" s="160"/>
    </row>
    <row r="33" spans="1:13" ht="13.5" x14ac:dyDescent="0.25">
      <c r="A33" s="271" t="s">
        <v>54</v>
      </c>
      <c r="B33" s="272"/>
      <c r="C33" s="272"/>
      <c r="D33" s="272"/>
      <c r="E33" s="272"/>
      <c r="F33" s="272"/>
      <c r="G33" s="272"/>
      <c r="H33" s="272"/>
      <c r="I33" s="272"/>
      <c r="J33" s="160"/>
      <c r="K33" s="160"/>
      <c r="L33" s="160"/>
      <c r="M33" s="160"/>
    </row>
    <row r="34" spans="1:13" ht="14.25" thickBot="1" x14ac:dyDescent="0.3">
      <c r="A34" s="288"/>
      <c r="B34" s="289"/>
      <c r="C34" s="289"/>
      <c r="D34" s="289"/>
      <c r="E34" s="289"/>
      <c r="F34" s="289"/>
      <c r="G34" s="289"/>
      <c r="H34" s="289"/>
      <c r="I34" s="290"/>
      <c r="J34" s="160"/>
      <c r="K34" s="160"/>
      <c r="L34" s="160"/>
      <c r="M34" s="160"/>
    </row>
    <row r="35" spans="1:13" ht="15" x14ac:dyDescent="0.25">
      <c r="A35" s="291"/>
      <c r="B35" s="292"/>
      <c r="C35" s="292"/>
      <c r="D35" s="292"/>
      <c r="E35" s="292"/>
      <c r="F35" s="292"/>
      <c r="G35" s="292"/>
      <c r="H35" s="292"/>
      <c r="I35" s="293"/>
      <c r="J35" s="160"/>
      <c r="K35" s="160"/>
      <c r="L35" s="160"/>
      <c r="M35" s="160"/>
    </row>
    <row r="36" spans="1:13" ht="15" x14ac:dyDescent="0.25">
      <c r="A36" s="291"/>
      <c r="B36" s="292"/>
      <c r="C36" s="292"/>
      <c r="D36" s="292"/>
      <c r="E36" s="292"/>
      <c r="F36" s="292"/>
      <c r="G36" s="292"/>
      <c r="H36" s="292"/>
      <c r="I36" s="293"/>
      <c r="J36" s="160"/>
      <c r="K36" s="160"/>
      <c r="L36" s="160"/>
      <c r="M36" s="160"/>
    </row>
    <row r="37" spans="1:13" x14ac:dyDescent="0.2">
      <c r="A37" s="294"/>
      <c r="B37" s="295"/>
      <c r="C37" s="295"/>
      <c r="D37" s="295"/>
      <c r="E37" s="295"/>
      <c r="F37" s="295"/>
      <c r="G37" s="295"/>
      <c r="H37" s="295"/>
      <c r="I37" s="296"/>
      <c r="J37" s="160"/>
      <c r="K37" s="160"/>
      <c r="L37" s="160"/>
      <c r="M37" s="160"/>
    </row>
    <row r="38" spans="1:13" ht="13.5" x14ac:dyDescent="0.25">
      <c r="A38" s="297"/>
      <c r="B38" s="298"/>
      <c r="C38" s="298"/>
      <c r="D38" s="298"/>
      <c r="E38" s="298"/>
      <c r="F38" s="298"/>
      <c r="G38" s="298"/>
      <c r="H38" s="298"/>
      <c r="I38" s="299"/>
      <c r="J38" s="160"/>
      <c r="K38" s="160"/>
      <c r="L38" s="160"/>
      <c r="M38" s="160"/>
    </row>
    <row r="39" spans="1:13" ht="14.25" thickBot="1" x14ac:dyDescent="0.3">
      <c r="A39" s="285"/>
      <c r="B39" s="286"/>
      <c r="C39" s="286"/>
      <c r="D39" s="286"/>
      <c r="E39" s="286"/>
      <c r="F39" s="286"/>
      <c r="G39" s="286"/>
      <c r="H39" s="286"/>
      <c r="I39" s="287"/>
      <c r="J39" s="160"/>
      <c r="K39" s="160"/>
      <c r="L39" s="160"/>
      <c r="M39" s="160"/>
    </row>
    <row r="40" spans="1:13" x14ac:dyDescent="0.2">
      <c r="A40" s="235" t="s">
        <v>51</v>
      </c>
      <c r="B40" s="236"/>
      <c r="C40" s="236"/>
      <c r="D40" s="236"/>
      <c r="E40" s="236"/>
      <c r="F40" s="236"/>
      <c r="G40" s="236"/>
      <c r="H40" s="236"/>
      <c r="I40" s="236"/>
      <c r="J40" s="160"/>
      <c r="K40" s="160"/>
      <c r="L40" s="160"/>
      <c r="M40" s="160"/>
    </row>
    <row r="41" spans="1:13" ht="13.5" x14ac:dyDescent="0.25">
      <c r="A41" s="237" t="s">
        <v>55</v>
      </c>
      <c r="B41" s="238"/>
      <c r="C41" s="238"/>
      <c r="D41" s="238"/>
      <c r="E41" s="238"/>
      <c r="F41" s="238"/>
      <c r="G41" s="238"/>
      <c r="H41" s="238"/>
      <c r="I41" s="238"/>
      <c r="J41" s="160"/>
      <c r="K41" s="160"/>
      <c r="L41" s="160"/>
      <c r="M41" s="160"/>
    </row>
    <row r="42" spans="1:13" ht="13.5" x14ac:dyDescent="0.25">
      <c r="A42" s="237"/>
      <c r="B42" s="238"/>
      <c r="C42" s="238"/>
      <c r="D42" s="238"/>
      <c r="E42" s="238"/>
      <c r="F42" s="238"/>
      <c r="G42" s="238"/>
      <c r="H42" s="238"/>
      <c r="I42" s="238"/>
      <c r="J42" s="90"/>
      <c r="K42" s="90"/>
      <c r="L42" s="90"/>
      <c r="M42" s="90"/>
    </row>
  </sheetData>
  <mergeCells count="45">
    <mergeCell ref="A39:I39"/>
    <mergeCell ref="A40:I40"/>
    <mergeCell ref="A41:I41"/>
    <mergeCell ref="A42:I42"/>
    <mergeCell ref="A33:I33"/>
    <mergeCell ref="A34:I34"/>
    <mergeCell ref="A35:I35"/>
    <mergeCell ref="A36:I36"/>
    <mergeCell ref="A37:I37"/>
    <mergeCell ref="A38:I38"/>
    <mergeCell ref="A32:I32"/>
    <mergeCell ref="A27:C27"/>
    <mergeCell ref="F27:G27"/>
    <mergeCell ref="H27:I27"/>
    <mergeCell ref="A28:C28"/>
    <mergeCell ref="F28:G28"/>
    <mergeCell ref="H28:I28"/>
    <mergeCell ref="A29:C29"/>
    <mergeCell ref="F29:G29"/>
    <mergeCell ref="H29:I29"/>
    <mergeCell ref="A30:I30"/>
    <mergeCell ref="A31:I31"/>
    <mergeCell ref="A25:C25"/>
    <mergeCell ref="F25:G25"/>
    <mergeCell ref="H25:I25"/>
    <mergeCell ref="A26:C26"/>
    <mergeCell ref="F26:G26"/>
    <mergeCell ref="H26:I26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58" orientation="portrait" r:id="rId1"/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02168-588E-4761-8453-5F16449FA6C8}">
  <dimension ref="A2:N32"/>
  <sheetViews>
    <sheetView topLeftCell="A12" workbookViewId="0">
      <selection activeCell="G33" sqref="G33"/>
    </sheetView>
  </sheetViews>
  <sheetFormatPr baseColWidth="10" defaultRowHeight="12.75" x14ac:dyDescent="0.2"/>
  <cols>
    <col min="3" max="3" width="23.28515625" customWidth="1"/>
  </cols>
  <sheetData>
    <row r="2" spans="1:2" ht="15" x14ac:dyDescent="0.25">
      <c r="A2" s="89" t="s">
        <v>56</v>
      </c>
      <c r="B2" s="89"/>
    </row>
    <row r="3" spans="1:2" ht="15" x14ac:dyDescent="0.25">
      <c r="A3" s="89" t="s">
        <v>57</v>
      </c>
      <c r="B3" s="89" t="s">
        <v>58</v>
      </c>
    </row>
    <row r="4" spans="1:2" ht="15" x14ac:dyDescent="0.25">
      <c r="A4" s="89" t="s">
        <v>59</v>
      </c>
      <c r="B4" s="89" t="s">
        <v>60</v>
      </c>
    </row>
    <row r="5" spans="1:2" ht="15" x14ac:dyDescent="0.25">
      <c r="A5" s="89" t="s">
        <v>61</v>
      </c>
      <c r="B5" s="89" t="s">
        <v>62</v>
      </c>
    </row>
    <row r="6" spans="1:2" ht="15" x14ac:dyDescent="0.25">
      <c r="A6" s="89" t="s">
        <v>63</v>
      </c>
      <c r="B6" s="89" t="s">
        <v>64</v>
      </c>
    </row>
    <row r="7" spans="1:2" ht="15" x14ac:dyDescent="0.25">
      <c r="A7" s="89" t="s">
        <v>65</v>
      </c>
      <c r="B7" s="89" t="s">
        <v>66</v>
      </c>
    </row>
    <row r="8" spans="1:2" ht="15" x14ac:dyDescent="0.25">
      <c r="A8" s="89" t="s">
        <v>67</v>
      </c>
      <c r="B8" s="89" t="s">
        <v>68</v>
      </c>
    </row>
    <row r="9" spans="1:2" ht="15" x14ac:dyDescent="0.25">
      <c r="A9" s="89" t="s">
        <v>69</v>
      </c>
      <c r="B9" s="89" t="s">
        <v>70</v>
      </c>
    </row>
    <row r="10" spans="1:2" ht="15" x14ac:dyDescent="0.25">
      <c r="A10" s="89" t="s">
        <v>71</v>
      </c>
      <c r="B10" s="89" t="s">
        <v>72</v>
      </c>
    </row>
    <row r="11" spans="1:2" ht="15" x14ac:dyDescent="0.25">
      <c r="A11" s="89" t="s">
        <v>73</v>
      </c>
      <c r="B11" s="89" t="s">
        <v>74</v>
      </c>
    </row>
    <row r="12" spans="1:2" ht="15" x14ac:dyDescent="0.25">
      <c r="A12" s="89" t="s">
        <v>75</v>
      </c>
      <c r="B12" s="89" t="s">
        <v>76</v>
      </c>
    </row>
    <row r="13" spans="1:2" ht="15" x14ac:dyDescent="0.25">
      <c r="A13" s="89" t="s">
        <v>77</v>
      </c>
      <c r="B13" s="89" t="s">
        <v>78</v>
      </c>
    </row>
    <row r="14" spans="1:2" ht="15" x14ac:dyDescent="0.25">
      <c r="A14" s="89" t="s">
        <v>79</v>
      </c>
      <c r="B14" s="89" t="s">
        <v>80</v>
      </c>
    </row>
    <row r="17" spans="1:14" ht="15" x14ac:dyDescent="0.25">
      <c r="A17" s="89" t="s">
        <v>81</v>
      </c>
      <c r="B17" s="89" t="s">
        <v>82</v>
      </c>
      <c r="C17" s="89"/>
      <c r="D17" s="89"/>
      <c r="E17" s="89"/>
      <c r="F17" s="89"/>
      <c r="G17" s="89"/>
      <c r="H17" s="89"/>
      <c r="I17" s="89"/>
      <c r="J17" s="89"/>
      <c r="K17" s="89"/>
    </row>
    <row r="18" spans="1:14" ht="15" x14ac:dyDescent="0.25">
      <c r="A18" s="89" t="s">
        <v>83</v>
      </c>
      <c r="B18" s="89" t="s">
        <v>84</v>
      </c>
      <c r="C18" s="89"/>
      <c r="D18" s="89"/>
      <c r="E18" s="89"/>
      <c r="F18" s="89"/>
      <c r="G18" s="89"/>
      <c r="H18" s="89"/>
      <c r="I18" s="89"/>
      <c r="J18" s="89"/>
      <c r="K18" s="89"/>
    </row>
    <row r="20" spans="1:14" ht="15" x14ac:dyDescent="0.25">
      <c r="A20" s="89" t="s">
        <v>85</v>
      </c>
      <c r="B20" s="89" t="s">
        <v>86</v>
      </c>
      <c r="C20" s="89" t="s">
        <v>87</v>
      </c>
      <c r="D20" s="89" t="s">
        <v>88</v>
      </c>
      <c r="E20" s="89" t="s">
        <v>89</v>
      </c>
      <c r="F20" s="89" t="s">
        <v>90</v>
      </c>
      <c r="G20" s="89" t="s">
        <v>91</v>
      </c>
      <c r="H20" s="89" t="s">
        <v>92</v>
      </c>
      <c r="I20" s="89" t="s">
        <v>93</v>
      </c>
      <c r="J20" s="89" t="s">
        <v>94</v>
      </c>
      <c r="K20" s="89" t="s">
        <v>95</v>
      </c>
    </row>
    <row r="21" spans="1:14" ht="15" x14ac:dyDescent="0.25">
      <c r="A21" s="89" t="s">
        <v>15</v>
      </c>
      <c r="B21" s="89" t="s">
        <v>76</v>
      </c>
      <c r="C21" s="89" t="s">
        <v>96</v>
      </c>
      <c r="D21" s="89" t="s">
        <v>76</v>
      </c>
      <c r="E21" s="89" t="s">
        <v>97</v>
      </c>
      <c r="F21" s="89" t="s">
        <v>76</v>
      </c>
      <c r="G21" s="89" t="s">
        <v>76</v>
      </c>
      <c r="H21" s="89" t="s">
        <v>76</v>
      </c>
      <c r="I21" s="89" t="s">
        <v>98</v>
      </c>
      <c r="J21" s="89" t="s">
        <v>94</v>
      </c>
      <c r="K21" s="89" t="s">
        <v>98</v>
      </c>
      <c r="L21">
        <v>49.75</v>
      </c>
    </row>
    <row r="22" spans="1:14" ht="15" x14ac:dyDescent="0.25">
      <c r="A22" s="89" t="s">
        <v>99</v>
      </c>
      <c r="B22" s="89" t="s">
        <v>76</v>
      </c>
      <c r="C22" s="89" t="s">
        <v>100</v>
      </c>
      <c r="D22" s="89" t="s">
        <v>76</v>
      </c>
      <c r="E22" s="89" t="s">
        <v>97</v>
      </c>
      <c r="F22" s="89" t="s">
        <v>76</v>
      </c>
      <c r="G22" s="89" t="s">
        <v>76</v>
      </c>
      <c r="H22" s="89" t="s">
        <v>76</v>
      </c>
      <c r="I22" s="89" t="s">
        <v>101</v>
      </c>
      <c r="J22" s="89" t="s">
        <v>94</v>
      </c>
      <c r="K22" s="89" t="s">
        <v>101</v>
      </c>
      <c r="L22">
        <v>13</v>
      </c>
    </row>
    <row r="23" spans="1:14" ht="15" x14ac:dyDescent="0.25">
      <c r="A23" s="89" t="s">
        <v>102</v>
      </c>
      <c r="B23" s="89" t="s">
        <v>76</v>
      </c>
      <c r="C23" s="89" t="s">
        <v>103</v>
      </c>
      <c r="D23" s="89" t="s">
        <v>76</v>
      </c>
      <c r="E23" s="89" t="s">
        <v>97</v>
      </c>
      <c r="F23" s="89" t="s">
        <v>76</v>
      </c>
      <c r="G23" s="89" t="s">
        <v>76</v>
      </c>
      <c r="H23" s="89" t="s">
        <v>76</v>
      </c>
      <c r="I23" s="89" t="s">
        <v>104</v>
      </c>
      <c r="J23" s="89" t="s">
        <v>94</v>
      </c>
      <c r="K23" s="89" t="s">
        <v>104</v>
      </c>
      <c r="L23">
        <v>0.57999999999999996</v>
      </c>
    </row>
    <row r="24" spans="1:14" ht="15" x14ac:dyDescent="0.25">
      <c r="A24" s="89" t="s">
        <v>105</v>
      </c>
      <c r="B24" s="89" t="s">
        <v>76</v>
      </c>
      <c r="C24" s="89" t="s">
        <v>106</v>
      </c>
      <c r="D24" s="89" t="s">
        <v>76</v>
      </c>
      <c r="E24" s="89" t="s">
        <v>97</v>
      </c>
      <c r="F24" s="89" t="s">
        <v>76</v>
      </c>
      <c r="G24" s="89" t="s">
        <v>76</v>
      </c>
      <c r="H24" s="89" t="s">
        <v>76</v>
      </c>
      <c r="I24" s="89" t="s">
        <v>107</v>
      </c>
      <c r="J24" s="89" t="s">
        <v>108</v>
      </c>
      <c r="K24" s="89" t="s">
        <v>107</v>
      </c>
      <c r="L24">
        <v>1.8</v>
      </c>
    </row>
    <row r="25" spans="1:14" ht="15" x14ac:dyDescent="0.25">
      <c r="A25" s="89" t="s">
        <v>109</v>
      </c>
      <c r="B25" s="89" t="s">
        <v>76</v>
      </c>
      <c r="C25" s="89" t="s">
        <v>110</v>
      </c>
      <c r="D25" s="89" t="s">
        <v>111</v>
      </c>
      <c r="E25" s="89" t="s">
        <v>97</v>
      </c>
      <c r="F25" s="89" t="s">
        <v>111</v>
      </c>
      <c r="G25" s="89" t="s">
        <v>111</v>
      </c>
      <c r="H25" s="89" t="s">
        <v>111</v>
      </c>
      <c r="I25" s="89" t="s">
        <v>112</v>
      </c>
      <c r="J25" s="89" t="s">
        <v>94</v>
      </c>
      <c r="K25" s="89" t="s">
        <v>113</v>
      </c>
      <c r="L25">
        <v>81.62</v>
      </c>
    </row>
    <row r="26" spans="1:14" ht="15" x14ac:dyDescent="0.25">
      <c r="A26" s="89" t="s">
        <v>114</v>
      </c>
      <c r="B26" s="89" t="s">
        <v>76</v>
      </c>
      <c r="C26" s="89" t="s">
        <v>115</v>
      </c>
      <c r="D26" s="89" t="s">
        <v>111</v>
      </c>
      <c r="E26" s="89" t="s">
        <v>97</v>
      </c>
      <c r="F26" s="89" t="s">
        <v>111</v>
      </c>
      <c r="G26" s="89" t="s">
        <v>111</v>
      </c>
      <c r="H26" s="89" t="s">
        <v>111</v>
      </c>
      <c r="I26" s="89" t="s">
        <v>116</v>
      </c>
      <c r="J26" s="89" t="s">
        <v>94</v>
      </c>
      <c r="K26" s="89" t="s">
        <v>117</v>
      </c>
      <c r="L26">
        <v>67.84</v>
      </c>
    </row>
    <row r="27" spans="1:14" ht="15" x14ac:dyDescent="0.25">
      <c r="A27" s="89" t="s">
        <v>20</v>
      </c>
      <c r="B27" s="89" t="s">
        <v>76</v>
      </c>
      <c r="C27" s="89" t="s">
        <v>118</v>
      </c>
      <c r="D27" s="89" t="s">
        <v>119</v>
      </c>
      <c r="E27" s="89" t="s">
        <v>97</v>
      </c>
      <c r="F27" s="89" t="s">
        <v>119</v>
      </c>
      <c r="G27" s="89" t="s">
        <v>119</v>
      </c>
      <c r="H27" s="89" t="s">
        <v>119</v>
      </c>
      <c r="I27" s="89" t="s">
        <v>120</v>
      </c>
      <c r="J27" s="89" t="s">
        <v>94</v>
      </c>
      <c r="K27" s="89" t="s">
        <v>121</v>
      </c>
      <c r="L27">
        <v>1240.1099999999999</v>
      </c>
      <c r="N27">
        <f>4*310.03</f>
        <v>1240.1199999999999</v>
      </c>
    </row>
    <row r="28" spans="1:14" x14ac:dyDescent="0.2">
      <c r="L28">
        <f>SUM(L21:L27)</f>
        <v>1454.6999999999998</v>
      </c>
    </row>
    <row r="29" spans="1:14" x14ac:dyDescent="0.2">
      <c r="L29">
        <f>+L28/4</f>
        <v>363.67499999999995</v>
      </c>
    </row>
    <row r="31" spans="1:14" x14ac:dyDescent="0.2">
      <c r="G31">
        <f>1454.7+49.75</f>
        <v>1504.45</v>
      </c>
    </row>
    <row r="32" spans="1:14" x14ac:dyDescent="0.2">
      <c r="G32">
        <f>+G31/4</f>
        <v>376.11250000000001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CB82-FEED-4F4C-8342-8AD131B5DB43}">
  <dimension ref="A2:N34"/>
  <sheetViews>
    <sheetView topLeftCell="A9" workbookViewId="0">
      <selection activeCell="H35" sqref="H35"/>
    </sheetView>
  </sheetViews>
  <sheetFormatPr baseColWidth="10" defaultRowHeight="12.75" x14ac:dyDescent="0.2"/>
  <sheetData>
    <row r="2" spans="1:2" ht="15" x14ac:dyDescent="0.25">
      <c r="A2" s="89" t="s">
        <v>56</v>
      </c>
      <c r="B2" s="89"/>
    </row>
    <row r="3" spans="1:2" ht="15" x14ac:dyDescent="0.25">
      <c r="A3" s="89" t="s">
        <v>57</v>
      </c>
      <c r="B3" s="89" t="s">
        <v>58</v>
      </c>
    </row>
    <row r="4" spans="1:2" ht="15" x14ac:dyDescent="0.25">
      <c r="A4" s="89" t="s">
        <v>59</v>
      </c>
      <c r="B4" s="89" t="s">
        <v>60</v>
      </c>
    </row>
    <row r="5" spans="1:2" ht="15" x14ac:dyDescent="0.25">
      <c r="A5" s="89" t="s">
        <v>61</v>
      </c>
      <c r="B5" s="89" t="s">
        <v>62</v>
      </c>
    </row>
    <row r="6" spans="1:2" ht="15" x14ac:dyDescent="0.25">
      <c r="A6" s="89" t="s">
        <v>63</v>
      </c>
      <c r="B6" s="89" t="s">
        <v>64</v>
      </c>
    </row>
    <row r="7" spans="1:2" ht="15" x14ac:dyDescent="0.25">
      <c r="A7" s="89" t="s">
        <v>65</v>
      </c>
      <c r="B7" s="89" t="s">
        <v>66</v>
      </c>
    </row>
    <row r="8" spans="1:2" ht="15" x14ac:dyDescent="0.25">
      <c r="A8" s="89" t="s">
        <v>67</v>
      </c>
      <c r="B8" s="89" t="s">
        <v>68</v>
      </c>
    </row>
    <row r="9" spans="1:2" ht="15" x14ac:dyDescent="0.25">
      <c r="A9" s="89" t="s">
        <v>69</v>
      </c>
      <c r="B9" s="89" t="s">
        <v>70</v>
      </c>
    </row>
    <row r="10" spans="1:2" ht="15" x14ac:dyDescent="0.25">
      <c r="A10" s="89" t="s">
        <v>71</v>
      </c>
      <c r="B10" s="89" t="s">
        <v>72</v>
      </c>
    </row>
    <row r="11" spans="1:2" ht="15" x14ac:dyDescent="0.25">
      <c r="A11" s="89" t="s">
        <v>73</v>
      </c>
      <c r="B11" s="89" t="s">
        <v>74</v>
      </c>
    </row>
    <row r="12" spans="1:2" ht="15" x14ac:dyDescent="0.25">
      <c r="A12" s="89" t="s">
        <v>75</v>
      </c>
      <c r="B12" s="89" t="s">
        <v>76</v>
      </c>
    </row>
    <row r="13" spans="1:2" ht="15" x14ac:dyDescent="0.25">
      <c r="A13" s="89" t="s">
        <v>77</v>
      </c>
      <c r="B13" s="89" t="s">
        <v>78</v>
      </c>
    </row>
    <row r="14" spans="1:2" ht="15" x14ac:dyDescent="0.25">
      <c r="A14" s="89" t="s">
        <v>79</v>
      </c>
      <c r="B14" s="89" t="s">
        <v>80</v>
      </c>
    </row>
    <row r="17" spans="1:14" ht="15" x14ac:dyDescent="0.25">
      <c r="A17" s="89" t="s">
        <v>81</v>
      </c>
      <c r="B17" s="89" t="s">
        <v>82</v>
      </c>
      <c r="C17" s="89"/>
      <c r="D17" s="89"/>
      <c r="E17" s="89"/>
      <c r="F17" s="89"/>
      <c r="G17" s="89"/>
      <c r="H17" s="89"/>
      <c r="I17" s="89"/>
      <c r="J17" s="89"/>
      <c r="K17" s="89"/>
    </row>
    <row r="18" spans="1:14" ht="15" x14ac:dyDescent="0.25">
      <c r="A18" s="89" t="s">
        <v>83</v>
      </c>
      <c r="B18" s="89" t="s">
        <v>84</v>
      </c>
      <c r="C18" s="89"/>
      <c r="D18" s="89"/>
      <c r="E18" s="89"/>
      <c r="F18" s="89"/>
      <c r="G18" s="89"/>
      <c r="H18" s="89"/>
      <c r="I18" s="89"/>
      <c r="J18" s="89"/>
      <c r="K18" s="89"/>
    </row>
    <row r="20" spans="1:14" ht="15" x14ac:dyDescent="0.25">
      <c r="A20" s="89" t="s">
        <v>85</v>
      </c>
      <c r="B20" s="89" t="s">
        <v>86</v>
      </c>
      <c r="C20" s="89" t="s">
        <v>87</v>
      </c>
      <c r="D20" s="89" t="s">
        <v>88</v>
      </c>
      <c r="E20" s="89" t="s">
        <v>89</v>
      </c>
      <c r="F20" s="89" t="s">
        <v>90</v>
      </c>
      <c r="G20" s="89" t="s">
        <v>91</v>
      </c>
      <c r="H20" s="89" t="s">
        <v>92</v>
      </c>
      <c r="I20" s="89" t="s">
        <v>93</v>
      </c>
      <c r="J20" s="89" t="s">
        <v>94</v>
      </c>
      <c r="K20" s="89" t="s">
        <v>95</v>
      </c>
    </row>
    <row r="21" spans="1:14" ht="15" x14ac:dyDescent="0.25">
      <c r="A21" s="89" t="s">
        <v>15</v>
      </c>
      <c r="B21" s="89" t="s">
        <v>76</v>
      </c>
      <c r="C21" s="89" t="s">
        <v>96</v>
      </c>
      <c r="D21" s="89" t="s">
        <v>76</v>
      </c>
      <c r="E21" s="89" t="s">
        <v>97</v>
      </c>
      <c r="F21" s="89" t="s">
        <v>76</v>
      </c>
      <c r="G21" s="89" t="s">
        <v>76</v>
      </c>
      <c r="H21" s="89" t="s">
        <v>76</v>
      </c>
      <c r="I21" s="89" t="s">
        <v>98</v>
      </c>
      <c r="J21" s="89" t="s">
        <v>94</v>
      </c>
      <c r="K21" s="89" t="s">
        <v>98</v>
      </c>
      <c r="L21">
        <v>49.75</v>
      </c>
    </row>
    <row r="22" spans="1:14" ht="15" x14ac:dyDescent="0.25">
      <c r="A22" s="89" t="s">
        <v>99</v>
      </c>
      <c r="B22" s="89" t="s">
        <v>76</v>
      </c>
      <c r="C22" s="89" t="s">
        <v>100</v>
      </c>
      <c r="D22" s="89" t="s">
        <v>76</v>
      </c>
      <c r="E22" s="89" t="s">
        <v>97</v>
      </c>
      <c r="F22" s="89" t="s">
        <v>76</v>
      </c>
      <c r="G22" s="89" t="s">
        <v>76</v>
      </c>
      <c r="H22" s="89" t="s">
        <v>76</v>
      </c>
      <c r="I22" s="89" t="s">
        <v>101</v>
      </c>
      <c r="J22" s="89" t="s">
        <v>94</v>
      </c>
      <c r="K22" s="89" t="s">
        <v>101</v>
      </c>
      <c r="L22">
        <v>13</v>
      </c>
    </row>
    <row r="23" spans="1:14" ht="15" x14ac:dyDescent="0.25">
      <c r="A23" s="89" t="s">
        <v>102</v>
      </c>
      <c r="B23" s="89" t="s">
        <v>76</v>
      </c>
      <c r="C23" s="89" t="s">
        <v>103</v>
      </c>
      <c r="D23" s="89" t="s">
        <v>76</v>
      </c>
      <c r="E23" s="89" t="s">
        <v>97</v>
      </c>
      <c r="F23" s="89" t="s">
        <v>76</v>
      </c>
      <c r="G23" s="89" t="s">
        <v>76</v>
      </c>
      <c r="H23" s="89" t="s">
        <v>76</v>
      </c>
      <c r="I23" s="89" t="s">
        <v>104</v>
      </c>
      <c r="J23" s="89" t="s">
        <v>94</v>
      </c>
      <c r="K23" s="89" t="s">
        <v>104</v>
      </c>
      <c r="L23">
        <v>0.57999999999999996</v>
      </c>
    </row>
    <row r="24" spans="1:14" ht="15" x14ac:dyDescent="0.25">
      <c r="A24" s="89" t="s">
        <v>105</v>
      </c>
      <c r="B24" s="89" t="s">
        <v>76</v>
      </c>
      <c r="C24" s="89" t="s">
        <v>106</v>
      </c>
      <c r="D24" s="89" t="s">
        <v>76</v>
      </c>
      <c r="E24" s="89" t="s">
        <v>97</v>
      </c>
      <c r="F24" s="89" t="s">
        <v>76</v>
      </c>
      <c r="G24" s="89" t="s">
        <v>76</v>
      </c>
      <c r="H24" s="89" t="s">
        <v>76</v>
      </c>
      <c r="I24" s="89" t="s">
        <v>107</v>
      </c>
      <c r="J24" s="89" t="s">
        <v>108</v>
      </c>
      <c r="K24" s="89" t="s">
        <v>107</v>
      </c>
      <c r="L24">
        <v>1.8</v>
      </c>
    </row>
    <row r="25" spans="1:14" ht="15" x14ac:dyDescent="0.25">
      <c r="A25" s="89" t="s">
        <v>109</v>
      </c>
      <c r="B25" s="89" t="s">
        <v>76</v>
      </c>
      <c r="C25" s="89" t="s">
        <v>110</v>
      </c>
      <c r="D25" s="89" t="s">
        <v>111</v>
      </c>
      <c r="E25" s="89" t="s">
        <v>97</v>
      </c>
      <c r="F25" s="89" t="s">
        <v>111</v>
      </c>
      <c r="G25" s="89" t="s">
        <v>111</v>
      </c>
      <c r="H25" s="89" t="s">
        <v>111</v>
      </c>
      <c r="I25" s="89" t="s">
        <v>112</v>
      </c>
      <c r="J25" s="89" t="s">
        <v>94</v>
      </c>
      <c r="K25" s="89" t="s">
        <v>113</v>
      </c>
      <c r="L25">
        <v>81.62</v>
      </c>
    </row>
    <row r="26" spans="1:14" ht="15" x14ac:dyDescent="0.25">
      <c r="A26" s="89" t="s">
        <v>114</v>
      </c>
      <c r="B26" s="89" t="s">
        <v>76</v>
      </c>
      <c r="C26" s="89" t="s">
        <v>115</v>
      </c>
      <c r="D26" s="89" t="s">
        <v>111</v>
      </c>
      <c r="E26" s="89" t="s">
        <v>97</v>
      </c>
      <c r="F26" s="89" t="s">
        <v>111</v>
      </c>
      <c r="G26" s="89" t="s">
        <v>111</v>
      </c>
      <c r="H26" s="89" t="s">
        <v>111</v>
      </c>
      <c r="I26" s="89" t="s">
        <v>116</v>
      </c>
      <c r="J26" s="89" t="s">
        <v>94</v>
      </c>
      <c r="K26" s="89" t="s">
        <v>117</v>
      </c>
      <c r="L26">
        <v>67.84</v>
      </c>
    </row>
    <row r="27" spans="1:14" ht="15" x14ac:dyDescent="0.25">
      <c r="A27" s="89" t="s">
        <v>20</v>
      </c>
      <c r="B27" s="89" t="s">
        <v>76</v>
      </c>
      <c r="C27" s="89" t="s">
        <v>118</v>
      </c>
      <c r="D27" s="89">
        <v>5</v>
      </c>
      <c r="E27" s="89" t="s">
        <v>97</v>
      </c>
      <c r="F27" s="89">
        <v>5</v>
      </c>
      <c r="G27" s="89">
        <v>5</v>
      </c>
      <c r="H27" s="89">
        <v>5</v>
      </c>
      <c r="I27" s="89" t="s">
        <v>120</v>
      </c>
      <c r="J27" s="89" t="s">
        <v>94</v>
      </c>
      <c r="K27" s="89">
        <f>5*310.03</f>
        <v>1550.1499999999999</v>
      </c>
      <c r="L27">
        <v>1550.15</v>
      </c>
      <c r="N27">
        <f>5*310.02</f>
        <v>1550.1</v>
      </c>
    </row>
    <row r="28" spans="1:14" x14ac:dyDescent="0.2">
      <c r="L28">
        <f>SUM(L21:L27)</f>
        <v>1764.74</v>
      </c>
      <c r="N28">
        <f>+N27/5</f>
        <v>310.02</v>
      </c>
    </row>
    <row r="29" spans="1:14" x14ac:dyDescent="0.2">
      <c r="H29">
        <f>1454.7+310.02</f>
        <v>1764.72</v>
      </c>
      <c r="L29">
        <f>+L28/5</f>
        <v>352.94799999999998</v>
      </c>
    </row>
    <row r="30" spans="1:14" x14ac:dyDescent="0.2">
      <c r="H30">
        <f>+H29/5</f>
        <v>352.94400000000002</v>
      </c>
    </row>
    <row r="33" spans="8:8" x14ac:dyDescent="0.2">
      <c r="H33">
        <f>1764.74+49.75</f>
        <v>1814.49</v>
      </c>
    </row>
    <row r="34" spans="8:8" x14ac:dyDescent="0.2">
      <c r="H34">
        <f>+H33/5</f>
        <v>362.89800000000002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A4B6CB-22C5-4174-A473-769FC64DCF9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D273B92-6208-43BC-982C-BD70A1C622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0F03EF-A607-4935-98F9-2AF4089895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Empaque </vt:lpstr>
      <vt:lpstr>Empaque 2</vt:lpstr>
      <vt:lpstr>Costo Actual </vt:lpstr>
      <vt:lpstr>Costo nuevo empaque </vt:lpstr>
      <vt:lpstr>'Empaque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2025-05-26T16:58:57Z</cp:lastPrinted>
  <dcterms:created xsi:type="dcterms:W3CDTF">2023-10-05T16:18:42Z</dcterms:created>
  <dcterms:modified xsi:type="dcterms:W3CDTF">2025-05-26T17:00:38Z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
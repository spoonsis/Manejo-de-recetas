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7" documentId="8_{4B337D56-65AA-490A-8061-9A864D0EFE63}" xr6:coauthVersionLast="47" xr6:coauthVersionMax="47" xr10:uidLastSave="{8559D845-BD5A-4819-A879-D882C48E20A5}"/>
  <bookViews>
    <workbookView xWindow="20370" yWindow="-120" windowWidth="24240" windowHeight="13020" xr2:uid="{93DF36B7-6ED9-40F2-93AD-A97D508EA7D8}"/>
  </bookViews>
  <sheets>
    <sheet name="Hoja2" sheetId="2" r:id="rId1"/>
  </sheets>
  <definedNames>
    <definedName name="_xlnm.Print_Area" localSheetId="0">Hoja2!$A$1:$I$63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H40" i="2"/>
  <c r="E13" i="2"/>
</calcChain>
</file>

<file path=xl/sharedStrings.xml><?xml version="1.0" encoding="utf-8"?>
<sst xmlns="http://schemas.openxmlformats.org/spreadsheetml/2006/main" count="120" uniqueCount="91">
  <si>
    <t>3.- Encremar la torta con crema chantilly y pegar borona en los lados acorde a la fotografia.</t>
  </si>
  <si>
    <t>1.- Partir los 2 rosquetes por la mitad y humedecer cada una de las tapa con almíbar.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</si>
  <si>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</si>
  <si>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</si>
  <si>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</si>
  <si>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</si>
  <si>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</si>
  <si>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</si>
  <si>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</si>
  <si>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</si>
  <si>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</si>
  <si>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</si>
  <si>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</si>
  <si>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</si>
  <si>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</si>
  <si>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</si>
  <si>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</si>
  <si>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</si>
  <si>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 (UND)</t>
  </si>
  <si>
    <t>CEMUSA</t>
  </si>
  <si>
    <t>ETIQUETA BLANCA R-153 (UND)</t>
  </si>
  <si>
    <t>cm</t>
  </si>
  <si>
    <t>MAYCA</t>
  </si>
  <si>
    <t>CINTA ADHESIVA TRANSPARENT 2*100 M (UND)</t>
  </si>
  <si>
    <t>RAPIBOX</t>
  </si>
  <si>
    <t>ORLA CARTON 10" DORADA (UND)</t>
  </si>
  <si>
    <t>QUEQUERA RED  BASE/DOMO 10 (CAJA:50)</t>
  </si>
  <si>
    <t>Empaque</t>
  </si>
  <si>
    <t>FAS</t>
  </si>
  <si>
    <t>BORONA P/DECORAR KILO</t>
  </si>
  <si>
    <t>CREMA BEIDGE (KILO)</t>
  </si>
  <si>
    <t>Decoración</t>
  </si>
  <si>
    <t>EMPAQUE RELLENO MELOCOTON CUBOS PARA TORTA</t>
  </si>
  <si>
    <t>RELLENO DE LIMON SPOON KILO</t>
  </si>
  <si>
    <t>ALMIBAR (KILO)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</si>
  <si>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</si>
  <si>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</si>
  <si>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</si>
  <si>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</si>
  <si>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</si>
  <si>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</si>
  <si>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</si>
  <si>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</si>
  <si>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</si>
  <si>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</si>
  <si>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</si>
  <si>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</si>
  <si>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</si>
  <si>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</si>
  <si>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</si>
  <si>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</si>
  <si>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</si>
  <si>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</si>
  <si>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</si>
  <si>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SE00450</t>
  </si>
  <si>
    <t>SE00005</t>
  </si>
  <si>
    <t>SE00008</t>
  </si>
  <si>
    <t>SE00446</t>
  </si>
  <si>
    <t>SE00069</t>
  </si>
  <si>
    <t>SE00081</t>
  </si>
  <si>
    <t>SE00071</t>
  </si>
  <si>
    <t>EM10009</t>
  </si>
  <si>
    <t>EM10008</t>
  </si>
  <si>
    <t>EM10248</t>
  </si>
  <si>
    <t>EM10124</t>
  </si>
  <si>
    <t>EM10011</t>
  </si>
  <si>
    <t>EM10002</t>
  </si>
  <si>
    <t>5.- Colocar la torta en el domo, etiquetar con nombre e ingredientes,Lote, fecha de vencimiento.</t>
  </si>
  <si>
    <t>Javier Tong, Chef</t>
  </si>
  <si>
    <t>Decoracion</t>
  </si>
  <si>
    <t># Código Netsuite</t>
  </si>
  <si>
    <t>2 UND</t>
  </si>
  <si>
    <t>50 GRAMOS - 4CAPAS</t>
  </si>
  <si>
    <t>1/2 TAZA - 3 CAPAS</t>
  </si>
  <si>
    <t>3/4 TAZA - 3 CAPAS</t>
  </si>
  <si>
    <t>ENCREMAR</t>
  </si>
  <si>
    <t>BOQUILLA 22</t>
  </si>
  <si>
    <t>1/2 CENTRO</t>
  </si>
  <si>
    <t>ETIQ.BLANCA 1 1/4 * 3/4</t>
  </si>
  <si>
    <t>CONTROL DE CAMBIOS</t>
  </si>
  <si>
    <t>ESP-RE-DES-005</t>
  </si>
  <si>
    <t>ROSQUETE NUCLEO VAINILLA DAWN REDONDO 270g</t>
  </si>
  <si>
    <t>TOPPIN DE MELOCOTÓN</t>
  </si>
  <si>
    <t>1/2 TAZA</t>
  </si>
  <si>
    <t>4.- En el centro hacer un circulo de colocho con boquilla 22 y colocar el topping de melocotón .</t>
  </si>
  <si>
    <t>SE00681</t>
  </si>
  <si>
    <t>2, Se actualizan datos de recetas, procedimiento y pesos finales.</t>
  </si>
  <si>
    <t>2.- Rellenar 3 tapas de rosquete con el relleno de limón, seguido del relleno de melocoton en cubos esparcir y por ultimo topping; colocar la ultima tapa de rosquete. Colocar en una orla.</t>
  </si>
  <si>
    <t>3, Actualizacion de peso final y merma</t>
  </si>
  <si>
    <t>03</t>
  </si>
  <si>
    <t>Torta Melocoton  Grande Spoon 36085(PTL00109)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</si>
</sst>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name val="Arial"/>
      <family val="2"/>
    </font>
    <font>
      <sz val="18"/>
      <color theme="1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sz val="18"/>
      <color rgb="FF000000"/>
      <name val="Arial"/>
      <family val="2"/>
    </font>
    <font>
      <sz val="18"/>
      <color indexed="8"/>
      <name val="Arial"/>
      <family val="2"/>
    </font>
    <font>
      <b/>
      <sz val="18"/>
      <name val="Century Gothic"/>
      <family val="2"/>
    </font>
    <font>
      <b/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193">
    <xf numFmtId="0" fontId="0" fillId="0" borderId="0" xfId="0"/>
    <xf numFmtId="0" fontId="3" fillId="2" borderId="14" xfId="4" applyFont="1" applyFill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3" fillId="2" borderId="11" xfId="4" applyFont="1" applyFill="1" applyBorder="1" applyAlignment="1">
      <alignment horizontal="right"/>
    </xf>
    <xf numFmtId="49" fontId="5" fillId="2" borderId="10" xfId="4" applyNumberFormat="1" applyFont="1" applyFill="1" applyBorder="1" applyAlignment="1">
      <alignment horizontal="center"/>
    </xf>
    <xf numFmtId="0" fontId="5" fillId="2" borderId="8" xfId="4" applyFont="1" applyFill="1" applyBorder="1" applyAlignment="1">
      <alignment horizontal="right"/>
    </xf>
    <xf numFmtId="0" fontId="5" fillId="2" borderId="11" xfId="4" applyFont="1" applyFill="1" applyBorder="1" applyAlignment="1">
      <alignment horizontal="right"/>
    </xf>
    <xf numFmtId="0" fontId="3" fillId="3" borderId="13" xfId="3" applyFont="1" applyFill="1" applyBorder="1" applyAlignment="1">
      <alignment horizontal="center" vertical="center" wrapText="1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0" fontId="8" fillId="4" borderId="8" xfId="0" applyFont="1" applyFill="1" applyBorder="1"/>
    <xf numFmtId="0" fontId="9" fillId="0" borderId="12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10" fillId="0" borderId="11" xfId="3" applyFont="1" applyBorder="1" applyAlignment="1">
      <alignment vertical="center"/>
    </xf>
    <xf numFmtId="0" fontId="9" fillId="0" borderId="11" xfId="3" applyFont="1" applyBorder="1" applyAlignment="1">
      <alignment horizontal="center" vertical="center"/>
    </xf>
    <xf numFmtId="1" fontId="9" fillId="0" borderId="11" xfId="3" applyNumberFormat="1" applyFont="1" applyBorder="1" applyAlignment="1">
      <alignment horizontal="center"/>
    </xf>
    <xf numFmtId="1" fontId="9" fillId="0" borderId="11" xfId="3" applyNumberFormat="1" applyFont="1" applyBorder="1" applyAlignment="1">
      <alignment horizontal="center" wrapText="1"/>
    </xf>
    <xf numFmtId="0" fontId="11" fillId="0" borderId="10" xfId="3" applyFont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1" fontId="11" fillId="4" borderId="11" xfId="0" applyNumberFormat="1" applyFont="1" applyFill="1" applyBorder="1" applyAlignment="1">
      <alignment horizontal="center"/>
    </xf>
    <xf numFmtId="1" fontId="11" fillId="4" borderId="11" xfId="0" applyNumberFormat="1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12" fontId="11" fillId="0" borderId="8" xfId="0" applyNumberFormat="1" applyFont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11" xfId="0" applyFont="1" applyFill="1" applyBorder="1"/>
    <xf numFmtId="1" fontId="11" fillId="4" borderId="8" xfId="0" applyNumberFormat="1" applyFont="1" applyFill="1" applyBorder="1" applyAlignment="1">
      <alignment horizontal="center"/>
    </xf>
    <xf numFmtId="1" fontId="11" fillId="4" borderId="8" xfId="0" applyNumberFormat="1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6" borderId="11" xfId="0" applyFont="1" applyFill="1" applyBorder="1"/>
    <xf numFmtId="0" fontId="11" fillId="0" borderId="11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9" fillId="6" borderId="11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2" fillId="6" borderId="11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vertical="center"/>
    </xf>
    <xf numFmtId="16" fontId="11" fillId="0" borderId="21" xfId="0" applyNumberFormat="1" applyFont="1" applyBorder="1" applyAlignment="1">
      <alignment horizontal="center"/>
    </xf>
    <xf numFmtId="1" fontId="9" fillId="4" borderId="11" xfId="0" applyNumberFormat="1" applyFont="1" applyFill="1" applyBorder="1" applyAlignment="1">
      <alignment horizontal="center"/>
    </xf>
    <xf numFmtId="2" fontId="9" fillId="0" borderId="11" xfId="3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0" xfId="0" applyFont="1"/>
    <xf numFmtId="1" fontId="11" fillId="0" borderId="11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 wrapText="1"/>
    </xf>
    <xf numFmtId="49" fontId="11" fillId="0" borderId="12" xfId="3" applyNumberFormat="1" applyFont="1" applyBorder="1" applyAlignment="1">
      <alignment horizontal="center"/>
    </xf>
    <xf numFmtId="49" fontId="11" fillId="0" borderId="21" xfId="3" applyNumberFormat="1" applyFont="1" applyBorder="1" applyAlignment="1">
      <alignment horizontal="center"/>
    </xf>
    <xf numFmtId="0" fontId="9" fillId="4" borderId="11" xfId="3" applyFont="1" applyFill="1" applyBorder="1" applyAlignment="1">
      <alignment horizontal="left"/>
    </xf>
    <xf numFmtId="0" fontId="11" fillId="0" borderId="11" xfId="3" applyFont="1" applyBorder="1" applyAlignment="1">
      <alignment horizontal="center"/>
    </xf>
    <xf numFmtId="165" fontId="11" fillId="0" borderId="11" xfId="3" applyNumberFormat="1" applyFont="1" applyBorder="1" applyAlignment="1">
      <alignment horizontal="center"/>
    </xf>
    <xf numFmtId="1" fontId="11" fillId="0" borderId="11" xfId="3" applyNumberFormat="1" applyFont="1" applyBorder="1" applyAlignment="1">
      <alignment horizontal="center" wrapText="1"/>
    </xf>
    <xf numFmtId="16" fontId="11" fillId="0" borderId="11" xfId="0" applyNumberFormat="1" applyFont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8" borderId="11" xfId="0" applyFont="1" applyFill="1" applyBorder="1" applyAlignment="1">
      <alignment horizontal="center"/>
    </xf>
    <xf numFmtId="0" fontId="8" fillId="8" borderId="11" xfId="0" applyFont="1" applyFill="1" applyBorder="1"/>
    <xf numFmtId="1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6" fontId="11" fillId="4" borderId="11" xfId="0" applyNumberFormat="1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49" fontId="9" fillId="0" borderId="6" xfId="3" applyNumberFormat="1" applyFont="1" applyBorder="1" applyAlignment="1">
      <alignment horizontal="center"/>
    </xf>
    <xf numFmtId="49" fontId="9" fillId="0" borderId="5" xfId="3" applyNumberFormat="1" applyFont="1" applyBorder="1" applyAlignment="1">
      <alignment horizontal="center"/>
    </xf>
    <xf numFmtId="0" fontId="10" fillId="4" borderId="11" xfId="3" applyFont="1" applyFill="1" applyBorder="1" applyAlignment="1">
      <alignment vertical="center"/>
    </xf>
    <xf numFmtId="0" fontId="9" fillId="0" borderId="21" xfId="3" applyFont="1" applyBorder="1" applyAlignment="1">
      <alignment horizontal="center"/>
    </xf>
    <xf numFmtId="165" fontId="9" fillId="0" borderId="11" xfId="3" applyNumberFormat="1" applyFont="1" applyBorder="1" applyAlignment="1">
      <alignment horizontal="center"/>
    </xf>
    <xf numFmtId="166" fontId="9" fillId="4" borderId="11" xfId="5" applyNumberFormat="1" applyFont="1" applyFill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27" xfId="0" applyFont="1" applyBorder="1" applyAlignment="1">
      <alignment horizontal="center"/>
    </xf>
    <xf numFmtId="12" fontId="11" fillId="0" borderId="11" xfId="3" applyNumberFormat="1" applyFont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1" fillId="4" borderId="11" xfId="0" applyFont="1" applyFill="1" applyBorder="1"/>
    <xf numFmtId="0" fontId="11" fillId="4" borderId="11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 wrapText="1"/>
    </xf>
    <xf numFmtId="1" fontId="11" fillId="0" borderId="11" xfId="3" applyNumberFormat="1" applyFont="1" applyBorder="1" applyAlignment="1">
      <alignment horizontal="center"/>
    </xf>
    <xf numFmtId="49" fontId="11" fillId="0" borderId="11" xfId="3" applyNumberFormat="1" applyFont="1" applyBorder="1"/>
    <xf numFmtId="49" fontId="13" fillId="2" borderId="17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16" xfId="3" applyFont="1" applyFill="1" applyBorder="1" applyAlignment="1">
      <alignment horizontal="center"/>
    </xf>
    <xf numFmtId="0" fontId="11" fillId="3" borderId="41" xfId="3" applyFont="1" applyFill="1" applyBorder="1" applyAlignment="1">
      <alignment horizontal="center"/>
    </xf>
    <xf numFmtId="0" fontId="11" fillId="3" borderId="42" xfId="3" applyFont="1" applyFill="1" applyBorder="1" applyAlignment="1">
      <alignment horizontal="center"/>
    </xf>
    <xf numFmtId="0" fontId="11" fillId="3" borderId="42" xfId="3" applyFont="1" applyFill="1" applyBorder="1"/>
    <xf numFmtId="0" fontId="9" fillId="3" borderId="42" xfId="3" applyFont="1" applyFill="1" applyBorder="1" applyAlignment="1">
      <alignment horizontal="center"/>
    </xf>
    <xf numFmtId="1" fontId="9" fillId="3" borderId="42" xfId="3" applyNumberFormat="1" applyFont="1" applyFill="1" applyBorder="1" applyAlignment="1">
      <alignment horizontal="center"/>
    </xf>
    <xf numFmtId="164" fontId="11" fillId="3" borderId="42" xfId="3" applyNumberFormat="1" applyFont="1" applyFill="1" applyBorder="1" applyAlignment="1">
      <alignment horizontal="center" wrapText="1"/>
    </xf>
    <xf numFmtId="0" fontId="11" fillId="3" borderId="43" xfId="3" applyFont="1" applyFill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5" fillId="2" borderId="28" xfId="4" applyNumberFormat="1" applyFont="1" applyFill="1" applyBorder="1" applyAlignment="1">
      <alignment horizontal="center" vertical="center" wrapText="1"/>
    </xf>
    <xf numFmtId="14" fontId="5" fillId="2" borderId="30" xfId="4" applyNumberFormat="1" applyFont="1" applyFill="1" applyBorder="1" applyAlignment="1">
      <alignment horizontal="center" vertical="center" wrapText="1"/>
    </xf>
    <xf numFmtId="14" fontId="5" fillId="2" borderId="7" xfId="4" applyNumberFormat="1" applyFont="1" applyFill="1" applyBorder="1" applyAlignment="1">
      <alignment horizontal="center" vertical="center" wrapText="1"/>
    </xf>
    <xf numFmtId="0" fontId="5" fillId="2" borderId="23" xfId="4" applyFont="1" applyFill="1" applyBorder="1" applyAlignment="1">
      <alignment horizontal="left"/>
    </xf>
    <xf numFmtId="0" fontId="5" fillId="2" borderId="33" xfId="4" applyFont="1" applyFill="1" applyBorder="1" applyAlignment="1">
      <alignment horizontal="left"/>
    </xf>
    <xf numFmtId="0" fontId="5" fillId="2" borderId="24" xfId="4" applyFont="1" applyFill="1" applyBorder="1" applyAlignment="1">
      <alignment horizontal="left"/>
    </xf>
    <xf numFmtId="0" fontId="5" fillId="2" borderId="20" xfId="4" applyFont="1" applyFill="1" applyBorder="1" applyAlignment="1">
      <alignment horizontal="left"/>
    </xf>
    <xf numFmtId="0" fontId="5" fillId="2" borderId="5" xfId="4" applyFont="1" applyFill="1" applyBorder="1" applyAlignment="1">
      <alignment horizontal="left"/>
    </xf>
    <xf numFmtId="0" fontId="5" fillId="2" borderId="21" xfId="4" applyFont="1" applyFill="1" applyBorder="1" applyAlignment="1">
      <alignment horizontal="left"/>
    </xf>
    <xf numFmtId="0" fontId="5" fillId="2" borderId="35" xfId="4" applyFont="1" applyFill="1" applyBorder="1" applyAlignment="1">
      <alignment horizontal="center"/>
    </xf>
    <xf numFmtId="0" fontId="5" fillId="2" borderId="37" xfId="4" applyFont="1" applyFill="1" applyBorder="1" applyAlignment="1">
      <alignment horizontal="center"/>
    </xf>
    <xf numFmtId="0" fontId="5" fillId="2" borderId="17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39" xfId="4" applyFont="1" applyFill="1" applyBorder="1" applyAlignment="1">
      <alignment horizontal="center"/>
    </xf>
    <xf numFmtId="0" fontId="5" fillId="2" borderId="40" xfId="4" applyFont="1" applyFill="1" applyBorder="1" applyAlignment="1">
      <alignment horizontal="center"/>
    </xf>
    <xf numFmtId="0" fontId="3" fillId="2" borderId="14" xfId="4" applyFont="1" applyFill="1" applyBorder="1" applyAlignment="1">
      <alignment horizontal="center"/>
    </xf>
    <xf numFmtId="0" fontId="3" fillId="2" borderId="19" xfId="4" applyFont="1" applyFill="1" applyBorder="1" applyAlignment="1">
      <alignment horizontal="center"/>
    </xf>
    <xf numFmtId="0" fontId="3" fillId="2" borderId="38" xfId="4" applyFont="1" applyFill="1" applyBorder="1" applyAlignment="1">
      <alignment horizontal="center"/>
    </xf>
    <xf numFmtId="0" fontId="3" fillId="2" borderId="36" xfId="4" applyFont="1" applyFill="1" applyBorder="1" applyAlignment="1">
      <alignment horizontal="center"/>
    </xf>
    <xf numFmtId="0" fontId="14" fillId="5" borderId="25" xfId="4" applyFont="1" applyFill="1" applyBorder="1" applyAlignment="1">
      <alignment horizontal="center" vertical="center" wrapText="1"/>
    </xf>
    <xf numFmtId="0" fontId="14" fillId="5" borderId="33" xfId="4" applyFont="1" applyFill="1" applyBorder="1" applyAlignment="1">
      <alignment horizontal="center" vertical="center" wrapText="1"/>
    </xf>
    <xf numFmtId="0" fontId="14" fillId="5" borderId="22" xfId="4" applyFont="1" applyFill="1" applyBorder="1" applyAlignment="1">
      <alignment horizontal="center" vertical="center" wrapText="1"/>
    </xf>
    <xf numFmtId="0" fontId="3" fillId="2" borderId="32" xfId="4" applyFont="1" applyFill="1" applyBorder="1" applyAlignment="1">
      <alignment horizontal="right" vertical="top" wrapText="1"/>
    </xf>
    <xf numFmtId="0" fontId="3" fillId="2" borderId="31" xfId="4" applyFont="1" applyFill="1" applyBorder="1" applyAlignment="1">
      <alignment horizontal="right" vertical="top" wrapText="1"/>
    </xf>
    <xf numFmtId="0" fontId="3" fillId="2" borderId="29" xfId="4" applyFont="1" applyFill="1" applyBorder="1" applyAlignment="1">
      <alignment horizontal="right" vertical="top" wrapText="1"/>
    </xf>
    <xf numFmtId="0" fontId="7" fillId="2" borderId="0" xfId="4" applyFont="1" applyFill="1" applyAlignment="1">
      <alignment horizontal="right"/>
    </xf>
    <xf numFmtId="0" fontId="7" fillId="2" borderId="0" xfId="4" applyFont="1" applyFill="1"/>
    <xf numFmtId="0" fontId="3" fillId="3" borderId="15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3" fillId="3" borderId="15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9" fillId="0" borderId="39" xfId="3" applyFont="1" applyBorder="1" applyAlignment="1">
      <alignment horizontal="right"/>
    </xf>
    <xf numFmtId="0" fontId="9" fillId="0" borderId="40" xfId="3" applyFont="1" applyBorder="1" applyAlignment="1">
      <alignment horizontal="right"/>
    </xf>
    <xf numFmtId="0" fontId="9" fillId="0" borderId="34" xfId="3" applyFont="1" applyBorder="1" applyAlignment="1">
      <alignment horizontal="right"/>
    </xf>
    <xf numFmtId="164" fontId="11" fillId="0" borderId="8" xfId="3" applyNumberFormat="1" applyFont="1" applyBorder="1" applyAlignment="1">
      <alignment horizontal="right"/>
    </xf>
    <xf numFmtId="0" fontId="11" fillId="2" borderId="44" xfId="3" applyFont="1" applyFill="1" applyBorder="1" applyAlignment="1">
      <alignment horizontal="center"/>
    </xf>
    <xf numFmtId="0" fontId="11" fillId="2" borderId="45" xfId="3" applyFont="1" applyFill="1" applyBorder="1" applyAlignment="1">
      <alignment horizontal="center"/>
    </xf>
    <xf numFmtId="0" fontId="9" fillId="0" borderId="6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0" fontId="11" fillId="0" borderId="11" xfId="3" applyFont="1" applyBorder="1" applyAlignment="1">
      <alignment horizontal="right"/>
    </xf>
    <xf numFmtId="164" fontId="11" fillId="0" borderId="20" xfId="3" applyNumberFormat="1" applyFont="1" applyBorder="1" applyAlignment="1">
      <alignment horizontal="center"/>
    </xf>
    <xf numFmtId="164" fontId="11" fillId="0" borderId="4" xfId="3" applyNumberFormat="1" applyFont="1" applyBorder="1" applyAlignment="1">
      <alignment horizontal="center"/>
    </xf>
    <xf numFmtId="0" fontId="11" fillId="0" borderId="12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164" fontId="11" fillId="0" borderId="20" xfId="3" applyNumberFormat="1" applyFont="1" applyBorder="1" applyAlignment="1">
      <alignment horizontal="right" wrapText="1"/>
    </xf>
    <xf numFmtId="164" fontId="11" fillId="0" borderId="21" xfId="3" applyNumberFormat="1" applyFont="1" applyBorder="1" applyAlignment="1">
      <alignment horizontal="right" wrapText="1"/>
    </xf>
    <xf numFmtId="164" fontId="11" fillId="0" borderId="20" xfId="0" applyNumberFormat="1" applyFont="1" applyBorder="1" applyAlignment="1">
      <alignment horizontal="center" wrapText="1"/>
    </xf>
    <xf numFmtId="164" fontId="11" fillId="0" borderId="4" xfId="0" applyNumberFormat="1" applyFont="1" applyBorder="1" applyAlignment="1">
      <alignment horizontal="center" wrapText="1"/>
    </xf>
    <xf numFmtId="0" fontId="9" fillId="0" borderId="3" xfId="3" applyFont="1" applyBorder="1" applyAlignment="1">
      <alignment horizontal="right"/>
    </xf>
    <xf numFmtId="0" fontId="9" fillId="0" borderId="36" xfId="3" applyFont="1" applyBorder="1" applyAlignment="1">
      <alignment horizontal="right"/>
    </xf>
    <xf numFmtId="0" fontId="9" fillId="0" borderId="2" xfId="3" applyFont="1" applyBorder="1" applyAlignment="1">
      <alignment horizontal="right"/>
    </xf>
    <xf numFmtId="0" fontId="11" fillId="0" borderId="2" xfId="3" applyFont="1" applyBorder="1" applyAlignment="1">
      <alignment horizontal="right"/>
    </xf>
    <xf numFmtId="0" fontId="11" fillId="0" borderId="15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7" borderId="47" xfId="4" applyFont="1" applyFill="1" applyBorder="1" applyAlignment="1">
      <alignment horizontal="center"/>
    </xf>
    <xf numFmtId="0" fontId="9" fillId="7" borderId="37" xfId="4" applyFont="1" applyFill="1" applyBorder="1" applyAlignment="1">
      <alignment horizontal="center"/>
    </xf>
    <xf numFmtId="0" fontId="11" fillId="2" borderId="20" xfId="4" applyFont="1" applyFill="1" applyBorder="1" applyAlignment="1">
      <alignment horizontal="left"/>
    </xf>
    <xf numFmtId="0" fontId="11" fillId="2" borderId="5" xfId="4" applyFont="1" applyFill="1" applyBorder="1" applyAlignment="1">
      <alignment horizontal="left"/>
    </xf>
    <xf numFmtId="0" fontId="11" fillId="2" borderId="21" xfId="4" applyFont="1" applyFill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6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9" fillId="3" borderId="41" xfId="3" applyFont="1" applyFill="1" applyBorder="1" applyAlignment="1">
      <alignment horizontal="center"/>
    </xf>
    <xf numFmtId="0" fontId="9" fillId="3" borderId="42" xfId="3" applyFont="1" applyFill="1" applyBorder="1" applyAlignment="1">
      <alignment horizontal="center"/>
    </xf>
    <xf numFmtId="0" fontId="9" fillId="3" borderId="43" xfId="3" applyFont="1" applyFill="1" applyBorder="1" applyAlignment="1">
      <alignment horizontal="center"/>
    </xf>
    <xf numFmtId="0" fontId="15" fillId="2" borderId="26" xfId="4" applyFont="1" applyFill="1" applyBorder="1" applyAlignment="1">
      <alignment horizontal="center"/>
    </xf>
    <xf numFmtId="14" fontId="15" fillId="2" borderId="0" xfId="4" applyNumberFormat="1" applyFont="1" applyFill="1" applyAlignment="1">
      <alignment horizontal="center" vertical="center" wrapText="1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143628</xdr:rowOff>
    </xdr:from>
    <xdr:to>
      <xdr:col>1</xdr:col>
      <xdr:colOff>935330</xdr:colOff>
      <xdr:row>4</xdr:row>
      <xdr:rowOff>40822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C23E54F-BEE3-4D15-862C-1209CC190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143628"/>
          <a:ext cx="2173579" cy="972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6F42-89B3-43DE-8C0B-2D4F1D656BE2}">
  <sheetPr>
    <pageSetUpPr fitToPage="1"/>
  </sheetPr>
  <dimension ref="A1:I61"/>
  <sheetViews>
    <sheetView tabSelected="1" zoomScale="70" zoomScaleNormal="70" workbookViewId="0">
      <selection activeCell="C39" sqref="C39"/>
    </sheetView>
  </sheetViews>
  <sheetFormatPr baseColWidth="10" defaultRowHeight="15" x14ac:dyDescent="0.25"/>
  <cols>
    <col min="1" max="1" width="20.5703125" customWidth="1"/>
    <col min="2" max="2" width="17.7109375" customWidth="1"/>
    <col min="3" max="3" width="90.28515625" customWidth="1"/>
    <col min="4" max="4" width="18.85546875" customWidth="1"/>
    <col min="5" max="5" width="11.7109375" bestFit="1" customWidth="1"/>
    <col min="7" max="7" width="27.28515625" customWidth="1"/>
    <col min="8" max="8" width="37.7109375" customWidth="1"/>
    <col min="9" max="9" width="21.140625" customWidth="1"/>
  </cols>
  <sheetData>
    <row r="1" spans="1:9" ht="17.25" x14ac:dyDescent="0.3">
      <c r="A1" s="112"/>
      <c r="B1" s="113"/>
      <c r="C1" s="118" t="s">
        <v>53</v>
      </c>
      <c r="D1" s="118"/>
      <c r="E1" s="118"/>
      <c r="F1" s="118"/>
      <c r="G1" s="118"/>
      <c r="H1" s="1" t="s">
        <v>52</v>
      </c>
      <c r="I1" s="2" t="s">
        <v>80</v>
      </c>
    </row>
    <row r="2" spans="1:9" ht="18" customHeight="1" thickBot="1" x14ac:dyDescent="0.35">
      <c r="A2" s="114"/>
      <c r="B2" s="115"/>
      <c r="C2" s="119" t="s">
        <v>51</v>
      </c>
      <c r="D2" s="120"/>
      <c r="E2" s="120"/>
      <c r="F2" s="120"/>
      <c r="G2" s="121"/>
      <c r="H2" s="3" t="s">
        <v>50</v>
      </c>
      <c r="I2" s="4" t="s">
        <v>89</v>
      </c>
    </row>
    <row r="3" spans="1:9" ht="31.5" customHeight="1" thickBot="1" x14ac:dyDescent="0.3">
      <c r="A3" s="114"/>
      <c r="B3" s="115"/>
      <c r="C3" s="122" t="s">
        <v>90</v>
      </c>
      <c r="D3" s="123"/>
      <c r="E3" s="123"/>
      <c r="F3" s="123"/>
      <c r="G3" s="124"/>
      <c r="H3" s="125" t="s">
        <v>49</v>
      </c>
      <c r="I3" s="103">
        <v>45663</v>
      </c>
    </row>
    <row r="4" spans="1:9" ht="18" customHeight="1" x14ac:dyDescent="0.3">
      <c r="A4" s="114"/>
      <c r="B4" s="115"/>
      <c r="C4" s="5" t="s">
        <v>48</v>
      </c>
      <c r="D4" s="106" t="s">
        <v>68</v>
      </c>
      <c r="E4" s="107"/>
      <c r="F4" s="107"/>
      <c r="G4" s="108"/>
      <c r="H4" s="126"/>
      <c r="I4" s="104"/>
    </row>
    <row r="5" spans="1:9" ht="18" thickBot="1" x14ac:dyDescent="0.35">
      <c r="A5" s="116"/>
      <c r="B5" s="117"/>
      <c r="C5" s="6" t="s">
        <v>47</v>
      </c>
      <c r="D5" s="109" t="s">
        <v>46</v>
      </c>
      <c r="E5" s="110"/>
      <c r="F5" s="110"/>
      <c r="G5" s="111"/>
      <c r="H5" s="127"/>
      <c r="I5" s="105"/>
    </row>
    <row r="6" spans="1:9" ht="21" thickBot="1" x14ac:dyDescent="0.35">
      <c r="A6" s="128" t="s">
        <v>45</v>
      </c>
      <c r="B6" s="128"/>
      <c r="C6" s="128"/>
      <c r="D6" s="191" t="s">
        <v>31</v>
      </c>
      <c r="E6" s="191"/>
      <c r="F6" s="191"/>
      <c r="G6" s="129" t="s">
        <v>44</v>
      </c>
      <c r="H6" s="129"/>
      <c r="I6" s="192" t="s">
        <v>69</v>
      </c>
    </row>
    <row r="7" spans="1:9" ht="30" x14ac:dyDescent="0.25">
      <c r="A7" s="130" t="s">
        <v>43</v>
      </c>
      <c r="B7" s="132" t="s">
        <v>70</v>
      </c>
      <c r="C7" s="134" t="s">
        <v>42</v>
      </c>
      <c r="D7" s="134" t="s">
        <v>41</v>
      </c>
      <c r="E7" s="134" t="s">
        <v>40</v>
      </c>
      <c r="F7" s="134"/>
      <c r="G7" s="134" t="s">
        <v>39</v>
      </c>
      <c r="H7" s="134"/>
      <c r="I7" s="7" t="s">
        <v>38</v>
      </c>
    </row>
    <row r="8" spans="1:9" ht="31.5" thickBot="1" x14ac:dyDescent="0.3">
      <c r="A8" s="131"/>
      <c r="B8" s="133"/>
      <c r="C8" s="135"/>
      <c r="D8" s="135"/>
      <c r="E8" s="8" t="s">
        <v>16</v>
      </c>
      <c r="F8" s="9" t="s">
        <v>37</v>
      </c>
      <c r="G8" s="8" t="s">
        <v>16</v>
      </c>
      <c r="H8" s="9" t="s">
        <v>37</v>
      </c>
      <c r="I8" s="10" t="s">
        <v>36</v>
      </c>
    </row>
    <row r="9" spans="1:9" ht="23.25" x14ac:dyDescent="0.35">
      <c r="A9" s="12"/>
      <c r="B9" s="13"/>
      <c r="C9" s="14" t="s">
        <v>35</v>
      </c>
      <c r="D9" s="15"/>
      <c r="E9" s="16"/>
      <c r="F9" s="17"/>
      <c r="G9" s="16"/>
      <c r="H9" s="17"/>
      <c r="I9" s="18"/>
    </row>
    <row r="10" spans="1:9" ht="23.25" x14ac:dyDescent="0.35">
      <c r="A10" s="19">
        <v>907000309</v>
      </c>
      <c r="B10" s="20" t="s">
        <v>54</v>
      </c>
      <c r="C10" s="11" t="s">
        <v>81</v>
      </c>
      <c r="D10" s="21" t="s">
        <v>28</v>
      </c>
      <c r="E10" s="22">
        <v>420</v>
      </c>
      <c r="F10" s="23" t="s">
        <v>3</v>
      </c>
      <c r="G10" s="24"/>
      <c r="H10" s="25" t="s">
        <v>71</v>
      </c>
      <c r="I10" s="18"/>
    </row>
    <row r="11" spans="1:9" ht="23.25" x14ac:dyDescent="0.35">
      <c r="A11" s="19">
        <v>908000021</v>
      </c>
      <c r="B11" s="26" t="s">
        <v>55</v>
      </c>
      <c r="C11" s="27" t="s">
        <v>34</v>
      </c>
      <c r="D11" s="21" t="s">
        <v>28</v>
      </c>
      <c r="E11" s="28">
        <v>200</v>
      </c>
      <c r="F11" s="29" t="s">
        <v>3</v>
      </c>
      <c r="G11" s="24"/>
      <c r="H11" s="25" t="s">
        <v>72</v>
      </c>
      <c r="I11" s="18"/>
    </row>
    <row r="12" spans="1:9" ht="23.25" x14ac:dyDescent="0.35">
      <c r="A12" s="19">
        <v>902000085</v>
      </c>
      <c r="B12" s="26" t="s">
        <v>56</v>
      </c>
      <c r="C12" s="27" t="s">
        <v>33</v>
      </c>
      <c r="D12" s="21" t="s">
        <v>28</v>
      </c>
      <c r="E12" s="28">
        <v>525</v>
      </c>
      <c r="F12" s="29" t="s">
        <v>3</v>
      </c>
      <c r="G12" s="30"/>
      <c r="H12" s="25" t="s">
        <v>73</v>
      </c>
      <c r="I12" s="18"/>
    </row>
    <row r="13" spans="1:9" ht="23.25" x14ac:dyDescent="0.35">
      <c r="A13" s="19">
        <v>902000151</v>
      </c>
      <c r="B13" s="26" t="s">
        <v>57</v>
      </c>
      <c r="C13" s="27" t="s">
        <v>32</v>
      </c>
      <c r="D13" s="21" t="s">
        <v>28</v>
      </c>
      <c r="E13" s="28">
        <f>180*3</f>
        <v>540</v>
      </c>
      <c r="F13" s="29" t="s">
        <v>3</v>
      </c>
      <c r="G13" s="30"/>
      <c r="H13" s="25" t="s">
        <v>74</v>
      </c>
      <c r="I13" s="18"/>
    </row>
    <row r="14" spans="1:9" ht="23.25" x14ac:dyDescent="0.35">
      <c r="A14" s="31"/>
      <c r="B14" s="32"/>
      <c r="C14" s="33"/>
      <c r="D14" s="30"/>
      <c r="E14" s="30"/>
      <c r="F14" s="34"/>
      <c r="G14" s="30"/>
      <c r="H14" s="25"/>
      <c r="I14" s="18"/>
    </row>
    <row r="15" spans="1:9" ht="23.25" x14ac:dyDescent="0.35">
      <c r="A15" s="35"/>
      <c r="B15" s="32"/>
      <c r="C15" s="36"/>
      <c r="D15" s="30"/>
      <c r="E15" s="30"/>
      <c r="F15" s="34"/>
      <c r="G15" s="30"/>
      <c r="H15" s="25"/>
      <c r="I15" s="18"/>
    </row>
    <row r="16" spans="1:9" ht="23.25" x14ac:dyDescent="0.35">
      <c r="A16" s="30"/>
      <c r="B16" s="30"/>
      <c r="C16" s="37"/>
      <c r="D16" s="38"/>
      <c r="E16" s="38"/>
      <c r="F16" s="24"/>
      <c r="G16" s="30"/>
      <c r="H16" s="25"/>
      <c r="I16" s="18"/>
    </row>
    <row r="17" spans="1:9" ht="23.25" x14ac:dyDescent="0.35">
      <c r="A17" s="32"/>
      <c r="B17" s="32"/>
      <c r="C17" s="39"/>
      <c r="D17" s="30"/>
      <c r="E17" s="30"/>
      <c r="F17" s="34"/>
      <c r="G17" s="30"/>
      <c r="H17" s="25"/>
      <c r="I17" s="18"/>
    </row>
    <row r="18" spans="1:9" ht="23.25" x14ac:dyDescent="0.35">
      <c r="A18" s="31"/>
      <c r="B18" s="32"/>
      <c r="C18" s="33"/>
      <c r="D18" s="30"/>
      <c r="E18" s="30"/>
      <c r="F18" s="34"/>
      <c r="G18" s="30"/>
      <c r="H18" s="25"/>
      <c r="I18" s="18"/>
    </row>
    <row r="19" spans="1:9" ht="23.25" x14ac:dyDescent="0.35">
      <c r="A19" s="35"/>
      <c r="B19" s="32"/>
      <c r="C19" s="36"/>
      <c r="D19" s="30"/>
      <c r="E19" s="30"/>
      <c r="F19" s="34"/>
      <c r="G19" s="30"/>
      <c r="H19" s="25"/>
      <c r="I19" s="18"/>
    </row>
    <row r="20" spans="1:9" ht="23.25" x14ac:dyDescent="0.35">
      <c r="A20" s="20"/>
      <c r="B20" s="20"/>
      <c r="C20" s="40"/>
      <c r="D20" s="41"/>
      <c r="E20" s="42"/>
      <c r="F20" s="23"/>
      <c r="G20" s="43"/>
      <c r="H20" s="25"/>
      <c r="I20" s="18"/>
    </row>
    <row r="21" spans="1:9" ht="23.25" x14ac:dyDescent="0.35">
      <c r="A21" s="44"/>
      <c r="B21" s="44"/>
      <c r="C21" s="45"/>
      <c r="D21" s="46"/>
      <c r="E21" s="47"/>
      <c r="F21" s="48"/>
      <c r="G21" s="43"/>
      <c r="H21" s="25"/>
      <c r="I21" s="18"/>
    </row>
    <row r="22" spans="1:9" ht="23.25" x14ac:dyDescent="0.35">
      <c r="A22" s="44"/>
      <c r="B22" s="44"/>
      <c r="C22" s="45"/>
      <c r="D22" s="41"/>
      <c r="E22" s="47"/>
      <c r="F22" s="48"/>
      <c r="G22" s="16"/>
      <c r="H22" s="25"/>
      <c r="I22" s="18"/>
    </row>
    <row r="23" spans="1:9" ht="23.25" x14ac:dyDescent="0.35">
      <c r="A23" s="49"/>
      <c r="B23" s="50"/>
      <c r="C23" s="51" t="s">
        <v>31</v>
      </c>
      <c r="D23" s="52"/>
      <c r="E23" s="53"/>
      <c r="F23" s="54"/>
      <c r="G23" s="16"/>
      <c r="H23" s="17"/>
      <c r="I23" s="18"/>
    </row>
    <row r="24" spans="1:9" ht="23.25" x14ac:dyDescent="0.35">
      <c r="A24" s="44">
        <v>910000018</v>
      </c>
      <c r="B24" s="44" t="s">
        <v>58</v>
      </c>
      <c r="C24" s="45" t="s">
        <v>30</v>
      </c>
      <c r="D24" s="55" t="s">
        <v>28</v>
      </c>
      <c r="E24" s="56">
        <v>220</v>
      </c>
      <c r="F24" s="48" t="s">
        <v>3</v>
      </c>
      <c r="G24" s="16"/>
      <c r="H24" s="17" t="s">
        <v>75</v>
      </c>
      <c r="I24" s="18"/>
    </row>
    <row r="25" spans="1:9" ht="23.25" x14ac:dyDescent="0.35">
      <c r="A25" s="44">
        <v>910000019</v>
      </c>
      <c r="B25" s="44" t="s">
        <v>59</v>
      </c>
      <c r="C25" s="45" t="s">
        <v>30</v>
      </c>
      <c r="D25" s="55" t="s">
        <v>28</v>
      </c>
      <c r="E25" s="22">
        <v>25</v>
      </c>
      <c r="F25" s="48" t="s">
        <v>3</v>
      </c>
      <c r="G25" s="16"/>
      <c r="H25" s="17" t="s">
        <v>76</v>
      </c>
      <c r="I25" s="18"/>
    </row>
    <row r="26" spans="1:9" ht="23.25" x14ac:dyDescent="0.35">
      <c r="A26" s="57">
        <v>910000011</v>
      </c>
      <c r="B26" s="57" t="s">
        <v>60</v>
      </c>
      <c r="C26" s="58" t="s">
        <v>29</v>
      </c>
      <c r="D26" s="55" t="s">
        <v>28</v>
      </c>
      <c r="E26" s="47">
        <v>20</v>
      </c>
      <c r="F26" s="48" t="s">
        <v>3</v>
      </c>
      <c r="G26" s="16"/>
      <c r="H26" s="17" t="s">
        <v>77</v>
      </c>
      <c r="I26" s="18"/>
    </row>
    <row r="27" spans="1:9" ht="23.25" x14ac:dyDescent="0.35">
      <c r="A27" s="44"/>
      <c r="B27" s="59" t="s">
        <v>85</v>
      </c>
      <c r="C27" s="60" t="s">
        <v>82</v>
      </c>
      <c r="D27" s="55" t="s">
        <v>28</v>
      </c>
      <c r="E27" s="47">
        <v>130</v>
      </c>
      <c r="F27" s="48" t="s">
        <v>3</v>
      </c>
      <c r="G27" s="16"/>
      <c r="H27" s="17" t="s">
        <v>83</v>
      </c>
      <c r="I27" s="18"/>
    </row>
    <row r="28" spans="1:9" ht="23.25" x14ac:dyDescent="0.35">
      <c r="A28" s="44"/>
      <c r="B28" s="44"/>
      <c r="C28" s="45"/>
      <c r="D28" s="55"/>
      <c r="E28" s="61"/>
      <c r="F28" s="62"/>
      <c r="G28" s="16"/>
      <c r="H28" s="17"/>
      <c r="I28" s="18"/>
    </row>
    <row r="29" spans="1:9" ht="23.25" x14ac:dyDescent="0.35">
      <c r="A29" s="63"/>
      <c r="B29" s="63"/>
      <c r="C29" s="46"/>
      <c r="D29" s="64"/>
      <c r="E29" s="65"/>
      <c r="F29" s="62"/>
      <c r="G29" s="16"/>
      <c r="H29" s="17"/>
      <c r="I29" s="18"/>
    </row>
    <row r="30" spans="1:9" ht="23.25" x14ac:dyDescent="0.35">
      <c r="A30" s="44"/>
      <c r="B30" s="44"/>
      <c r="C30" s="45"/>
      <c r="D30" s="55"/>
      <c r="E30" s="61"/>
      <c r="F30" s="62"/>
      <c r="G30" s="16"/>
      <c r="H30" s="17"/>
      <c r="I30" s="18"/>
    </row>
    <row r="31" spans="1:9" ht="23.25" x14ac:dyDescent="0.35">
      <c r="A31" s="44"/>
      <c r="B31" s="44"/>
      <c r="C31" s="45"/>
      <c r="D31" s="55"/>
      <c r="E31" s="47"/>
      <c r="F31" s="48"/>
      <c r="G31" s="16"/>
      <c r="H31" s="17"/>
      <c r="I31" s="18"/>
    </row>
    <row r="32" spans="1:9" ht="23.25" x14ac:dyDescent="0.35">
      <c r="A32" s="66"/>
      <c r="B32" s="67"/>
      <c r="C32" s="68" t="s">
        <v>27</v>
      </c>
      <c r="D32" s="69"/>
      <c r="E32" s="70"/>
      <c r="F32" s="17"/>
      <c r="G32" s="16"/>
      <c r="H32" s="46"/>
      <c r="I32" s="18"/>
    </row>
    <row r="33" spans="1:9" ht="23.25" x14ac:dyDescent="0.35">
      <c r="A33" s="63">
        <v>121603</v>
      </c>
      <c r="B33" s="63" t="s">
        <v>61</v>
      </c>
      <c r="C33" s="45" t="s">
        <v>26</v>
      </c>
      <c r="D33" s="21" t="s">
        <v>22</v>
      </c>
      <c r="E33" s="28">
        <v>1</v>
      </c>
      <c r="F33" s="29" t="s">
        <v>8</v>
      </c>
      <c r="G33" s="71"/>
      <c r="H33" s="17"/>
      <c r="I33" s="18"/>
    </row>
    <row r="34" spans="1:9" ht="23.25" x14ac:dyDescent="0.35">
      <c r="A34" s="72">
        <v>1950692</v>
      </c>
      <c r="B34" s="72" t="s">
        <v>62</v>
      </c>
      <c r="C34" s="73" t="s">
        <v>25</v>
      </c>
      <c r="D34" s="74" t="s">
        <v>24</v>
      </c>
      <c r="E34" s="30">
        <v>1</v>
      </c>
      <c r="F34" s="34" t="s">
        <v>8</v>
      </c>
      <c r="G34" s="71"/>
      <c r="H34" s="17"/>
      <c r="I34" s="18"/>
    </row>
    <row r="35" spans="1:9" ht="23.25" x14ac:dyDescent="0.35">
      <c r="A35" s="75">
        <v>703020</v>
      </c>
      <c r="B35" s="30" t="s">
        <v>63</v>
      </c>
      <c r="C35" s="76" t="s">
        <v>23</v>
      </c>
      <c r="D35" s="30" t="s">
        <v>22</v>
      </c>
      <c r="E35" s="30">
        <v>60</v>
      </c>
      <c r="F35" s="34" t="s">
        <v>21</v>
      </c>
      <c r="G35" s="71"/>
      <c r="H35" s="17"/>
      <c r="I35" s="18"/>
    </row>
    <row r="36" spans="1:9" ht="23.25" x14ac:dyDescent="0.35">
      <c r="A36" s="72">
        <v>701096</v>
      </c>
      <c r="B36" s="72" t="s">
        <v>64</v>
      </c>
      <c r="C36" s="73" t="s">
        <v>20</v>
      </c>
      <c r="D36" s="30" t="s">
        <v>19</v>
      </c>
      <c r="E36" s="77">
        <v>1</v>
      </c>
      <c r="F36" s="34" t="s">
        <v>8</v>
      </c>
      <c r="G36" s="16"/>
      <c r="H36" s="17"/>
      <c r="I36" s="18"/>
    </row>
    <row r="37" spans="1:9" ht="23.25" x14ac:dyDescent="0.35">
      <c r="A37" s="72">
        <v>702123</v>
      </c>
      <c r="B37" s="72" t="s">
        <v>65</v>
      </c>
      <c r="C37" s="73" t="s">
        <v>18</v>
      </c>
      <c r="D37" s="30" t="s">
        <v>17</v>
      </c>
      <c r="E37" s="30">
        <v>1</v>
      </c>
      <c r="F37" s="34" t="s">
        <v>8</v>
      </c>
      <c r="G37" s="16"/>
      <c r="H37" s="17"/>
      <c r="I37" s="18"/>
    </row>
    <row r="38" spans="1:9" ht="23.25" x14ac:dyDescent="0.35">
      <c r="A38" s="72">
        <v>702069</v>
      </c>
      <c r="B38" s="72" t="s">
        <v>66</v>
      </c>
      <c r="C38" s="73" t="s">
        <v>78</v>
      </c>
      <c r="D38" s="30" t="s">
        <v>17</v>
      </c>
      <c r="E38" s="30">
        <v>1</v>
      </c>
      <c r="F38" s="34" t="s">
        <v>8</v>
      </c>
      <c r="G38" s="78"/>
      <c r="H38" s="17"/>
      <c r="I38" s="18"/>
    </row>
    <row r="39" spans="1:9" ht="23.25" x14ac:dyDescent="0.35">
      <c r="A39" s="79"/>
      <c r="B39" s="80"/>
      <c r="C39" s="81"/>
      <c r="D39" s="82"/>
      <c r="E39" s="82"/>
      <c r="F39" s="83"/>
      <c r="G39" s="84"/>
      <c r="H39" s="17"/>
      <c r="I39" s="18"/>
    </row>
    <row r="40" spans="1:9" ht="23.25" x14ac:dyDescent="0.35">
      <c r="A40" s="49"/>
      <c r="B40" s="50"/>
      <c r="C40" s="85"/>
      <c r="D40" s="30"/>
      <c r="E40" s="84"/>
      <c r="F40" s="54"/>
      <c r="G40" s="84"/>
      <c r="H40" s="17" t="str">
        <f t="shared" ref="H40" si="0">UPPER(D40)</f>
        <v/>
      </c>
      <c r="I40" s="18"/>
    </row>
    <row r="41" spans="1:9" ht="23.25" x14ac:dyDescent="0.35">
      <c r="A41" s="49"/>
      <c r="B41" s="50"/>
      <c r="C41" s="85"/>
      <c r="D41" s="52"/>
      <c r="E41" s="52"/>
      <c r="F41" s="54"/>
      <c r="G41" s="52"/>
      <c r="H41" s="52"/>
      <c r="I41" s="18"/>
    </row>
    <row r="42" spans="1:9" ht="24" thickBot="1" x14ac:dyDescent="0.4">
      <c r="A42" s="86"/>
      <c r="B42" s="87"/>
      <c r="C42" s="88"/>
      <c r="D42" s="88"/>
      <c r="E42" s="89"/>
      <c r="F42" s="90"/>
      <c r="G42" s="88"/>
      <c r="H42" s="88"/>
      <c r="I42" s="91"/>
    </row>
    <row r="43" spans="1:9" ht="24" thickBot="1" x14ac:dyDescent="0.4">
      <c r="A43" s="92"/>
      <c r="B43" s="93"/>
      <c r="C43" s="94"/>
      <c r="D43" s="95" t="s">
        <v>16</v>
      </c>
      <c r="E43" s="96" t="s">
        <v>15</v>
      </c>
      <c r="F43" s="97"/>
      <c r="G43" s="94"/>
      <c r="H43" s="94"/>
      <c r="I43" s="98"/>
    </row>
    <row r="44" spans="1:9" ht="23.25" x14ac:dyDescent="0.35">
      <c r="A44" s="136" t="s">
        <v>14</v>
      </c>
      <c r="B44" s="137"/>
      <c r="C44" s="138"/>
      <c r="D44" s="61">
        <v>1840</v>
      </c>
      <c r="E44" s="99" t="s">
        <v>3</v>
      </c>
      <c r="F44" s="139" t="s">
        <v>13</v>
      </c>
      <c r="G44" s="139"/>
      <c r="H44" s="140"/>
      <c r="I44" s="141"/>
    </row>
    <row r="45" spans="1:9" ht="23.25" x14ac:dyDescent="0.35">
      <c r="A45" s="142" t="s">
        <v>12</v>
      </c>
      <c r="B45" s="143"/>
      <c r="C45" s="144"/>
      <c r="D45" s="100">
        <v>8</v>
      </c>
      <c r="E45" s="30" t="s">
        <v>11</v>
      </c>
      <c r="F45" s="145" t="s">
        <v>10</v>
      </c>
      <c r="G45" s="145"/>
      <c r="H45" s="146"/>
      <c r="I45" s="147"/>
    </row>
    <row r="46" spans="1:9" ht="23.25" x14ac:dyDescent="0.35">
      <c r="A46" s="142" t="s">
        <v>9</v>
      </c>
      <c r="B46" s="143"/>
      <c r="C46" s="144"/>
      <c r="D46" s="30">
        <v>1</v>
      </c>
      <c r="E46" s="30" t="s">
        <v>8</v>
      </c>
      <c r="F46" s="145" t="s">
        <v>7</v>
      </c>
      <c r="G46" s="145"/>
      <c r="H46" s="146"/>
      <c r="I46" s="147"/>
    </row>
    <row r="47" spans="1:9" ht="23.25" x14ac:dyDescent="0.35">
      <c r="A47" s="142" t="s">
        <v>6</v>
      </c>
      <c r="B47" s="143"/>
      <c r="C47" s="144"/>
      <c r="D47" s="47">
        <v>1840</v>
      </c>
      <c r="E47" s="30" t="s">
        <v>3</v>
      </c>
      <c r="F47" s="152" t="s">
        <v>5</v>
      </c>
      <c r="G47" s="153"/>
      <c r="H47" s="154"/>
      <c r="I47" s="155"/>
    </row>
    <row r="48" spans="1:9" ht="24" thickBot="1" x14ac:dyDescent="0.4">
      <c r="A48" s="156" t="s">
        <v>4</v>
      </c>
      <c r="B48" s="157"/>
      <c r="C48" s="158"/>
      <c r="D48" s="101">
        <f>SUM(E10:E28)-D44</f>
        <v>240</v>
      </c>
      <c r="E48" s="102" t="s">
        <v>3</v>
      </c>
      <c r="F48" s="159"/>
      <c r="G48" s="159"/>
      <c r="H48" s="146"/>
      <c r="I48" s="147"/>
    </row>
    <row r="49" spans="1:9" ht="24" thickBot="1" x14ac:dyDescent="0.4">
      <c r="A49" s="188" t="s">
        <v>2</v>
      </c>
      <c r="B49" s="189"/>
      <c r="C49" s="189"/>
      <c r="D49" s="189"/>
      <c r="E49" s="189"/>
      <c r="F49" s="189"/>
      <c r="G49" s="189"/>
      <c r="H49" s="189"/>
      <c r="I49" s="190"/>
    </row>
    <row r="50" spans="1:9" ht="23.25" x14ac:dyDescent="0.35">
      <c r="A50" s="160" t="s">
        <v>1</v>
      </c>
      <c r="B50" s="161"/>
      <c r="C50" s="162"/>
      <c r="D50" s="162"/>
      <c r="E50" s="162"/>
      <c r="F50" s="162"/>
      <c r="G50" s="162"/>
      <c r="H50" s="162"/>
      <c r="I50" s="163"/>
    </row>
    <row r="51" spans="1:9" ht="56.25" customHeight="1" x14ac:dyDescent="0.35">
      <c r="A51" s="148" t="s">
        <v>87</v>
      </c>
      <c r="B51" s="149"/>
      <c r="C51" s="150"/>
      <c r="D51" s="150"/>
      <c r="E51" s="150"/>
      <c r="F51" s="150"/>
      <c r="G51" s="150"/>
      <c r="H51" s="150"/>
      <c r="I51" s="151"/>
    </row>
    <row r="52" spans="1:9" ht="23.25" x14ac:dyDescent="0.35">
      <c r="A52" s="172" t="s">
        <v>0</v>
      </c>
      <c r="B52" s="173"/>
      <c r="C52" s="174"/>
      <c r="D52" s="174"/>
      <c r="E52" s="174"/>
      <c r="F52" s="174"/>
      <c r="G52" s="174"/>
      <c r="H52" s="174"/>
      <c r="I52" s="175"/>
    </row>
    <row r="53" spans="1:9" ht="23.25" x14ac:dyDescent="0.25">
      <c r="A53" s="176" t="s">
        <v>84</v>
      </c>
      <c r="B53" s="177"/>
      <c r="C53" s="177"/>
      <c r="D53" s="177"/>
      <c r="E53" s="177"/>
      <c r="F53" s="177"/>
      <c r="G53" s="177"/>
      <c r="H53" s="177"/>
      <c r="I53" s="178"/>
    </row>
    <row r="54" spans="1:9" ht="23.25" x14ac:dyDescent="0.35">
      <c r="A54" s="179" t="s">
        <v>67</v>
      </c>
      <c r="B54" s="180"/>
      <c r="C54" s="181"/>
      <c r="D54" s="181"/>
      <c r="E54" s="181"/>
      <c r="F54" s="181"/>
      <c r="G54" s="181"/>
      <c r="H54" s="181"/>
      <c r="I54" s="182"/>
    </row>
    <row r="55" spans="1:9" ht="14.65" customHeight="1" x14ac:dyDescent="0.35">
      <c r="A55" s="183"/>
      <c r="B55" s="184"/>
      <c r="C55" s="184"/>
      <c r="D55" s="184"/>
      <c r="E55" s="184"/>
      <c r="F55" s="184"/>
      <c r="G55" s="184"/>
      <c r="H55" s="184"/>
      <c r="I55" s="149"/>
    </row>
    <row r="56" spans="1:9" ht="18" customHeight="1" x14ac:dyDescent="0.35">
      <c r="A56" s="183"/>
      <c r="B56" s="184"/>
      <c r="C56" s="184"/>
      <c r="D56" s="184"/>
      <c r="E56" s="184"/>
      <c r="F56" s="184"/>
      <c r="G56" s="184"/>
      <c r="H56" s="184"/>
      <c r="I56" s="149"/>
    </row>
    <row r="57" spans="1:9" ht="24" thickBot="1" x14ac:dyDescent="0.4">
      <c r="A57" s="185"/>
      <c r="B57" s="186"/>
      <c r="C57" s="186"/>
      <c r="D57" s="186"/>
      <c r="E57" s="186"/>
      <c r="F57" s="186"/>
      <c r="G57" s="186"/>
      <c r="H57" s="186"/>
      <c r="I57" s="187"/>
    </row>
    <row r="58" spans="1:9" ht="24" thickBot="1" x14ac:dyDescent="0.4">
      <c r="A58" s="164"/>
      <c r="B58" s="165"/>
      <c r="C58" s="165"/>
      <c r="D58" s="165"/>
      <c r="E58" s="165"/>
      <c r="F58" s="165"/>
      <c r="G58" s="165"/>
      <c r="H58" s="165"/>
      <c r="I58" s="166"/>
    </row>
    <row r="59" spans="1:9" ht="23.25" x14ac:dyDescent="0.35">
      <c r="A59" s="167" t="s">
        <v>79</v>
      </c>
      <c r="B59" s="168"/>
      <c r="C59" s="168"/>
      <c r="D59" s="168"/>
      <c r="E59" s="168"/>
      <c r="F59" s="168"/>
      <c r="G59" s="168"/>
      <c r="H59" s="168"/>
      <c r="I59" s="168"/>
    </row>
    <row r="60" spans="1:9" ht="23.25" x14ac:dyDescent="0.35">
      <c r="A60" s="169" t="s">
        <v>86</v>
      </c>
      <c r="B60" s="170"/>
      <c r="C60" s="170"/>
      <c r="D60" s="170"/>
      <c r="E60" s="170"/>
      <c r="F60" s="170"/>
      <c r="G60" s="170"/>
      <c r="H60" s="170"/>
      <c r="I60" s="171"/>
    </row>
    <row r="61" spans="1:9" ht="23.25" x14ac:dyDescent="0.35">
      <c r="A61" s="169" t="s">
        <v>88</v>
      </c>
      <c r="B61" s="170"/>
      <c r="C61" s="170"/>
      <c r="D61" s="170"/>
      <c r="E61" s="170"/>
      <c r="F61" s="170"/>
      <c r="G61" s="170"/>
      <c r="H61" s="170"/>
      <c r="I61" s="171"/>
    </row>
  </sheetData>
  <mergeCells count="45"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3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D91CC1-D0D9-47A0-929D-29FF29B71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2025-09-19T13:45:44Z</cp:lastPrinted>
  <dcterms:created xsi:type="dcterms:W3CDTF">2023-07-28T19:10:29Z</dcterms:created>
  <dcterms:modified xsi:type="dcterms:W3CDTF">2025-09-19T13:47:34Z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100559600</vt:r8>
  </property>
</Properties>
</file>
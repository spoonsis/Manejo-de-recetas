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4" documentId="8_{58F028C7-80AD-4223-BF18-387F47494E13}" xr6:coauthVersionLast="47" xr6:coauthVersionMax="47" xr10:uidLastSave="{E46AC41E-2EFF-4516-9EDB-C9582EE60329}"/>
  <bookViews>
    <workbookView xWindow="-120" yWindow="-120" windowWidth="20730" windowHeight="11040" tabRatio="806" firstSheet="2" activeTab="2" xr2:uid="{0DCFA4EC-4AE8-4DAE-AF41-995B978D3F2D}"/>
  </bookViews>
  <sheets>
    <sheet name="COSTEO BATIDO" sheetId="17" state="hidden" r:id="rId1"/>
    <sheet name="Costo Rosquete" sheetId="11" state="hidden" r:id="rId2"/>
    <sheet name="Hoja1" sheetId="29" r:id="rId3"/>
    <sheet name="Costo ensamble" sheetId="12" state="hidden" r:id="rId4"/>
    <sheet name="Precio Local" sheetId="14" state="hidden" r:id="rId5"/>
    <sheet name="Precio IND" sheetId="13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29" l="1"/>
  <c r="M14" i="12"/>
  <c r="E8" i="17"/>
  <c r="F8" i="17"/>
  <c r="E27" i="12"/>
  <c r="D27" i="12"/>
  <c r="E26" i="12"/>
  <c r="F26" i="12"/>
  <c r="D26" i="12"/>
  <c r="B27" i="12"/>
  <c r="B26" i="12"/>
  <c r="D17" i="12"/>
  <c r="B17" i="12"/>
  <c r="I53" i="14"/>
  <c r="E9" i="12"/>
  <c r="D9" i="12"/>
  <c r="E8" i="12"/>
  <c r="D8" i="12"/>
  <c r="B9" i="12"/>
  <c r="B8" i="12"/>
  <c r="D66" i="17"/>
  <c r="D64" i="17"/>
  <c r="D62" i="17"/>
  <c r="F58" i="17"/>
  <c r="E44" i="17"/>
  <c r="D53" i="17"/>
  <c r="D78" i="17"/>
  <c r="C44" i="17"/>
  <c r="E43" i="17"/>
  <c r="A43" i="17"/>
  <c r="C43" i="17"/>
  <c r="F43" i="17"/>
  <c r="E42" i="17"/>
  <c r="A42" i="17"/>
  <c r="C42" i="17"/>
  <c r="F42" i="17"/>
  <c r="E41" i="17"/>
  <c r="A41" i="17"/>
  <c r="C41" i="17"/>
  <c r="F41" i="17"/>
  <c r="E40" i="17"/>
  <c r="A40" i="17"/>
  <c r="C40" i="17"/>
  <c r="A39" i="17"/>
  <c r="C39" i="17"/>
  <c r="E36" i="17"/>
  <c r="A36" i="17"/>
  <c r="C36" i="17"/>
  <c r="E35" i="17"/>
  <c r="A35" i="17"/>
  <c r="C35" i="17"/>
  <c r="F35" i="17"/>
  <c r="G35" i="17"/>
  <c r="E34" i="17"/>
  <c r="A34" i="17"/>
  <c r="C34" i="17"/>
  <c r="E33" i="17"/>
  <c r="F33" i="17"/>
  <c r="G33" i="17"/>
  <c r="A33" i="17"/>
  <c r="C33" i="17"/>
  <c r="A32" i="17"/>
  <c r="C32" i="17"/>
  <c r="B30" i="17"/>
  <c r="E29" i="17"/>
  <c r="F29" i="17"/>
  <c r="D29" i="17"/>
  <c r="C29" i="17"/>
  <c r="B29" i="17"/>
  <c r="E28" i="17"/>
  <c r="D28" i="17"/>
  <c r="C28" i="17"/>
  <c r="F28" i="17"/>
  <c r="B28" i="17"/>
  <c r="E27" i="17"/>
  <c r="F27" i="17"/>
  <c r="D27" i="17"/>
  <c r="C27" i="17"/>
  <c r="B27" i="17"/>
  <c r="E26" i="17"/>
  <c r="D26" i="17"/>
  <c r="C26" i="17"/>
  <c r="B26" i="17"/>
  <c r="E25" i="17"/>
  <c r="F25" i="17"/>
  <c r="D25" i="17"/>
  <c r="C25" i="17"/>
  <c r="B25" i="17"/>
  <c r="E24" i="17"/>
  <c r="F24" i="17"/>
  <c r="D24" i="17"/>
  <c r="C24" i="17"/>
  <c r="B24" i="17"/>
  <c r="E21" i="17"/>
  <c r="D21" i="17"/>
  <c r="C21" i="17"/>
  <c r="B21" i="17"/>
  <c r="E20" i="17"/>
  <c r="D20" i="17"/>
  <c r="C20" i="17"/>
  <c r="B20" i="17"/>
  <c r="E19" i="17"/>
  <c r="D19" i="17"/>
  <c r="C19" i="17"/>
  <c r="B19" i="17"/>
  <c r="E18" i="17"/>
  <c r="F18" i="17"/>
  <c r="D18" i="17"/>
  <c r="C18" i="17"/>
  <c r="B18" i="17"/>
  <c r="C17" i="17"/>
  <c r="B15" i="17"/>
  <c r="E14" i="17"/>
  <c r="D14" i="17"/>
  <c r="C14" i="17"/>
  <c r="F14" i="17"/>
  <c r="B14" i="17"/>
  <c r="E13" i="17"/>
  <c r="D13" i="17"/>
  <c r="C13" i="17"/>
  <c r="B13" i="17"/>
  <c r="E12" i="17"/>
  <c r="F12" i="17"/>
  <c r="D12" i="17"/>
  <c r="C12" i="17"/>
  <c r="B12" i="17"/>
  <c r="E11" i="17"/>
  <c r="F11" i="17"/>
  <c r="D11" i="17"/>
  <c r="C11" i="17"/>
  <c r="B11" i="17"/>
  <c r="C10" i="17"/>
  <c r="F10" i="17"/>
  <c r="E9" i="17"/>
  <c r="D9" i="17"/>
  <c r="C9" i="17"/>
  <c r="F9" i="17"/>
  <c r="B9" i="17"/>
  <c r="D8" i="17"/>
  <c r="C8" i="17"/>
  <c r="B8" i="17"/>
  <c r="H6" i="17"/>
  <c r="E47" i="12"/>
  <c r="E37" i="12"/>
  <c r="E19" i="12"/>
  <c r="F19" i="12"/>
  <c r="E21" i="12"/>
  <c r="F21" i="12"/>
  <c r="F38" i="14"/>
  <c r="G38" i="14"/>
  <c r="E38" i="14"/>
  <c r="D38" i="14"/>
  <c r="C38" i="14"/>
  <c r="F37" i="14"/>
  <c r="G37" i="14"/>
  <c r="E37" i="14"/>
  <c r="D37" i="14"/>
  <c r="C37" i="14"/>
  <c r="F36" i="14"/>
  <c r="E36" i="14"/>
  <c r="D36" i="14"/>
  <c r="G36" i="14"/>
  <c r="C36" i="14"/>
  <c r="F35" i="14"/>
  <c r="E35" i="14"/>
  <c r="D35" i="14"/>
  <c r="C35" i="14"/>
  <c r="F34" i="14"/>
  <c r="E34" i="14"/>
  <c r="D34" i="14"/>
  <c r="C34" i="14"/>
  <c r="F33" i="14"/>
  <c r="G33" i="14"/>
  <c r="E33" i="14"/>
  <c r="D33" i="14"/>
  <c r="C33" i="14"/>
  <c r="F31" i="14"/>
  <c r="G31" i="14"/>
  <c r="E31" i="14"/>
  <c r="D31" i="14"/>
  <c r="C31" i="14"/>
  <c r="F30" i="14"/>
  <c r="G30" i="14"/>
  <c r="E30" i="14"/>
  <c r="D30" i="14"/>
  <c r="C30" i="14"/>
  <c r="F29" i="14"/>
  <c r="G29" i="14"/>
  <c r="E29" i="14"/>
  <c r="D29" i="14"/>
  <c r="C29" i="14"/>
  <c r="F28" i="14"/>
  <c r="E28" i="14"/>
  <c r="D28" i="14"/>
  <c r="G28" i="14"/>
  <c r="C28" i="14"/>
  <c r="F27" i="14"/>
  <c r="G27" i="14"/>
  <c r="E27" i="14"/>
  <c r="D27" i="14"/>
  <c r="C27" i="14"/>
  <c r="F26" i="14"/>
  <c r="E26" i="14"/>
  <c r="D26" i="14"/>
  <c r="G26" i="14"/>
  <c r="C26" i="14"/>
  <c r="F25" i="14"/>
  <c r="E25" i="14"/>
  <c r="D25" i="14"/>
  <c r="C25" i="14"/>
  <c r="F24" i="14"/>
  <c r="G24" i="14"/>
  <c r="E24" i="14"/>
  <c r="D24" i="14"/>
  <c r="C24" i="14"/>
  <c r="F20" i="14"/>
  <c r="E20" i="14"/>
  <c r="D20" i="14"/>
  <c r="C20" i="14"/>
  <c r="F19" i="14"/>
  <c r="E19" i="14"/>
  <c r="D19" i="14"/>
  <c r="C19" i="14"/>
  <c r="F18" i="14"/>
  <c r="E18" i="14"/>
  <c r="D18" i="14"/>
  <c r="C18" i="14"/>
  <c r="F17" i="14"/>
  <c r="E17" i="14"/>
  <c r="D17" i="14"/>
  <c r="C17" i="14"/>
  <c r="F14" i="14"/>
  <c r="G14" i="14"/>
  <c r="E14" i="14"/>
  <c r="D14" i="14"/>
  <c r="C14" i="14"/>
  <c r="F13" i="14"/>
  <c r="G13" i="14"/>
  <c r="E13" i="14"/>
  <c r="D13" i="14"/>
  <c r="C13" i="14"/>
  <c r="F12" i="14"/>
  <c r="E12" i="14"/>
  <c r="D12" i="14"/>
  <c r="G12" i="14"/>
  <c r="C12" i="14"/>
  <c r="F11" i="14"/>
  <c r="E11" i="14"/>
  <c r="D11" i="14"/>
  <c r="G11" i="14"/>
  <c r="C11" i="14"/>
  <c r="F10" i="14"/>
  <c r="E10" i="14"/>
  <c r="D10" i="14"/>
  <c r="G10" i="14"/>
  <c r="C10" i="14"/>
  <c r="D9" i="14"/>
  <c r="I7" i="14"/>
  <c r="A45" i="12"/>
  <c r="C45" i="12"/>
  <c r="A46" i="12"/>
  <c r="C46" i="12"/>
  <c r="E46" i="12"/>
  <c r="A47" i="12"/>
  <c r="C47" i="12"/>
  <c r="F47" i="12"/>
  <c r="A48" i="12"/>
  <c r="C48" i="12"/>
  <c r="F48" i="12"/>
  <c r="E48" i="12"/>
  <c r="A49" i="12"/>
  <c r="C49" i="12"/>
  <c r="F49" i="12"/>
  <c r="E49" i="12"/>
  <c r="A50" i="12"/>
  <c r="C50" i="12"/>
  <c r="E50" i="12"/>
  <c r="F50" i="12"/>
  <c r="A51" i="12"/>
  <c r="C51" i="12"/>
  <c r="E51" i="12"/>
  <c r="F51" i="12"/>
  <c r="A35" i="12"/>
  <c r="C35" i="12"/>
  <c r="A36" i="12"/>
  <c r="C36" i="12"/>
  <c r="E36" i="12"/>
  <c r="A37" i="12"/>
  <c r="C37" i="12"/>
  <c r="F37" i="12"/>
  <c r="G37" i="12"/>
  <c r="A38" i="12"/>
  <c r="C38" i="12"/>
  <c r="E38" i="12"/>
  <c r="F38" i="12"/>
  <c r="G38" i="12"/>
  <c r="A39" i="12"/>
  <c r="C39" i="12"/>
  <c r="E39" i="12"/>
  <c r="F39" i="12"/>
  <c r="G39" i="12"/>
  <c r="A40" i="12"/>
  <c r="C40" i="12"/>
  <c r="E40" i="12"/>
  <c r="A41" i="12"/>
  <c r="C41" i="12"/>
  <c r="F41" i="12"/>
  <c r="G41" i="12"/>
  <c r="E41" i="12"/>
  <c r="C17" i="12"/>
  <c r="B18" i="12"/>
  <c r="C18" i="12"/>
  <c r="D18" i="12"/>
  <c r="E18" i="12"/>
  <c r="F18" i="12"/>
  <c r="C19" i="12"/>
  <c r="B20" i="12"/>
  <c r="C20" i="12"/>
  <c r="D20" i="12"/>
  <c r="E20" i="12"/>
  <c r="F20" i="12"/>
  <c r="B21" i="12"/>
  <c r="C21" i="12"/>
  <c r="D21" i="12"/>
  <c r="B22" i="12"/>
  <c r="C22" i="12"/>
  <c r="D22" i="12"/>
  <c r="E22" i="12"/>
  <c r="F22" i="12"/>
  <c r="B23" i="12"/>
  <c r="C23" i="12"/>
  <c r="D23" i="12"/>
  <c r="E23" i="12"/>
  <c r="F23" i="12"/>
  <c r="E39" i="11"/>
  <c r="E32" i="11"/>
  <c r="D9" i="13"/>
  <c r="D6" i="13"/>
  <c r="D74" i="12"/>
  <c r="D75" i="12"/>
  <c r="D77" i="12"/>
  <c r="D72" i="12"/>
  <c r="D70" i="12"/>
  <c r="F66" i="12"/>
  <c r="C74" i="12"/>
  <c r="D61" i="12"/>
  <c r="D86" i="12"/>
  <c r="D87" i="12"/>
  <c r="C52" i="12"/>
  <c r="A44" i="12"/>
  <c r="C44" i="12"/>
  <c r="A34" i="12"/>
  <c r="C34" i="12"/>
  <c r="E31" i="12"/>
  <c r="F31" i="12"/>
  <c r="D31" i="12"/>
  <c r="C31" i="12"/>
  <c r="B31" i="12"/>
  <c r="E30" i="12"/>
  <c r="F30" i="12"/>
  <c r="D30" i="12"/>
  <c r="C30" i="12"/>
  <c r="B30" i="12"/>
  <c r="E29" i="12"/>
  <c r="D29" i="12"/>
  <c r="C29" i="12"/>
  <c r="F29" i="12"/>
  <c r="B29" i="12"/>
  <c r="E28" i="12"/>
  <c r="F28" i="12"/>
  <c r="D28" i="12"/>
  <c r="C28" i="12"/>
  <c r="B28" i="12"/>
  <c r="C27" i="12"/>
  <c r="F27" i="12"/>
  <c r="C26" i="12"/>
  <c r="C16" i="12"/>
  <c r="E13" i="12"/>
  <c r="D13" i="12"/>
  <c r="C13" i="12"/>
  <c r="F13" i="12"/>
  <c r="B13" i="12"/>
  <c r="E12" i="12"/>
  <c r="D12" i="12"/>
  <c r="C12" i="12"/>
  <c r="F12" i="12"/>
  <c r="B12" i="12"/>
  <c r="E11" i="12"/>
  <c r="F11" i="12"/>
  <c r="D11" i="12"/>
  <c r="C11" i="12"/>
  <c r="B11" i="12"/>
  <c r="C10" i="12"/>
  <c r="F10" i="12"/>
  <c r="C9" i="12"/>
  <c r="F9" i="12"/>
  <c r="C8" i="12"/>
  <c r="H6" i="12"/>
  <c r="D66" i="11"/>
  <c r="D67" i="11"/>
  <c r="D69" i="11"/>
  <c r="D64" i="11"/>
  <c r="D62" i="11"/>
  <c r="F58" i="11"/>
  <c r="D53" i="11"/>
  <c r="D74" i="11"/>
  <c r="C44" i="11"/>
  <c r="E43" i="11"/>
  <c r="A43" i="11"/>
  <c r="C43" i="11"/>
  <c r="F43" i="11"/>
  <c r="E42" i="11"/>
  <c r="A42" i="11"/>
  <c r="C42" i="11"/>
  <c r="E41" i="11"/>
  <c r="A41" i="11"/>
  <c r="C41" i="11"/>
  <c r="F41" i="11"/>
  <c r="E40" i="11"/>
  <c r="A40" i="11"/>
  <c r="C40" i="11"/>
  <c r="A39" i="11"/>
  <c r="C39" i="11"/>
  <c r="F39" i="11"/>
  <c r="E36" i="11"/>
  <c r="A36" i="11"/>
  <c r="C36" i="11"/>
  <c r="E35" i="11"/>
  <c r="A35" i="11"/>
  <c r="C35" i="11"/>
  <c r="F35" i="11"/>
  <c r="G35" i="11"/>
  <c r="E34" i="11"/>
  <c r="A34" i="11"/>
  <c r="C34" i="11"/>
  <c r="E33" i="11"/>
  <c r="F33" i="11"/>
  <c r="G33" i="11"/>
  <c r="A33" i="11"/>
  <c r="C33" i="11"/>
  <c r="A32" i="11"/>
  <c r="C32" i="11"/>
  <c r="E29" i="11"/>
  <c r="D29" i="11"/>
  <c r="C29" i="11"/>
  <c r="B29" i="11"/>
  <c r="E28" i="11"/>
  <c r="D28" i="11"/>
  <c r="C28" i="11"/>
  <c r="F28" i="11"/>
  <c r="B28" i="11"/>
  <c r="E27" i="11"/>
  <c r="E24" i="11"/>
  <c r="F24" i="11"/>
  <c r="E25" i="11"/>
  <c r="F25" i="11"/>
  <c r="E26" i="11"/>
  <c r="F26" i="11"/>
  <c r="D27" i="11"/>
  <c r="C27" i="11"/>
  <c r="B27" i="11"/>
  <c r="D26" i="11"/>
  <c r="C26" i="11"/>
  <c r="B26" i="11"/>
  <c r="D25" i="11"/>
  <c r="C25" i="11"/>
  <c r="B25" i="11"/>
  <c r="D24" i="11"/>
  <c r="C24" i="11"/>
  <c r="B24" i="11"/>
  <c r="E21" i="11"/>
  <c r="F21" i="11"/>
  <c r="D21" i="11"/>
  <c r="C21" i="11"/>
  <c r="B21" i="11"/>
  <c r="E20" i="11"/>
  <c r="F20" i="11"/>
  <c r="D20" i="11"/>
  <c r="C20" i="11"/>
  <c r="B20" i="11"/>
  <c r="E19" i="11"/>
  <c r="D19" i="11"/>
  <c r="C19" i="11"/>
  <c r="F19" i="11"/>
  <c r="B19" i="11"/>
  <c r="E18" i="11"/>
  <c r="D18" i="11"/>
  <c r="C18" i="11"/>
  <c r="B18" i="11"/>
  <c r="C17" i="11"/>
  <c r="E14" i="11"/>
  <c r="F14" i="11"/>
  <c r="D14" i="11"/>
  <c r="C14" i="11"/>
  <c r="B14" i="11"/>
  <c r="E13" i="11"/>
  <c r="D13" i="11"/>
  <c r="C13" i="11"/>
  <c r="F13" i="11"/>
  <c r="B13" i="11"/>
  <c r="E12" i="11"/>
  <c r="D12" i="11"/>
  <c r="C12" i="11"/>
  <c r="F12" i="11"/>
  <c r="B12" i="11"/>
  <c r="E11" i="11"/>
  <c r="D11" i="11"/>
  <c r="C11" i="11"/>
  <c r="F11" i="11"/>
  <c r="B11" i="11"/>
  <c r="E10" i="11"/>
  <c r="D10" i="11"/>
  <c r="C10" i="11"/>
  <c r="B10" i="11"/>
  <c r="E9" i="11"/>
  <c r="D9" i="11"/>
  <c r="C9" i="11"/>
  <c r="F9" i="11"/>
  <c r="B9" i="11"/>
  <c r="E8" i="11"/>
  <c r="D8" i="11"/>
  <c r="C8" i="11"/>
  <c r="F8" i="11"/>
  <c r="B8" i="11"/>
  <c r="H6" i="11"/>
  <c r="E52" i="12"/>
  <c r="E45" i="12"/>
  <c r="D76" i="11"/>
  <c r="D78" i="11"/>
  <c r="D79" i="11"/>
  <c r="D74" i="17"/>
  <c r="D79" i="17"/>
  <c r="D67" i="17"/>
  <c r="D69" i="17"/>
  <c r="D76" i="17"/>
  <c r="G17" i="14"/>
  <c r="G35" i="14"/>
  <c r="F8" i="12"/>
  <c r="C66" i="17"/>
  <c r="E66" i="17"/>
  <c r="F44" i="17"/>
  <c r="C78" i="17"/>
  <c r="E78" i="17"/>
  <c r="D82" i="12"/>
  <c r="D84" i="12"/>
  <c r="F13" i="17"/>
  <c r="F19" i="17"/>
  <c r="F21" i="17"/>
  <c r="F10" i="11"/>
  <c r="F46" i="12"/>
  <c r="F26" i="17"/>
  <c r="F36" i="12"/>
  <c r="G36" i="12"/>
  <c r="G18" i="14"/>
  <c r="G19" i="14"/>
  <c r="F20" i="17"/>
  <c r="C86" i="12"/>
  <c r="E86" i="12"/>
  <c r="F40" i="11"/>
  <c r="F42" i="11"/>
  <c r="F40" i="17"/>
  <c r="F36" i="11"/>
  <c r="G36" i="11"/>
  <c r="F34" i="17"/>
  <c r="F36" i="17"/>
  <c r="G36" i="17"/>
  <c r="G34" i="17"/>
  <c r="E35" i="12"/>
  <c r="E32" i="17"/>
  <c r="E39" i="17"/>
  <c r="F39" i="17"/>
  <c r="E17" i="12"/>
  <c r="E17" i="17"/>
  <c r="F17" i="17"/>
  <c r="G20" i="14"/>
  <c r="F41" i="14"/>
  <c r="G41" i="14"/>
  <c r="F49" i="17"/>
  <c r="F52" i="12"/>
  <c r="F17" i="12"/>
  <c r="F27" i="11"/>
  <c r="F35" i="12"/>
  <c r="G35" i="12"/>
  <c r="F45" i="12"/>
  <c r="F32" i="17"/>
  <c r="G32" i="17"/>
  <c r="C66" i="11"/>
  <c r="E44" i="11"/>
  <c r="F44" i="11"/>
  <c r="F49" i="11"/>
  <c r="F46" i="17"/>
  <c r="F18" i="11"/>
  <c r="F29" i="11"/>
  <c r="F34" i="11"/>
  <c r="G34" i="11"/>
  <c r="E74" i="12"/>
  <c r="F32" i="11"/>
  <c r="G32" i="11"/>
  <c r="F40" i="12"/>
  <c r="G40" i="12"/>
  <c r="G25" i="14"/>
  <c r="G34" i="14"/>
  <c r="O48" i="11"/>
  <c r="C67" i="11"/>
  <c r="H49" i="11"/>
  <c r="C62" i="17"/>
  <c r="H46" i="17"/>
  <c r="F2" i="17"/>
  <c r="F57" i="17"/>
  <c r="C78" i="11"/>
  <c r="E78" i="11"/>
  <c r="E66" i="11"/>
  <c r="F47" i="11"/>
  <c r="C67" i="17"/>
  <c r="O48" i="17"/>
  <c r="H49" i="17"/>
  <c r="H2" i="17"/>
  <c r="F47" i="17"/>
  <c r="G43" i="14"/>
  <c r="H47" i="17"/>
  <c r="G2" i="17"/>
  <c r="C69" i="17"/>
  <c r="E69" i="17"/>
  <c r="E67" i="17"/>
  <c r="C79" i="17"/>
  <c r="E79" i="17"/>
  <c r="E44" i="12"/>
  <c r="F44" i="12"/>
  <c r="H2" i="11"/>
  <c r="G49" i="14"/>
  <c r="C69" i="11"/>
  <c r="E69" i="11"/>
  <c r="H47" i="11"/>
  <c r="C74" i="17"/>
  <c r="E74" i="17"/>
  <c r="E62" i="17"/>
  <c r="C79" i="11"/>
  <c r="E79" i="11"/>
  <c r="E67" i="11"/>
  <c r="F48" i="17"/>
  <c r="G2" i="11"/>
  <c r="E34" i="12"/>
  <c r="F34" i="12"/>
  <c r="O47" i="17"/>
  <c r="H48" i="17"/>
  <c r="F56" i="17"/>
  <c r="E17" i="11"/>
  <c r="F17" i="11"/>
  <c r="E71" i="17"/>
  <c r="F57" i="12"/>
  <c r="F46" i="11"/>
  <c r="O49" i="17"/>
  <c r="O50" i="17"/>
  <c r="G56" i="17"/>
  <c r="E56" i="17"/>
  <c r="F59" i="17"/>
  <c r="C64" i="17"/>
  <c r="G34" i="12"/>
  <c r="F55" i="12"/>
  <c r="H57" i="12"/>
  <c r="C75" i="12"/>
  <c r="O56" i="12"/>
  <c r="O52" i="17"/>
  <c r="O51" i="17"/>
  <c r="C87" i="12"/>
  <c r="E87" i="12"/>
  <c r="E75" i="12"/>
  <c r="E64" i="17"/>
  <c r="C76" i="17"/>
  <c r="E76" i="17"/>
  <c r="H2" i="12"/>
  <c r="F16" i="13"/>
  <c r="G13" i="17"/>
  <c r="G58" i="17"/>
  <c r="G59" i="17"/>
  <c r="G25" i="17"/>
  <c r="G41" i="17"/>
  <c r="G20" i="17"/>
  <c r="G8" i="17"/>
  <c r="G27" i="17"/>
  <c r="G21" i="17"/>
  <c r="G29" i="17"/>
  <c r="G26" i="17"/>
  <c r="G9" i="17"/>
  <c r="G17" i="17"/>
  <c r="G12" i="17"/>
  <c r="G14" i="17"/>
  <c r="G44" i="17"/>
  <c r="G19" i="17"/>
  <c r="G40" i="17"/>
  <c r="G28" i="17"/>
  <c r="G39" i="17"/>
  <c r="G11" i="17"/>
  <c r="G18" i="17"/>
  <c r="G43" i="17"/>
  <c r="G24" i="17"/>
  <c r="G42" i="17"/>
  <c r="G10" i="17"/>
  <c r="G46" i="17"/>
  <c r="G49" i="17"/>
  <c r="G47" i="17"/>
  <c r="G57" i="17"/>
  <c r="G48" i="17"/>
  <c r="H55" i="12"/>
  <c r="C77" i="12"/>
  <c r="E77" i="12"/>
  <c r="F48" i="11"/>
  <c r="C62" i="11"/>
  <c r="H46" i="11"/>
  <c r="F57" i="11"/>
  <c r="C74" i="11"/>
  <c r="E74" i="11"/>
  <c r="E62" i="11"/>
  <c r="E71" i="11"/>
  <c r="E9" i="13"/>
  <c r="F9" i="13"/>
  <c r="G2" i="12"/>
  <c r="F18" i="13"/>
  <c r="F56" i="11"/>
  <c r="H48" i="11"/>
  <c r="O47" i="11"/>
  <c r="E16" i="12"/>
  <c r="F16" i="12"/>
  <c r="F2" i="11"/>
  <c r="O53" i="17"/>
  <c r="O54" i="17"/>
  <c r="O55" i="17"/>
  <c r="P55" i="17"/>
  <c r="E2" i="17"/>
  <c r="E56" i="11"/>
  <c r="C64" i="11"/>
  <c r="F59" i="11"/>
  <c r="F12" i="13"/>
  <c r="F54" i="12"/>
  <c r="O49" i="11"/>
  <c r="O50" i="11"/>
  <c r="F56" i="12"/>
  <c r="H54" i="12"/>
  <c r="F65" i="12"/>
  <c r="C70" i="12"/>
  <c r="G40" i="11"/>
  <c r="G19" i="11"/>
  <c r="G39" i="11"/>
  <c r="G59" i="11"/>
  <c r="G58" i="11"/>
  <c r="G41" i="11"/>
  <c r="G9" i="11"/>
  <c r="G21" i="11"/>
  <c r="G42" i="11"/>
  <c r="G25" i="11"/>
  <c r="G11" i="11"/>
  <c r="G28" i="11"/>
  <c r="G10" i="11"/>
  <c r="G8" i="11"/>
  <c r="G24" i="11"/>
  <c r="G43" i="11"/>
  <c r="G12" i="11"/>
  <c r="G20" i="11"/>
  <c r="G14" i="11"/>
  <c r="G13" i="11"/>
  <c r="G26" i="11"/>
  <c r="G49" i="11"/>
  <c r="G29" i="11"/>
  <c r="G27" i="11"/>
  <c r="G18" i="11"/>
  <c r="G44" i="11"/>
  <c r="G47" i="11"/>
  <c r="G17" i="11"/>
  <c r="G46" i="11"/>
  <c r="G48" i="11"/>
  <c r="G57" i="11"/>
  <c r="C76" i="11"/>
  <c r="E76" i="11"/>
  <c r="E64" i="11"/>
  <c r="O51" i="11"/>
  <c r="O52" i="11"/>
  <c r="G56" i="11"/>
  <c r="O53" i="11"/>
  <c r="O54" i="11"/>
  <c r="O55" i="11"/>
  <c r="F2" i="12"/>
  <c r="E6" i="13"/>
  <c r="F6" i="13"/>
  <c r="E70" i="12"/>
  <c r="E79" i="12"/>
  <c r="C82" i="12"/>
  <c r="E82" i="12"/>
  <c r="F64" i="12"/>
  <c r="O55" i="12"/>
  <c r="H56" i="12"/>
  <c r="E2" i="11"/>
  <c r="P55" i="11"/>
  <c r="C72" i="12"/>
  <c r="E64" i="12"/>
  <c r="F67" i="12"/>
  <c r="O57" i="12"/>
  <c r="O58" i="12"/>
  <c r="F11" i="13"/>
  <c r="G66" i="12"/>
  <c r="G67" i="12"/>
  <c r="G20" i="12"/>
  <c r="G23" i="12"/>
  <c r="G30" i="12"/>
  <c r="G28" i="12"/>
  <c r="G26" i="12"/>
  <c r="G21" i="12"/>
  <c r="G8" i="12"/>
  <c r="G31" i="12"/>
  <c r="G29" i="12"/>
  <c r="G27" i="12"/>
  <c r="G12" i="12"/>
  <c r="G51" i="12"/>
  <c r="G22" i="12"/>
  <c r="G48" i="12"/>
  <c r="G46" i="12"/>
  <c r="G47" i="12"/>
  <c r="G19" i="12"/>
  <c r="G10" i="12"/>
  <c r="G9" i="12"/>
  <c r="G18" i="12"/>
  <c r="G49" i="12"/>
  <c r="G11" i="12"/>
  <c r="G13" i="12"/>
  <c r="G50" i="12"/>
  <c r="G17" i="12"/>
  <c r="G52" i="12"/>
  <c r="G45" i="12"/>
  <c r="G44" i="12"/>
  <c r="G57" i="12"/>
  <c r="G55" i="12"/>
  <c r="G16" i="12"/>
  <c r="G54" i="12"/>
  <c r="G56" i="12"/>
  <c r="G65" i="12"/>
  <c r="F13" i="13"/>
  <c r="O59" i="12"/>
  <c r="O60" i="12"/>
  <c r="G64" i="12"/>
  <c r="C84" i="12"/>
  <c r="E84" i="12"/>
  <c r="E72" i="12"/>
  <c r="F15" i="13"/>
  <c r="O61" i="12"/>
  <c r="O62" i="12"/>
  <c r="O63" i="12"/>
  <c r="F9" i="14"/>
  <c r="G9" i="14"/>
  <c r="P63" i="12"/>
  <c r="E2" i="12"/>
  <c r="F19" i="13"/>
  <c r="F17" i="13"/>
  <c r="F21" i="13"/>
  <c r="G19" i="13"/>
  <c r="F20" i="13"/>
  <c r="G40" i="14"/>
  <c r="G42" i="14"/>
  <c r="F22" i="13"/>
  <c r="F23" i="13"/>
  <c r="G21" i="13"/>
  <c r="G44" i="14"/>
  <c r="G48" i="14"/>
  <c r="F27" i="13"/>
  <c r="G23" i="13"/>
  <c r="G16" i="13"/>
  <c r="G9" i="13"/>
  <c r="G18" i="13"/>
  <c r="G12" i="13"/>
  <c r="G6" i="13"/>
  <c r="G11" i="13"/>
  <c r="G13" i="13"/>
  <c r="G15" i="13"/>
  <c r="G17" i="13"/>
  <c r="G22" i="13"/>
  <c r="G20" i="13"/>
  <c r="F28" i="13"/>
  <c r="F29" i="13"/>
  <c r="G50" i="14"/>
  <c r="G51" i="14"/>
  <c r="F30" i="13"/>
  <c r="F31" i="13"/>
  <c r="F32" i="13"/>
  <c r="F34" i="13"/>
  <c r="F35" i="13"/>
  <c r="G29" i="13"/>
  <c r="H29" i="13"/>
  <c r="G52" i="14"/>
  <c r="G53" i="14"/>
  <c r="I1" i="14"/>
  <c r="J53" i="14"/>
  <c r="G55" i="14"/>
  <c r="H18" i="14"/>
  <c r="H27" i="14"/>
  <c r="H33" i="14"/>
  <c r="H20" i="14"/>
  <c r="H30" i="14"/>
  <c r="H14" i="14"/>
  <c r="H17" i="14"/>
  <c r="H24" i="14"/>
  <c r="G54" i="14"/>
  <c r="H19" i="14"/>
  <c r="H26" i="14"/>
  <c r="H13" i="14"/>
  <c r="H28" i="14"/>
  <c r="H38" i="14"/>
  <c r="H10" i="14"/>
  <c r="H36" i="14"/>
  <c r="H31" i="14"/>
  <c r="H11" i="14"/>
  <c r="H41" i="14"/>
  <c r="H12" i="14"/>
  <c r="H37" i="14"/>
  <c r="H29" i="14"/>
  <c r="H35" i="14"/>
  <c r="H34" i="14"/>
  <c r="H25" i="14"/>
  <c r="H43" i="14"/>
  <c r="H49" i="14"/>
  <c r="H9" i="14"/>
  <c r="H40" i="14"/>
  <c r="H42" i="14"/>
  <c r="H48" i="14"/>
  <c r="H44" i="14"/>
  <c r="H50" i="14"/>
  <c r="H51" i="14"/>
</calcChain>
</file>

<file path=xl/sharedStrings.xml><?xml version="1.0" encoding="utf-8"?>
<sst xmlns="http://schemas.openxmlformats.org/spreadsheetml/2006/main" count="516" uniqueCount="188">
  <si>
    <t>ESPECIFICACION DE RECETA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</si>
  <si>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</si>
  <si>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</si>
  <si>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</si>
  <si>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</si>
  <si>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</si>
  <si>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</si>
  <si>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</si>
  <si>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1112431</t>
  </si>
  <si>
    <t>1950692</t>
  </si>
  <si>
    <t>0702012</t>
  </si>
  <si>
    <t>PESO TOTAL OBTENIDO</t>
  </si>
  <si>
    <t>MERMA</t>
  </si>
  <si>
    <t>g</t>
  </si>
  <si>
    <t>SERVICIOS DE PASTELERIA S.A.</t>
  </si>
  <si>
    <t>CÓDIGO:</t>
  </si>
  <si>
    <t>REVISIÓN:</t>
  </si>
  <si>
    <t>FECHA DE APROBACIÓN:</t>
  </si>
  <si>
    <t>Elaborado</t>
  </si>
  <si>
    <t>Aprobado</t>
  </si>
  <si>
    <t>Descripción del ingrediente</t>
  </si>
  <si>
    <t>Medida alternativa</t>
  </si>
  <si>
    <t>95719</t>
  </si>
  <si>
    <t>Decoración</t>
  </si>
  <si>
    <t>Unidad</t>
  </si>
  <si>
    <t>0702069</t>
  </si>
  <si>
    <t>Tiempo de Horneo:</t>
  </si>
  <si>
    <t>TIEMPO TOTAL DE PREPARACION</t>
  </si>
  <si>
    <t>Horno:</t>
  </si>
  <si>
    <t>CANTIDAD DE PORCIONES OBTENIDAS</t>
  </si>
  <si>
    <t>Temperatura de Horneo:</t>
  </si>
  <si>
    <t>Otros</t>
  </si>
  <si>
    <t>PROCEDIMIENTO DE PREPARACION DE LA  RECETA</t>
  </si>
  <si>
    <t>96398</t>
  </si>
  <si>
    <t>702175</t>
  </si>
  <si>
    <t>EMPAQUE</t>
  </si>
  <si>
    <t>Tanda</t>
  </si>
  <si>
    <t>PESO DE CADA PORCIÓN</t>
  </si>
  <si>
    <t>ud</t>
  </si>
  <si>
    <t>0510304</t>
  </si>
  <si>
    <t>95343</t>
  </si>
  <si>
    <t>BATIDO SUPER ESPONJA</t>
  </si>
  <si>
    <t>95720</t>
  </si>
  <si>
    <t>1950928</t>
  </si>
  <si>
    <t>NUEVO</t>
  </si>
  <si>
    <t>ROSQUETE ESPONJA KALUA 380G</t>
  </si>
  <si>
    <t>96453</t>
  </si>
  <si>
    <t>GALLETA MARIA CON CHOCOLATE BLANCO</t>
  </si>
  <si>
    <t>10700013</t>
  </si>
  <si>
    <t>STICK DORADO (CAJA:100 UND)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</si>
  <si>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</si>
  <si>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</si>
  <si>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</si>
  <si>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</si>
  <si>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</si>
  <si>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</si>
  <si>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</si>
  <si>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</si>
  <si>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</si>
  <si>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</si>
  <si>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</si>
  <si>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</si>
  <si>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</si>
  <si>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</si>
  <si>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</si>
  <si>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</si>
  <si>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</si>
  <si>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</si>
  <si>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</si>
  <si>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</si>
  <si>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</si>
  <si>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</si>
  <si>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</si>
  <si>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</si>
  <si>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</si>
  <si>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</si>
  <si>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</si>
  <si>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</si>
  <si>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</si>
  <si>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</si>
  <si>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</si>
  <si>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</si>
  <si>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</si>
  <si>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</si>
  <si>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</si>
  <si>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</si>
  <si>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</si>
  <si>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</si>
  <si>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</si>
  <si>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</si>
  <si>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</si>
  <si>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</si>
  <si>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</si>
  <si>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</si>
  <si>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</si>
  <si>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</si>
  <si>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</si>
  <si>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</si>
  <si>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</si>
  <si>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ESTRUCTURA DE COSTOS</t>
  </si>
  <si>
    <t>INDUSTRIA</t>
  </si>
  <si>
    <t>COSTO
 UNITARIO</t>
  </si>
  <si>
    <t>TOTAL
 COSTO</t>
  </si>
  <si>
    <t>% PREC. 
DEFINIDO</t>
  </si>
  <si>
    <t>CÓDIGOS</t>
  </si>
  <si>
    <t>SPOON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</si>
  <si>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</si>
  <si>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</si>
  <si>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</si>
  <si>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</si>
  <si>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</si>
  <si>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</si>
  <si>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</si>
  <si>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</si>
  <si>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</si>
  <si>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</si>
  <si>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</si>
  <si>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</si>
  <si>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</si>
  <si>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</si>
  <si>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</si>
  <si>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</si>
  <si>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</si>
  <si>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 xml:space="preserve">Esteban Ramírez S. / Costos </t>
  </si>
  <si>
    <t>Gramos</t>
  </si>
  <si>
    <t>MEZCLA ENGRASE MOLDES (29800g)</t>
  </si>
  <si>
    <t>UND</t>
  </si>
  <si>
    <t>ALMIBAR CON LICOR DE CAFE (3000g)</t>
  </si>
  <si>
    <t>CREMA CHANTILLY CAFE (21 Kg)</t>
  </si>
  <si>
    <t>GRAMO</t>
  </si>
  <si>
    <t>95717</t>
  </si>
  <si>
    <t>CREMA CHANTILLY BLANCA SPOON-IND (20800g)</t>
  </si>
  <si>
    <t>Gramo</t>
  </si>
  <si>
    <t>Torta Kalua Dia del padre</t>
  </si>
  <si>
    <t>TOTAL 
COSTO</t>
  </si>
  <si>
    <t>LOCALES</t>
  </si>
  <si>
    <t>DESCRIPCION SEMIELABORADOS PLANTA</t>
  </si>
  <si>
    <t>DESCRIPCION MAT.PRIMA LOCAL</t>
  </si>
  <si>
    <t>DOMICILIO Y LLEVAR</t>
  </si>
  <si>
    <t>FOOD COURT</t>
  </si>
  <si>
    <t>TOTAL MATERIA PRIMA PLANTA</t>
  </si>
  <si>
    <t>TOTAL MATERIA PRIMA LOCAL</t>
  </si>
  <si>
    <t>TOTAL MATERIA PRIMA</t>
  </si>
  <si>
    <t>Local</t>
  </si>
  <si>
    <t>COSTO TOTAL LOCAL</t>
  </si>
  <si>
    <t>PRECIO VENTA II</t>
  </si>
  <si>
    <t xml:space="preserve">Esteban Ramírez S. /  Costos </t>
  </si>
  <si>
    <t>Torta Kalua</t>
  </si>
  <si>
    <t xml:space="preserve">UND </t>
  </si>
  <si>
    <t>BATIDO SUPER ESPONJA KALUA</t>
  </si>
  <si>
    <t>PREMEZCLA SUPER ESPONJA KALUA</t>
  </si>
  <si>
    <t>1210441</t>
  </si>
  <si>
    <t>AGUA</t>
  </si>
  <si>
    <t>Mililitro</t>
  </si>
  <si>
    <t>9999</t>
  </si>
  <si>
    <t>TANDA</t>
  </si>
  <si>
    <t>1942315</t>
  </si>
  <si>
    <t>910000005</t>
  </si>
  <si>
    <t>1210464</t>
  </si>
  <si>
    <t xml:space="preserve">AREA QUE EMPACA: </t>
  </si>
  <si>
    <t>AREA QUE PRODUCE:</t>
  </si>
  <si>
    <t>MEZCLA DULCE LECHE CON AGUA</t>
  </si>
  <si>
    <t>FAS</t>
  </si>
  <si>
    <t>Minutos</t>
  </si>
  <si>
    <t>Se cam</t>
  </si>
  <si>
    <t>0702123</t>
  </si>
  <si>
    <t>ETIQUETA BLANCA 2 5/8X1 15/16 (UND)</t>
  </si>
  <si>
    <t>CAFÉ INSTANTANEO (PAQ: 500 G)</t>
  </si>
  <si>
    <t>Esteban Cartin, Gte Manufactura</t>
  </si>
  <si>
    <t>CREMA CHANTILLY BLANCA SPOON-IND KILO</t>
  </si>
  <si>
    <t>SE00010</t>
  </si>
  <si>
    <t>MP10091</t>
  </si>
  <si>
    <t># Código Netsuite</t>
  </si>
  <si>
    <t>EM10011</t>
  </si>
  <si>
    <t>Javier Tong, Chef</t>
  </si>
  <si>
    <t>Decoracion</t>
  </si>
  <si>
    <t>Ensamble</t>
  </si>
  <si>
    <t>NESCAFE</t>
  </si>
  <si>
    <t>Empaque</t>
  </si>
  <si>
    <t>CEMUSA</t>
  </si>
  <si>
    <t>CONTROL DE CAMBIOS</t>
  </si>
  <si>
    <t>ESP-RE-DES-037</t>
  </si>
  <si>
    <t xml:space="preserve">1, Mezclar en la top cream, la crema montada (18°temperatura maxima) con el café y dar 6 vueltas, dejando que quede homogeneo. </t>
  </si>
  <si>
    <t xml:space="preserve">2.- Guardar, etiquetar y  Mantener en refrigeración hasta su uso. </t>
  </si>
  <si>
    <t xml:space="preserve">2, Actualización tiempo de preparación y procedimiento de la receta. </t>
  </si>
  <si>
    <t xml:space="preserve">3, Se actualiza cantidad de instantaneo.  </t>
  </si>
  <si>
    <t>03</t>
  </si>
  <si>
    <t>SE00076 Crema Blanca Spoon con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</si>
</sst>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0.0"/>
    <numFmt numFmtId="167" formatCode="0.000"/>
    <numFmt numFmtId="168" formatCode="[$-409]d\-mmm\-yy;@"/>
    <numFmt numFmtId="169" formatCode="_-* #,##0.0\ _€_-;\-* #,##0.0\ _€_-;_-* &quot;-&quot;??\ _€_-;_-@_-"/>
    <numFmt numFmtId="170" formatCode="0.0%"/>
    <numFmt numFmtId="171" formatCode="_(* #,##0.000_);_(* \(#,##0.000\);_(* &quot;-&quot;??_);_(@_)"/>
  </numFmts>
  <fonts count="67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b/>
      <sz val="12"/>
      <name val="Century Gothic"/>
      <family val="2"/>
    </font>
    <font>
      <b/>
      <sz val="10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9"/>
      <color indexed="12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sz val="6"/>
      <name val="Times New Roman"/>
      <family val="1"/>
    </font>
    <font>
      <sz val="9"/>
      <color indexed="21"/>
      <name val="Times New Roman"/>
      <family val="1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b/>
      <sz val="10"/>
      <color indexed="62"/>
      <name val="Times New Roman"/>
      <family val="1"/>
    </font>
    <font>
      <b/>
      <sz val="10"/>
      <color indexed="53"/>
      <name val="Times New Roman"/>
      <family val="1"/>
    </font>
    <font>
      <sz val="10"/>
      <color indexed="19"/>
      <name val="Times New Roman"/>
      <family val="1"/>
    </font>
    <font>
      <sz val="11"/>
      <color theme="1"/>
      <name val="Calibri"/>
      <family val="2"/>
      <scheme val="minor"/>
    </font>
    <font>
      <b/>
      <sz val="9"/>
      <color rgb="FFFF0000"/>
      <name val="Times New Roman"/>
      <family val="1"/>
    </font>
    <font>
      <b/>
      <sz val="8"/>
      <color theme="0"/>
      <name val="Times New Roman"/>
      <family val="1"/>
    </font>
    <font>
      <b/>
      <sz val="9"/>
      <color theme="6" tint="-0.249977111117893"/>
      <name val="Times New Roman"/>
      <family val="1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53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19">
    <xf numFmtId="0" fontId="0" fillId="0" borderId="0" xfId="0"/>
    <xf numFmtId="0" fontId="4" fillId="10" borderId="0" xfId="0" applyFont="1" applyFill="1" applyAlignment="1">
      <alignment vertical="center"/>
    </xf>
    <xf numFmtId="0" fontId="8" fillId="11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8" fillId="0" borderId="2" xfId="1" applyFont="1" applyFill="1" applyBorder="1" applyAlignment="1">
      <alignment horizontal="center" vertical="center"/>
    </xf>
    <xf numFmtId="43" fontId="8" fillId="0" borderId="0" xfId="1" applyFont="1" applyFill="1" applyBorder="1" applyAlignment="1">
      <alignment horizontal="center" vertical="center"/>
    </xf>
    <xf numFmtId="43" fontId="12" fillId="0" borderId="0" xfId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8" fontId="15" fillId="0" borderId="0" xfId="0" applyNumberFormat="1" applyFont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4" fontId="16" fillId="0" borderId="0" xfId="2" applyNumberFormat="1" applyFont="1" applyFill="1" applyAlignment="1">
      <alignment horizontal="center" vertical="center"/>
    </xf>
    <xf numFmtId="4" fontId="8" fillId="0" borderId="0" xfId="2" applyNumberFormat="1" applyFont="1" applyFill="1" applyAlignment="1">
      <alignment horizontal="center" vertical="center"/>
    </xf>
    <xf numFmtId="10" fontId="8" fillId="0" borderId="0" xfId="11" applyNumberFormat="1" applyFont="1" applyFill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0" fontId="11" fillId="0" borderId="0" xfId="11" applyNumberFormat="1" applyFont="1" applyFill="1" applyAlignment="1">
      <alignment vertical="center"/>
    </xf>
    <xf numFmtId="0" fontId="4" fillId="0" borderId="0" xfId="0" applyFont="1"/>
    <xf numFmtId="49" fontId="8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/>
    <xf numFmtId="49" fontId="17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" fontId="8" fillId="0" borderId="0" xfId="1" applyNumberFormat="1" applyFont="1" applyFill="1" applyAlignment="1">
      <alignment vertical="center"/>
    </xf>
    <xf numFmtId="43" fontId="18" fillId="0" borderId="0" xfId="1" applyFont="1" applyFill="1" applyAlignment="1">
      <alignment horizontal="center" vertical="center"/>
    </xf>
    <xf numFmtId="10" fontId="11" fillId="4" borderId="18" xfId="11" applyNumberFormat="1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43" fontId="18" fillId="4" borderId="19" xfId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horizontal="right"/>
    </xf>
    <xf numFmtId="0" fontId="4" fillId="4" borderId="19" xfId="0" applyFont="1" applyFill="1" applyBorder="1" applyAlignment="1">
      <alignment vertical="center"/>
    </xf>
    <xf numFmtId="10" fontId="11" fillId="4" borderId="19" xfId="11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9" fontId="54" fillId="0" borderId="0" xfId="11" applyFont="1" applyFill="1" applyAlignment="1">
      <alignment horizontal="center"/>
    </xf>
    <xf numFmtId="0" fontId="18" fillId="0" borderId="0" xfId="0" applyFont="1" applyAlignment="1">
      <alignment horizontal="right" vertical="center"/>
    </xf>
    <xf numFmtId="4" fontId="18" fillId="0" borderId="0" xfId="1" applyNumberFormat="1" applyFont="1" applyFill="1" applyAlignment="1">
      <alignment vertical="center"/>
    </xf>
    <xf numFmtId="4" fontId="18" fillId="0" borderId="0" xfId="2" applyNumberFormat="1" applyFont="1" applyAlignment="1">
      <alignment horizontal="center" vertic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10" xfId="0" applyFont="1" applyBorder="1" applyAlignment="1">
      <alignment horizontal="right"/>
    </xf>
    <xf numFmtId="43" fontId="22" fillId="5" borderId="20" xfId="1" applyFont="1" applyFill="1" applyBorder="1" applyAlignment="1">
      <alignment horizontal="right"/>
    </xf>
    <xf numFmtId="43" fontId="22" fillId="0" borderId="0" xfId="1" applyFont="1" applyFill="1" applyBorder="1" applyAlignment="1">
      <alignment horizontal="right"/>
    </xf>
    <xf numFmtId="43" fontId="8" fillId="0" borderId="2" xfId="1" applyFont="1" applyFill="1" applyBorder="1" applyAlignment="1">
      <alignment vertical="center"/>
    </xf>
    <xf numFmtId="0" fontId="23" fillId="0" borderId="0" xfId="0" applyFont="1" applyAlignment="1">
      <alignment horizontal="left" vertical="center"/>
    </xf>
    <xf numFmtId="4" fontId="18" fillId="0" borderId="0" xfId="2" applyNumberFormat="1" applyFont="1" applyFill="1" applyAlignment="1">
      <alignment horizontal="center" vertical="center"/>
    </xf>
    <xf numFmtId="10" fontId="24" fillId="0" borderId="0" xfId="11" applyNumberFormat="1" applyFont="1" applyFill="1" applyAlignment="1">
      <alignment horizontal="right"/>
    </xf>
    <xf numFmtId="169" fontId="8" fillId="4" borderId="2" xfId="1" applyNumberFormat="1" applyFont="1" applyFill="1" applyBorder="1" applyAlignment="1">
      <alignment vertical="center"/>
    </xf>
    <xf numFmtId="4" fontId="4" fillId="0" borderId="0" xfId="0" applyNumberFormat="1" applyFont="1" applyAlignment="1">
      <alignment horizontal="center" vertical="center"/>
    </xf>
    <xf numFmtId="43" fontId="8" fillId="6" borderId="2" xfId="1" applyFont="1" applyFill="1" applyBorder="1" applyAlignment="1">
      <alignment vertical="center"/>
    </xf>
    <xf numFmtId="165" fontId="25" fillId="0" borderId="0" xfId="0" applyNumberFormat="1" applyFont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11" fillId="4" borderId="21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2" fontId="24" fillId="0" borderId="0" xfId="1" applyNumberFormat="1" applyFont="1" applyFill="1" applyBorder="1" applyAlignment="1">
      <alignment horizontal="center"/>
    </xf>
    <xf numFmtId="2" fontId="21" fillId="0" borderId="0" xfId="1" applyNumberFormat="1" applyFont="1" applyFill="1" applyBorder="1" applyAlignment="1">
      <alignment horizontal="center"/>
    </xf>
    <xf numFmtId="0" fontId="4" fillId="4" borderId="21" xfId="0" applyFont="1" applyFill="1" applyBorder="1" applyAlignment="1">
      <alignment vertical="center"/>
    </xf>
    <xf numFmtId="10" fontId="4" fillId="0" borderId="0" xfId="11" applyNumberFormat="1" applyFont="1" applyFill="1" applyAlignment="1">
      <alignment vertical="center"/>
    </xf>
    <xf numFmtId="4" fontId="4" fillId="0" borderId="0" xfId="1" applyNumberFormat="1" applyFont="1" applyFill="1" applyAlignment="1">
      <alignment vertical="center"/>
    </xf>
    <xf numFmtId="43" fontId="22" fillId="4" borderId="8" xfId="1" applyFont="1" applyFill="1" applyBorder="1" applyAlignment="1">
      <alignment horizontal="right"/>
    </xf>
    <xf numFmtId="0" fontId="8" fillId="4" borderId="7" xfId="0" applyFont="1" applyFill="1" applyBorder="1" applyAlignment="1">
      <alignment horizontal="right" vertical="center"/>
    </xf>
    <xf numFmtId="10" fontId="28" fillId="0" borderId="0" xfId="1" applyNumberFormat="1" applyFont="1" applyFill="1" applyAlignment="1">
      <alignment vertical="center"/>
    </xf>
    <xf numFmtId="10" fontId="11" fillId="0" borderId="0" xfId="11" applyNumberFormat="1" applyFont="1" applyFill="1" applyBorder="1" applyAlignment="1">
      <alignment vertical="center"/>
    </xf>
    <xf numFmtId="165" fontId="29" fillId="0" borderId="0" xfId="0" applyNumberFormat="1" applyFont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  <xf numFmtId="43" fontId="30" fillId="0" borderId="0" xfId="1" applyFont="1" applyFill="1" applyAlignment="1">
      <alignment vertical="center"/>
    </xf>
    <xf numFmtId="4" fontId="31" fillId="0" borderId="0" xfId="2" applyNumberFormat="1" applyFont="1" applyFill="1" applyAlignment="1">
      <alignment horizontal="center" vertical="center" wrapText="1"/>
    </xf>
    <xf numFmtId="43" fontId="4" fillId="0" borderId="0" xfId="1" applyFont="1" applyFill="1" applyAlignment="1">
      <alignment vertical="center"/>
    </xf>
    <xf numFmtId="9" fontId="4" fillId="0" borderId="0" xfId="1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1" applyNumberFormat="1" applyFont="1" applyFill="1" applyAlignment="1">
      <alignment vertical="center"/>
    </xf>
    <xf numFmtId="4" fontId="8" fillId="7" borderId="20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43" fontId="32" fillId="0" borderId="0" xfId="1" applyFont="1" applyFill="1" applyAlignment="1">
      <alignment vertical="center"/>
    </xf>
    <xf numFmtId="9" fontId="32" fillId="0" borderId="0" xfId="1" applyNumberFormat="1" applyFont="1" applyFill="1" applyAlignment="1">
      <alignment vertical="center"/>
    </xf>
    <xf numFmtId="4" fontId="8" fillId="0" borderId="0" xfId="1" applyNumberFormat="1" applyFont="1" applyFill="1" applyAlignment="1">
      <alignment horizontal="center" vertical="center"/>
    </xf>
    <xf numFmtId="10" fontId="25" fillId="0" borderId="0" xfId="11" applyNumberFormat="1" applyFont="1" applyFill="1" applyAlignment="1">
      <alignment vertical="center"/>
    </xf>
    <xf numFmtId="43" fontId="25" fillId="0" borderId="0" xfId="1" applyFont="1" applyFill="1" applyBorder="1" applyAlignment="1">
      <alignment vertical="center"/>
    </xf>
    <xf numFmtId="4" fontId="4" fillId="0" borderId="0" xfId="0" applyNumberFormat="1" applyFont="1" applyAlignment="1">
      <alignment horizontal="center"/>
    </xf>
    <xf numFmtId="43" fontId="4" fillId="0" borderId="0" xfId="1" applyFont="1" applyFill="1" applyBorder="1"/>
    <xf numFmtId="10" fontId="25" fillId="0" borderId="0" xfId="11" applyNumberFormat="1" applyFont="1" applyFill="1" applyBorder="1" applyAlignment="1">
      <alignment vertical="center"/>
    </xf>
    <xf numFmtId="0" fontId="25" fillId="0" borderId="0" xfId="0" applyFont="1" applyAlignment="1">
      <alignment horizontal="right"/>
    </xf>
    <xf numFmtId="43" fontId="4" fillId="0" borderId="0" xfId="1" applyFont="1" applyFill="1" applyBorder="1" applyAlignment="1">
      <alignment horizontal="center"/>
    </xf>
    <xf numFmtId="9" fontId="35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5" fontId="8" fillId="0" borderId="0" xfId="0" applyNumberFormat="1" applyFont="1"/>
    <xf numFmtId="0" fontId="23" fillId="0" borderId="0" xfId="0" applyFont="1"/>
    <xf numFmtId="0" fontId="10" fillId="0" borderId="22" xfId="0" applyFont="1" applyBorder="1" applyAlignment="1">
      <alignment horizontal="center" vertical="center" wrapText="1"/>
    </xf>
    <xf numFmtId="0" fontId="37" fillId="5" borderId="2" xfId="0" applyFont="1" applyFill="1" applyBorder="1" applyAlignment="1">
      <alignment horizontal="center"/>
    </xf>
    <xf numFmtId="0" fontId="37" fillId="5" borderId="2" xfId="0" applyFont="1" applyFill="1" applyBorder="1" applyAlignment="1">
      <alignment horizontal="center" wrapText="1"/>
    </xf>
    <xf numFmtId="0" fontId="22" fillId="0" borderId="0" xfId="0" applyFont="1"/>
    <xf numFmtId="0" fontId="22" fillId="0" borderId="0" xfId="0" applyFont="1" applyAlignment="1">
      <alignment horizontal="center"/>
    </xf>
    <xf numFmtId="43" fontId="22" fillId="0" borderId="0" xfId="1" applyFont="1"/>
    <xf numFmtId="4" fontId="22" fillId="0" borderId="0" xfId="1" applyNumberFormat="1" applyFont="1" applyAlignment="1">
      <alignment horizontal="right"/>
    </xf>
    <xf numFmtId="9" fontId="22" fillId="0" borderId="0" xfId="11" applyFont="1" applyAlignment="1">
      <alignment horizontal="right"/>
    </xf>
    <xf numFmtId="49" fontId="22" fillId="0" borderId="0" xfId="2" applyNumberFormat="1" applyFont="1" applyAlignment="1">
      <alignment horizontal="center"/>
    </xf>
    <xf numFmtId="0" fontId="6" fillId="0" borderId="0" xfId="0" applyFont="1"/>
    <xf numFmtId="43" fontId="38" fillId="0" borderId="0" xfId="1" applyFont="1" applyFill="1" applyBorder="1" applyAlignment="1">
      <alignment horizontal="center"/>
    </xf>
    <xf numFmtId="0" fontId="38" fillId="0" borderId="0" xfId="0" applyFont="1"/>
    <xf numFmtId="4" fontId="38" fillId="0" borderId="0" xfId="2" applyNumberFormat="1" applyFont="1" applyFill="1" applyBorder="1"/>
    <xf numFmtId="4" fontId="38" fillId="0" borderId="0" xfId="2" applyNumberFormat="1" applyFont="1" applyFill="1" applyBorder="1" applyAlignment="1">
      <alignment horizontal="right"/>
    </xf>
    <xf numFmtId="9" fontId="20" fillId="0" borderId="0" xfId="11" applyFont="1" applyFill="1"/>
    <xf numFmtId="49" fontId="38" fillId="0" borderId="0" xfId="2" applyNumberFormat="1" applyFont="1" applyFill="1" applyBorder="1" applyAlignment="1">
      <alignment horizontal="center"/>
    </xf>
    <xf numFmtId="9" fontId="22" fillId="0" borderId="0" xfId="11" applyFont="1" applyFill="1" applyAlignment="1">
      <alignment vertical="center"/>
    </xf>
    <xf numFmtId="43" fontId="6" fillId="0" borderId="23" xfId="1" applyFont="1" applyFill="1" applyBorder="1" applyAlignment="1">
      <alignment horizontal="right"/>
    </xf>
    <xf numFmtId="9" fontId="20" fillId="0" borderId="0" xfId="1" applyNumberFormat="1" applyFont="1" applyFill="1" applyBorder="1"/>
    <xf numFmtId="4" fontId="20" fillId="0" borderId="0" xfId="1" applyNumberFormat="1" applyFont="1" applyFill="1" applyBorder="1" applyAlignment="1">
      <alignment horizontal="right"/>
    </xf>
    <xf numFmtId="10" fontId="6" fillId="0" borderId="0" xfId="11" applyNumberFormat="1" applyFont="1" applyFill="1" applyAlignment="1">
      <alignment horizontal="right"/>
    </xf>
    <xf numFmtId="0" fontId="20" fillId="0" borderId="0" xfId="0" applyFont="1" applyAlignment="1">
      <alignment horizontal="center"/>
    </xf>
    <xf numFmtId="10" fontId="22" fillId="0" borderId="0" xfId="11" applyNumberFormat="1" applyFont="1" applyFill="1" applyBorder="1" applyAlignment="1">
      <alignment horizontal="right"/>
    </xf>
    <xf numFmtId="170" fontId="24" fillId="0" borderId="0" xfId="1" applyNumberFormat="1" applyFont="1" applyFill="1"/>
    <xf numFmtId="0" fontId="22" fillId="0" borderId="0" xfId="11" applyNumberFormat="1" applyFont="1" applyFill="1" applyAlignment="1">
      <alignment vertical="center"/>
    </xf>
    <xf numFmtId="2" fontId="20" fillId="0" borderId="0" xfId="0" applyNumberFormat="1" applyFont="1" applyAlignment="1">
      <alignment horizontal="center"/>
    </xf>
    <xf numFmtId="0" fontId="39" fillId="0" borderId="0" xfId="0" applyFont="1" applyAlignment="1">
      <alignment horizontal="right"/>
    </xf>
    <xf numFmtId="10" fontId="22" fillId="0" borderId="0" xfId="11" applyNumberFormat="1" applyFont="1" applyFill="1"/>
    <xf numFmtId="0" fontId="6" fillId="4" borderId="8" xfId="0" applyFont="1" applyFill="1" applyBorder="1"/>
    <xf numFmtId="0" fontId="6" fillId="0" borderId="24" xfId="0" applyFont="1" applyBorder="1" applyAlignment="1">
      <alignment horizontal="right"/>
    </xf>
    <xf numFmtId="10" fontId="21" fillId="0" borderId="0" xfId="11" applyNumberFormat="1" applyFont="1" applyFill="1" applyBorder="1"/>
    <xf numFmtId="43" fontId="22" fillId="10" borderId="0" xfId="1" applyFont="1" applyFill="1" applyBorder="1" applyAlignment="1">
      <alignment horizontal="right"/>
    </xf>
    <xf numFmtId="10" fontId="22" fillId="0" borderId="0" xfId="11" applyNumberFormat="1" applyFont="1" applyFill="1" applyAlignment="1">
      <alignment vertical="center"/>
    </xf>
    <xf numFmtId="9" fontId="20" fillId="0" borderId="0" xfId="11" applyFont="1" applyFill="1" applyAlignment="1">
      <alignment horizontal="center"/>
    </xf>
    <xf numFmtId="2" fontId="41" fillId="0" borderId="0" xfId="0" applyNumberFormat="1" applyFont="1" applyAlignment="1">
      <alignment horizontal="center"/>
    </xf>
    <xf numFmtId="10" fontId="43" fillId="0" borderId="0" xfId="11" applyNumberFormat="1" applyFont="1" applyFill="1" applyAlignment="1">
      <alignment horizontal="right"/>
    </xf>
    <xf numFmtId="3" fontId="22" fillId="3" borderId="20" xfId="0" applyNumberFormat="1" applyFont="1" applyFill="1" applyBorder="1" applyAlignment="1">
      <alignment horizontal="center"/>
    </xf>
    <xf numFmtId="10" fontId="21" fillId="0" borderId="0" xfId="11" applyNumberFormat="1" applyFont="1" applyFill="1" applyAlignment="1">
      <alignment horizontal="right"/>
    </xf>
    <xf numFmtId="1" fontId="21" fillId="0" borderId="0" xfId="0" applyNumberFormat="1" applyFont="1" applyAlignment="1">
      <alignment horizontal="center"/>
    </xf>
    <xf numFmtId="165" fontId="24" fillId="0" borderId="0" xfId="0" applyNumberFormat="1" applyFont="1" applyAlignment="1">
      <alignment horizontal="right"/>
    </xf>
    <xf numFmtId="10" fontId="21" fillId="0" borderId="0" xfId="11" applyNumberFormat="1" applyFont="1" applyFill="1"/>
    <xf numFmtId="0" fontId="6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10" fontId="44" fillId="0" borderId="0" xfId="11" applyNumberFormat="1" applyFont="1" applyFill="1"/>
    <xf numFmtId="0" fontId="45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46" fillId="0" borderId="0" xfId="0" applyFont="1"/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10" fontId="8" fillId="0" borderId="0" xfId="11" applyNumberFormat="1" applyFont="1" applyFill="1" applyAlignment="1">
      <alignment horizontal="right" vertical="center"/>
    </xf>
    <xf numFmtId="4" fontId="16" fillId="0" borderId="0" xfId="2" applyNumberFormat="1" applyFont="1" applyFill="1" applyBorder="1" applyAlignment="1">
      <alignment horizontal="center" vertical="center"/>
    </xf>
    <xf numFmtId="4" fontId="8" fillId="0" borderId="0" xfId="2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/>
    <xf numFmtId="43" fontId="8" fillId="0" borderId="0" xfId="1" applyFont="1" applyAlignment="1">
      <alignment vertical="top"/>
    </xf>
    <xf numFmtId="4" fontId="8" fillId="0" borderId="0" xfId="1" applyNumberFormat="1" applyFont="1" applyAlignment="1">
      <alignment vertical="top"/>
    </xf>
    <xf numFmtId="10" fontId="8" fillId="0" borderId="0" xfId="11" applyNumberFormat="1" applyFont="1" applyFill="1" applyAlignment="1">
      <alignment horizontal="right" vertical="top"/>
    </xf>
    <xf numFmtId="49" fontId="8" fillId="0" borderId="0" xfId="2" applyNumberFormat="1" applyFont="1" applyAlignment="1">
      <alignment horizontal="center"/>
    </xf>
    <xf numFmtId="0" fontId="8" fillId="12" borderId="20" xfId="0" applyFont="1" applyFill="1" applyBorder="1" applyAlignment="1">
      <alignment horizontal="center" vertical="center"/>
    </xf>
    <xf numFmtId="9" fontId="8" fillId="0" borderId="0" xfId="11" applyFont="1" applyFill="1" applyAlignment="1">
      <alignment horizontal="right" vertical="center"/>
    </xf>
    <xf numFmtId="0" fontId="8" fillId="2" borderId="0" xfId="0" quotePrefix="1" applyFont="1" applyFill="1" applyAlignment="1">
      <alignment horizontal="center"/>
    </xf>
    <xf numFmtId="43" fontId="47" fillId="0" borderId="0" xfId="1" applyFont="1" applyFill="1" applyBorder="1" applyAlignment="1">
      <alignment horizontal="center"/>
    </xf>
    <xf numFmtId="0" fontId="47" fillId="0" borderId="0" xfId="0" applyFont="1"/>
    <xf numFmtId="4" fontId="47" fillId="0" borderId="0" xfId="2" applyNumberFormat="1" applyFont="1" applyFill="1" applyBorder="1"/>
    <xf numFmtId="10" fontId="47" fillId="0" borderId="0" xfId="11" applyNumberFormat="1" applyFont="1" applyFill="1" applyAlignment="1">
      <alignment vertical="center"/>
    </xf>
    <xf numFmtId="49" fontId="47" fillId="0" borderId="0" xfId="2" applyNumberFormat="1" applyFont="1" applyFill="1" applyBorder="1" applyAlignment="1">
      <alignment horizontal="center"/>
    </xf>
    <xf numFmtId="49" fontId="37" fillId="0" borderId="0" xfId="2" applyNumberFormat="1" applyFont="1" applyFill="1" applyBorder="1" applyAlignment="1">
      <alignment horizontal="center" vertical="center"/>
    </xf>
    <xf numFmtId="43" fontId="8" fillId="0" borderId="0" xfId="1" applyFont="1" applyFill="1" applyBorder="1" applyAlignment="1">
      <alignment horizontal="center"/>
    </xf>
    <xf numFmtId="43" fontId="8" fillId="0" borderId="23" xfId="1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right"/>
    </xf>
    <xf numFmtId="43" fontId="33" fillId="0" borderId="0" xfId="1" applyFont="1" applyFill="1" applyBorder="1" applyAlignment="1">
      <alignment horizontal="center"/>
    </xf>
    <xf numFmtId="0" fontId="29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9" fontId="18" fillId="0" borderId="0" xfId="1" applyNumberFormat="1" applyFont="1" applyFill="1" applyBorder="1" applyAlignment="1">
      <alignment vertical="top"/>
    </xf>
    <xf numFmtId="4" fontId="18" fillId="0" borderId="0" xfId="1" applyNumberFormat="1" applyFont="1" applyFill="1" applyBorder="1" applyAlignment="1">
      <alignment horizontal="center"/>
    </xf>
    <xf numFmtId="10" fontId="8" fillId="0" borderId="0" xfId="11" applyNumberFormat="1" applyFont="1" applyFill="1" applyBorder="1" applyAlignment="1">
      <alignment horizontal="right" vertical="top"/>
    </xf>
    <xf numFmtId="0" fontId="4" fillId="0" borderId="25" xfId="0" applyFont="1" applyBorder="1"/>
    <xf numFmtId="10" fontId="25" fillId="0" borderId="0" xfId="11" applyNumberFormat="1" applyFont="1" applyFill="1" applyBorder="1" applyAlignment="1">
      <alignment horizontal="right" vertical="top"/>
    </xf>
    <xf numFmtId="0" fontId="18" fillId="0" borderId="0" xfId="0" applyFont="1" applyAlignment="1">
      <alignment horizontal="center"/>
    </xf>
    <xf numFmtId="10" fontId="8" fillId="0" borderId="0" xfId="11" applyNumberFormat="1" applyFont="1" applyFill="1" applyAlignment="1">
      <alignment horizontal="right"/>
    </xf>
    <xf numFmtId="170" fontId="30" fillId="0" borderId="0" xfId="1" applyNumberFormat="1" applyFont="1" applyFill="1" applyAlignment="1">
      <alignment vertical="top"/>
    </xf>
    <xf numFmtId="43" fontId="8" fillId="3" borderId="20" xfId="1" applyFont="1" applyFill="1" applyBorder="1" applyAlignment="1">
      <alignment horizontal="center"/>
    </xf>
    <xf numFmtId="0" fontId="49" fillId="0" borderId="0" xfId="0" applyFont="1"/>
    <xf numFmtId="0" fontId="50" fillId="0" borderId="0" xfId="0" applyFont="1" applyAlignment="1">
      <alignment horizontal="right"/>
    </xf>
    <xf numFmtId="10" fontId="30" fillId="0" borderId="0" xfId="11" applyNumberFormat="1" applyFont="1" applyFill="1" applyAlignment="1">
      <alignment horizontal="right"/>
    </xf>
    <xf numFmtId="2" fontId="51" fillId="0" borderId="0" xfId="0" applyNumberFormat="1" applyFont="1" applyAlignment="1">
      <alignment horizontal="center"/>
    </xf>
    <xf numFmtId="10" fontId="52" fillId="0" borderId="0" xfId="11" applyNumberFormat="1" applyFont="1" applyFill="1" applyAlignment="1">
      <alignment horizontal="right"/>
    </xf>
    <xf numFmtId="2" fontId="18" fillId="0" borderId="0" xfId="0" applyNumberFormat="1" applyFont="1" applyAlignment="1">
      <alignment horizontal="center"/>
    </xf>
    <xf numFmtId="43" fontId="23" fillId="0" borderId="0" xfId="1" applyFont="1" applyFill="1" applyBorder="1"/>
    <xf numFmtId="10" fontId="33" fillId="0" borderId="0" xfId="11" applyNumberFormat="1" applyFont="1" applyFill="1" applyAlignment="1">
      <alignment horizontal="right"/>
    </xf>
    <xf numFmtId="3" fontId="8" fillId="8" borderId="20" xfId="0" applyNumberFormat="1" applyFont="1" applyFill="1" applyBorder="1" applyAlignment="1">
      <alignment horizontal="center"/>
    </xf>
    <xf numFmtId="0" fontId="23" fillId="4" borderId="8" xfId="0" applyFont="1" applyFill="1" applyBorder="1"/>
    <xf numFmtId="3" fontId="30" fillId="9" borderId="20" xfId="0" applyNumberFormat="1" applyFont="1" applyFill="1" applyBorder="1" applyAlignment="1">
      <alignment horizontal="center"/>
    </xf>
    <xf numFmtId="3" fontId="8" fillId="0" borderId="8" xfId="0" applyNumberFormat="1" applyFont="1" applyBorder="1" applyAlignment="1">
      <alignment horizontal="center"/>
    </xf>
    <xf numFmtId="10" fontId="42" fillId="13" borderId="0" xfId="11" applyNumberFormat="1" applyFont="1" applyFill="1" applyAlignment="1">
      <alignment horizontal="right"/>
    </xf>
    <xf numFmtId="43" fontId="6" fillId="13" borderId="0" xfId="1" applyFont="1" applyFill="1" applyBorder="1" applyAlignment="1">
      <alignment horizontal="right"/>
    </xf>
    <xf numFmtId="10" fontId="8" fillId="0" borderId="0" xfId="10" applyNumberFormat="1" applyFont="1" applyFill="1" applyAlignment="1">
      <alignment vertical="center"/>
    </xf>
    <xf numFmtId="10" fontId="11" fillId="0" borderId="0" xfId="10" applyNumberFormat="1" applyFont="1" applyFill="1" applyAlignment="1">
      <alignment vertical="center"/>
    </xf>
    <xf numFmtId="10" fontId="11" fillId="4" borderId="18" xfId="10" applyNumberFormat="1" applyFont="1" applyFill="1" applyBorder="1" applyAlignment="1">
      <alignment vertical="center"/>
    </xf>
    <xf numFmtId="10" fontId="11" fillId="4" borderId="19" xfId="10" applyNumberFormat="1" applyFont="1" applyFill="1" applyBorder="1" applyAlignment="1">
      <alignment vertical="center"/>
    </xf>
    <xf numFmtId="9" fontId="54" fillId="0" borderId="0" xfId="10" applyFont="1" applyFill="1" applyAlignment="1">
      <alignment horizontal="center"/>
    </xf>
    <xf numFmtId="10" fontId="24" fillId="0" borderId="0" xfId="10" applyNumberFormat="1" applyFont="1" applyFill="1" applyAlignment="1">
      <alignment horizontal="right"/>
    </xf>
    <xf numFmtId="10" fontId="4" fillId="0" borderId="0" xfId="10" applyNumberFormat="1" applyFont="1" applyFill="1" applyAlignment="1">
      <alignment vertical="center"/>
    </xf>
    <xf numFmtId="10" fontId="11" fillId="0" borderId="0" xfId="10" applyNumberFormat="1" applyFont="1" applyFill="1" applyBorder="1" applyAlignment="1">
      <alignment vertical="center"/>
    </xf>
    <xf numFmtId="10" fontId="25" fillId="0" borderId="0" xfId="10" applyNumberFormat="1" applyFont="1" applyFill="1" applyAlignment="1">
      <alignment vertical="center"/>
    </xf>
    <xf numFmtId="10" fontId="25" fillId="0" borderId="0" xfId="10" applyNumberFormat="1" applyFont="1" applyFill="1" applyBorder="1" applyAlignment="1">
      <alignment vertical="center"/>
    </xf>
    <xf numFmtId="10" fontId="23" fillId="0" borderId="0" xfId="10" applyNumberFormat="1" applyFont="1"/>
    <xf numFmtId="2" fontId="16" fillId="14" borderId="0" xfId="0" applyNumberFormat="1" applyFont="1" applyFill="1" applyAlignment="1">
      <alignment horizontal="center"/>
    </xf>
    <xf numFmtId="0" fontId="7" fillId="2" borderId="1" xfId="8" applyFont="1" applyFill="1" applyBorder="1" applyAlignment="1">
      <alignment horizontal="right"/>
    </xf>
    <xf numFmtId="0" fontId="57" fillId="2" borderId="5" xfId="8" applyFont="1" applyFill="1" applyBorder="1" applyAlignment="1">
      <alignment horizontal="center"/>
    </xf>
    <xf numFmtId="0" fontId="7" fillId="2" borderId="2" xfId="8" applyFont="1" applyFill="1" applyBorder="1" applyAlignment="1">
      <alignment horizontal="right"/>
    </xf>
    <xf numFmtId="49" fontId="57" fillId="2" borderId="4" xfId="8" applyNumberFormat="1" applyFont="1" applyFill="1" applyBorder="1" applyAlignment="1">
      <alignment horizontal="center"/>
    </xf>
    <xf numFmtId="0" fontId="57" fillId="2" borderId="3" xfId="8" applyFont="1" applyFill="1" applyBorder="1" applyAlignment="1">
      <alignment horizontal="right"/>
    </xf>
    <xf numFmtId="0" fontId="57" fillId="2" borderId="2" xfId="8" applyFont="1" applyFill="1" applyBorder="1" applyAlignment="1">
      <alignment horizontal="right"/>
    </xf>
    <xf numFmtId="14" fontId="59" fillId="2" borderId="0" xfId="9" applyNumberFormat="1" applyFont="1" applyFill="1" applyAlignment="1">
      <alignment horizontal="center" vertical="center" wrapText="1"/>
    </xf>
    <xf numFmtId="0" fontId="7" fillId="3" borderId="5" xfId="6" applyFont="1" applyFill="1" applyBorder="1" applyAlignment="1">
      <alignment horizontal="center" vertical="center" wrapText="1"/>
    </xf>
    <xf numFmtId="1" fontId="7" fillId="3" borderId="12" xfId="6" applyNumberFormat="1" applyFont="1" applyFill="1" applyBorder="1" applyAlignment="1">
      <alignment horizontal="center"/>
    </xf>
    <xf numFmtId="1" fontId="7" fillId="3" borderId="12" xfId="6" applyNumberFormat="1" applyFont="1" applyFill="1" applyBorder="1" applyAlignment="1">
      <alignment horizontal="center" wrapText="1"/>
    </xf>
    <xf numFmtId="0" fontId="7" fillId="3" borderId="50" xfId="6" applyFont="1" applyFill="1" applyBorder="1" applyAlignment="1">
      <alignment horizontal="center"/>
    </xf>
    <xf numFmtId="0" fontId="34" fillId="0" borderId="0" xfId="0" applyFont="1" applyAlignment="1">
      <alignment horizontal="right"/>
    </xf>
    <xf numFmtId="0" fontId="8" fillId="0" borderId="24" xfId="0" applyFont="1" applyBorder="1" applyAlignment="1">
      <alignment horizontal="right" vertical="center"/>
    </xf>
    <xf numFmtId="0" fontId="8" fillId="0" borderId="28" xfId="0" applyFont="1" applyBorder="1" applyAlignment="1">
      <alignment horizontal="right" vertical="center"/>
    </xf>
    <xf numFmtId="0" fontId="8" fillId="8" borderId="9" xfId="0" applyFont="1" applyFill="1" applyBorder="1" applyAlignment="1">
      <alignment horizontal="right" vertical="center"/>
    </xf>
    <xf numFmtId="0" fontId="8" fillId="8" borderId="8" xfId="0" applyFont="1" applyFill="1" applyBorder="1" applyAlignment="1">
      <alignment horizontal="right" vertical="center"/>
    </xf>
    <xf numFmtId="0" fontId="8" fillId="8" borderId="7" xfId="0" applyFont="1" applyFill="1" applyBorder="1" applyAlignment="1">
      <alignment horizontal="right" vertical="center"/>
    </xf>
    <xf numFmtId="4" fontId="31" fillId="0" borderId="0" xfId="2" applyNumberFormat="1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33" fillId="0" borderId="9" xfId="0" applyFont="1" applyBorder="1" applyAlignment="1">
      <alignment horizontal="right" vertical="center"/>
    </xf>
    <xf numFmtId="0" fontId="33" fillId="0" borderId="8" xfId="0" applyFont="1" applyBorder="1" applyAlignment="1">
      <alignment horizontal="right" vertical="center"/>
    </xf>
    <xf numFmtId="0" fontId="33" fillId="0" borderId="7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25" fillId="0" borderId="2" xfId="0" applyFont="1" applyBorder="1" applyAlignment="1">
      <alignment horizontal="right" vertical="center"/>
    </xf>
    <xf numFmtId="0" fontId="26" fillId="0" borderId="11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10" xfId="0" applyFont="1" applyBorder="1" applyAlignment="1">
      <alignment horizontal="right"/>
    </xf>
    <xf numFmtId="0" fontId="24" fillId="0" borderId="24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2" fillId="4" borderId="9" xfId="0" applyFont="1" applyFill="1" applyBorder="1" applyAlignment="1">
      <alignment horizontal="right"/>
    </xf>
    <xf numFmtId="0" fontId="22" fillId="4" borderId="8" xfId="0" applyFont="1" applyFill="1" applyBorder="1" applyAlignment="1">
      <alignment horizontal="right"/>
    </xf>
    <xf numFmtId="0" fontId="8" fillId="0" borderId="0" xfId="0" applyFont="1" applyAlignment="1">
      <alignment horizontal="center" vertical="center"/>
    </xf>
    <xf numFmtId="0" fontId="19" fillId="0" borderId="29" xfId="0" applyFont="1" applyBorder="1" applyAlignment="1">
      <alignment horizontal="right"/>
    </xf>
    <xf numFmtId="0" fontId="19" fillId="0" borderId="25" xfId="0" applyFont="1" applyBorder="1" applyAlignment="1">
      <alignment horizontal="right"/>
    </xf>
    <xf numFmtId="0" fontId="13" fillId="0" borderId="2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right" vertical="center" wrapText="1"/>
    </xf>
    <xf numFmtId="0" fontId="57" fillId="2" borderId="36" xfId="8" applyFont="1" applyFill="1" applyBorder="1" applyAlignment="1">
      <alignment horizontal="left"/>
    </xf>
    <xf numFmtId="0" fontId="57" fillId="2" borderId="37" xfId="8" applyFont="1" applyFill="1" applyBorder="1" applyAlignment="1">
      <alignment horizontal="left"/>
    </xf>
    <xf numFmtId="0" fontId="57" fillId="2" borderId="38" xfId="8" applyFont="1" applyFill="1" applyBorder="1" applyAlignment="1">
      <alignment horizontal="left"/>
    </xf>
    <xf numFmtId="0" fontId="58" fillId="2" borderId="0" xfId="9" applyFont="1" applyFill="1" applyAlignment="1">
      <alignment horizontal="right"/>
    </xf>
    <xf numFmtId="0" fontId="59" fillId="2" borderId="24" xfId="9" applyFont="1" applyFill="1" applyBorder="1" applyAlignment="1">
      <alignment horizontal="center"/>
    </xf>
    <xf numFmtId="0" fontId="58" fillId="2" borderId="0" xfId="9" applyFont="1" applyFill="1"/>
    <xf numFmtId="0" fontId="7" fillId="3" borderId="39" xfId="6" applyFont="1" applyFill="1" applyBorder="1" applyAlignment="1">
      <alignment horizontal="center" vertical="center"/>
    </xf>
    <xf numFmtId="0" fontId="7" fillId="3" borderId="45" xfId="6" applyFont="1" applyFill="1" applyBorder="1" applyAlignment="1">
      <alignment horizontal="center" vertical="center"/>
    </xf>
    <xf numFmtId="0" fontId="7" fillId="3" borderId="39" xfId="6" applyFont="1" applyFill="1" applyBorder="1" applyAlignment="1">
      <alignment horizontal="center" vertical="center" wrapText="1"/>
    </xf>
    <xf numFmtId="0" fontId="7" fillId="3" borderId="45" xfId="6" applyFont="1" applyFill="1" applyBorder="1" applyAlignment="1">
      <alignment horizontal="center" vertical="center" wrapText="1"/>
    </xf>
    <xf numFmtId="0" fontId="7" fillId="3" borderId="1" xfId="6" applyFont="1" applyFill="1" applyBorder="1" applyAlignment="1">
      <alignment horizontal="center" vertical="center"/>
    </xf>
    <xf numFmtId="0" fontId="7" fillId="3" borderId="12" xfId="6" applyFont="1" applyFill="1" applyBorder="1" applyAlignment="1">
      <alignment horizontal="center" vertical="center"/>
    </xf>
    <xf numFmtId="14" fontId="57" fillId="2" borderId="13" xfId="8" applyNumberFormat="1" applyFont="1" applyFill="1" applyBorder="1" applyAlignment="1">
      <alignment horizontal="center" vertical="center" wrapText="1"/>
    </xf>
    <xf numFmtId="14" fontId="57" fillId="2" borderId="26" xfId="8" applyNumberFormat="1" applyFont="1" applyFill="1" applyBorder="1" applyAlignment="1">
      <alignment horizontal="center" vertical="center" wrapText="1"/>
    </xf>
    <xf numFmtId="14" fontId="57" fillId="2" borderId="14" xfId="8" applyNumberFormat="1" applyFont="1" applyFill="1" applyBorder="1" applyAlignment="1">
      <alignment horizontal="center" vertical="center" wrapText="1"/>
    </xf>
    <xf numFmtId="0" fontId="57" fillId="2" borderId="33" xfId="8" applyFont="1" applyFill="1" applyBorder="1" applyAlignment="1">
      <alignment horizontal="left"/>
    </xf>
    <xf numFmtId="0" fontId="57" fillId="2" borderId="34" xfId="8" applyFont="1" applyFill="1" applyBorder="1" applyAlignment="1">
      <alignment horizontal="left"/>
    </xf>
    <xf numFmtId="0" fontId="57" fillId="2" borderId="35" xfId="8" applyFont="1" applyFill="1" applyBorder="1" applyAlignment="1">
      <alignment horizontal="left"/>
    </xf>
    <xf numFmtId="0" fontId="57" fillId="2" borderId="29" xfId="8" applyFont="1" applyFill="1" applyBorder="1" applyAlignment="1">
      <alignment horizontal="center"/>
    </xf>
    <xf numFmtId="0" fontId="57" fillId="2" borderId="25" xfId="8" applyFont="1" applyFill="1" applyBorder="1" applyAlignment="1">
      <alignment horizontal="center"/>
    </xf>
    <xf numFmtId="0" fontId="57" fillId="2" borderId="11" xfId="8" applyFont="1" applyFill="1" applyBorder="1" applyAlignment="1">
      <alignment horizontal="center"/>
    </xf>
    <xf numFmtId="0" fontId="57" fillId="2" borderId="0" xfId="8" applyFont="1" applyFill="1" applyAlignment="1">
      <alignment horizontal="center"/>
    </xf>
    <xf numFmtId="0" fontId="57" fillId="2" borderId="30" xfId="8" applyFont="1" applyFill="1" applyBorder="1" applyAlignment="1">
      <alignment horizontal="center"/>
    </xf>
    <xf numFmtId="0" fontId="57" fillId="2" borderId="22" xfId="8" applyFont="1" applyFill="1" applyBorder="1" applyAlignment="1">
      <alignment horizontal="center"/>
    </xf>
    <xf numFmtId="0" fontId="7" fillId="2" borderId="1" xfId="8" applyFont="1" applyFill="1" applyBorder="1" applyAlignment="1">
      <alignment horizontal="center"/>
    </xf>
    <xf numFmtId="0" fontId="7" fillId="2" borderId="47" xfId="8" applyFont="1" applyFill="1" applyBorder="1" applyAlignment="1">
      <alignment horizontal="center"/>
    </xf>
    <xf numFmtId="0" fontId="7" fillId="2" borderId="44" xfId="8" applyFont="1" applyFill="1" applyBorder="1" applyAlignment="1">
      <alignment horizontal="center"/>
    </xf>
    <xf numFmtId="0" fontId="7" fillId="2" borderId="46" xfId="8" applyFont="1" applyFill="1" applyBorder="1" applyAlignment="1">
      <alignment horizontal="center"/>
    </xf>
    <xf numFmtId="0" fontId="7" fillId="2" borderId="27" xfId="8" applyFont="1" applyFill="1" applyBorder="1" applyAlignment="1">
      <alignment horizontal="right" vertical="top" wrapText="1"/>
    </xf>
    <xf numFmtId="0" fontId="7" fillId="2" borderId="31" xfId="8" applyFont="1" applyFill="1" applyBorder="1" applyAlignment="1">
      <alignment horizontal="right" vertical="top" wrapText="1"/>
    </xf>
    <xf numFmtId="0" fontId="7" fillId="2" borderId="32" xfId="8" applyFont="1" applyFill="1" applyBorder="1" applyAlignment="1">
      <alignment horizontal="right" vertical="top" wrapText="1"/>
    </xf>
    <xf numFmtId="0" fontId="50" fillId="0" borderId="0" xfId="0" applyFont="1" applyAlignment="1">
      <alignment horizontal="right"/>
    </xf>
    <xf numFmtId="0" fontId="3" fillId="4" borderId="9" xfId="0" applyFont="1" applyFill="1" applyBorder="1" applyAlignment="1">
      <alignment horizontal="right"/>
    </xf>
    <xf numFmtId="0" fontId="3" fillId="4" borderId="8" xfId="0" applyFont="1" applyFill="1" applyBorder="1" applyAlignment="1">
      <alignment horizontal="right"/>
    </xf>
    <xf numFmtId="0" fontId="33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25" fillId="0" borderId="10" xfId="0" applyFont="1" applyBorder="1" applyAlignment="1">
      <alignment horizontal="right"/>
    </xf>
    <xf numFmtId="10" fontId="55" fillId="15" borderId="18" xfId="11" applyNumberFormat="1" applyFont="1" applyFill="1" applyBorder="1" applyAlignment="1">
      <alignment horizontal="center" vertical="center" wrapText="1"/>
    </xf>
    <xf numFmtId="10" fontId="55" fillId="15" borderId="21" xfId="11" applyNumberFormat="1" applyFont="1" applyFill="1" applyBorder="1" applyAlignment="1">
      <alignment horizontal="center" vertical="center"/>
    </xf>
    <xf numFmtId="43" fontId="45" fillId="0" borderId="18" xfId="1" applyFont="1" applyFill="1" applyBorder="1" applyAlignment="1">
      <alignment horizontal="center" vertical="center"/>
    </xf>
    <xf numFmtId="43" fontId="45" fillId="0" borderId="21" xfId="1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/>
    </xf>
    <xf numFmtId="0" fontId="36" fillId="0" borderId="8" xfId="0" applyFont="1" applyBorder="1" applyAlignment="1">
      <alignment horizontal="center"/>
    </xf>
    <xf numFmtId="0" fontId="36" fillId="0" borderId="7" xfId="0" applyFont="1" applyBorder="1" applyAlignment="1">
      <alignment horizontal="center"/>
    </xf>
    <xf numFmtId="0" fontId="36" fillId="0" borderId="4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 wrapText="1"/>
    </xf>
    <xf numFmtId="0" fontId="48" fillId="0" borderId="0" xfId="0" applyFont="1" applyAlignment="1">
      <alignment horizontal="right"/>
    </xf>
    <xf numFmtId="0" fontId="40" fillId="0" borderId="25" xfId="0" applyFont="1" applyBorder="1" applyAlignment="1">
      <alignment horizontal="right"/>
    </xf>
    <xf numFmtId="0" fontId="40" fillId="0" borderId="0" xfId="0" applyFont="1" applyAlignment="1">
      <alignment horizontal="right"/>
    </xf>
    <xf numFmtId="0" fontId="10" fillId="4" borderId="9" xfId="0" applyFont="1" applyFill="1" applyBorder="1" applyAlignment="1">
      <alignment horizontal="right"/>
    </xf>
    <xf numFmtId="0" fontId="10" fillId="4" borderId="8" xfId="0" applyFont="1" applyFill="1" applyBorder="1" applyAlignment="1">
      <alignment horizontal="right"/>
    </xf>
    <xf numFmtId="0" fontId="56" fillId="0" borderId="0" xfId="0" applyFont="1" applyAlignment="1">
      <alignment horizontal="right"/>
    </xf>
    <xf numFmtId="0" fontId="40" fillId="13" borderId="0" xfId="0" applyFont="1" applyFill="1" applyAlignment="1">
      <alignment horizontal="right"/>
    </xf>
    <xf numFmtId="0" fontId="40" fillId="0" borderId="24" xfId="0" applyFont="1" applyBorder="1" applyAlignment="1">
      <alignment horizontal="right"/>
    </xf>
    <xf numFmtId="0" fontId="6" fillId="4" borderId="9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21" fillId="0" borderId="0" xfId="0" applyFont="1" applyAlignment="1">
      <alignment horizontal="right"/>
    </xf>
    <xf numFmtId="0" fontId="21" fillId="0" borderId="10" xfId="0" applyFont="1" applyBorder="1" applyAlignment="1">
      <alignment horizontal="right"/>
    </xf>
    <xf numFmtId="0" fontId="10" fillId="0" borderId="49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right" vertical="center" wrapText="1"/>
    </xf>
    <xf numFmtId="0" fontId="61" fillId="0" borderId="51" xfId="6" applyFont="1" applyBorder="1" applyAlignment="1">
      <alignment horizontal="center" vertical="center"/>
    </xf>
    <xf numFmtId="0" fontId="61" fillId="0" borderId="38" xfId="6" applyFont="1" applyBorder="1" applyAlignment="1">
      <alignment horizontal="center" vertical="center"/>
    </xf>
    <xf numFmtId="0" fontId="62" fillId="0" borderId="2" xfId="6" applyFont="1" applyBorder="1" applyAlignment="1">
      <alignment vertical="center"/>
    </xf>
    <xf numFmtId="0" fontId="61" fillId="0" borderId="2" xfId="6" applyFont="1" applyBorder="1" applyAlignment="1">
      <alignment horizontal="center" vertical="center"/>
    </xf>
    <xf numFmtId="1" fontId="61" fillId="0" borderId="2" xfId="6" applyNumberFormat="1" applyFont="1" applyBorder="1" applyAlignment="1">
      <alignment horizontal="center"/>
    </xf>
    <xf numFmtId="1" fontId="61" fillId="0" borderId="2" xfId="6" applyNumberFormat="1" applyFont="1" applyBorder="1" applyAlignment="1">
      <alignment horizontal="center" wrapText="1"/>
    </xf>
    <xf numFmtId="0" fontId="63" fillId="0" borderId="4" xfId="6" applyFont="1" applyBorder="1" applyAlignment="1">
      <alignment horizontal="center"/>
    </xf>
    <xf numFmtId="0" fontId="64" fillId="10" borderId="51" xfId="0" applyFont="1" applyFill="1" applyBorder="1" applyAlignment="1">
      <alignment horizontal="center"/>
    </xf>
    <xf numFmtId="0" fontId="64" fillId="10" borderId="2" xfId="0" applyFont="1" applyFill="1" applyBorder="1" applyAlignment="1">
      <alignment horizontal="center"/>
    </xf>
    <xf numFmtId="0" fontId="64" fillId="10" borderId="3" xfId="0" applyFont="1" applyFill="1" applyBorder="1"/>
    <xf numFmtId="0" fontId="63" fillId="10" borderId="38" xfId="0" applyFont="1" applyFill="1" applyBorder="1" applyAlignment="1">
      <alignment horizontal="center"/>
    </xf>
    <xf numFmtId="1" fontId="63" fillId="10" borderId="2" xfId="0" applyNumberFormat="1" applyFont="1" applyFill="1" applyBorder="1" applyAlignment="1">
      <alignment horizontal="center"/>
    </xf>
    <xf numFmtId="1" fontId="63" fillId="10" borderId="2" xfId="0" applyNumberFormat="1" applyFont="1" applyFill="1" applyBorder="1" applyAlignment="1">
      <alignment horizontal="center" wrapText="1"/>
    </xf>
    <xf numFmtId="0" fontId="63" fillId="0" borderId="3" xfId="0" applyFont="1" applyBorder="1" applyAlignment="1">
      <alignment horizontal="center" wrapText="1"/>
    </xf>
    <xf numFmtId="12" fontId="63" fillId="0" borderId="3" xfId="0" applyNumberFormat="1" applyFont="1" applyBorder="1" applyAlignment="1">
      <alignment horizontal="center"/>
    </xf>
    <xf numFmtId="0" fontId="64" fillId="10" borderId="38" xfId="0" applyFont="1" applyFill="1" applyBorder="1" applyAlignment="1">
      <alignment horizontal="center"/>
    </xf>
    <xf numFmtId="0" fontId="64" fillId="10" borderId="2" xfId="0" applyFont="1" applyFill="1" applyBorder="1"/>
    <xf numFmtId="1" fontId="63" fillId="10" borderId="3" xfId="0" applyNumberFormat="1" applyFont="1" applyFill="1" applyBorder="1" applyAlignment="1">
      <alignment horizontal="center"/>
    </xf>
    <xf numFmtId="1" fontId="63" fillId="10" borderId="3" xfId="0" applyNumberFormat="1" applyFont="1" applyFill="1" applyBorder="1" applyAlignment="1">
      <alignment horizontal="center" wrapText="1"/>
    </xf>
    <xf numFmtId="0" fontId="63" fillId="0" borderId="2" xfId="0" applyFont="1" applyBorder="1" applyAlignment="1">
      <alignment horizontal="center"/>
    </xf>
    <xf numFmtId="0" fontId="65" fillId="0" borderId="2" xfId="0" applyFont="1" applyBorder="1" applyAlignment="1">
      <alignment horizontal="center"/>
    </xf>
    <xf numFmtId="0" fontId="65" fillId="0" borderId="2" xfId="0" applyFont="1" applyBorder="1" applyAlignment="1">
      <alignment horizontal="center" vertical="center"/>
    </xf>
    <xf numFmtId="0" fontId="65" fillId="16" borderId="2" xfId="0" applyFont="1" applyFill="1" applyBorder="1"/>
    <xf numFmtId="0" fontId="63" fillId="0" borderId="2" xfId="0" applyFont="1" applyBorder="1" applyAlignment="1">
      <alignment horizontal="center" wrapText="1"/>
    </xf>
    <xf numFmtId="0" fontId="65" fillId="16" borderId="2" xfId="0" applyFont="1" applyFill="1" applyBorder="1" applyAlignment="1">
      <alignment horizontal="left" vertical="center"/>
    </xf>
    <xf numFmtId="0" fontId="63" fillId="0" borderId="2" xfId="0" applyFont="1" applyBorder="1"/>
    <xf numFmtId="16" fontId="63" fillId="0" borderId="38" xfId="0" applyNumberFormat="1" applyFont="1" applyBorder="1" applyAlignment="1">
      <alignment horizontal="center"/>
    </xf>
    <xf numFmtId="1" fontId="63" fillId="0" borderId="2" xfId="0" applyNumberFormat="1" applyFont="1" applyBorder="1" applyAlignment="1">
      <alignment horizontal="center"/>
    </xf>
    <xf numFmtId="1" fontId="63" fillId="0" borderId="2" xfId="0" applyNumberFormat="1" applyFont="1" applyBorder="1" applyAlignment="1">
      <alignment horizontal="center" wrapText="1"/>
    </xf>
    <xf numFmtId="49" fontId="63" fillId="0" borderId="51" xfId="6" applyNumberFormat="1" applyFont="1" applyBorder="1" applyAlignment="1">
      <alignment horizontal="center"/>
    </xf>
    <xf numFmtId="49" fontId="63" fillId="0" borderId="38" xfId="6" applyNumberFormat="1" applyFont="1" applyBorder="1" applyAlignment="1">
      <alignment horizontal="center"/>
    </xf>
    <xf numFmtId="0" fontId="61" fillId="10" borderId="2" xfId="6" applyFont="1" applyFill="1" applyBorder="1" applyAlignment="1">
      <alignment horizontal="left"/>
    </xf>
    <xf numFmtId="0" fontId="63" fillId="0" borderId="2" xfId="6" applyFont="1" applyBorder="1" applyAlignment="1">
      <alignment horizontal="center"/>
    </xf>
    <xf numFmtId="166" fontId="63" fillId="0" borderId="2" xfId="6" applyNumberFormat="1" applyFont="1" applyBorder="1" applyAlignment="1">
      <alignment horizontal="center"/>
    </xf>
    <xf numFmtId="1" fontId="63" fillId="0" borderId="2" xfId="6" applyNumberFormat="1" applyFont="1" applyBorder="1" applyAlignment="1">
      <alignment horizontal="center" wrapText="1"/>
    </xf>
    <xf numFmtId="0" fontId="63" fillId="0" borderId="0" xfId="0" applyFont="1"/>
    <xf numFmtId="16" fontId="63" fillId="10" borderId="2" xfId="0" applyNumberFormat="1" applyFont="1" applyFill="1" applyBorder="1" applyAlignment="1">
      <alignment horizontal="center"/>
    </xf>
    <xf numFmtId="0" fontId="63" fillId="2" borderId="2" xfId="0" applyFont="1" applyFill="1" applyBorder="1" applyAlignment="1">
      <alignment horizontal="center"/>
    </xf>
    <xf numFmtId="1" fontId="63" fillId="0" borderId="3" xfId="0" applyNumberFormat="1" applyFont="1" applyBorder="1" applyAlignment="1">
      <alignment horizontal="center" wrapText="1"/>
    </xf>
    <xf numFmtId="16" fontId="63" fillId="0" borderId="2" xfId="0" applyNumberFormat="1" applyFont="1" applyBorder="1" applyAlignment="1">
      <alignment horizontal="center"/>
    </xf>
    <xf numFmtId="1" fontId="63" fillId="0" borderId="3" xfId="0" applyNumberFormat="1" applyFont="1" applyBorder="1" applyAlignment="1">
      <alignment horizontal="center"/>
    </xf>
    <xf numFmtId="0" fontId="62" fillId="10" borderId="2" xfId="6" applyFont="1" applyFill="1" applyBorder="1" applyAlignment="1">
      <alignment vertical="center"/>
    </xf>
    <xf numFmtId="0" fontId="61" fillId="0" borderId="38" xfId="6" applyFont="1" applyBorder="1" applyAlignment="1">
      <alignment horizontal="center"/>
    </xf>
    <xf numFmtId="166" fontId="61" fillId="0" borderId="2" xfId="6" applyNumberFormat="1" applyFont="1" applyBorder="1" applyAlignment="1">
      <alignment horizontal="center"/>
    </xf>
    <xf numFmtId="49" fontId="63" fillId="0" borderId="2" xfId="6" applyNumberFormat="1" applyFont="1" applyBorder="1"/>
    <xf numFmtId="49" fontId="63" fillId="0" borderId="2" xfId="6" applyNumberFormat="1" applyFont="1" applyBorder="1" applyAlignment="1">
      <alignment horizontal="center"/>
    </xf>
    <xf numFmtId="1" fontId="63" fillId="0" borderId="2" xfId="6" applyNumberFormat="1" applyFont="1" applyBorder="1" applyAlignment="1">
      <alignment horizontal="center"/>
    </xf>
    <xf numFmtId="171" fontId="61" fillId="10" borderId="2" xfId="1" applyNumberFormat="1" applyFont="1" applyFill="1" applyBorder="1" applyAlignment="1">
      <alignment horizontal="center"/>
    </xf>
    <xf numFmtId="0" fontId="63" fillId="10" borderId="51" xfId="0" applyFont="1" applyFill="1" applyBorder="1" applyAlignment="1">
      <alignment horizontal="center"/>
    </xf>
    <xf numFmtId="0" fontId="65" fillId="10" borderId="0" xfId="0" applyFont="1" applyFill="1" applyAlignment="1">
      <alignment horizontal="center"/>
    </xf>
    <xf numFmtId="1" fontId="63" fillId="10" borderId="2" xfId="0" applyNumberFormat="1" applyFont="1" applyFill="1" applyBorder="1"/>
    <xf numFmtId="0" fontId="63" fillId="10" borderId="2" xfId="0" applyFont="1" applyFill="1" applyBorder="1" applyAlignment="1">
      <alignment horizontal="center"/>
    </xf>
    <xf numFmtId="0" fontId="63" fillId="10" borderId="2" xfId="0" applyFont="1" applyFill="1" applyBorder="1" applyAlignment="1">
      <alignment horizontal="center" wrapText="1"/>
    </xf>
    <xf numFmtId="49" fontId="66" fillId="2" borderId="11" xfId="6" applyNumberFormat="1" applyFont="1" applyFill="1" applyBorder="1" applyAlignment="1">
      <alignment horizontal="center" vertical="center"/>
    </xf>
    <xf numFmtId="49" fontId="66" fillId="2" borderId="0" xfId="6" applyNumberFormat="1" applyFont="1" applyFill="1" applyAlignment="1">
      <alignment horizontal="center" vertical="center"/>
    </xf>
    <xf numFmtId="0" fontId="63" fillId="2" borderId="0" xfId="6" applyFont="1" applyFill="1"/>
    <xf numFmtId="1" fontId="63" fillId="2" borderId="0" xfId="6" applyNumberFormat="1" applyFont="1" applyFill="1" applyAlignment="1">
      <alignment horizontal="center"/>
    </xf>
    <xf numFmtId="167" fontId="63" fillId="2" borderId="0" xfId="6" applyNumberFormat="1" applyFont="1" applyFill="1" applyAlignment="1">
      <alignment horizontal="center" wrapText="1"/>
    </xf>
    <xf numFmtId="0" fontId="63" fillId="2" borderId="10" xfId="6" applyFont="1" applyFill="1" applyBorder="1" applyAlignment="1">
      <alignment horizontal="center"/>
    </xf>
    <xf numFmtId="0" fontId="63" fillId="3" borderId="9" xfId="6" applyFont="1" applyFill="1" applyBorder="1" applyAlignment="1">
      <alignment horizontal="center"/>
    </xf>
    <xf numFmtId="0" fontId="63" fillId="3" borderId="8" xfId="6" applyFont="1" applyFill="1" applyBorder="1" applyAlignment="1">
      <alignment horizontal="center"/>
    </xf>
    <xf numFmtId="0" fontId="63" fillId="3" borderId="8" xfId="6" applyFont="1" applyFill="1" applyBorder="1"/>
    <xf numFmtId="0" fontId="61" fillId="3" borderId="8" xfId="6" applyFont="1" applyFill="1" applyBorder="1" applyAlignment="1">
      <alignment horizontal="center"/>
    </xf>
    <xf numFmtId="1" fontId="61" fillId="3" borderId="8" xfId="6" applyNumberFormat="1" applyFont="1" applyFill="1" applyBorder="1" applyAlignment="1">
      <alignment horizontal="center"/>
    </xf>
    <xf numFmtId="167" fontId="63" fillId="3" borderId="8" xfId="6" applyNumberFormat="1" applyFont="1" applyFill="1" applyBorder="1" applyAlignment="1">
      <alignment horizontal="center" wrapText="1"/>
    </xf>
    <xf numFmtId="0" fontId="63" fillId="3" borderId="7" xfId="6" applyFont="1" applyFill="1" applyBorder="1" applyAlignment="1">
      <alignment horizontal="center"/>
    </xf>
    <xf numFmtId="0" fontId="61" fillId="0" borderId="30" xfId="6" applyFont="1" applyBorder="1" applyAlignment="1">
      <alignment horizontal="right"/>
    </xf>
    <xf numFmtId="0" fontId="61" fillId="0" borderId="22" xfId="6" applyFont="1" applyBorder="1" applyAlignment="1">
      <alignment horizontal="right"/>
    </xf>
    <xf numFmtId="0" fontId="61" fillId="0" borderId="40" xfId="6" applyFont="1" applyBorder="1" applyAlignment="1">
      <alignment horizontal="right"/>
    </xf>
    <xf numFmtId="0" fontId="63" fillId="0" borderId="6" xfId="0" applyFont="1" applyBorder="1" applyAlignment="1">
      <alignment horizontal="center"/>
    </xf>
    <xf numFmtId="167" fontId="63" fillId="0" borderId="3" xfId="6" applyNumberFormat="1" applyFont="1" applyBorder="1" applyAlignment="1">
      <alignment horizontal="right"/>
    </xf>
    <xf numFmtId="0" fontId="63" fillId="2" borderId="6" xfId="6" applyFont="1" applyFill="1" applyBorder="1" applyAlignment="1">
      <alignment horizontal="center"/>
    </xf>
    <xf numFmtId="0" fontId="63" fillId="2" borderId="41" xfId="6" applyFont="1" applyFill="1" applyBorder="1" applyAlignment="1">
      <alignment horizontal="center"/>
    </xf>
    <xf numFmtId="0" fontId="61" fillId="0" borderId="42" xfId="6" applyFont="1" applyBorder="1" applyAlignment="1">
      <alignment horizontal="right"/>
    </xf>
    <xf numFmtId="0" fontId="61" fillId="0" borderId="37" xfId="6" applyFont="1" applyBorder="1" applyAlignment="1">
      <alignment horizontal="right"/>
    </xf>
    <xf numFmtId="0" fontId="61" fillId="0" borderId="38" xfId="6" applyFont="1" applyBorder="1" applyAlignment="1">
      <alignment horizontal="right"/>
    </xf>
    <xf numFmtId="0" fontId="63" fillId="0" borderId="2" xfId="6" applyFont="1" applyBorder="1" applyAlignment="1">
      <alignment horizontal="right"/>
    </xf>
    <xf numFmtId="167" fontId="63" fillId="0" borderId="36" xfId="6" applyNumberFormat="1" applyFont="1" applyBorder="1" applyAlignment="1">
      <alignment horizontal="center"/>
    </xf>
    <xf numFmtId="167" fontId="63" fillId="0" borderId="43" xfId="6" applyNumberFormat="1" applyFont="1" applyBorder="1" applyAlignment="1">
      <alignment horizontal="center"/>
    </xf>
    <xf numFmtId="167" fontId="63" fillId="0" borderId="36" xfId="6" applyNumberFormat="1" applyFont="1" applyBorder="1" applyAlignment="1">
      <alignment horizontal="right" wrapText="1"/>
    </xf>
    <xf numFmtId="167" fontId="63" fillId="0" borderId="38" xfId="6" applyNumberFormat="1" applyFont="1" applyBorder="1" applyAlignment="1">
      <alignment horizontal="right" wrapText="1"/>
    </xf>
    <xf numFmtId="167" fontId="63" fillId="0" borderId="36" xfId="0" applyNumberFormat="1" applyFont="1" applyBorder="1" applyAlignment="1">
      <alignment horizontal="center" wrapText="1"/>
    </xf>
    <xf numFmtId="167" fontId="63" fillId="0" borderId="43" xfId="0" applyNumberFormat="1" applyFont="1" applyBorder="1" applyAlignment="1">
      <alignment horizontal="center" wrapText="1"/>
    </xf>
    <xf numFmtId="0" fontId="61" fillId="0" borderId="45" xfId="6" applyFont="1" applyBorder="1" applyAlignment="1">
      <alignment horizontal="right"/>
    </xf>
    <xf numFmtId="0" fontId="61" fillId="0" borderId="46" xfId="6" applyFont="1" applyBorder="1" applyAlignment="1">
      <alignment horizontal="right"/>
    </xf>
    <xf numFmtId="0" fontId="61" fillId="0" borderId="12" xfId="6" applyFont="1" applyBorder="1" applyAlignment="1">
      <alignment horizontal="right"/>
    </xf>
    <xf numFmtId="1" fontId="63" fillId="0" borderId="12" xfId="0" applyNumberFormat="1" applyFont="1" applyBorder="1" applyAlignment="1">
      <alignment horizontal="center"/>
    </xf>
    <xf numFmtId="0" fontId="63" fillId="0" borderId="12" xfId="0" applyFont="1" applyBorder="1" applyAlignment="1">
      <alignment horizontal="center"/>
    </xf>
    <xf numFmtId="0" fontId="63" fillId="0" borderId="12" xfId="6" applyFont="1" applyBorder="1" applyAlignment="1">
      <alignment horizontal="right"/>
    </xf>
    <xf numFmtId="0" fontId="63" fillId="0" borderId="30" xfId="6" applyFont="1" applyBorder="1" applyAlignment="1">
      <alignment horizontal="left"/>
    </xf>
    <xf numFmtId="0" fontId="63" fillId="0" borderId="22" xfId="6" applyFont="1" applyBorder="1" applyAlignment="1">
      <alignment horizontal="left"/>
    </xf>
    <xf numFmtId="0" fontId="63" fillId="0" borderId="41" xfId="6" applyFont="1" applyBorder="1" applyAlignment="1">
      <alignment horizontal="left"/>
    </xf>
    <xf numFmtId="0" fontId="63" fillId="0" borderId="42" xfId="0" applyFont="1" applyBorder="1" applyAlignment="1">
      <alignment horizontal="left"/>
    </xf>
    <xf numFmtId="0" fontId="63" fillId="0" borderId="37" xfId="0" applyFont="1" applyBorder="1" applyAlignment="1">
      <alignment horizontal="left"/>
    </xf>
    <xf numFmtId="0" fontId="63" fillId="0" borderId="43" xfId="0" applyFont="1" applyBorder="1" applyAlignment="1">
      <alignment horizontal="left"/>
    </xf>
    <xf numFmtId="0" fontId="61" fillId="17" borderId="52" xfId="8" applyFont="1" applyFill="1" applyBorder="1" applyAlignment="1">
      <alignment horizontal="center"/>
    </xf>
    <xf numFmtId="0" fontId="61" fillId="17" borderId="25" xfId="8" applyFont="1" applyFill="1" applyBorder="1" applyAlignment="1">
      <alignment horizontal="center"/>
    </xf>
    <xf numFmtId="0" fontId="63" fillId="2" borderId="36" xfId="8" applyFont="1" applyFill="1" applyBorder="1" applyAlignment="1">
      <alignment horizontal="left"/>
    </xf>
    <xf numFmtId="0" fontId="63" fillId="2" borderId="37" xfId="8" applyFont="1" applyFill="1" applyBorder="1" applyAlignment="1">
      <alignment horizontal="left"/>
    </xf>
    <xf numFmtId="0" fontId="63" fillId="2" borderId="38" xfId="8" applyFont="1" applyFill="1" applyBorder="1" applyAlignment="1">
      <alignment horizontal="left"/>
    </xf>
    <xf numFmtId="49" fontId="61" fillId="0" borderId="2" xfId="6" applyNumberFormat="1" applyFont="1" applyBorder="1" applyAlignment="1">
      <alignment horizontal="center"/>
    </xf>
    <xf numFmtId="0" fontId="61" fillId="3" borderId="9" xfId="6" applyFont="1" applyFill="1" applyBorder="1" applyAlignment="1">
      <alignment horizontal="center"/>
    </xf>
    <xf numFmtId="0" fontId="61" fillId="3" borderId="8" xfId="6" applyFont="1" applyFill="1" applyBorder="1" applyAlignment="1">
      <alignment horizontal="center"/>
    </xf>
    <xf numFmtId="0" fontId="61" fillId="3" borderId="7" xfId="6" applyFont="1" applyFill="1" applyBorder="1" applyAlignment="1">
      <alignment horizontal="center"/>
    </xf>
    <xf numFmtId="0" fontId="60" fillId="5" borderId="15" xfId="8" applyFont="1" applyFill="1" applyBorder="1" applyAlignment="1">
      <alignment horizontal="center" vertical="center"/>
    </xf>
    <xf numFmtId="0" fontId="60" fillId="5" borderId="16" xfId="8" applyFont="1" applyFill="1" applyBorder="1" applyAlignment="1">
      <alignment horizontal="center" vertical="center"/>
    </xf>
    <xf numFmtId="0" fontId="60" fillId="5" borderId="17" xfId="8" applyFont="1" applyFill="1" applyBorder="1" applyAlignment="1">
      <alignment horizontal="center" vertical="center"/>
    </xf>
  </cellXfs>
  <cellStyles count="14">
    <cellStyle name="Millares" xfId="1" builtinId="3"/>
    <cellStyle name="Millares [0]" xfId="2" builtinId="6"/>
    <cellStyle name="Millares [0] 2" xfId="3" xr:uid="{794EC1F2-61B3-4EE3-91CC-4CC91255A785}"/>
    <cellStyle name="Millares [0] 3" xfId="4" xr:uid="{CFE82195-03EB-442E-9955-6C0011E7DF55}"/>
    <cellStyle name="Millares [0] 3 2" xfId="5" xr:uid="{0CB7993D-8EB9-4733-A0D1-5D84B180B277}"/>
    <cellStyle name="Normal" xfId="0" builtinId="0"/>
    <cellStyle name="Normal 2" xfId="6" xr:uid="{56E0C62C-5919-4EB8-A509-79FABF7702E2}"/>
    <cellStyle name="Normal 3" xfId="7" xr:uid="{C8F20AA8-14E7-42C3-A54B-58524DF3C3DB}"/>
    <cellStyle name="Normal_CRITERIOS DE EVALUACION PT DE GB" xfId="8" xr:uid="{00AA465F-65B4-4252-A07D-C7CC91D07C1E}"/>
    <cellStyle name="Normal_CRITERIOS DE EVALUACION PT DE GB 2" xfId="9" xr:uid="{8621B488-EA58-440D-AEBC-EB836E0E9374}"/>
    <cellStyle name="Porcentaje" xfId="10" builtinId="5"/>
    <cellStyle name="Porcentaje 2" xfId="11" xr:uid="{A21AD83D-EAFC-4ED8-BB69-9F96B687098C}"/>
    <cellStyle name="Porcentaje 3" xfId="12" xr:uid="{E8CA53B9-6153-40FD-93A1-7FCC1013EEBD}"/>
    <cellStyle name="Porcentaje 3 2" xfId="13" xr:uid="{21E7C76F-AE8C-470B-B4B7-1EDCC1230D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202714</xdr:rowOff>
    </xdr:from>
    <xdr:to>
      <xdr:col>1</xdr:col>
      <xdr:colOff>1092229</xdr:colOff>
      <xdr:row>4</xdr:row>
      <xdr:rowOff>59529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3230ABEF-C122-436D-91E5-732A81CEF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02714"/>
          <a:ext cx="2104260" cy="88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565" name="Picture 1">
          <a:extLst>
            <a:ext uri="{FF2B5EF4-FFF2-40B4-BE49-F238E27FC236}">
              <a16:creationId xmlns:a16="http://schemas.microsoft.com/office/drawing/2014/main" id="{8B1F15BA-A280-14D0-2A6C-563A4E5DE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566" name="Picture 2">
          <a:extLst>
            <a:ext uri="{FF2B5EF4-FFF2-40B4-BE49-F238E27FC236}">
              <a16:creationId xmlns:a16="http://schemas.microsoft.com/office/drawing/2014/main" id="{0FBAB72A-3475-5F11-E546-4975BC7CE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567" name="Picture 3">
          <a:extLst>
            <a:ext uri="{FF2B5EF4-FFF2-40B4-BE49-F238E27FC236}">
              <a16:creationId xmlns:a16="http://schemas.microsoft.com/office/drawing/2014/main" id="{20C001EB-48F0-D338-B5B8-7E2E5045E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68" name="Picture 4">
          <a:extLst>
            <a:ext uri="{FF2B5EF4-FFF2-40B4-BE49-F238E27FC236}">
              <a16:creationId xmlns:a16="http://schemas.microsoft.com/office/drawing/2014/main" id="{32F613F6-D3EC-C871-6C39-9CA8C29FD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69" name="Picture 5">
          <a:extLst>
            <a:ext uri="{FF2B5EF4-FFF2-40B4-BE49-F238E27FC236}">
              <a16:creationId xmlns:a16="http://schemas.microsoft.com/office/drawing/2014/main" id="{AD7DA2EC-029D-82CC-93AC-DDC2BF6BC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70" name="Picture 6">
          <a:extLst>
            <a:ext uri="{FF2B5EF4-FFF2-40B4-BE49-F238E27FC236}">
              <a16:creationId xmlns:a16="http://schemas.microsoft.com/office/drawing/2014/main" id="{66114740-BE85-34D5-D8D7-CA0A439D6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71" name="Picture 7">
          <a:extLst>
            <a:ext uri="{FF2B5EF4-FFF2-40B4-BE49-F238E27FC236}">
              <a16:creationId xmlns:a16="http://schemas.microsoft.com/office/drawing/2014/main" id="{7E3FB38F-4F71-10EB-50AD-9284EC00C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72" name="Picture 8">
          <a:extLst>
            <a:ext uri="{FF2B5EF4-FFF2-40B4-BE49-F238E27FC236}">
              <a16:creationId xmlns:a16="http://schemas.microsoft.com/office/drawing/2014/main" id="{A63300AD-3672-A1D1-4D6A-B9E78AF6B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73" name="Picture 9">
          <a:extLst>
            <a:ext uri="{FF2B5EF4-FFF2-40B4-BE49-F238E27FC236}">
              <a16:creationId xmlns:a16="http://schemas.microsoft.com/office/drawing/2014/main" id="{98FD4FF7-2802-4E58-04DC-1A215B06F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574" name="Picture 10">
          <a:extLst>
            <a:ext uri="{FF2B5EF4-FFF2-40B4-BE49-F238E27FC236}">
              <a16:creationId xmlns:a16="http://schemas.microsoft.com/office/drawing/2014/main" id="{78DB2F89-DF91-A739-6274-789CCE7BC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575" name="Picture 11">
          <a:extLst>
            <a:ext uri="{FF2B5EF4-FFF2-40B4-BE49-F238E27FC236}">
              <a16:creationId xmlns:a16="http://schemas.microsoft.com/office/drawing/2014/main" id="{CB280822-AEB8-1EE6-B001-DC0675B94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76" name="Picture 12">
          <a:extLst>
            <a:ext uri="{FF2B5EF4-FFF2-40B4-BE49-F238E27FC236}">
              <a16:creationId xmlns:a16="http://schemas.microsoft.com/office/drawing/2014/main" id="{F2FF45E0-56C6-EB73-69DC-0334008B4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77" name="Picture 13">
          <a:extLst>
            <a:ext uri="{FF2B5EF4-FFF2-40B4-BE49-F238E27FC236}">
              <a16:creationId xmlns:a16="http://schemas.microsoft.com/office/drawing/2014/main" id="{3AFE52AE-9E04-4F0C-A0D7-BA7275639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78" name="Picture 14">
          <a:extLst>
            <a:ext uri="{FF2B5EF4-FFF2-40B4-BE49-F238E27FC236}">
              <a16:creationId xmlns:a16="http://schemas.microsoft.com/office/drawing/2014/main" id="{A27155C2-0820-E5D8-B027-A340C8D09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79" name="Picture 15">
          <a:extLst>
            <a:ext uri="{FF2B5EF4-FFF2-40B4-BE49-F238E27FC236}">
              <a16:creationId xmlns:a16="http://schemas.microsoft.com/office/drawing/2014/main" id="{1565E09A-73BD-FD24-F195-17EE7B666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80" name="Picture 16">
          <a:extLst>
            <a:ext uri="{FF2B5EF4-FFF2-40B4-BE49-F238E27FC236}">
              <a16:creationId xmlns:a16="http://schemas.microsoft.com/office/drawing/2014/main" id="{CF0A83AF-80C0-8638-A074-BCF895C2B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81" name="Picture 17">
          <a:extLst>
            <a:ext uri="{FF2B5EF4-FFF2-40B4-BE49-F238E27FC236}">
              <a16:creationId xmlns:a16="http://schemas.microsoft.com/office/drawing/2014/main" id="{33C6FEB8-D52B-72D3-7EE6-FE989E602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582" name="Picture 18">
          <a:extLst>
            <a:ext uri="{FF2B5EF4-FFF2-40B4-BE49-F238E27FC236}">
              <a16:creationId xmlns:a16="http://schemas.microsoft.com/office/drawing/2014/main" id="{E683D23D-BAC9-A860-34B8-7491FF574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583" name="Picture 19">
          <a:extLst>
            <a:ext uri="{FF2B5EF4-FFF2-40B4-BE49-F238E27FC236}">
              <a16:creationId xmlns:a16="http://schemas.microsoft.com/office/drawing/2014/main" id="{56A38C57-0C07-A45C-BEFC-E99793B38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584" name="Picture 20">
          <a:extLst>
            <a:ext uri="{FF2B5EF4-FFF2-40B4-BE49-F238E27FC236}">
              <a16:creationId xmlns:a16="http://schemas.microsoft.com/office/drawing/2014/main" id="{8AB74935-D350-AF2C-C0EA-9FF833EBA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85" name="Picture 21">
          <a:extLst>
            <a:ext uri="{FF2B5EF4-FFF2-40B4-BE49-F238E27FC236}">
              <a16:creationId xmlns:a16="http://schemas.microsoft.com/office/drawing/2014/main" id="{CDBD8DFE-D934-F2A0-D168-DB65BAAAC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86" name="Picture 22">
          <a:extLst>
            <a:ext uri="{FF2B5EF4-FFF2-40B4-BE49-F238E27FC236}">
              <a16:creationId xmlns:a16="http://schemas.microsoft.com/office/drawing/2014/main" id="{03E8A8C3-542F-146A-941E-0ADA93650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87" name="Picture 23">
          <a:extLst>
            <a:ext uri="{FF2B5EF4-FFF2-40B4-BE49-F238E27FC236}">
              <a16:creationId xmlns:a16="http://schemas.microsoft.com/office/drawing/2014/main" id="{C30B8062-2D18-3B6E-1128-9C978F9A9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88" name="Picture 24">
          <a:extLst>
            <a:ext uri="{FF2B5EF4-FFF2-40B4-BE49-F238E27FC236}">
              <a16:creationId xmlns:a16="http://schemas.microsoft.com/office/drawing/2014/main" id="{FF64EE9B-BE7C-AF1A-E070-A6C37FD98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89" name="Picture 25">
          <a:extLst>
            <a:ext uri="{FF2B5EF4-FFF2-40B4-BE49-F238E27FC236}">
              <a16:creationId xmlns:a16="http://schemas.microsoft.com/office/drawing/2014/main" id="{C9B9EE24-B7F6-34E7-D5FA-C5E98EC8A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90" name="Picture 26">
          <a:extLst>
            <a:ext uri="{FF2B5EF4-FFF2-40B4-BE49-F238E27FC236}">
              <a16:creationId xmlns:a16="http://schemas.microsoft.com/office/drawing/2014/main" id="{4B37F30D-2239-ACA9-5185-16B085A77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591" name="Picture 27">
          <a:extLst>
            <a:ext uri="{FF2B5EF4-FFF2-40B4-BE49-F238E27FC236}">
              <a16:creationId xmlns:a16="http://schemas.microsoft.com/office/drawing/2014/main" id="{09A16DB1-0C4E-D677-5846-9202C7629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592" name="Picture 28">
          <a:extLst>
            <a:ext uri="{FF2B5EF4-FFF2-40B4-BE49-F238E27FC236}">
              <a16:creationId xmlns:a16="http://schemas.microsoft.com/office/drawing/2014/main" id="{BB1CFFD5-3DED-2E15-A2DB-EE996044D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93" name="Picture 29">
          <a:extLst>
            <a:ext uri="{FF2B5EF4-FFF2-40B4-BE49-F238E27FC236}">
              <a16:creationId xmlns:a16="http://schemas.microsoft.com/office/drawing/2014/main" id="{837F328C-96FA-3CC8-CAE9-4A61EBC18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94" name="Picture 30">
          <a:extLst>
            <a:ext uri="{FF2B5EF4-FFF2-40B4-BE49-F238E27FC236}">
              <a16:creationId xmlns:a16="http://schemas.microsoft.com/office/drawing/2014/main" id="{0D87D684-9353-BECA-17B5-FE1140890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95" name="Picture 31">
          <a:extLst>
            <a:ext uri="{FF2B5EF4-FFF2-40B4-BE49-F238E27FC236}">
              <a16:creationId xmlns:a16="http://schemas.microsoft.com/office/drawing/2014/main" id="{ABD96A60-488E-CDF6-E451-3293D0391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96" name="Picture 32">
          <a:extLst>
            <a:ext uri="{FF2B5EF4-FFF2-40B4-BE49-F238E27FC236}">
              <a16:creationId xmlns:a16="http://schemas.microsoft.com/office/drawing/2014/main" id="{24EF6142-FE94-3C59-E4B4-09FE69DE7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97" name="Picture 33">
          <a:extLst>
            <a:ext uri="{FF2B5EF4-FFF2-40B4-BE49-F238E27FC236}">
              <a16:creationId xmlns:a16="http://schemas.microsoft.com/office/drawing/2014/main" id="{797C1106-3855-F436-B7B7-682031AEE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598" name="Picture 34">
          <a:extLst>
            <a:ext uri="{FF2B5EF4-FFF2-40B4-BE49-F238E27FC236}">
              <a16:creationId xmlns:a16="http://schemas.microsoft.com/office/drawing/2014/main" id="{FEEEA372-4C88-304F-1F56-C60110A26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599" name="Picture 35">
          <a:extLst>
            <a:ext uri="{FF2B5EF4-FFF2-40B4-BE49-F238E27FC236}">
              <a16:creationId xmlns:a16="http://schemas.microsoft.com/office/drawing/2014/main" id="{7F7BAF7B-2290-A581-4D18-719D177F0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00" name="Picture 36">
          <a:extLst>
            <a:ext uri="{FF2B5EF4-FFF2-40B4-BE49-F238E27FC236}">
              <a16:creationId xmlns:a16="http://schemas.microsoft.com/office/drawing/2014/main" id="{F569D122-E00F-31DF-0B92-8AD403619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01" name="Picture 37">
          <a:extLst>
            <a:ext uri="{FF2B5EF4-FFF2-40B4-BE49-F238E27FC236}">
              <a16:creationId xmlns:a16="http://schemas.microsoft.com/office/drawing/2014/main" id="{A976505F-E1D9-3421-3BC2-56DEAF347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02" name="Picture 38">
          <a:extLst>
            <a:ext uri="{FF2B5EF4-FFF2-40B4-BE49-F238E27FC236}">
              <a16:creationId xmlns:a16="http://schemas.microsoft.com/office/drawing/2014/main" id="{C6F3657C-B8BA-81BD-75FE-DABE9789F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03" name="Picture 39">
          <a:extLst>
            <a:ext uri="{FF2B5EF4-FFF2-40B4-BE49-F238E27FC236}">
              <a16:creationId xmlns:a16="http://schemas.microsoft.com/office/drawing/2014/main" id="{D0F645A3-3A39-686A-C77A-6C8CF500C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04" name="Picture 40">
          <a:extLst>
            <a:ext uri="{FF2B5EF4-FFF2-40B4-BE49-F238E27FC236}">
              <a16:creationId xmlns:a16="http://schemas.microsoft.com/office/drawing/2014/main" id="{D98EA801-B55E-5DF9-0521-2A67246DC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05" name="Picture 41">
          <a:extLst>
            <a:ext uri="{FF2B5EF4-FFF2-40B4-BE49-F238E27FC236}">
              <a16:creationId xmlns:a16="http://schemas.microsoft.com/office/drawing/2014/main" id="{90389CA2-035E-50CC-763E-BA5461C65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06" name="Picture 42">
          <a:extLst>
            <a:ext uri="{FF2B5EF4-FFF2-40B4-BE49-F238E27FC236}">
              <a16:creationId xmlns:a16="http://schemas.microsoft.com/office/drawing/2014/main" id="{9D38B280-D74D-6887-94D3-F4A187379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07" name="Picture 43">
          <a:extLst>
            <a:ext uri="{FF2B5EF4-FFF2-40B4-BE49-F238E27FC236}">
              <a16:creationId xmlns:a16="http://schemas.microsoft.com/office/drawing/2014/main" id="{048D4E33-B16E-0FB4-E1A6-CC0122835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08" name="Picture 44">
          <a:extLst>
            <a:ext uri="{FF2B5EF4-FFF2-40B4-BE49-F238E27FC236}">
              <a16:creationId xmlns:a16="http://schemas.microsoft.com/office/drawing/2014/main" id="{5A218722-D62A-6DC7-4D18-FD97CA5C8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09" name="Picture 45">
          <a:extLst>
            <a:ext uri="{FF2B5EF4-FFF2-40B4-BE49-F238E27FC236}">
              <a16:creationId xmlns:a16="http://schemas.microsoft.com/office/drawing/2014/main" id="{6626CEA6-BDB3-7D73-CD1D-1EF5B7D74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10" name="Picture 46">
          <a:extLst>
            <a:ext uri="{FF2B5EF4-FFF2-40B4-BE49-F238E27FC236}">
              <a16:creationId xmlns:a16="http://schemas.microsoft.com/office/drawing/2014/main" id="{7B1274CA-23D5-F3C7-E3DC-9A75D6FE9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11" name="Picture 47">
          <a:extLst>
            <a:ext uri="{FF2B5EF4-FFF2-40B4-BE49-F238E27FC236}">
              <a16:creationId xmlns:a16="http://schemas.microsoft.com/office/drawing/2014/main" id="{7EA10345-A5F8-CAC2-0275-D2F1F6A8D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12" name="Picture 48">
          <a:extLst>
            <a:ext uri="{FF2B5EF4-FFF2-40B4-BE49-F238E27FC236}">
              <a16:creationId xmlns:a16="http://schemas.microsoft.com/office/drawing/2014/main" id="{05C72724-DE52-655B-BB13-1B89DB890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13" name="Picture 49">
          <a:extLst>
            <a:ext uri="{FF2B5EF4-FFF2-40B4-BE49-F238E27FC236}">
              <a16:creationId xmlns:a16="http://schemas.microsoft.com/office/drawing/2014/main" id="{9B17DECC-2CE0-440B-D3B6-0A301181C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14" name="Picture 50">
          <a:extLst>
            <a:ext uri="{FF2B5EF4-FFF2-40B4-BE49-F238E27FC236}">
              <a16:creationId xmlns:a16="http://schemas.microsoft.com/office/drawing/2014/main" id="{740E680E-BD01-1506-5440-997F7E911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15" name="Picture 51">
          <a:extLst>
            <a:ext uri="{FF2B5EF4-FFF2-40B4-BE49-F238E27FC236}">
              <a16:creationId xmlns:a16="http://schemas.microsoft.com/office/drawing/2014/main" id="{4DD65C3F-221A-12D2-9A7A-924AF71AD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16" name="Picture 52">
          <a:extLst>
            <a:ext uri="{FF2B5EF4-FFF2-40B4-BE49-F238E27FC236}">
              <a16:creationId xmlns:a16="http://schemas.microsoft.com/office/drawing/2014/main" id="{0AD284E1-0E9A-2669-CE5A-B6AADD7F7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17" name="Picture 53">
          <a:extLst>
            <a:ext uri="{FF2B5EF4-FFF2-40B4-BE49-F238E27FC236}">
              <a16:creationId xmlns:a16="http://schemas.microsoft.com/office/drawing/2014/main" id="{C80F7C85-E1F8-B97F-8AE9-C6DACEC35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18" name="Picture 54">
          <a:extLst>
            <a:ext uri="{FF2B5EF4-FFF2-40B4-BE49-F238E27FC236}">
              <a16:creationId xmlns:a16="http://schemas.microsoft.com/office/drawing/2014/main" id="{AE3E49D1-97C0-1FD3-A626-FA8017B0F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19" name="Picture 55">
          <a:extLst>
            <a:ext uri="{FF2B5EF4-FFF2-40B4-BE49-F238E27FC236}">
              <a16:creationId xmlns:a16="http://schemas.microsoft.com/office/drawing/2014/main" id="{E8126401-8CFA-D039-648F-D63637047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20" name="Picture 56">
          <a:extLst>
            <a:ext uri="{FF2B5EF4-FFF2-40B4-BE49-F238E27FC236}">
              <a16:creationId xmlns:a16="http://schemas.microsoft.com/office/drawing/2014/main" id="{7AC7DC6A-1EA7-A15E-5B21-BBE0D98C4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21" name="Picture 57">
          <a:extLst>
            <a:ext uri="{FF2B5EF4-FFF2-40B4-BE49-F238E27FC236}">
              <a16:creationId xmlns:a16="http://schemas.microsoft.com/office/drawing/2014/main" id="{FFB4DA9F-0870-6C7E-FC43-5A8D44168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22" name="Picture 58">
          <a:extLst>
            <a:ext uri="{FF2B5EF4-FFF2-40B4-BE49-F238E27FC236}">
              <a16:creationId xmlns:a16="http://schemas.microsoft.com/office/drawing/2014/main" id="{9B1D6B00-09BC-857D-780E-DD22E925F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23" name="Picture 59">
          <a:extLst>
            <a:ext uri="{FF2B5EF4-FFF2-40B4-BE49-F238E27FC236}">
              <a16:creationId xmlns:a16="http://schemas.microsoft.com/office/drawing/2014/main" id="{761B1026-4E54-3EB3-2BD4-1DCAC334F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24" name="Picture 60">
          <a:extLst>
            <a:ext uri="{FF2B5EF4-FFF2-40B4-BE49-F238E27FC236}">
              <a16:creationId xmlns:a16="http://schemas.microsoft.com/office/drawing/2014/main" id="{D5324218-BCB4-47DC-C06D-4AF9BA2FD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25" name="Picture 61">
          <a:extLst>
            <a:ext uri="{FF2B5EF4-FFF2-40B4-BE49-F238E27FC236}">
              <a16:creationId xmlns:a16="http://schemas.microsoft.com/office/drawing/2014/main" id="{6B28C329-E6D5-44A4-4A04-78748900E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26" name="Picture 62">
          <a:extLst>
            <a:ext uri="{FF2B5EF4-FFF2-40B4-BE49-F238E27FC236}">
              <a16:creationId xmlns:a16="http://schemas.microsoft.com/office/drawing/2014/main" id="{BE6BF4C4-F979-2FF7-DE45-92FBC2559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27" name="Picture 63">
          <a:extLst>
            <a:ext uri="{FF2B5EF4-FFF2-40B4-BE49-F238E27FC236}">
              <a16:creationId xmlns:a16="http://schemas.microsoft.com/office/drawing/2014/main" id="{F8008BB7-5816-0EA7-79AF-F6AA7CAB9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28" name="Picture 64">
          <a:extLst>
            <a:ext uri="{FF2B5EF4-FFF2-40B4-BE49-F238E27FC236}">
              <a16:creationId xmlns:a16="http://schemas.microsoft.com/office/drawing/2014/main" id="{5B9F760D-DA13-918C-F656-D41706167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29" name="Picture 65">
          <a:extLst>
            <a:ext uri="{FF2B5EF4-FFF2-40B4-BE49-F238E27FC236}">
              <a16:creationId xmlns:a16="http://schemas.microsoft.com/office/drawing/2014/main" id="{F0CA8FD1-632B-09CF-38AE-ADAEF32E3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30" name="Picture 66">
          <a:extLst>
            <a:ext uri="{FF2B5EF4-FFF2-40B4-BE49-F238E27FC236}">
              <a16:creationId xmlns:a16="http://schemas.microsoft.com/office/drawing/2014/main" id="{55ED08C3-726A-C58D-2690-00EFB2557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31" name="Picture 67">
          <a:extLst>
            <a:ext uri="{FF2B5EF4-FFF2-40B4-BE49-F238E27FC236}">
              <a16:creationId xmlns:a16="http://schemas.microsoft.com/office/drawing/2014/main" id="{5C31DB7F-6CBF-F6C2-F073-760233AD8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32" name="Picture 68">
          <a:extLst>
            <a:ext uri="{FF2B5EF4-FFF2-40B4-BE49-F238E27FC236}">
              <a16:creationId xmlns:a16="http://schemas.microsoft.com/office/drawing/2014/main" id="{F63F6006-BF44-365D-4A40-FCF88CC6D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33" name="Picture 69">
          <a:extLst>
            <a:ext uri="{FF2B5EF4-FFF2-40B4-BE49-F238E27FC236}">
              <a16:creationId xmlns:a16="http://schemas.microsoft.com/office/drawing/2014/main" id="{B08B295F-096F-932D-F8E3-C87004E4C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34" name="Picture 70">
          <a:extLst>
            <a:ext uri="{FF2B5EF4-FFF2-40B4-BE49-F238E27FC236}">
              <a16:creationId xmlns:a16="http://schemas.microsoft.com/office/drawing/2014/main" id="{E9EDAAA5-116F-AC13-760D-CC6871BAD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35" name="Picture 71">
          <a:extLst>
            <a:ext uri="{FF2B5EF4-FFF2-40B4-BE49-F238E27FC236}">
              <a16:creationId xmlns:a16="http://schemas.microsoft.com/office/drawing/2014/main" id="{741BB624-140C-2752-3D84-479E01112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36" name="Picture 72">
          <a:extLst>
            <a:ext uri="{FF2B5EF4-FFF2-40B4-BE49-F238E27FC236}">
              <a16:creationId xmlns:a16="http://schemas.microsoft.com/office/drawing/2014/main" id="{BB0B156A-5B79-9E95-FFE7-DD37D14B0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37" name="Picture 73">
          <a:extLst>
            <a:ext uri="{FF2B5EF4-FFF2-40B4-BE49-F238E27FC236}">
              <a16:creationId xmlns:a16="http://schemas.microsoft.com/office/drawing/2014/main" id="{DABB3989-87CB-7F00-3EAD-860F85D61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38" name="Picture 74">
          <a:extLst>
            <a:ext uri="{FF2B5EF4-FFF2-40B4-BE49-F238E27FC236}">
              <a16:creationId xmlns:a16="http://schemas.microsoft.com/office/drawing/2014/main" id="{6B2D7AFB-730A-4911-BBF6-77369A2A5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39" name="Picture 75">
          <a:extLst>
            <a:ext uri="{FF2B5EF4-FFF2-40B4-BE49-F238E27FC236}">
              <a16:creationId xmlns:a16="http://schemas.microsoft.com/office/drawing/2014/main" id="{A4CFF98C-E65A-7FE9-5FC1-72897411C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40" name="Picture 76">
          <a:extLst>
            <a:ext uri="{FF2B5EF4-FFF2-40B4-BE49-F238E27FC236}">
              <a16:creationId xmlns:a16="http://schemas.microsoft.com/office/drawing/2014/main" id="{7EA4962A-CE47-15F4-FC81-EA25017D1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41" name="Picture 77">
          <a:extLst>
            <a:ext uri="{FF2B5EF4-FFF2-40B4-BE49-F238E27FC236}">
              <a16:creationId xmlns:a16="http://schemas.microsoft.com/office/drawing/2014/main" id="{A9E166F0-A97F-0A63-FB15-A5C4F6113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42" name="Picture 78">
          <a:extLst>
            <a:ext uri="{FF2B5EF4-FFF2-40B4-BE49-F238E27FC236}">
              <a16:creationId xmlns:a16="http://schemas.microsoft.com/office/drawing/2014/main" id="{3796B42D-1E6E-65F4-F131-BECE7AEF9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43" name="Picture 79">
          <a:extLst>
            <a:ext uri="{FF2B5EF4-FFF2-40B4-BE49-F238E27FC236}">
              <a16:creationId xmlns:a16="http://schemas.microsoft.com/office/drawing/2014/main" id="{A65F8827-331F-6CF7-E6CC-65B092D7E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44" name="Picture 80">
          <a:extLst>
            <a:ext uri="{FF2B5EF4-FFF2-40B4-BE49-F238E27FC236}">
              <a16:creationId xmlns:a16="http://schemas.microsoft.com/office/drawing/2014/main" id="{C32829DE-929E-EBD9-6957-2624FAFEA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45" name="Picture 81">
          <a:extLst>
            <a:ext uri="{FF2B5EF4-FFF2-40B4-BE49-F238E27FC236}">
              <a16:creationId xmlns:a16="http://schemas.microsoft.com/office/drawing/2014/main" id="{63765E3E-1011-9738-B831-1C438ACFD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46" name="Picture 82">
          <a:extLst>
            <a:ext uri="{FF2B5EF4-FFF2-40B4-BE49-F238E27FC236}">
              <a16:creationId xmlns:a16="http://schemas.microsoft.com/office/drawing/2014/main" id="{2E00DB47-7D2F-C723-482E-5E3F06AE7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47" name="Picture 83">
          <a:extLst>
            <a:ext uri="{FF2B5EF4-FFF2-40B4-BE49-F238E27FC236}">
              <a16:creationId xmlns:a16="http://schemas.microsoft.com/office/drawing/2014/main" id="{FF339299-B7E1-9A76-4AAE-9E18C07B8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48" name="Picture 84">
          <a:extLst>
            <a:ext uri="{FF2B5EF4-FFF2-40B4-BE49-F238E27FC236}">
              <a16:creationId xmlns:a16="http://schemas.microsoft.com/office/drawing/2014/main" id="{0B8378D8-BE44-E32B-1D44-88347528F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49" name="Picture 85">
          <a:extLst>
            <a:ext uri="{FF2B5EF4-FFF2-40B4-BE49-F238E27FC236}">
              <a16:creationId xmlns:a16="http://schemas.microsoft.com/office/drawing/2014/main" id="{263454DE-32F6-77B1-5823-82980CA11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50" name="Picture 86">
          <a:extLst>
            <a:ext uri="{FF2B5EF4-FFF2-40B4-BE49-F238E27FC236}">
              <a16:creationId xmlns:a16="http://schemas.microsoft.com/office/drawing/2014/main" id="{3E30CED0-1EC3-8026-2854-9711997DB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51" name="Picture 87">
          <a:extLst>
            <a:ext uri="{FF2B5EF4-FFF2-40B4-BE49-F238E27FC236}">
              <a16:creationId xmlns:a16="http://schemas.microsoft.com/office/drawing/2014/main" id="{D682B6C0-A813-B2C4-7AC0-8EF77D7C8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52" name="Picture 88">
          <a:extLst>
            <a:ext uri="{FF2B5EF4-FFF2-40B4-BE49-F238E27FC236}">
              <a16:creationId xmlns:a16="http://schemas.microsoft.com/office/drawing/2014/main" id="{BF8F6E49-E75C-B347-F1F2-EEAB5C42E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53" name="Picture 89">
          <a:extLst>
            <a:ext uri="{FF2B5EF4-FFF2-40B4-BE49-F238E27FC236}">
              <a16:creationId xmlns:a16="http://schemas.microsoft.com/office/drawing/2014/main" id="{75ED790C-45C7-057E-6F8A-9D7646987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54" name="Picture 90">
          <a:extLst>
            <a:ext uri="{FF2B5EF4-FFF2-40B4-BE49-F238E27FC236}">
              <a16:creationId xmlns:a16="http://schemas.microsoft.com/office/drawing/2014/main" id="{146D3174-3341-7B71-41BA-C8D80FC1E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55" name="Picture 91">
          <a:extLst>
            <a:ext uri="{FF2B5EF4-FFF2-40B4-BE49-F238E27FC236}">
              <a16:creationId xmlns:a16="http://schemas.microsoft.com/office/drawing/2014/main" id="{E0BB58E8-98E3-0775-B8C7-1752E4039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56" name="Picture 92">
          <a:extLst>
            <a:ext uri="{FF2B5EF4-FFF2-40B4-BE49-F238E27FC236}">
              <a16:creationId xmlns:a16="http://schemas.microsoft.com/office/drawing/2014/main" id="{6E2BF687-FBF0-FA67-1CAD-BD79CDEE4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57" name="Picture 93">
          <a:extLst>
            <a:ext uri="{FF2B5EF4-FFF2-40B4-BE49-F238E27FC236}">
              <a16:creationId xmlns:a16="http://schemas.microsoft.com/office/drawing/2014/main" id="{9F028C3E-B03F-B70C-CAFF-B2816E765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58" name="Picture 94">
          <a:extLst>
            <a:ext uri="{FF2B5EF4-FFF2-40B4-BE49-F238E27FC236}">
              <a16:creationId xmlns:a16="http://schemas.microsoft.com/office/drawing/2014/main" id="{B7C49354-99EC-205D-674B-3BF0A6597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59" name="Picture 95">
          <a:extLst>
            <a:ext uri="{FF2B5EF4-FFF2-40B4-BE49-F238E27FC236}">
              <a16:creationId xmlns:a16="http://schemas.microsoft.com/office/drawing/2014/main" id="{79C42879-53FD-37AF-B510-35439E4B0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60" name="Picture 96">
          <a:extLst>
            <a:ext uri="{FF2B5EF4-FFF2-40B4-BE49-F238E27FC236}">
              <a16:creationId xmlns:a16="http://schemas.microsoft.com/office/drawing/2014/main" id="{F2D93AAF-D558-B7D6-3D36-1FB85E122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61" name="Picture 97">
          <a:extLst>
            <a:ext uri="{FF2B5EF4-FFF2-40B4-BE49-F238E27FC236}">
              <a16:creationId xmlns:a16="http://schemas.microsoft.com/office/drawing/2014/main" id="{079C115E-26B1-2A2F-E5B3-9EBFDF56F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62" name="Picture 98">
          <a:extLst>
            <a:ext uri="{FF2B5EF4-FFF2-40B4-BE49-F238E27FC236}">
              <a16:creationId xmlns:a16="http://schemas.microsoft.com/office/drawing/2014/main" id="{C740E634-F2DC-8540-8FD9-6AA9BE566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63" name="Picture 99">
          <a:extLst>
            <a:ext uri="{FF2B5EF4-FFF2-40B4-BE49-F238E27FC236}">
              <a16:creationId xmlns:a16="http://schemas.microsoft.com/office/drawing/2014/main" id="{3F069DDD-CAAD-43C1-26A4-9292D04E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64" name="Picture 100">
          <a:extLst>
            <a:ext uri="{FF2B5EF4-FFF2-40B4-BE49-F238E27FC236}">
              <a16:creationId xmlns:a16="http://schemas.microsoft.com/office/drawing/2014/main" id="{24979EFB-CF5B-F03C-839E-C9EA9FA2F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65" name="Picture 101">
          <a:extLst>
            <a:ext uri="{FF2B5EF4-FFF2-40B4-BE49-F238E27FC236}">
              <a16:creationId xmlns:a16="http://schemas.microsoft.com/office/drawing/2014/main" id="{D750AE98-AC1D-C668-4066-9C1C19FEC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66" name="Picture 102">
          <a:extLst>
            <a:ext uri="{FF2B5EF4-FFF2-40B4-BE49-F238E27FC236}">
              <a16:creationId xmlns:a16="http://schemas.microsoft.com/office/drawing/2014/main" id="{D933E7EB-DC14-3899-D3CC-E910CDA6F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67" name="Picture 103">
          <a:extLst>
            <a:ext uri="{FF2B5EF4-FFF2-40B4-BE49-F238E27FC236}">
              <a16:creationId xmlns:a16="http://schemas.microsoft.com/office/drawing/2014/main" id="{C28713CB-6CFC-6039-A7F7-F75426887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68" name="Picture 104">
          <a:extLst>
            <a:ext uri="{FF2B5EF4-FFF2-40B4-BE49-F238E27FC236}">
              <a16:creationId xmlns:a16="http://schemas.microsoft.com/office/drawing/2014/main" id="{30E2A3CB-FBC5-A342-A818-0D122DE53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69" name="Picture 105">
          <a:extLst>
            <a:ext uri="{FF2B5EF4-FFF2-40B4-BE49-F238E27FC236}">
              <a16:creationId xmlns:a16="http://schemas.microsoft.com/office/drawing/2014/main" id="{379E3918-C626-85C1-7934-0CF1D5DFE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70" name="Picture 106">
          <a:extLst>
            <a:ext uri="{FF2B5EF4-FFF2-40B4-BE49-F238E27FC236}">
              <a16:creationId xmlns:a16="http://schemas.microsoft.com/office/drawing/2014/main" id="{3069BA4D-B330-F903-91D6-5F63C3EC6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71" name="Picture 107">
          <a:extLst>
            <a:ext uri="{FF2B5EF4-FFF2-40B4-BE49-F238E27FC236}">
              <a16:creationId xmlns:a16="http://schemas.microsoft.com/office/drawing/2014/main" id="{F0ADE10E-3B15-305C-B59F-994CB471F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72" name="Picture 108">
          <a:extLst>
            <a:ext uri="{FF2B5EF4-FFF2-40B4-BE49-F238E27FC236}">
              <a16:creationId xmlns:a16="http://schemas.microsoft.com/office/drawing/2014/main" id="{6A3DABFF-AECC-A02F-3883-B5A4BF098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73" name="Picture 109">
          <a:extLst>
            <a:ext uri="{FF2B5EF4-FFF2-40B4-BE49-F238E27FC236}">
              <a16:creationId xmlns:a16="http://schemas.microsoft.com/office/drawing/2014/main" id="{D5E4408B-D29D-FD5C-13C9-678E9E15E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74" name="Picture 110">
          <a:extLst>
            <a:ext uri="{FF2B5EF4-FFF2-40B4-BE49-F238E27FC236}">
              <a16:creationId xmlns:a16="http://schemas.microsoft.com/office/drawing/2014/main" id="{9EC93D0D-4B80-DDAA-3D1A-22BF941A4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75" name="Picture 111">
          <a:extLst>
            <a:ext uri="{FF2B5EF4-FFF2-40B4-BE49-F238E27FC236}">
              <a16:creationId xmlns:a16="http://schemas.microsoft.com/office/drawing/2014/main" id="{1B0EC271-BE55-8853-DB9C-99AA9A9D9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76" name="Picture 112">
          <a:extLst>
            <a:ext uri="{FF2B5EF4-FFF2-40B4-BE49-F238E27FC236}">
              <a16:creationId xmlns:a16="http://schemas.microsoft.com/office/drawing/2014/main" id="{059EB187-4B37-DAB6-559F-9651D2059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77" name="Picture 113">
          <a:extLst>
            <a:ext uri="{FF2B5EF4-FFF2-40B4-BE49-F238E27FC236}">
              <a16:creationId xmlns:a16="http://schemas.microsoft.com/office/drawing/2014/main" id="{6972D03F-4928-1CD6-792A-2E2710C7A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78" name="Picture 114">
          <a:extLst>
            <a:ext uri="{FF2B5EF4-FFF2-40B4-BE49-F238E27FC236}">
              <a16:creationId xmlns:a16="http://schemas.microsoft.com/office/drawing/2014/main" id="{11BBE2D4-566E-1511-C1C0-34202E864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79" name="Picture 115">
          <a:extLst>
            <a:ext uri="{FF2B5EF4-FFF2-40B4-BE49-F238E27FC236}">
              <a16:creationId xmlns:a16="http://schemas.microsoft.com/office/drawing/2014/main" id="{07D8028A-E916-3651-1086-1416C4B27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80" name="Picture 116">
          <a:extLst>
            <a:ext uri="{FF2B5EF4-FFF2-40B4-BE49-F238E27FC236}">
              <a16:creationId xmlns:a16="http://schemas.microsoft.com/office/drawing/2014/main" id="{6707E26D-D85C-E625-474B-C1E9F9065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81" name="Picture 117">
          <a:extLst>
            <a:ext uri="{FF2B5EF4-FFF2-40B4-BE49-F238E27FC236}">
              <a16:creationId xmlns:a16="http://schemas.microsoft.com/office/drawing/2014/main" id="{A4B65FEB-7715-07FC-85ED-63AEC875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82" name="Picture 118">
          <a:extLst>
            <a:ext uri="{FF2B5EF4-FFF2-40B4-BE49-F238E27FC236}">
              <a16:creationId xmlns:a16="http://schemas.microsoft.com/office/drawing/2014/main" id="{F9D03A0D-D1D2-EB3B-7C8E-5E69218BF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83" name="Picture 119">
          <a:extLst>
            <a:ext uri="{FF2B5EF4-FFF2-40B4-BE49-F238E27FC236}">
              <a16:creationId xmlns:a16="http://schemas.microsoft.com/office/drawing/2014/main" id="{D715821B-8DA6-B6CA-DB9D-97A197522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84" name="Picture 120">
          <a:extLst>
            <a:ext uri="{FF2B5EF4-FFF2-40B4-BE49-F238E27FC236}">
              <a16:creationId xmlns:a16="http://schemas.microsoft.com/office/drawing/2014/main" id="{488B6110-56D6-9132-9D83-540DC9D5A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85" name="Picture 121">
          <a:extLst>
            <a:ext uri="{FF2B5EF4-FFF2-40B4-BE49-F238E27FC236}">
              <a16:creationId xmlns:a16="http://schemas.microsoft.com/office/drawing/2014/main" id="{F1D068C2-03B3-831F-2C1C-6B06CEC9A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86" name="Picture 122">
          <a:extLst>
            <a:ext uri="{FF2B5EF4-FFF2-40B4-BE49-F238E27FC236}">
              <a16:creationId xmlns:a16="http://schemas.microsoft.com/office/drawing/2014/main" id="{76991AD8-2C0A-EF97-FD37-D0F90133D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87" name="Picture 123">
          <a:extLst>
            <a:ext uri="{FF2B5EF4-FFF2-40B4-BE49-F238E27FC236}">
              <a16:creationId xmlns:a16="http://schemas.microsoft.com/office/drawing/2014/main" id="{9908C8E9-4A1A-E3A1-77BB-EB732B79D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88" name="Picture 124">
          <a:extLst>
            <a:ext uri="{FF2B5EF4-FFF2-40B4-BE49-F238E27FC236}">
              <a16:creationId xmlns:a16="http://schemas.microsoft.com/office/drawing/2014/main" id="{EE9CFCCF-F270-6278-3CD7-4E35F206B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89" name="Picture 125">
          <a:extLst>
            <a:ext uri="{FF2B5EF4-FFF2-40B4-BE49-F238E27FC236}">
              <a16:creationId xmlns:a16="http://schemas.microsoft.com/office/drawing/2014/main" id="{C8A7A275-47DB-FDE7-86F4-BEE9C8CD6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90" name="Picture 126">
          <a:extLst>
            <a:ext uri="{FF2B5EF4-FFF2-40B4-BE49-F238E27FC236}">
              <a16:creationId xmlns:a16="http://schemas.microsoft.com/office/drawing/2014/main" id="{0070E147-AAC0-1712-148B-272B70083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91" name="Picture 127">
          <a:extLst>
            <a:ext uri="{FF2B5EF4-FFF2-40B4-BE49-F238E27FC236}">
              <a16:creationId xmlns:a16="http://schemas.microsoft.com/office/drawing/2014/main" id="{BF8ACD68-CE57-4570-13AB-B88417D59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92" name="Picture 128">
          <a:extLst>
            <a:ext uri="{FF2B5EF4-FFF2-40B4-BE49-F238E27FC236}">
              <a16:creationId xmlns:a16="http://schemas.microsoft.com/office/drawing/2014/main" id="{7C0FEAE1-AFD7-139C-7AE5-8561B7E56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93" name="Picture 129">
          <a:extLst>
            <a:ext uri="{FF2B5EF4-FFF2-40B4-BE49-F238E27FC236}">
              <a16:creationId xmlns:a16="http://schemas.microsoft.com/office/drawing/2014/main" id="{0BE12A8E-1413-9BBE-6E87-A4ECAA18D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694" name="Picture 130">
          <a:extLst>
            <a:ext uri="{FF2B5EF4-FFF2-40B4-BE49-F238E27FC236}">
              <a16:creationId xmlns:a16="http://schemas.microsoft.com/office/drawing/2014/main" id="{53878F37-A06C-BA6A-B821-4119F41AF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95" name="Picture 131">
          <a:extLst>
            <a:ext uri="{FF2B5EF4-FFF2-40B4-BE49-F238E27FC236}">
              <a16:creationId xmlns:a16="http://schemas.microsoft.com/office/drawing/2014/main" id="{03DADCE6-A22D-1FD3-827B-3408A747F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96" name="Picture 132">
          <a:extLst>
            <a:ext uri="{FF2B5EF4-FFF2-40B4-BE49-F238E27FC236}">
              <a16:creationId xmlns:a16="http://schemas.microsoft.com/office/drawing/2014/main" id="{FC17E8F7-EEF6-2A23-EF6A-C3D3C3C84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97" name="Picture 133">
          <a:extLst>
            <a:ext uri="{FF2B5EF4-FFF2-40B4-BE49-F238E27FC236}">
              <a16:creationId xmlns:a16="http://schemas.microsoft.com/office/drawing/2014/main" id="{47907CD1-4F5E-40B8-4F64-CD16E4D8D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98" name="Picture 134">
          <a:extLst>
            <a:ext uri="{FF2B5EF4-FFF2-40B4-BE49-F238E27FC236}">
              <a16:creationId xmlns:a16="http://schemas.microsoft.com/office/drawing/2014/main" id="{ACB70D14-97EA-D733-022D-EAAC9232A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699" name="Picture 135">
          <a:extLst>
            <a:ext uri="{FF2B5EF4-FFF2-40B4-BE49-F238E27FC236}">
              <a16:creationId xmlns:a16="http://schemas.microsoft.com/office/drawing/2014/main" id="{6531E988-925D-0AD6-10EB-76CB4E8DA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00" name="Picture 136">
          <a:extLst>
            <a:ext uri="{FF2B5EF4-FFF2-40B4-BE49-F238E27FC236}">
              <a16:creationId xmlns:a16="http://schemas.microsoft.com/office/drawing/2014/main" id="{98DA6B9F-3230-4922-416A-86D5BE5B5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01" name="Picture 137">
          <a:extLst>
            <a:ext uri="{FF2B5EF4-FFF2-40B4-BE49-F238E27FC236}">
              <a16:creationId xmlns:a16="http://schemas.microsoft.com/office/drawing/2014/main" id="{6DFB6DDA-C6EE-3EB1-BF44-A7C21D730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02" name="Picture 138">
          <a:extLst>
            <a:ext uri="{FF2B5EF4-FFF2-40B4-BE49-F238E27FC236}">
              <a16:creationId xmlns:a16="http://schemas.microsoft.com/office/drawing/2014/main" id="{02F7F926-0E51-FDB2-56DC-ECEED11AA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03" name="Picture 139">
          <a:extLst>
            <a:ext uri="{FF2B5EF4-FFF2-40B4-BE49-F238E27FC236}">
              <a16:creationId xmlns:a16="http://schemas.microsoft.com/office/drawing/2014/main" id="{DD636B29-0005-1630-9029-FD0927D20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04" name="Picture 140">
          <a:extLst>
            <a:ext uri="{FF2B5EF4-FFF2-40B4-BE49-F238E27FC236}">
              <a16:creationId xmlns:a16="http://schemas.microsoft.com/office/drawing/2014/main" id="{01D175B6-D8D4-223A-D666-0C8F7D213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05" name="Picture 141">
          <a:extLst>
            <a:ext uri="{FF2B5EF4-FFF2-40B4-BE49-F238E27FC236}">
              <a16:creationId xmlns:a16="http://schemas.microsoft.com/office/drawing/2014/main" id="{F622D0AD-B3EF-5640-F7C1-8DCB40A26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06" name="Picture 142">
          <a:extLst>
            <a:ext uri="{FF2B5EF4-FFF2-40B4-BE49-F238E27FC236}">
              <a16:creationId xmlns:a16="http://schemas.microsoft.com/office/drawing/2014/main" id="{00574A3F-96D2-064A-D1D8-C7CDF38CE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07" name="Picture 143">
          <a:extLst>
            <a:ext uri="{FF2B5EF4-FFF2-40B4-BE49-F238E27FC236}">
              <a16:creationId xmlns:a16="http://schemas.microsoft.com/office/drawing/2014/main" id="{41260E11-8329-3348-5401-D62CEEA44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08" name="Picture 144">
          <a:extLst>
            <a:ext uri="{FF2B5EF4-FFF2-40B4-BE49-F238E27FC236}">
              <a16:creationId xmlns:a16="http://schemas.microsoft.com/office/drawing/2014/main" id="{7D3BD478-6FFF-2612-2564-D17C9797B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09" name="Picture 145">
          <a:extLst>
            <a:ext uri="{FF2B5EF4-FFF2-40B4-BE49-F238E27FC236}">
              <a16:creationId xmlns:a16="http://schemas.microsoft.com/office/drawing/2014/main" id="{53052A72-D16C-B046-F95C-8563E74CC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10" name="Picture 146">
          <a:extLst>
            <a:ext uri="{FF2B5EF4-FFF2-40B4-BE49-F238E27FC236}">
              <a16:creationId xmlns:a16="http://schemas.microsoft.com/office/drawing/2014/main" id="{5C5E2B9E-6935-7465-8ABC-13E4C2E01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11" name="Picture 147">
          <a:extLst>
            <a:ext uri="{FF2B5EF4-FFF2-40B4-BE49-F238E27FC236}">
              <a16:creationId xmlns:a16="http://schemas.microsoft.com/office/drawing/2014/main" id="{4CF11AAC-46B5-6E23-694E-998BDEFFA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12" name="Picture 148">
          <a:extLst>
            <a:ext uri="{FF2B5EF4-FFF2-40B4-BE49-F238E27FC236}">
              <a16:creationId xmlns:a16="http://schemas.microsoft.com/office/drawing/2014/main" id="{B165B61E-6A8C-DCD4-8ADF-FC2EB1742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13" name="Picture 149">
          <a:extLst>
            <a:ext uri="{FF2B5EF4-FFF2-40B4-BE49-F238E27FC236}">
              <a16:creationId xmlns:a16="http://schemas.microsoft.com/office/drawing/2014/main" id="{72D90538-F0F4-87C4-A92F-C06FFAD60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14" name="Picture 150">
          <a:extLst>
            <a:ext uri="{FF2B5EF4-FFF2-40B4-BE49-F238E27FC236}">
              <a16:creationId xmlns:a16="http://schemas.microsoft.com/office/drawing/2014/main" id="{70C81F80-FE63-23B5-66A4-4A42BDA5D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15" name="Picture 151">
          <a:extLst>
            <a:ext uri="{FF2B5EF4-FFF2-40B4-BE49-F238E27FC236}">
              <a16:creationId xmlns:a16="http://schemas.microsoft.com/office/drawing/2014/main" id="{8B4D5CAE-7420-1BCC-9191-008ABD589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16" name="Picture 152">
          <a:extLst>
            <a:ext uri="{FF2B5EF4-FFF2-40B4-BE49-F238E27FC236}">
              <a16:creationId xmlns:a16="http://schemas.microsoft.com/office/drawing/2014/main" id="{8B90A7DE-4C03-1B35-74C0-32DCF76EF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17" name="Picture 153">
          <a:extLst>
            <a:ext uri="{FF2B5EF4-FFF2-40B4-BE49-F238E27FC236}">
              <a16:creationId xmlns:a16="http://schemas.microsoft.com/office/drawing/2014/main" id="{D7360649-12B1-8541-0AD5-512E1519E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18" name="Picture 154">
          <a:extLst>
            <a:ext uri="{FF2B5EF4-FFF2-40B4-BE49-F238E27FC236}">
              <a16:creationId xmlns:a16="http://schemas.microsoft.com/office/drawing/2014/main" id="{CF9B2C8A-8DF5-2872-201F-400B454C2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19" name="Picture 155">
          <a:extLst>
            <a:ext uri="{FF2B5EF4-FFF2-40B4-BE49-F238E27FC236}">
              <a16:creationId xmlns:a16="http://schemas.microsoft.com/office/drawing/2014/main" id="{B3C1DF6E-FB0A-EE7F-0845-1AFA73F1F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20" name="Picture 156">
          <a:extLst>
            <a:ext uri="{FF2B5EF4-FFF2-40B4-BE49-F238E27FC236}">
              <a16:creationId xmlns:a16="http://schemas.microsoft.com/office/drawing/2014/main" id="{29ACCC7B-ED04-D5CF-449E-A4712CF99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21" name="Picture 157">
          <a:extLst>
            <a:ext uri="{FF2B5EF4-FFF2-40B4-BE49-F238E27FC236}">
              <a16:creationId xmlns:a16="http://schemas.microsoft.com/office/drawing/2014/main" id="{0C58DC58-F8E8-84F9-FC58-198638545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22" name="Picture 158">
          <a:extLst>
            <a:ext uri="{FF2B5EF4-FFF2-40B4-BE49-F238E27FC236}">
              <a16:creationId xmlns:a16="http://schemas.microsoft.com/office/drawing/2014/main" id="{C79EC7A4-CD31-0F8D-6165-F3F50D1DE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23" name="Picture 159">
          <a:extLst>
            <a:ext uri="{FF2B5EF4-FFF2-40B4-BE49-F238E27FC236}">
              <a16:creationId xmlns:a16="http://schemas.microsoft.com/office/drawing/2014/main" id="{96C2EB5C-F512-B30C-ECEF-B3F690052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24" name="Picture 160">
          <a:extLst>
            <a:ext uri="{FF2B5EF4-FFF2-40B4-BE49-F238E27FC236}">
              <a16:creationId xmlns:a16="http://schemas.microsoft.com/office/drawing/2014/main" id="{220CDC30-EE1C-57F0-0B5F-15169E0A7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25" name="Picture 161">
          <a:extLst>
            <a:ext uri="{FF2B5EF4-FFF2-40B4-BE49-F238E27FC236}">
              <a16:creationId xmlns:a16="http://schemas.microsoft.com/office/drawing/2014/main" id="{9C85F2F0-9CD8-9CFD-6975-68A01ABD5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26" name="Picture 162">
          <a:extLst>
            <a:ext uri="{FF2B5EF4-FFF2-40B4-BE49-F238E27FC236}">
              <a16:creationId xmlns:a16="http://schemas.microsoft.com/office/drawing/2014/main" id="{2163BE3D-DBF6-A645-2AFD-92C9E8779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27" name="Picture 163">
          <a:extLst>
            <a:ext uri="{FF2B5EF4-FFF2-40B4-BE49-F238E27FC236}">
              <a16:creationId xmlns:a16="http://schemas.microsoft.com/office/drawing/2014/main" id="{D0A1DFB1-6E66-9901-B7C4-46F8BB8B0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28" name="Picture 164">
          <a:extLst>
            <a:ext uri="{FF2B5EF4-FFF2-40B4-BE49-F238E27FC236}">
              <a16:creationId xmlns:a16="http://schemas.microsoft.com/office/drawing/2014/main" id="{9C2209F4-8D88-122B-C151-5D818E01C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29" name="Picture 165">
          <a:extLst>
            <a:ext uri="{FF2B5EF4-FFF2-40B4-BE49-F238E27FC236}">
              <a16:creationId xmlns:a16="http://schemas.microsoft.com/office/drawing/2014/main" id="{FDA18E35-F1E5-F463-D9A0-BE825C385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30" name="Picture 166">
          <a:extLst>
            <a:ext uri="{FF2B5EF4-FFF2-40B4-BE49-F238E27FC236}">
              <a16:creationId xmlns:a16="http://schemas.microsoft.com/office/drawing/2014/main" id="{703E9464-20AC-38FD-88D3-BC64FEB8D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31" name="Picture 167">
          <a:extLst>
            <a:ext uri="{FF2B5EF4-FFF2-40B4-BE49-F238E27FC236}">
              <a16:creationId xmlns:a16="http://schemas.microsoft.com/office/drawing/2014/main" id="{7A36EE3E-51D1-580C-0E9D-9589F8B17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32" name="Picture 168">
          <a:extLst>
            <a:ext uri="{FF2B5EF4-FFF2-40B4-BE49-F238E27FC236}">
              <a16:creationId xmlns:a16="http://schemas.microsoft.com/office/drawing/2014/main" id="{CC8779CD-F538-1149-0B17-EB524D116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33" name="Picture 169">
          <a:extLst>
            <a:ext uri="{FF2B5EF4-FFF2-40B4-BE49-F238E27FC236}">
              <a16:creationId xmlns:a16="http://schemas.microsoft.com/office/drawing/2014/main" id="{C482917F-165C-D77C-2AE9-23BF9C602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34" name="Picture 170">
          <a:extLst>
            <a:ext uri="{FF2B5EF4-FFF2-40B4-BE49-F238E27FC236}">
              <a16:creationId xmlns:a16="http://schemas.microsoft.com/office/drawing/2014/main" id="{FD9CB85F-F32A-2755-9439-ED5FC2EC7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35" name="Picture 171">
          <a:extLst>
            <a:ext uri="{FF2B5EF4-FFF2-40B4-BE49-F238E27FC236}">
              <a16:creationId xmlns:a16="http://schemas.microsoft.com/office/drawing/2014/main" id="{F91BA964-35C0-635F-8306-541824D9E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36" name="Picture 172">
          <a:extLst>
            <a:ext uri="{FF2B5EF4-FFF2-40B4-BE49-F238E27FC236}">
              <a16:creationId xmlns:a16="http://schemas.microsoft.com/office/drawing/2014/main" id="{F68D8DFB-D69E-4BA5-7564-A39F8D792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37" name="Picture 173">
          <a:extLst>
            <a:ext uri="{FF2B5EF4-FFF2-40B4-BE49-F238E27FC236}">
              <a16:creationId xmlns:a16="http://schemas.microsoft.com/office/drawing/2014/main" id="{6DF93BD3-E082-A969-191C-8314DF9F6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38" name="Picture 174">
          <a:extLst>
            <a:ext uri="{FF2B5EF4-FFF2-40B4-BE49-F238E27FC236}">
              <a16:creationId xmlns:a16="http://schemas.microsoft.com/office/drawing/2014/main" id="{6D16FE2B-4EB9-DA14-8882-7B71E4196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39" name="Picture 175">
          <a:extLst>
            <a:ext uri="{FF2B5EF4-FFF2-40B4-BE49-F238E27FC236}">
              <a16:creationId xmlns:a16="http://schemas.microsoft.com/office/drawing/2014/main" id="{95078BCF-6F1D-8C4B-16B4-E3F3B8F89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40" name="Picture 176">
          <a:extLst>
            <a:ext uri="{FF2B5EF4-FFF2-40B4-BE49-F238E27FC236}">
              <a16:creationId xmlns:a16="http://schemas.microsoft.com/office/drawing/2014/main" id="{429A7E97-AA30-24E8-B96E-E1483466C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41" name="Picture 177">
          <a:extLst>
            <a:ext uri="{FF2B5EF4-FFF2-40B4-BE49-F238E27FC236}">
              <a16:creationId xmlns:a16="http://schemas.microsoft.com/office/drawing/2014/main" id="{C2358234-AFA2-EB6B-90D9-123589277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42" name="Picture 178">
          <a:extLst>
            <a:ext uri="{FF2B5EF4-FFF2-40B4-BE49-F238E27FC236}">
              <a16:creationId xmlns:a16="http://schemas.microsoft.com/office/drawing/2014/main" id="{A7C08F77-6448-2EFD-CCF1-59FBE9301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43" name="Picture 179">
          <a:extLst>
            <a:ext uri="{FF2B5EF4-FFF2-40B4-BE49-F238E27FC236}">
              <a16:creationId xmlns:a16="http://schemas.microsoft.com/office/drawing/2014/main" id="{920FBA20-C411-C752-2D39-415CC97A4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44" name="Picture 180">
          <a:extLst>
            <a:ext uri="{FF2B5EF4-FFF2-40B4-BE49-F238E27FC236}">
              <a16:creationId xmlns:a16="http://schemas.microsoft.com/office/drawing/2014/main" id="{3B1D7B01-0058-6E0F-E238-F7A908E39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45" name="Picture 181">
          <a:extLst>
            <a:ext uri="{FF2B5EF4-FFF2-40B4-BE49-F238E27FC236}">
              <a16:creationId xmlns:a16="http://schemas.microsoft.com/office/drawing/2014/main" id="{CE69B7F2-B7CA-7551-47B8-DB3CDBCCC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46" name="Picture 182">
          <a:extLst>
            <a:ext uri="{FF2B5EF4-FFF2-40B4-BE49-F238E27FC236}">
              <a16:creationId xmlns:a16="http://schemas.microsoft.com/office/drawing/2014/main" id="{B2475ABE-3728-0A50-1555-0015E2412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47" name="Picture 183">
          <a:extLst>
            <a:ext uri="{FF2B5EF4-FFF2-40B4-BE49-F238E27FC236}">
              <a16:creationId xmlns:a16="http://schemas.microsoft.com/office/drawing/2014/main" id="{CE162B31-0B68-F1ED-33B0-0FD2D0ED8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48" name="Picture 184">
          <a:extLst>
            <a:ext uri="{FF2B5EF4-FFF2-40B4-BE49-F238E27FC236}">
              <a16:creationId xmlns:a16="http://schemas.microsoft.com/office/drawing/2014/main" id="{FAC3BDFA-8E42-74E1-FBE8-F13FE7C3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49" name="Picture 185">
          <a:extLst>
            <a:ext uri="{FF2B5EF4-FFF2-40B4-BE49-F238E27FC236}">
              <a16:creationId xmlns:a16="http://schemas.microsoft.com/office/drawing/2014/main" id="{9326A835-526D-A8C1-481F-125F2F230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50" name="Picture 186">
          <a:extLst>
            <a:ext uri="{FF2B5EF4-FFF2-40B4-BE49-F238E27FC236}">
              <a16:creationId xmlns:a16="http://schemas.microsoft.com/office/drawing/2014/main" id="{76D3B9A9-575B-1801-26D5-47AB9CEBA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51" name="Picture 187">
          <a:extLst>
            <a:ext uri="{FF2B5EF4-FFF2-40B4-BE49-F238E27FC236}">
              <a16:creationId xmlns:a16="http://schemas.microsoft.com/office/drawing/2014/main" id="{3400D0D2-A469-5A61-8753-0F11FFA3A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52" name="Picture 188">
          <a:extLst>
            <a:ext uri="{FF2B5EF4-FFF2-40B4-BE49-F238E27FC236}">
              <a16:creationId xmlns:a16="http://schemas.microsoft.com/office/drawing/2014/main" id="{8DD18EF6-35F8-A5F5-66E9-9F9FDC227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53" name="Picture 189">
          <a:extLst>
            <a:ext uri="{FF2B5EF4-FFF2-40B4-BE49-F238E27FC236}">
              <a16:creationId xmlns:a16="http://schemas.microsoft.com/office/drawing/2014/main" id="{847276FF-A20C-F62F-3E8A-851FBB4B5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54" name="Picture 190">
          <a:extLst>
            <a:ext uri="{FF2B5EF4-FFF2-40B4-BE49-F238E27FC236}">
              <a16:creationId xmlns:a16="http://schemas.microsoft.com/office/drawing/2014/main" id="{8005ED05-82C9-EBC2-BD39-FC4CE1279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55" name="Picture 191">
          <a:extLst>
            <a:ext uri="{FF2B5EF4-FFF2-40B4-BE49-F238E27FC236}">
              <a16:creationId xmlns:a16="http://schemas.microsoft.com/office/drawing/2014/main" id="{9378BF22-CFD3-2B10-E4AD-8BDD0521F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56" name="Picture 192">
          <a:extLst>
            <a:ext uri="{FF2B5EF4-FFF2-40B4-BE49-F238E27FC236}">
              <a16:creationId xmlns:a16="http://schemas.microsoft.com/office/drawing/2014/main" id="{0A19C4F3-3F3A-34CC-2F80-B7FC5781B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57" name="Picture 193">
          <a:extLst>
            <a:ext uri="{FF2B5EF4-FFF2-40B4-BE49-F238E27FC236}">
              <a16:creationId xmlns:a16="http://schemas.microsoft.com/office/drawing/2014/main" id="{3473053F-F33D-1B37-7492-11756F8A4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58" name="Picture 194">
          <a:extLst>
            <a:ext uri="{FF2B5EF4-FFF2-40B4-BE49-F238E27FC236}">
              <a16:creationId xmlns:a16="http://schemas.microsoft.com/office/drawing/2014/main" id="{3A9BDF72-1071-7A60-E9CD-326D0C482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59" name="Picture 195">
          <a:extLst>
            <a:ext uri="{FF2B5EF4-FFF2-40B4-BE49-F238E27FC236}">
              <a16:creationId xmlns:a16="http://schemas.microsoft.com/office/drawing/2014/main" id="{AC36D35E-46BE-27D3-346C-C9519E3F7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60" name="Picture 196">
          <a:extLst>
            <a:ext uri="{FF2B5EF4-FFF2-40B4-BE49-F238E27FC236}">
              <a16:creationId xmlns:a16="http://schemas.microsoft.com/office/drawing/2014/main" id="{9D30CCF6-BD39-D980-3B98-DFA221B6A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61" name="Picture 197">
          <a:extLst>
            <a:ext uri="{FF2B5EF4-FFF2-40B4-BE49-F238E27FC236}">
              <a16:creationId xmlns:a16="http://schemas.microsoft.com/office/drawing/2014/main" id="{06040FDE-9165-1B90-9DD5-9444A7E80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62" name="Picture 198">
          <a:extLst>
            <a:ext uri="{FF2B5EF4-FFF2-40B4-BE49-F238E27FC236}">
              <a16:creationId xmlns:a16="http://schemas.microsoft.com/office/drawing/2014/main" id="{599079C2-62C5-3548-6DCE-3A6FBA54B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63" name="Picture 199">
          <a:extLst>
            <a:ext uri="{FF2B5EF4-FFF2-40B4-BE49-F238E27FC236}">
              <a16:creationId xmlns:a16="http://schemas.microsoft.com/office/drawing/2014/main" id="{B00133B6-8C6A-9CEF-E93E-244230AD2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64" name="Picture 200">
          <a:extLst>
            <a:ext uri="{FF2B5EF4-FFF2-40B4-BE49-F238E27FC236}">
              <a16:creationId xmlns:a16="http://schemas.microsoft.com/office/drawing/2014/main" id="{90879C35-254A-A01A-7E50-611D2DE0B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65" name="Picture 201">
          <a:extLst>
            <a:ext uri="{FF2B5EF4-FFF2-40B4-BE49-F238E27FC236}">
              <a16:creationId xmlns:a16="http://schemas.microsoft.com/office/drawing/2014/main" id="{5D9F8250-A033-3DCD-1E95-6B1650819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66" name="Picture 202">
          <a:extLst>
            <a:ext uri="{FF2B5EF4-FFF2-40B4-BE49-F238E27FC236}">
              <a16:creationId xmlns:a16="http://schemas.microsoft.com/office/drawing/2014/main" id="{EF3C546B-C12A-1E7A-8252-595315244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67" name="Picture 203">
          <a:extLst>
            <a:ext uri="{FF2B5EF4-FFF2-40B4-BE49-F238E27FC236}">
              <a16:creationId xmlns:a16="http://schemas.microsoft.com/office/drawing/2014/main" id="{05A89FD9-48CD-63DC-50B4-425F210E5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68" name="Picture 204">
          <a:extLst>
            <a:ext uri="{FF2B5EF4-FFF2-40B4-BE49-F238E27FC236}">
              <a16:creationId xmlns:a16="http://schemas.microsoft.com/office/drawing/2014/main" id="{0B1BB177-32C7-3DAE-2F33-83810977E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69" name="Picture 205">
          <a:extLst>
            <a:ext uri="{FF2B5EF4-FFF2-40B4-BE49-F238E27FC236}">
              <a16:creationId xmlns:a16="http://schemas.microsoft.com/office/drawing/2014/main" id="{5A5A907C-3A18-8943-0B23-74CA733EF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70" name="Picture 206">
          <a:extLst>
            <a:ext uri="{FF2B5EF4-FFF2-40B4-BE49-F238E27FC236}">
              <a16:creationId xmlns:a16="http://schemas.microsoft.com/office/drawing/2014/main" id="{DB013A4E-6E4F-C45C-F574-8BE1676B5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71" name="Picture 207">
          <a:extLst>
            <a:ext uri="{FF2B5EF4-FFF2-40B4-BE49-F238E27FC236}">
              <a16:creationId xmlns:a16="http://schemas.microsoft.com/office/drawing/2014/main" id="{A38A0012-4EB5-1522-74AB-4249E35E3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72" name="Picture 208">
          <a:extLst>
            <a:ext uri="{FF2B5EF4-FFF2-40B4-BE49-F238E27FC236}">
              <a16:creationId xmlns:a16="http://schemas.microsoft.com/office/drawing/2014/main" id="{127649F1-CCB5-15B1-094E-5E5F3A2D9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73" name="Picture 209">
          <a:extLst>
            <a:ext uri="{FF2B5EF4-FFF2-40B4-BE49-F238E27FC236}">
              <a16:creationId xmlns:a16="http://schemas.microsoft.com/office/drawing/2014/main" id="{37A2933F-3010-00EF-9076-79C1DA59D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74" name="Picture 210">
          <a:extLst>
            <a:ext uri="{FF2B5EF4-FFF2-40B4-BE49-F238E27FC236}">
              <a16:creationId xmlns:a16="http://schemas.microsoft.com/office/drawing/2014/main" id="{32AA463A-F7B1-6B78-A7D6-8A2D8B3C3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75" name="Picture 211">
          <a:extLst>
            <a:ext uri="{FF2B5EF4-FFF2-40B4-BE49-F238E27FC236}">
              <a16:creationId xmlns:a16="http://schemas.microsoft.com/office/drawing/2014/main" id="{F5923EC3-CA2C-2596-C3D7-582E6F101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76" name="Picture 212">
          <a:extLst>
            <a:ext uri="{FF2B5EF4-FFF2-40B4-BE49-F238E27FC236}">
              <a16:creationId xmlns:a16="http://schemas.microsoft.com/office/drawing/2014/main" id="{CDA32774-ECAB-C010-F21A-66EFD1D8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77" name="Picture 213">
          <a:extLst>
            <a:ext uri="{FF2B5EF4-FFF2-40B4-BE49-F238E27FC236}">
              <a16:creationId xmlns:a16="http://schemas.microsoft.com/office/drawing/2014/main" id="{B02E33D6-1762-6206-27B0-62C171FD6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78" name="Picture 214">
          <a:extLst>
            <a:ext uri="{FF2B5EF4-FFF2-40B4-BE49-F238E27FC236}">
              <a16:creationId xmlns:a16="http://schemas.microsoft.com/office/drawing/2014/main" id="{6EA037A7-9236-ADF3-418B-501C789B1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79" name="Picture 215">
          <a:extLst>
            <a:ext uri="{FF2B5EF4-FFF2-40B4-BE49-F238E27FC236}">
              <a16:creationId xmlns:a16="http://schemas.microsoft.com/office/drawing/2014/main" id="{D83997D0-F22A-4054-B076-084FCBF85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80" name="Picture 216">
          <a:extLst>
            <a:ext uri="{FF2B5EF4-FFF2-40B4-BE49-F238E27FC236}">
              <a16:creationId xmlns:a16="http://schemas.microsoft.com/office/drawing/2014/main" id="{F632940A-12B9-7775-691F-FADCD3491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81" name="Picture 217">
          <a:extLst>
            <a:ext uri="{FF2B5EF4-FFF2-40B4-BE49-F238E27FC236}">
              <a16:creationId xmlns:a16="http://schemas.microsoft.com/office/drawing/2014/main" id="{8EF53535-0EF3-8348-E768-D12A91FC1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82" name="Picture 218">
          <a:extLst>
            <a:ext uri="{FF2B5EF4-FFF2-40B4-BE49-F238E27FC236}">
              <a16:creationId xmlns:a16="http://schemas.microsoft.com/office/drawing/2014/main" id="{C865F946-FF9C-1577-87B7-4300E33ED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83" name="Picture 219">
          <a:extLst>
            <a:ext uri="{FF2B5EF4-FFF2-40B4-BE49-F238E27FC236}">
              <a16:creationId xmlns:a16="http://schemas.microsoft.com/office/drawing/2014/main" id="{0D86CB0C-083A-67F2-AC69-D3D4C3CCE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84" name="Picture 220">
          <a:extLst>
            <a:ext uri="{FF2B5EF4-FFF2-40B4-BE49-F238E27FC236}">
              <a16:creationId xmlns:a16="http://schemas.microsoft.com/office/drawing/2014/main" id="{3FD20FD3-9291-7D63-967B-180F9A8F0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85" name="Picture 221">
          <a:extLst>
            <a:ext uri="{FF2B5EF4-FFF2-40B4-BE49-F238E27FC236}">
              <a16:creationId xmlns:a16="http://schemas.microsoft.com/office/drawing/2014/main" id="{218AD1BE-DD2D-E219-1C2A-6C5F22E5D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86" name="Picture 222">
          <a:extLst>
            <a:ext uri="{FF2B5EF4-FFF2-40B4-BE49-F238E27FC236}">
              <a16:creationId xmlns:a16="http://schemas.microsoft.com/office/drawing/2014/main" id="{A7F774D0-A84B-78E7-748C-0E4D4E76A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87" name="Picture 223">
          <a:extLst>
            <a:ext uri="{FF2B5EF4-FFF2-40B4-BE49-F238E27FC236}">
              <a16:creationId xmlns:a16="http://schemas.microsoft.com/office/drawing/2014/main" id="{A11AAA0A-A8FE-C83B-3D02-738940E83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88" name="Picture 224">
          <a:extLst>
            <a:ext uri="{FF2B5EF4-FFF2-40B4-BE49-F238E27FC236}">
              <a16:creationId xmlns:a16="http://schemas.microsoft.com/office/drawing/2014/main" id="{DA5B4437-F9A1-FC8D-9B6A-C5340811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89" name="Picture 225">
          <a:extLst>
            <a:ext uri="{FF2B5EF4-FFF2-40B4-BE49-F238E27FC236}">
              <a16:creationId xmlns:a16="http://schemas.microsoft.com/office/drawing/2014/main" id="{487C6B61-6848-921F-9B4F-EF0F0BCE3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90" name="Picture 226">
          <a:extLst>
            <a:ext uri="{FF2B5EF4-FFF2-40B4-BE49-F238E27FC236}">
              <a16:creationId xmlns:a16="http://schemas.microsoft.com/office/drawing/2014/main" id="{2DF6FB5F-A1AE-4EC4-34B6-05D4AD213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91" name="Picture 227">
          <a:extLst>
            <a:ext uri="{FF2B5EF4-FFF2-40B4-BE49-F238E27FC236}">
              <a16:creationId xmlns:a16="http://schemas.microsoft.com/office/drawing/2014/main" id="{702C1CE2-32E1-334D-BF12-DAE4405F0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92" name="Picture 228">
          <a:extLst>
            <a:ext uri="{FF2B5EF4-FFF2-40B4-BE49-F238E27FC236}">
              <a16:creationId xmlns:a16="http://schemas.microsoft.com/office/drawing/2014/main" id="{C9B5BB0C-41A6-8B8A-C7C8-836EB566C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93" name="Picture 229">
          <a:extLst>
            <a:ext uri="{FF2B5EF4-FFF2-40B4-BE49-F238E27FC236}">
              <a16:creationId xmlns:a16="http://schemas.microsoft.com/office/drawing/2014/main" id="{A24A9B97-57FC-E53A-8370-1D435E23C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94" name="Picture 230">
          <a:extLst>
            <a:ext uri="{FF2B5EF4-FFF2-40B4-BE49-F238E27FC236}">
              <a16:creationId xmlns:a16="http://schemas.microsoft.com/office/drawing/2014/main" id="{C64F4120-629D-FFDA-76B2-7D38D8AB3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95" name="Picture 231">
          <a:extLst>
            <a:ext uri="{FF2B5EF4-FFF2-40B4-BE49-F238E27FC236}">
              <a16:creationId xmlns:a16="http://schemas.microsoft.com/office/drawing/2014/main" id="{36487D8E-FF7E-E7F5-3C34-F2C238875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796" name="Picture 232">
          <a:extLst>
            <a:ext uri="{FF2B5EF4-FFF2-40B4-BE49-F238E27FC236}">
              <a16:creationId xmlns:a16="http://schemas.microsoft.com/office/drawing/2014/main" id="{0321193D-7150-C8E3-05E2-4CB951A22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97" name="Picture 233">
          <a:extLst>
            <a:ext uri="{FF2B5EF4-FFF2-40B4-BE49-F238E27FC236}">
              <a16:creationId xmlns:a16="http://schemas.microsoft.com/office/drawing/2014/main" id="{3112BF45-8056-4380-952A-02BB09210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98" name="Picture 234">
          <a:extLst>
            <a:ext uri="{FF2B5EF4-FFF2-40B4-BE49-F238E27FC236}">
              <a16:creationId xmlns:a16="http://schemas.microsoft.com/office/drawing/2014/main" id="{65D27F0E-F84C-155B-7B58-A7C00A774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799" name="Picture 235">
          <a:extLst>
            <a:ext uri="{FF2B5EF4-FFF2-40B4-BE49-F238E27FC236}">
              <a16:creationId xmlns:a16="http://schemas.microsoft.com/office/drawing/2014/main" id="{35218BAF-BF17-CFAE-F2BD-967A96B5E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00" name="Picture 236">
          <a:extLst>
            <a:ext uri="{FF2B5EF4-FFF2-40B4-BE49-F238E27FC236}">
              <a16:creationId xmlns:a16="http://schemas.microsoft.com/office/drawing/2014/main" id="{56EFC84C-EC98-3DE6-E1A2-30D904A91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01" name="Picture 237">
          <a:extLst>
            <a:ext uri="{FF2B5EF4-FFF2-40B4-BE49-F238E27FC236}">
              <a16:creationId xmlns:a16="http://schemas.microsoft.com/office/drawing/2014/main" id="{B99AFEB8-4DB0-522C-7747-A30AA9F1D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02" name="Picture 238">
          <a:extLst>
            <a:ext uri="{FF2B5EF4-FFF2-40B4-BE49-F238E27FC236}">
              <a16:creationId xmlns:a16="http://schemas.microsoft.com/office/drawing/2014/main" id="{2AD1143D-91C6-5477-B805-B79C6CEBE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03" name="Picture 239">
          <a:extLst>
            <a:ext uri="{FF2B5EF4-FFF2-40B4-BE49-F238E27FC236}">
              <a16:creationId xmlns:a16="http://schemas.microsoft.com/office/drawing/2014/main" id="{12FCB993-DF0A-EE8A-C772-EFA6AC9C7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04" name="Picture 240">
          <a:extLst>
            <a:ext uri="{FF2B5EF4-FFF2-40B4-BE49-F238E27FC236}">
              <a16:creationId xmlns:a16="http://schemas.microsoft.com/office/drawing/2014/main" id="{B485AD71-E9F2-4292-218C-170A65B02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05" name="Picture 241">
          <a:extLst>
            <a:ext uri="{FF2B5EF4-FFF2-40B4-BE49-F238E27FC236}">
              <a16:creationId xmlns:a16="http://schemas.microsoft.com/office/drawing/2014/main" id="{EAEF39A3-3080-454C-728F-9F09CF3C1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06" name="Picture 242">
          <a:extLst>
            <a:ext uri="{FF2B5EF4-FFF2-40B4-BE49-F238E27FC236}">
              <a16:creationId xmlns:a16="http://schemas.microsoft.com/office/drawing/2014/main" id="{7CDB718E-BB96-161F-CBB4-FEC8E3DFC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07" name="Picture 243">
          <a:extLst>
            <a:ext uri="{FF2B5EF4-FFF2-40B4-BE49-F238E27FC236}">
              <a16:creationId xmlns:a16="http://schemas.microsoft.com/office/drawing/2014/main" id="{50CCC32C-EC15-B9C7-454D-7FF762C6A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08" name="Picture 244">
          <a:extLst>
            <a:ext uri="{FF2B5EF4-FFF2-40B4-BE49-F238E27FC236}">
              <a16:creationId xmlns:a16="http://schemas.microsoft.com/office/drawing/2014/main" id="{BCEBDEB1-3C6C-1B83-267F-977552C57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09" name="Picture 245">
          <a:extLst>
            <a:ext uri="{FF2B5EF4-FFF2-40B4-BE49-F238E27FC236}">
              <a16:creationId xmlns:a16="http://schemas.microsoft.com/office/drawing/2014/main" id="{B709D686-7C4E-4DBF-121D-E7CA9C19C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10" name="Picture 246">
          <a:extLst>
            <a:ext uri="{FF2B5EF4-FFF2-40B4-BE49-F238E27FC236}">
              <a16:creationId xmlns:a16="http://schemas.microsoft.com/office/drawing/2014/main" id="{395EB88F-CDE1-AEE0-7B63-8148C8635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11" name="Picture 247">
          <a:extLst>
            <a:ext uri="{FF2B5EF4-FFF2-40B4-BE49-F238E27FC236}">
              <a16:creationId xmlns:a16="http://schemas.microsoft.com/office/drawing/2014/main" id="{454A69E6-C075-A77A-E52A-3F1347849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12" name="Picture 248">
          <a:extLst>
            <a:ext uri="{FF2B5EF4-FFF2-40B4-BE49-F238E27FC236}">
              <a16:creationId xmlns:a16="http://schemas.microsoft.com/office/drawing/2014/main" id="{9C38313D-ED0B-8169-0D77-DFBF76FDC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13" name="Picture 249">
          <a:extLst>
            <a:ext uri="{FF2B5EF4-FFF2-40B4-BE49-F238E27FC236}">
              <a16:creationId xmlns:a16="http://schemas.microsoft.com/office/drawing/2014/main" id="{5A318184-8331-C8B5-D5FC-6912C034A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14" name="Picture 250">
          <a:extLst>
            <a:ext uri="{FF2B5EF4-FFF2-40B4-BE49-F238E27FC236}">
              <a16:creationId xmlns:a16="http://schemas.microsoft.com/office/drawing/2014/main" id="{5F1F662B-D72E-83C7-C083-CD6D1CE0F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15" name="Picture 251">
          <a:extLst>
            <a:ext uri="{FF2B5EF4-FFF2-40B4-BE49-F238E27FC236}">
              <a16:creationId xmlns:a16="http://schemas.microsoft.com/office/drawing/2014/main" id="{97E5BE00-D7A4-C890-C727-20B006960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16" name="Picture 252">
          <a:extLst>
            <a:ext uri="{FF2B5EF4-FFF2-40B4-BE49-F238E27FC236}">
              <a16:creationId xmlns:a16="http://schemas.microsoft.com/office/drawing/2014/main" id="{C63342DE-A9F9-6A6F-F205-94B8E8738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17" name="Picture 253">
          <a:extLst>
            <a:ext uri="{FF2B5EF4-FFF2-40B4-BE49-F238E27FC236}">
              <a16:creationId xmlns:a16="http://schemas.microsoft.com/office/drawing/2014/main" id="{6AB35ACA-F376-0F05-65E0-964063CEE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18" name="Picture 254">
          <a:extLst>
            <a:ext uri="{FF2B5EF4-FFF2-40B4-BE49-F238E27FC236}">
              <a16:creationId xmlns:a16="http://schemas.microsoft.com/office/drawing/2014/main" id="{7AA87F6F-699A-5709-579D-E63F4B18A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19" name="Picture 255">
          <a:extLst>
            <a:ext uri="{FF2B5EF4-FFF2-40B4-BE49-F238E27FC236}">
              <a16:creationId xmlns:a16="http://schemas.microsoft.com/office/drawing/2014/main" id="{26DC0756-8CB3-1D53-786D-47568F5B3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20" name="Picture 256">
          <a:extLst>
            <a:ext uri="{FF2B5EF4-FFF2-40B4-BE49-F238E27FC236}">
              <a16:creationId xmlns:a16="http://schemas.microsoft.com/office/drawing/2014/main" id="{06681E6D-7212-96AA-CC43-E557FD5C0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21" name="Picture 257">
          <a:extLst>
            <a:ext uri="{FF2B5EF4-FFF2-40B4-BE49-F238E27FC236}">
              <a16:creationId xmlns:a16="http://schemas.microsoft.com/office/drawing/2014/main" id="{30562540-A5E7-AEBE-5621-80A4D7E54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22" name="Picture 258">
          <a:extLst>
            <a:ext uri="{FF2B5EF4-FFF2-40B4-BE49-F238E27FC236}">
              <a16:creationId xmlns:a16="http://schemas.microsoft.com/office/drawing/2014/main" id="{981224BE-99D4-C976-EED3-14F7CBD4C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23" name="Picture 259">
          <a:extLst>
            <a:ext uri="{FF2B5EF4-FFF2-40B4-BE49-F238E27FC236}">
              <a16:creationId xmlns:a16="http://schemas.microsoft.com/office/drawing/2014/main" id="{77276B53-9C81-DC94-E170-A22BE7302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24" name="Picture 260">
          <a:extLst>
            <a:ext uri="{FF2B5EF4-FFF2-40B4-BE49-F238E27FC236}">
              <a16:creationId xmlns:a16="http://schemas.microsoft.com/office/drawing/2014/main" id="{D5459197-1B95-8FF5-3ECD-C1F04C96C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25" name="Picture 261">
          <a:extLst>
            <a:ext uri="{FF2B5EF4-FFF2-40B4-BE49-F238E27FC236}">
              <a16:creationId xmlns:a16="http://schemas.microsoft.com/office/drawing/2014/main" id="{582BB6D5-5E5E-8B1F-20F8-B2955EE3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26" name="Picture 262">
          <a:extLst>
            <a:ext uri="{FF2B5EF4-FFF2-40B4-BE49-F238E27FC236}">
              <a16:creationId xmlns:a16="http://schemas.microsoft.com/office/drawing/2014/main" id="{DBFFB313-3D32-5B78-1C28-6D9F1977C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27" name="Picture 263">
          <a:extLst>
            <a:ext uri="{FF2B5EF4-FFF2-40B4-BE49-F238E27FC236}">
              <a16:creationId xmlns:a16="http://schemas.microsoft.com/office/drawing/2014/main" id="{09BD1964-FD69-95BF-F654-BFA1A2C02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28" name="Picture 264">
          <a:extLst>
            <a:ext uri="{FF2B5EF4-FFF2-40B4-BE49-F238E27FC236}">
              <a16:creationId xmlns:a16="http://schemas.microsoft.com/office/drawing/2014/main" id="{8DE741D1-751D-C02A-BD84-D4D59ECDA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29" name="Picture 265">
          <a:extLst>
            <a:ext uri="{FF2B5EF4-FFF2-40B4-BE49-F238E27FC236}">
              <a16:creationId xmlns:a16="http://schemas.microsoft.com/office/drawing/2014/main" id="{975D0EF1-40B2-3F9F-0418-D5B51BB14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30" name="Picture 266">
          <a:extLst>
            <a:ext uri="{FF2B5EF4-FFF2-40B4-BE49-F238E27FC236}">
              <a16:creationId xmlns:a16="http://schemas.microsoft.com/office/drawing/2014/main" id="{D9446A54-5DE0-7020-78CF-C9D349A49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31" name="Picture 267">
          <a:extLst>
            <a:ext uri="{FF2B5EF4-FFF2-40B4-BE49-F238E27FC236}">
              <a16:creationId xmlns:a16="http://schemas.microsoft.com/office/drawing/2014/main" id="{57F55CC5-AA00-7E75-C4F9-3901B02B8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32" name="Picture 268">
          <a:extLst>
            <a:ext uri="{FF2B5EF4-FFF2-40B4-BE49-F238E27FC236}">
              <a16:creationId xmlns:a16="http://schemas.microsoft.com/office/drawing/2014/main" id="{E05D7B36-26CC-C445-C366-A5D28BC0F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33" name="Picture 269">
          <a:extLst>
            <a:ext uri="{FF2B5EF4-FFF2-40B4-BE49-F238E27FC236}">
              <a16:creationId xmlns:a16="http://schemas.microsoft.com/office/drawing/2014/main" id="{10051BBC-ECE0-C302-4985-85B9A569B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34" name="Picture 270">
          <a:extLst>
            <a:ext uri="{FF2B5EF4-FFF2-40B4-BE49-F238E27FC236}">
              <a16:creationId xmlns:a16="http://schemas.microsoft.com/office/drawing/2014/main" id="{D114B574-FF83-E290-E916-BA51D2EEA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35" name="Picture 271">
          <a:extLst>
            <a:ext uri="{FF2B5EF4-FFF2-40B4-BE49-F238E27FC236}">
              <a16:creationId xmlns:a16="http://schemas.microsoft.com/office/drawing/2014/main" id="{DD9B547D-24CE-80EC-9C03-EC5ACF5E4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36" name="Picture 272">
          <a:extLst>
            <a:ext uri="{FF2B5EF4-FFF2-40B4-BE49-F238E27FC236}">
              <a16:creationId xmlns:a16="http://schemas.microsoft.com/office/drawing/2014/main" id="{72028DCA-ACA2-C80B-F90A-D86556ACD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37" name="Picture 273">
          <a:extLst>
            <a:ext uri="{FF2B5EF4-FFF2-40B4-BE49-F238E27FC236}">
              <a16:creationId xmlns:a16="http://schemas.microsoft.com/office/drawing/2014/main" id="{1E0A8205-8AE7-6D24-DC8D-4715FAD33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38" name="Picture 274">
          <a:extLst>
            <a:ext uri="{FF2B5EF4-FFF2-40B4-BE49-F238E27FC236}">
              <a16:creationId xmlns:a16="http://schemas.microsoft.com/office/drawing/2014/main" id="{EE699708-BD63-B59A-639E-9F9FB8458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39" name="Picture 275">
          <a:extLst>
            <a:ext uri="{FF2B5EF4-FFF2-40B4-BE49-F238E27FC236}">
              <a16:creationId xmlns:a16="http://schemas.microsoft.com/office/drawing/2014/main" id="{7CF2BDD0-EDD6-0342-5F85-8BF6D80D3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40" name="Picture 276">
          <a:extLst>
            <a:ext uri="{FF2B5EF4-FFF2-40B4-BE49-F238E27FC236}">
              <a16:creationId xmlns:a16="http://schemas.microsoft.com/office/drawing/2014/main" id="{D16BD1EE-E646-F10A-8C92-F1C963339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41" name="Picture 277">
          <a:extLst>
            <a:ext uri="{FF2B5EF4-FFF2-40B4-BE49-F238E27FC236}">
              <a16:creationId xmlns:a16="http://schemas.microsoft.com/office/drawing/2014/main" id="{248BA64C-D5E0-26E6-BA1A-3FCA3EB88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42" name="Picture 278">
          <a:extLst>
            <a:ext uri="{FF2B5EF4-FFF2-40B4-BE49-F238E27FC236}">
              <a16:creationId xmlns:a16="http://schemas.microsoft.com/office/drawing/2014/main" id="{3C6C0D5B-FB60-FB20-D2E5-61AD38B41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43" name="Picture 279">
          <a:extLst>
            <a:ext uri="{FF2B5EF4-FFF2-40B4-BE49-F238E27FC236}">
              <a16:creationId xmlns:a16="http://schemas.microsoft.com/office/drawing/2014/main" id="{8A507B52-5CBE-8709-8FB4-070DBBA78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44" name="Picture 280">
          <a:extLst>
            <a:ext uri="{FF2B5EF4-FFF2-40B4-BE49-F238E27FC236}">
              <a16:creationId xmlns:a16="http://schemas.microsoft.com/office/drawing/2014/main" id="{BA55699C-1BFF-81EA-8C76-1729ED79D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45" name="Picture 281">
          <a:extLst>
            <a:ext uri="{FF2B5EF4-FFF2-40B4-BE49-F238E27FC236}">
              <a16:creationId xmlns:a16="http://schemas.microsoft.com/office/drawing/2014/main" id="{0FD4B2E0-A175-F793-C15D-DC8AE31A5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46" name="Picture 282">
          <a:extLst>
            <a:ext uri="{FF2B5EF4-FFF2-40B4-BE49-F238E27FC236}">
              <a16:creationId xmlns:a16="http://schemas.microsoft.com/office/drawing/2014/main" id="{FE228546-1A9C-29FF-462A-8513B1455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47" name="Picture 283">
          <a:extLst>
            <a:ext uri="{FF2B5EF4-FFF2-40B4-BE49-F238E27FC236}">
              <a16:creationId xmlns:a16="http://schemas.microsoft.com/office/drawing/2014/main" id="{62540CC3-7DE4-FC48-C9BE-2AA92FAD2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48" name="Picture 284">
          <a:extLst>
            <a:ext uri="{FF2B5EF4-FFF2-40B4-BE49-F238E27FC236}">
              <a16:creationId xmlns:a16="http://schemas.microsoft.com/office/drawing/2014/main" id="{5C5B28B1-F4F2-80F0-5665-37D4A36C9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49" name="Picture 285">
          <a:extLst>
            <a:ext uri="{FF2B5EF4-FFF2-40B4-BE49-F238E27FC236}">
              <a16:creationId xmlns:a16="http://schemas.microsoft.com/office/drawing/2014/main" id="{20ECFD28-7DD5-F86D-2D99-1F0997FCB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50" name="Picture 286">
          <a:extLst>
            <a:ext uri="{FF2B5EF4-FFF2-40B4-BE49-F238E27FC236}">
              <a16:creationId xmlns:a16="http://schemas.microsoft.com/office/drawing/2014/main" id="{25092445-6852-D7B5-08C7-8E8174793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51" name="Picture 287">
          <a:extLst>
            <a:ext uri="{FF2B5EF4-FFF2-40B4-BE49-F238E27FC236}">
              <a16:creationId xmlns:a16="http://schemas.microsoft.com/office/drawing/2014/main" id="{FE40C8B5-794B-CC7E-FEB9-A95EA7ED2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52" name="Picture 288">
          <a:extLst>
            <a:ext uri="{FF2B5EF4-FFF2-40B4-BE49-F238E27FC236}">
              <a16:creationId xmlns:a16="http://schemas.microsoft.com/office/drawing/2014/main" id="{6955B350-B939-D09D-22AF-F9591776F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53" name="Picture 289">
          <a:extLst>
            <a:ext uri="{FF2B5EF4-FFF2-40B4-BE49-F238E27FC236}">
              <a16:creationId xmlns:a16="http://schemas.microsoft.com/office/drawing/2014/main" id="{BE7F0951-707C-2E2A-80B0-1FD02851F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54" name="Picture 290">
          <a:extLst>
            <a:ext uri="{FF2B5EF4-FFF2-40B4-BE49-F238E27FC236}">
              <a16:creationId xmlns:a16="http://schemas.microsoft.com/office/drawing/2014/main" id="{08B92406-7F0D-31BF-DB27-F46FC618F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55" name="Picture 291">
          <a:extLst>
            <a:ext uri="{FF2B5EF4-FFF2-40B4-BE49-F238E27FC236}">
              <a16:creationId xmlns:a16="http://schemas.microsoft.com/office/drawing/2014/main" id="{350DEBBF-32CC-707F-099B-16F63BC88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56" name="Picture 292">
          <a:extLst>
            <a:ext uri="{FF2B5EF4-FFF2-40B4-BE49-F238E27FC236}">
              <a16:creationId xmlns:a16="http://schemas.microsoft.com/office/drawing/2014/main" id="{54699CC7-618F-6115-00FD-62EBE7A56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57" name="Picture 293">
          <a:extLst>
            <a:ext uri="{FF2B5EF4-FFF2-40B4-BE49-F238E27FC236}">
              <a16:creationId xmlns:a16="http://schemas.microsoft.com/office/drawing/2014/main" id="{3834C031-0293-22C7-63C9-B227EAD35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58" name="Picture 294">
          <a:extLst>
            <a:ext uri="{FF2B5EF4-FFF2-40B4-BE49-F238E27FC236}">
              <a16:creationId xmlns:a16="http://schemas.microsoft.com/office/drawing/2014/main" id="{0CE13240-FB4C-BCBE-DC61-25241B1DE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59" name="Picture 295">
          <a:extLst>
            <a:ext uri="{FF2B5EF4-FFF2-40B4-BE49-F238E27FC236}">
              <a16:creationId xmlns:a16="http://schemas.microsoft.com/office/drawing/2014/main" id="{97033341-54AA-01F2-185A-892C89CB3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60" name="Picture 296">
          <a:extLst>
            <a:ext uri="{FF2B5EF4-FFF2-40B4-BE49-F238E27FC236}">
              <a16:creationId xmlns:a16="http://schemas.microsoft.com/office/drawing/2014/main" id="{7C20BF8E-C37B-E656-CF37-CF16A77D8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61" name="Picture 297">
          <a:extLst>
            <a:ext uri="{FF2B5EF4-FFF2-40B4-BE49-F238E27FC236}">
              <a16:creationId xmlns:a16="http://schemas.microsoft.com/office/drawing/2014/main" id="{71719191-1278-ACD1-B82A-6565EC621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62" name="Picture 298">
          <a:extLst>
            <a:ext uri="{FF2B5EF4-FFF2-40B4-BE49-F238E27FC236}">
              <a16:creationId xmlns:a16="http://schemas.microsoft.com/office/drawing/2014/main" id="{A96FAFFC-04A7-C514-CCE6-937104282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63" name="Picture 299">
          <a:extLst>
            <a:ext uri="{FF2B5EF4-FFF2-40B4-BE49-F238E27FC236}">
              <a16:creationId xmlns:a16="http://schemas.microsoft.com/office/drawing/2014/main" id="{B3944091-B9BB-82D2-F675-3F2A1CA0F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64" name="Picture 300">
          <a:extLst>
            <a:ext uri="{FF2B5EF4-FFF2-40B4-BE49-F238E27FC236}">
              <a16:creationId xmlns:a16="http://schemas.microsoft.com/office/drawing/2014/main" id="{E3CD045C-A091-0C01-94F5-01C7710F3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65" name="Picture 301">
          <a:extLst>
            <a:ext uri="{FF2B5EF4-FFF2-40B4-BE49-F238E27FC236}">
              <a16:creationId xmlns:a16="http://schemas.microsoft.com/office/drawing/2014/main" id="{175F8BC7-2204-2EBC-4ABE-7C694DF5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66" name="Picture 302">
          <a:extLst>
            <a:ext uri="{FF2B5EF4-FFF2-40B4-BE49-F238E27FC236}">
              <a16:creationId xmlns:a16="http://schemas.microsoft.com/office/drawing/2014/main" id="{D4E2EF12-C905-60DF-8D04-EE8B72414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67" name="Picture 303">
          <a:extLst>
            <a:ext uri="{FF2B5EF4-FFF2-40B4-BE49-F238E27FC236}">
              <a16:creationId xmlns:a16="http://schemas.microsoft.com/office/drawing/2014/main" id="{5691D464-CDA5-BCAD-5BB8-C81B23804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68" name="Picture 304">
          <a:extLst>
            <a:ext uri="{FF2B5EF4-FFF2-40B4-BE49-F238E27FC236}">
              <a16:creationId xmlns:a16="http://schemas.microsoft.com/office/drawing/2014/main" id="{4328BE3D-C533-2BF5-4FD4-7D256F9AB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69" name="Picture 305">
          <a:extLst>
            <a:ext uri="{FF2B5EF4-FFF2-40B4-BE49-F238E27FC236}">
              <a16:creationId xmlns:a16="http://schemas.microsoft.com/office/drawing/2014/main" id="{BB79117E-88D3-6A39-7B18-797D696A5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70" name="Picture 306">
          <a:extLst>
            <a:ext uri="{FF2B5EF4-FFF2-40B4-BE49-F238E27FC236}">
              <a16:creationId xmlns:a16="http://schemas.microsoft.com/office/drawing/2014/main" id="{C2C133EA-BF1E-DB0B-81FB-4CB96AEC1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71" name="Picture 307">
          <a:extLst>
            <a:ext uri="{FF2B5EF4-FFF2-40B4-BE49-F238E27FC236}">
              <a16:creationId xmlns:a16="http://schemas.microsoft.com/office/drawing/2014/main" id="{010934F9-48DE-71AD-84D9-2476138ED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72" name="Picture 308">
          <a:extLst>
            <a:ext uri="{FF2B5EF4-FFF2-40B4-BE49-F238E27FC236}">
              <a16:creationId xmlns:a16="http://schemas.microsoft.com/office/drawing/2014/main" id="{1F1FABE0-3E43-3479-6416-4D001A5B0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73" name="Picture 309">
          <a:extLst>
            <a:ext uri="{FF2B5EF4-FFF2-40B4-BE49-F238E27FC236}">
              <a16:creationId xmlns:a16="http://schemas.microsoft.com/office/drawing/2014/main" id="{787C1D76-FEBC-01C8-18C9-27D88328E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74" name="Picture 310">
          <a:extLst>
            <a:ext uri="{FF2B5EF4-FFF2-40B4-BE49-F238E27FC236}">
              <a16:creationId xmlns:a16="http://schemas.microsoft.com/office/drawing/2014/main" id="{489326E6-2760-C7D7-95E7-9C345008C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75" name="Picture 311">
          <a:extLst>
            <a:ext uri="{FF2B5EF4-FFF2-40B4-BE49-F238E27FC236}">
              <a16:creationId xmlns:a16="http://schemas.microsoft.com/office/drawing/2014/main" id="{2FFC56C7-86E1-EB9D-1CAF-57B0D7A14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76" name="Picture 312">
          <a:extLst>
            <a:ext uri="{FF2B5EF4-FFF2-40B4-BE49-F238E27FC236}">
              <a16:creationId xmlns:a16="http://schemas.microsoft.com/office/drawing/2014/main" id="{15A09E4F-BA52-FD8B-4FD5-F57D42101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77" name="Picture 313">
          <a:extLst>
            <a:ext uri="{FF2B5EF4-FFF2-40B4-BE49-F238E27FC236}">
              <a16:creationId xmlns:a16="http://schemas.microsoft.com/office/drawing/2014/main" id="{B05D37D5-4B5F-A70B-637B-7B91379F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78" name="Picture 314">
          <a:extLst>
            <a:ext uri="{FF2B5EF4-FFF2-40B4-BE49-F238E27FC236}">
              <a16:creationId xmlns:a16="http://schemas.microsoft.com/office/drawing/2014/main" id="{DFDC581A-79D2-328A-B876-BAD808F51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79" name="Picture 315">
          <a:extLst>
            <a:ext uri="{FF2B5EF4-FFF2-40B4-BE49-F238E27FC236}">
              <a16:creationId xmlns:a16="http://schemas.microsoft.com/office/drawing/2014/main" id="{8C768443-A5F2-EAFF-E1B3-BB8CDD4BB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80" name="Picture 316">
          <a:extLst>
            <a:ext uri="{FF2B5EF4-FFF2-40B4-BE49-F238E27FC236}">
              <a16:creationId xmlns:a16="http://schemas.microsoft.com/office/drawing/2014/main" id="{B3DF9616-2E33-C363-3CE9-A76C0F4DF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81" name="Picture 317">
          <a:extLst>
            <a:ext uri="{FF2B5EF4-FFF2-40B4-BE49-F238E27FC236}">
              <a16:creationId xmlns:a16="http://schemas.microsoft.com/office/drawing/2014/main" id="{A4D349E4-9E9A-2048-27BA-6E59639A6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82" name="Picture 318">
          <a:extLst>
            <a:ext uri="{FF2B5EF4-FFF2-40B4-BE49-F238E27FC236}">
              <a16:creationId xmlns:a16="http://schemas.microsoft.com/office/drawing/2014/main" id="{98EFDEDC-F4F3-42EC-58E5-1C9D76471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83" name="Picture 319">
          <a:extLst>
            <a:ext uri="{FF2B5EF4-FFF2-40B4-BE49-F238E27FC236}">
              <a16:creationId xmlns:a16="http://schemas.microsoft.com/office/drawing/2014/main" id="{0FDD0FCA-2D2D-EF5F-519C-7FC47706E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84" name="Picture 320">
          <a:extLst>
            <a:ext uri="{FF2B5EF4-FFF2-40B4-BE49-F238E27FC236}">
              <a16:creationId xmlns:a16="http://schemas.microsoft.com/office/drawing/2014/main" id="{38B5DEAE-937A-0D48-C0FB-0E2FD77F9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85" name="Picture 321">
          <a:extLst>
            <a:ext uri="{FF2B5EF4-FFF2-40B4-BE49-F238E27FC236}">
              <a16:creationId xmlns:a16="http://schemas.microsoft.com/office/drawing/2014/main" id="{AAA4D7CA-58E1-2EDA-7965-C25AD05B4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86" name="Picture 322">
          <a:extLst>
            <a:ext uri="{FF2B5EF4-FFF2-40B4-BE49-F238E27FC236}">
              <a16:creationId xmlns:a16="http://schemas.microsoft.com/office/drawing/2014/main" id="{5E039EA4-AC4A-2EF2-AAB6-2D605A0B7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87" name="Picture 323">
          <a:extLst>
            <a:ext uri="{FF2B5EF4-FFF2-40B4-BE49-F238E27FC236}">
              <a16:creationId xmlns:a16="http://schemas.microsoft.com/office/drawing/2014/main" id="{91DF99E3-C224-9F67-C838-30CAFC1BC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88" name="Picture 324">
          <a:extLst>
            <a:ext uri="{FF2B5EF4-FFF2-40B4-BE49-F238E27FC236}">
              <a16:creationId xmlns:a16="http://schemas.microsoft.com/office/drawing/2014/main" id="{A5E82A36-8872-E31A-0382-09C8A5E9C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89" name="Picture 325">
          <a:extLst>
            <a:ext uri="{FF2B5EF4-FFF2-40B4-BE49-F238E27FC236}">
              <a16:creationId xmlns:a16="http://schemas.microsoft.com/office/drawing/2014/main" id="{5EAB498D-E08C-58D7-2110-0D2A0B7F2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90" name="Picture 326">
          <a:extLst>
            <a:ext uri="{FF2B5EF4-FFF2-40B4-BE49-F238E27FC236}">
              <a16:creationId xmlns:a16="http://schemas.microsoft.com/office/drawing/2014/main" id="{263630B6-1FD4-8E72-DB84-180E4EF40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91" name="Picture 327">
          <a:extLst>
            <a:ext uri="{FF2B5EF4-FFF2-40B4-BE49-F238E27FC236}">
              <a16:creationId xmlns:a16="http://schemas.microsoft.com/office/drawing/2014/main" id="{3BCE3121-8DCC-0225-7649-DF20D1F42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92" name="Picture 328">
          <a:extLst>
            <a:ext uri="{FF2B5EF4-FFF2-40B4-BE49-F238E27FC236}">
              <a16:creationId xmlns:a16="http://schemas.microsoft.com/office/drawing/2014/main" id="{9647B191-2D7B-B518-7376-FE106285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93" name="Picture 329">
          <a:extLst>
            <a:ext uri="{FF2B5EF4-FFF2-40B4-BE49-F238E27FC236}">
              <a16:creationId xmlns:a16="http://schemas.microsoft.com/office/drawing/2014/main" id="{47B4E507-390C-CB6E-5B85-956F3F504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94" name="Picture 330">
          <a:extLst>
            <a:ext uri="{FF2B5EF4-FFF2-40B4-BE49-F238E27FC236}">
              <a16:creationId xmlns:a16="http://schemas.microsoft.com/office/drawing/2014/main" id="{33ACCDD1-283D-FB0F-263D-B458987F2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95" name="Picture 331">
          <a:extLst>
            <a:ext uri="{FF2B5EF4-FFF2-40B4-BE49-F238E27FC236}">
              <a16:creationId xmlns:a16="http://schemas.microsoft.com/office/drawing/2014/main" id="{60F1ABD1-E552-6792-C71E-DEF94A229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96" name="Picture 332">
          <a:extLst>
            <a:ext uri="{FF2B5EF4-FFF2-40B4-BE49-F238E27FC236}">
              <a16:creationId xmlns:a16="http://schemas.microsoft.com/office/drawing/2014/main" id="{1AE4929F-ACC8-761C-C1F7-5DDE0B268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97" name="Picture 333">
          <a:extLst>
            <a:ext uri="{FF2B5EF4-FFF2-40B4-BE49-F238E27FC236}">
              <a16:creationId xmlns:a16="http://schemas.microsoft.com/office/drawing/2014/main" id="{F03FF3E8-581C-2E16-A09C-6B043EB80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898" name="Picture 334">
          <a:extLst>
            <a:ext uri="{FF2B5EF4-FFF2-40B4-BE49-F238E27FC236}">
              <a16:creationId xmlns:a16="http://schemas.microsoft.com/office/drawing/2014/main" id="{DBE0D6C7-CE08-6847-1371-719092255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899" name="Picture 335">
          <a:extLst>
            <a:ext uri="{FF2B5EF4-FFF2-40B4-BE49-F238E27FC236}">
              <a16:creationId xmlns:a16="http://schemas.microsoft.com/office/drawing/2014/main" id="{F78AD8DA-9AB0-0005-2C78-7431BB46C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00" name="Picture 336">
          <a:extLst>
            <a:ext uri="{FF2B5EF4-FFF2-40B4-BE49-F238E27FC236}">
              <a16:creationId xmlns:a16="http://schemas.microsoft.com/office/drawing/2014/main" id="{775C6BA7-D41A-8F57-8332-E3F8A2165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01" name="Picture 337">
          <a:extLst>
            <a:ext uri="{FF2B5EF4-FFF2-40B4-BE49-F238E27FC236}">
              <a16:creationId xmlns:a16="http://schemas.microsoft.com/office/drawing/2014/main" id="{F70F00D8-EB5C-2F3B-8C40-2ED5699E7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02" name="Picture 338">
          <a:extLst>
            <a:ext uri="{FF2B5EF4-FFF2-40B4-BE49-F238E27FC236}">
              <a16:creationId xmlns:a16="http://schemas.microsoft.com/office/drawing/2014/main" id="{D1E31C16-7EE8-9C5A-5CD7-5DF1B1BD4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03" name="Picture 339">
          <a:extLst>
            <a:ext uri="{FF2B5EF4-FFF2-40B4-BE49-F238E27FC236}">
              <a16:creationId xmlns:a16="http://schemas.microsoft.com/office/drawing/2014/main" id="{0FF5F971-F460-3C96-132C-70FF973AA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04" name="Picture 340">
          <a:extLst>
            <a:ext uri="{FF2B5EF4-FFF2-40B4-BE49-F238E27FC236}">
              <a16:creationId xmlns:a16="http://schemas.microsoft.com/office/drawing/2014/main" id="{036CF666-DA20-98FE-1275-16155A1DC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05" name="Picture 341">
          <a:extLst>
            <a:ext uri="{FF2B5EF4-FFF2-40B4-BE49-F238E27FC236}">
              <a16:creationId xmlns:a16="http://schemas.microsoft.com/office/drawing/2014/main" id="{AA9C6C3A-C384-637E-CCDB-FD51B6924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06" name="Picture 342">
          <a:extLst>
            <a:ext uri="{FF2B5EF4-FFF2-40B4-BE49-F238E27FC236}">
              <a16:creationId xmlns:a16="http://schemas.microsoft.com/office/drawing/2014/main" id="{93E44A6F-7994-B65E-61CE-CDB861A19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07" name="Picture 343">
          <a:extLst>
            <a:ext uri="{FF2B5EF4-FFF2-40B4-BE49-F238E27FC236}">
              <a16:creationId xmlns:a16="http://schemas.microsoft.com/office/drawing/2014/main" id="{7DC81FA0-83B3-D8CD-6937-05F9B39A5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08" name="Picture 344">
          <a:extLst>
            <a:ext uri="{FF2B5EF4-FFF2-40B4-BE49-F238E27FC236}">
              <a16:creationId xmlns:a16="http://schemas.microsoft.com/office/drawing/2014/main" id="{A4AEB27B-A1B1-FE85-2485-C533A6768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09" name="Picture 345">
          <a:extLst>
            <a:ext uri="{FF2B5EF4-FFF2-40B4-BE49-F238E27FC236}">
              <a16:creationId xmlns:a16="http://schemas.microsoft.com/office/drawing/2014/main" id="{E757AA74-D857-62BB-334B-CADF86B61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10" name="Picture 346">
          <a:extLst>
            <a:ext uri="{FF2B5EF4-FFF2-40B4-BE49-F238E27FC236}">
              <a16:creationId xmlns:a16="http://schemas.microsoft.com/office/drawing/2014/main" id="{ED0F8346-88AA-1211-1B21-900164E5F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11" name="Picture 347">
          <a:extLst>
            <a:ext uri="{FF2B5EF4-FFF2-40B4-BE49-F238E27FC236}">
              <a16:creationId xmlns:a16="http://schemas.microsoft.com/office/drawing/2014/main" id="{B2120F47-74EF-1EFB-AE93-8AE5ABA89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12" name="Picture 348">
          <a:extLst>
            <a:ext uri="{FF2B5EF4-FFF2-40B4-BE49-F238E27FC236}">
              <a16:creationId xmlns:a16="http://schemas.microsoft.com/office/drawing/2014/main" id="{0E54A85F-A311-B4A3-8980-D8558C88F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13" name="Picture 349">
          <a:extLst>
            <a:ext uri="{FF2B5EF4-FFF2-40B4-BE49-F238E27FC236}">
              <a16:creationId xmlns:a16="http://schemas.microsoft.com/office/drawing/2014/main" id="{F7418778-4AC8-531E-A45F-F4647D5C6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14" name="Picture 350">
          <a:extLst>
            <a:ext uri="{FF2B5EF4-FFF2-40B4-BE49-F238E27FC236}">
              <a16:creationId xmlns:a16="http://schemas.microsoft.com/office/drawing/2014/main" id="{1707383F-CEC8-0E89-84D3-B1D3B54F9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15" name="Picture 351">
          <a:extLst>
            <a:ext uri="{FF2B5EF4-FFF2-40B4-BE49-F238E27FC236}">
              <a16:creationId xmlns:a16="http://schemas.microsoft.com/office/drawing/2014/main" id="{9DB39933-D37E-8741-4572-7F6190831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16" name="Picture 352">
          <a:extLst>
            <a:ext uri="{FF2B5EF4-FFF2-40B4-BE49-F238E27FC236}">
              <a16:creationId xmlns:a16="http://schemas.microsoft.com/office/drawing/2014/main" id="{9DCAA951-62B4-253E-4F96-D489705D4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17" name="Picture 353">
          <a:extLst>
            <a:ext uri="{FF2B5EF4-FFF2-40B4-BE49-F238E27FC236}">
              <a16:creationId xmlns:a16="http://schemas.microsoft.com/office/drawing/2014/main" id="{B989BEE5-7491-6362-8272-A126D8E27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18" name="Picture 354">
          <a:extLst>
            <a:ext uri="{FF2B5EF4-FFF2-40B4-BE49-F238E27FC236}">
              <a16:creationId xmlns:a16="http://schemas.microsoft.com/office/drawing/2014/main" id="{B75508ED-DAB0-2284-9D7B-5760011E2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19" name="Picture 355">
          <a:extLst>
            <a:ext uri="{FF2B5EF4-FFF2-40B4-BE49-F238E27FC236}">
              <a16:creationId xmlns:a16="http://schemas.microsoft.com/office/drawing/2014/main" id="{766101EC-C14A-BBE8-F071-721E33BF3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20" name="Picture 356">
          <a:extLst>
            <a:ext uri="{FF2B5EF4-FFF2-40B4-BE49-F238E27FC236}">
              <a16:creationId xmlns:a16="http://schemas.microsoft.com/office/drawing/2014/main" id="{E42DFA07-D8B9-9043-8057-EA1CBF7B4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21" name="Picture 357">
          <a:extLst>
            <a:ext uri="{FF2B5EF4-FFF2-40B4-BE49-F238E27FC236}">
              <a16:creationId xmlns:a16="http://schemas.microsoft.com/office/drawing/2014/main" id="{D56A82C2-D993-DDC0-8936-99B6106BF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22" name="Picture 358">
          <a:extLst>
            <a:ext uri="{FF2B5EF4-FFF2-40B4-BE49-F238E27FC236}">
              <a16:creationId xmlns:a16="http://schemas.microsoft.com/office/drawing/2014/main" id="{1DFA9847-C4A0-6927-77ED-8ADAF1297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23" name="Picture 359">
          <a:extLst>
            <a:ext uri="{FF2B5EF4-FFF2-40B4-BE49-F238E27FC236}">
              <a16:creationId xmlns:a16="http://schemas.microsoft.com/office/drawing/2014/main" id="{4B596464-4458-2607-407A-41A5E6999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24" name="Picture 360">
          <a:extLst>
            <a:ext uri="{FF2B5EF4-FFF2-40B4-BE49-F238E27FC236}">
              <a16:creationId xmlns:a16="http://schemas.microsoft.com/office/drawing/2014/main" id="{66271BBD-FF4B-70A1-616B-8DAAC7BCC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25" name="Picture 361">
          <a:extLst>
            <a:ext uri="{FF2B5EF4-FFF2-40B4-BE49-F238E27FC236}">
              <a16:creationId xmlns:a16="http://schemas.microsoft.com/office/drawing/2014/main" id="{ED732B9A-CECB-9048-F6DE-EB11BFC00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26" name="Picture 362">
          <a:extLst>
            <a:ext uri="{FF2B5EF4-FFF2-40B4-BE49-F238E27FC236}">
              <a16:creationId xmlns:a16="http://schemas.microsoft.com/office/drawing/2014/main" id="{227F6C97-D680-E85A-36A7-D9B2E65E3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27" name="Picture 363">
          <a:extLst>
            <a:ext uri="{FF2B5EF4-FFF2-40B4-BE49-F238E27FC236}">
              <a16:creationId xmlns:a16="http://schemas.microsoft.com/office/drawing/2014/main" id="{BC5BD2C8-9A59-77C4-F785-AD8C9102F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28" name="Picture 364">
          <a:extLst>
            <a:ext uri="{FF2B5EF4-FFF2-40B4-BE49-F238E27FC236}">
              <a16:creationId xmlns:a16="http://schemas.microsoft.com/office/drawing/2014/main" id="{6DD034CE-BFED-41D9-C24F-7384DB1F2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29" name="Picture 365">
          <a:extLst>
            <a:ext uri="{FF2B5EF4-FFF2-40B4-BE49-F238E27FC236}">
              <a16:creationId xmlns:a16="http://schemas.microsoft.com/office/drawing/2014/main" id="{9EE259B3-D9DD-E645-184E-BCE54F217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30" name="Picture 366">
          <a:extLst>
            <a:ext uri="{FF2B5EF4-FFF2-40B4-BE49-F238E27FC236}">
              <a16:creationId xmlns:a16="http://schemas.microsoft.com/office/drawing/2014/main" id="{B9381A3B-0908-B256-7487-6B14CBBC8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31" name="Picture 367">
          <a:extLst>
            <a:ext uri="{FF2B5EF4-FFF2-40B4-BE49-F238E27FC236}">
              <a16:creationId xmlns:a16="http://schemas.microsoft.com/office/drawing/2014/main" id="{8AF5BA1F-B01F-0606-01CB-A7856082F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32" name="Picture 368">
          <a:extLst>
            <a:ext uri="{FF2B5EF4-FFF2-40B4-BE49-F238E27FC236}">
              <a16:creationId xmlns:a16="http://schemas.microsoft.com/office/drawing/2014/main" id="{75B53552-36C4-4604-4092-C9284A039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33" name="Picture 369">
          <a:extLst>
            <a:ext uri="{FF2B5EF4-FFF2-40B4-BE49-F238E27FC236}">
              <a16:creationId xmlns:a16="http://schemas.microsoft.com/office/drawing/2014/main" id="{CA37A091-486C-7AC6-FAB7-A7BF04EC3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34" name="Picture 370">
          <a:extLst>
            <a:ext uri="{FF2B5EF4-FFF2-40B4-BE49-F238E27FC236}">
              <a16:creationId xmlns:a16="http://schemas.microsoft.com/office/drawing/2014/main" id="{18A19677-6C07-52B1-DA47-9615D26A3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35" name="Picture 371">
          <a:extLst>
            <a:ext uri="{FF2B5EF4-FFF2-40B4-BE49-F238E27FC236}">
              <a16:creationId xmlns:a16="http://schemas.microsoft.com/office/drawing/2014/main" id="{64213F39-AF73-4A9B-1C24-22B7FAB24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36" name="Picture 372">
          <a:extLst>
            <a:ext uri="{FF2B5EF4-FFF2-40B4-BE49-F238E27FC236}">
              <a16:creationId xmlns:a16="http://schemas.microsoft.com/office/drawing/2014/main" id="{0E5A7463-8D61-D060-95EE-8104B8E45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37" name="Picture 373">
          <a:extLst>
            <a:ext uri="{FF2B5EF4-FFF2-40B4-BE49-F238E27FC236}">
              <a16:creationId xmlns:a16="http://schemas.microsoft.com/office/drawing/2014/main" id="{92B0067D-5480-E5F8-BFD1-763CAC1AE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38" name="Picture 374">
          <a:extLst>
            <a:ext uri="{FF2B5EF4-FFF2-40B4-BE49-F238E27FC236}">
              <a16:creationId xmlns:a16="http://schemas.microsoft.com/office/drawing/2014/main" id="{3C70B108-06B1-ED33-619F-B0EAC96A8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39" name="Picture 375">
          <a:extLst>
            <a:ext uri="{FF2B5EF4-FFF2-40B4-BE49-F238E27FC236}">
              <a16:creationId xmlns:a16="http://schemas.microsoft.com/office/drawing/2014/main" id="{27A34238-9A4A-9AF0-7992-FA9528366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40" name="Picture 376">
          <a:extLst>
            <a:ext uri="{FF2B5EF4-FFF2-40B4-BE49-F238E27FC236}">
              <a16:creationId xmlns:a16="http://schemas.microsoft.com/office/drawing/2014/main" id="{C16F9738-71A5-04D0-F17E-FF9BE78FE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41" name="Picture 377">
          <a:extLst>
            <a:ext uri="{FF2B5EF4-FFF2-40B4-BE49-F238E27FC236}">
              <a16:creationId xmlns:a16="http://schemas.microsoft.com/office/drawing/2014/main" id="{1BDF3C29-CC34-7204-1DDD-B38607072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42" name="Picture 378">
          <a:extLst>
            <a:ext uri="{FF2B5EF4-FFF2-40B4-BE49-F238E27FC236}">
              <a16:creationId xmlns:a16="http://schemas.microsoft.com/office/drawing/2014/main" id="{B45BA7E1-7C52-5C99-2E2D-A4D19B218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43" name="Picture 379">
          <a:extLst>
            <a:ext uri="{FF2B5EF4-FFF2-40B4-BE49-F238E27FC236}">
              <a16:creationId xmlns:a16="http://schemas.microsoft.com/office/drawing/2014/main" id="{8ADB7033-3A8F-8D34-46C1-91ABCE7DC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44" name="Picture 380">
          <a:extLst>
            <a:ext uri="{FF2B5EF4-FFF2-40B4-BE49-F238E27FC236}">
              <a16:creationId xmlns:a16="http://schemas.microsoft.com/office/drawing/2014/main" id="{6DC6A7A6-5A46-91DD-AEDC-14380D970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45" name="Picture 381">
          <a:extLst>
            <a:ext uri="{FF2B5EF4-FFF2-40B4-BE49-F238E27FC236}">
              <a16:creationId xmlns:a16="http://schemas.microsoft.com/office/drawing/2014/main" id="{7B451F89-34AD-2E08-35FF-6C224AC64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46" name="Picture 382">
          <a:extLst>
            <a:ext uri="{FF2B5EF4-FFF2-40B4-BE49-F238E27FC236}">
              <a16:creationId xmlns:a16="http://schemas.microsoft.com/office/drawing/2014/main" id="{2A8CD4A2-15D9-00B8-A0EF-1BE5E398D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47" name="Picture 383">
          <a:extLst>
            <a:ext uri="{FF2B5EF4-FFF2-40B4-BE49-F238E27FC236}">
              <a16:creationId xmlns:a16="http://schemas.microsoft.com/office/drawing/2014/main" id="{1966F2E5-70FF-7E2A-DE16-447927C66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48" name="Picture 384">
          <a:extLst>
            <a:ext uri="{FF2B5EF4-FFF2-40B4-BE49-F238E27FC236}">
              <a16:creationId xmlns:a16="http://schemas.microsoft.com/office/drawing/2014/main" id="{39EB9133-3408-DB85-264C-742530949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49" name="Picture 385">
          <a:extLst>
            <a:ext uri="{FF2B5EF4-FFF2-40B4-BE49-F238E27FC236}">
              <a16:creationId xmlns:a16="http://schemas.microsoft.com/office/drawing/2014/main" id="{7AEA59EA-46CC-CE6A-281F-3DB679F2A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50" name="Picture 386">
          <a:extLst>
            <a:ext uri="{FF2B5EF4-FFF2-40B4-BE49-F238E27FC236}">
              <a16:creationId xmlns:a16="http://schemas.microsoft.com/office/drawing/2014/main" id="{B55B7F2F-56F0-9525-CE93-C914F166E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51" name="Picture 387">
          <a:extLst>
            <a:ext uri="{FF2B5EF4-FFF2-40B4-BE49-F238E27FC236}">
              <a16:creationId xmlns:a16="http://schemas.microsoft.com/office/drawing/2014/main" id="{92104484-7DB2-A54B-12B4-50F4851F3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52" name="Picture 388">
          <a:extLst>
            <a:ext uri="{FF2B5EF4-FFF2-40B4-BE49-F238E27FC236}">
              <a16:creationId xmlns:a16="http://schemas.microsoft.com/office/drawing/2014/main" id="{430352DB-BC81-CFEC-F72B-46D487B07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53" name="Picture 389">
          <a:extLst>
            <a:ext uri="{FF2B5EF4-FFF2-40B4-BE49-F238E27FC236}">
              <a16:creationId xmlns:a16="http://schemas.microsoft.com/office/drawing/2014/main" id="{A85C813F-B292-E19E-C4AB-9BDFD647A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54" name="Picture 390">
          <a:extLst>
            <a:ext uri="{FF2B5EF4-FFF2-40B4-BE49-F238E27FC236}">
              <a16:creationId xmlns:a16="http://schemas.microsoft.com/office/drawing/2014/main" id="{7BB91783-D698-C821-BBBF-61D080817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55" name="Picture 391">
          <a:extLst>
            <a:ext uri="{FF2B5EF4-FFF2-40B4-BE49-F238E27FC236}">
              <a16:creationId xmlns:a16="http://schemas.microsoft.com/office/drawing/2014/main" id="{01014D83-B002-927C-67C3-78261A69D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56" name="Picture 392">
          <a:extLst>
            <a:ext uri="{FF2B5EF4-FFF2-40B4-BE49-F238E27FC236}">
              <a16:creationId xmlns:a16="http://schemas.microsoft.com/office/drawing/2014/main" id="{9C4848F9-035B-64C0-A1E2-638E98475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57" name="Picture 393">
          <a:extLst>
            <a:ext uri="{FF2B5EF4-FFF2-40B4-BE49-F238E27FC236}">
              <a16:creationId xmlns:a16="http://schemas.microsoft.com/office/drawing/2014/main" id="{C11C08A9-0606-1D3E-3040-45EC3BF7B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58" name="Picture 394">
          <a:extLst>
            <a:ext uri="{FF2B5EF4-FFF2-40B4-BE49-F238E27FC236}">
              <a16:creationId xmlns:a16="http://schemas.microsoft.com/office/drawing/2014/main" id="{7DCD5BF5-8E65-3848-1524-204B83FDA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59" name="Picture 395">
          <a:extLst>
            <a:ext uri="{FF2B5EF4-FFF2-40B4-BE49-F238E27FC236}">
              <a16:creationId xmlns:a16="http://schemas.microsoft.com/office/drawing/2014/main" id="{74DFC480-1356-EFF1-C5FA-99B9D700C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60" name="Picture 396">
          <a:extLst>
            <a:ext uri="{FF2B5EF4-FFF2-40B4-BE49-F238E27FC236}">
              <a16:creationId xmlns:a16="http://schemas.microsoft.com/office/drawing/2014/main" id="{0859F69A-3592-B724-7F7F-10608A9D9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61" name="Picture 397">
          <a:extLst>
            <a:ext uri="{FF2B5EF4-FFF2-40B4-BE49-F238E27FC236}">
              <a16:creationId xmlns:a16="http://schemas.microsoft.com/office/drawing/2014/main" id="{6D001396-66CE-FC6E-0F1F-AA1762F3E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62" name="Picture 398">
          <a:extLst>
            <a:ext uri="{FF2B5EF4-FFF2-40B4-BE49-F238E27FC236}">
              <a16:creationId xmlns:a16="http://schemas.microsoft.com/office/drawing/2014/main" id="{855736D9-2D6B-2357-01AA-34EBB3EFE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63" name="Picture 399">
          <a:extLst>
            <a:ext uri="{FF2B5EF4-FFF2-40B4-BE49-F238E27FC236}">
              <a16:creationId xmlns:a16="http://schemas.microsoft.com/office/drawing/2014/main" id="{929A3334-67CD-E731-76F0-D521561AA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64" name="Picture 400">
          <a:extLst>
            <a:ext uri="{FF2B5EF4-FFF2-40B4-BE49-F238E27FC236}">
              <a16:creationId xmlns:a16="http://schemas.microsoft.com/office/drawing/2014/main" id="{A5C7DD60-75B4-AA41-5A68-E31FF320E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65" name="Picture 401">
          <a:extLst>
            <a:ext uri="{FF2B5EF4-FFF2-40B4-BE49-F238E27FC236}">
              <a16:creationId xmlns:a16="http://schemas.microsoft.com/office/drawing/2014/main" id="{4B117B19-26B9-AA6D-89B7-45327BD80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66" name="Picture 402">
          <a:extLst>
            <a:ext uri="{FF2B5EF4-FFF2-40B4-BE49-F238E27FC236}">
              <a16:creationId xmlns:a16="http://schemas.microsoft.com/office/drawing/2014/main" id="{02A0E8F6-C091-3569-0B38-33DE1EC94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67" name="Picture 403">
          <a:extLst>
            <a:ext uri="{FF2B5EF4-FFF2-40B4-BE49-F238E27FC236}">
              <a16:creationId xmlns:a16="http://schemas.microsoft.com/office/drawing/2014/main" id="{B6073A32-FD41-CCC5-EE34-5D602EE49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68" name="Picture 404">
          <a:extLst>
            <a:ext uri="{FF2B5EF4-FFF2-40B4-BE49-F238E27FC236}">
              <a16:creationId xmlns:a16="http://schemas.microsoft.com/office/drawing/2014/main" id="{4FEF2533-EEC9-9D73-FC4B-48E9DC6EF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69" name="Picture 405">
          <a:extLst>
            <a:ext uri="{FF2B5EF4-FFF2-40B4-BE49-F238E27FC236}">
              <a16:creationId xmlns:a16="http://schemas.microsoft.com/office/drawing/2014/main" id="{BAA383BA-FF25-9D3A-EAC9-D8481C396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70" name="Picture 406">
          <a:extLst>
            <a:ext uri="{FF2B5EF4-FFF2-40B4-BE49-F238E27FC236}">
              <a16:creationId xmlns:a16="http://schemas.microsoft.com/office/drawing/2014/main" id="{A8F84E85-C00A-422E-2BB7-9A7D3256A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71" name="Picture 407">
          <a:extLst>
            <a:ext uri="{FF2B5EF4-FFF2-40B4-BE49-F238E27FC236}">
              <a16:creationId xmlns:a16="http://schemas.microsoft.com/office/drawing/2014/main" id="{ECCB2127-2EF9-1A30-5930-2784FEC61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72" name="Picture 408">
          <a:extLst>
            <a:ext uri="{FF2B5EF4-FFF2-40B4-BE49-F238E27FC236}">
              <a16:creationId xmlns:a16="http://schemas.microsoft.com/office/drawing/2014/main" id="{67D51C46-9F79-249C-6C68-F3E56BD7C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73" name="Picture 409">
          <a:extLst>
            <a:ext uri="{FF2B5EF4-FFF2-40B4-BE49-F238E27FC236}">
              <a16:creationId xmlns:a16="http://schemas.microsoft.com/office/drawing/2014/main" id="{5C6DB63C-9B4A-0D52-4D39-66F9E15C7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74" name="Picture 410">
          <a:extLst>
            <a:ext uri="{FF2B5EF4-FFF2-40B4-BE49-F238E27FC236}">
              <a16:creationId xmlns:a16="http://schemas.microsoft.com/office/drawing/2014/main" id="{B2FBF07A-E5AC-BC48-C403-428EB77BA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75" name="Picture 411">
          <a:extLst>
            <a:ext uri="{FF2B5EF4-FFF2-40B4-BE49-F238E27FC236}">
              <a16:creationId xmlns:a16="http://schemas.microsoft.com/office/drawing/2014/main" id="{C4BD499F-0C16-84EB-6AC3-44FEB5C0F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76" name="Picture 412">
          <a:extLst>
            <a:ext uri="{FF2B5EF4-FFF2-40B4-BE49-F238E27FC236}">
              <a16:creationId xmlns:a16="http://schemas.microsoft.com/office/drawing/2014/main" id="{69F82FDB-F976-A51F-0245-273B472BB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77" name="Picture 413">
          <a:extLst>
            <a:ext uri="{FF2B5EF4-FFF2-40B4-BE49-F238E27FC236}">
              <a16:creationId xmlns:a16="http://schemas.microsoft.com/office/drawing/2014/main" id="{145E1824-71B7-0E23-F01A-2CC860EF5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78" name="Picture 414">
          <a:extLst>
            <a:ext uri="{FF2B5EF4-FFF2-40B4-BE49-F238E27FC236}">
              <a16:creationId xmlns:a16="http://schemas.microsoft.com/office/drawing/2014/main" id="{3F1FF042-46A6-9DD6-AF10-E1D239152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79" name="Picture 415">
          <a:extLst>
            <a:ext uri="{FF2B5EF4-FFF2-40B4-BE49-F238E27FC236}">
              <a16:creationId xmlns:a16="http://schemas.microsoft.com/office/drawing/2014/main" id="{6EE09350-DF71-C03D-4879-2514AD0A4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80" name="Picture 416">
          <a:extLst>
            <a:ext uri="{FF2B5EF4-FFF2-40B4-BE49-F238E27FC236}">
              <a16:creationId xmlns:a16="http://schemas.microsoft.com/office/drawing/2014/main" id="{C5C949F3-6FD7-AB8A-0DA8-7A5F743EC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81" name="Picture 417">
          <a:extLst>
            <a:ext uri="{FF2B5EF4-FFF2-40B4-BE49-F238E27FC236}">
              <a16:creationId xmlns:a16="http://schemas.microsoft.com/office/drawing/2014/main" id="{167D1065-2F5B-5277-ED8E-597611950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82" name="Picture 418">
          <a:extLst>
            <a:ext uri="{FF2B5EF4-FFF2-40B4-BE49-F238E27FC236}">
              <a16:creationId xmlns:a16="http://schemas.microsoft.com/office/drawing/2014/main" id="{7BA534A1-5562-8406-F8A7-E8DB399E4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83" name="Picture 419">
          <a:extLst>
            <a:ext uri="{FF2B5EF4-FFF2-40B4-BE49-F238E27FC236}">
              <a16:creationId xmlns:a16="http://schemas.microsoft.com/office/drawing/2014/main" id="{C4C0758E-6A56-B5F9-2439-E81A55F11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84" name="Picture 420">
          <a:extLst>
            <a:ext uri="{FF2B5EF4-FFF2-40B4-BE49-F238E27FC236}">
              <a16:creationId xmlns:a16="http://schemas.microsoft.com/office/drawing/2014/main" id="{26AB954D-8EE4-101D-B4E4-820D4C966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85" name="Picture 421">
          <a:extLst>
            <a:ext uri="{FF2B5EF4-FFF2-40B4-BE49-F238E27FC236}">
              <a16:creationId xmlns:a16="http://schemas.microsoft.com/office/drawing/2014/main" id="{DE13BB36-5984-E980-1809-1E3BE4693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86" name="Picture 422">
          <a:extLst>
            <a:ext uri="{FF2B5EF4-FFF2-40B4-BE49-F238E27FC236}">
              <a16:creationId xmlns:a16="http://schemas.microsoft.com/office/drawing/2014/main" id="{41FAD7DC-713D-E15C-9CB3-3433D6131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87" name="Picture 423">
          <a:extLst>
            <a:ext uri="{FF2B5EF4-FFF2-40B4-BE49-F238E27FC236}">
              <a16:creationId xmlns:a16="http://schemas.microsoft.com/office/drawing/2014/main" id="{BD59913D-56EB-BA22-2801-DC24978FE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88" name="Picture 424">
          <a:extLst>
            <a:ext uri="{FF2B5EF4-FFF2-40B4-BE49-F238E27FC236}">
              <a16:creationId xmlns:a16="http://schemas.microsoft.com/office/drawing/2014/main" id="{02360FB2-C701-9F0D-FBE2-9F163E81A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89" name="Picture 425">
          <a:extLst>
            <a:ext uri="{FF2B5EF4-FFF2-40B4-BE49-F238E27FC236}">
              <a16:creationId xmlns:a16="http://schemas.microsoft.com/office/drawing/2014/main" id="{E81E1652-6E73-3863-3496-721B48653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90" name="Picture 426">
          <a:extLst>
            <a:ext uri="{FF2B5EF4-FFF2-40B4-BE49-F238E27FC236}">
              <a16:creationId xmlns:a16="http://schemas.microsoft.com/office/drawing/2014/main" id="{0618FC4F-913A-AE91-8E49-BCE49F63F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91" name="Picture 427">
          <a:extLst>
            <a:ext uri="{FF2B5EF4-FFF2-40B4-BE49-F238E27FC236}">
              <a16:creationId xmlns:a16="http://schemas.microsoft.com/office/drawing/2014/main" id="{1FF2E1B4-CD9C-7DFF-56E2-B64E53020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92" name="Picture 428">
          <a:extLst>
            <a:ext uri="{FF2B5EF4-FFF2-40B4-BE49-F238E27FC236}">
              <a16:creationId xmlns:a16="http://schemas.microsoft.com/office/drawing/2014/main" id="{594AD8CF-3531-377E-5640-B6463C575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93" name="Picture 429">
          <a:extLst>
            <a:ext uri="{FF2B5EF4-FFF2-40B4-BE49-F238E27FC236}">
              <a16:creationId xmlns:a16="http://schemas.microsoft.com/office/drawing/2014/main" id="{3AEABD12-201B-9F40-335F-34A1637E7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94" name="Picture 430">
          <a:extLst>
            <a:ext uri="{FF2B5EF4-FFF2-40B4-BE49-F238E27FC236}">
              <a16:creationId xmlns:a16="http://schemas.microsoft.com/office/drawing/2014/main" id="{11E5B6FE-BF32-93DC-959C-C2A0E12EA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95" name="Picture 431">
          <a:extLst>
            <a:ext uri="{FF2B5EF4-FFF2-40B4-BE49-F238E27FC236}">
              <a16:creationId xmlns:a16="http://schemas.microsoft.com/office/drawing/2014/main" id="{E37D9637-3C5B-A2A1-5F15-1E3705586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96" name="Picture 432">
          <a:extLst>
            <a:ext uri="{FF2B5EF4-FFF2-40B4-BE49-F238E27FC236}">
              <a16:creationId xmlns:a16="http://schemas.microsoft.com/office/drawing/2014/main" id="{BC90F3EC-F179-AFDC-2BD5-F8624B62F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97" name="Picture 433">
          <a:extLst>
            <a:ext uri="{FF2B5EF4-FFF2-40B4-BE49-F238E27FC236}">
              <a16:creationId xmlns:a16="http://schemas.microsoft.com/office/drawing/2014/main" id="{12302C02-97B0-53B8-C49D-12E9B437C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6998" name="Picture 434">
          <a:extLst>
            <a:ext uri="{FF2B5EF4-FFF2-40B4-BE49-F238E27FC236}">
              <a16:creationId xmlns:a16="http://schemas.microsoft.com/office/drawing/2014/main" id="{208413D5-6F93-65F2-1F0A-7DE334B73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6999" name="Picture 435">
          <a:extLst>
            <a:ext uri="{FF2B5EF4-FFF2-40B4-BE49-F238E27FC236}">
              <a16:creationId xmlns:a16="http://schemas.microsoft.com/office/drawing/2014/main" id="{C7CAC1A8-209B-DC98-2C26-F0D83E09F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00" name="Picture 436">
          <a:extLst>
            <a:ext uri="{FF2B5EF4-FFF2-40B4-BE49-F238E27FC236}">
              <a16:creationId xmlns:a16="http://schemas.microsoft.com/office/drawing/2014/main" id="{6E28C02D-0DF5-CB63-29C4-33A88A7E8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01" name="Picture 437">
          <a:extLst>
            <a:ext uri="{FF2B5EF4-FFF2-40B4-BE49-F238E27FC236}">
              <a16:creationId xmlns:a16="http://schemas.microsoft.com/office/drawing/2014/main" id="{23468C18-7737-2781-4BBD-7F1AFF3AA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02" name="Picture 438">
          <a:extLst>
            <a:ext uri="{FF2B5EF4-FFF2-40B4-BE49-F238E27FC236}">
              <a16:creationId xmlns:a16="http://schemas.microsoft.com/office/drawing/2014/main" id="{5CEE0136-AD30-B011-7A43-EB17E402A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03" name="Picture 439">
          <a:extLst>
            <a:ext uri="{FF2B5EF4-FFF2-40B4-BE49-F238E27FC236}">
              <a16:creationId xmlns:a16="http://schemas.microsoft.com/office/drawing/2014/main" id="{7820C1D1-CB35-6FFA-72EF-8E9FDBD93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04" name="Picture 440">
          <a:extLst>
            <a:ext uri="{FF2B5EF4-FFF2-40B4-BE49-F238E27FC236}">
              <a16:creationId xmlns:a16="http://schemas.microsoft.com/office/drawing/2014/main" id="{B7B98C0B-A4C4-6EA8-5B78-FE353EDC3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05" name="Picture 441">
          <a:extLst>
            <a:ext uri="{FF2B5EF4-FFF2-40B4-BE49-F238E27FC236}">
              <a16:creationId xmlns:a16="http://schemas.microsoft.com/office/drawing/2014/main" id="{F1BF2A19-06CE-B2E7-CD1A-47EA8A07B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06" name="Picture 442">
          <a:extLst>
            <a:ext uri="{FF2B5EF4-FFF2-40B4-BE49-F238E27FC236}">
              <a16:creationId xmlns:a16="http://schemas.microsoft.com/office/drawing/2014/main" id="{48A282EB-576F-1FB4-B08E-1E4B1EBDB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07" name="Picture 443">
          <a:extLst>
            <a:ext uri="{FF2B5EF4-FFF2-40B4-BE49-F238E27FC236}">
              <a16:creationId xmlns:a16="http://schemas.microsoft.com/office/drawing/2014/main" id="{0C1DE675-EF7F-1F2B-3E22-9584ACE15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08" name="Picture 444">
          <a:extLst>
            <a:ext uri="{FF2B5EF4-FFF2-40B4-BE49-F238E27FC236}">
              <a16:creationId xmlns:a16="http://schemas.microsoft.com/office/drawing/2014/main" id="{655D0336-D164-8CF8-1CCA-D2F805732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09" name="Picture 445">
          <a:extLst>
            <a:ext uri="{FF2B5EF4-FFF2-40B4-BE49-F238E27FC236}">
              <a16:creationId xmlns:a16="http://schemas.microsoft.com/office/drawing/2014/main" id="{544EBF28-4544-7956-E53C-4178935D4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10" name="Picture 446">
          <a:extLst>
            <a:ext uri="{FF2B5EF4-FFF2-40B4-BE49-F238E27FC236}">
              <a16:creationId xmlns:a16="http://schemas.microsoft.com/office/drawing/2014/main" id="{6BFA4280-0E3E-7771-F677-09F50F49E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11" name="Picture 447">
          <a:extLst>
            <a:ext uri="{FF2B5EF4-FFF2-40B4-BE49-F238E27FC236}">
              <a16:creationId xmlns:a16="http://schemas.microsoft.com/office/drawing/2014/main" id="{5278C630-82B7-E98C-AB12-12BB351CF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12" name="Picture 448">
          <a:extLst>
            <a:ext uri="{FF2B5EF4-FFF2-40B4-BE49-F238E27FC236}">
              <a16:creationId xmlns:a16="http://schemas.microsoft.com/office/drawing/2014/main" id="{A9AAA9CC-3DDB-C240-BD1D-D5F955F6C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13" name="Picture 449">
          <a:extLst>
            <a:ext uri="{FF2B5EF4-FFF2-40B4-BE49-F238E27FC236}">
              <a16:creationId xmlns:a16="http://schemas.microsoft.com/office/drawing/2014/main" id="{3D5ED1F1-70F0-9E34-5BA2-BD5DE02EA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14" name="Picture 450">
          <a:extLst>
            <a:ext uri="{FF2B5EF4-FFF2-40B4-BE49-F238E27FC236}">
              <a16:creationId xmlns:a16="http://schemas.microsoft.com/office/drawing/2014/main" id="{B2E43738-C23B-BCBF-1BB8-ACFFA7DAD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15" name="Picture 451">
          <a:extLst>
            <a:ext uri="{FF2B5EF4-FFF2-40B4-BE49-F238E27FC236}">
              <a16:creationId xmlns:a16="http://schemas.microsoft.com/office/drawing/2014/main" id="{29CDADB7-6BFC-C6DE-69F1-56E1B60B4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16" name="Picture 452">
          <a:extLst>
            <a:ext uri="{FF2B5EF4-FFF2-40B4-BE49-F238E27FC236}">
              <a16:creationId xmlns:a16="http://schemas.microsoft.com/office/drawing/2014/main" id="{0F7061B1-14EC-4B96-19BC-747288EE6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17" name="Picture 453">
          <a:extLst>
            <a:ext uri="{FF2B5EF4-FFF2-40B4-BE49-F238E27FC236}">
              <a16:creationId xmlns:a16="http://schemas.microsoft.com/office/drawing/2014/main" id="{AA1F1109-621D-80ED-2834-8CF19BACE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18" name="Picture 454">
          <a:extLst>
            <a:ext uri="{FF2B5EF4-FFF2-40B4-BE49-F238E27FC236}">
              <a16:creationId xmlns:a16="http://schemas.microsoft.com/office/drawing/2014/main" id="{83CB5A7C-315B-D541-CF44-E5D8EA897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19" name="Picture 455">
          <a:extLst>
            <a:ext uri="{FF2B5EF4-FFF2-40B4-BE49-F238E27FC236}">
              <a16:creationId xmlns:a16="http://schemas.microsoft.com/office/drawing/2014/main" id="{1D6A248C-28E4-9162-4AEF-9331ED1D6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20" name="Picture 456">
          <a:extLst>
            <a:ext uri="{FF2B5EF4-FFF2-40B4-BE49-F238E27FC236}">
              <a16:creationId xmlns:a16="http://schemas.microsoft.com/office/drawing/2014/main" id="{D92831F5-E542-3222-FE6D-062F411FD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21" name="Picture 457">
          <a:extLst>
            <a:ext uri="{FF2B5EF4-FFF2-40B4-BE49-F238E27FC236}">
              <a16:creationId xmlns:a16="http://schemas.microsoft.com/office/drawing/2014/main" id="{AFCD9709-6620-8769-9A87-9A4988CFD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22" name="Picture 458">
          <a:extLst>
            <a:ext uri="{FF2B5EF4-FFF2-40B4-BE49-F238E27FC236}">
              <a16:creationId xmlns:a16="http://schemas.microsoft.com/office/drawing/2014/main" id="{70A6DE82-AFB4-6FBD-0E4E-EBBAB83E4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23" name="Picture 459">
          <a:extLst>
            <a:ext uri="{FF2B5EF4-FFF2-40B4-BE49-F238E27FC236}">
              <a16:creationId xmlns:a16="http://schemas.microsoft.com/office/drawing/2014/main" id="{2E7035AD-516E-AE7B-7996-DFFAB95B3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24" name="Picture 460">
          <a:extLst>
            <a:ext uri="{FF2B5EF4-FFF2-40B4-BE49-F238E27FC236}">
              <a16:creationId xmlns:a16="http://schemas.microsoft.com/office/drawing/2014/main" id="{3B67C5D1-BFF2-F0BA-9526-23FC6DDB7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25" name="Picture 461">
          <a:extLst>
            <a:ext uri="{FF2B5EF4-FFF2-40B4-BE49-F238E27FC236}">
              <a16:creationId xmlns:a16="http://schemas.microsoft.com/office/drawing/2014/main" id="{49DBB8A9-0245-844B-D44E-3DAC30DD6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26" name="Picture 462">
          <a:extLst>
            <a:ext uri="{FF2B5EF4-FFF2-40B4-BE49-F238E27FC236}">
              <a16:creationId xmlns:a16="http://schemas.microsoft.com/office/drawing/2014/main" id="{D1D1F2F8-EF45-5B1B-3F4B-36BC34F31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27" name="Picture 463">
          <a:extLst>
            <a:ext uri="{FF2B5EF4-FFF2-40B4-BE49-F238E27FC236}">
              <a16:creationId xmlns:a16="http://schemas.microsoft.com/office/drawing/2014/main" id="{80E96749-1F72-B91E-1D23-30AC8D326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28" name="Picture 464">
          <a:extLst>
            <a:ext uri="{FF2B5EF4-FFF2-40B4-BE49-F238E27FC236}">
              <a16:creationId xmlns:a16="http://schemas.microsoft.com/office/drawing/2014/main" id="{AD2023A4-2BFC-A218-28AA-D0ABAED0C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29" name="Picture 465">
          <a:extLst>
            <a:ext uri="{FF2B5EF4-FFF2-40B4-BE49-F238E27FC236}">
              <a16:creationId xmlns:a16="http://schemas.microsoft.com/office/drawing/2014/main" id="{0F4D168B-FE0D-FC8D-16BE-DFEC0D3DA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30" name="Picture 466">
          <a:extLst>
            <a:ext uri="{FF2B5EF4-FFF2-40B4-BE49-F238E27FC236}">
              <a16:creationId xmlns:a16="http://schemas.microsoft.com/office/drawing/2014/main" id="{9EB05C33-1CA3-7813-F996-6C4708328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31" name="Picture 467">
          <a:extLst>
            <a:ext uri="{FF2B5EF4-FFF2-40B4-BE49-F238E27FC236}">
              <a16:creationId xmlns:a16="http://schemas.microsoft.com/office/drawing/2014/main" id="{B4542F0E-D768-07A0-3B1D-C5BBFAB0A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32" name="Picture 468">
          <a:extLst>
            <a:ext uri="{FF2B5EF4-FFF2-40B4-BE49-F238E27FC236}">
              <a16:creationId xmlns:a16="http://schemas.microsoft.com/office/drawing/2014/main" id="{867CD9F2-CEE4-91D2-8F7D-72C4066D0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33" name="Picture 469">
          <a:extLst>
            <a:ext uri="{FF2B5EF4-FFF2-40B4-BE49-F238E27FC236}">
              <a16:creationId xmlns:a16="http://schemas.microsoft.com/office/drawing/2014/main" id="{E83B8D84-7E25-CFE5-36FB-B7BD42BEE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34" name="Picture 470">
          <a:extLst>
            <a:ext uri="{FF2B5EF4-FFF2-40B4-BE49-F238E27FC236}">
              <a16:creationId xmlns:a16="http://schemas.microsoft.com/office/drawing/2014/main" id="{C70AFF7F-C105-DBFC-4C6B-540048456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35" name="Picture 471">
          <a:extLst>
            <a:ext uri="{FF2B5EF4-FFF2-40B4-BE49-F238E27FC236}">
              <a16:creationId xmlns:a16="http://schemas.microsoft.com/office/drawing/2014/main" id="{16009262-2528-589C-D197-5E9FF0018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36" name="Picture 472">
          <a:extLst>
            <a:ext uri="{FF2B5EF4-FFF2-40B4-BE49-F238E27FC236}">
              <a16:creationId xmlns:a16="http://schemas.microsoft.com/office/drawing/2014/main" id="{45534A57-4951-C491-A91A-BAACD417E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37" name="Picture 473">
          <a:extLst>
            <a:ext uri="{FF2B5EF4-FFF2-40B4-BE49-F238E27FC236}">
              <a16:creationId xmlns:a16="http://schemas.microsoft.com/office/drawing/2014/main" id="{093BADC7-EB25-CF01-1767-A2D0223FB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38" name="Picture 474">
          <a:extLst>
            <a:ext uri="{FF2B5EF4-FFF2-40B4-BE49-F238E27FC236}">
              <a16:creationId xmlns:a16="http://schemas.microsoft.com/office/drawing/2014/main" id="{A23E4F12-1C84-5252-3443-9634BA2D8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39" name="Picture 475">
          <a:extLst>
            <a:ext uri="{FF2B5EF4-FFF2-40B4-BE49-F238E27FC236}">
              <a16:creationId xmlns:a16="http://schemas.microsoft.com/office/drawing/2014/main" id="{632E3D40-B489-D3CF-B1EF-F47F3A052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40" name="Picture 476">
          <a:extLst>
            <a:ext uri="{FF2B5EF4-FFF2-40B4-BE49-F238E27FC236}">
              <a16:creationId xmlns:a16="http://schemas.microsoft.com/office/drawing/2014/main" id="{0446A489-1ED9-9ED3-08AF-2455947E3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41" name="Picture 477">
          <a:extLst>
            <a:ext uri="{FF2B5EF4-FFF2-40B4-BE49-F238E27FC236}">
              <a16:creationId xmlns:a16="http://schemas.microsoft.com/office/drawing/2014/main" id="{75803FE9-89B0-3556-0D6E-97E7137A0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42" name="Picture 478">
          <a:extLst>
            <a:ext uri="{FF2B5EF4-FFF2-40B4-BE49-F238E27FC236}">
              <a16:creationId xmlns:a16="http://schemas.microsoft.com/office/drawing/2014/main" id="{02FAAC96-D8A9-3669-5EF3-3C2E36C98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43" name="Picture 479">
          <a:extLst>
            <a:ext uri="{FF2B5EF4-FFF2-40B4-BE49-F238E27FC236}">
              <a16:creationId xmlns:a16="http://schemas.microsoft.com/office/drawing/2014/main" id="{5426F1C9-FF19-E491-8714-24A95C451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44" name="Picture 480">
          <a:extLst>
            <a:ext uri="{FF2B5EF4-FFF2-40B4-BE49-F238E27FC236}">
              <a16:creationId xmlns:a16="http://schemas.microsoft.com/office/drawing/2014/main" id="{CFA381EF-5899-A7DC-0EAA-67345A9E6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45" name="Picture 481">
          <a:extLst>
            <a:ext uri="{FF2B5EF4-FFF2-40B4-BE49-F238E27FC236}">
              <a16:creationId xmlns:a16="http://schemas.microsoft.com/office/drawing/2014/main" id="{DCFB5437-57F3-F56A-984A-5639B1593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46" name="Picture 482">
          <a:extLst>
            <a:ext uri="{FF2B5EF4-FFF2-40B4-BE49-F238E27FC236}">
              <a16:creationId xmlns:a16="http://schemas.microsoft.com/office/drawing/2014/main" id="{07E77D17-5E3B-C396-16DB-933F15C3B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47" name="Picture 483">
          <a:extLst>
            <a:ext uri="{FF2B5EF4-FFF2-40B4-BE49-F238E27FC236}">
              <a16:creationId xmlns:a16="http://schemas.microsoft.com/office/drawing/2014/main" id="{0BF13F0D-DC5A-E972-E208-01D88647D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48" name="Picture 484">
          <a:extLst>
            <a:ext uri="{FF2B5EF4-FFF2-40B4-BE49-F238E27FC236}">
              <a16:creationId xmlns:a16="http://schemas.microsoft.com/office/drawing/2014/main" id="{A080946F-17C6-C2E7-6A88-26C6FD7A5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49" name="Picture 485">
          <a:extLst>
            <a:ext uri="{FF2B5EF4-FFF2-40B4-BE49-F238E27FC236}">
              <a16:creationId xmlns:a16="http://schemas.microsoft.com/office/drawing/2014/main" id="{0E5CBFAD-4F68-8935-CEC2-03AB3B5BC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50" name="Picture 486">
          <a:extLst>
            <a:ext uri="{FF2B5EF4-FFF2-40B4-BE49-F238E27FC236}">
              <a16:creationId xmlns:a16="http://schemas.microsoft.com/office/drawing/2014/main" id="{A006A260-658B-6D66-BED6-14DE319E5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51" name="Picture 487">
          <a:extLst>
            <a:ext uri="{FF2B5EF4-FFF2-40B4-BE49-F238E27FC236}">
              <a16:creationId xmlns:a16="http://schemas.microsoft.com/office/drawing/2014/main" id="{ADA1814C-6F30-958F-F771-D7CA4F701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52" name="Picture 488">
          <a:extLst>
            <a:ext uri="{FF2B5EF4-FFF2-40B4-BE49-F238E27FC236}">
              <a16:creationId xmlns:a16="http://schemas.microsoft.com/office/drawing/2014/main" id="{B732DD7D-EA56-19FB-23DC-97E91CD96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53" name="Picture 489">
          <a:extLst>
            <a:ext uri="{FF2B5EF4-FFF2-40B4-BE49-F238E27FC236}">
              <a16:creationId xmlns:a16="http://schemas.microsoft.com/office/drawing/2014/main" id="{919B2C72-46CB-4256-DB21-71E403BBC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54" name="Picture 490">
          <a:extLst>
            <a:ext uri="{FF2B5EF4-FFF2-40B4-BE49-F238E27FC236}">
              <a16:creationId xmlns:a16="http://schemas.microsoft.com/office/drawing/2014/main" id="{A2CB9798-306B-8891-D831-DFD36A6D0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55" name="Picture 491">
          <a:extLst>
            <a:ext uri="{FF2B5EF4-FFF2-40B4-BE49-F238E27FC236}">
              <a16:creationId xmlns:a16="http://schemas.microsoft.com/office/drawing/2014/main" id="{57C55C9C-E011-B9B9-A402-D321CD966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56" name="Picture 492">
          <a:extLst>
            <a:ext uri="{FF2B5EF4-FFF2-40B4-BE49-F238E27FC236}">
              <a16:creationId xmlns:a16="http://schemas.microsoft.com/office/drawing/2014/main" id="{989B651F-D5E0-CB08-ED9A-1DBC78DAC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57" name="Picture 493">
          <a:extLst>
            <a:ext uri="{FF2B5EF4-FFF2-40B4-BE49-F238E27FC236}">
              <a16:creationId xmlns:a16="http://schemas.microsoft.com/office/drawing/2014/main" id="{99DDF775-5168-FB3B-2D91-0CBBF75C3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58" name="Picture 494">
          <a:extLst>
            <a:ext uri="{FF2B5EF4-FFF2-40B4-BE49-F238E27FC236}">
              <a16:creationId xmlns:a16="http://schemas.microsoft.com/office/drawing/2014/main" id="{3CBB3CF7-0147-9499-9429-9871EF03E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59" name="Picture 495">
          <a:extLst>
            <a:ext uri="{FF2B5EF4-FFF2-40B4-BE49-F238E27FC236}">
              <a16:creationId xmlns:a16="http://schemas.microsoft.com/office/drawing/2014/main" id="{FD16DCCF-8DA6-878D-A6F0-01DAD1115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60" name="Picture 496">
          <a:extLst>
            <a:ext uri="{FF2B5EF4-FFF2-40B4-BE49-F238E27FC236}">
              <a16:creationId xmlns:a16="http://schemas.microsoft.com/office/drawing/2014/main" id="{10B4E738-3374-6A4B-7CA7-6B063DF67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61" name="Picture 497">
          <a:extLst>
            <a:ext uri="{FF2B5EF4-FFF2-40B4-BE49-F238E27FC236}">
              <a16:creationId xmlns:a16="http://schemas.microsoft.com/office/drawing/2014/main" id="{EF5F2BA7-6628-5AC1-39D0-24F462FE8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62" name="Picture 498">
          <a:extLst>
            <a:ext uri="{FF2B5EF4-FFF2-40B4-BE49-F238E27FC236}">
              <a16:creationId xmlns:a16="http://schemas.microsoft.com/office/drawing/2014/main" id="{1650091B-553E-00AF-90AC-55498D9A0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63" name="Picture 499">
          <a:extLst>
            <a:ext uri="{FF2B5EF4-FFF2-40B4-BE49-F238E27FC236}">
              <a16:creationId xmlns:a16="http://schemas.microsoft.com/office/drawing/2014/main" id="{7CEFE151-5CF8-DB25-0E63-FED463A42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64" name="Picture 500">
          <a:extLst>
            <a:ext uri="{FF2B5EF4-FFF2-40B4-BE49-F238E27FC236}">
              <a16:creationId xmlns:a16="http://schemas.microsoft.com/office/drawing/2014/main" id="{F304F7EE-97B4-0868-6319-D36104F3E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65" name="Picture 501">
          <a:extLst>
            <a:ext uri="{FF2B5EF4-FFF2-40B4-BE49-F238E27FC236}">
              <a16:creationId xmlns:a16="http://schemas.microsoft.com/office/drawing/2014/main" id="{3879564B-50CE-790A-F4A8-B91A4079D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66" name="Picture 502">
          <a:extLst>
            <a:ext uri="{FF2B5EF4-FFF2-40B4-BE49-F238E27FC236}">
              <a16:creationId xmlns:a16="http://schemas.microsoft.com/office/drawing/2014/main" id="{77364D82-649A-B833-469A-0EAD3F7B1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67" name="Picture 503">
          <a:extLst>
            <a:ext uri="{FF2B5EF4-FFF2-40B4-BE49-F238E27FC236}">
              <a16:creationId xmlns:a16="http://schemas.microsoft.com/office/drawing/2014/main" id="{4E0B190E-AA9B-11D8-9E09-C6BF4A6F7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68" name="Picture 504">
          <a:extLst>
            <a:ext uri="{FF2B5EF4-FFF2-40B4-BE49-F238E27FC236}">
              <a16:creationId xmlns:a16="http://schemas.microsoft.com/office/drawing/2014/main" id="{3C73047B-96E3-DC91-DE0C-B557FD766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69" name="Picture 505">
          <a:extLst>
            <a:ext uri="{FF2B5EF4-FFF2-40B4-BE49-F238E27FC236}">
              <a16:creationId xmlns:a16="http://schemas.microsoft.com/office/drawing/2014/main" id="{C2235D70-3099-56EA-385A-C121EEF9C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70" name="Picture 506">
          <a:extLst>
            <a:ext uri="{FF2B5EF4-FFF2-40B4-BE49-F238E27FC236}">
              <a16:creationId xmlns:a16="http://schemas.microsoft.com/office/drawing/2014/main" id="{95D8DA59-FC91-F0B9-0B13-DC015CB2E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71" name="Picture 507">
          <a:extLst>
            <a:ext uri="{FF2B5EF4-FFF2-40B4-BE49-F238E27FC236}">
              <a16:creationId xmlns:a16="http://schemas.microsoft.com/office/drawing/2014/main" id="{1F13399A-1CC0-4DBD-79C6-34581CC31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72" name="Picture 508">
          <a:extLst>
            <a:ext uri="{FF2B5EF4-FFF2-40B4-BE49-F238E27FC236}">
              <a16:creationId xmlns:a16="http://schemas.microsoft.com/office/drawing/2014/main" id="{1455BC96-422E-79C4-AA1D-DA5322282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73" name="Picture 509">
          <a:extLst>
            <a:ext uri="{FF2B5EF4-FFF2-40B4-BE49-F238E27FC236}">
              <a16:creationId xmlns:a16="http://schemas.microsoft.com/office/drawing/2014/main" id="{22F72B82-1D71-A286-B1C4-2671E79FD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74" name="Picture 510">
          <a:extLst>
            <a:ext uri="{FF2B5EF4-FFF2-40B4-BE49-F238E27FC236}">
              <a16:creationId xmlns:a16="http://schemas.microsoft.com/office/drawing/2014/main" id="{559A2B84-535D-06DB-B522-9E039A8EF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75" name="Picture 511">
          <a:extLst>
            <a:ext uri="{FF2B5EF4-FFF2-40B4-BE49-F238E27FC236}">
              <a16:creationId xmlns:a16="http://schemas.microsoft.com/office/drawing/2014/main" id="{FAF6C4B7-ECAD-3974-D517-40131F264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76" name="Picture 512">
          <a:extLst>
            <a:ext uri="{FF2B5EF4-FFF2-40B4-BE49-F238E27FC236}">
              <a16:creationId xmlns:a16="http://schemas.microsoft.com/office/drawing/2014/main" id="{271F6ADF-689A-ACD0-7E54-FB79B971F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77" name="Picture 513">
          <a:extLst>
            <a:ext uri="{FF2B5EF4-FFF2-40B4-BE49-F238E27FC236}">
              <a16:creationId xmlns:a16="http://schemas.microsoft.com/office/drawing/2014/main" id="{49BE5482-68AD-FDA9-6C74-5BD1D3279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78" name="Picture 514">
          <a:extLst>
            <a:ext uri="{FF2B5EF4-FFF2-40B4-BE49-F238E27FC236}">
              <a16:creationId xmlns:a16="http://schemas.microsoft.com/office/drawing/2014/main" id="{89635C70-D5E5-B79B-D609-8021D9119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79" name="Picture 515">
          <a:extLst>
            <a:ext uri="{FF2B5EF4-FFF2-40B4-BE49-F238E27FC236}">
              <a16:creationId xmlns:a16="http://schemas.microsoft.com/office/drawing/2014/main" id="{7E6D1C33-10EC-C8B3-A33C-504E44C26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80" name="Picture 516">
          <a:extLst>
            <a:ext uri="{FF2B5EF4-FFF2-40B4-BE49-F238E27FC236}">
              <a16:creationId xmlns:a16="http://schemas.microsoft.com/office/drawing/2014/main" id="{3DADEC1A-E818-A606-D070-FE0CE6A13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81" name="Picture 517">
          <a:extLst>
            <a:ext uri="{FF2B5EF4-FFF2-40B4-BE49-F238E27FC236}">
              <a16:creationId xmlns:a16="http://schemas.microsoft.com/office/drawing/2014/main" id="{4067C209-4407-EF37-DA1F-775C7B28D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82" name="Picture 518">
          <a:extLst>
            <a:ext uri="{FF2B5EF4-FFF2-40B4-BE49-F238E27FC236}">
              <a16:creationId xmlns:a16="http://schemas.microsoft.com/office/drawing/2014/main" id="{F9FB9835-85BD-DDBE-CC13-3BF0F6001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83" name="Picture 519">
          <a:extLst>
            <a:ext uri="{FF2B5EF4-FFF2-40B4-BE49-F238E27FC236}">
              <a16:creationId xmlns:a16="http://schemas.microsoft.com/office/drawing/2014/main" id="{29B8752F-AC86-3D1C-0D25-66FAD9914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84" name="Picture 520">
          <a:extLst>
            <a:ext uri="{FF2B5EF4-FFF2-40B4-BE49-F238E27FC236}">
              <a16:creationId xmlns:a16="http://schemas.microsoft.com/office/drawing/2014/main" id="{B8A2C58E-E8A8-9482-AEC2-529F2D285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85" name="Picture 521">
          <a:extLst>
            <a:ext uri="{FF2B5EF4-FFF2-40B4-BE49-F238E27FC236}">
              <a16:creationId xmlns:a16="http://schemas.microsoft.com/office/drawing/2014/main" id="{5E9DC2E3-6A7F-B73A-9750-2119D6FA9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86" name="Picture 522">
          <a:extLst>
            <a:ext uri="{FF2B5EF4-FFF2-40B4-BE49-F238E27FC236}">
              <a16:creationId xmlns:a16="http://schemas.microsoft.com/office/drawing/2014/main" id="{5AB63054-57D8-6529-1109-F63CA8B64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87" name="Picture 523">
          <a:extLst>
            <a:ext uri="{FF2B5EF4-FFF2-40B4-BE49-F238E27FC236}">
              <a16:creationId xmlns:a16="http://schemas.microsoft.com/office/drawing/2014/main" id="{72B00105-8471-8D31-18C6-A1F026CC2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88" name="Picture 524">
          <a:extLst>
            <a:ext uri="{FF2B5EF4-FFF2-40B4-BE49-F238E27FC236}">
              <a16:creationId xmlns:a16="http://schemas.microsoft.com/office/drawing/2014/main" id="{19BA73BE-1694-56A6-1D4B-6BA689C8B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89" name="Picture 525">
          <a:extLst>
            <a:ext uri="{FF2B5EF4-FFF2-40B4-BE49-F238E27FC236}">
              <a16:creationId xmlns:a16="http://schemas.microsoft.com/office/drawing/2014/main" id="{26C3513C-955D-CEAA-25E5-5AF09EA1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90" name="Picture 526">
          <a:extLst>
            <a:ext uri="{FF2B5EF4-FFF2-40B4-BE49-F238E27FC236}">
              <a16:creationId xmlns:a16="http://schemas.microsoft.com/office/drawing/2014/main" id="{7B6B28B8-CA6C-8675-518A-947EA11DD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91" name="Picture 527">
          <a:extLst>
            <a:ext uri="{FF2B5EF4-FFF2-40B4-BE49-F238E27FC236}">
              <a16:creationId xmlns:a16="http://schemas.microsoft.com/office/drawing/2014/main" id="{8ADB44FE-A142-56C1-C2CF-43A230EE3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92" name="Picture 528">
          <a:extLst>
            <a:ext uri="{FF2B5EF4-FFF2-40B4-BE49-F238E27FC236}">
              <a16:creationId xmlns:a16="http://schemas.microsoft.com/office/drawing/2014/main" id="{24B694C4-E8B0-56B2-FB87-9A999C385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93" name="Picture 529">
          <a:extLst>
            <a:ext uri="{FF2B5EF4-FFF2-40B4-BE49-F238E27FC236}">
              <a16:creationId xmlns:a16="http://schemas.microsoft.com/office/drawing/2014/main" id="{5017B24E-8C41-8121-93CE-4CCF99C04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094" name="Picture 530">
          <a:extLst>
            <a:ext uri="{FF2B5EF4-FFF2-40B4-BE49-F238E27FC236}">
              <a16:creationId xmlns:a16="http://schemas.microsoft.com/office/drawing/2014/main" id="{8A8EEE1A-40AE-35F9-E922-14178D089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95" name="Picture 531">
          <a:extLst>
            <a:ext uri="{FF2B5EF4-FFF2-40B4-BE49-F238E27FC236}">
              <a16:creationId xmlns:a16="http://schemas.microsoft.com/office/drawing/2014/main" id="{47459B7C-2CB2-3730-9897-7CC31C221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96" name="Picture 532">
          <a:extLst>
            <a:ext uri="{FF2B5EF4-FFF2-40B4-BE49-F238E27FC236}">
              <a16:creationId xmlns:a16="http://schemas.microsoft.com/office/drawing/2014/main" id="{67FDDA16-D5B6-25D2-D5CD-2A041CE66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97" name="Picture 533">
          <a:extLst>
            <a:ext uri="{FF2B5EF4-FFF2-40B4-BE49-F238E27FC236}">
              <a16:creationId xmlns:a16="http://schemas.microsoft.com/office/drawing/2014/main" id="{BE474CDA-F8B9-3580-8C4D-433721186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98" name="Picture 534">
          <a:extLst>
            <a:ext uri="{FF2B5EF4-FFF2-40B4-BE49-F238E27FC236}">
              <a16:creationId xmlns:a16="http://schemas.microsoft.com/office/drawing/2014/main" id="{F3FDFAF2-9FF7-19D4-8737-CD8719425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099" name="Picture 535">
          <a:extLst>
            <a:ext uri="{FF2B5EF4-FFF2-40B4-BE49-F238E27FC236}">
              <a16:creationId xmlns:a16="http://schemas.microsoft.com/office/drawing/2014/main" id="{A002FAA2-9F21-3941-2231-CBB4EC4E5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00" name="Picture 536">
          <a:extLst>
            <a:ext uri="{FF2B5EF4-FFF2-40B4-BE49-F238E27FC236}">
              <a16:creationId xmlns:a16="http://schemas.microsoft.com/office/drawing/2014/main" id="{7F5F7BFD-2411-0C70-3501-EF62F92F1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01" name="Picture 537">
          <a:extLst>
            <a:ext uri="{FF2B5EF4-FFF2-40B4-BE49-F238E27FC236}">
              <a16:creationId xmlns:a16="http://schemas.microsoft.com/office/drawing/2014/main" id="{702F6352-95AF-DCA6-8955-334AD7737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02" name="Picture 538">
          <a:extLst>
            <a:ext uri="{FF2B5EF4-FFF2-40B4-BE49-F238E27FC236}">
              <a16:creationId xmlns:a16="http://schemas.microsoft.com/office/drawing/2014/main" id="{E20D4C6C-499B-EC9D-B7D6-9841196CE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03" name="Picture 539">
          <a:extLst>
            <a:ext uri="{FF2B5EF4-FFF2-40B4-BE49-F238E27FC236}">
              <a16:creationId xmlns:a16="http://schemas.microsoft.com/office/drawing/2014/main" id="{0579EBEB-DC08-0F83-A24A-B9DA0ACCF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04" name="Picture 540">
          <a:extLst>
            <a:ext uri="{FF2B5EF4-FFF2-40B4-BE49-F238E27FC236}">
              <a16:creationId xmlns:a16="http://schemas.microsoft.com/office/drawing/2014/main" id="{49F47E57-96DE-00D0-341E-4197D3701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05" name="Picture 541">
          <a:extLst>
            <a:ext uri="{FF2B5EF4-FFF2-40B4-BE49-F238E27FC236}">
              <a16:creationId xmlns:a16="http://schemas.microsoft.com/office/drawing/2014/main" id="{E0F14100-0F2D-4611-FAAD-A7F030580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06" name="Picture 542">
          <a:extLst>
            <a:ext uri="{FF2B5EF4-FFF2-40B4-BE49-F238E27FC236}">
              <a16:creationId xmlns:a16="http://schemas.microsoft.com/office/drawing/2014/main" id="{316A9DC7-B69C-EC61-CFD0-E4A132B55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07" name="Picture 543">
          <a:extLst>
            <a:ext uri="{FF2B5EF4-FFF2-40B4-BE49-F238E27FC236}">
              <a16:creationId xmlns:a16="http://schemas.microsoft.com/office/drawing/2014/main" id="{40E3A1A2-B34A-853B-6493-1CEC1E197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08" name="Picture 544">
          <a:extLst>
            <a:ext uri="{FF2B5EF4-FFF2-40B4-BE49-F238E27FC236}">
              <a16:creationId xmlns:a16="http://schemas.microsoft.com/office/drawing/2014/main" id="{664DDB04-82C8-8E3C-48C6-6310FA670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09" name="Picture 545">
          <a:extLst>
            <a:ext uri="{FF2B5EF4-FFF2-40B4-BE49-F238E27FC236}">
              <a16:creationId xmlns:a16="http://schemas.microsoft.com/office/drawing/2014/main" id="{6A124198-BE0C-098C-7977-6F53BBB1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10" name="Picture 546">
          <a:extLst>
            <a:ext uri="{FF2B5EF4-FFF2-40B4-BE49-F238E27FC236}">
              <a16:creationId xmlns:a16="http://schemas.microsoft.com/office/drawing/2014/main" id="{15E6DFF0-4F44-5F5C-A519-8FC15AF12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11" name="Picture 547">
          <a:extLst>
            <a:ext uri="{FF2B5EF4-FFF2-40B4-BE49-F238E27FC236}">
              <a16:creationId xmlns:a16="http://schemas.microsoft.com/office/drawing/2014/main" id="{173BED51-7CF9-9D80-9302-114B567B1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12" name="Picture 548">
          <a:extLst>
            <a:ext uri="{FF2B5EF4-FFF2-40B4-BE49-F238E27FC236}">
              <a16:creationId xmlns:a16="http://schemas.microsoft.com/office/drawing/2014/main" id="{A9AF0798-EC23-55EA-547F-69AC75C1D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13" name="Picture 549">
          <a:extLst>
            <a:ext uri="{FF2B5EF4-FFF2-40B4-BE49-F238E27FC236}">
              <a16:creationId xmlns:a16="http://schemas.microsoft.com/office/drawing/2014/main" id="{4FCF4BE9-548D-DE88-9211-4E78BC842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14" name="Picture 550">
          <a:extLst>
            <a:ext uri="{FF2B5EF4-FFF2-40B4-BE49-F238E27FC236}">
              <a16:creationId xmlns:a16="http://schemas.microsoft.com/office/drawing/2014/main" id="{96DDAE3D-35F5-199A-90F2-638FC6E6C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15" name="Picture 551">
          <a:extLst>
            <a:ext uri="{FF2B5EF4-FFF2-40B4-BE49-F238E27FC236}">
              <a16:creationId xmlns:a16="http://schemas.microsoft.com/office/drawing/2014/main" id="{588174C0-F4D5-72FB-BF26-63206DCA1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16" name="Picture 552">
          <a:extLst>
            <a:ext uri="{FF2B5EF4-FFF2-40B4-BE49-F238E27FC236}">
              <a16:creationId xmlns:a16="http://schemas.microsoft.com/office/drawing/2014/main" id="{3645AC56-62A5-8739-98E7-17660F4AF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17" name="Picture 553">
          <a:extLst>
            <a:ext uri="{FF2B5EF4-FFF2-40B4-BE49-F238E27FC236}">
              <a16:creationId xmlns:a16="http://schemas.microsoft.com/office/drawing/2014/main" id="{93CEEC1A-B548-DACE-AA8E-3CB192E92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18" name="Picture 554">
          <a:extLst>
            <a:ext uri="{FF2B5EF4-FFF2-40B4-BE49-F238E27FC236}">
              <a16:creationId xmlns:a16="http://schemas.microsoft.com/office/drawing/2014/main" id="{2EC13310-C5E0-1E1D-C368-09EF1F632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19" name="Picture 555">
          <a:extLst>
            <a:ext uri="{FF2B5EF4-FFF2-40B4-BE49-F238E27FC236}">
              <a16:creationId xmlns:a16="http://schemas.microsoft.com/office/drawing/2014/main" id="{1847DA69-2692-5500-4C98-CCFF0F3A8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20" name="Picture 556">
          <a:extLst>
            <a:ext uri="{FF2B5EF4-FFF2-40B4-BE49-F238E27FC236}">
              <a16:creationId xmlns:a16="http://schemas.microsoft.com/office/drawing/2014/main" id="{7CC1AFAA-51AF-F9A3-2AAC-A9A47B5CE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21" name="Picture 557">
          <a:extLst>
            <a:ext uri="{FF2B5EF4-FFF2-40B4-BE49-F238E27FC236}">
              <a16:creationId xmlns:a16="http://schemas.microsoft.com/office/drawing/2014/main" id="{169A35B6-391D-998D-CD98-D9DA12C7B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22" name="Picture 558">
          <a:extLst>
            <a:ext uri="{FF2B5EF4-FFF2-40B4-BE49-F238E27FC236}">
              <a16:creationId xmlns:a16="http://schemas.microsoft.com/office/drawing/2014/main" id="{D9E1468A-4561-22F4-6BE4-D9184BF72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23" name="Picture 559">
          <a:extLst>
            <a:ext uri="{FF2B5EF4-FFF2-40B4-BE49-F238E27FC236}">
              <a16:creationId xmlns:a16="http://schemas.microsoft.com/office/drawing/2014/main" id="{05A6056A-7D7F-D377-7C16-E4D4D046A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24" name="Picture 560">
          <a:extLst>
            <a:ext uri="{FF2B5EF4-FFF2-40B4-BE49-F238E27FC236}">
              <a16:creationId xmlns:a16="http://schemas.microsoft.com/office/drawing/2014/main" id="{A027EAC5-DA9A-84B8-E740-7F752F21C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25" name="Picture 561">
          <a:extLst>
            <a:ext uri="{FF2B5EF4-FFF2-40B4-BE49-F238E27FC236}">
              <a16:creationId xmlns:a16="http://schemas.microsoft.com/office/drawing/2014/main" id="{87F3FE77-10CA-77E9-82C0-4E8EC6059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26" name="Picture 562">
          <a:extLst>
            <a:ext uri="{FF2B5EF4-FFF2-40B4-BE49-F238E27FC236}">
              <a16:creationId xmlns:a16="http://schemas.microsoft.com/office/drawing/2014/main" id="{BC9B7B9F-A708-99EB-DA3C-5BBFC1B25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27" name="Picture 563">
          <a:extLst>
            <a:ext uri="{FF2B5EF4-FFF2-40B4-BE49-F238E27FC236}">
              <a16:creationId xmlns:a16="http://schemas.microsoft.com/office/drawing/2014/main" id="{F5022864-B846-60AE-28FE-11A578DE8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28" name="Picture 564">
          <a:extLst>
            <a:ext uri="{FF2B5EF4-FFF2-40B4-BE49-F238E27FC236}">
              <a16:creationId xmlns:a16="http://schemas.microsoft.com/office/drawing/2014/main" id="{4233517E-4005-43D2-64BC-5C4025A81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29" name="Picture 565">
          <a:extLst>
            <a:ext uri="{FF2B5EF4-FFF2-40B4-BE49-F238E27FC236}">
              <a16:creationId xmlns:a16="http://schemas.microsoft.com/office/drawing/2014/main" id="{C1C86C8C-F0D1-3C7C-116C-E88DAB8DF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30" name="Picture 566">
          <a:extLst>
            <a:ext uri="{FF2B5EF4-FFF2-40B4-BE49-F238E27FC236}">
              <a16:creationId xmlns:a16="http://schemas.microsoft.com/office/drawing/2014/main" id="{BF5F97E6-E5D2-70CC-7093-503E99DB8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31" name="Picture 567">
          <a:extLst>
            <a:ext uri="{FF2B5EF4-FFF2-40B4-BE49-F238E27FC236}">
              <a16:creationId xmlns:a16="http://schemas.microsoft.com/office/drawing/2014/main" id="{03F90701-A673-4128-011B-430DBD589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32" name="Picture 568">
          <a:extLst>
            <a:ext uri="{FF2B5EF4-FFF2-40B4-BE49-F238E27FC236}">
              <a16:creationId xmlns:a16="http://schemas.microsoft.com/office/drawing/2014/main" id="{5B6AA883-1AF1-A0BE-7A8D-8AD683673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33" name="Picture 569">
          <a:extLst>
            <a:ext uri="{FF2B5EF4-FFF2-40B4-BE49-F238E27FC236}">
              <a16:creationId xmlns:a16="http://schemas.microsoft.com/office/drawing/2014/main" id="{EF64207B-A7EE-23DB-5F39-FB5EF731C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34" name="Picture 570">
          <a:extLst>
            <a:ext uri="{FF2B5EF4-FFF2-40B4-BE49-F238E27FC236}">
              <a16:creationId xmlns:a16="http://schemas.microsoft.com/office/drawing/2014/main" id="{45F45D52-C204-3EB2-1E07-A0012E372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35" name="Picture 571">
          <a:extLst>
            <a:ext uri="{FF2B5EF4-FFF2-40B4-BE49-F238E27FC236}">
              <a16:creationId xmlns:a16="http://schemas.microsoft.com/office/drawing/2014/main" id="{9384271C-1579-66CA-FD3F-DE59CB5B7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36" name="Picture 572">
          <a:extLst>
            <a:ext uri="{FF2B5EF4-FFF2-40B4-BE49-F238E27FC236}">
              <a16:creationId xmlns:a16="http://schemas.microsoft.com/office/drawing/2014/main" id="{DC409A63-F2C4-86EF-E0EF-FCBDECFD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37" name="Picture 573">
          <a:extLst>
            <a:ext uri="{FF2B5EF4-FFF2-40B4-BE49-F238E27FC236}">
              <a16:creationId xmlns:a16="http://schemas.microsoft.com/office/drawing/2014/main" id="{5E8307DB-2B89-1B7A-373B-0D243F128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38" name="Picture 574">
          <a:extLst>
            <a:ext uri="{FF2B5EF4-FFF2-40B4-BE49-F238E27FC236}">
              <a16:creationId xmlns:a16="http://schemas.microsoft.com/office/drawing/2014/main" id="{B7DEB3B4-5932-DF7F-B516-A8F9ADB25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39" name="Picture 575">
          <a:extLst>
            <a:ext uri="{FF2B5EF4-FFF2-40B4-BE49-F238E27FC236}">
              <a16:creationId xmlns:a16="http://schemas.microsoft.com/office/drawing/2014/main" id="{1049E65A-78D5-64A4-7302-7539CEF48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40" name="Picture 576">
          <a:extLst>
            <a:ext uri="{FF2B5EF4-FFF2-40B4-BE49-F238E27FC236}">
              <a16:creationId xmlns:a16="http://schemas.microsoft.com/office/drawing/2014/main" id="{AB5D75F4-A8A4-7854-ED6D-6C9151A8F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41" name="Picture 577">
          <a:extLst>
            <a:ext uri="{FF2B5EF4-FFF2-40B4-BE49-F238E27FC236}">
              <a16:creationId xmlns:a16="http://schemas.microsoft.com/office/drawing/2014/main" id="{0F5A42ED-9882-3CA5-8EB7-C5E351482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42" name="Picture 578">
          <a:extLst>
            <a:ext uri="{FF2B5EF4-FFF2-40B4-BE49-F238E27FC236}">
              <a16:creationId xmlns:a16="http://schemas.microsoft.com/office/drawing/2014/main" id="{70205918-1003-41E0-0C00-5E939A090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43" name="Picture 579">
          <a:extLst>
            <a:ext uri="{FF2B5EF4-FFF2-40B4-BE49-F238E27FC236}">
              <a16:creationId xmlns:a16="http://schemas.microsoft.com/office/drawing/2014/main" id="{BDFB482E-40C3-D7BD-8B4D-B1EEC7599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44" name="Picture 580">
          <a:extLst>
            <a:ext uri="{FF2B5EF4-FFF2-40B4-BE49-F238E27FC236}">
              <a16:creationId xmlns:a16="http://schemas.microsoft.com/office/drawing/2014/main" id="{956554D3-5E84-2395-D4A6-9443883AD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45" name="Picture 581">
          <a:extLst>
            <a:ext uri="{FF2B5EF4-FFF2-40B4-BE49-F238E27FC236}">
              <a16:creationId xmlns:a16="http://schemas.microsoft.com/office/drawing/2014/main" id="{96683034-B30B-5864-8364-7CE74EA34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46" name="Picture 582">
          <a:extLst>
            <a:ext uri="{FF2B5EF4-FFF2-40B4-BE49-F238E27FC236}">
              <a16:creationId xmlns:a16="http://schemas.microsoft.com/office/drawing/2014/main" id="{E4B9EB94-6A44-4F13-AC08-41A8C82B5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47" name="Picture 583">
          <a:extLst>
            <a:ext uri="{FF2B5EF4-FFF2-40B4-BE49-F238E27FC236}">
              <a16:creationId xmlns:a16="http://schemas.microsoft.com/office/drawing/2014/main" id="{7BD9D4B2-5629-5521-9FCC-5FB08A5E0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48" name="Picture 584">
          <a:extLst>
            <a:ext uri="{FF2B5EF4-FFF2-40B4-BE49-F238E27FC236}">
              <a16:creationId xmlns:a16="http://schemas.microsoft.com/office/drawing/2014/main" id="{F3361727-4B33-313A-3BB3-66A3E16A6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49" name="Picture 585">
          <a:extLst>
            <a:ext uri="{FF2B5EF4-FFF2-40B4-BE49-F238E27FC236}">
              <a16:creationId xmlns:a16="http://schemas.microsoft.com/office/drawing/2014/main" id="{EC459F63-1F1B-3A9A-5687-468A3A21B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50" name="Picture 586">
          <a:extLst>
            <a:ext uri="{FF2B5EF4-FFF2-40B4-BE49-F238E27FC236}">
              <a16:creationId xmlns:a16="http://schemas.microsoft.com/office/drawing/2014/main" id="{36E786D1-4E1C-C5FA-F460-645C40E5B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51" name="Picture 587">
          <a:extLst>
            <a:ext uri="{FF2B5EF4-FFF2-40B4-BE49-F238E27FC236}">
              <a16:creationId xmlns:a16="http://schemas.microsoft.com/office/drawing/2014/main" id="{4BAA16A7-24B6-292D-082A-A30CEF006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52" name="Picture 588">
          <a:extLst>
            <a:ext uri="{FF2B5EF4-FFF2-40B4-BE49-F238E27FC236}">
              <a16:creationId xmlns:a16="http://schemas.microsoft.com/office/drawing/2014/main" id="{3A8B92EC-39E8-5F33-DFB3-C1BFC1412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53" name="Picture 589">
          <a:extLst>
            <a:ext uri="{FF2B5EF4-FFF2-40B4-BE49-F238E27FC236}">
              <a16:creationId xmlns:a16="http://schemas.microsoft.com/office/drawing/2014/main" id="{A2F010A6-57BC-1965-52D7-CD2C44005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54" name="Picture 590">
          <a:extLst>
            <a:ext uri="{FF2B5EF4-FFF2-40B4-BE49-F238E27FC236}">
              <a16:creationId xmlns:a16="http://schemas.microsoft.com/office/drawing/2014/main" id="{CC34E82F-59C2-CBDB-5A53-CB9DD9230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55" name="Picture 591">
          <a:extLst>
            <a:ext uri="{FF2B5EF4-FFF2-40B4-BE49-F238E27FC236}">
              <a16:creationId xmlns:a16="http://schemas.microsoft.com/office/drawing/2014/main" id="{324BAF63-2AC5-7690-F7C5-7621A1F79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56" name="Picture 592">
          <a:extLst>
            <a:ext uri="{FF2B5EF4-FFF2-40B4-BE49-F238E27FC236}">
              <a16:creationId xmlns:a16="http://schemas.microsoft.com/office/drawing/2014/main" id="{87F912E5-41C6-2691-FDFE-EBD31CB86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57" name="Picture 593">
          <a:extLst>
            <a:ext uri="{FF2B5EF4-FFF2-40B4-BE49-F238E27FC236}">
              <a16:creationId xmlns:a16="http://schemas.microsoft.com/office/drawing/2014/main" id="{33E47BF4-994A-23DE-7AD3-39AF1E209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58" name="Picture 594">
          <a:extLst>
            <a:ext uri="{FF2B5EF4-FFF2-40B4-BE49-F238E27FC236}">
              <a16:creationId xmlns:a16="http://schemas.microsoft.com/office/drawing/2014/main" id="{CCD6E452-A38D-8046-D107-53370F05C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59" name="Picture 595">
          <a:extLst>
            <a:ext uri="{FF2B5EF4-FFF2-40B4-BE49-F238E27FC236}">
              <a16:creationId xmlns:a16="http://schemas.microsoft.com/office/drawing/2014/main" id="{94D8375E-7D97-3D84-B05B-A8567B722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60" name="Picture 596">
          <a:extLst>
            <a:ext uri="{FF2B5EF4-FFF2-40B4-BE49-F238E27FC236}">
              <a16:creationId xmlns:a16="http://schemas.microsoft.com/office/drawing/2014/main" id="{F47E3736-17BB-DD3C-EBA2-EE03E670E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61" name="Picture 597">
          <a:extLst>
            <a:ext uri="{FF2B5EF4-FFF2-40B4-BE49-F238E27FC236}">
              <a16:creationId xmlns:a16="http://schemas.microsoft.com/office/drawing/2014/main" id="{123B2B6B-C271-998A-C9D0-D9393C949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62" name="Picture 598">
          <a:extLst>
            <a:ext uri="{FF2B5EF4-FFF2-40B4-BE49-F238E27FC236}">
              <a16:creationId xmlns:a16="http://schemas.microsoft.com/office/drawing/2014/main" id="{000E899B-D6D5-57B6-85AD-AFD2F9E5D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63" name="Picture 599">
          <a:extLst>
            <a:ext uri="{FF2B5EF4-FFF2-40B4-BE49-F238E27FC236}">
              <a16:creationId xmlns:a16="http://schemas.microsoft.com/office/drawing/2014/main" id="{06BA6722-8E1F-B365-72B2-6C8E15F33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64" name="Picture 600">
          <a:extLst>
            <a:ext uri="{FF2B5EF4-FFF2-40B4-BE49-F238E27FC236}">
              <a16:creationId xmlns:a16="http://schemas.microsoft.com/office/drawing/2014/main" id="{3E369206-2EFF-E078-33FE-7E20C3688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65" name="Picture 601">
          <a:extLst>
            <a:ext uri="{FF2B5EF4-FFF2-40B4-BE49-F238E27FC236}">
              <a16:creationId xmlns:a16="http://schemas.microsoft.com/office/drawing/2014/main" id="{FAA59D53-4EF0-D8FC-9CDA-DF7C3E34E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66" name="Picture 602">
          <a:extLst>
            <a:ext uri="{FF2B5EF4-FFF2-40B4-BE49-F238E27FC236}">
              <a16:creationId xmlns:a16="http://schemas.microsoft.com/office/drawing/2014/main" id="{2F199D07-BBE7-18E8-5EE0-69CA1F636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67" name="Picture 603">
          <a:extLst>
            <a:ext uri="{FF2B5EF4-FFF2-40B4-BE49-F238E27FC236}">
              <a16:creationId xmlns:a16="http://schemas.microsoft.com/office/drawing/2014/main" id="{FF8468B8-36DF-12E8-00C8-52DEC9E80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68" name="Picture 604">
          <a:extLst>
            <a:ext uri="{FF2B5EF4-FFF2-40B4-BE49-F238E27FC236}">
              <a16:creationId xmlns:a16="http://schemas.microsoft.com/office/drawing/2014/main" id="{3CCE08EA-A845-4352-A3B4-548A7969E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69" name="Picture 605">
          <a:extLst>
            <a:ext uri="{FF2B5EF4-FFF2-40B4-BE49-F238E27FC236}">
              <a16:creationId xmlns:a16="http://schemas.microsoft.com/office/drawing/2014/main" id="{FBFB2704-F59C-8641-C82E-38EF46D92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70" name="Picture 606">
          <a:extLst>
            <a:ext uri="{FF2B5EF4-FFF2-40B4-BE49-F238E27FC236}">
              <a16:creationId xmlns:a16="http://schemas.microsoft.com/office/drawing/2014/main" id="{40190323-9582-CC1E-B9A6-761E53475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71" name="Picture 607">
          <a:extLst>
            <a:ext uri="{FF2B5EF4-FFF2-40B4-BE49-F238E27FC236}">
              <a16:creationId xmlns:a16="http://schemas.microsoft.com/office/drawing/2014/main" id="{F1DF4D5F-73A4-2D98-34B6-4B97F5304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72" name="Picture 608">
          <a:extLst>
            <a:ext uri="{FF2B5EF4-FFF2-40B4-BE49-F238E27FC236}">
              <a16:creationId xmlns:a16="http://schemas.microsoft.com/office/drawing/2014/main" id="{919AD3E3-D809-4A9A-1C69-DE2CA7844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73" name="Picture 609">
          <a:extLst>
            <a:ext uri="{FF2B5EF4-FFF2-40B4-BE49-F238E27FC236}">
              <a16:creationId xmlns:a16="http://schemas.microsoft.com/office/drawing/2014/main" id="{37951BB1-4154-72C0-4AD6-EB68B27B8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74" name="Picture 610">
          <a:extLst>
            <a:ext uri="{FF2B5EF4-FFF2-40B4-BE49-F238E27FC236}">
              <a16:creationId xmlns:a16="http://schemas.microsoft.com/office/drawing/2014/main" id="{0A280229-28DA-F23A-73C8-12AFF82E8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75" name="Picture 611">
          <a:extLst>
            <a:ext uri="{FF2B5EF4-FFF2-40B4-BE49-F238E27FC236}">
              <a16:creationId xmlns:a16="http://schemas.microsoft.com/office/drawing/2014/main" id="{E5C4EB35-03EC-8A61-4232-B510C1B11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76" name="Picture 612">
          <a:extLst>
            <a:ext uri="{FF2B5EF4-FFF2-40B4-BE49-F238E27FC236}">
              <a16:creationId xmlns:a16="http://schemas.microsoft.com/office/drawing/2014/main" id="{F4894271-E7FC-7471-EF10-13FB7FFE0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77" name="Picture 613">
          <a:extLst>
            <a:ext uri="{FF2B5EF4-FFF2-40B4-BE49-F238E27FC236}">
              <a16:creationId xmlns:a16="http://schemas.microsoft.com/office/drawing/2014/main" id="{2C69107B-4D15-7951-F753-9C09D68B0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78" name="Picture 614">
          <a:extLst>
            <a:ext uri="{FF2B5EF4-FFF2-40B4-BE49-F238E27FC236}">
              <a16:creationId xmlns:a16="http://schemas.microsoft.com/office/drawing/2014/main" id="{380AE343-B3A2-8562-5D86-21ACEC83C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79" name="Picture 615">
          <a:extLst>
            <a:ext uri="{FF2B5EF4-FFF2-40B4-BE49-F238E27FC236}">
              <a16:creationId xmlns:a16="http://schemas.microsoft.com/office/drawing/2014/main" id="{AEC6E60C-0543-1EC8-C201-3F006BE7F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80" name="Picture 616">
          <a:extLst>
            <a:ext uri="{FF2B5EF4-FFF2-40B4-BE49-F238E27FC236}">
              <a16:creationId xmlns:a16="http://schemas.microsoft.com/office/drawing/2014/main" id="{783B3EC3-7A98-0AB4-90B8-6DFED8FDB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81" name="Picture 617">
          <a:extLst>
            <a:ext uri="{FF2B5EF4-FFF2-40B4-BE49-F238E27FC236}">
              <a16:creationId xmlns:a16="http://schemas.microsoft.com/office/drawing/2014/main" id="{CA35A17F-468C-50EF-8E10-F7D13172A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82" name="Picture 618">
          <a:extLst>
            <a:ext uri="{FF2B5EF4-FFF2-40B4-BE49-F238E27FC236}">
              <a16:creationId xmlns:a16="http://schemas.microsoft.com/office/drawing/2014/main" id="{0BDE3EC4-87DD-2E84-F9FC-FE03C93A4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83" name="Picture 619">
          <a:extLst>
            <a:ext uri="{FF2B5EF4-FFF2-40B4-BE49-F238E27FC236}">
              <a16:creationId xmlns:a16="http://schemas.microsoft.com/office/drawing/2014/main" id="{39C16444-8C67-48C8-581B-81E1C86EB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84" name="Picture 620">
          <a:extLst>
            <a:ext uri="{FF2B5EF4-FFF2-40B4-BE49-F238E27FC236}">
              <a16:creationId xmlns:a16="http://schemas.microsoft.com/office/drawing/2014/main" id="{570D687F-65C3-356F-961A-5588D7F66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85" name="Picture 621">
          <a:extLst>
            <a:ext uri="{FF2B5EF4-FFF2-40B4-BE49-F238E27FC236}">
              <a16:creationId xmlns:a16="http://schemas.microsoft.com/office/drawing/2014/main" id="{46CBFC73-1E42-18BD-B1AE-2B37AF878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86" name="Picture 622">
          <a:extLst>
            <a:ext uri="{FF2B5EF4-FFF2-40B4-BE49-F238E27FC236}">
              <a16:creationId xmlns:a16="http://schemas.microsoft.com/office/drawing/2014/main" id="{4601689B-160B-5819-FB3C-79EF7FC8B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87" name="Picture 623">
          <a:extLst>
            <a:ext uri="{FF2B5EF4-FFF2-40B4-BE49-F238E27FC236}">
              <a16:creationId xmlns:a16="http://schemas.microsoft.com/office/drawing/2014/main" id="{B3BF0540-A9D2-863F-F1F1-676E79247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88" name="Picture 624">
          <a:extLst>
            <a:ext uri="{FF2B5EF4-FFF2-40B4-BE49-F238E27FC236}">
              <a16:creationId xmlns:a16="http://schemas.microsoft.com/office/drawing/2014/main" id="{73BED3B7-6C6F-322A-6AF2-A0483D5F1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89" name="Picture 625">
          <a:extLst>
            <a:ext uri="{FF2B5EF4-FFF2-40B4-BE49-F238E27FC236}">
              <a16:creationId xmlns:a16="http://schemas.microsoft.com/office/drawing/2014/main" id="{B9490C7B-F2FB-7557-A2AC-F48CD6307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90" name="Picture 626">
          <a:extLst>
            <a:ext uri="{FF2B5EF4-FFF2-40B4-BE49-F238E27FC236}">
              <a16:creationId xmlns:a16="http://schemas.microsoft.com/office/drawing/2014/main" id="{CF4BE8C7-69B6-CDB7-D35A-1BF32D4B5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91" name="Picture 627">
          <a:extLst>
            <a:ext uri="{FF2B5EF4-FFF2-40B4-BE49-F238E27FC236}">
              <a16:creationId xmlns:a16="http://schemas.microsoft.com/office/drawing/2014/main" id="{7A60EB7B-42FA-447E-357D-8C972F558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92" name="Picture 628">
          <a:extLst>
            <a:ext uri="{FF2B5EF4-FFF2-40B4-BE49-F238E27FC236}">
              <a16:creationId xmlns:a16="http://schemas.microsoft.com/office/drawing/2014/main" id="{9AE0EA5A-C451-D95D-31A8-C8E644B9E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93" name="Picture 629">
          <a:extLst>
            <a:ext uri="{FF2B5EF4-FFF2-40B4-BE49-F238E27FC236}">
              <a16:creationId xmlns:a16="http://schemas.microsoft.com/office/drawing/2014/main" id="{699FC08C-77CC-3443-DF2C-EDAFBF5D2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94" name="Picture 630">
          <a:extLst>
            <a:ext uri="{FF2B5EF4-FFF2-40B4-BE49-F238E27FC236}">
              <a16:creationId xmlns:a16="http://schemas.microsoft.com/office/drawing/2014/main" id="{0149C43A-B8C1-336F-4C34-EE28E1EEC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95" name="Picture 631">
          <a:extLst>
            <a:ext uri="{FF2B5EF4-FFF2-40B4-BE49-F238E27FC236}">
              <a16:creationId xmlns:a16="http://schemas.microsoft.com/office/drawing/2014/main" id="{BEAA8F6A-C025-4C65-8CED-274597E55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196" name="Picture 632">
          <a:extLst>
            <a:ext uri="{FF2B5EF4-FFF2-40B4-BE49-F238E27FC236}">
              <a16:creationId xmlns:a16="http://schemas.microsoft.com/office/drawing/2014/main" id="{804EDD42-4CC8-DC51-A74E-744848216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97" name="Picture 633">
          <a:extLst>
            <a:ext uri="{FF2B5EF4-FFF2-40B4-BE49-F238E27FC236}">
              <a16:creationId xmlns:a16="http://schemas.microsoft.com/office/drawing/2014/main" id="{6630F253-77EB-B69A-B8A7-C3C65352C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98" name="Picture 634">
          <a:extLst>
            <a:ext uri="{FF2B5EF4-FFF2-40B4-BE49-F238E27FC236}">
              <a16:creationId xmlns:a16="http://schemas.microsoft.com/office/drawing/2014/main" id="{0AB38D22-1195-FEE4-E7D5-9C56A7A97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199" name="Picture 635">
          <a:extLst>
            <a:ext uri="{FF2B5EF4-FFF2-40B4-BE49-F238E27FC236}">
              <a16:creationId xmlns:a16="http://schemas.microsoft.com/office/drawing/2014/main" id="{A77481C4-E7B8-B56A-74DB-8EA85415C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00" name="Picture 636">
          <a:extLst>
            <a:ext uri="{FF2B5EF4-FFF2-40B4-BE49-F238E27FC236}">
              <a16:creationId xmlns:a16="http://schemas.microsoft.com/office/drawing/2014/main" id="{C3941864-B4EA-3CC0-2932-220940949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01" name="Picture 637">
          <a:extLst>
            <a:ext uri="{FF2B5EF4-FFF2-40B4-BE49-F238E27FC236}">
              <a16:creationId xmlns:a16="http://schemas.microsoft.com/office/drawing/2014/main" id="{95F31B9B-F03D-16C2-84E6-5E6A042A5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02" name="Picture 638">
          <a:extLst>
            <a:ext uri="{FF2B5EF4-FFF2-40B4-BE49-F238E27FC236}">
              <a16:creationId xmlns:a16="http://schemas.microsoft.com/office/drawing/2014/main" id="{C5382AAC-9DDA-B8F2-D309-EC808A45A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03" name="Picture 639">
          <a:extLst>
            <a:ext uri="{FF2B5EF4-FFF2-40B4-BE49-F238E27FC236}">
              <a16:creationId xmlns:a16="http://schemas.microsoft.com/office/drawing/2014/main" id="{8B4A62A7-F1D3-3C28-93AB-984856F72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04" name="Picture 640">
          <a:extLst>
            <a:ext uri="{FF2B5EF4-FFF2-40B4-BE49-F238E27FC236}">
              <a16:creationId xmlns:a16="http://schemas.microsoft.com/office/drawing/2014/main" id="{7563B326-64D6-1301-5397-CE9C07C6E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05" name="Picture 641">
          <a:extLst>
            <a:ext uri="{FF2B5EF4-FFF2-40B4-BE49-F238E27FC236}">
              <a16:creationId xmlns:a16="http://schemas.microsoft.com/office/drawing/2014/main" id="{006A302B-B16B-7FE0-A94F-E23E35F0E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06" name="Picture 642">
          <a:extLst>
            <a:ext uri="{FF2B5EF4-FFF2-40B4-BE49-F238E27FC236}">
              <a16:creationId xmlns:a16="http://schemas.microsoft.com/office/drawing/2014/main" id="{E7F097B3-9E23-F5C0-3485-D6DDABC8E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07" name="Picture 643">
          <a:extLst>
            <a:ext uri="{FF2B5EF4-FFF2-40B4-BE49-F238E27FC236}">
              <a16:creationId xmlns:a16="http://schemas.microsoft.com/office/drawing/2014/main" id="{B4CEA644-2C4D-3138-114A-E31BCB969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08" name="Picture 644">
          <a:extLst>
            <a:ext uri="{FF2B5EF4-FFF2-40B4-BE49-F238E27FC236}">
              <a16:creationId xmlns:a16="http://schemas.microsoft.com/office/drawing/2014/main" id="{1112C6C0-C3E9-99B6-7C24-4EB8FFD66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09" name="Picture 645">
          <a:extLst>
            <a:ext uri="{FF2B5EF4-FFF2-40B4-BE49-F238E27FC236}">
              <a16:creationId xmlns:a16="http://schemas.microsoft.com/office/drawing/2014/main" id="{E238A2E9-CB1E-9258-9823-162FC2931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10" name="Picture 646">
          <a:extLst>
            <a:ext uri="{FF2B5EF4-FFF2-40B4-BE49-F238E27FC236}">
              <a16:creationId xmlns:a16="http://schemas.microsoft.com/office/drawing/2014/main" id="{018E8751-A7F7-ACEA-3DEF-237D805F2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11" name="Picture 647">
          <a:extLst>
            <a:ext uri="{FF2B5EF4-FFF2-40B4-BE49-F238E27FC236}">
              <a16:creationId xmlns:a16="http://schemas.microsoft.com/office/drawing/2014/main" id="{34475663-F591-5594-3E77-6D285D371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12" name="Picture 648">
          <a:extLst>
            <a:ext uri="{FF2B5EF4-FFF2-40B4-BE49-F238E27FC236}">
              <a16:creationId xmlns:a16="http://schemas.microsoft.com/office/drawing/2014/main" id="{A8060E31-4FB4-221B-6449-D4B68687B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13" name="Picture 649">
          <a:extLst>
            <a:ext uri="{FF2B5EF4-FFF2-40B4-BE49-F238E27FC236}">
              <a16:creationId xmlns:a16="http://schemas.microsoft.com/office/drawing/2014/main" id="{33E63996-1506-E63A-F025-74DFC4D0A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14" name="Picture 650">
          <a:extLst>
            <a:ext uri="{FF2B5EF4-FFF2-40B4-BE49-F238E27FC236}">
              <a16:creationId xmlns:a16="http://schemas.microsoft.com/office/drawing/2014/main" id="{73FB5216-D2B9-6F77-90FC-FB6F56CAD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15" name="Picture 651">
          <a:extLst>
            <a:ext uri="{FF2B5EF4-FFF2-40B4-BE49-F238E27FC236}">
              <a16:creationId xmlns:a16="http://schemas.microsoft.com/office/drawing/2014/main" id="{129D4800-8D7F-DD25-4A2A-6C2B98D5B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16" name="Picture 652">
          <a:extLst>
            <a:ext uri="{FF2B5EF4-FFF2-40B4-BE49-F238E27FC236}">
              <a16:creationId xmlns:a16="http://schemas.microsoft.com/office/drawing/2014/main" id="{0182AB3A-DCC9-4BC8-DA6E-02A431782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17" name="Picture 653">
          <a:extLst>
            <a:ext uri="{FF2B5EF4-FFF2-40B4-BE49-F238E27FC236}">
              <a16:creationId xmlns:a16="http://schemas.microsoft.com/office/drawing/2014/main" id="{258FC499-255C-B8F1-26BC-0D78F8393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18" name="Picture 654">
          <a:extLst>
            <a:ext uri="{FF2B5EF4-FFF2-40B4-BE49-F238E27FC236}">
              <a16:creationId xmlns:a16="http://schemas.microsoft.com/office/drawing/2014/main" id="{E7C622B9-CE01-E64E-8E99-1EE3F939C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19" name="Picture 655">
          <a:extLst>
            <a:ext uri="{FF2B5EF4-FFF2-40B4-BE49-F238E27FC236}">
              <a16:creationId xmlns:a16="http://schemas.microsoft.com/office/drawing/2014/main" id="{A9AF53EE-D739-9C99-0027-7A3D9B4C0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20" name="Picture 656">
          <a:extLst>
            <a:ext uri="{FF2B5EF4-FFF2-40B4-BE49-F238E27FC236}">
              <a16:creationId xmlns:a16="http://schemas.microsoft.com/office/drawing/2014/main" id="{FEF49A19-666C-4037-1531-595BFDDC8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21" name="Picture 657">
          <a:extLst>
            <a:ext uri="{FF2B5EF4-FFF2-40B4-BE49-F238E27FC236}">
              <a16:creationId xmlns:a16="http://schemas.microsoft.com/office/drawing/2014/main" id="{2CC31916-8198-36C7-44DE-3F63567EE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22" name="Picture 658">
          <a:extLst>
            <a:ext uri="{FF2B5EF4-FFF2-40B4-BE49-F238E27FC236}">
              <a16:creationId xmlns:a16="http://schemas.microsoft.com/office/drawing/2014/main" id="{F95C25A8-6913-BEE1-6841-88F7FBDF7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23" name="Picture 659">
          <a:extLst>
            <a:ext uri="{FF2B5EF4-FFF2-40B4-BE49-F238E27FC236}">
              <a16:creationId xmlns:a16="http://schemas.microsoft.com/office/drawing/2014/main" id="{C48E4F6C-7F67-E8AA-E31B-C3E508F32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24" name="Picture 660">
          <a:extLst>
            <a:ext uri="{FF2B5EF4-FFF2-40B4-BE49-F238E27FC236}">
              <a16:creationId xmlns:a16="http://schemas.microsoft.com/office/drawing/2014/main" id="{5BAA871F-5470-90CD-4B48-29BEAA842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25" name="Picture 661">
          <a:extLst>
            <a:ext uri="{FF2B5EF4-FFF2-40B4-BE49-F238E27FC236}">
              <a16:creationId xmlns:a16="http://schemas.microsoft.com/office/drawing/2014/main" id="{9ED071E5-FB29-DA12-52E2-639314BE3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26" name="Picture 662">
          <a:extLst>
            <a:ext uri="{FF2B5EF4-FFF2-40B4-BE49-F238E27FC236}">
              <a16:creationId xmlns:a16="http://schemas.microsoft.com/office/drawing/2014/main" id="{824990A6-B350-2D27-5FC9-ED2A26DBF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27" name="Picture 663">
          <a:extLst>
            <a:ext uri="{FF2B5EF4-FFF2-40B4-BE49-F238E27FC236}">
              <a16:creationId xmlns:a16="http://schemas.microsoft.com/office/drawing/2014/main" id="{7140E26C-FA30-81E8-1C80-C1E963A53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28" name="Picture 664">
          <a:extLst>
            <a:ext uri="{FF2B5EF4-FFF2-40B4-BE49-F238E27FC236}">
              <a16:creationId xmlns:a16="http://schemas.microsoft.com/office/drawing/2014/main" id="{B59FB9B2-AD54-AD65-F66C-7D0CEF021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29" name="Picture 665">
          <a:extLst>
            <a:ext uri="{FF2B5EF4-FFF2-40B4-BE49-F238E27FC236}">
              <a16:creationId xmlns:a16="http://schemas.microsoft.com/office/drawing/2014/main" id="{ABDA99A0-BEDC-321E-5D1B-74A599D3E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30" name="Picture 666">
          <a:extLst>
            <a:ext uri="{FF2B5EF4-FFF2-40B4-BE49-F238E27FC236}">
              <a16:creationId xmlns:a16="http://schemas.microsoft.com/office/drawing/2014/main" id="{D152C389-A192-ECD9-68F4-26B5136ED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31" name="Picture 667">
          <a:extLst>
            <a:ext uri="{FF2B5EF4-FFF2-40B4-BE49-F238E27FC236}">
              <a16:creationId xmlns:a16="http://schemas.microsoft.com/office/drawing/2014/main" id="{ECC591F3-C969-A355-C331-875281688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32" name="Picture 668">
          <a:extLst>
            <a:ext uri="{FF2B5EF4-FFF2-40B4-BE49-F238E27FC236}">
              <a16:creationId xmlns:a16="http://schemas.microsoft.com/office/drawing/2014/main" id="{56B420ED-74A2-18B9-B581-3D300AE62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33" name="Picture 669">
          <a:extLst>
            <a:ext uri="{FF2B5EF4-FFF2-40B4-BE49-F238E27FC236}">
              <a16:creationId xmlns:a16="http://schemas.microsoft.com/office/drawing/2014/main" id="{41DD7DF8-B038-2CCC-8567-ACA8C0325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34" name="Picture 670">
          <a:extLst>
            <a:ext uri="{FF2B5EF4-FFF2-40B4-BE49-F238E27FC236}">
              <a16:creationId xmlns:a16="http://schemas.microsoft.com/office/drawing/2014/main" id="{98F3F0F1-4F2F-12AE-6C68-91AB91F51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35" name="Picture 671">
          <a:extLst>
            <a:ext uri="{FF2B5EF4-FFF2-40B4-BE49-F238E27FC236}">
              <a16:creationId xmlns:a16="http://schemas.microsoft.com/office/drawing/2014/main" id="{C7CC1C70-E6AA-EA9F-F83D-FDC13F940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36" name="Picture 672">
          <a:extLst>
            <a:ext uri="{FF2B5EF4-FFF2-40B4-BE49-F238E27FC236}">
              <a16:creationId xmlns:a16="http://schemas.microsoft.com/office/drawing/2014/main" id="{785B1C21-6B5B-3650-91C2-79D41F99D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37" name="Picture 673">
          <a:extLst>
            <a:ext uri="{FF2B5EF4-FFF2-40B4-BE49-F238E27FC236}">
              <a16:creationId xmlns:a16="http://schemas.microsoft.com/office/drawing/2014/main" id="{38F80464-2D9F-4F16-AC6B-3FF52BEB0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38" name="Picture 674">
          <a:extLst>
            <a:ext uri="{FF2B5EF4-FFF2-40B4-BE49-F238E27FC236}">
              <a16:creationId xmlns:a16="http://schemas.microsoft.com/office/drawing/2014/main" id="{BC1D5AAA-C131-B44C-CBA1-1CFF3BFD0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39" name="Picture 675">
          <a:extLst>
            <a:ext uri="{FF2B5EF4-FFF2-40B4-BE49-F238E27FC236}">
              <a16:creationId xmlns:a16="http://schemas.microsoft.com/office/drawing/2014/main" id="{FE810CFA-4D40-2B30-D1F8-D3F05387A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40" name="Picture 676">
          <a:extLst>
            <a:ext uri="{FF2B5EF4-FFF2-40B4-BE49-F238E27FC236}">
              <a16:creationId xmlns:a16="http://schemas.microsoft.com/office/drawing/2014/main" id="{5F1D539F-2B25-A56E-6C76-7A5C81A2B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41" name="Picture 677">
          <a:extLst>
            <a:ext uri="{FF2B5EF4-FFF2-40B4-BE49-F238E27FC236}">
              <a16:creationId xmlns:a16="http://schemas.microsoft.com/office/drawing/2014/main" id="{54C9DEE6-C52C-2C82-CF20-B58F707D9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42" name="Picture 678">
          <a:extLst>
            <a:ext uri="{FF2B5EF4-FFF2-40B4-BE49-F238E27FC236}">
              <a16:creationId xmlns:a16="http://schemas.microsoft.com/office/drawing/2014/main" id="{8925F465-4B31-211C-8377-F439B63F6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43" name="Picture 679">
          <a:extLst>
            <a:ext uri="{FF2B5EF4-FFF2-40B4-BE49-F238E27FC236}">
              <a16:creationId xmlns:a16="http://schemas.microsoft.com/office/drawing/2014/main" id="{221E29E3-F6F3-43D8-35C6-38CA59DC2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44" name="Picture 680">
          <a:extLst>
            <a:ext uri="{FF2B5EF4-FFF2-40B4-BE49-F238E27FC236}">
              <a16:creationId xmlns:a16="http://schemas.microsoft.com/office/drawing/2014/main" id="{C9ED5490-9B1B-7DA7-A77A-3D3BE4963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45" name="Picture 681">
          <a:extLst>
            <a:ext uri="{FF2B5EF4-FFF2-40B4-BE49-F238E27FC236}">
              <a16:creationId xmlns:a16="http://schemas.microsoft.com/office/drawing/2014/main" id="{466E3709-21FB-4172-C318-54B5B0CC7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46" name="Picture 682">
          <a:extLst>
            <a:ext uri="{FF2B5EF4-FFF2-40B4-BE49-F238E27FC236}">
              <a16:creationId xmlns:a16="http://schemas.microsoft.com/office/drawing/2014/main" id="{878C41EF-CFF5-D1BC-A6ED-D7EE41BE9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47" name="Picture 683">
          <a:extLst>
            <a:ext uri="{FF2B5EF4-FFF2-40B4-BE49-F238E27FC236}">
              <a16:creationId xmlns:a16="http://schemas.microsoft.com/office/drawing/2014/main" id="{5EE9305B-E3EE-0DF0-54B9-6D75F186F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48" name="Picture 684">
          <a:extLst>
            <a:ext uri="{FF2B5EF4-FFF2-40B4-BE49-F238E27FC236}">
              <a16:creationId xmlns:a16="http://schemas.microsoft.com/office/drawing/2014/main" id="{80F4AE80-12B1-3DEF-2AE2-AE08F3667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49" name="Picture 685">
          <a:extLst>
            <a:ext uri="{FF2B5EF4-FFF2-40B4-BE49-F238E27FC236}">
              <a16:creationId xmlns:a16="http://schemas.microsoft.com/office/drawing/2014/main" id="{8E6E77EB-AE30-6AB7-633E-AC775E884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50" name="Picture 686">
          <a:extLst>
            <a:ext uri="{FF2B5EF4-FFF2-40B4-BE49-F238E27FC236}">
              <a16:creationId xmlns:a16="http://schemas.microsoft.com/office/drawing/2014/main" id="{999913B4-EB6E-B403-20AD-8CEC37C64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51" name="Picture 687">
          <a:extLst>
            <a:ext uri="{FF2B5EF4-FFF2-40B4-BE49-F238E27FC236}">
              <a16:creationId xmlns:a16="http://schemas.microsoft.com/office/drawing/2014/main" id="{3ED267E7-B806-3913-327B-31F536A01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52" name="Picture 688">
          <a:extLst>
            <a:ext uri="{FF2B5EF4-FFF2-40B4-BE49-F238E27FC236}">
              <a16:creationId xmlns:a16="http://schemas.microsoft.com/office/drawing/2014/main" id="{CB9423C3-22C8-DBEF-6CE8-F20BDD7A0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53" name="Picture 689">
          <a:extLst>
            <a:ext uri="{FF2B5EF4-FFF2-40B4-BE49-F238E27FC236}">
              <a16:creationId xmlns:a16="http://schemas.microsoft.com/office/drawing/2014/main" id="{8D57D1C8-A40D-A1C5-70FD-83C4D90F5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54" name="Picture 690">
          <a:extLst>
            <a:ext uri="{FF2B5EF4-FFF2-40B4-BE49-F238E27FC236}">
              <a16:creationId xmlns:a16="http://schemas.microsoft.com/office/drawing/2014/main" id="{247B7116-4FFB-D3FB-DC0A-67F8C23F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55" name="Picture 691">
          <a:extLst>
            <a:ext uri="{FF2B5EF4-FFF2-40B4-BE49-F238E27FC236}">
              <a16:creationId xmlns:a16="http://schemas.microsoft.com/office/drawing/2014/main" id="{5E3987A8-FEA2-80D3-B0C8-DAA08A863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56" name="Picture 692">
          <a:extLst>
            <a:ext uri="{FF2B5EF4-FFF2-40B4-BE49-F238E27FC236}">
              <a16:creationId xmlns:a16="http://schemas.microsoft.com/office/drawing/2014/main" id="{2D34CCF9-A54D-FECF-702B-34CF4E576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57" name="Picture 693">
          <a:extLst>
            <a:ext uri="{FF2B5EF4-FFF2-40B4-BE49-F238E27FC236}">
              <a16:creationId xmlns:a16="http://schemas.microsoft.com/office/drawing/2014/main" id="{AA17B899-6709-6B43-CD08-E47D9AD38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58" name="Picture 694">
          <a:extLst>
            <a:ext uri="{FF2B5EF4-FFF2-40B4-BE49-F238E27FC236}">
              <a16:creationId xmlns:a16="http://schemas.microsoft.com/office/drawing/2014/main" id="{40E038E1-8724-7FA7-FA24-199FCE460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59" name="Picture 695">
          <a:extLst>
            <a:ext uri="{FF2B5EF4-FFF2-40B4-BE49-F238E27FC236}">
              <a16:creationId xmlns:a16="http://schemas.microsoft.com/office/drawing/2014/main" id="{92738CD3-A80F-7D35-9ACC-7420D4A20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60" name="Picture 696">
          <a:extLst>
            <a:ext uri="{FF2B5EF4-FFF2-40B4-BE49-F238E27FC236}">
              <a16:creationId xmlns:a16="http://schemas.microsoft.com/office/drawing/2014/main" id="{9788FA1B-909C-B103-56AD-AFC989CC0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61" name="Picture 697">
          <a:extLst>
            <a:ext uri="{FF2B5EF4-FFF2-40B4-BE49-F238E27FC236}">
              <a16:creationId xmlns:a16="http://schemas.microsoft.com/office/drawing/2014/main" id="{85183C54-C99D-9E13-690F-80858B606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62" name="Picture 698">
          <a:extLst>
            <a:ext uri="{FF2B5EF4-FFF2-40B4-BE49-F238E27FC236}">
              <a16:creationId xmlns:a16="http://schemas.microsoft.com/office/drawing/2014/main" id="{3D397745-32B6-0A6E-7942-E73C7DB7C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63" name="Picture 699">
          <a:extLst>
            <a:ext uri="{FF2B5EF4-FFF2-40B4-BE49-F238E27FC236}">
              <a16:creationId xmlns:a16="http://schemas.microsoft.com/office/drawing/2014/main" id="{5440140A-4510-C4C9-3130-556F2AC95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64" name="Picture 700">
          <a:extLst>
            <a:ext uri="{FF2B5EF4-FFF2-40B4-BE49-F238E27FC236}">
              <a16:creationId xmlns:a16="http://schemas.microsoft.com/office/drawing/2014/main" id="{2FC8BA41-83E3-0F48-71D0-22D189ECF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65" name="Picture 701">
          <a:extLst>
            <a:ext uri="{FF2B5EF4-FFF2-40B4-BE49-F238E27FC236}">
              <a16:creationId xmlns:a16="http://schemas.microsoft.com/office/drawing/2014/main" id="{0E8C508C-5317-12CF-9642-5401FAB36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66" name="Picture 702">
          <a:extLst>
            <a:ext uri="{FF2B5EF4-FFF2-40B4-BE49-F238E27FC236}">
              <a16:creationId xmlns:a16="http://schemas.microsoft.com/office/drawing/2014/main" id="{55AFEFE8-FE8E-F69A-1E3B-2A9319409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67" name="Picture 703">
          <a:extLst>
            <a:ext uri="{FF2B5EF4-FFF2-40B4-BE49-F238E27FC236}">
              <a16:creationId xmlns:a16="http://schemas.microsoft.com/office/drawing/2014/main" id="{4E817CFA-6E4E-8E64-02AB-212DCC58F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68" name="Picture 704">
          <a:extLst>
            <a:ext uri="{FF2B5EF4-FFF2-40B4-BE49-F238E27FC236}">
              <a16:creationId xmlns:a16="http://schemas.microsoft.com/office/drawing/2014/main" id="{FA79249E-2384-1E3F-6253-C9A891543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69" name="Picture 705">
          <a:extLst>
            <a:ext uri="{FF2B5EF4-FFF2-40B4-BE49-F238E27FC236}">
              <a16:creationId xmlns:a16="http://schemas.microsoft.com/office/drawing/2014/main" id="{46E94991-CBFA-3F17-62C8-7EE726D76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70" name="Picture 706">
          <a:extLst>
            <a:ext uri="{FF2B5EF4-FFF2-40B4-BE49-F238E27FC236}">
              <a16:creationId xmlns:a16="http://schemas.microsoft.com/office/drawing/2014/main" id="{D5CAA9BB-D499-96F0-A122-9BE3DBF14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71" name="Picture 707">
          <a:extLst>
            <a:ext uri="{FF2B5EF4-FFF2-40B4-BE49-F238E27FC236}">
              <a16:creationId xmlns:a16="http://schemas.microsoft.com/office/drawing/2014/main" id="{3C26B63C-CF4F-8A3F-BC81-1BC022BBB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72" name="Picture 708">
          <a:extLst>
            <a:ext uri="{FF2B5EF4-FFF2-40B4-BE49-F238E27FC236}">
              <a16:creationId xmlns:a16="http://schemas.microsoft.com/office/drawing/2014/main" id="{CB4AE33A-4398-4CC7-2888-6C73CA1F4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73" name="Picture 709">
          <a:extLst>
            <a:ext uri="{FF2B5EF4-FFF2-40B4-BE49-F238E27FC236}">
              <a16:creationId xmlns:a16="http://schemas.microsoft.com/office/drawing/2014/main" id="{A7530FF1-5D51-59E2-DE8E-629341555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74" name="Picture 710">
          <a:extLst>
            <a:ext uri="{FF2B5EF4-FFF2-40B4-BE49-F238E27FC236}">
              <a16:creationId xmlns:a16="http://schemas.microsoft.com/office/drawing/2014/main" id="{00019B33-F239-1302-92BE-3DDADEF2E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75" name="Picture 711">
          <a:extLst>
            <a:ext uri="{FF2B5EF4-FFF2-40B4-BE49-F238E27FC236}">
              <a16:creationId xmlns:a16="http://schemas.microsoft.com/office/drawing/2014/main" id="{96A004C8-280C-8476-BF61-3F9FDD764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76" name="Picture 712">
          <a:extLst>
            <a:ext uri="{FF2B5EF4-FFF2-40B4-BE49-F238E27FC236}">
              <a16:creationId xmlns:a16="http://schemas.microsoft.com/office/drawing/2014/main" id="{199E6D98-77A3-5A6B-3870-30FB18004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77" name="Picture 713">
          <a:extLst>
            <a:ext uri="{FF2B5EF4-FFF2-40B4-BE49-F238E27FC236}">
              <a16:creationId xmlns:a16="http://schemas.microsoft.com/office/drawing/2014/main" id="{1BBA731C-92DD-6816-6FC7-F4FF20D19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78" name="Picture 714">
          <a:extLst>
            <a:ext uri="{FF2B5EF4-FFF2-40B4-BE49-F238E27FC236}">
              <a16:creationId xmlns:a16="http://schemas.microsoft.com/office/drawing/2014/main" id="{76FCBDD3-BC9A-90F0-2053-E7218C81D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79" name="Picture 715">
          <a:extLst>
            <a:ext uri="{FF2B5EF4-FFF2-40B4-BE49-F238E27FC236}">
              <a16:creationId xmlns:a16="http://schemas.microsoft.com/office/drawing/2014/main" id="{E006AA76-C435-EF2D-655C-DA3E26D80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80" name="Picture 716">
          <a:extLst>
            <a:ext uri="{FF2B5EF4-FFF2-40B4-BE49-F238E27FC236}">
              <a16:creationId xmlns:a16="http://schemas.microsoft.com/office/drawing/2014/main" id="{F2FFB072-AE04-1211-3A2A-6206B09B6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81" name="Picture 717">
          <a:extLst>
            <a:ext uri="{FF2B5EF4-FFF2-40B4-BE49-F238E27FC236}">
              <a16:creationId xmlns:a16="http://schemas.microsoft.com/office/drawing/2014/main" id="{AB8CD51C-39B7-4D3A-91F3-AD93F71AA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82" name="Picture 718">
          <a:extLst>
            <a:ext uri="{FF2B5EF4-FFF2-40B4-BE49-F238E27FC236}">
              <a16:creationId xmlns:a16="http://schemas.microsoft.com/office/drawing/2014/main" id="{F01D8EA6-BF3C-4198-357A-EAD9C7F61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83" name="Picture 719">
          <a:extLst>
            <a:ext uri="{FF2B5EF4-FFF2-40B4-BE49-F238E27FC236}">
              <a16:creationId xmlns:a16="http://schemas.microsoft.com/office/drawing/2014/main" id="{206A0F70-B342-9B4B-0240-3BE74B785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84" name="Picture 720">
          <a:extLst>
            <a:ext uri="{FF2B5EF4-FFF2-40B4-BE49-F238E27FC236}">
              <a16:creationId xmlns:a16="http://schemas.microsoft.com/office/drawing/2014/main" id="{FFE402AC-5894-102D-8B40-10AD39BDF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85" name="Picture 721">
          <a:extLst>
            <a:ext uri="{FF2B5EF4-FFF2-40B4-BE49-F238E27FC236}">
              <a16:creationId xmlns:a16="http://schemas.microsoft.com/office/drawing/2014/main" id="{0D1E6CBB-713A-1A75-7C8B-4CB53CEEC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86" name="Picture 722">
          <a:extLst>
            <a:ext uri="{FF2B5EF4-FFF2-40B4-BE49-F238E27FC236}">
              <a16:creationId xmlns:a16="http://schemas.microsoft.com/office/drawing/2014/main" id="{C058F903-5076-1795-05A4-1EC89C7DE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87" name="Picture 723">
          <a:extLst>
            <a:ext uri="{FF2B5EF4-FFF2-40B4-BE49-F238E27FC236}">
              <a16:creationId xmlns:a16="http://schemas.microsoft.com/office/drawing/2014/main" id="{473E8E53-265D-5EF8-69EB-AC067AFA7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88" name="Picture 724">
          <a:extLst>
            <a:ext uri="{FF2B5EF4-FFF2-40B4-BE49-F238E27FC236}">
              <a16:creationId xmlns:a16="http://schemas.microsoft.com/office/drawing/2014/main" id="{40FDE8BD-31AA-A6A5-522D-E68C27B2F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89" name="Picture 725">
          <a:extLst>
            <a:ext uri="{FF2B5EF4-FFF2-40B4-BE49-F238E27FC236}">
              <a16:creationId xmlns:a16="http://schemas.microsoft.com/office/drawing/2014/main" id="{CBDB36E0-A170-EB9C-ED5B-1DD4185BA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90" name="Picture 726">
          <a:extLst>
            <a:ext uri="{FF2B5EF4-FFF2-40B4-BE49-F238E27FC236}">
              <a16:creationId xmlns:a16="http://schemas.microsoft.com/office/drawing/2014/main" id="{65BAB151-2661-9321-683F-FCD6E224F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91" name="Picture 727">
          <a:extLst>
            <a:ext uri="{FF2B5EF4-FFF2-40B4-BE49-F238E27FC236}">
              <a16:creationId xmlns:a16="http://schemas.microsoft.com/office/drawing/2014/main" id="{86CCF400-CC6C-E6F0-ADBD-AD8B7B1D3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92" name="Picture 728">
          <a:extLst>
            <a:ext uri="{FF2B5EF4-FFF2-40B4-BE49-F238E27FC236}">
              <a16:creationId xmlns:a16="http://schemas.microsoft.com/office/drawing/2014/main" id="{5C93B88E-CD63-E416-3FEE-C7E7AE67E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93" name="Picture 729">
          <a:extLst>
            <a:ext uri="{FF2B5EF4-FFF2-40B4-BE49-F238E27FC236}">
              <a16:creationId xmlns:a16="http://schemas.microsoft.com/office/drawing/2014/main" id="{9061E1ED-9F3E-40EF-3160-77949DBE1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94" name="Picture 730">
          <a:extLst>
            <a:ext uri="{FF2B5EF4-FFF2-40B4-BE49-F238E27FC236}">
              <a16:creationId xmlns:a16="http://schemas.microsoft.com/office/drawing/2014/main" id="{1522F48F-4EBF-83FA-54ED-F44698150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95" name="Picture 731">
          <a:extLst>
            <a:ext uri="{FF2B5EF4-FFF2-40B4-BE49-F238E27FC236}">
              <a16:creationId xmlns:a16="http://schemas.microsoft.com/office/drawing/2014/main" id="{2344DE98-C870-02FC-7D32-863B274C2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96" name="Picture 732">
          <a:extLst>
            <a:ext uri="{FF2B5EF4-FFF2-40B4-BE49-F238E27FC236}">
              <a16:creationId xmlns:a16="http://schemas.microsoft.com/office/drawing/2014/main" id="{6C03028F-6FEA-14E6-8FCA-DFF0EB41A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97" name="Picture 733">
          <a:extLst>
            <a:ext uri="{FF2B5EF4-FFF2-40B4-BE49-F238E27FC236}">
              <a16:creationId xmlns:a16="http://schemas.microsoft.com/office/drawing/2014/main" id="{1CDDE7D9-C201-8462-4BC1-B02A9981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298" name="Picture 734">
          <a:extLst>
            <a:ext uri="{FF2B5EF4-FFF2-40B4-BE49-F238E27FC236}">
              <a16:creationId xmlns:a16="http://schemas.microsoft.com/office/drawing/2014/main" id="{71ECF51E-D6CD-9DDE-FEB3-E3A49B892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299" name="Picture 735">
          <a:extLst>
            <a:ext uri="{FF2B5EF4-FFF2-40B4-BE49-F238E27FC236}">
              <a16:creationId xmlns:a16="http://schemas.microsoft.com/office/drawing/2014/main" id="{60575CF2-6E7A-19DE-581A-847FECD55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00" name="Picture 736">
          <a:extLst>
            <a:ext uri="{FF2B5EF4-FFF2-40B4-BE49-F238E27FC236}">
              <a16:creationId xmlns:a16="http://schemas.microsoft.com/office/drawing/2014/main" id="{FF331A43-1FC0-413B-7A4B-5B5A3E9FE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01" name="Picture 737">
          <a:extLst>
            <a:ext uri="{FF2B5EF4-FFF2-40B4-BE49-F238E27FC236}">
              <a16:creationId xmlns:a16="http://schemas.microsoft.com/office/drawing/2014/main" id="{4F02961E-E5F8-EB4D-23E3-D682FF114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02" name="Picture 738">
          <a:extLst>
            <a:ext uri="{FF2B5EF4-FFF2-40B4-BE49-F238E27FC236}">
              <a16:creationId xmlns:a16="http://schemas.microsoft.com/office/drawing/2014/main" id="{6EE30764-4814-63BB-F11D-03381178F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03" name="Picture 739">
          <a:extLst>
            <a:ext uri="{FF2B5EF4-FFF2-40B4-BE49-F238E27FC236}">
              <a16:creationId xmlns:a16="http://schemas.microsoft.com/office/drawing/2014/main" id="{59674E70-5F16-598A-52D4-E4C00F627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04" name="Picture 740">
          <a:extLst>
            <a:ext uri="{FF2B5EF4-FFF2-40B4-BE49-F238E27FC236}">
              <a16:creationId xmlns:a16="http://schemas.microsoft.com/office/drawing/2014/main" id="{71CAD227-54C8-F2BF-3FD1-3C71192BF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05" name="Picture 741">
          <a:extLst>
            <a:ext uri="{FF2B5EF4-FFF2-40B4-BE49-F238E27FC236}">
              <a16:creationId xmlns:a16="http://schemas.microsoft.com/office/drawing/2014/main" id="{102EF527-C152-6FA1-602B-EBB12D4D3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06" name="Picture 742">
          <a:extLst>
            <a:ext uri="{FF2B5EF4-FFF2-40B4-BE49-F238E27FC236}">
              <a16:creationId xmlns:a16="http://schemas.microsoft.com/office/drawing/2014/main" id="{DD96BB64-F7B8-401A-21AA-DE9482A0C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07" name="Picture 743">
          <a:extLst>
            <a:ext uri="{FF2B5EF4-FFF2-40B4-BE49-F238E27FC236}">
              <a16:creationId xmlns:a16="http://schemas.microsoft.com/office/drawing/2014/main" id="{1DBF27BE-3298-D129-B76F-A41C34274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08" name="Picture 744">
          <a:extLst>
            <a:ext uri="{FF2B5EF4-FFF2-40B4-BE49-F238E27FC236}">
              <a16:creationId xmlns:a16="http://schemas.microsoft.com/office/drawing/2014/main" id="{0C53A788-AFD3-1AD7-EE9D-20B5BD0FD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09" name="Picture 745">
          <a:extLst>
            <a:ext uri="{FF2B5EF4-FFF2-40B4-BE49-F238E27FC236}">
              <a16:creationId xmlns:a16="http://schemas.microsoft.com/office/drawing/2014/main" id="{4CD7AF80-ED50-CC3A-8C43-E7BC31970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10" name="Picture 746">
          <a:extLst>
            <a:ext uri="{FF2B5EF4-FFF2-40B4-BE49-F238E27FC236}">
              <a16:creationId xmlns:a16="http://schemas.microsoft.com/office/drawing/2014/main" id="{BA9E1803-A22B-A6F4-EFF4-6149BA6C4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11" name="Picture 747">
          <a:extLst>
            <a:ext uri="{FF2B5EF4-FFF2-40B4-BE49-F238E27FC236}">
              <a16:creationId xmlns:a16="http://schemas.microsoft.com/office/drawing/2014/main" id="{1BB62B19-FCA5-73E5-0255-6BEF81451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12" name="Picture 748">
          <a:extLst>
            <a:ext uri="{FF2B5EF4-FFF2-40B4-BE49-F238E27FC236}">
              <a16:creationId xmlns:a16="http://schemas.microsoft.com/office/drawing/2014/main" id="{F901CE5C-0216-4C8F-F64A-532A6BC08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13" name="Picture 749">
          <a:extLst>
            <a:ext uri="{FF2B5EF4-FFF2-40B4-BE49-F238E27FC236}">
              <a16:creationId xmlns:a16="http://schemas.microsoft.com/office/drawing/2014/main" id="{1BE8BF20-66EB-86D7-711A-09A039BE0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14" name="Picture 750">
          <a:extLst>
            <a:ext uri="{FF2B5EF4-FFF2-40B4-BE49-F238E27FC236}">
              <a16:creationId xmlns:a16="http://schemas.microsoft.com/office/drawing/2014/main" id="{863A89AB-82C7-0729-8C0D-EF1D376F4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15" name="Picture 751">
          <a:extLst>
            <a:ext uri="{FF2B5EF4-FFF2-40B4-BE49-F238E27FC236}">
              <a16:creationId xmlns:a16="http://schemas.microsoft.com/office/drawing/2014/main" id="{12500389-09AA-47C5-8EA1-8E25087C8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16" name="Picture 752">
          <a:extLst>
            <a:ext uri="{FF2B5EF4-FFF2-40B4-BE49-F238E27FC236}">
              <a16:creationId xmlns:a16="http://schemas.microsoft.com/office/drawing/2014/main" id="{A7D02F66-B28A-1F76-4F35-F3E282F22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17" name="Picture 753">
          <a:extLst>
            <a:ext uri="{FF2B5EF4-FFF2-40B4-BE49-F238E27FC236}">
              <a16:creationId xmlns:a16="http://schemas.microsoft.com/office/drawing/2014/main" id="{9D85D791-1AD1-3E61-DA4D-167E15A20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18" name="Picture 754">
          <a:extLst>
            <a:ext uri="{FF2B5EF4-FFF2-40B4-BE49-F238E27FC236}">
              <a16:creationId xmlns:a16="http://schemas.microsoft.com/office/drawing/2014/main" id="{90AAC942-260F-783D-6317-E8C330444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19" name="Picture 755">
          <a:extLst>
            <a:ext uri="{FF2B5EF4-FFF2-40B4-BE49-F238E27FC236}">
              <a16:creationId xmlns:a16="http://schemas.microsoft.com/office/drawing/2014/main" id="{555BEA79-707C-12C8-20EE-3DEFA20A2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20" name="Picture 756">
          <a:extLst>
            <a:ext uri="{FF2B5EF4-FFF2-40B4-BE49-F238E27FC236}">
              <a16:creationId xmlns:a16="http://schemas.microsoft.com/office/drawing/2014/main" id="{EC99939F-DA71-7FAC-E7DF-6C619416D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21" name="Picture 757">
          <a:extLst>
            <a:ext uri="{FF2B5EF4-FFF2-40B4-BE49-F238E27FC236}">
              <a16:creationId xmlns:a16="http://schemas.microsoft.com/office/drawing/2014/main" id="{8252824C-F102-C032-DDE5-F8914F8D0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22" name="Picture 758">
          <a:extLst>
            <a:ext uri="{FF2B5EF4-FFF2-40B4-BE49-F238E27FC236}">
              <a16:creationId xmlns:a16="http://schemas.microsoft.com/office/drawing/2014/main" id="{7D6A0358-1720-9C97-7DF1-96885B30D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23" name="Picture 759">
          <a:extLst>
            <a:ext uri="{FF2B5EF4-FFF2-40B4-BE49-F238E27FC236}">
              <a16:creationId xmlns:a16="http://schemas.microsoft.com/office/drawing/2014/main" id="{561900C0-33C3-FBF8-3074-81691CA0E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24" name="Picture 760">
          <a:extLst>
            <a:ext uri="{FF2B5EF4-FFF2-40B4-BE49-F238E27FC236}">
              <a16:creationId xmlns:a16="http://schemas.microsoft.com/office/drawing/2014/main" id="{B60F8BD4-D264-38A7-2F25-2AA6F98DB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25" name="Picture 761">
          <a:extLst>
            <a:ext uri="{FF2B5EF4-FFF2-40B4-BE49-F238E27FC236}">
              <a16:creationId xmlns:a16="http://schemas.microsoft.com/office/drawing/2014/main" id="{059A6018-1291-E364-1A99-DE63E3313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26" name="Picture 762">
          <a:extLst>
            <a:ext uri="{FF2B5EF4-FFF2-40B4-BE49-F238E27FC236}">
              <a16:creationId xmlns:a16="http://schemas.microsoft.com/office/drawing/2014/main" id="{37FA4C68-BCE5-E6C2-BD5C-A9FA8FD7F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27" name="Picture 763">
          <a:extLst>
            <a:ext uri="{FF2B5EF4-FFF2-40B4-BE49-F238E27FC236}">
              <a16:creationId xmlns:a16="http://schemas.microsoft.com/office/drawing/2014/main" id="{C2FCA197-52ED-F916-8DAF-DBF142D8B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28" name="Picture 764">
          <a:extLst>
            <a:ext uri="{FF2B5EF4-FFF2-40B4-BE49-F238E27FC236}">
              <a16:creationId xmlns:a16="http://schemas.microsoft.com/office/drawing/2014/main" id="{5AA3D536-FC1B-3FFD-2BD5-06F8714B9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29" name="Picture 765">
          <a:extLst>
            <a:ext uri="{FF2B5EF4-FFF2-40B4-BE49-F238E27FC236}">
              <a16:creationId xmlns:a16="http://schemas.microsoft.com/office/drawing/2014/main" id="{22D9D5C5-5670-9068-A4C3-3F3354C73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30" name="Picture 766">
          <a:extLst>
            <a:ext uri="{FF2B5EF4-FFF2-40B4-BE49-F238E27FC236}">
              <a16:creationId xmlns:a16="http://schemas.microsoft.com/office/drawing/2014/main" id="{AF5F5AC5-1DB5-B5FC-821D-B4A8A2A05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31" name="Picture 767">
          <a:extLst>
            <a:ext uri="{FF2B5EF4-FFF2-40B4-BE49-F238E27FC236}">
              <a16:creationId xmlns:a16="http://schemas.microsoft.com/office/drawing/2014/main" id="{D810D83F-8329-44E1-E47A-32D7009C6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32" name="Picture 768">
          <a:extLst>
            <a:ext uri="{FF2B5EF4-FFF2-40B4-BE49-F238E27FC236}">
              <a16:creationId xmlns:a16="http://schemas.microsoft.com/office/drawing/2014/main" id="{5C4C952D-5BFA-18A5-4C75-79084765A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33" name="Picture 769">
          <a:extLst>
            <a:ext uri="{FF2B5EF4-FFF2-40B4-BE49-F238E27FC236}">
              <a16:creationId xmlns:a16="http://schemas.microsoft.com/office/drawing/2014/main" id="{6B6A054B-E838-4F63-5997-E26D5A2AB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34" name="Picture 770">
          <a:extLst>
            <a:ext uri="{FF2B5EF4-FFF2-40B4-BE49-F238E27FC236}">
              <a16:creationId xmlns:a16="http://schemas.microsoft.com/office/drawing/2014/main" id="{5F7D2F62-DC4B-D089-82A7-A0ED7CF52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35" name="Picture 771">
          <a:extLst>
            <a:ext uri="{FF2B5EF4-FFF2-40B4-BE49-F238E27FC236}">
              <a16:creationId xmlns:a16="http://schemas.microsoft.com/office/drawing/2014/main" id="{71A38F1D-2C7B-919D-AC7A-B60B95F7B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36" name="Picture 772">
          <a:extLst>
            <a:ext uri="{FF2B5EF4-FFF2-40B4-BE49-F238E27FC236}">
              <a16:creationId xmlns:a16="http://schemas.microsoft.com/office/drawing/2014/main" id="{BBDE6DDC-B2FE-133B-0743-109B30865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37" name="Picture 773">
          <a:extLst>
            <a:ext uri="{FF2B5EF4-FFF2-40B4-BE49-F238E27FC236}">
              <a16:creationId xmlns:a16="http://schemas.microsoft.com/office/drawing/2014/main" id="{08C7B347-550B-7C3A-FCF7-617904F96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38" name="Picture 774">
          <a:extLst>
            <a:ext uri="{FF2B5EF4-FFF2-40B4-BE49-F238E27FC236}">
              <a16:creationId xmlns:a16="http://schemas.microsoft.com/office/drawing/2014/main" id="{4D488383-1873-6FC6-2622-8D10449C1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39" name="Picture 775">
          <a:extLst>
            <a:ext uri="{FF2B5EF4-FFF2-40B4-BE49-F238E27FC236}">
              <a16:creationId xmlns:a16="http://schemas.microsoft.com/office/drawing/2014/main" id="{8C3F6D47-BA8F-53A1-F24A-9EBFF4DA1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40" name="Picture 776">
          <a:extLst>
            <a:ext uri="{FF2B5EF4-FFF2-40B4-BE49-F238E27FC236}">
              <a16:creationId xmlns:a16="http://schemas.microsoft.com/office/drawing/2014/main" id="{C4ECE2BC-E3C6-BBA1-2EF0-BFBCE8287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41" name="Picture 777">
          <a:extLst>
            <a:ext uri="{FF2B5EF4-FFF2-40B4-BE49-F238E27FC236}">
              <a16:creationId xmlns:a16="http://schemas.microsoft.com/office/drawing/2014/main" id="{0EC70A97-80F9-B668-9D3E-9F0834411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42" name="Picture 778">
          <a:extLst>
            <a:ext uri="{FF2B5EF4-FFF2-40B4-BE49-F238E27FC236}">
              <a16:creationId xmlns:a16="http://schemas.microsoft.com/office/drawing/2014/main" id="{69C22FC7-C67B-7776-A1ED-F75F3665A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43" name="Picture 779">
          <a:extLst>
            <a:ext uri="{FF2B5EF4-FFF2-40B4-BE49-F238E27FC236}">
              <a16:creationId xmlns:a16="http://schemas.microsoft.com/office/drawing/2014/main" id="{5B250463-A1A8-0019-C87A-A2FA1FE66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44" name="Picture 780">
          <a:extLst>
            <a:ext uri="{FF2B5EF4-FFF2-40B4-BE49-F238E27FC236}">
              <a16:creationId xmlns:a16="http://schemas.microsoft.com/office/drawing/2014/main" id="{FA3D6ED5-44A2-6AA9-5B55-5265B5F8D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45" name="Picture 781">
          <a:extLst>
            <a:ext uri="{FF2B5EF4-FFF2-40B4-BE49-F238E27FC236}">
              <a16:creationId xmlns:a16="http://schemas.microsoft.com/office/drawing/2014/main" id="{749C5DB0-3C0A-1B62-6B28-BC9FF0AB6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46" name="Picture 782">
          <a:extLst>
            <a:ext uri="{FF2B5EF4-FFF2-40B4-BE49-F238E27FC236}">
              <a16:creationId xmlns:a16="http://schemas.microsoft.com/office/drawing/2014/main" id="{11E1214E-CB8E-FA29-6B94-5F03F7076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47" name="Picture 783">
          <a:extLst>
            <a:ext uri="{FF2B5EF4-FFF2-40B4-BE49-F238E27FC236}">
              <a16:creationId xmlns:a16="http://schemas.microsoft.com/office/drawing/2014/main" id="{0DECCBA7-BAD1-9C1A-0BA0-DC264DA97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48" name="Picture 784">
          <a:extLst>
            <a:ext uri="{FF2B5EF4-FFF2-40B4-BE49-F238E27FC236}">
              <a16:creationId xmlns:a16="http://schemas.microsoft.com/office/drawing/2014/main" id="{A37511C9-C819-E1C5-98DC-7369EECF8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49" name="Picture 785">
          <a:extLst>
            <a:ext uri="{FF2B5EF4-FFF2-40B4-BE49-F238E27FC236}">
              <a16:creationId xmlns:a16="http://schemas.microsoft.com/office/drawing/2014/main" id="{3C2FCD50-BDCA-EE81-D818-CB5131D85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50" name="Picture 786">
          <a:extLst>
            <a:ext uri="{FF2B5EF4-FFF2-40B4-BE49-F238E27FC236}">
              <a16:creationId xmlns:a16="http://schemas.microsoft.com/office/drawing/2014/main" id="{3576C284-15D4-D350-9A5A-03CD7A5AB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51" name="Picture 787">
          <a:extLst>
            <a:ext uri="{FF2B5EF4-FFF2-40B4-BE49-F238E27FC236}">
              <a16:creationId xmlns:a16="http://schemas.microsoft.com/office/drawing/2014/main" id="{96A88C00-1647-F24D-55BB-F8CEBAE60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52" name="Picture 788">
          <a:extLst>
            <a:ext uri="{FF2B5EF4-FFF2-40B4-BE49-F238E27FC236}">
              <a16:creationId xmlns:a16="http://schemas.microsoft.com/office/drawing/2014/main" id="{51D75EB4-E31B-5B39-B7BC-F7A37459D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53" name="Picture 789">
          <a:extLst>
            <a:ext uri="{FF2B5EF4-FFF2-40B4-BE49-F238E27FC236}">
              <a16:creationId xmlns:a16="http://schemas.microsoft.com/office/drawing/2014/main" id="{57E61413-D325-4B38-CA70-397CBD203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54" name="Picture 790">
          <a:extLst>
            <a:ext uri="{FF2B5EF4-FFF2-40B4-BE49-F238E27FC236}">
              <a16:creationId xmlns:a16="http://schemas.microsoft.com/office/drawing/2014/main" id="{304E0A7D-07EC-2A9A-EB69-2B93CF402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55" name="Picture 791">
          <a:extLst>
            <a:ext uri="{FF2B5EF4-FFF2-40B4-BE49-F238E27FC236}">
              <a16:creationId xmlns:a16="http://schemas.microsoft.com/office/drawing/2014/main" id="{C0943491-91BF-814D-5D2B-3C5F63CD6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56" name="Picture 792">
          <a:extLst>
            <a:ext uri="{FF2B5EF4-FFF2-40B4-BE49-F238E27FC236}">
              <a16:creationId xmlns:a16="http://schemas.microsoft.com/office/drawing/2014/main" id="{1156F5AD-D6F4-931F-3AC4-E1BEEBDD4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57" name="Picture 793">
          <a:extLst>
            <a:ext uri="{FF2B5EF4-FFF2-40B4-BE49-F238E27FC236}">
              <a16:creationId xmlns:a16="http://schemas.microsoft.com/office/drawing/2014/main" id="{15F2163A-F2A6-A11C-C00A-B361128AB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58" name="Picture 794">
          <a:extLst>
            <a:ext uri="{FF2B5EF4-FFF2-40B4-BE49-F238E27FC236}">
              <a16:creationId xmlns:a16="http://schemas.microsoft.com/office/drawing/2014/main" id="{6EED2424-2E5B-D3AC-565F-D7C509F75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59" name="Picture 795">
          <a:extLst>
            <a:ext uri="{FF2B5EF4-FFF2-40B4-BE49-F238E27FC236}">
              <a16:creationId xmlns:a16="http://schemas.microsoft.com/office/drawing/2014/main" id="{C94554EB-82EA-77A5-E78D-3F1754999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60" name="Picture 796">
          <a:extLst>
            <a:ext uri="{FF2B5EF4-FFF2-40B4-BE49-F238E27FC236}">
              <a16:creationId xmlns:a16="http://schemas.microsoft.com/office/drawing/2014/main" id="{307E4EF9-17FD-CDE7-6CEA-836F411DC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61" name="Picture 797">
          <a:extLst>
            <a:ext uri="{FF2B5EF4-FFF2-40B4-BE49-F238E27FC236}">
              <a16:creationId xmlns:a16="http://schemas.microsoft.com/office/drawing/2014/main" id="{46978C63-360F-07CE-442A-1DBA3CA89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62" name="Picture 798">
          <a:extLst>
            <a:ext uri="{FF2B5EF4-FFF2-40B4-BE49-F238E27FC236}">
              <a16:creationId xmlns:a16="http://schemas.microsoft.com/office/drawing/2014/main" id="{540179D1-630F-9B58-BCC7-28FDEFD91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63" name="Picture 799">
          <a:extLst>
            <a:ext uri="{FF2B5EF4-FFF2-40B4-BE49-F238E27FC236}">
              <a16:creationId xmlns:a16="http://schemas.microsoft.com/office/drawing/2014/main" id="{86FBF254-A24A-6263-7CFE-C1260513D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64" name="Picture 800">
          <a:extLst>
            <a:ext uri="{FF2B5EF4-FFF2-40B4-BE49-F238E27FC236}">
              <a16:creationId xmlns:a16="http://schemas.microsoft.com/office/drawing/2014/main" id="{69B624C8-B6A7-7A36-63C1-CBFB79175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65" name="Picture 801">
          <a:extLst>
            <a:ext uri="{FF2B5EF4-FFF2-40B4-BE49-F238E27FC236}">
              <a16:creationId xmlns:a16="http://schemas.microsoft.com/office/drawing/2014/main" id="{A4B88B7D-1513-729B-D108-FEAD118F7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66" name="Picture 802">
          <a:extLst>
            <a:ext uri="{FF2B5EF4-FFF2-40B4-BE49-F238E27FC236}">
              <a16:creationId xmlns:a16="http://schemas.microsoft.com/office/drawing/2014/main" id="{B1456330-CF7A-F234-4DB0-6C99DD7CC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67" name="Picture 803">
          <a:extLst>
            <a:ext uri="{FF2B5EF4-FFF2-40B4-BE49-F238E27FC236}">
              <a16:creationId xmlns:a16="http://schemas.microsoft.com/office/drawing/2014/main" id="{A9637C3B-36E4-8B2E-33F4-BBA7A4D67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68" name="Picture 804">
          <a:extLst>
            <a:ext uri="{FF2B5EF4-FFF2-40B4-BE49-F238E27FC236}">
              <a16:creationId xmlns:a16="http://schemas.microsoft.com/office/drawing/2014/main" id="{83205BAC-9360-51FF-638A-E53A9507D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69" name="Picture 805">
          <a:extLst>
            <a:ext uri="{FF2B5EF4-FFF2-40B4-BE49-F238E27FC236}">
              <a16:creationId xmlns:a16="http://schemas.microsoft.com/office/drawing/2014/main" id="{7D4701EC-A421-7AD3-6D92-35B96351D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70" name="Picture 806">
          <a:extLst>
            <a:ext uri="{FF2B5EF4-FFF2-40B4-BE49-F238E27FC236}">
              <a16:creationId xmlns:a16="http://schemas.microsoft.com/office/drawing/2014/main" id="{D5A440FA-5825-F6DD-D7AE-EB9EA4C3A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71" name="Picture 807">
          <a:extLst>
            <a:ext uri="{FF2B5EF4-FFF2-40B4-BE49-F238E27FC236}">
              <a16:creationId xmlns:a16="http://schemas.microsoft.com/office/drawing/2014/main" id="{D9BD1369-789B-B75D-FDF6-11E4BA4EA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72" name="Picture 808">
          <a:extLst>
            <a:ext uri="{FF2B5EF4-FFF2-40B4-BE49-F238E27FC236}">
              <a16:creationId xmlns:a16="http://schemas.microsoft.com/office/drawing/2014/main" id="{CA7FBC66-6340-F9E3-E8FA-EF2B6CA84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73" name="Picture 809">
          <a:extLst>
            <a:ext uri="{FF2B5EF4-FFF2-40B4-BE49-F238E27FC236}">
              <a16:creationId xmlns:a16="http://schemas.microsoft.com/office/drawing/2014/main" id="{E41624A8-B372-83F6-986E-656B75E3A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74" name="Picture 810">
          <a:extLst>
            <a:ext uri="{FF2B5EF4-FFF2-40B4-BE49-F238E27FC236}">
              <a16:creationId xmlns:a16="http://schemas.microsoft.com/office/drawing/2014/main" id="{5C29EB91-0278-7A80-0B24-56CB6B88F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75" name="Picture 811">
          <a:extLst>
            <a:ext uri="{FF2B5EF4-FFF2-40B4-BE49-F238E27FC236}">
              <a16:creationId xmlns:a16="http://schemas.microsoft.com/office/drawing/2014/main" id="{84691152-9E75-F49F-7C9C-1ACA8CC50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76" name="Picture 812">
          <a:extLst>
            <a:ext uri="{FF2B5EF4-FFF2-40B4-BE49-F238E27FC236}">
              <a16:creationId xmlns:a16="http://schemas.microsoft.com/office/drawing/2014/main" id="{7F3CD661-87B4-F0F9-2D36-FE8C254BF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77" name="Picture 813">
          <a:extLst>
            <a:ext uri="{FF2B5EF4-FFF2-40B4-BE49-F238E27FC236}">
              <a16:creationId xmlns:a16="http://schemas.microsoft.com/office/drawing/2014/main" id="{A2D51203-732A-8B03-5A75-01049C50E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78" name="Picture 814">
          <a:extLst>
            <a:ext uri="{FF2B5EF4-FFF2-40B4-BE49-F238E27FC236}">
              <a16:creationId xmlns:a16="http://schemas.microsoft.com/office/drawing/2014/main" id="{13438B67-F8EC-8109-F219-FC2C794A8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79" name="Picture 815">
          <a:extLst>
            <a:ext uri="{FF2B5EF4-FFF2-40B4-BE49-F238E27FC236}">
              <a16:creationId xmlns:a16="http://schemas.microsoft.com/office/drawing/2014/main" id="{03DA7621-4956-CF88-68D1-35F15A007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80" name="Picture 816">
          <a:extLst>
            <a:ext uri="{FF2B5EF4-FFF2-40B4-BE49-F238E27FC236}">
              <a16:creationId xmlns:a16="http://schemas.microsoft.com/office/drawing/2014/main" id="{F4EA5B9F-6748-E018-E0C3-8A92FD34D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81" name="Picture 817">
          <a:extLst>
            <a:ext uri="{FF2B5EF4-FFF2-40B4-BE49-F238E27FC236}">
              <a16:creationId xmlns:a16="http://schemas.microsoft.com/office/drawing/2014/main" id="{B3B1D29C-E3FC-1EFC-63EE-3C16C3E62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82" name="Picture 818">
          <a:extLst>
            <a:ext uri="{FF2B5EF4-FFF2-40B4-BE49-F238E27FC236}">
              <a16:creationId xmlns:a16="http://schemas.microsoft.com/office/drawing/2014/main" id="{298E7D20-AA75-80BA-813C-D5AC1FA43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83" name="Picture 819">
          <a:extLst>
            <a:ext uri="{FF2B5EF4-FFF2-40B4-BE49-F238E27FC236}">
              <a16:creationId xmlns:a16="http://schemas.microsoft.com/office/drawing/2014/main" id="{74F9A0E6-B4B3-C296-6619-D509DBADA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84" name="Picture 820">
          <a:extLst>
            <a:ext uri="{FF2B5EF4-FFF2-40B4-BE49-F238E27FC236}">
              <a16:creationId xmlns:a16="http://schemas.microsoft.com/office/drawing/2014/main" id="{CDCE428C-0BE6-42CE-FE2A-DEDA168B1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85" name="Picture 821">
          <a:extLst>
            <a:ext uri="{FF2B5EF4-FFF2-40B4-BE49-F238E27FC236}">
              <a16:creationId xmlns:a16="http://schemas.microsoft.com/office/drawing/2014/main" id="{684F82E3-ED16-DFDB-88B5-A8FF97033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86" name="Picture 822">
          <a:extLst>
            <a:ext uri="{FF2B5EF4-FFF2-40B4-BE49-F238E27FC236}">
              <a16:creationId xmlns:a16="http://schemas.microsoft.com/office/drawing/2014/main" id="{B0968586-2D01-4070-3377-213254FAF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87" name="Picture 823">
          <a:extLst>
            <a:ext uri="{FF2B5EF4-FFF2-40B4-BE49-F238E27FC236}">
              <a16:creationId xmlns:a16="http://schemas.microsoft.com/office/drawing/2014/main" id="{067594C3-A0A8-63AA-44BB-95C8AC09A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88" name="Picture 824">
          <a:extLst>
            <a:ext uri="{FF2B5EF4-FFF2-40B4-BE49-F238E27FC236}">
              <a16:creationId xmlns:a16="http://schemas.microsoft.com/office/drawing/2014/main" id="{90FB0CC6-31E4-04D6-F4F5-BFDB3694D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89" name="Picture 825">
          <a:extLst>
            <a:ext uri="{FF2B5EF4-FFF2-40B4-BE49-F238E27FC236}">
              <a16:creationId xmlns:a16="http://schemas.microsoft.com/office/drawing/2014/main" id="{432F138B-7AA7-B581-6524-15F2AC82F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90" name="Picture 826">
          <a:extLst>
            <a:ext uri="{FF2B5EF4-FFF2-40B4-BE49-F238E27FC236}">
              <a16:creationId xmlns:a16="http://schemas.microsoft.com/office/drawing/2014/main" id="{14E0A0BB-03FF-5F38-207F-023B3F2F0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91" name="Picture 827">
          <a:extLst>
            <a:ext uri="{FF2B5EF4-FFF2-40B4-BE49-F238E27FC236}">
              <a16:creationId xmlns:a16="http://schemas.microsoft.com/office/drawing/2014/main" id="{85984805-21E0-A361-8E33-5EA61AB3F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92" name="Picture 828">
          <a:extLst>
            <a:ext uri="{FF2B5EF4-FFF2-40B4-BE49-F238E27FC236}">
              <a16:creationId xmlns:a16="http://schemas.microsoft.com/office/drawing/2014/main" id="{6532B1FA-A40A-BC77-C492-7A078628B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93" name="Picture 829">
          <a:extLst>
            <a:ext uri="{FF2B5EF4-FFF2-40B4-BE49-F238E27FC236}">
              <a16:creationId xmlns:a16="http://schemas.microsoft.com/office/drawing/2014/main" id="{DC1EF1AC-F1FC-40BD-F525-91670D150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94" name="Picture 830">
          <a:extLst>
            <a:ext uri="{FF2B5EF4-FFF2-40B4-BE49-F238E27FC236}">
              <a16:creationId xmlns:a16="http://schemas.microsoft.com/office/drawing/2014/main" id="{6FAAE74B-40F5-693D-71F6-4E1E88E9F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95" name="Picture 831">
          <a:extLst>
            <a:ext uri="{FF2B5EF4-FFF2-40B4-BE49-F238E27FC236}">
              <a16:creationId xmlns:a16="http://schemas.microsoft.com/office/drawing/2014/main" id="{2FE3627A-C623-90CB-FD05-44038B3E4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96" name="Picture 832">
          <a:extLst>
            <a:ext uri="{FF2B5EF4-FFF2-40B4-BE49-F238E27FC236}">
              <a16:creationId xmlns:a16="http://schemas.microsoft.com/office/drawing/2014/main" id="{91056C10-DE70-DE8F-C07D-8BE3D2FA0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397" name="Picture 833">
          <a:extLst>
            <a:ext uri="{FF2B5EF4-FFF2-40B4-BE49-F238E27FC236}">
              <a16:creationId xmlns:a16="http://schemas.microsoft.com/office/drawing/2014/main" id="{E55FB726-9813-A63D-6429-A0B9AD58E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98" name="Picture 834">
          <a:extLst>
            <a:ext uri="{FF2B5EF4-FFF2-40B4-BE49-F238E27FC236}">
              <a16:creationId xmlns:a16="http://schemas.microsoft.com/office/drawing/2014/main" id="{17922B5E-3743-1025-E31D-4F10FE815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399" name="Picture 835">
          <a:extLst>
            <a:ext uri="{FF2B5EF4-FFF2-40B4-BE49-F238E27FC236}">
              <a16:creationId xmlns:a16="http://schemas.microsoft.com/office/drawing/2014/main" id="{124F903A-8FAF-8712-F4D6-D2E44452E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00" name="Picture 836">
          <a:extLst>
            <a:ext uri="{FF2B5EF4-FFF2-40B4-BE49-F238E27FC236}">
              <a16:creationId xmlns:a16="http://schemas.microsoft.com/office/drawing/2014/main" id="{279A6043-96E5-2800-E5E4-9BB305E46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01" name="Picture 837">
          <a:extLst>
            <a:ext uri="{FF2B5EF4-FFF2-40B4-BE49-F238E27FC236}">
              <a16:creationId xmlns:a16="http://schemas.microsoft.com/office/drawing/2014/main" id="{E8AEBAE4-1B0A-72F0-18DC-AFCE13FA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02" name="Picture 838">
          <a:extLst>
            <a:ext uri="{FF2B5EF4-FFF2-40B4-BE49-F238E27FC236}">
              <a16:creationId xmlns:a16="http://schemas.microsoft.com/office/drawing/2014/main" id="{573DE223-71D2-3AB5-249A-12D5F29FB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03" name="Picture 839">
          <a:extLst>
            <a:ext uri="{FF2B5EF4-FFF2-40B4-BE49-F238E27FC236}">
              <a16:creationId xmlns:a16="http://schemas.microsoft.com/office/drawing/2014/main" id="{E2292562-F911-2B2F-2343-6122D16BE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04" name="Picture 840">
          <a:extLst>
            <a:ext uri="{FF2B5EF4-FFF2-40B4-BE49-F238E27FC236}">
              <a16:creationId xmlns:a16="http://schemas.microsoft.com/office/drawing/2014/main" id="{1C12B874-92D5-F120-0752-95D9BA348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05" name="Picture 841">
          <a:extLst>
            <a:ext uri="{FF2B5EF4-FFF2-40B4-BE49-F238E27FC236}">
              <a16:creationId xmlns:a16="http://schemas.microsoft.com/office/drawing/2014/main" id="{5DA2D960-6004-C4E4-0D65-86A4C07A7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06" name="Picture 842">
          <a:extLst>
            <a:ext uri="{FF2B5EF4-FFF2-40B4-BE49-F238E27FC236}">
              <a16:creationId xmlns:a16="http://schemas.microsoft.com/office/drawing/2014/main" id="{87740149-6E03-94C7-1BD8-B20C0D7F1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07" name="Picture 843">
          <a:extLst>
            <a:ext uri="{FF2B5EF4-FFF2-40B4-BE49-F238E27FC236}">
              <a16:creationId xmlns:a16="http://schemas.microsoft.com/office/drawing/2014/main" id="{82439543-4053-9AE0-C211-FE41C1482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08" name="Picture 844">
          <a:extLst>
            <a:ext uri="{FF2B5EF4-FFF2-40B4-BE49-F238E27FC236}">
              <a16:creationId xmlns:a16="http://schemas.microsoft.com/office/drawing/2014/main" id="{8F368531-363F-FFFB-EA82-9529E8EB0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09" name="Picture 845">
          <a:extLst>
            <a:ext uri="{FF2B5EF4-FFF2-40B4-BE49-F238E27FC236}">
              <a16:creationId xmlns:a16="http://schemas.microsoft.com/office/drawing/2014/main" id="{68592BED-94FB-0D8A-2720-5BB6FFB09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10" name="Picture 846">
          <a:extLst>
            <a:ext uri="{FF2B5EF4-FFF2-40B4-BE49-F238E27FC236}">
              <a16:creationId xmlns:a16="http://schemas.microsoft.com/office/drawing/2014/main" id="{2C8E6517-A8E5-D7FF-7AD8-15E626A72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11" name="Picture 847">
          <a:extLst>
            <a:ext uri="{FF2B5EF4-FFF2-40B4-BE49-F238E27FC236}">
              <a16:creationId xmlns:a16="http://schemas.microsoft.com/office/drawing/2014/main" id="{5C9A0274-8666-6E71-25D4-726497587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12" name="Picture 848">
          <a:extLst>
            <a:ext uri="{FF2B5EF4-FFF2-40B4-BE49-F238E27FC236}">
              <a16:creationId xmlns:a16="http://schemas.microsoft.com/office/drawing/2014/main" id="{90B211C3-046D-5B72-25B0-DEC298A95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13" name="Picture 849">
          <a:extLst>
            <a:ext uri="{FF2B5EF4-FFF2-40B4-BE49-F238E27FC236}">
              <a16:creationId xmlns:a16="http://schemas.microsoft.com/office/drawing/2014/main" id="{D3EC840B-2CCE-AF91-0022-41A52D9AE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14" name="Picture 850">
          <a:extLst>
            <a:ext uri="{FF2B5EF4-FFF2-40B4-BE49-F238E27FC236}">
              <a16:creationId xmlns:a16="http://schemas.microsoft.com/office/drawing/2014/main" id="{B4B54A4E-B726-E004-0E2F-41B3F5702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15" name="Picture 851">
          <a:extLst>
            <a:ext uri="{FF2B5EF4-FFF2-40B4-BE49-F238E27FC236}">
              <a16:creationId xmlns:a16="http://schemas.microsoft.com/office/drawing/2014/main" id="{C3963C7C-B8BB-A53B-576E-38765C629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16" name="Picture 852">
          <a:extLst>
            <a:ext uri="{FF2B5EF4-FFF2-40B4-BE49-F238E27FC236}">
              <a16:creationId xmlns:a16="http://schemas.microsoft.com/office/drawing/2014/main" id="{6DAF4504-5BE6-9C71-9AC1-D85FE8B17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17" name="Picture 853">
          <a:extLst>
            <a:ext uri="{FF2B5EF4-FFF2-40B4-BE49-F238E27FC236}">
              <a16:creationId xmlns:a16="http://schemas.microsoft.com/office/drawing/2014/main" id="{4B1CF1CF-D4A0-C152-2C88-2335C2CA3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18" name="Picture 854">
          <a:extLst>
            <a:ext uri="{FF2B5EF4-FFF2-40B4-BE49-F238E27FC236}">
              <a16:creationId xmlns:a16="http://schemas.microsoft.com/office/drawing/2014/main" id="{F41C858A-D5ED-D4F6-AA74-0013CAE1C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19" name="Picture 855">
          <a:extLst>
            <a:ext uri="{FF2B5EF4-FFF2-40B4-BE49-F238E27FC236}">
              <a16:creationId xmlns:a16="http://schemas.microsoft.com/office/drawing/2014/main" id="{15B85F02-8EC5-C519-8407-F98A9AB54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20" name="Picture 856">
          <a:extLst>
            <a:ext uri="{FF2B5EF4-FFF2-40B4-BE49-F238E27FC236}">
              <a16:creationId xmlns:a16="http://schemas.microsoft.com/office/drawing/2014/main" id="{E39E9431-BF4A-A696-A1C7-FAB9C140F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21" name="Picture 857">
          <a:extLst>
            <a:ext uri="{FF2B5EF4-FFF2-40B4-BE49-F238E27FC236}">
              <a16:creationId xmlns:a16="http://schemas.microsoft.com/office/drawing/2014/main" id="{0F2952A7-23F8-B9E6-72B0-0E43871A5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22" name="Picture 858">
          <a:extLst>
            <a:ext uri="{FF2B5EF4-FFF2-40B4-BE49-F238E27FC236}">
              <a16:creationId xmlns:a16="http://schemas.microsoft.com/office/drawing/2014/main" id="{EA7321FD-CD34-6883-12A6-242368A0F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23" name="Picture 859">
          <a:extLst>
            <a:ext uri="{FF2B5EF4-FFF2-40B4-BE49-F238E27FC236}">
              <a16:creationId xmlns:a16="http://schemas.microsoft.com/office/drawing/2014/main" id="{C8567321-3A24-982B-6489-FFAD37EE2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24" name="Picture 860">
          <a:extLst>
            <a:ext uri="{FF2B5EF4-FFF2-40B4-BE49-F238E27FC236}">
              <a16:creationId xmlns:a16="http://schemas.microsoft.com/office/drawing/2014/main" id="{DCFFD96A-F88E-403D-76A7-BF73C7E61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25" name="Picture 861">
          <a:extLst>
            <a:ext uri="{FF2B5EF4-FFF2-40B4-BE49-F238E27FC236}">
              <a16:creationId xmlns:a16="http://schemas.microsoft.com/office/drawing/2014/main" id="{E1917247-20A2-A8BA-1855-02858CA4E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26" name="Picture 862">
          <a:extLst>
            <a:ext uri="{FF2B5EF4-FFF2-40B4-BE49-F238E27FC236}">
              <a16:creationId xmlns:a16="http://schemas.microsoft.com/office/drawing/2014/main" id="{A40408B0-21F9-1A93-2849-7E99FD095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27" name="Picture 863">
          <a:extLst>
            <a:ext uri="{FF2B5EF4-FFF2-40B4-BE49-F238E27FC236}">
              <a16:creationId xmlns:a16="http://schemas.microsoft.com/office/drawing/2014/main" id="{D394F5EE-73D8-27A5-4A7E-FCE2F83AD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28" name="Picture 864">
          <a:extLst>
            <a:ext uri="{FF2B5EF4-FFF2-40B4-BE49-F238E27FC236}">
              <a16:creationId xmlns:a16="http://schemas.microsoft.com/office/drawing/2014/main" id="{BF77A353-2088-CD88-794D-4FA79FEF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29" name="Picture 865">
          <a:extLst>
            <a:ext uri="{FF2B5EF4-FFF2-40B4-BE49-F238E27FC236}">
              <a16:creationId xmlns:a16="http://schemas.microsoft.com/office/drawing/2014/main" id="{2849134C-5BEA-8589-CC63-29EC9F56C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30" name="Picture 866">
          <a:extLst>
            <a:ext uri="{FF2B5EF4-FFF2-40B4-BE49-F238E27FC236}">
              <a16:creationId xmlns:a16="http://schemas.microsoft.com/office/drawing/2014/main" id="{ED4C6DEB-0F49-EC31-E774-1F45F1340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31" name="Picture 867">
          <a:extLst>
            <a:ext uri="{FF2B5EF4-FFF2-40B4-BE49-F238E27FC236}">
              <a16:creationId xmlns:a16="http://schemas.microsoft.com/office/drawing/2014/main" id="{7ED1EA91-AC73-4359-F26D-4F9798FEA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32" name="Picture 868">
          <a:extLst>
            <a:ext uri="{FF2B5EF4-FFF2-40B4-BE49-F238E27FC236}">
              <a16:creationId xmlns:a16="http://schemas.microsoft.com/office/drawing/2014/main" id="{FB6C9338-F510-B7FB-B3FD-35FE6163D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33" name="Picture 869">
          <a:extLst>
            <a:ext uri="{FF2B5EF4-FFF2-40B4-BE49-F238E27FC236}">
              <a16:creationId xmlns:a16="http://schemas.microsoft.com/office/drawing/2014/main" id="{ACF26EB0-BCF5-9224-9989-71C23D4EB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34" name="Picture 870">
          <a:extLst>
            <a:ext uri="{FF2B5EF4-FFF2-40B4-BE49-F238E27FC236}">
              <a16:creationId xmlns:a16="http://schemas.microsoft.com/office/drawing/2014/main" id="{1D0516DB-FFE7-7E43-C94E-59506D3AE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35" name="Picture 871">
          <a:extLst>
            <a:ext uri="{FF2B5EF4-FFF2-40B4-BE49-F238E27FC236}">
              <a16:creationId xmlns:a16="http://schemas.microsoft.com/office/drawing/2014/main" id="{2BF3D5F6-6BDB-DB3B-D125-679E315CD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36" name="Picture 872">
          <a:extLst>
            <a:ext uri="{FF2B5EF4-FFF2-40B4-BE49-F238E27FC236}">
              <a16:creationId xmlns:a16="http://schemas.microsoft.com/office/drawing/2014/main" id="{03D3C644-8B36-2650-4297-37F7CE829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37" name="Picture 873">
          <a:extLst>
            <a:ext uri="{FF2B5EF4-FFF2-40B4-BE49-F238E27FC236}">
              <a16:creationId xmlns:a16="http://schemas.microsoft.com/office/drawing/2014/main" id="{3E747D48-6272-9DBF-D3A7-8BE73CE9F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38" name="Picture 874">
          <a:extLst>
            <a:ext uri="{FF2B5EF4-FFF2-40B4-BE49-F238E27FC236}">
              <a16:creationId xmlns:a16="http://schemas.microsoft.com/office/drawing/2014/main" id="{91443E17-3ADA-AC7E-6FB9-E4147587B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39" name="Picture 875">
          <a:extLst>
            <a:ext uri="{FF2B5EF4-FFF2-40B4-BE49-F238E27FC236}">
              <a16:creationId xmlns:a16="http://schemas.microsoft.com/office/drawing/2014/main" id="{13AE0D5D-FF21-7EE2-F0BA-2392EC1D1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40" name="Picture 876">
          <a:extLst>
            <a:ext uri="{FF2B5EF4-FFF2-40B4-BE49-F238E27FC236}">
              <a16:creationId xmlns:a16="http://schemas.microsoft.com/office/drawing/2014/main" id="{6DCA4EE0-E5E9-B6ED-8712-5B1B6B186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41" name="Picture 877">
          <a:extLst>
            <a:ext uri="{FF2B5EF4-FFF2-40B4-BE49-F238E27FC236}">
              <a16:creationId xmlns:a16="http://schemas.microsoft.com/office/drawing/2014/main" id="{B3A101C2-B6BC-01D1-0082-2367FD60B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42" name="Picture 878">
          <a:extLst>
            <a:ext uri="{FF2B5EF4-FFF2-40B4-BE49-F238E27FC236}">
              <a16:creationId xmlns:a16="http://schemas.microsoft.com/office/drawing/2014/main" id="{2053D71F-94FB-25A7-3013-FBA35FE4B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43" name="Picture 879">
          <a:extLst>
            <a:ext uri="{FF2B5EF4-FFF2-40B4-BE49-F238E27FC236}">
              <a16:creationId xmlns:a16="http://schemas.microsoft.com/office/drawing/2014/main" id="{A16DE560-B85D-A747-F571-6C0041D85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44" name="Picture 880">
          <a:extLst>
            <a:ext uri="{FF2B5EF4-FFF2-40B4-BE49-F238E27FC236}">
              <a16:creationId xmlns:a16="http://schemas.microsoft.com/office/drawing/2014/main" id="{0C3E395B-1C9A-3A54-DC60-7FB1BA6AE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45" name="Picture 881">
          <a:extLst>
            <a:ext uri="{FF2B5EF4-FFF2-40B4-BE49-F238E27FC236}">
              <a16:creationId xmlns:a16="http://schemas.microsoft.com/office/drawing/2014/main" id="{439A7864-F666-5D59-E097-B4E4F7044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46" name="Picture 882">
          <a:extLst>
            <a:ext uri="{FF2B5EF4-FFF2-40B4-BE49-F238E27FC236}">
              <a16:creationId xmlns:a16="http://schemas.microsoft.com/office/drawing/2014/main" id="{518C11B0-AD44-7EA8-7A7F-677B64195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47" name="Picture 883">
          <a:extLst>
            <a:ext uri="{FF2B5EF4-FFF2-40B4-BE49-F238E27FC236}">
              <a16:creationId xmlns:a16="http://schemas.microsoft.com/office/drawing/2014/main" id="{4A3A3DF1-827E-512E-9920-B06C9856A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48" name="Picture 884">
          <a:extLst>
            <a:ext uri="{FF2B5EF4-FFF2-40B4-BE49-F238E27FC236}">
              <a16:creationId xmlns:a16="http://schemas.microsoft.com/office/drawing/2014/main" id="{499AF710-F1EA-A2E1-A0B4-93B46B44A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49" name="Picture 885">
          <a:extLst>
            <a:ext uri="{FF2B5EF4-FFF2-40B4-BE49-F238E27FC236}">
              <a16:creationId xmlns:a16="http://schemas.microsoft.com/office/drawing/2014/main" id="{17C7D51C-BFAF-1D06-4582-D327EED11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50" name="Picture 886">
          <a:extLst>
            <a:ext uri="{FF2B5EF4-FFF2-40B4-BE49-F238E27FC236}">
              <a16:creationId xmlns:a16="http://schemas.microsoft.com/office/drawing/2014/main" id="{24DAA632-DC36-1CE0-70D7-B33A63E02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51" name="Picture 887">
          <a:extLst>
            <a:ext uri="{FF2B5EF4-FFF2-40B4-BE49-F238E27FC236}">
              <a16:creationId xmlns:a16="http://schemas.microsoft.com/office/drawing/2014/main" id="{9628D133-0878-EAD1-0B88-DE1DC4147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52" name="Picture 888">
          <a:extLst>
            <a:ext uri="{FF2B5EF4-FFF2-40B4-BE49-F238E27FC236}">
              <a16:creationId xmlns:a16="http://schemas.microsoft.com/office/drawing/2014/main" id="{DA402886-F70C-9B28-BBA4-041A3CBA8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53" name="Picture 889">
          <a:extLst>
            <a:ext uri="{FF2B5EF4-FFF2-40B4-BE49-F238E27FC236}">
              <a16:creationId xmlns:a16="http://schemas.microsoft.com/office/drawing/2014/main" id="{258CA8CE-F871-3389-7B7B-2A6682018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54" name="Picture 890">
          <a:extLst>
            <a:ext uri="{FF2B5EF4-FFF2-40B4-BE49-F238E27FC236}">
              <a16:creationId xmlns:a16="http://schemas.microsoft.com/office/drawing/2014/main" id="{EFCC65EC-336B-3A8C-1B5A-50DA8548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55" name="Picture 891">
          <a:extLst>
            <a:ext uri="{FF2B5EF4-FFF2-40B4-BE49-F238E27FC236}">
              <a16:creationId xmlns:a16="http://schemas.microsoft.com/office/drawing/2014/main" id="{DF764D53-AEBE-CDC1-9A68-CE7745E55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56" name="Picture 892">
          <a:extLst>
            <a:ext uri="{FF2B5EF4-FFF2-40B4-BE49-F238E27FC236}">
              <a16:creationId xmlns:a16="http://schemas.microsoft.com/office/drawing/2014/main" id="{9CE504F2-28C1-5348-2746-67E848B74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57" name="Picture 893">
          <a:extLst>
            <a:ext uri="{FF2B5EF4-FFF2-40B4-BE49-F238E27FC236}">
              <a16:creationId xmlns:a16="http://schemas.microsoft.com/office/drawing/2014/main" id="{25254E73-88DA-746A-56B6-2BA431A92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58" name="Picture 894">
          <a:extLst>
            <a:ext uri="{FF2B5EF4-FFF2-40B4-BE49-F238E27FC236}">
              <a16:creationId xmlns:a16="http://schemas.microsoft.com/office/drawing/2014/main" id="{D99C2DAD-6D78-C219-03C5-2D7ED3875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59" name="Picture 895">
          <a:extLst>
            <a:ext uri="{FF2B5EF4-FFF2-40B4-BE49-F238E27FC236}">
              <a16:creationId xmlns:a16="http://schemas.microsoft.com/office/drawing/2014/main" id="{28BD178F-77CD-0F4C-EDF5-7E1688D09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60" name="Picture 896">
          <a:extLst>
            <a:ext uri="{FF2B5EF4-FFF2-40B4-BE49-F238E27FC236}">
              <a16:creationId xmlns:a16="http://schemas.microsoft.com/office/drawing/2014/main" id="{B9C586D0-3E3F-50F6-197C-EC4B1D03D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61" name="Picture 897">
          <a:extLst>
            <a:ext uri="{FF2B5EF4-FFF2-40B4-BE49-F238E27FC236}">
              <a16:creationId xmlns:a16="http://schemas.microsoft.com/office/drawing/2014/main" id="{BE3FFE32-172B-DA5A-04C9-A3D8CC0E8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62" name="Picture 898">
          <a:extLst>
            <a:ext uri="{FF2B5EF4-FFF2-40B4-BE49-F238E27FC236}">
              <a16:creationId xmlns:a16="http://schemas.microsoft.com/office/drawing/2014/main" id="{9499E167-0384-D709-E594-4A5AA24D1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63" name="Picture 899">
          <a:extLst>
            <a:ext uri="{FF2B5EF4-FFF2-40B4-BE49-F238E27FC236}">
              <a16:creationId xmlns:a16="http://schemas.microsoft.com/office/drawing/2014/main" id="{38AC3FDC-F276-640D-6C51-18DC9E2A4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64" name="Picture 900">
          <a:extLst>
            <a:ext uri="{FF2B5EF4-FFF2-40B4-BE49-F238E27FC236}">
              <a16:creationId xmlns:a16="http://schemas.microsoft.com/office/drawing/2014/main" id="{9589FBD1-2383-57D3-9E90-07A9862ED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65" name="Picture 901">
          <a:extLst>
            <a:ext uri="{FF2B5EF4-FFF2-40B4-BE49-F238E27FC236}">
              <a16:creationId xmlns:a16="http://schemas.microsoft.com/office/drawing/2014/main" id="{F5965BE7-BD5D-3400-E023-13EAB40BF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66" name="Picture 902">
          <a:extLst>
            <a:ext uri="{FF2B5EF4-FFF2-40B4-BE49-F238E27FC236}">
              <a16:creationId xmlns:a16="http://schemas.microsoft.com/office/drawing/2014/main" id="{858108DC-3906-61D1-FEE0-DFD086341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67" name="Picture 903">
          <a:extLst>
            <a:ext uri="{FF2B5EF4-FFF2-40B4-BE49-F238E27FC236}">
              <a16:creationId xmlns:a16="http://schemas.microsoft.com/office/drawing/2014/main" id="{516199B7-50EB-6F34-7A37-48D95037F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68" name="Picture 904">
          <a:extLst>
            <a:ext uri="{FF2B5EF4-FFF2-40B4-BE49-F238E27FC236}">
              <a16:creationId xmlns:a16="http://schemas.microsoft.com/office/drawing/2014/main" id="{AD750495-D2B6-3710-E1D9-4022A6098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69" name="Picture 905">
          <a:extLst>
            <a:ext uri="{FF2B5EF4-FFF2-40B4-BE49-F238E27FC236}">
              <a16:creationId xmlns:a16="http://schemas.microsoft.com/office/drawing/2014/main" id="{2ABD353F-3048-6237-E918-CA3E1EA92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70" name="Picture 906">
          <a:extLst>
            <a:ext uri="{FF2B5EF4-FFF2-40B4-BE49-F238E27FC236}">
              <a16:creationId xmlns:a16="http://schemas.microsoft.com/office/drawing/2014/main" id="{3E05F869-FE50-A3EC-43D0-DF6DFB1B6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71" name="Picture 907">
          <a:extLst>
            <a:ext uri="{FF2B5EF4-FFF2-40B4-BE49-F238E27FC236}">
              <a16:creationId xmlns:a16="http://schemas.microsoft.com/office/drawing/2014/main" id="{FD0A4259-5D85-FA8F-C261-2D2E0489A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72" name="Picture 908">
          <a:extLst>
            <a:ext uri="{FF2B5EF4-FFF2-40B4-BE49-F238E27FC236}">
              <a16:creationId xmlns:a16="http://schemas.microsoft.com/office/drawing/2014/main" id="{A4A4F327-640C-AD82-DB73-86F7CF29E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73" name="Picture 909">
          <a:extLst>
            <a:ext uri="{FF2B5EF4-FFF2-40B4-BE49-F238E27FC236}">
              <a16:creationId xmlns:a16="http://schemas.microsoft.com/office/drawing/2014/main" id="{828CCB5F-ED83-2FAF-5197-0CE3E82EC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74" name="Picture 910">
          <a:extLst>
            <a:ext uri="{FF2B5EF4-FFF2-40B4-BE49-F238E27FC236}">
              <a16:creationId xmlns:a16="http://schemas.microsoft.com/office/drawing/2014/main" id="{FCA977AB-9FCF-557A-AE00-9BE9C6085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75" name="Picture 911">
          <a:extLst>
            <a:ext uri="{FF2B5EF4-FFF2-40B4-BE49-F238E27FC236}">
              <a16:creationId xmlns:a16="http://schemas.microsoft.com/office/drawing/2014/main" id="{6662BA2D-D573-4AD0-7A73-009239D1C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76" name="Picture 912">
          <a:extLst>
            <a:ext uri="{FF2B5EF4-FFF2-40B4-BE49-F238E27FC236}">
              <a16:creationId xmlns:a16="http://schemas.microsoft.com/office/drawing/2014/main" id="{4333802D-A0DE-177E-700A-DCEE70B9F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77" name="Picture 913">
          <a:extLst>
            <a:ext uri="{FF2B5EF4-FFF2-40B4-BE49-F238E27FC236}">
              <a16:creationId xmlns:a16="http://schemas.microsoft.com/office/drawing/2014/main" id="{E265BEF6-FACC-7E3F-90A6-D014EF5D0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78" name="Picture 914">
          <a:extLst>
            <a:ext uri="{FF2B5EF4-FFF2-40B4-BE49-F238E27FC236}">
              <a16:creationId xmlns:a16="http://schemas.microsoft.com/office/drawing/2014/main" id="{E2F786F1-66C4-E2B1-BFE3-5F4167D5C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79" name="Picture 915">
          <a:extLst>
            <a:ext uri="{FF2B5EF4-FFF2-40B4-BE49-F238E27FC236}">
              <a16:creationId xmlns:a16="http://schemas.microsoft.com/office/drawing/2014/main" id="{6C8396AE-35DE-5DE1-0050-F1963F4C1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80" name="Picture 916">
          <a:extLst>
            <a:ext uri="{FF2B5EF4-FFF2-40B4-BE49-F238E27FC236}">
              <a16:creationId xmlns:a16="http://schemas.microsoft.com/office/drawing/2014/main" id="{01C5D4EB-43C2-F3C1-9FEC-07FD31B19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81" name="Picture 917">
          <a:extLst>
            <a:ext uri="{FF2B5EF4-FFF2-40B4-BE49-F238E27FC236}">
              <a16:creationId xmlns:a16="http://schemas.microsoft.com/office/drawing/2014/main" id="{FDC9A072-66BE-35C6-53B2-0E5C9B311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82" name="Picture 918">
          <a:extLst>
            <a:ext uri="{FF2B5EF4-FFF2-40B4-BE49-F238E27FC236}">
              <a16:creationId xmlns:a16="http://schemas.microsoft.com/office/drawing/2014/main" id="{9B05D645-044B-2245-E4A8-F846E6BF9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83" name="Picture 919">
          <a:extLst>
            <a:ext uri="{FF2B5EF4-FFF2-40B4-BE49-F238E27FC236}">
              <a16:creationId xmlns:a16="http://schemas.microsoft.com/office/drawing/2014/main" id="{BAAE076E-E435-A7CD-64AE-0181E1059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84" name="Picture 920">
          <a:extLst>
            <a:ext uri="{FF2B5EF4-FFF2-40B4-BE49-F238E27FC236}">
              <a16:creationId xmlns:a16="http://schemas.microsoft.com/office/drawing/2014/main" id="{E0376DD2-427E-0DFF-80AF-0363A2753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85" name="Picture 921">
          <a:extLst>
            <a:ext uri="{FF2B5EF4-FFF2-40B4-BE49-F238E27FC236}">
              <a16:creationId xmlns:a16="http://schemas.microsoft.com/office/drawing/2014/main" id="{C3D21D40-1FC1-6D1B-7008-187BF8E32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86" name="Picture 922">
          <a:extLst>
            <a:ext uri="{FF2B5EF4-FFF2-40B4-BE49-F238E27FC236}">
              <a16:creationId xmlns:a16="http://schemas.microsoft.com/office/drawing/2014/main" id="{41479179-A1AB-7663-30C8-C4544E1AF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87" name="Picture 923">
          <a:extLst>
            <a:ext uri="{FF2B5EF4-FFF2-40B4-BE49-F238E27FC236}">
              <a16:creationId xmlns:a16="http://schemas.microsoft.com/office/drawing/2014/main" id="{088953A1-1EB0-1CFB-751A-43BD67716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88" name="Picture 924">
          <a:extLst>
            <a:ext uri="{FF2B5EF4-FFF2-40B4-BE49-F238E27FC236}">
              <a16:creationId xmlns:a16="http://schemas.microsoft.com/office/drawing/2014/main" id="{F21BBD02-87CE-75AA-6473-89E720FF3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89" name="Picture 925">
          <a:extLst>
            <a:ext uri="{FF2B5EF4-FFF2-40B4-BE49-F238E27FC236}">
              <a16:creationId xmlns:a16="http://schemas.microsoft.com/office/drawing/2014/main" id="{B350BA39-74C6-D73E-EF7F-E6E081740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90" name="Picture 926">
          <a:extLst>
            <a:ext uri="{FF2B5EF4-FFF2-40B4-BE49-F238E27FC236}">
              <a16:creationId xmlns:a16="http://schemas.microsoft.com/office/drawing/2014/main" id="{7DD28051-DF62-E41F-904F-091C20328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91" name="Picture 927">
          <a:extLst>
            <a:ext uri="{FF2B5EF4-FFF2-40B4-BE49-F238E27FC236}">
              <a16:creationId xmlns:a16="http://schemas.microsoft.com/office/drawing/2014/main" id="{207B89DE-DCEF-FB54-28F9-E3ED91CB7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92" name="Picture 928">
          <a:extLst>
            <a:ext uri="{FF2B5EF4-FFF2-40B4-BE49-F238E27FC236}">
              <a16:creationId xmlns:a16="http://schemas.microsoft.com/office/drawing/2014/main" id="{C3154A0B-DC71-367F-14C2-4D841352D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493" name="Picture 929">
          <a:extLst>
            <a:ext uri="{FF2B5EF4-FFF2-40B4-BE49-F238E27FC236}">
              <a16:creationId xmlns:a16="http://schemas.microsoft.com/office/drawing/2014/main" id="{8CF1E346-2E31-D680-44C0-38FC808CF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94" name="Picture 930">
          <a:extLst>
            <a:ext uri="{FF2B5EF4-FFF2-40B4-BE49-F238E27FC236}">
              <a16:creationId xmlns:a16="http://schemas.microsoft.com/office/drawing/2014/main" id="{D9B4A512-5438-CD71-FCCB-7FC51FC7B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95" name="Picture 931">
          <a:extLst>
            <a:ext uri="{FF2B5EF4-FFF2-40B4-BE49-F238E27FC236}">
              <a16:creationId xmlns:a16="http://schemas.microsoft.com/office/drawing/2014/main" id="{918468B5-A85F-30D4-C19F-417FB28A7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96" name="Picture 932">
          <a:extLst>
            <a:ext uri="{FF2B5EF4-FFF2-40B4-BE49-F238E27FC236}">
              <a16:creationId xmlns:a16="http://schemas.microsoft.com/office/drawing/2014/main" id="{9DF37B1F-9825-DD61-8A82-1FF9E4D7E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97" name="Picture 933">
          <a:extLst>
            <a:ext uri="{FF2B5EF4-FFF2-40B4-BE49-F238E27FC236}">
              <a16:creationId xmlns:a16="http://schemas.microsoft.com/office/drawing/2014/main" id="{AF2C8A92-4F2C-643F-9AEF-93BB4FCAD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98" name="Picture 934">
          <a:extLst>
            <a:ext uri="{FF2B5EF4-FFF2-40B4-BE49-F238E27FC236}">
              <a16:creationId xmlns:a16="http://schemas.microsoft.com/office/drawing/2014/main" id="{79D35806-AA75-1ABC-64F8-B7C7DF896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499" name="Picture 935">
          <a:extLst>
            <a:ext uri="{FF2B5EF4-FFF2-40B4-BE49-F238E27FC236}">
              <a16:creationId xmlns:a16="http://schemas.microsoft.com/office/drawing/2014/main" id="{95AF4043-A2E0-F83E-4AC1-95EB6D0A5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00" name="Picture 936">
          <a:extLst>
            <a:ext uri="{FF2B5EF4-FFF2-40B4-BE49-F238E27FC236}">
              <a16:creationId xmlns:a16="http://schemas.microsoft.com/office/drawing/2014/main" id="{9DD9FB23-79A0-F66A-9ACC-8F0B2A889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01" name="Picture 937">
          <a:extLst>
            <a:ext uri="{FF2B5EF4-FFF2-40B4-BE49-F238E27FC236}">
              <a16:creationId xmlns:a16="http://schemas.microsoft.com/office/drawing/2014/main" id="{0D7BE8A6-9522-676E-0E08-8BE1578D4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02" name="Picture 938">
          <a:extLst>
            <a:ext uri="{FF2B5EF4-FFF2-40B4-BE49-F238E27FC236}">
              <a16:creationId xmlns:a16="http://schemas.microsoft.com/office/drawing/2014/main" id="{C42E824D-BACC-7FC8-9490-A97A4F9D4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03" name="Picture 939">
          <a:extLst>
            <a:ext uri="{FF2B5EF4-FFF2-40B4-BE49-F238E27FC236}">
              <a16:creationId xmlns:a16="http://schemas.microsoft.com/office/drawing/2014/main" id="{B3CD0C4F-DC14-F1A7-1EEC-51158210C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04" name="Picture 940">
          <a:extLst>
            <a:ext uri="{FF2B5EF4-FFF2-40B4-BE49-F238E27FC236}">
              <a16:creationId xmlns:a16="http://schemas.microsoft.com/office/drawing/2014/main" id="{E7F15134-CD41-900B-BD56-A3BBF6A42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05" name="Picture 941">
          <a:extLst>
            <a:ext uri="{FF2B5EF4-FFF2-40B4-BE49-F238E27FC236}">
              <a16:creationId xmlns:a16="http://schemas.microsoft.com/office/drawing/2014/main" id="{C17A58B7-49E3-DA5C-06E9-DCC44BD0A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06" name="Picture 942">
          <a:extLst>
            <a:ext uri="{FF2B5EF4-FFF2-40B4-BE49-F238E27FC236}">
              <a16:creationId xmlns:a16="http://schemas.microsoft.com/office/drawing/2014/main" id="{1A4FC218-48E1-F8E0-7AE2-005F9ECA3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07" name="Picture 943">
          <a:extLst>
            <a:ext uri="{FF2B5EF4-FFF2-40B4-BE49-F238E27FC236}">
              <a16:creationId xmlns:a16="http://schemas.microsoft.com/office/drawing/2014/main" id="{C529B413-5A60-B7DC-CA9D-A9B608717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08" name="Picture 944">
          <a:extLst>
            <a:ext uri="{FF2B5EF4-FFF2-40B4-BE49-F238E27FC236}">
              <a16:creationId xmlns:a16="http://schemas.microsoft.com/office/drawing/2014/main" id="{387E4C47-FBD4-5A55-5AC8-194B40301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09" name="Picture 945">
          <a:extLst>
            <a:ext uri="{FF2B5EF4-FFF2-40B4-BE49-F238E27FC236}">
              <a16:creationId xmlns:a16="http://schemas.microsoft.com/office/drawing/2014/main" id="{BE869664-1147-C277-C8E8-623330E1D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10" name="Picture 946">
          <a:extLst>
            <a:ext uri="{FF2B5EF4-FFF2-40B4-BE49-F238E27FC236}">
              <a16:creationId xmlns:a16="http://schemas.microsoft.com/office/drawing/2014/main" id="{C624FE60-95B6-CBF7-3BBE-5B914464C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11" name="Picture 947">
          <a:extLst>
            <a:ext uri="{FF2B5EF4-FFF2-40B4-BE49-F238E27FC236}">
              <a16:creationId xmlns:a16="http://schemas.microsoft.com/office/drawing/2014/main" id="{CC7B7747-BC75-9353-AD4F-0FD6E3B34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12" name="Picture 948">
          <a:extLst>
            <a:ext uri="{FF2B5EF4-FFF2-40B4-BE49-F238E27FC236}">
              <a16:creationId xmlns:a16="http://schemas.microsoft.com/office/drawing/2014/main" id="{89636E81-8A11-CDCB-D717-FD6EE4F38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13" name="Picture 949">
          <a:extLst>
            <a:ext uri="{FF2B5EF4-FFF2-40B4-BE49-F238E27FC236}">
              <a16:creationId xmlns:a16="http://schemas.microsoft.com/office/drawing/2014/main" id="{C3B163E4-7AB6-17C6-FDA3-EF910BBB8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14" name="Picture 950">
          <a:extLst>
            <a:ext uri="{FF2B5EF4-FFF2-40B4-BE49-F238E27FC236}">
              <a16:creationId xmlns:a16="http://schemas.microsoft.com/office/drawing/2014/main" id="{D5A732F6-4FBD-4558-40F2-9BAAF58D1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15" name="Picture 951">
          <a:extLst>
            <a:ext uri="{FF2B5EF4-FFF2-40B4-BE49-F238E27FC236}">
              <a16:creationId xmlns:a16="http://schemas.microsoft.com/office/drawing/2014/main" id="{F27F6EC1-473D-4F29-5D41-74CFAD7C5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16" name="Picture 952">
          <a:extLst>
            <a:ext uri="{FF2B5EF4-FFF2-40B4-BE49-F238E27FC236}">
              <a16:creationId xmlns:a16="http://schemas.microsoft.com/office/drawing/2014/main" id="{F54AD0FC-C3FB-D87A-EC4D-2D82F02F9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17" name="Picture 953">
          <a:extLst>
            <a:ext uri="{FF2B5EF4-FFF2-40B4-BE49-F238E27FC236}">
              <a16:creationId xmlns:a16="http://schemas.microsoft.com/office/drawing/2014/main" id="{B6EBD94B-387F-BB7E-2C5C-BF352AEE1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18" name="Picture 954">
          <a:extLst>
            <a:ext uri="{FF2B5EF4-FFF2-40B4-BE49-F238E27FC236}">
              <a16:creationId xmlns:a16="http://schemas.microsoft.com/office/drawing/2014/main" id="{898E18A7-68EB-3B8B-86C1-C94512B1D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19" name="Picture 955">
          <a:extLst>
            <a:ext uri="{FF2B5EF4-FFF2-40B4-BE49-F238E27FC236}">
              <a16:creationId xmlns:a16="http://schemas.microsoft.com/office/drawing/2014/main" id="{A3756CB8-4244-015C-0045-26E437964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20" name="Picture 956">
          <a:extLst>
            <a:ext uri="{FF2B5EF4-FFF2-40B4-BE49-F238E27FC236}">
              <a16:creationId xmlns:a16="http://schemas.microsoft.com/office/drawing/2014/main" id="{BD7A0DB8-9656-2903-7013-34E617DC3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21" name="Picture 957">
          <a:extLst>
            <a:ext uri="{FF2B5EF4-FFF2-40B4-BE49-F238E27FC236}">
              <a16:creationId xmlns:a16="http://schemas.microsoft.com/office/drawing/2014/main" id="{9048D272-9A9D-8B71-6ADB-83F36EC8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22" name="Picture 958">
          <a:extLst>
            <a:ext uri="{FF2B5EF4-FFF2-40B4-BE49-F238E27FC236}">
              <a16:creationId xmlns:a16="http://schemas.microsoft.com/office/drawing/2014/main" id="{80FBA1B5-019A-0CAF-A4AD-8581D6E0F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23" name="Picture 959">
          <a:extLst>
            <a:ext uri="{FF2B5EF4-FFF2-40B4-BE49-F238E27FC236}">
              <a16:creationId xmlns:a16="http://schemas.microsoft.com/office/drawing/2014/main" id="{6E3683C7-218D-8DE6-3EAC-F676E63E8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24" name="Picture 960">
          <a:extLst>
            <a:ext uri="{FF2B5EF4-FFF2-40B4-BE49-F238E27FC236}">
              <a16:creationId xmlns:a16="http://schemas.microsoft.com/office/drawing/2014/main" id="{DC7684F4-A394-AD7F-F125-83C2DE8A2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25" name="Picture 961">
          <a:extLst>
            <a:ext uri="{FF2B5EF4-FFF2-40B4-BE49-F238E27FC236}">
              <a16:creationId xmlns:a16="http://schemas.microsoft.com/office/drawing/2014/main" id="{F7875FE8-1A15-D86B-5AA5-F63B6D8C8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26" name="Picture 962">
          <a:extLst>
            <a:ext uri="{FF2B5EF4-FFF2-40B4-BE49-F238E27FC236}">
              <a16:creationId xmlns:a16="http://schemas.microsoft.com/office/drawing/2014/main" id="{9A2B9C9B-AFDE-858F-D917-6BEE4694B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27" name="Picture 963">
          <a:extLst>
            <a:ext uri="{FF2B5EF4-FFF2-40B4-BE49-F238E27FC236}">
              <a16:creationId xmlns:a16="http://schemas.microsoft.com/office/drawing/2014/main" id="{FA520B9D-BACF-AE5F-5CE3-813935C56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28" name="Picture 964">
          <a:extLst>
            <a:ext uri="{FF2B5EF4-FFF2-40B4-BE49-F238E27FC236}">
              <a16:creationId xmlns:a16="http://schemas.microsoft.com/office/drawing/2014/main" id="{5EBAE49F-41BB-5F19-F550-EEF472451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29" name="Picture 965">
          <a:extLst>
            <a:ext uri="{FF2B5EF4-FFF2-40B4-BE49-F238E27FC236}">
              <a16:creationId xmlns:a16="http://schemas.microsoft.com/office/drawing/2014/main" id="{B4E42712-92DF-AFB5-CC6D-E9DFA803E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30" name="Picture 966">
          <a:extLst>
            <a:ext uri="{FF2B5EF4-FFF2-40B4-BE49-F238E27FC236}">
              <a16:creationId xmlns:a16="http://schemas.microsoft.com/office/drawing/2014/main" id="{2DAE76E0-9A20-AF8B-0616-4B79B196D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31" name="Picture 967">
          <a:extLst>
            <a:ext uri="{FF2B5EF4-FFF2-40B4-BE49-F238E27FC236}">
              <a16:creationId xmlns:a16="http://schemas.microsoft.com/office/drawing/2014/main" id="{B28D6782-5629-A153-3388-B3296510D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32" name="Picture 968">
          <a:extLst>
            <a:ext uri="{FF2B5EF4-FFF2-40B4-BE49-F238E27FC236}">
              <a16:creationId xmlns:a16="http://schemas.microsoft.com/office/drawing/2014/main" id="{3AFE3BF0-D42B-7D3D-71A7-92CE1B83A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33" name="Picture 969">
          <a:extLst>
            <a:ext uri="{FF2B5EF4-FFF2-40B4-BE49-F238E27FC236}">
              <a16:creationId xmlns:a16="http://schemas.microsoft.com/office/drawing/2014/main" id="{6A7A4402-561A-29C4-C5E0-BBDB0B7DC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34" name="Picture 970">
          <a:extLst>
            <a:ext uri="{FF2B5EF4-FFF2-40B4-BE49-F238E27FC236}">
              <a16:creationId xmlns:a16="http://schemas.microsoft.com/office/drawing/2014/main" id="{BA034847-EF87-6BA0-D329-FEF50323D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35" name="Picture 971">
          <a:extLst>
            <a:ext uri="{FF2B5EF4-FFF2-40B4-BE49-F238E27FC236}">
              <a16:creationId xmlns:a16="http://schemas.microsoft.com/office/drawing/2014/main" id="{D17C8457-4A85-3F92-F9BD-FB76A800C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36" name="Picture 972">
          <a:extLst>
            <a:ext uri="{FF2B5EF4-FFF2-40B4-BE49-F238E27FC236}">
              <a16:creationId xmlns:a16="http://schemas.microsoft.com/office/drawing/2014/main" id="{1C906307-1EA5-CC3F-FC63-F3B4DDB4D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37" name="Picture 973">
          <a:extLst>
            <a:ext uri="{FF2B5EF4-FFF2-40B4-BE49-F238E27FC236}">
              <a16:creationId xmlns:a16="http://schemas.microsoft.com/office/drawing/2014/main" id="{146BC589-0A1F-91C9-0A9B-D3E6AD80D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38" name="Picture 974">
          <a:extLst>
            <a:ext uri="{FF2B5EF4-FFF2-40B4-BE49-F238E27FC236}">
              <a16:creationId xmlns:a16="http://schemas.microsoft.com/office/drawing/2014/main" id="{0D3AD90F-4761-7781-D7C3-8F7324E34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39" name="Picture 975">
          <a:extLst>
            <a:ext uri="{FF2B5EF4-FFF2-40B4-BE49-F238E27FC236}">
              <a16:creationId xmlns:a16="http://schemas.microsoft.com/office/drawing/2014/main" id="{F2090637-4B76-3848-6357-06398F760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40" name="Picture 976">
          <a:extLst>
            <a:ext uri="{FF2B5EF4-FFF2-40B4-BE49-F238E27FC236}">
              <a16:creationId xmlns:a16="http://schemas.microsoft.com/office/drawing/2014/main" id="{5D744FA0-1126-22E2-C036-D61B45BAE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41" name="Picture 977">
          <a:extLst>
            <a:ext uri="{FF2B5EF4-FFF2-40B4-BE49-F238E27FC236}">
              <a16:creationId xmlns:a16="http://schemas.microsoft.com/office/drawing/2014/main" id="{DB901F1F-9021-AB46-C1B6-A229EC3E3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42" name="Picture 978">
          <a:extLst>
            <a:ext uri="{FF2B5EF4-FFF2-40B4-BE49-F238E27FC236}">
              <a16:creationId xmlns:a16="http://schemas.microsoft.com/office/drawing/2014/main" id="{0EF29756-3913-5213-E34D-0F2ED83CF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43" name="Picture 979">
          <a:extLst>
            <a:ext uri="{FF2B5EF4-FFF2-40B4-BE49-F238E27FC236}">
              <a16:creationId xmlns:a16="http://schemas.microsoft.com/office/drawing/2014/main" id="{795E06FD-3952-4EC2-5E71-DAA85838E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44" name="Picture 980">
          <a:extLst>
            <a:ext uri="{FF2B5EF4-FFF2-40B4-BE49-F238E27FC236}">
              <a16:creationId xmlns:a16="http://schemas.microsoft.com/office/drawing/2014/main" id="{951CACD0-C2C4-0D37-C438-3EF16315C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45" name="Picture 981">
          <a:extLst>
            <a:ext uri="{FF2B5EF4-FFF2-40B4-BE49-F238E27FC236}">
              <a16:creationId xmlns:a16="http://schemas.microsoft.com/office/drawing/2014/main" id="{5F4FA7BD-BD7D-2E15-4BEB-FB50E05F0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46" name="Picture 982">
          <a:extLst>
            <a:ext uri="{FF2B5EF4-FFF2-40B4-BE49-F238E27FC236}">
              <a16:creationId xmlns:a16="http://schemas.microsoft.com/office/drawing/2014/main" id="{31A71F63-1B30-AF33-550A-463140C47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47" name="Picture 983">
          <a:extLst>
            <a:ext uri="{FF2B5EF4-FFF2-40B4-BE49-F238E27FC236}">
              <a16:creationId xmlns:a16="http://schemas.microsoft.com/office/drawing/2014/main" id="{7CC62BE6-CD5E-120A-CA2B-B0306FE02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48" name="Picture 984">
          <a:extLst>
            <a:ext uri="{FF2B5EF4-FFF2-40B4-BE49-F238E27FC236}">
              <a16:creationId xmlns:a16="http://schemas.microsoft.com/office/drawing/2014/main" id="{279124D5-1B97-2544-3D3C-60B603865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49" name="Picture 985">
          <a:extLst>
            <a:ext uri="{FF2B5EF4-FFF2-40B4-BE49-F238E27FC236}">
              <a16:creationId xmlns:a16="http://schemas.microsoft.com/office/drawing/2014/main" id="{6BB6A19A-DDCA-D2A2-D7B0-8158C4237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50" name="Picture 986">
          <a:extLst>
            <a:ext uri="{FF2B5EF4-FFF2-40B4-BE49-F238E27FC236}">
              <a16:creationId xmlns:a16="http://schemas.microsoft.com/office/drawing/2014/main" id="{009AD1B7-F388-DFF4-1401-6B9109DD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51" name="Picture 987">
          <a:extLst>
            <a:ext uri="{FF2B5EF4-FFF2-40B4-BE49-F238E27FC236}">
              <a16:creationId xmlns:a16="http://schemas.microsoft.com/office/drawing/2014/main" id="{C6755467-E65A-7570-0D3B-E9BF179C8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52" name="Picture 988">
          <a:extLst>
            <a:ext uri="{FF2B5EF4-FFF2-40B4-BE49-F238E27FC236}">
              <a16:creationId xmlns:a16="http://schemas.microsoft.com/office/drawing/2014/main" id="{9832C662-0086-A7C2-3BE9-071EE9053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53" name="Picture 989">
          <a:extLst>
            <a:ext uri="{FF2B5EF4-FFF2-40B4-BE49-F238E27FC236}">
              <a16:creationId xmlns:a16="http://schemas.microsoft.com/office/drawing/2014/main" id="{504E4394-A1B0-B502-12CA-09D87520E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54" name="Picture 990">
          <a:extLst>
            <a:ext uri="{FF2B5EF4-FFF2-40B4-BE49-F238E27FC236}">
              <a16:creationId xmlns:a16="http://schemas.microsoft.com/office/drawing/2014/main" id="{359A3C70-8254-531D-D924-4C6672354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55" name="Picture 991">
          <a:extLst>
            <a:ext uri="{FF2B5EF4-FFF2-40B4-BE49-F238E27FC236}">
              <a16:creationId xmlns:a16="http://schemas.microsoft.com/office/drawing/2014/main" id="{F5CD00D9-D098-411E-5C05-0423D1ED9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56" name="Picture 992">
          <a:extLst>
            <a:ext uri="{FF2B5EF4-FFF2-40B4-BE49-F238E27FC236}">
              <a16:creationId xmlns:a16="http://schemas.microsoft.com/office/drawing/2014/main" id="{B44B0B85-5FC0-D42F-F17D-16F6B108C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57" name="Picture 993">
          <a:extLst>
            <a:ext uri="{FF2B5EF4-FFF2-40B4-BE49-F238E27FC236}">
              <a16:creationId xmlns:a16="http://schemas.microsoft.com/office/drawing/2014/main" id="{F2A5820C-8AD6-F768-0839-EC51F3E6F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58" name="Picture 994">
          <a:extLst>
            <a:ext uri="{FF2B5EF4-FFF2-40B4-BE49-F238E27FC236}">
              <a16:creationId xmlns:a16="http://schemas.microsoft.com/office/drawing/2014/main" id="{9069B787-19A0-7414-5E11-8BC658132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59" name="Picture 995">
          <a:extLst>
            <a:ext uri="{FF2B5EF4-FFF2-40B4-BE49-F238E27FC236}">
              <a16:creationId xmlns:a16="http://schemas.microsoft.com/office/drawing/2014/main" id="{78803A76-5578-7C9B-760B-34BED47DB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60" name="Picture 996">
          <a:extLst>
            <a:ext uri="{FF2B5EF4-FFF2-40B4-BE49-F238E27FC236}">
              <a16:creationId xmlns:a16="http://schemas.microsoft.com/office/drawing/2014/main" id="{CC40DCA8-0C04-85F5-55BF-04BF71851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61" name="Picture 997">
          <a:extLst>
            <a:ext uri="{FF2B5EF4-FFF2-40B4-BE49-F238E27FC236}">
              <a16:creationId xmlns:a16="http://schemas.microsoft.com/office/drawing/2014/main" id="{F82F34EB-1FB8-243E-4AE1-9C9668DF4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62" name="Picture 998">
          <a:extLst>
            <a:ext uri="{FF2B5EF4-FFF2-40B4-BE49-F238E27FC236}">
              <a16:creationId xmlns:a16="http://schemas.microsoft.com/office/drawing/2014/main" id="{F41FE9DB-7940-DEF8-2F21-A3B2610A7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63" name="Picture 999">
          <a:extLst>
            <a:ext uri="{FF2B5EF4-FFF2-40B4-BE49-F238E27FC236}">
              <a16:creationId xmlns:a16="http://schemas.microsoft.com/office/drawing/2014/main" id="{88BCBB03-1D42-69A9-676B-8C66D3A2A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64" name="Picture 1000">
          <a:extLst>
            <a:ext uri="{FF2B5EF4-FFF2-40B4-BE49-F238E27FC236}">
              <a16:creationId xmlns:a16="http://schemas.microsoft.com/office/drawing/2014/main" id="{9414C7EE-6D8E-FD4A-09E8-CB9837AA9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65" name="Picture 1001">
          <a:extLst>
            <a:ext uri="{FF2B5EF4-FFF2-40B4-BE49-F238E27FC236}">
              <a16:creationId xmlns:a16="http://schemas.microsoft.com/office/drawing/2014/main" id="{5764AF23-E05F-97F1-A269-849D3AE92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66" name="Picture 1002">
          <a:extLst>
            <a:ext uri="{FF2B5EF4-FFF2-40B4-BE49-F238E27FC236}">
              <a16:creationId xmlns:a16="http://schemas.microsoft.com/office/drawing/2014/main" id="{CC82FF70-55CE-D0ED-84C9-815289E8C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67" name="Picture 1003">
          <a:extLst>
            <a:ext uri="{FF2B5EF4-FFF2-40B4-BE49-F238E27FC236}">
              <a16:creationId xmlns:a16="http://schemas.microsoft.com/office/drawing/2014/main" id="{2F51F019-C728-5A5E-A319-D389029D3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68" name="Picture 1004">
          <a:extLst>
            <a:ext uri="{FF2B5EF4-FFF2-40B4-BE49-F238E27FC236}">
              <a16:creationId xmlns:a16="http://schemas.microsoft.com/office/drawing/2014/main" id="{2058AEC3-5C37-50C8-B7F0-E2C5CD381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69" name="Picture 1005">
          <a:extLst>
            <a:ext uri="{FF2B5EF4-FFF2-40B4-BE49-F238E27FC236}">
              <a16:creationId xmlns:a16="http://schemas.microsoft.com/office/drawing/2014/main" id="{8C6FF89C-09AB-650A-2F4A-987960CA2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70" name="Picture 1006">
          <a:extLst>
            <a:ext uri="{FF2B5EF4-FFF2-40B4-BE49-F238E27FC236}">
              <a16:creationId xmlns:a16="http://schemas.microsoft.com/office/drawing/2014/main" id="{C14E24B1-9D20-30F1-F50C-381A75CE9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71" name="Picture 1007">
          <a:extLst>
            <a:ext uri="{FF2B5EF4-FFF2-40B4-BE49-F238E27FC236}">
              <a16:creationId xmlns:a16="http://schemas.microsoft.com/office/drawing/2014/main" id="{35C7F387-A359-C75C-4DDE-371131A42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72" name="Picture 1008">
          <a:extLst>
            <a:ext uri="{FF2B5EF4-FFF2-40B4-BE49-F238E27FC236}">
              <a16:creationId xmlns:a16="http://schemas.microsoft.com/office/drawing/2014/main" id="{6086F43A-5386-55C2-90EE-16E06B331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73" name="Picture 1009">
          <a:extLst>
            <a:ext uri="{FF2B5EF4-FFF2-40B4-BE49-F238E27FC236}">
              <a16:creationId xmlns:a16="http://schemas.microsoft.com/office/drawing/2014/main" id="{B726B8EB-46B9-3C81-2520-B769A7EBD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74" name="Picture 1010">
          <a:extLst>
            <a:ext uri="{FF2B5EF4-FFF2-40B4-BE49-F238E27FC236}">
              <a16:creationId xmlns:a16="http://schemas.microsoft.com/office/drawing/2014/main" id="{AD464143-1740-FE3C-2912-85420DAE3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75" name="Picture 1011">
          <a:extLst>
            <a:ext uri="{FF2B5EF4-FFF2-40B4-BE49-F238E27FC236}">
              <a16:creationId xmlns:a16="http://schemas.microsoft.com/office/drawing/2014/main" id="{B4AE6C16-7EE4-AFDB-9520-7D096078C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76" name="Picture 1012">
          <a:extLst>
            <a:ext uri="{FF2B5EF4-FFF2-40B4-BE49-F238E27FC236}">
              <a16:creationId xmlns:a16="http://schemas.microsoft.com/office/drawing/2014/main" id="{07F73323-0F7B-6FC0-D1D0-A49A9D959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77" name="Picture 1013">
          <a:extLst>
            <a:ext uri="{FF2B5EF4-FFF2-40B4-BE49-F238E27FC236}">
              <a16:creationId xmlns:a16="http://schemas.microsoft.com/office/drawing/2014/main" id="{F99F97A0-D2D8-74FF-B058-10EF21A09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25400</xdr:colOff>
      <xdr:row>3</xdr:row>
      <xdr:rowOff>0</xdr:rowOff>
    </xdr:from>
    <xdr:to>
      <xdr:col>1</xdr:col>
      <xdr:colOff>361950</xdr:colOff>
      <xdr:row>3</xdr:row>
      <xdr:rowOff>0</xdr:rowOff>
    </xdr:to>
    <xdr:pic>
      <xdr:nvPicPr>
        <xdr:cNvPr id="277578" name="Picture 1014">
          <a:extLst>
            <a:ext uri="{FF2B5EF4-FFF2-40B4-BE49-F238E27FC236}">
              <a16:creationId xmlns:a16="http://schemas.microsoft.com/office/drawing/2014/main" id="{719DD066-1987-438D-915D-F4D1090D6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650" y="520700"/>
          <a:ext cx="336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79" name="Picture 1015">
          <a:extLst>
            <a:ext uri="{FF2B5EF4-FFF2-40B4-BE49-F238E27FC236}">
              <a16:creationId xmlns:a16="http://schemas.microsoft.com/office/drawing/2014/main" id="{213B56E7-8A7D-DFF7-68AD-FB6EE0091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80" name="Picture 1016">
          <a:extLst>
            <a:ext uri="{FF2B5EF4-FFF2-40B4-BE49-F238E27FC236}">
              <a16:creationId xmlns:a16="http://schemas.microsoft.com/office/drawing/2014/main" id="{2BA8D11D-5F61-99F3-60B2-5A779D1EF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81" name="Picture 1017">
          <a:extLst>
            <a:ext uri="{FF2B5EF4-FFF2-40B4-BE49-F238E27FC236}">
              <a16:creationId xmlns:a16="http://schemas.microsoft.com/office/drawing/2014/main" id="{759DB617-8423-F078-0C2E-34E932DDA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82" name="Picture 1018">
          <a:extLst>
            <a:ext uri="{FF2B5EF4-FFF2-40B4-BE49-F238E27FC236}">
              <a16:creationId xmlns:a16="http://schemas.microsoft.com/office/drawing/2014/main" id="{CE4AE378-71FC-0CC5-9CB3-371B73181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83" name="Picture 1019">
          <a:extLst>
            <a:ext uri="{FF2B5EF4-FFF2-40B4-BE49-F238E27FC236}">
              <a16:creationId xmlns:a16="http://schemas.microsoft.com/office/drawing/2014/main" id="{5D8754C9-F0CB-6CDD-3422-8E363306F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82550</xdr:colOff>
      <xdr:row>3</xdr:row>
      <xdr:rowOff>0</xdr:rowOff>
    </xdr:from>
    <xdr:to>
      <xdr:col>1</xdr:col>
      <xdr:colOff>368300</xdr:colOff>
      <xdr:row>3</xdr:row>
      <xdr:rowOff>0</xdr:rowOff>
    </xdr:to>
    <xdr:pic>
      <xdr:nvPicPr>
        <xdr:cNvPr id="277584" name="Picture 1020">
          <a:extLst>
            <a:ext uri="{FF2B5EF4-FFF2-40B4-BE49-F238E27FC236}">
              <a16:creationId xmlns:a16="http://schemas.microsoft.com/office/drawing/2014/main" id="{F283BEA0-A43A-3A90-3C22-94CBBDFE0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520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Productos%20factibilidad/2018/FACTIBILIDAD%202018/Esteban%2011-09-18/PREMEZCLA%20SUPER%20ESPONJA%20KALU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%20datos%20costos%20201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Productos%20factibilidad/2017/Rosquete%20Super%20Esponja%20380g%20Oct-1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Industria/Planta/Planta%20Postres/ESP-RE-POS-156(1)%20Galleta%20de%20Vainilla%20Ba&#241;ado%20Chocolate%20Blanco(1600g)%209645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Industria/Planta/Planta%20Subrecetas/Decoraciones/96398%20-%20%20LICOR%20KALUA%20CON%20ALMIB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</sheetNames>
    <sheetDataSet>
      <sheetData sheetId="0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64.599999999999994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117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 t="str">
            <v>0101133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2478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1.0203333333333333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0.95348759999999999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 t="str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36613</v>
          </cell>
          <cell r="F571" t="str">
            <v>Gramo</v>
          </cell>
          <cell r="G571">
            <v>1.6143298059964726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>
        <row r="2">
          <cell r="A2" t="str">
            <v>1950715</v>
          </cell>
          <cell r="B2" t="str">
            <v>CAPSULA # 2 BLANCA (UND)</v>
          </cell>
          <cell r="C2" t="str">
            <v>1950715</v>
          </cell>
          <cell r="D2" t="str">
            <v>1 UND</v>
          </cell>
          <cell r="E2" t="str">
            <v>30/11/2019</v>
          </cell>
          <cell r="F2">
            <v>2.7397999999999998</v>
          </cell>
        </row>
        <row r="3">
          <cell r="A3" t="str">
            <v>1950725</v>
          </cell>
          <cell r="B3" t="str">
            <v>CAJA TROQUELADA # 25 (UND)</v>
          </cell>
          <cell r="C3" t="str">
            <v>1950725</v>
          </cell>
          <cell r="D3" t="str">
            <v>1 UND</v>
          </cell>
          <cell r="E3" t="str">
            <v>26/12/2019</v>
          </cell>
          <cell r="F3">
            <v>3.1474000000000002</v>
          </cell>
        </row>
        <row r="4">
          <cell r="A4" t="str">
            <v>1950732</v>
          </cell>
          <cell r="B4" t="str">
            <v>CAPSULA # 3 BLANCA (UND)</v>
          </cell>
          <cell r="C4" t="str">
            <v>1950732</v>
          </cell>
          <cell r="D4" t="str">
            <v>1 UND</v>
          </cell>
          <cell r="E4" t="str">
            <v>16/12/2019</v>
          </cell>
          <cell r="F4">
            <v>3.3578000000000001</v>
          </cell>
        </row>
        <row r="5">
          <cell r="A5" t="str">
            <v>1950387</v>
          </cell>
          <cell r="B5" t="str">
            <v>CONO P/AGUA (CAJA:5000 UND)</v>
          </cell>
          <cell r="C5" t="str">
            <v>1950387</v>
          </cell>
          <cell r="D5" t="str">
            <v>1 UND</v>
          </cell>
          <cell r="E5" t="str">
            <v>14/02/2020</v>
          </cell>
          <cell r="F5">
            <v>5.68</v>
          </cell>
        </row>
        <row r="6">
          <cell r="A6" t="str">
            <v>1950733</v>
          </cell>
          <cell r="B6" t="str">
            <v>CAPSULA # 10 BLANCA (UND)</v>
          </cell>
          <cell r="C6" t="str">
            <v>1950733</v>
          </cell>
          <cell r="D6" t="str">
            <v>1 UND</v>
          </cell>
          <cell r="E6" t="str">
            <v>15/02/2020</v>
          </cell>
          <cell r="F6">
            <v>5.9534000000000002</v>
          </cell>
        </row>
        <row r="7">
          <cell r="A7" t="str">
            <v>1950731</v>
          </cell>
          <cell r="B7" t="str">
            <v>CAPSULA # 3 LOGO UND</v>
          </cell>
          <cell r="C7" t="str">
            <v>1950731</v>
          </cell>
          <cell r="D7" t="str">
            <v>1 UND</v>
          </cell>
          <cell r="E7" t="str">
            <v>25/02/2020</v>
          </cell>
          <cell r="F7">
            <v>7.52</v>
          </cell>
          <cell r="G7" t="str">
            <v>UND</v>
          </cell>
          <cell r="H7">
            <v>7.52</v>
          </cell>
        </row>
        <row r="8">
          <cell r="A8" t="str">
            <v>51500032</v>
          </cell>
          <cell r="B8" t="str">
            <v>TAPA SUFLE 1,5-2-2,5 (PAQ:100 UND)</v>
          </cell>
          <cell r="C8" t="str">
            <v>51500032</v>
          </cell>
          <cell r="D8" t="str">
            <v>1 PAQUETE</v>
          </cell>
          <cell r="E8" t="str">
            <v>05/03/2020</v>
          </cell>
          <cell r="F8">
            <v>8.32</v>
          </cell>
        </row>
        <row r="9">
          <cell r="A9" t="str">
            <v>12050040</v>
          </cell>
          <cell r="B9" t="str">
            <v>MUG SPOON UND</v>
          </cell>
          <cell r="C9" t="str">
            <v>12050040</v>
          </cell>
          <cell r="D9" t="str">
            <v>1 Uds.</v>
          </cell>
          <cell r="E9" t="str">
            <v>07/02/2020</v>
          </cell>
          <cell r="F9">
            <v>8.9700000000000006</v>
          </cell>
        </row>
        <row r="10">
          <cell r="A10" t="str">
            <v>1950735</v>
          </cell>
          <cell r="B10" t="str">
            <v>CAPSULA # 5 LOGO UND</v>
          </cell>
          <cell r="C10" t="str">
            <v>1950735</v>
          </cell>
          <cell r="D10" t="str">
            <v>1 UND</v>
          </cell>
          <cell r="E10" t="str">
            <v>02/03/2020</v>
          </cell>
          <cell r="F10">
            <v>9.35</v>
          </cell>
          <cell r="G10" t="str">
            <v>UND</v>
          </cell>
          <cell r="H10">
            <v>9.35</v>
          </cell>
        </row>
        <row r="11">
          <cell r="A11" t="str">
            <v>109254</v>
          </cell>
          <cell r="B11" t="str">
            <v>VASO 3.25 ONZ (PAQ*200)</v>
          </cell>
          <cell r="C11" t="str">
            <v>109254</v>
          </cell>
          <cell r="D11" t="str">
            <v>1 PAQUETE</v>
          </cell>
          <cell r="E11" t="str">
            <v>04/03/2020</v>
          </cell>
          <cell r="F11">
            <v>12.797000000000001</v>
          </cell>
        </row>
        <row r="12">
          <cell r="A12" t="str">
            <v>109254</v>
          </cell>
          <cell r="B12" t="str">
            <v>VASO 3.25 ONZ (PAQ*200)</v>
          </cell>
          <cell r="C12" t="str">
            <v>0162101</v>
          </cell>
          <cell r="D12" t="str">
            <v>1 PAQUETE</v>
          </cell>
          <cell r="E12" t="str">
            <v>05/03/2020</v>
          </cell>
          <cell r="F12">
            <v>12.797000000000001</v>
          </cell>
        </row>
        <row r="13">
          <cell r="A13" t="str">
            <v>0702169</v>
          </cell>
          <cell r="B13" t="str">
            <v>CARTULINA KRAFT 2.5 X 31 -8 (UND)</v>
          </cell>
          <cell r="C13" t="str">
            <v>0702169</v>
          </cell>
          <cell r="D13" t="str">
            <v>1 UND</v>
          </cell>
          <cell r="E13" t="str">
            <v>21/02/2020</v>
          </cell>
          <cell r="F13">
            <v>15</v>
          </cell>
        </row>
        <row r="14">
          <cell r="A14" t="str">
            <v>51500026</v>
          </cell>
          <cell r="B14" t="str">
            <v>VASO SOUFLE 3.25 OZ ASB325 1/2500</v>
          </cell>
          <cell r="C14" t="str">
            <v>51500026</v>
          </cell>
          <cell r="D14" t="str">
            <v>1 PAQUETE</v>
          </cell>
          <cell r="E14" t="str">
            <v>25/11/2019</v>
          </cell>
          <cell r="F14">
            <v>15.029</v>
          </cell>
        </row>
        <row r="15">
          <cell r="A15" t="str">
            <v>1950752</v>
          </cell>
          <cell r="B15" t="str">
            <v>CAJA MINI BLANCA (100xPaq)</v>
          </cell>
          <cell r="C15" t="str">
            <v>1950752</v>
          </cell>
          <cell r="D15" t="str">
            <v>1 UND</v>
          </cell>
          <cell r="E15" t="str">
            <v>29/11/2019</v>
          </cell>
          <cell r="F15">
            <v>19.606999999999999</v>
          </cell>
        </row>
        <row r="16">
          <cell r="A16" t="str">
            <v>51600004</v>
          </cell>
          <cell r="B16" t="str">
            <v>LAZOS ROJOS (UND)</v>
          </cell>
          <cell r="C16" t="str">
            <v>51600004</v>
          </cell>
          <cell r="D16" t="str">
            <v>1 UND</v>
          </cell>
          <cell r="E16" t="str">
            <v>19/02/2020</v>
          </cell>
          <cell r="F16">
            <v>20</v>
          </cell>
        </row>
        <row r="17">
          <cell r="A17" t="str">
            <v>1950752</v>
          </cell>
          <cell r="B17" t="str">
            <v>CAJA BLANCA MINI UND</v>
          </cell>
          <cell r="C17" t="str">
            <v>1959752</v>
          </cell>
          <cell r="D17" t="str">
            <v>1 UND</v>
          </cell>
          <cell r="E17" t="str">
            <v>21/02/2020</v>
          </cell>
          <cell r="F17">
            <v>21</v>
          </cell>
        </row>
        <row r="18">
          <cell r="A18" t="str">
            <v>1950414</v>
          </cell>
          <cell r="B18" t="str">
            <v>BANDA PVC 228x50 (UND)</v>
          </cell>
          <cell r="C18" t="str">
            <v>1950414</v>
          </cell>
          <cell r="D18" t="str">
            <v>1 UND</v>
          </cell>
          <cell r="E18" t="str">
            <v>27/11/2019</v>
          </cell>
          <cell r="F18">
            <v>23.62</v>
          </cell>
        </row>
        <row r="19">
          <cell r="A19" t="str">
            <v>1950730</v>
          </cell>
          <cell r="B19" t="str">
            <v>CAJA BLANCA PEQUEÑA UND</v>
          </cell>
          <cell r="C19" t="str">
            <v>1950730</v>
          </cell>
          <cell r="D19" t="str">
            <v>1 UND</v>
          </cell>
          <cell r="E19" t="str">
            <v>03/03/2020</v>
          </cell>
          <cell r="F19">
            <v>24.5</v>
          </cell>
          <cell r="G19" t="str">
            <v>UND</v>
          </cell>
          <cell r="H19">
            <v>24.5</v>
          </cell>
        </row>
        <row r="20">
          <cell r="A20" t="str">
            <v>51500028</v>
          </cell>
          <cell r="B20" t="str">
            <v>TAPA DOMO A-9/12/20 SOUFFLE (UND)</v>
          </cell>
          <cell r="C20" t="str">
            <v>51500028</v>
          </cell>
          <cell r="D20" t="str">
            <v>1 UND</v>
          </cell>
          <cell r="E20" t="str">
            <v>29/11/2019</v>
          </cell>
          <cell r="F20">
            <v>24.56</v>
          </cell>
        </row>
        <row r="21">
          <cell r="A21" t="str">
            <v>1950888</v>
          </cell>
          <cell r="B21" t="str">
            <v>PLATO  6 COMPOSTABLE (CAJA:1000 UND)</v>
          </cell>
          <cell r="C21" t="str">
            <v>1950888</v>
          </cell>
          <cell r="D21" t="str">
            <v>1 UND</v>
          </cell>
          <cell r="E21" t="str">
            <v>25/02/2020</v>
          </cell>
          <cell r="F21">
            <v>29.945</v>
          </cell>
        </row>
        <row r="22">
          <cell r="A22" t="str">
            <v>1952393</v>
          </cell>
          <cell r="B22" t="str">
            <v>BOLSA AL VACIO 8*10 ( 100 * PAQ )</v>
          </cell>
          <cell r="C22" t="str">
            <v>1952393</v>
          </cell>
          <cell r="D22" t="str">
            <v>1 UND</v>
          </cell>
          <cell r="E22" t="str">
            <v>08/11/2019</v>
          </cell>
          <cell r="F22">
            <v>30</v>
          </cell>
        </row>
        <row r="23">
          <cell r="A23" t="str">
            <v>1950413</v>
          </cell>
          <cell r="B23" t="str">
            <v>BANDA PVC 300x50 (UND)</v>
          </cell>
          <cell r="C23" t="str">
            <v>1950413</v>
          </cell>
          <cell r="D23" t="str">
            <v>1 UND</v>
          </cell>
          <cell r="E23" t="str">
            <v>27/11/2019</v>
          </cell>
          <cell r="F23">
            <v>32.85</v>
          </cell>
        </row>
        <row r="24">
          <cell r="A24" t="str">
            <v>1950942</v>
          </cell>
          <cell r="B24" t="str">
            <v>ORLA #4 AZUL REDONDA (UND)</v>
          </cell>
          <cell r="C24" t="str">
            <v>1950942</v>
          </cell>
          <cell r="D24" t="str">
            <v>1 UND</v>
          </cell>
          <cell r="E24" t="str">
            <v>02/03/2020</v>
          </cell>
          <cell r="F24">
            <v>33</v>
          </cell>
        </row>
        <row r="25">
          <cell r="A25" t="str">
            <v>507000013</v>
          </cell>
          <cell r="B25" t="str">
            <v>CONTENEDOR PAPEL 12 ONZAS (PAQ=50 UND) C</v>
          </cell>
          <cell r="C25" t="str">
            <v>507000013</v>
          </cell>
          <cell r="D25" t="str">
            <v>1 PAQUETE</v>
          </cell>
          <cell r="E25" t="str">
            <v>02/11/2019</v>
          </cell>
          <cell r="F25">
            <v>34.72</v>
          </cell>
        </row>
        <row r="26">
          <cell r="A26" t="str">
            <v>507000012</v>
          </cell>
          <cell r="B26" t="str">
            <v>TAPA PLAST P/CONT. PAPEL 12 ONZ (PAQ=50)</v>
          </cell>
          <cell r="C26" t="str">
            <v>507000012</v>
          </cell>
          <cell r="D26" t="str">
            <v>1 PAQUETE</v>
          </cell>
          <cell r="E26" t="str">
            <v>11/11/2019</v>
          </cell>
          <cell r="F26">
            <v>34.72</v>
          </cell>
        </row>
        <row r="27">
          <cell r="A27" t="str">
            <v>109401</v>
          </cell>
          <cell r="B27" t="str">
            <v>CONTENED PAPEL BLANCO 8 ONZ (PAQ:50 UND)</v>
          </cell>
          <cell r="C27" t="str">
            <v>109401</v>
          </cell>
          <cell r="D27" t="str">
            <v>1 PAQUETE</v>
          </cell>
          <cell r="E27" t="str">
            <v>11/11/2019</v>
          </cell>
          <cell r="F27">
            <v>35.72</v>
          </cell>
        </row>
        <row r="28">
          <cell r="A28" t="str">
            <v>1950729</v>
          </cell>
          <cell r="B28" t="str">
            <v>CAJA BLANCA MEDIANA UND</v>
          </cell>
          <cell r="C28" t="str">
            <v>1950729</v>
          </cell>
          <cell r="D28" t="str">
            <v>1 UND</v>
          </cell>
          <cell r="E28" t="str">
            <v>03/03/2020</v>
          </cell>
          <cell r="F28">
            <v>40</v>
          </cell>
          <cell r="G28" t="str">
            <v>UND</v>
          </cell>
          <cell r="H28">
            <v>40</v>
          </cell>
        </row>
        <row r="29">
          <cell r="A29" t="str">
            <v>703205</v>
          </cell>
          <cell r="B29" t="str">
            <v>BROCHURE P/TARJETAS SPOONERS</v>
          </cell>
          <cell r="C29" t="str">
            <v>703205</v>
          </cell>
          <cell r="D29" t="str">
            <v>1 UND</v>
          </cell>
          <cell r="E29" t="str">
            <v>21/01/2020</v>
          </cell>
          <cell r="F29">
            <v>44.05057</v>
          </cell>
        </row>
        <row r="30">
          <cell r="A30" t="str">
            <v>1952915</v>
          </cell>
          <cell r="B30" t="str">
            <v>BANDEJA CONCHA TRANSPAR 4X4 (CJ=500 UND)</v>
          </cell>
          <cell r="C30" t="str">
            <v>1952915</v>
          </cell>
          <cell r="D30" t="str">
            <v>1 UND</v>
          </cell>
          <cell r="E30" t="str">
            <v>04/03/2020</v>
          </cell>
          <cell r="F30">
            <v>51</v>
          </cell>
          <cell r="G30" t="str">
            <v>UND</v>
          </cell>
          <cell r="H30">
            <v>51</v>
          </cell>
        </row>
        <row r="31">
          <cell r="A31" t="str">
            <v>1950837</v>
          </cell>
          <cell r="B31" t="str">
            <v>FONDO P/CAJA BLANCA ( UND)</v>
          </cell>
          <cell r="C31" t="str">
            <v>1950837</v>
          </cell>
          <cell r="D31" t="str">
            <v>1 UND</v>
          </cell>
          <cell r="E31" t="str">
            <v>21/02/2020</v>
          </cell>
          <cell r="F31">
            <v>53</v>
          </cell>
        </row>
        <row r="32">
          <cell r="A32" t="str">
            <v>1950409</v>
          </cell>
          <cell r="B32" t="str">
            <v>TAPA P/FONDO CAJA BLANCA UND</v>
          </cell>
          <cell r="C32" t="str">
            <v>1950409</v>
          </cell>
          <cell r="D32" t="str">
            <v>1 UND</v>
          </cell>
          <cell r="E32" t="str">
            <v>21/02/2020</v>
          </cell>
          <cell r="F32">
            <v>53</v>
          </cell>
        </row>
        <row r="33">
          <cell r="A33" t="str">
            <v>51400027</v>
          </cell>
          <cell r="B33" t="str">
            <v>TAPA BOWL SOPA 8 ONZ (PAQ:50 UND)</v>
          </cell>
          <cell r="C33" t="str">
            <v>51400027</v>
          </cell>
          <cell r="D33" t="str">
            <v>1 PAQUETE</v>
          </cell>
          <cell r="E33" t="str">
            <v>04/03/2020</v>
          </cell>
          <cell r="F33">
            <v>57.5</v>
          </cell>
        </row>
        <row r="34">
          <cell r="A34" t="str">
            <v>51400034</v>
          </cell>
          <cell r="B34" t="str">
            <v>BOWL FIBRA SOPA 8 ONZ (PAQ:50 UND)</v>
          </cell>
          <cell r="C34" t="str">
            <v>51400034</v>
          </cell>
          <cell r="D34" t="str">
            <v>1 PAQUETE</v>
          </cell>
          <cell r="E34" t="str">
            <v>04/03/2020</v>
          </cell>
          <cell r="F34">
            <v>57.5</v>
          </cell>
        </row>
        <row r="35">
          <cell r="A35" t="str">
            <v>1952410</v>
          </cell>
          <cell r="B35" t="str">
            <v>TAPA CONTE.ALUMI A-42 (4 POR) (CAJA:500)</v>
          </cell>
          <cell r="C35" t="str">
            <v>1952410</v>
          </cell>
          <cell r="D35" t="str">
            <v>1 UND</v>
          </cell>
          <cell r="E35" t="str">
            <v>03/02/2020</v>
          </cell>
          <cell r="F35">
            <v>59.6</v>
          </cell>
          <cell r="G35" t="str">
            <v>UND</v>
          </cell>
          <cell r="H35">
            <v>59.6</v>
          </cell>
        </row>
        <row r="36">
          <cell r="A36" t="str">
            <v>1950887</v>
          </cell>
          <cell r="B36" t="str">
            <v>PLATO 9 COMPOSTABLE CAJA:500 (UND)</v>
          </cell>
          <cell r="C36" t="str">
            <v>1950887</v>
          </cell>
          <cell r="D36" t="str">
            <v>1 UND</v>
          </cell>
          <cell r="E36" t="str">
            <v>25/02/2020</v>
          </cell>
          <cell r="F36">
            <v>61</v>
          </cell>
        </row>
        <row r="37">
          <cell r="A37" t="str">
            <v>1950914</v>
          </cell>
          <cell r="B37" t="str">
            <v>PORTA VASO 4 CAVIDADES (UND)</v>
          </cell>
          <cell r="C37" t="str">
            <v>1950914</v>
          </cell>
          <cell r="D37" t="str">
            <v>1 UND</v>
          </cell>
          <cell r="E37" t="str">
            <v>03/03/2020</v>
          </cell>
          <cell r="F37">
            <v>61.946666666666701</v>
          </cell>
        </row>
        <row r="38">
          <cell r="A38" t="str">
            <v>11000006</v>
          </cell>
          <cell r="B38" t="str">
            <v>ORLA 6.5'' (UND)</v>
          </cell>
          <cell r="C38" t="str">
            <v>11000006</v>
          </cell>
          <cell r="D38" t="str">
            <v>1 UND</v>
          </cell>
          <cell r="E38" t="str">
            <v>17/01/2020</v>
          </cell>
          <cell r="F38">
            <v>69</v>
          </cell>
        </row>
        <row r="39">
          <cell r="A39" t="str">
            <v>0703204</v>
          </cell>
          <cell r="B39" t="str">
            <v>TARJETA SPOONER PVC</v>
          </cell>
          <cell r="C39" t="str">
            <v>0703204</v>
          </cell>
          <cell r="D39" t="str">
            <v>1 UND</v>
          </cell>
          <cell r="E39" t="str">
            <v>24/01/2020</v>
          </cell>
          <cell r="F39">
            <v>72.249600000000001</v>
          </cell>
        </row>
        <row r="40">
          <cell r="A40" t="str">
            <v>50700017</v>
          </cell>
          <cell r="B40" t="str">
            <v>CAJA MEDIANA OFFICE BREAK UND</v>
          </cell>
          <cell r="C40" t="str">
            <v>50700017</v>
          </cell>
          <cell r="D40" t="str">
            <v>1 UND</v>
          </cell>
          <cell r="E40" t="str">
            <v>25/11/2019</v>
          </cell>
          <cell r="F40">
            <v>75.44</v>
          </cell>
        </row>
        <row r="41">
          <cell r="A41" t="str">
            <v>1952874</v>
          </cell>
          <cell r="B41" t="str">
            <v>ORLA #8 BUCCA UND</v>
          </cell>
          <cell r="C41" t="str">
            <v>1952874</v>
          </cell>
          <cell r="D41" t="str">
            <v>1 UND</v>
          </cell>
          <cell r="E41" t="str">
            <v>02/03/2020</v>
          </cell>
          <cell r="F41">
            <v>77</v>
          </cell>
        </row>
        <row r="42">
          <cell r="A42" t="str">
            <v>1950808</v>
          </cell>
          <cell r="B42" t="str">
            <v>ORLA CARTON  8" DORADA (UND )</v>
          </cell>
          <cell r="C42" t="str">
            <v>1950808</v>
          </cell>
          <cell r="D42" t="str">
            <v>1 UND</v>
          </cell>
          <cell r="E42" t="str">
            <v>02/03/2020</v>
          </cell>
          <cell r="F42">
            <v>77</v>
          </cell>
          <cell r="G42" t="str">
            <v>UND</v>
          </cell>
          <cell r="H42">
            <v>77</v>
          </cell>
        </row>
        <row r="43">
          <cell r="A43" t="str">
            <v>503000006</v>
          </cell>
          <cell r="B43" t="str">
            <v>BOLSA AL VACIO 10X15 UND</v>
          </cell>
          <cell r="C43" t="str">
            <v>503000006</v>
          </cell>
          <cell r="D43" t="str">
            <v>1 UND</v>
          </cell>
          <cell r="E43" t="str">
            <v>20/11/2019</v>
          </cell>
          <cell r="F43">
            <v>78</v>
          </cell>
        </row>
        <row r="44">
          <cell r="A44" t="str">
            <v>1952432</v>
          </cell>
          <cell r="B44" t="str">
            <v>TAPA BAND ALUM. DESE 4040 (UND)</v>
          </cell>
          <cell r="C44" t="str">
            <v>1952432</v>
          </cell>
          <cell r="D44" t="str">
            <v>1 UND</v>
          </cell>
          <cell r="E44" t="str">
            <v>05/03/2020</v>
          </cell>
          <cell r="F44">
            <v>81.391999999999996</v>
          </cell>
          <cell r="G44" t="str">
            <v>UND</v>
          </cell>
          <cell r="H44">
            <v>81.391999999999996</v>
          </cell>
        </row>
        <row r="45">
          <cell r="A45" t="str">
            <v>1950886</v>
          </cell>
          <cell r="B45" t="str">
            <v>PLATO 10 COMPOSTABLE CAJA:500 (UND)</v>
          </cell>
          <cell r="C45" t="str">
            <v>1950886</v>
          </cell>
          <cell r="D45" t="str">
            <v>1 UND</v>
          </cell>
          <cell r="E45" t="str">
            <v>12/11/2019</v>
          </cell>
          <cell r="F45">
            <v>82.49</v>
          </cell>
        </row>
        <row r="46">
          <cell r="A46" t="str">
            <v>1952409</v>
          </cell>
          <cell r="B46" t="str">
            <v>BANDEJA ALUMINIO A-42 (4POR)(CAJA:500 U)</v>
          </cell>
          <cell r="C46" t="str">
            <v>1952409</v>
          </cell>
          <cell r="D46" t="str">
            <v>1 UND</v>
          </cell>
          <cell r="E46" t="str">
            <v>03/02/2020</v>
          </cell>
          <cell r="F46">
            <v>83</v>
          </cell>
          <cell r="G46" t="str">
            <v>UND</v>
          </cell>
          <cell r="H46">
            <v>83</v>
          </cell>
        </row>
        <row r="47">
          <cell r="A47" t="str">
            <v>51400029</v>
          </cell>
          <cell r="B47" t="str">
            <v>BOWL FIBRA 16 ONZ COMPOST (PAQ:125 UND)</v>
          </cell>
          <cell r="C47" t="str">
            <v>51400029</v>
          </cell>
          <cell r="D47" t="str">
            <v>1 PAQUETE</v>
          </cell>
          <cell r="E47" t="str">
            <v>04/03/2020</v>
          </cell>
          <cell r="F47">
            <v>83.055999999999997</v>
          </cell>
        </row>
        <row r="48">
          <cell r="A48" t="str">
            <v>1950880</v>
          </cell>
          <cell r="B48" t="str">
            <v>TAPA BANDEJA PLAST 3 DIV (CAJA:250 UND)</v>
          </cell>
          <cell r="C48" t="str">
            <v>1950880</v>
          </cell>
          <cell r="D48" t="str">
            <v>1 UND</v>
          </cell>
          <cell r="E48" t="str">
            <v>15/02/2020</v>
          </cell>
          <cell r="F48">
            <v>87.215999999999994</v>
          </cell>
        </row>
        <row r="49">
          <cell r="A49" t="str">
            <v>51400032</v>
          </cell>
          <cell r="B49" t="str">
            <v>BOWL FIBRA SOPA 12 ONZ (PAQ:25 UND)</v>
          </cell>
          <cell r="C49" t="str">
            <v>51400032</v>
          </cell>
          <cell r="D49" t="str">
            <v>1 PAQUETE</v>
          </cell>
          <cell r="E49" t="str">
            <v>04/03/2020</v>
          </cell>
          <cell r="F49">
            <v>89.44</v>
          </cell>
        </row>
        <row r="50">
          <cell r="A50" t="str">
            <v>51400033</v>
          </cell>
          <cell r="B50" t="str">
            <v>TAPA BOWL SOPA 12/16/32 ONZ (PAQ:50 UND)</v>
          </cell>
          <cell r="C50" t="str">
            <v>51400033</v>
          </cell>
          <cell r="D50" t="str">
            <v>1 PAQUETE</v>
          </cell>
          <cell r="E50" t="str">
            <v>05/03/2020</v>
          </cell>
          <cell r="F50">
            <v>89.44</v>
          </cell>
        </row>
        <row r="51">
          <cell r="A51" t="str">
            <v>51400024</v>
          </cell>
          <cell r="B51" t="str">
            <v>TAPA  BOWL 16/24/32 ONZ (PAQ:125 UND)</v>
          </cell>
          <cell r="C51" t="str">
            <v>51400024</v>
          </cell>
          <cell r="D51" t="str">
            <v>1 PAQUETE</v>
          </cell>
          <cell r="E51" t="str">
            <v>05/03/2020</v>
          </cell>
          <cell r="F51">
            <v>89.447999999999993</v>
          </cell>
        </row>
        <row r="52">
          <cell r="A52" t="str">
            <v>51400028</v>
          </cell>
          <cell r="B52" t="str">
            <v>BOWL FIBRA SOPA 16 ONZ (PAQ:50 UND)</v>
          </cell>
          <cell r="C52" t="str">
            <v>51400028</v>
          </cell>
          <cell r="D52" t="str">
            <v>1 PAQUETE</v>
          </cell>
          <cell r="E52" t="str">
            <v>05/03/2020</v>
          </cell>
          <cell r="F52">
            <v>95.82</v>
          </cell>
        </row>
        <row r="53">
          <cell r="A53" t="str">
            <v>51400030</v>
          </cell>
          <cell r="B53" t="str">
            <v>TAPA FIBRA BANDEJA 2 DIV (PAQ:50 UND)</v>
          </cell>
          <cell r="C53" t="str">
            <v>51400030</v>
          </cell>
          <cell r="D53" t="str">
            <v>1 PAQUETE</v>
          </cell>
          <cell r="E53" t="str">
            <v>04/02/2020</v>
          </cell>
          <cell r="F53">
            <v>102.22</v>
          </cell>
        </row>
        <row r="54">
          <cell r="A54" t="str">
            <v>1950693</v>
          </cell>
          <cell r="B54" t="str">
            <v>ORLA #9  DORADA UND</v>
          </cell>
          <cell r="C54" t="str">
            <v>1950693</v>
          </cell>
          <cell r="D54" t="str">
            <v>1 UND</v>
          </cell>
          <cell r="E54" t="str">
            <v>21/02/2020</v>
          </cell>
          <cell r="F54">
            <v>105</v>
          </cell>
          <cell r="G54" t="str">
            <v>UND</v>
          </cell>
          <cell r="H54">
            <v>105</v>
          </cell>
        </row>
        <row r="55">
          <cell r="A55" t="str">
            <v>1952875</v>
          </cell>
          <cell r="B55" t="str">
            <v>ORLA # 10 BUCCA UND</v>
          </cell>
          <cell r="C55" t="str">
            <v>1952875</v>
          </cell>
          <cell r="D55" t="str">
            <v>1 UND</v>
          </cell>
          <cell r="E55" t="str">
            <v>02/03/2020</v>
          </cell>
          <cell r="F55">
            <v>111</v>
          </cell>
        </row>
        <row r="56">
          <cell r="A56" t="str">
            <v>1950692</v>
          </cell>
          <cell r="B56" t="str">
            <v>ORLA CARTON 10" DORADA UND</v>
          </cell>
          <cell r="C56" t="str">
            <v>1950692</v>
          </cell>
          <cell r="D56" t="str">
            <v>1 UND</v>
          </cell>
          <cell r="E56" t="str">
            <v>02/03/2020</v>
          </cell>
          <cell r="F56">
            <v>111</v>
          </cell>
          <cell r="G56" t="str">
            <v>UND</v>
          </cell>
          <cell r="H56">
            <v>111</v>
          </cell>
        </row>
        <row r="57">
          <cell r="A57" t="str">
            <v>1950879</v>
          </cell>
          <cell r="B57" t="str">
            <v>BANDEJA PLAST 3 DIV (CAJA:250 UND)</v>
          </cell>
          <cell r="C57" t="str">
            <v>1950879</v>
          </cell>
          <cell r="D57" t="str">
            <v>1 UND</v>
          </cell>
          <cell r="E57" t="str">
            <v>15/02/2020</v>
          </cell>
          <cell r="F57">
            <v>114.648</v>
          </cell>
        </row>
        <row r="58">
          <cell r="A58" t="str">
            <v>1950958</v>
          </cell>
          <cell r="B58" t="str">
            <v>ORLA #2 P/LATA NAVIDEÑA (UND)</v>
          </cell>
          <cell r="C58" t="str">
            <v>1950958</v>
          </cell>
          <cell r="D58" t="str">
            <v>1 UND</v>
          </cell>
          <cell r="E58" t="str">
            <v>09/01/2020</v>
          </cell>
          <cell r="F58">
            <v>115</v>
          </cell>
        </row>
        <row r="59">
          <cell r="A59" t="str">
            <v>1950699</v>
          </cell>
          <cell r="B59" t="str">
            <v>BASE PARA ROSQUETE UND</v>
          </cell>
          <cell r="C59" t="str">
            <v>1950699</v>
          </cell>
          <cell r="D59" t="str">
            <v>1 UND</v>
          </cell>
          <cell r="E59" t="str">
            <v>05/03/2020</v>
          </cell>
          <cell r="F59">
            <v>125</v>
          </cell>
          <cell r="G59" t="str">
            <v>UND</v>
          </cell>
          <cell r="H59">
            <v>125</v>
          </cell>
        </row>
        <row r="60">
          <cell r="A60" t="str">
            <v>51400025</v>
          </cell>
          <cell r="B60" t="str">
            <v>BANDEJA FIBRA 2 DIVISIONES (PAQ:50 UND)</v>
          </cell>
          <cell r="C60" t="str">
            <v>51400025</v>
          </cell>
          <cell r="D60" t="str">
            <v>1 PAQUETE</v>
          </cell>
          <cell r="E60" t="str">
            <v>21/01/2020</v>
          </cell>
          <cell r="F60">
            <v>127.78</v>
          </cell>
        </row>
        <row r="61">
          <cell r="A61" t="str">
            <v>51400031</v>
          </cell>
          <cell r="B61" t="str">
            <v>TAPA FIBRA BANDEJA 3 DIV  (PAQ:50 UND)</v>
          </cell>
          <cell r="C61" t="str">
            <v>51400031</v>
          </cell>
          <cell r="D61" t="str">
            <v>1 PAQUETE</v>
          </cell>
          <cell r="E61" t="str">
            <v>04/03/2020</v>
          </cell>
          <cell r="F61">
            <v>127.78</v>
          </cell>
        </row>
        <row r="62">
          <cell r="A62" t="str">
            <v>51400022</v>
          </cell>
          <cell r="B62" t="str">
            <v>BOWL FIBRA 24 ONZ COMPOST (PAQ:125 UND)</v>
          </cell>
          <cell r="C62" t="str">
            <v>51400022</v>
          </cell>
          <cell r="D62" t="str">
            <v>1 PAQUETE</v>
          </cell>
          <cell r="E62" t="str">
            <v>05/03/2020</v>
          </cell>
          <cell r="F62">
            <v>127.8</v>
          </cell>
        </row>
        <row r="63">
          <cell r="A63" t="str">
            <v>51400026</v>
          </cell>
          <cell r="B63" t="str">
            <v>BANDEJA FIBRA 3 DIVISIONES (PAQ:50 UND)</v>
          </cell>
          <cell r="C63" t="str">
            <v>51400026</v>
          </cell>
          <cell r="D63" t="str">
            <v>1 PAQUETE</v>
          </cell>
          <cell r="E63" t="str">
            <v>04/03/2020</v>
          </cell>
          <cell r="F63">
            <v>146.94</v>
          </cell>
        </row>
        <row r="64">
          <cell r="A64" t="str">
            <v>516000002</v>
          </cell>
          <cell r="B64" t="str">
            <v>LAMINA ACETATO (UND)</v>
          </cell>
          <cell r="C64" t="str">
            <v>516000002</v>
          </cell>
          <cell r="D64" t="str">
            <v>1 UND</v>
          </cell>
          <cell r="E64" t="str">
            <v>26/12/2019</v>
          </cell>
          <cell r="F64">
            <v>155</v>
          </cell>
        </row>
        <row r="65">
          <cell r="A65" t="str">
            <v>1950811</v>
          </cell>
          <cell r="B65" t="str">
            <v>BASE CARTON 15 PORCIONES UND</v>
          </cell>
          <cell r="C65" t="str">
            <v>1950811</v>
          </cell>
          <cell r="D65" t="str">
            <v>1 UND</v>
          </cell>
          <cell r="E65" t="str">
            <v>02/03/2020</v>
          </cell>
          <cell r="F65">
            <v>165</v>
          </cell>
        </row>
        <row r="66">
          <cell r="A66" t="str">
            <v>51400023</v>
          </cell>
          <cell r="B66" t="str">
            <v>BOWL FIBRA 32 ONZ COMPOST (PAQ:125 UND)</v>
          </cell>
          <cell r="C66" t="str">
            <v>51400023</v>
          </cell>
          <cell r="D66" t="str">
            <v>1 PAQUETE</v>
          </cell>
          <cell r="E66" t="str">
            <v>05/03/2020</v>
          </cell>
          <cell r="F66">
            <v>178.88</v>
          </cell>
        </row>
        <row r="67">
          <cell r="A67" t="str">
            <v>510000016</v>
          </cell>
          <cell r="B67" t="str">
            <v>CARTON RECTA PEQ 1/2 QUEQUE CRISTAL(UND)</v>
          </cell>
          <cell r="C67" t="str">
            <v>510000016</v>
          </cell>
          <cell r="D67" t="str">
            <v>1 UND</v>
          </cell>
          <cell r="E67" t="str">
            <v>28/01/2020</v>
          </cell>
          <cell r="F67">
            <v>180</v>
          </cell>
        </row>
        <row r="68">
          <cell r="A68" t="str">
            <v>1952445</v>
          </cell>
          <cell r="B68" t="str">
            <v>CAJA SIX PACK MUSMANNI (UND)</v>
          </cell>
          <cell r="C68" t="str">
            <v>1952445</v>
          </cell>
          <cell r="D68" t="str">
            <v>1 UND</v>
          </cell>
          <cell r="E68" t="str">
            <v>02/03/2020</v>
          </cell>
          <cell r="F68">
            <v>185</v>
          </cell>
        </row>
        <row r="69">
          <cell r="A69" t="str">
            <v>51600015</v>
          </cell>
          <cell r="B69" t="str">
            <v>CINTA TRANS 1X40 (DELGADA)</v>
          </cell>
          <cell r="C69" t="str">
            <v>51600015</v>
          </cell>
          <cell r="D69" t="str">
            <v>1 UND</v>
          </cell>
          <cell r="E69" t="str">
            <v>07/02/2020</v>
          </cell>
          <cell r="F69">
            <v>190</v>
          </cell>
        </row>
        <row r="70">
          <cell r="A70" t="str">
            <v>50400003</v>
          </cell>
          <cell r="B70" t="str">
            <v>CAJA MUSMANNI #2 (UND)</v>
          </cell>
          <cell r="C70" t="str">
            <v>50400003</v>
          </cell>
          <cell r="D70" t="str">
            <v>1 UND</v>
          </cell>
          <cell r="E70" t="str">
            <v>13/02/2020</v>
          </cell>
          <cell r="F70">
            <v>195</v>
          </cell>
          <cell r="G70" t="str">
            <v>UND</v>
          </cell>
          <cell r="H70">
            <v>195</v>
          </cell>
        </row>
        <row r="71">
          <cell r="A71" t="str">
            <v>1950756</v>
          </cell>
          <cell r="B71" t="str">
            <v>BANDEJA ALUM DESE #4040 6 POR (UND)</v>
          </cell>
          <cell r="C71" t="str">
            <v>1950756</v>
          </cell>
          <cell r="D71" t="str">
            <v>1 UND</v>
          </cell>
          <cell r="E71" t="str">
            <v>05/03/2020</v>
          </cell>
          <cell r="F71">
            <v>199.696</v>
          </cell>
          <cell r="G71" t="str">
            <v>UND</v>
          </cell>
          <cell r="H71">
            <v>199.696</v>
          </cell>
        </row>
        <row r="72">
          <cell r="A72" t="str">
            <v>1950829</v>
          </cell>
          <cell r="B72" t="str">
            <v>BASE CARTON 30 PORCIONES UND</v>
          </cell>
          <cell r="C72" t="str">
            <v>1950829</v>
          </cell>
          <cell r="D72" t="str">
            <v>1 UND</v>
          </cell>
          <cell r="E72" t="str">
            <v>02/03/2020</v>
          </cell>
          <cell r="F72">
            <v>212</v>
          </cell>
        </row>
        <row r="73">
          <cell r="A73" t="str">
            <v>510000015</v>
          </cell>
          <cell r="B73" t="str">
            <v>BASE RECTAGULAR GRANDE (UND)</v>
          </cell>
          <cell r="C73" t="str">
            <v>510000015</v>
          </cell>
          <cell r="D73" t="str">
            <v xml:space="preserve">1 UND </v>
          </cell>
          <cell r="E73" t="str">
            <v>28/01/2020</v>
          </cell>
          <cell r="F73">
            <v>220</v>
          </cell>
        </row>
        <row r="74">
          <cell r="A74" t="str">
            <v>51500035</v>
          </cell>
          <cell r="B74" t="str">
            <v>TAPA DOMO PLAST BAND ALUM 394 (CJ:100)</v>
          </cell>
          <cell r="C74" t="str">
            <v>51500035</v>
          </cell>
          <cell r="D74" t="str">
            <v>1 UND</v>
          </cell>
          <cell r="E74" t="str">
            <v>13/02/2020</v>
          </cell>
          <cell r="F74">
            <v>233.22</v>
          </cell>
        </row>
        <row r="75">
          <cell r="A75" t="str">
            <v>510000013</v>
          </cell>
          <cell r="B75" t="str">
            <v>ORLA 13" C163 (UND)</v>
          </cell>
          <cell r="C75" t="str">
            <v>510000013</v>
          </cell>
          <cell r="D75" t="str">
            <v>1 UND</v>
          </cell>
          <cell r="E75" t="str">
            <v>06/01/2020</v>
          </cell>
          <cell r="F75">
            <v>235</v>
          </cell>
        </row>
        <row r="76">
          <cell r="A76" t="str">
            <v>510000014</v>
          </cell>
          <cell r="B76" t="str">
            <v>BASE CARTON ALUMINIO REDONDA # 12 (UND)</v>
          </cell>
          <cell r="C76" t="str">
            <v>510000014</v>
          </cell>
          <cell r="D76" t="str">
            <v>1 UND</v>
          </cell>
          <cell r="E76" t="str">
            <v>28/01/2020</v>
          </cell>
          <cell r="F76">
            <v>275</v>
          </cell>
        </row>
        <row r="77">
          <cell r="A77" t="str">
            <v>51000003</v>
          </cell>
          <cell r="B77" t="str">
            <v>ORLA 14.5" UND</v>
          </cell>
          <cell r="C77" t="str">
            <v>51000003</v>
          </cell>
          <cell r="D77" t="str">
            <v>1 UND</v>
          </cell>
          <cell r="E77" t="str">
            <v>20/12/2019</v>
          </cell>
          <cell r="F77">
            <v>305</v>
          </cell>
        </row>
        <row r="78">
          <cell r="A78" t="str">
            <v>1952919</v>
          </cell>
          <cell r="B78" t="str">
            <v>CAJA PRALINE 2 (UND)</v>
          </cell>
          <cell r="C78" t="str">
            <v>1952919</v>
          </cell>
          <cell r="D78" t="str">
            <v>1 UND</v>
          </cell>
          <cell r="E78" t="str">
            <v>03/03/2020</v>
          </cell>
          <cell r="F78">
            <v>325</v>
          </cell>
          <cell r="G78" t="str">
            <v>UND</v>
          </cell>
          <cell r="H78">
            <v>325</v>
          </cell>
        </row>
        <row r="79">
          <cell r="A79" t="str">
            <v>50100028</v>
          </cell>
          <cell r="B79" t="str">
            <v>BANDEJA ALUM 34*25 108 ONZ 394 (CJ:100)</v>
          </cell>
          <cell r="C79" t="str">
            <v>50100028</v>
          </cell>
          <cell r="D79" t="str">
            <v>1 UND</v>
          </cell>
          <cell r="E79" t="str">
            <v>13/02/2020</v>
          </cell>
          <cell r="F79">
            <v>348.46</v>
          </cell>
          <cell r="G79" t="str">
            <v>UND</v>
          </cell>
          <cell r="H79">
            <v>348.46</v>
          </cell>
        </row>
        <row r="80">
          <cell r="A80" t="str">
            <v>1952434</v>
          </cell>
          <cell r="B80" t="str">
            <v>CAJA SPOON #1 (20 UND) (INDUSTRIA)</v>
          </cell>
          <cell r="C80" t="str">
            <v>1952434</v>
          </cell>
          <cell r="D80" t="str">
            <v>1 UND</v>
          </cell>
          <cell r="E80" t="str">
            <v>05/03/2020</v>
          </cell>
          <cell r="F80">
            <v>460</v>
          </cell>
        </row>
        <row r="81">
          <cell r="A81" t="str">
            <v>1950921</v>
          </cell>
          <cell r="B81" t="str">
            <v>TAPA SUFLE PLAS 5/.75/1 OZ (PAQ:100 UND)</v>
          </cell>
          <cell r="C81" t="str">
            <v>1950921</v>
          </cell>
          <cell r="D81" t="str">
            <v>1 PAQUETE</v>
          </cell>
          <cell r="E81" t="str">
            <v>04/03/2020</v>
          </cell>
          <cell r="F81">
            <v>537.08000000000004</v>
          </cell>
          <cell r="G81" t="str">
            <v>UND</v>
          </cell>
          <cell r="H81">
            <v>5.3708</v>
          </cell>
        </row>
        <row r="82">
          <cell r="A82" t="str">
            <v>50500004</v>
          </cell>
          <cell r="B82" t="str">
            <v>CANDELA GLOBOS SURTIDO COLORES (UND)</v>
          </cell>
          <cell r="C82" t="str">
            <v>50500004</v>
          </cell>
          <cell r="D82" t="str">
            <v>1 UND</v>
          </cell>
          <cell r="E82" t="str">
            <v>04/03/2020</v>
          </cell>
          <cell r="F82">
            <v>550</v>
          </cell>
        </row>
        <row r="83">
          <cell r="A83" t="str">
            <v>1952910</v>
          </cell>
          <cell r="B83" t="str">
            <v>CAJA CARTON GRANDE</v>
          </cell>
          <cell r="C83" t="str">
            <v>1952910</v>
          </cell>
          <cell r="D83" t="str">
            <v>1 UND</v>
          </cell>
          <cell r="E83" t="str">
            <v>05/03/2020</v>
          </cell>
          <cell r="F83">
            <v>550</v>
          </cell>
        </row>
        <row r="84">
          <cell r="A84" t="str">
            <v>51600025</v>
          </cell>
          <cell r="B84" t="str">
            <v>ROLLOS PUNTO DE VENTA 3X3X2 (ROLLO)</v>
          </cell>
          <cell r="C84" t="str">
            <v>51600025</v>
          </cell>
          <cell r="D84" t="str">
            <v>1 ROLLO</v>
          </cell>
          <cell r="E84" t="str">
            <v>05/03/2020</v>
          </cell>
          <cell r="F84">
            <v>594</v>
          </cell>
        </row>
        <row r="85">
          <cell r="A85" t="str">
            <v>50500001</v>
          </cell>
          <cell r="B85" t="str">
            <v>CANDELA  FIGURA SURTIDAS MINION (UND)</v>
          </cell>
          <cell r="C85" t="str">
            <v>50500001</v>
          </cell>
          <cell r="D85" t="str">
            <v>1 UND</v>
          </cell>
          <cell r="E85" t="str">
            <v>29/11/2019</v>
          </cell>
          <cell r="F85">
            <v>745</v>
          </cell>
        </row>
        <row r="86">
          <cell r="A86" t="str">
            <v>50500005</v>
          </cell>
          <cell r="B86" t="str">
            <v>CANDELA FELIZ ESCARCHA SURTIDA (UND)</v>
          </cell>
          <cell r="C86" t="str">
            <v>50500005</v>
          </cell>
          <cell r="D86" t="str">
            <v>1 UND</v>
          </cell>
          <cell r="E86" t="str">
            <v>04/03/2020</v>
          </cell>
          <cell r="F86">
            <v>745</v>
          </cell>
        </row>
        <row r="87">
          <cell r="A87" t="str">
            <v>56009</v>
          </cell>
          <cell r="B87" t="str">
            <v>CANDELAS MAGICAS (PAQ:24 UND)</v>
          </cell>
          <cell r="C87" t="str">
            <v>56009</v>
          </cell>
          <cell r="D87" t="str">
            <v>1 PAQUETE</v>
          </cell>
          <cell r="E87" t="str">
            <v>14/12/2019</v>
          </cell>
          <cell r="F87">
            <v>750</v>
          </cell>
        </row>
        <row r="88">
          <cell r="A88" t="str">
            <v>50500003</v>
          </cell>
          <cell r="B88" t="str">
            <v>CANDELA CARITAS COLORES (UND)</v>
          </cell>
          <cell r="C88" t="str">
            <v>50500003</v>
          </cell>
          <cell r="D88" t="str">
            <v>1 UND</v>
          </cell>
          <cell r="E88" t="str">
            <v>02/03/2020</v>
          </cell>
          <cell r="F88">
            <v>765</v>
          </cell>
        </row>
        <row r="89">
          <cell r="A89" t="str">
            <v>51500015</v>
          </cell>
          <cell r="B89" t="str">
            <v>TAPA VASO BIO 8 ONZ (PAQ:50 UND)</v>
          </cell>
          <cell r="C89" t="str">
            <v>51500015</v>
          </cell>
          <cell r="D89" t="str">
            <v>1 PAQUETE</v>
          </cell>
          <cell r="E89" t="str">
            <v>27/02/2020</v>
          </cell>
          <cell r="F89">
            <v>788.25</v>
          </cell>
        </row>
        <row r="90">
          <cell r="A90" t="str">
            <v>51500013</v>
          </cell>
          <cell r="B90" t="str">
            <v>TAPA VASO BIODEGR 12,16 onz (PAQ:50 UND)</v>
          </cell>
          <cell r="C90" t="str">
            <v>51500013</v>
          </cell>
          <cell r="D90" t="str">
            <v>1 PAQ</v>
          </cell>
          <cell r="E90" t="str">
            <v>05/03/2020</v>
          </cell>
          <cell r="F90">
            <v>894.9</v>
          </cell>
        </row>
        <row r="91">
          <cell r="A91" t="str">
            <v>1950959</v>
          </cell>
          <cell r="B91" t="str">
            <v>TAPA PLASTI SUFLE 3.25 onz (PAQ:120 UND)</v>
          </cell>
          <cell r="C91" t="str">
            <v>1950959</v>
          </cell>
          <cell r="D91" t="str">
            <v>1 PAQUETE</v>
          </cell>
          <cell r="E91" t="str">
            <v>13/02/2020</v>
          </cell>
          <cell r="F91">
            <v>1126.8</v>
          </cell>
        </row>
        <row r="92">
          <cell r="A92" t="str">
            <v>50700026</v>
          </cell>
          <cell r="B92" t="str">
            <v>TAPA CONTE PAPEL BLANCO 8 ONZ (PAQ:50)</v>
          </cell>
          <cell r="C92" t="str">
            <v>50700026</v>
          </cell>
          <cell r="D92" t="str">
            <v>1 PAQUETE</v>
          </cell>
          <cell r="E92" t="str">
            <v>29/11/2019</v>
          </cell>
          <cell r="F92">
            <v>1143.55</v>
          </cell>
        </row>
        <row r="93">
          <cell r="A93" t="str">
            <v>50700028</v>
          </cell>
          <cell r="B93" t="str">
            <v>CONTENEDOR PLAS SUFLE 1 OZ (PAQ:200 UND)</v>
          </cell>
          <cell r="C93" t="str">
            <v>50700028</v>
          </cell>
          <cell r="D93" t="str">
            <v>1 PAQUETE</v>
          </cell>
          <cell r="E93" t="str">
            <v>05/03/2020</v>
          </cell>
          <cell r="F93">
            <v>1199.2</v>
          </cell>
          <cell r="G93" t="str">
            <v>UND</v>
          </cell>
          <cell r="H93">
            <v>5.9960000000000004</v>
          </cell>
        </row>
        <row r="94">
          <cell r="A94" t="str">
            <v>1840640</v>
          </cell>
          <cell r="B94" t="str">
            <v>BOLSAS TRANSP EXTRAGRANDE 37x55 KILO</v>
          </cell>
          <cell r="C94" t="str">
            <v>1840640</v>
          </cell>
          <cell r="D94" t="str">
            <v>1 KILO</v>
          </cell>
          <cell r="E94" t="str">
            <v>02/03/2020</v>
          </cell>
          <cell r="F94">
            <v>1350</v>
          </cell>
          <cell r="G94" t="str">
            <v>UND</v>
          </cell>
          <cell r="H94">
            <v>90</v>
          </cell>
        </row>
        <row r="95">
          <cell r="A95" t="str">
            <v>401000004</v>
          </cell>
          <cell r="B95" t="str">
            <v>BOLSA TRANSPARENTE 7X9X4 KILO</v>
          </cell>
          <cell r="C95" t="str">
            <v>401000004</v>
          </cell>
          <cell r="D95" t="str">
            <v>1 KILO</v>
          </cell>
          <cell r="E95" t="str">
            <v>27/01/2020</v>
          </cell>
          <cell r="F95">
            <v>1400</v>
          </cell>
        </row>
        <row r="96">
          <cell r="A96" t="str">
            <v>401000006</v>
          </cell>
          <cell r="B96" t="str">
            <v>BOLSA TRANSPARENTE 10X12X4 KILO</v>
          </cell>
          <cell r="C96" t="str">
            <v>401000006</v>
          </cell>
          <cell r="D96" t="str">
            <v>1 KILO</v>
          </cell>
          <cell r="E96" t="str">
            <v>27/01/2020</v>
          </cell>
          <cell r="F96">
            <v>1400</v>
          </cell>
        </row>
        <row r="97">
          <cell r="A97" t="str">
            <v>401000002</v>
          </cell>
          <cell r="B97" t="str">
            <v>BOLSA TRANSPARENTE 6X6X4 KILO</v>
          </cell>
          <cell r="C97" t="str">
            <v>401000002</v>
          </cell>
          <cell r="D97" t="str">
            <v>1 KILO</v>
          </cell>
          <cell r="E97" t="str">
            <v>29/01/2020</v>
          </cell>
          <cell r="F97">
            <v>1400</v>
          </cell>
          <cell r="G97" t="str">
            <v>UND</v>
          </cell>
          <cell r="H97">
            <v>3.2558139534883721</v>
          </cell>
        </row>
        <row r="98">
          <cell r="A98" t="str">
            <v>401000005</v>
          </cell>
          <cell r="B98" t="str">
            <v>BOLSA TRANSPARENTE 8X10X4 KILO</v>
          </cell>
          <cell r="C98" t="str">
            <v>401000005</v>
          </cell>
          <cell r="D98" t="str">
            <v>1 KILO</v>
          </cell>
          <cell r="E98" t="str">
            <v>07/02/2020</v>
          </cell>
          <cell r="F98">
            <v>1400</v>
          </cell>
        </row>
        <row r="99">
          <cell r="A99" t="str">
            <v>401000003</v>
          </cell>
          <cell r="B99" t="str">
            <v>BOLSA TRANSPARENTE 6X8X4 KILO</v>
          </cell>
          <cell r="C99" t="str">
            <v>401000003</v>
          </cell>
          <cell r="D99" t="str">
            <v>1 KILO</v>
          </cell>
          <cell r="E99" t="str">
            <v>14/02/2020</v>
          </cell>
          <cell r="F99">
            <v>1400</v>
          </cell>
        </row>
        <row r="100">
          <cell r="A100" t="str">
            <v>1950703</v>
          </cell>
          <cell r="B100" t="str">
            <v>BOLSA IMP. SPOON CAMI 8*16 KILO</v>
          </cell>
          <cell r="C100" t="str">
            <v>1950703</v>
          </cell>
          <cell r="D100" t="str">
            <v>1 KILO</v>
          </cell>
          <cell r="E100" t="str">
            <v>14/02/2020</v>
          </cell>
          <cell r="F100">
            <v>1400</v>
          </cell>
        </row>
        <row r="101">
          <cell r="A101" t="str">
            <v>1950708</v>
          </cell>
          <cell r="B101" t="str">
            <v>BOLSA 17x25 TRANSP KILO</v>
          </cell>
          <cell r="C101" t="str">
            <v>1950708</v>
          </cell>
          <cell r="D101" t="str">
            <v>1 KILO</v>
          </cell>
          <cell r="E101" t="str">
            <v>21/02/2020</v>
          </cell>
          <cell r="F101">
            <v>1400</v>
          </cell>
          <cell r="G101" t="str">
            <v>UND</v>
          </cell>
          <cell r="H101">
            <v>33.333333333333336</v>
          </cell>
        </row>
        <row r="102">
          <cell r="A102" t="str">
            <v>1950928</v>
          </cell>
          <cell r="B102" t="str">
            <v>BOLSA TRANSPARENTE 56X96X1.80 KILO</v>
          </cell>
          <cell r="C102" t="str">
            <v>1950928</v>
          </cell>
          <cell r="D102" t="str">
            <v>1 KILO</v>
          </cell>
          <cell r="E102" t="str">
            <v>21/02/2020</v>
          </cell>
          <cell r="F102">
            <v>1400</v>
          </cell>
          <cell r="G102" t="str">
            <v>UND</v>
          </cell>
          <cell r="H102">
            <v>50</v>
          </cell>
        </row>
        <row r="103">
          <cell r="A103" t="str">
            <v>1950904</v>
          </cell>
          <cell r="B103" t="str">
            <v>BOLSA TRANSPARENTE  6 X 10 KILO</v>
          </cell>
          <cell r="C103" t="str">
            <v>1950904</v>
          </cell>
          <cell r="D103" t="str">
            <v>1 KILO</v>
          </cell>
          <cell r="E103" t="str">
            <v>02/03/2020</v>
          </cell>
          <cell r="F103">
            <v>1400</v>
          </cell>
          <cell r="G103" t="str">
            <v>UND</v>
          </cell>
          <cell r="H103">
            <v>4.1916167664670656</v>
          </cell>
        </row>
        <row r="104">
          <cell r="A104" t="str">
            <v>1950705</v>
          </cell>
          <cell r="B104" t="str">
            <v>BOLSA 8x12 TRANSPARENTE KILO</v>
          </cell>
          <cell r="C104" t="str">
            <v>1950705</v>
          </cell>
          <cell r="D104" t="str">
            <v xml:space="preserve">1 KILO  </v>
          </cell>
          <cell r="E104" t="str">
            <v>02/03/2020</v>
          </cell>
          <cell r="F104">
            <v>1400</v>
          </cell>
          <cell r="G104" t="str">
            <v>UND</v>
          </cell>
          <cell r="H104">
            <v>7</v>
          </cell>
        </row>
        <row r="105">
          <cell r="A105" t="str">
            <v>1950702</v>
          </cell>
          <cell r="B105" t="str">
            <v>BOLSA 12x18 TRANSP KILO</v>
          </cell>
          <cell r="C105" t="str">
            <v>1950702</v>
          </cell>
          <cell r="D105" t="str">
            <v xml:space="preserve">1 KILO </v>
          </cell>
          <cell r="E105" t="str">
            <v>02/03/2020</v>
          </cell>
          <cell r="F105">
            <v>1400</v>
          </cell>
          <cell r="G105" t="str">
            <v>UND</v>
          </cell>
          <cell r="H105">
            <v>11.2</v>
          </cell>
        </row>
        <row r="106">
          <cell r="A106" t="str">
            <v>1950704</v>
          </cell>
          <cell r="B106" t="str">
            <v>BOLSA 5x8 TRANSPARENTE KILO</v>
          </cell>
          <cell r="C106" t="str">
            <v>1950704</v>
          </cell>
          <cell r="D106" t="str">
            <v xml:space="preserve">1 KILO </v>
          </cell>
          <cell r="E106" t="str">
            <v>04/03/2020</v>
          </cell>
          <cell r="F106">
            <v>1400</v>
          </cell>
          <cell r="G106" t="str">
            <v>UND</v>
          </cell>
          <cell r="H106">
            <v>2.8</v>
          </cell>
        </row>
        <row r="107">
          <cell r="A107" t="str">
            <v>51500036</v>
          </cell>
          <cell r="B107" t="str">
            <v xml:space="preserve">TAPA PLAS PLANA S/HOYO 9/12/20 (10/100) </v>
          </cell>
          <cell r="C107" t="str">
            <v>51500036</v>
          </cell>
          <cell r="D107" t="str">
            <v>1 PAQUETE</v>
          </cell>
          <cell r="E107" t="str">
            <v>05/03/2020</v>
          </cell>
          <cell r="F107">
            <v>1449.7</v>
          </cell>
        </row>
        <row r="108">
          <cell r="A108" t="str">
            <v>703020</v>
          </cell>
          <cell r="B108" t="str">
            <v>CINTA ADHESIVA TRANSPARENTE 2*100 MTS</v>
          </cell>
          <cell r="C108" t="str">
            <v>0703020</v>
          </cell>
          <cell r="D108" t="str">
            <v>1 UND</v>
          </cell>
          <cell r="E108" t="str">
            <v>14/02/2020</v>
          </cell>
          <cell r="F108">
            <v>1450</v>
          </cell>
          <cell r="G108" t="str">
            <v>Centimetros</v>
          </cell>
          <cell r="H108">
            <v>0.14499999999999999</v>
          </cell>
        </row>
        <row r="109">
          <cell r="A109" t="str">
            <v>50700029</v>
          </cell>
          <cell r="B109" t="str">
            <v>CONTENEDOR SUFLE 2 ONZ (PAQ:200 UND)</v>
          </cell>
          <cell r="C109" t="str">
            <v>50700029</v>
          </cell>
          <cell r="D109" t="str">
            <v>1 PAQUETE</v>
          </cell>
          <cell r="E109" t="str">
            <v>05/03/2020</v>
          </cell>
          <cell r="F109">
            <v>1480.5833333333301</v>
          </cell>
        </row>
        <row r="110">
          <cell r="A110" t="str">
            <v>51500014</v>
          </cell>
          <cell r="B110" t="str">
            <v>VASO BIODEGRADABLE 8 onz (PAQ:25 UND)</v>
          </cell>
          <cell r="C110" t="str">
            <v>51500014</v>
          </cell>
          <cell r="D110" t="str">
            <v>1 PAQUETE</v>
          </cell>
          <cell r="E110" t="str">
            <v>05/03/2020</v>
          </cell>
          <cell r="F110">
            <v>1484.75</v>
          </cell>
        </row>
        <row r="111">
          <cell r="A111" t="str">
            <v>51500012</v>
          </cell>
          <cell r="B111" t="str">
            <v>VASO BIODEGRADABLE 12 ONZ (PAQ:25 UND)</v>
          </cell>
          <cell r="C111" t="str">
            <v>51500012</v>
          </cell>
          <cell r="D111" t="str">
            <v>1 PAQUETE</v>
          </cell>
          <cell r="E111" t="str">
            <v>05/03/2020</v>
          </cell>
          <cell r="F111">
            <v>1496.7</v>
          </cell>
        </row>
        <row r="112">
          <cell r="A112" t="str">
            <v>51500033</v>
          </cell>
          <cell r="B112" t="str">
            <v>VASO PLASTICO FABRIKAL 9 ONZ (20/50 UND)</v>
          </cell>
          <cell r="C112" t="str">
            <v>51500033</v>
          </cell>
          <cell r="D112" t="str">
            <v>1 PAQUETE</v>
          </cell>
          <cell r="E112" t="str">
            <v>16/01/2020</v>
          </cell>
          <cell r="F112">
            <v>1647.9</v>
          </cell>
        </row>
        <row r="113">
          <cell r="A113" t="str">
            <v>50700027</v>
          </cell>
          <cell r="B113" t="str">
            <v>TAPA PLAST P/CONT PAPEL 12 ONZ(PAQ:50)</v>
          </cell>
          <cell r="C113" t="str">
            <v>50700027</v>
          </cell>
          <cell r="D113" t="str">
            <v>1 PAQ</v>
          </cell>
          <cell r="E113" t="str">
            <v>29/11/2019</v>
          </cell>
          <cell r="F113">
            <v>1657.1880000000001</v>
          </cell>
        </row>
        <row r="114">
          <cell r="A114" t="str">
            <v>515000012</v>
          </cell>
          <cell r="B114" t="str">
            <v>VASO CARTON NESCAFE 8OZ (PAQ:50 UND)</v>
          </cell>
          <cell r="C114" t="str">
            <v>515000012</v>
          </cell>
          <cell r="D114" t="str">
            <v>1 PAQUETE</v>
          </cell>
          <cell r="E114" t="str">
            <v>22/02/2020</v>
          </cell>
          <cell r="F114">
            <v>1666</v>
          </cell>
        </row>
        <row r="115">
          <cell r="A115" t="str">
            <v>51500027</v>
          </cell>
          <cell r="B115" t="str">
            <v>VASO A-9 OZ APC9 (CAJA:1000/PAQ:50 UND)</v>
          </cell>
          <cell r="C115" t="str">
            <v>51500027</v>
          </cell>
          <cell r="D115" t="str">
            <v>1 PAQ</v>
          </cell>
          <cell r="E115" t="str">
            <v>29/11/2019</v>
          </cell>
          <cell r="F115">
            <v>1710.5</v>
          </cell>
        </row>
        <row r="116">
          <cell r="A116" t="str">
            <v>50700024</v>
          </cell>
          <cell r="B116" t="str">
            <v>CONTENEDOR PAPEL 12 ONZAS (PAQ:50 UND)</v>
          </cell>
          <cell r="C116" t="str">
            <v>50700024</v>
          </cell>
          <cell r="D116" t="str">
            <v>1 PAQUETE</v>
          </cell>
          <cell r="E116" t="str">
            <v>29/11/2019</v>
          </cell>
          <cell r="F116">
            <v>1784.3</v>
          </cell>
        </row>
        <row r="117">
          <cell r="A117" t="str">
            <v>1950786</v>
          </cell>
          <cell r="B117" t="str">
            <v>BOLSA IMP. SPOON CAMI 12*25 KILO</v>
          </cell>
          <cell r="C117" t="str">
            <v>1950786</v>
          </cell>
          <cell r="D117" t="str">
            <v>1 KILO</v>
          </cell>
          <cell r="E117" t="str">
            <v>02/03/2020</v>
          </cell>
          <cell r="F117">
            <v>1850</v>
          </cell>
        </row>
        <row r="118">
          <cell r="A118" t="str">
            <v>1950741</v>
          </cell>
          <cell r="B118" t="str">
            <v>VASO 3.25 OZ (PAQ*200 UND)</v>
          </cell>
          <cell r="C118" t="str">
            <v>1950741</v>
          </cell>
          <cell r="D118" t="str">
            <v>1 PAQUETE</v>
          </cell>
          <cell r="E118" t="str">
            <v>25/11/2019</v>
          </cell>
          <cell r="F118">
            <v>2053</v>
          </cell>
        </row>
        <row r="119">
          <cell r="A119" t="str">
            <v>51500034</v>
          </cell>
          <cell r="B119" t="str">
            <v>TAPA PLAST DOMO SUNDAE POLAR 9 (10/100)</v>
          </cell>
          <cell r="C119" t="str">
            <v>51500034</v>
          </cell>
          <cell r="D119" t="str">
            <v>1 PAQUETE</v>
          </cell>
          <cell r="E119" t="str">
            <v>20/01/2020</v>
          </cell>
          <cell r="F119">
            <v>2472.3000000000002</v>
          </cell>
        </row>
        <row r="120">
          <cell r="A120" t="str">
            <v>1952831</v>
          </cell>
          <cell r="B120" t="str">
            <v>TAPA NESCAFE 12/14/16  ONZ (PAQ:100 UND)</v>
          </cell>
          <cell r="C120" t="str">
            <v>1952831</v>
          </cell>
          <cell r="D120" t="str">
            <v>1 PAQUETE</v>
          </cell>
          <cell r="E120" t="str">
            <v>27/12/2019</v>
          </cell>
          <cell r="F120">
            <v>2490</v>
          </cell>
        </row>
        <row r="121">
          <cell r="A121" t="str">
            <v>1950771</v>
          </cell>
          <cell r="B121" t="str">
            <v>PAPEL ENCERADO 10X10 (CAJA)</v>
          </cell>
          <cell r="C121" t="str">
            <v>1950771</v>
          </cell>
          <cell r="D121" t="str">
            <v>1 CAJA</v>
          </cell>
          <cell r="E121" t="str">
            <v>27/02/2020</v>
          </cell>
          <cell r="F121">
            <v>2774</v>
          </cell>
          <cell r="G121" t="str">
            <v>Und</v>
          </cell>
          <cell r="H121">
            <v>5.0436363636363639</v>
          </cell>
        </row>
        <row r="122">
          <cell r="A122" t="str">
            <v>50700040</v>
          </cell>
          <cell r="B122" t="str">
            <v>CONTENEDOR PLAST  4 OZ  (15/200 UND)</v>
          </cell>
          <cell r="C122" t="str">
            <v>50700040</v>
          </cell>
          <cell r="D122" t="str">
            <v>1 PAQUETE</v>
          </cell>
          <cell r="E122" t="str">
            <v>16/01/2020</v>
          </cell>
          <cell r="F122">
            <v>3255.4666666666699</v>
          </cell>
        </row>
        <row r="123">
          <cell r="A123" t="str">
            <v>1950772</v>
          </cell>
          <cell r="B123" t="str">
            <v>PAPEL ENCERADO 12 X 10 (CAJA:500 UND)</v>
          </cell>
          <cell r="C123" t="str">
            <v>1950772</v>
          </cell>
          <cell r="D123" t="str">
            <v>1 CAJA</v>
          </cell>
          <cell r="E123" t="str">
            <v>22/02/2020</v>
          </cell>
          <cell r="F123">
            <v>3497</v>
          </cell>
          <cell r="G123" t="str">
            <v>UND</v>
          </cell>
          <cell r="H123">
            <v>6.9939999999999998</v>
          </cell>
        </row>
        <row r="124">
          <cell r="A124" t="str">
            <v>1952400</v>
          </cell>
          <cell r="B124" t="str">
            <v>BOLSA BUCCA PALMERITAS (10*20CM)( KILO )</v>
          </cell>
          <cell r="C124" t="str">
            <v>1952400</v>
          </cell>
          <cell r="D124" t="str">
            <v>1 KILO</v>
          </cell>
          <cell r="E124" t="str">
            <v>01/02/2020</v>
          </cell>
          <cell r="F124">
            <v>3916.8</v>
          </cell>
        </row>
        <row r="125">
          <cell r="A125" t="str">
            <v>1952856</v>
          </cell>
          <cell r="B125" t="str">
            <v>BOLSA TRANSPARENTE 76X24X210 (KILO)</v>
          </cell>
          <cell r="C125" t="str">
            <v>1952856</v>
          </cell>
          <cell r="D125" t="str">
            <v>1 KILO</v>
          </cell>
          <cell r="E125" t="str">
            <v>21/02/2020</v>
          </cell>
          <cell r="F125">
            <v>3930.4</v>
          </cell>
        </row>
        <row r="126">
          <cell r="A126" t="str">
            <v>1950797</v>
          </cell>
          <cell r="B126" t="str">
            <v>VASO PLAST. TRASL 16OZ (PAQ:50 UND)</v>
          </cell>
          <cell r="C126" t="str">
            <v>1950797</v>
          </cell>
          <cell r="D126" t="str">
            <v>1 PAQUETE</v>
          </cell>
          <cell r="E126" t="str">
            <v>22/02/2020</v>
          </cell>
          <cell r="F126">
            <v>4024</v>
          </cell>
        </row>
        <row r="127">
          <cell r="A127" t="str">
            <v>1950895</v>
          </cell>
          <cell r="B127" t="str">
            <v>BOLSA CELOFAN 6 X 9 (KILO)</v>
          </cell>
          <cell r="C127" t="str">
            <v>1950895</v>
          </cell>
          <cell r="D127" t="str">
            <v>1 KILO</v>
          </cell>
          <cell r="E127" t="str">
            <v>27/02/2020</v>
          </cell>
          <cell r="F127">
            <v>4227.38</v>
          </cell>
        </row>
        <row r="128">
          <cell r="A128" t="str">
            <v>1950873</v>
          </cell>
          <cell r="B128" t="str">
            <v>BOLSA CELOFAN 30X45 (KILO)</v>
          </cell>
          <cell r="C128" t="str">
            <v>1950873</v>
          </cell>
          <cell r="D128" t="str">
            <v>1 KILO</v>
          </cell>
          <cell r="E128" t="str">
            <v>15/01/2020</v>
          </cell>
          <cell r="F128">
            <v>4254.79</v>
          </cell>
        </row>
        <row r="129">
          <cell r="A129" t="str">
            <v>1952826</v>
          </cell>
          <cell r="B129" t="str">
            <v>TAPA DOMO P/VASO TRASL 16onz ( PAQ*100)</v>
          </cell>
          <cell r="C129" t="str">
            <v>1952826</v>
          </cell>
          <cell r="D129" t="str">
            <v>1 PAQUETE</v>
          </cell>
          <cell r="E129" t="str">
            <v>22/02/2020</v>
          </cell>
          <cell r="F129">
            <v>4361</v>
          </cell>
        </row>
        <row r="130">
          <cell r="A130" t="str">
            <v>512000001</v>
          </cell>
          <cell r="B130" t="str">
            <v>PLASTICO P PALETIZAR 18X1500</v>
          </cell>
          <cell r="C130" t="str">
            <v>512000001</v>
          </cell>
          <cell r="D130" t="str">
            <v>1 UND</v>
          </cell>
          <cell r="E130" t="str">
            <v>07/02/2020</v>
          </cell>
          <cell r="F130">
            <v>4800</v>
          </cell>
        </row>
        <row r="131">
          <cell r="A131" t="str">
            <v>51600006</v>
          </cell>
          <cell r="B131" t="str">
            <v>ROLLO CINTA RASO 45 MTS COLOR ORO (UND)</v>
          </cell>
          <cell r="C131" t="str">
            <v>51600006</v>
          </cell>
          <cell r="D131" t="str">
            <v>1 UND</v>
          </cell>
          <cell r="E131" t="str">
            <v>06/01/2020</v>
          </cell>
          <cell r="F131">
            <v>5950</v>
          </cell>
        </row>
        <row r="132">
          <cell r="A132" t="str">
            <v>51400020</v>
          </cell>
          <cell r="B132" t="str">
            <v>BURBUJA I-3 ALTA (CAJA:250 UND)</v>
          </cell>
          <cell r="C132" t="str">
            <v>51400020</v>
          </cell>
          <cell r="D132" t="str">
            <v>1 CAJA</v>
          </cell>
          <cell r="E132" t="str">
            <v>11/02/2020</v>
          </cell>
          <cell r="F132">
            <v>7035.81</v>
          </cell>
          <cell r="G132" t="str">
            <v>UND</v>
          </cell>
          <cell r="H132">
            <v>28.143240000000002</v>
          </cell>
        </row>
        <row r="133">
          <cell r="A133" t="str">
            <v>50600003</v>
          </cell>
          <cell r="B133" t="str">
            <v>CAPSULA # 5 BLANCA (PAQ:1000 UND)</v>
          </cell>
          <cell r="C133" t="str">
            <v>50600003</v>
          </cell>
          <cell r="D133" t="str">
            <v>1 PAQUETE</v>
          </cell>
          <cell r="E133" t="str">
            <v>27/12/2019</v>
          </cell>
          <cell r="F133">
            <v>8600</v>
          </cell>
        </row>
        <row r="134">
          <cell r="A134" t="str">
            <v>1210415</v>
          </cell>
          <cell r="B134" t="str">
            <v>PABILO ROLLO</v>
          </cell>
          <cell r="C134" t="str">
            <v>1210415</v>
          </cell>
          <cell r="D134" t="str">
            <v>1 UND</v>
          </cell>
          <cell r="E134" t="str">
            <v>01/11/2019</v>
          </cell>
          <cell r="F134">
            <v>8990</v>
          </cell>
        </row>
        <row r="135">
          <cell r="A135" t="str">
            <v>1950765</v>
          </cell>
          <cell r="B135" t="str">
            <v>PLASTICO  AUTOAD (UND: 18 * 2000 M)</v>
          </cell>
          <cell r="C135" t="str">
            <v>1950765</v>
          </cell>
          <cell r="D135" t="str">
            <v>1 UND</v>
          </cell>
          <cell r="E135" t="str">
            <v>03/03/2020</v>
          </cell>
          <cell r="F135">
            <v>9813</v>
          </cell>
          <cell r="G135" t="str">
            <v>Cm</v>
          </cell>
          <cell r="H135">
            <v>4.9065000000000003</v>
          </cell>
        </row>
        <row r="136">
          <cell r="A136" t="str">
            <v>50700039</v>
          </cell>
          <cell r="B136" t="str">
            <v>TAPA UNIVERL POLI BOTE 16PP (CJ:500 UND)</v>
          </cell>
          <cell r="C136" t="str">
            <v>50700039</v>
          </cell>
          <cell r="D136" t="str">
            <v>1 CAJA</v>
          </cell>
          <cell r="E136" t="str">
            <v>28/01/2020</v>
          </cell>
          <cell r="F136">
            <v>10825.22</v>
          </cell>
        </row>
        <row r="137">
          <cell r="A137" t="str">
            <v>51400015</v>
          </cell>
          <cell r="B137" t="str">
            <v>QUEQUERA CHILENA (CAJA:50 UND)</v>
          </cell>
          <cell r="C137" t="str">
            <v>51400015</v>
          </cell>
          <cell r="D137" t="str">
            <v>1 CAJA</v>
          </cell>
          <cell r="E137" t="str">
            <v>05/03/2020</v>
          </cell>
          <cell r="F137">
            <v>12896</v>
          </cell>
          <cell r="G137" t="str">
            <v>UND</v>
          </cell>
          <cell r="H137">
            <v>257.92</v>
          </cell>
        </row>
        <row r="138">
          <cell r="A138" t="str">
            <v>50700007</v>
          </cell>
          <cell r="B138" t="str">
            <v>TAPA PLAST CONT KFC 4-8-16OZ (CAJA:1000)</v>
          </cell>
          <cell r="C138" t="str">
            <v>50700007</v>
          </cell>
          <cell r="D138" t="str">
            <v>1 CAJA</v>
          </cell>
          <cell r="E138" t="str">
            <v>05/03/2020</v>
          </cell>
          <cell r="F138">
            <v>13351</v>
          </cell>
        </row>
        <row r="139">
          <cell r="A139" t="str">
            <v>1952912</v>
          </cell>
          <cell r="B139" t="str">
            <v>CONTENEDOR TRIANGU ALTO (CAJA:200 UND)</v>
          </cell>
          <cell r="C139" t="str">
            <v>1952912</v>
          </cell>
          <cell r="D139" t="str">
            <v>1 CAJA</v>
          </cell>
          <cell r="E139" t="str">
            <v>22/02/2020</v>
          </cell>
          <cell r="F139">
            <v>14270</v>
          </cell>
        </row>
        <row r="140">
          <cell r="A140" t="str">
            <v>1950767</v>
          </cell>
          <cell r="B140" t="str">
            <v>PAPEL ALUMINIO 12 * 1000 (CAJA)</v>
          </cell>
          <cell r="C140" t="str">
            <v>1950767</v>
          </cell>
          <cell r="D140" t="str">
            <v>1 CAJA</v>
          </cell>
          <cell r="E140" t="str">
            <v>16/01/2020</v>
          </cell>
          <cell r="F140">
            <v>14758</v>
          </cell>
        </row>
        <row r="141">
          <cell r="A141" t="str">
            <v>1950896</v>
          </cell>
          <cell r="B141" t="str">
            <v>BANDEJA 17-1 NEGRA (PAQ:500 UND)</v>
          </cell>
          <cell r="C141" t="str">
            <v>1950896</v>
          </cell>
          <cell r="D141" t="str">
            <v>1 PAQUETE</v>
          </cell>
          <cell r="E141" t="str">
            <v>27/01/2020</v>
          </cell>
          <cell r="F141">
            <v>15040</v>
          </cell>
        </row>
        <row r="142">
          <cell r="A142" t="str">
            <v>51400016</v>
          </cell>
          <cell r="B142" t="str">
            <v>DOMO QUEQUERA 8" ALTA (CAJA:100 UND)</v>
          </cell>
          <cell r="C142" t="str">
            <v>51400016</v>
          </cell>
          <cell r="D142" t="str">
            <v>1 CAJA</v>
          </cell>
          <cell r="E142" t="str">
            <v>03/03/2020</v>
          </cell>
          <cell r="F142">
            <v>15551</v>
          </cell>
          <cell r="G142" t="str">
            <v>UND</v>
          </cell>
          <cell r="H142">
            <v>155.51</v>
          </cell>
        </row>
        <row r="143">
          <cell r="A143" t="str">
            <v>121208</v>
          </cell>
          <cell r="B143" t="str">
            <v>QUEQUERA PLAST 12 CENT (CAJA:250UND)</v>
          </cell>
          <cell r="C143" t="str">
            <v>121208</v>
          </cell>
          <cell r="D143" t="str">
            <v>1 CAJA</v>
          </cell>
          <cell r="E143" t="str">
            <v>05/03/2020</v>
          </cell>
          <cell r="F143">
            <v>16021</v>
          </cell>
        </row>
        <row r="144">
          <cell r="A144" t="str">
            <v>121603</v>
          </cell>
          <cell r="B144" t="str">
            <v>QUEQUERA RED  BASE/DOMO 10 (CAJA:50)</v>
          </cell>
          <cell r="C144" t="str">
            <v>121603</v>
          </cell>
          <cell r="D144" t="str">
            <v>1 CAJA</v>
          </cell>
          <cell r="E144" t="str">
            <v>05/03/2020</v>
          </cell>
          <cell r="F144">
            <v>16386</v>
          </cell>
          <cell r="G144" t="str">
            <v>UND</v>
          </cell>
          <cell r="H144">
            <v>327.72</v>
          </cell>
        </row>
        <row r="145">
          <cell r="A145" t="str">
            <v>50700044</v>
          </cell>
          <cell r="B145" t="str">
            <v>CONTENEDOR POLIPROP 8 ONZ (CJ:500 UND)</v>
          </cell>
          <cell r="C145" t="str">
            <v>50700044</v>
          </cell>
          <cell r="D145" t="str">
            <v>1 CAJA</v>
          </cell>
          <cell r="E145" t="str">
            <v>28/01/2020</v>
          </cell>
          <cell r="F145">
            <v>16576.87</v>
          </cell>
        </row>
        <row r="146">
          <cell r="A146" t="str">
            <v>1950865</v>
          </cell>
          <cell r="B146" t="str">
            <v>QUEQUERA 8 ALTA (CAJA:70 UND)</v>
          </cell>
          <cell r="C146" t="str">
            <v>1950865</v>
          </cell>
          <cell r="D146" t="str">
            <v>1 CAJA</v>
          </cell>
          <cell r="E146" t="str">
            <v>05/03/2020</v>
          </cell>
          <cell r="F146">
            <v>16752.04</v>
          </cell>
          <cell r="G146" t="str">
            <v>UND</v>
          </cell>
          <cell r="H146">
            <v>239.31485714285716</v>
          </cell>
        </row>
        <row r="147">
          <cell r="A147" t="str">
            <v>50100035</v>
          </cell>
          <cell r="B147" t="str">
            <v>TAPA CONT ALUMINIO 16 ONZ (CAJA:500 UND)</v>
          </cell>
          <cell r="C147" t="str">
            <v>50100035</v>
          </cell>
          <cell r="D147" t="str">
            <v>1 CAJA</v>
          </cell>
          <cell r="E147" t="str">
            <v>22/01/2020</v>
          </cell>
          <cell r="F147">
            <v>17230</v>
          </cell>
        </row>
        <row r="148">
          <cell r="A148" t="str">
            <v>5062011</v>
          </cell>
          <cell r="B148" t="str">
            <v>BURBUJA # 5 (CAJA:3/125UND)</v>
          </cell>
          <cell r="C148" t="str">
            <v>5062011</v>
          </cell>
          <cell r="D148" t="str">
            <v>1 CAJA</v>
          </cell>
          <cell r="E148" t="str">
            <v>05/03/2020</v>
          </cell>
          <cell r="F148">
            <v>18190</v>
          </cell>
          <cell r="G148" t="str">
            <v>UND</v>
          </cell>
          <cell r="H148">
            <v>66.145454545454541</v>
          </cell>
        </row>
        <row r="149">
          <cell r="A149" t="str">
            <v>51400017</v>
          </cell>
          <cell r="B149" t="str">
            <v>BASE QUEQUERA 8" ALTA (CAJA:200 UND)</v>
          </cell>
          <cell r="C149" t="str">
            <v>51400017</v>
          </cell>
          <cell r="D149" t="str">
            <v>1 CAJA</v>
          </cell>
          <cell r="E149" t="str">
            <v>03/03/2020</v>
          </cell>
          <cell r="F149">
            <v>18316</v>
          </cell>
          <cell r="G149" t="str">
            <v>UND</v>
          </cell>
        </row>
        <row r="150">
          <cell r="A150" t="str">
            <v>51100018</v>
          </cell>
          <cell r="B150" t="str">
            <v>PAPEL ENCERADO 12X12 (PAQ:1000 UND)</v>
          </cell>
          <cell r="C150" t="str">
            <v>51100018</v>
          </cell>
          <cell r="D150" t="str">
            <v>1 PAQUETE</v>
          </cell>
          <cell r="E150" t="str">
            <v>04/03/2020</v>
          </cell>
          <cell r="F150">
            <v>20570</v>
          </cell>
        </row>
        <row r="151">
          <cell r="A151" t="str">
            <v>1942315</v>
          </cell>
          <cell r="B151" t="str">
            <v>QUEQUERA 10" MEDIA (CAJA:66 UND)</v>
          </cell>
          <cell r="C151" t="str">
            <v>1942315</v>
          </cell>
          <cell r="D151" t="str">
            <v>1 CAJA</v>
          </cell>
          <cell r="E151" t="str">
            <v>05/03/2020</v>
          </cell>
          <cell r="F151">
            <v>20685.060000000001</v>
          </cell>
          <cell r="G151" t="str">
            <v>UND</v>
          </cell>
          <cell r="H151">
            <v>313.41000000000003</v>
          </cell>
        </row>
        <row r="152">
          <cell r="A152" t="str">
            <v>1950716</v>
          </cell>
          <cell r="B152" t="str">
            <v>BANDEJA  94121 24 OZ (CAJA:200 UND)</v>
          </cell>
          <cell r="C152" t="str">
            <v>1950716</v>
          </cell>
          <cell r="D152" t="str">
            <v>1 CAJA</v>
          </cell>
          <cell r="E152" t="str">
            <v>04/03/2020</v>
          </cell>
          <cell r="F152">
            <v>21981</v>
          </cell>
        </row>
        <row r="153">
          <cell r="A153" t="str">
            <v>51400019</v>
          </cell>
          <cell r="B153" t="str">
            <v>QUEQUERA 10 BAJA LOGO (CAJA:66 UND)</v>
          </cell>
          <cell r="C153" t="str">
            <v>51400019</v>
          </cell>
          <cell r="D153" t="str">
            <v>1 CAJA</v>
          </cell>
          <cell r="E153" t="str">
            <v>28/11/2019</v>
          </cell>
          <cell r="F153">
            <v>23500</v>
          </cell>
        </row>
        <row r="154">
          <cell r="A154" t="str">
            <v>50700006</v>
          </cell>
          <cell r="B154" t="str">
            <v xml:space="preserve">CONTENEDOR FOAM KFC 8OZ (CAJA:1000 UND) </v>
          </cell>
          <cell r="C154" t="str">
            <v>50700006</v>
          </cell>
          <cell r="D154" t="str">
            <v>1 CAJA</v>
          </cell>
          <cell r="E154" t="str">
            <v>05/03/2020</v>
          </cell>
          <cell r="F154">
            <v>23587</v>
          </cell>
        </row>
        <row r="155">
          <cell r="A155" t="str">
            <v>50700042</v>
          </cell>
          <cell r="B155" t="str">
            <v>CONT COSTILLA BASE DOMO OP3 (CJ:250 UND)</v>
          </cell>
          <cell r="C155" t="str">
            <v>50700042</v>
          </cell>
          <cell r="D155" t="str">
            <v>1 CAJA</v>
          </cell>
          <cell r="E155" t="str">
            <v>27/02/2020</v>
          </cell>
          <cell r="F155">
            <v>23825.1</v>
          </cell>
          <cell r="G155" t="str">
            <v>UND</v>
          </cell>
          <cell r="H155">
            <v>95.300399999999996</v>
          </cell>
        </row>
        <row r="156">
          <cell r="A156" t="str">
            <v>51400021</v>
          </cell>
          <cell r="B156" t="str">
            <v>QUEQUERA RED C/BASE ALTA 9" (CAJA:100 U)</v>
          </cell>
          <cell r="C156" t="str">
            <v>51400021</v>
          </cell>
          <cell r="D156" t="str">
            <v>1 CAJA</v>
          </cell>
          <cell r="E156" t="str">
            <v>03/03/2020</v>
          </cell>
          <cell r="F156">
            <v>24065</v>
          </cell>
        </row>
        <row r="157">
          <cell r="A157" t="str">
            <v>50100036</v>
          </cell>
          <cell r="B157" t="str">
            <v>MOLDE ALUMINIO 16 ONZ (CAJA:500 UND)</v>
          </cell>
          <cell r="C157" t="str">
            <v>50100036</v>
          </cell>
          <cell r="D157" t="str">
            <v>1 CAJA</v>
          </cell>
          <cell r="E157" t="str">
            <v>22/01/2020</v>
          </cell>
          <cell r="F157">
            <v>27100</v>
          </cell>
          <cell r="G157" t="str">
            <v>UND</v>
          </cell>
          <cell r="H157">
            <v>54.2</v>
          </cell>
        </row>
        <row r="158">
          <cell r="A158" t="str">
            <v>50700045</v>
          </cell>
          <cell r="B158" t="str">
            <v>BISAGRA 6 MANTECADA 24*16*8 (CJ:250 UND)</v>
          </cell>
          <cell r="C158" t="str">
            <v>50700045</v>
          </cell>
          <cell r="D158" t="str">
            <v>1 CAJA</v>
          </cell>
          <cell r="E158" t="str">
            <v>20/02/2020</v>
          </cell>
          <cell r="F158">
            <v>28769.96</v>
          </cell>
        </row>
        <row r="159">
          <cell r="A159" t="str">
            <v>1952851</v>
          </cell>
          <cell r="B159" t="str">
            <v>CONTENEDOR CUADRADO 9X9X5 (CAJA:600 UND)</v>
          </cell>
          <cell r="C159" t="str">
            <v>1952851</v>
          </cell>
          <cell r="D159" t="str">
            <v>1 CAJA</v>
          </cell>
          <cell r="E159" t="str">
            <v>09/12/2019</v>
          </cell>
          <cell r="F159">
            <v>30816</v>
          </cell>
        </row>
        <row r="160">
          <cell r="A160" t="str">
            <v>50400015</v>
          </cell>
          <cell r="B160" t="str">
            <v>CAJA MEDIANA OFFICE BREAK (CAJA:400 UND)</v>
          </cell>
          <cell r="C160" t="str">
            <v>50400015</v>
          </cell>
          <cell r="D160" t="str">
            <v>1 CAJA</v>
          </cell>
          <cell r="E160" t="str">
            <v>21/02/2020</v>
          </cell>
          <cell r="F160">
            <v>31600</v>
          </cell>
        </row>
        <row r="161">
          <cell r="A161" t="str">
            <v>0906036</v>
          </cell>
          <cell r="B161" t="str">
            <v>PAPEL MANTEQUILLA (CAJA= 1000 UND)</v>
          </cell>
          <cell r="C161" t="str">
            <v>0906036</v>
          </cell>
          <cell r="D161" t="str">
            <v>1 CAJA</v>
          </cell>
          <cell r="E161" t="str">
            <v>03/03/2020</v>
          </cell>
          <cell r="F161">
            <v>32000</v>
          </cell>
          <cell r="G161" t="str">
            <v>UND</v>
          </cell>
          <cell r="H161">
            <v>32</v>
          </cell>
        </row>
        <row r="162">
          <cell r="A162" t="str">
            <v>50400016</v>
          </cell>
          <cell r="B162" t="str">
            <v>CAJA GRANDE OFFICE BREAK (CAJA:280 UND)</v>
          </cell>
          <cell r="C162" t="str">
            <v>50400016</v>
          </cell>
          <cell r="D162" t="str">
            <v>1 CAJA</v>
          </cell>
          <cell r="E162" t="str">
            <v>02/03/2020</v>
          </cell>
          <cell r="F162">
            <v>32760</v>
          </cell>
        </row>
        <row r="163">
          <cell r="A163" t="str">
            <v>51400036</v>
          </cell>
          <cell r="B163" t="str">
            <v>QUEQUERA PLAST RECT 48*13*11 (CJ:25 UND)</v>
          </cell>
          <cell r="C163" t="str">
            <v>51400036</v>
          </cell>
          <cell r="D163" t="str">
            <v>1 CAJA</v>
          </cell>
          <cell r="E163" t="str">
            <v>15/02/2020</v>
          </cell>
          <cell r="F163">
            <v>33564</v>
          </cell>
        </row>
        <row r="164">
          <cell r="A164" t="str">
            <v>1950818</v>
          </cell>
          <cell r="B164" t="str">
            <v>QUEQUERA RECT. T41 (CAJA:50 UND)</v>
          </cell>
          <cell r="C164" t="str">
            <v>1950818</v>
          </cell>
          <cell r="D164" t="str">
            <v>1 CAJA</v>
          </cell>
          <cell r="E164" t="str">
            <v>03/03/2020</v>
          </cell>
          <cell r="F164">
            <v>39213</v>
          </cell>
        </row>
        <row r="165">
          <cell r="A165" t="str">
            <v>50700043</v>
          </cell>
          <cell r="B165" t="str">
            <v>BISAGRA P/PASTEL ROSCA (CAJA: 180 UND)</v>
          </cell>
          <cell r="C165" t="str">
            <v>50700043</v>
          </cell>
          <cell r="D165" t="str">
            <v>1 CAJA</v>
          </cell>
          <cell r="E165" t="str">
            <v>20/02/2020</v>
          </cell>
          <cell r="F165">
            <v>39375.800000000003</v>
          </cell>
        </row>
        <row r="166">
          <cell r="A166" t="str">
            <v>1950854</v>
          </cell>
          <cell r="B166" t="str">
            <v>TAPA VASO 9oz P/SUN PAQ:50 (CAJA:2000UN)</v>
          </cell>
          <cell r="C166" t="str">
            <v>1950854</v>
          </cell>
          <cell r="D166" t="str">
            <v>1 CAJA</v>
          </cell>
          <cell r="E166" t="str">
            <v>26/02/2020</v>
          </cell>
          <cell r="F166">
            <v>39500</v>
          </cell>
        </row>
        <row r="167">
          <cell r="A167" t="str">
            <v>50400014</v>
          </cell>
          <cell r="B167" t="str">
            <v>CAJA PEQUEÑA OFFICE BREAK (CAJA:625 UND)</v>
          </cell>
          <cell r="C167" t="str">
            <v>50400014</v>
          </cell>
          <cell r="D167" t="str">
            <v>1 CAJA</v>
          </cell>
          <cell r="E167" t="str">
            <v>02/03/2020</v>
          </cell>
          <cell r="F167">
            <v>40312.5</v>
          </cell>
        </row>
        <row r="168">
          <cell r="A168" t="str">
            <v>1950909</v>
          </cell>
          <cell r="B168" t="str">
            <v>CONT.24 ONZ.TAPA PLANA (PAQ:100 UND)</v>
          </cell>
          <cell r="C168" t="str">
            <v>1950909</v>
          </cell>
          <cell r="D168" t="str">
            <v>1 CAJA</v>
          </cell>
          <cell r="E168" t="str">
            <v>31/01/2020</v>
          </cell>
          <cell r="F168">
            <v>40470</v>
          </cell>
        </row>
        <row r="169">
          <cell r="A169" t="str">
            <v>50700016</v>
          </cell>
          <cell r="B169" t="str">
            <v>CONT.24 ONZ.TAPA PLANA (CAJA:200 UND)</v>
          </cell>
          <cell r="C169" t="str">
            <v>50700016</v>
          </cell>
          <cell r="D169" t="str">
            <v>1 CAJA</v>
          </cell>
          <cell r="E169" t="str">
            <v>14/02/2020</v>
          </cell>
          <cell r="F169">
            <v>40470</v>
          </cell>
          <cell r="G169" t="str">
            <v>UND</v>
          </cell>
          <cell r="H169">
            <v>202.35</v>
          </cell>
        </row>
        <row r="170">
          <cell r="A170" t="str">
            <v>51400001</v>
          </cell>
          <cell r="B170" t="str">
            <v>QUEQUERA RECTANGULAR 1/2 (CAJA:35 UND)</v>
          </cell>
          <cell r="C170" t="str">
            <v>51400001</v>
          </cell>
          <cell r="D170" t="str">
            <v>1 CAJA</v>
          </cell>
          <cell r="E170" t="str">
            <v>29/02/2020</v>
          </cell>
          <cell r="F170">
            <v>40766</v>
          </cell>
        </row>
        <row r="171">
          <cell r="A171" t="str">
            <v>1950682</v>
          </cell>
          <cell r="B171" t="str">
            <v>CONTEN LBH 692 PRALINE (CAJA:200 UND)</v>
          </cell>
          <cell r="C171" t="str">
            <v>1950682</v>
          </cell>
          <cell r="D171" t="str">
            <v xml:space="preserve">1 CAJA </v>
          </cell>
          <cell r="E171" t="str">
            <v>05/03/2020</v>
          </cell>
          <cell r="F171">
            <v>40795</v>
          </cell>
          <cell r="G171" t="str">
            <v>UND</v>
          </cell>
          <cell r="H171">
            <v>203.97499999999999</v>
          </cell>
        </row>
        <row r="172">
          <cell r="A172" t="str">
            <v>1950853</v>
          </cell>
          <cell r="B172" t="str">
            <v>VASO 9oz SUNDA TS9 PAQ:50(CAJA:1000 UND)</v>
          </cell>
          <cell r="C172" t="str">
            <v>1950853</v>
          </cell>
          <cell r="D172" t="str">
            <v>1 CAJA</v>
          </cell>
          <cell r="E172" t="str">
            <v>26/02/2020</v>
          </cell>
          <cell r="F172">
            <v>41500</v>
          </cell>
        </row>
        <row r="173">
          <cell r="A173" t="str">
            <v>1950672</v>
          </cell>
          <cell r="B173" t="str">
            <v>CONT.48 ON TRAN.TAPA PLANA (CAJA:200UND)</v>
          </cell>
          <cell r="C173" t="str">
            <v>1950672</v>
          </cell>
          <cell r="D173" t="str">
            <v>1 CAJA</v>
          </cell>
          <cell r="E173" t="str">
            <v>22/02/2020</v>
          </cell>
          <cell r="F173">
            <v>47140</v>
          </cell>
          <cell r="G173" t="str">
            <v>UND</v>
          </cell>
          <cell r="H173">
            <v>235.7</v>
          </cell>
        </row>
        <row r="174">
          <cell r="A174" t="str">
            <v>51400035</v>
          </cell>
          <cell r="B174" t="str">
            <v>QUEQUERA PLAST RED 12" ALTA (CJ:50 UND)</v>
          </cell>
          <cell r="C174" t="str">
            <v>51400035</v>
          </cell>
          <cell r="D174" t="str">
            <v>1 CAJA</v>
          </cell>
          <cell r="E174" t="str">
            <v>29/02/2020</v>
          </cell>
          <cell r="F174">
            <v>47456</v>
          </cell>
        </row>
        <row r="175">
          <cell r="A175" t="str">
            <v>50400017</v>
          </cell>
          <cell r="B175" t="str">
            <v>CAJA PORCION OFFICE BREAK (CAJA:950 UND)</v>
          </cell>
          <cell r="C175" t="str">
            <v>50400017</v>
          </cell>
          <cell r="D175" t="str">
            <v>1 CAJA</v>
          </cell>
          <cell r="E175" t="str">
            <v>24/01/2020</v>
          </cell>
          <cell r="F175">
            <v>51870</v>
          </cell>
        </row>
        <row r="176">
          <cell r="A176" t="str">
            <v>51600021</v>
          </cell>
          <cell r="B176" t="str">
            <v>ROLLO POS 16" 1067MTS  (UND)</v>
          </cell>
          <cell r="C176" t="str">
            <v>51600021</v>
          </cell>
          <cell r="D176" t="str">
            <v>1 UND</v>
          </cell>
          <cell r="E176" t="str">
            <v>27/11/2019</v>
          </cell>
          <cell r="F176">
            <v>72459.820000000007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ezcla (2)"/>
      <sheetName val="Costo "/>
    </sheetNames>
    <sheetDataSet>
      <sheetData sheetId="0"/>
      <sheetData sheetId="1">
        <row r="62">
          <cell r="E62">
            <v>5.677620758746543</v>
          </cell>
        </row>
        <row r="67">
          <cell r="E67">
            <v>1.9995152690256906E-2</v>
          </cell>
        </row>
        <row r="69">
          <cell r="E69">
            <v>2.314153340596235E-3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</sheetNames>
    <sheetDataSet>
      <sheetData sheetId="0"/>
      <sheetData sheetId="1">
        <row r="2">
          <cell r="A2" t="str">
            <v>99999</v>
          </cell>
          <cell r="B2" t="str">
            <v>AGUA</v>
          </cell>
          <cell r="C2" t="str">
            <v>LITRO</v>
          </cell>
          <cell r="D2" t="e">
            <v>#N/A</v>
          </cell>
          <cell r="E2" t="str">
            <v>Mililitro</v>
          </cell>
          <cell r="F2" t="e">
            <v>#N/A</v>
          </cell>
        </row>
        <row r="3">
          <cell r="A3" t="str">
            <v>0101005</v>
          </cell>
          <cell r="B3" t="str">
            <v>AJO PELADO (PAQ=1 KILO )</v>
          </cell>
          <cell r="C3" t="str">
            <v>KILO</v>
          </cell>
          <cell r="D3">
            <v>3743.7820000000002</v>
          </cell>
          <cell r="E3" t="str">
            <v>Gramo</v>
          </cell>
          <cell r="F3">
            <v>3.7437819999999999</v>
          </cell>
        </row>
        <row r="4">
          <cell r="A4" t="str">
            <v>0101019</v>
          </cell>
          <cell r="B4" t="str">
            <v>ZANAHORIA TIRAS (PAQ=500g)</v>
          </cell>
          <cell r="C4" t="str">
            <v>KILO</v>
          </cell>
          <cell r="D4">
            <v>856</v>
          </cell>
          <cell r="E4" t="str">
            <v>Gramo</v>
          </cell>
          <cell r="F4">
            <v>0.85599999999999998</v>
          </cell>
        </row>
        <row r="5">
          <cell r="A5" t="str">
            <v>0101020</v>
          </cell>
          <cell r="B5" t="str">
            <v>BERENJENAS.</v>
          </cell>
          <cell r="C5" t="str">
            <v>KILO</v>
          </cell>
          <cell r="D5">
            <v>1300.001</v>
          </cell>
          <cell r="E5" t="str">
            <v>Gramo</v>
          </cell>
          <cell r="F5">
            <v>1.300001</v>
          </cell>
        </row>
        <row r="6">
          <cell r="A6" t="str">
            <v>0101022</v>
          </cell>
          <cell r="B6" t="str">
            <v>PAPA MINI (KILO)</v>
          </cell>
          <cell r="C6" t="str">
            <v>KILO</v>
          </cell>
          <cell r="D6">
            <v>799.96799999999996</v>
          </cell>
          <cell r="E6" t="str">
            <v>Gramo</v>
          </cell>
          <cell r="F6">
            <v>0.79996800000000001</v>
          </cell>
        </row>
        <row r="7">
          <cell r="A7" t="str">
            <v>0101025</v>
          </cell>
          <cell r="B7" t="str">
            <v>BROCOLI</v>
          </cell>
          <cell r="C7" t="str">
            <v>KILO</v>
          </cell>
          <cell r="D7">
            <v>1171.385</v>
          </cell>
          <cell r="E7" t="str">
            <v>Gramo</v>
          </cell>
          <cell r="F7">
            <v>1.1713849999999999</v>
          </cell>
        </row>
        <row r="8">
          <cell r="A8" t="str">
            <v>0101035</v>
          </cell>
          <cell r="B8" t="str">
            <v>CEBOLLA PICADA ( 1 KILO )</v>
          </cell>
          <cell r="C8" t="str">
            <v>KILO</v>
          </cell>
          <cell r="D8">
            <v>1680.0150000000001</v>
          </cell>
          <cell r="E8" t="str">
            <v>Gramo</v>
          </cell>
          <cell r="F8">
            <v>1.680015</v>
          </cell>
        </row>
        <row r="9">
          <cell r="A9" t="str">
            <v>0101040</v>
          </cell>
          <cell r="B9" t="str">
            <v>CEBOLLA EN TRENZA</v>
          </cell>
          <cell r="C9" t="str">
            <v>KILO</v>
          </cell>
          <cell r="D9">
            <v>1657</v>
          </cell>
          <cell r="E9" t="str">
            <v>Gramo</v>
          </cell>
          <cell r="F9">
            <v>1.657</v>
          </cell>
        </row>
        <row r="10">
          <cell r="A10" t="str">
            <v>0101042</v>
          </cell>
          <cell r="B10" t="str">
            <v>CEBOLLA MORADA JULIANA ( KILO )</v>
          </cell>
          <cell r="C10" t="str">
            <v>KILO</v>
          </cell>
          <cell r="D10">
            <v>2200</v>
          </cell>
          <cell r="E10" t="str">
            <v>Gramo</v>
          </cell>
          <cell r="F10">
            <v>2.2000000000000002</v>
          </cell>
        </row>
        <row r="11">
          <cell r="A11" t="str">
            <v>0101043</v>
          </cell>
          <cell r="B11" t="str">
            <v>CEBOLLA BLANCA JULIANA (PAQ=1 KILO )</v>
          </cell>
          <cell r="C11" t="str">
            <v>KILO</v>
          </cell>
          <cell r="D11">
            <v>1880</v>
          </cell>
          <cell r="E11" t="str">
            <v>Gramo</v>
          </cell>
          <cell r="F11">
            <v>1.88</v>
          </cell>
        </row>
        <row r="12">
          <cell r="A12" t="str">
            <v>0101045</v>
          </cell>
          <cell r="B12" t="str">
            <v>CEBOLLINO</v>
          </cell>
          <cell r="C12" t="str">
            <v>KILO</v>
          </cell>
          <cell r="D12">
            <v>1749.98</v>
          </cell>
          <cell r="E12" t="str">
            <v>Gramo</v>
          </cell>
          <cell r="F12">
            <v>1.7499800000000001</v>
          </cell>
        </row>
        <row r="13">
          <cell r="A13" t="str">
            <v>0101047</v>
          </cell>
          <cell r="B13" t="str">
            <v>ZACATE LIMON (KILO)</v>
          </cell>
          <cell r="C13" t="str">
            <v>KILO</v>
          </cell>
          <cell r="D13">
            <v>20596.762999999999</v>
          </cell>
          <cell r="E13" t="str">
            <v>Gramo</v>
          </cell>
          <cell r="F13">
            <v>20.596762999999999</v>
          </cell>
        </row>
        <row r="14">
          <cell r="A14" t="str">
            <v>0101051</v>
          </cell>
          <cell r="B14" t="str">
            <v>CHAYOTE PICADO (PAQ=1 KILO)</v>
          </cell>
          <cell r="C14" t="str">
            <v>KILO</v>
          </cell>
          <cell r="D14">
            <v>995</v>
          </cell>
          <cell r="E14" t="str">
            <v>Gramo</v>
          </cell>
          <cell r="F14">
            <v>0.995</v>
          </cell>
        </row>
        <row r="15">
          <cell r="A15" t="str">
            <v>0101052</v>
          </cell>
          <cell r="B15" t="str">
            <v>AYOTE PICADO ( KILO )</v>
          </cell>
          <cell r="C15" t="str">
            <v>KILO</v>
          </cell>
          <cell r="D15">
            <v>1800</v>
          </cell>
          <cell r="E15" t="str">
            <v>Gramo</v>
          </cell>
          <cell r="F15">
            <v>1.8</v>
          </cell>
        </row>
        <row r="16">
          <cell r="A16" t="str">
            <v>0101073</v>
          </cell>
          <cell r="B16" t="str">
            <v>CULANTRO DESINFECTADO (250g)</v>
          </cell>
          <cell r="C16" t="str">
            <v>KILO</v>
          </cell>
          <cell r="D16">
            <v>2600.09</v>
          </cell>
          <cell r="E16" t="str">
            <v>Gramo</v>
          </cell>
          <cell r="F16">
            <v>2.6000900000000002</v>
          </cell>
        </row>
        <row r="17">
          <cell r="A17" t="str">
            <v>0101074</v>
          </cell>
          <cell r="B17" t="str">
            <v>PEREJIL DESINFECTADO (250g)</v>
          </cell>
          <cell r="C17" t="str">
            <v>KILO</v>
          </cell>
          <cell r="D17">
            <v>8000.0010000000002</v>
          </cell>
          <cell r="E17" t="str">
            <v>Gramo</v>
          </cell>
          <cell r="F17">
            <v>8.000001000000001</v>
          </cell>
        </row>
        <row r="18">
          <cell r="A18" t="str">
            <v>0101075</v>
          </cell>
          <cell r="B18" t="str">
            <v>ESPINACA EN HOJA</v>
          </cell>
          <cell r="C18" t="str">
            <v>KILO</v>
          </cell>
          <cell r="D18">
            <v>2700</v>
          </cell>
          <cell r="E18" t="str">
            <v>Gramo</v>
          </cell>
          <cell r="F18">
            <v>2.7</v>
          </cell>
        </row>
        <row r="19">
          <cell r="A19" t="str">
            <v>0101081</v>
          </cell>
          <cell r="B19" t="str">
            <v>FRESA PICADA Kg</v>
          </cell>
          <cell r="C19" t="str">
            <v>KILO</v>
          </cell>
          <cell r="D19">
            <v>2425</v>
          </cell>
          <cell r="E19" t="str">
            <v>Gramo</v>
          </cell>
          <cell r="F19">
            <v>2.4249999999999998</v>
          </cell>
        </row>
        <row r="20">
          <cell r="A20" t="str">
            <v>0101105</v>
          </cell>
          <cell r="B20" t="str">
            <v>HONGO FRESCO ( BANDEJA=1 KILO )</v>
          </cell>
          <cell r="C20" t="str">
            <v>KILO</v>
          </cell>
          <cell r="D20">
            <v>3334.8389999999999</v>
          </cell>
          <cell r="E20" t="str">
            <v>Gramo</v>
          </cell>
          <cell r="F20">
            <v>3.3348390000000001</v>
          </cell>
        </row>
        <row r="21">
          <cell r="A21" t="str">
            <v>0101106</v>
          </cell>
          <cell r="B21" t="str">
            <v>HONGO PORCINI (454G)</v>
          </cell>
          <cell r="C21" t="str">
            <v>KILO</v>
          </cell>
          <cell r="D21">
            <v>54200.34</v>
          </cell>
          <cell r="E21" t="str">
            <v>Gramo</v>
          </cell>
          <cell r="F21">
            <v>54.200339999999997</v>
          </cell>
        </row>
        <row r="22">
          <cell r="A22" t="str">
            <v>0101110</v>
          </cell>
          <cell r="B22" t="str">
            <v>HONGO PORTOBELLO (BANDEJA=500g)</v>
          </cell>
          <cell r="C22" t="str">
            <v>KILO</v>
          </cell>
          <cell r="D22">
            <v>5002.8710000000001</v>
          </cell>
          <cell r="E22" t="str">
            <v>Gramo</v>
          </cell>
          <cell r="F22">
            <v>5.0028709999999998</v>
          </cell>
        </row>
        <row r="23">
          <cell r="A23" t="str">
            <v>0101115</v>
          </cell>
          <cell r="B23" t="str">
            <v>CHILE DULCE PICADO (PAQ=500g)</v>
          </cell>
          <cell r="C23" t="str">
            <v>KILO</v>
          </cell>
          <cell r="D23">
            <v>2050.002</v>
          </cell>
          <cell r="E23" t="str">
            <v>Gramo</v>
          </cell>
          <cell r="F23">
            <v>2.0500020000000001</v>
          </cell>
        </row>
        <row r="24">
          <cell r="A24" t="str">
            <v>0101125</v>
          </cell>
          <cell r="B24" t="str">
            <v>LECHUGA AMERICANA ENTERA ( PAQ 500g)</v>
          </cell>
          <cell r="C24" t="str">
            <v>KILO</v>
          </cell>
          <cell r="D24">
            <v>1950</v>
          </cell>
          <cell r="E24" t="str">
            <v>Gramo</v>
          </cell>
          <cell r="F24">
            <v>1.95</v>
          </cell>
        </row>
        <row r="25">
          <cell r="A25" t="str">
            <v>0101130</v>
          </cell>
          <cell r="B25" t="str">
            <v>LIMONES MAYA 10 UNID</v>
          </cell>
          <cell r="C25" t="str">
            <v>UND</v>
          </cell>
          <cell r="D25">
            <v>179.67599999999999</v>
          </cell>
          <cell r="E25" t="str">
            <v>UND</v>
          </cell>
          <cell r="F25">
            <v>179.67599999999999</v>
          </cell>
        </row>
        <row r="26">
          <cell r="A26" t="str">
            <v>0101132</v>
          </cell>
          <cell r="B26" t="str">
            <v>LIMON EN POLVO ( BULTO 25 KG )</v>
          </cell>
          <cell r="C26" t="str">
            <v>KILO</v>
          </cell>
          <cell r="D26">
            <v>3437.4409999999998</v>
          </cell>
          <cell r="E26" t="str">
            <v>Gramo</v>
          </cell>
          <cell r="F26">
            <v>3.4374409999999997</v>
          </cell>
        </row>
        <row r="27">
          <cell r="A27" t="str">
            <v>0101150</v>
          </cell>
          <cell r="B27" t="str">
            <v>APIO PICADO PAQ.500gr</v>
          </cell>
          <cell r="C27" t="str">
            <v>KILO</v>
          </cell>
          <cell r="D27">
            <v>1652.002</v>
          </cell>
          <cell r="E27" t="str">
            <v>Gramo</v>
          </cell>
          <cell r="F27">
            <v>1.652002</v>
          </cell>
        </row>
        <row r="28">
          <cell r="A28" t="str">
            <v>0101155</v>
          </cell>
          <cell r="B28" t="str">
            <v>PALMITO CRUDO  KG</v>
          </cell>
          <cell r="C28" t="str">
            <v>KILO</v>
          </cell>
          <cell r="D28">
            <v>2000</v>
          </cell>
          <cell r="E28" t="str">
            <v>Gramo</v>
          </cell>
          <cell r="F28">
            <v>2</v>
          </cell>
        </row>
        <row r="29">
          <cell r="A29" t="str">
            <v>0101166</v>
          </cell>
          <cell r="B29" t="str">
            <v>PAPA PICADA (PAQ=1 KILO)</v>
          </cell>
          <cell r="C29" t="str">
            <v>KILO</v>
          </cell>
          <cell r="D29">
            <v>1894.971</v>
          </cell>
          <cell r="E29" t="str">
            <v>Gramo</v>
          </cell>
          <cell r="F29">
            <v>1.894971</v>
          </cell>
        </row>
        <row r="30">
          <cell r="A30" t="str">
            <v>0101190</v>
          </cell>
          <cell r="B30" t="str">
            <v>PUERRO KILO</v>
          </cell>
          <cell r="C30" t="str">
            <v>KILO</v>
          </cell>
          <cell r="D30">
            <v>5000</v>
          </cell>
          <cell r="E30" t="str">
            <v>Gramo</v>
          </cell>
          <cell r="F30">
            <v>5</v>
          </cell>
        </row>
        <row r="31">
          <cell r="A31" t="str">
            <v>0101205</v>
          </cell>
          <cell r="B31" t="str">
            <v>PEJIBALLE PELADO KILO</v>
          </cell>
          <cell r="C31" t="str">
            <v>KILO</v>
          </cell>
          <cell r="D31">
            <v>2585</v>
          </cell>
          <cell r="E31" t="str">
            <v>Gramo</v>
          </cell>
          <cell r="F31">
            <v>2.585</v>
          </cell>
        </row>
        <row r="32">
          <cell r="A32" t="str">
            <v>0101210</v>
          </cell>
          <cell r="B32" t="str">
            <v>TOMATE (KILO)</v>
          </cell>
          <cell r="C32" t="str">
            <v>KILO</v>
          </cell>
          <cell r="D32">
            <v>680</v>
          </cell>
          <cell r="E32" t="str">
            <v>Gramo</v>
          </cell>
          <cell r="F32">
            <v>0.68</v>
          </cell>
        </row>
        <row r="33">
          <cell r="A33" t="str">
            <v>0101236</v>
          </cell>
          <cell r="B33" t="str">
            <v>ZANAHORIA JULIANA ( PAQ=1K )</v>
          </cell>
          <cell r="C33" t="str">
            <v>KILO</v>
          </cell>
          <cell r="D33">
            <v>1795</v>
          </cell>
          <cell r="E33" t="str">
            <v>Gramo</v>
          </cell>
          <cell r="F33">
            <v>1.7949999999999999</v>
          </cell>
        </row>
        <row r="34">
          <cell r="A34" t="str">
            <v>0101240</v>
          </cell>
          <cell r="B34" t="str">
            <v>ZANAHORIA ENTERA</v>
          </cell>
          <cell r="C34" t="str">
            <v>KILO</v>
          </cell>
          <cell r="D34">
            <v>600</v>
          </cell>
          <cell r="E34" t="str">
            <v>Gramo</v>
          </cell>
          <cell r="F34">
            <v>0.6</v>
          </cell>
        </row>
        <row r="35">
          <cell r="A35" t="str">
            <v>0101241</v>
          </cell>
          <cell r="B35" t="str">
            <v>ZANAHORIA PICADA (PAQ=1 KILO)</v>
          </cell>
          <cell r="C35" t="str">
            <v>KILO</v>
          </cell>
          <cell r="D35">
            <v>995</v>
          </cell>
          <cell r="E35" t="str">
            <v>Gramo</v>
          </cell>
          <cell r="F35">
            <v>0.995</v>
          </cell>
        </row>
        <row r="36">
          <cell r="A36" t="str">
            <v>0101242</v>
          </cell>
          <cell r="B36" t="str">
            <v>PAPA PARA TAMAL (KILO)</v>
          </cell>
          <cell r="C36" t="str">
            <v>KILO</v>
          </cell>
          <cell r="D36">
            <v>2630.7</v>
          </cell>
          <cell r="E36" t="str">
            <v>Gramo</v>
          </cell>
          <cell r="F36">
            <v>2.6307</v>
          </cell>
        </row>
        <row r="37">
          <cell r="A37" t="str">
            <v>0101248</v>
          </cell>
          <cell r="B37" t="str">
            <v>ZUQUINI GRANEL (KILO)</v>
          </cell>
          <cell r="C37" t="str">
            <v>KILO</v>
          </cell>
          <cell r="D37">
            <v>1150</v>
          </cell>
          <cell r="E37" t="str">
            <v>Gramo</v>
          </cell>
          <cell r="F37">
            <v>1.1499999999999999</v>
          </cell>
        </row>
        <row r="38">
          <cell r="A38" t="str">
            <v>0101255</v>
          </cell>
          <cell r="B38" t="str">
            <v>HIGOS EN ALMIBAR KILO</v>
          </cell>
          <cell r="C38" t="str">
            <v>KILO</v>
          </cell>
          <cell r="D38">
            <v>2500</v>
          </cell>
          <cell r="E38" t="str">
            <v>Gramo</v>
          </cell>
          <cell r="F38">
            <v>2.5</v>
          </cell>
        </row>
        <row r="39">
          <cell r="A39" t="str">
            <v>0101260</v>
          </cell>
          <cell r="B39" t="str">
            <v>ALBAHACA KILO</v>
          </cell>
          <cell r="C39" t="str">
            <v>KILO</v>
          </cell>
          <cell r="D39">
            <v>5059.2879999999996</v>
          </cell>
          <cell r="E39" t="str">
            <v>Gramo</v>
          </cell>
          <cell r="F39">
            <v>5.0592879999999996</v>
          </cell>
        </row>
        <row r="40">
          <cell r="A40" t="str">
            <v>0110060</v>
          </cell>
          <cell r="B40" t="str">
            <v>PULPA DE TAMARINDO (250g)</v>
          </cell>
          <cell r="C40" t="str">
            <v>KILO</v>
          </cell>
          <cell r="D40">
            <v>1499.9760000000001</v>
          </cell>
          <cell r="E40" t="str">
            <v>Gramo</v>
          </cell>
          <cell r="F40">
            <v>1.4999760000000002</v>
          </cell>
        </row>
        <row r="41">
          <cell r="A41" t="str">
            <v>0110070</v>
          </cell>
          <cell r="B41" t="str">
            <v>MORA KG</v>
          </cell>
          <cell r="C41" t="str">
            <v>KILO</v>
          </cell>
          <cell r="D41">
            <v>2139.4499999999998</v>
          </cell>
          <cell r="E41" t="str">
            <v>Gramo</v>
          </cell>
          <cell r="F41">
            <v>2.1394499999999996</v>
          </cell>
        </row>
        <row r="42">
          <cell r="A42" t="str">
            <v>0110071</v>
          </cell>
          <cell r="B42" t="str">
            <v>ARANDANOS CONGELADOS (PAQ=2.26 Kg)</v>
          </cell>
          <cell r="C42" t="str">
            <v>KILO</v>
          </cell>
          <cell r="D42">
            <v>3891.91</v>
          </cell>
          <cell r="E42" t="str">
            <v>Gramo</v>
          </cell>
          <cell r="F42">
            <v>3.8919099999999998</v>
          </cell>
        </row>
        <row r="43">
          <cell r="A43" t="str">
            <v>0110086</v>
          </cell>
          <cell r="B43" t="str">
            <v>TOMILLO FRESCO KILO</v>
          </cell>
          <cell r="C43" t="str">
            <v>KILO</v>
          </cell>
          <cell r="D43">
            <v>5499.9840000000004</v>
          </cell>
          <cell r="E43" t="str">
            <v>Gramo</v>
          </cell>
          <cell r="F43">
            <v>5.4999840000000004</v>
          </cell>
        </row>
        <row r="44">
          <cell r="A44" t="str">
            <v>0110090</v>
          </cell>
          <cell r="B44" t="str">
            <v>MARACUYA SEMILLAS (KILO)</v>
          </cell>
          <cell r="C44" t="str">
            <v>KILO</v>
          </cell>
          <cell r="D44">
            <v>3194.4029999999998</v>
          </cell>
          <cell r="E44" t="str">
            <v>Gramo</v>
          </cell>
          <cell r="F44">
            <v>3.1944029999999999</v>
          </cell>
        </row>
        <row r="45">
          <cell r="A45" t="str">
            <v>0210049</v>
          </cell>
          <cell r="B45" t="str">
            <v>PEPERONI (KILO)</v>
          </cell>
          <cell r="C45" t="str">
            <v>KILO</v>
          </cell>
          <cell r="D45">
            <v>8459.143</v>
          </cell>
          <cell r="E45" t="str">
            <v>Gramo</v>
          </cell>
          <cell r="F45">
            <v>8.4591429999999992</v>
          </cell>
        </row>
        <row r="46">
          <cell r="A46" t="str">
            <v>0210058</v>
          </cell>
          <cell r="B46" t="str">
            <v>CARNE OSOBUCO PICADO (KILO)</v>
          </cell>
          <cell r="C46" t="str">
            <v>KILO</v>
          </cell>
          <cell r="D46">
            <v>2195</v>
          </cell>
          <cell r="E46" t="str">
            <v>Gramo</v>
          </cell>
          <cell r="F46">
            <v>2.1949999999999998</v>
          </cell>
        </row>
        <row r="47">
          <cell r="A47" t="str">
            <v>0210060</v>
          </cell>
          <cell r="B47" t="str">
            <v>CHORIZO ( KILO )</v>
          </cell>
          <cell r="C47" t="str">
            <v>KILO</v>
          </cell>
          <cell r="D47">
            <v>2195</v>
          </cell>
          <cell r="E47" t="str">
            <v>Gramo</v>
          </cell>
          <cell r="F47">
            <v>2.1949999999999998</v>
          </cell>
        </row>
        <row r="48">
          <cell r="A48" t="str">
            <v>0210069</v>
          </cell>
          <cell r="B48" t="str">
            <v>CARNE MOLIDA RES ESPECIAL (PAQ=5 KILOS)</v>
          </cell>
          <cell r="C48" t="str">
            <v>KILO</v>
          </cell>
          <cell r="D48">
            <v>3150</v>
          </cell>
          <cell r="E48" t="str">
            <v>Gramo</v>
          </cell>
          <cell r="F48">
            <v>3.15</v>
          </cell>
        </row>
        <row r="49">
          <cell r="A49" t="str">
            <v>0210070</v>
          </cell>
          <cell r="B49" t="str">
            <v>PECHUGA FILET S/ PIEL Y S/ GRASA</v>
          </cell>
          <cell r="C49" t="str">
            <v>KILO</v>
          </cell>
          <cell r="D49">
            <v>2650.0169999999998</v>
          </cell>
          <cell r="E49" t="str">
            <v>Gramo</v>
          </cell>
          <cell r="F49">
            <v>2.6500169999999996</v>
          </cell>
        </row>
        <row r="50">
          <cell r="A50" t="str">
            <v>0210073</v>
          </cell>
          <cell r="B50" t="str">
            <v>JAMON DE COCIDO  (500G)</v>
          </cell>
          <cell r="C50" t="str">
            <v>KILO</v>
          </cell>
          <cell r="D50">
            <v>4107.0479999999998</v>
          </cell>
          <cell r="E50" t="str">
            <v>Gramo</v>
          </cell>
          <cell r="F50">
            <v>4.1070479999999998</v>
          </cell>
        </row>
        <row r="51">
          <cell r="A51" t="str">
            <v>0210091</v>
          </cell>
          <cell r="B51" t="str">
            <v>TOCINETA(PAQ=1 KILO)</v>
          </cell>
          <cell r="C51" t="str">
            <v>KILO</v>
          </cell>
          <cell r="D51">
            <v>4991</v>
          </cell>
          <cell r="E51" t="str">
            <v>Gramo</v>
          </cell>
          <cell r="F51">
            <v>4.9909999999999997</v>
          </cell>
        </row>
        <row r="52">
          <cell r="A52" t="str">
            <v>0210096</v>
          </cell>
          <cell r="B52" t="str">
            <v>POSTA DE CERDO KILO</v>
          </cell>
          <cell r="C52" t="str">
            <v>KILO</v>
          </cell>
          <cell r="D52">
            <v>2993.1</v>
          </cell>
          <cell r="E52" t="str">
            <v>Gramo</v>
          </cell>
          <cell r="F52">
            <v>2.9931000000000001</v>
          </cell>
        </row>
        <row r="53">
          <cell r="A53" t="str">
            <v>0210117</v>
          </cell>
          <cell r="B53" t="str">
            <v>RECORTE FILET Nº1358</v>
          </cell>
          <cell r="C53" t="str">
            <v>KILO</v>
          </cell>
          <cell r="D53">
            <v>1980.002</v>
          </cell>
          <cell r="E53" t="str">
            <v>Gramo</v>
          </cell>
          <cell r="F53">
            <v>1.980002</v>
          </cell>
        </row>
        <row r="54">
          <cell r="A54" t="str">
            <v>210892</v>
          </cell>
          <cell r="B54" t="str">
            <v>MANO DE PIEDRA (KILO)</v>
          </cell>
          <cell r="C54" t="str">
            <v>KILO</v>
          </cell>
          <cell r="D54">
            <v>3950</v>
          </cell>
          <cell r="E54" t="str">
            <v>Gramo</v>
          </cell>
          <cell r="F54">
            <v>3.95</v>
          </cell>
        </row>
        <row r="55">
          <cell r="A55" t="str">
            <v>210893</v>
          </cell>
          <cell r="B55" t="str">
            <v>ROAST BEEF CASTILLO (PAQ. 3 KILOS)</v>
          </cell>
          <cell r="C55" t="str">
            <v>KILO</v>
          </cell>
          <cell r="D55">
            <v>8595</v>
          </cell>
          <cell r="E55" t="str">
            <v>Gramo</v>
          </cell>
          <cell r="F55">
            <v>8.5950000000000006</v>
          </cell>
        </row>
        <row r="56">
          <cell r="A56" t="str">
            <v>210894</v>
          </cell>
          <cell r="B56" t="str">
            <v>TORTA DESAYUNO CERDO</v>
          </cell>
          <cell r="C56" t="str">
            <v>KILO</v>
          </cell>
          <cell r="D56">
            <v>5874.86</v>
          </cell>
          <cell r="E56" t="str">
            <v>Gramo</v>
          </cell>
          <cell r="F56">
            <v>5.87486</v>
          </cell>
        </row>
        <row r="57">
          <cell r="A57" t="str">
            <v>0212254</v>
          </cell>
          <cell r="B57" t="str">
            <v>MANTECA DE CERDO(PAQ=1 KILO)</v>
          </cell>
          <cell r="C57" t="str">
            <v>KILO</v>
          </cell>
          <cell r="D57">
            <v>1545.001</v>
          </cell>
          <cell r="E57" t="str">
            <v>Gramo</v>
          </cell>
          <cell r="F57">
            <v>1.5450010000000001</v>
          </cell>
        </row>
        <row r="58">
          <cell r="A58" t="str">
            <v>0212274</v>
          </cell>
          <cell r="B58" t="str">
            <v>PECHUGA DE PAVO 250 GR</v>
          </cell>
          <cell r="C58" t="str">
            <v>KILO</v>
          </cell>
          <cell r="D58">
            <v>674.5</v>
          </cell>
          <cell r="E58" t="str">
            <v>Gramo</v>
          </cell>
          <cell r="F58">
            <v>0.67449999999999999</v>
          </cell>
        </row>
        <row r="59">
          <cell r="A59" t="str">
            <v>0310087</v>
          </cell>
          <cell r="B59" t="str">
            <v>LECHE CONDENSADA MI SABOR (PAQ=20KG)</v>
          </cell>
          <cell r="C59" t="str">
            <v>PAQ</v>
          </cell>
          <cell r="D59">
            <v>27167.185000000001</v>
          </cell>
          <cell r="E59" t="str">
            <v>Gramo</v>
          </cell>
          <cell r="F59">
            <v>1.3583592500000001</v>
          </cell>
        </row>
        <row r="60">
          <cell r="A60" t="str">
            <v>0310092</v>
          </cell>
          <cell r="B60" t="str">
            <v>RIZOS FLOREADOS CHOC. BLANCO (CAJA=4 KILOS)</v>
          </cell>
          <cell r="C60" t="str">
            <v>KILO</v>
          </cell>
          <cell r="D60">
            <v>9725</v>
          </cell>
          <cell r="E60" t="str">
            <v>Gramo</v>
          </cell>
          <cell r="F60">
            <v>9.7249999999999996</v>
          </cell>
        </row>
        <row r="61">
          <cell r="A61" t="str">
            <v>0310093</v>
          </cell>
          <cell r="B61" t="str">
            <v>RIZOS FLOREADOS CHOC. OSCURO (CAJA=4 KILOS)</v>
          </cell>
          <cell r="C61" t="str">
            <v>KILO</v>
          </cell>
          <cell r="D61">
            <v>8683.65</v>
          </cell>
          <cell r="E61" t="str">
            <v>Gramo</v>
          </cell>
          <cell r="F61">
            <v>8.6836500000000001</v>
          </cell>
        </row>
        <row r="62">
          <cell r="A62" t="str">
            <v>0310094</v>
          </cell>
          <cell r="B62" t="str">
            <v>BARRA CHOCOLATE COOKIES AND CREAM (BARRA=184g)</v>
          </cell>
          <cell r="C62" t="str">
            <v>KILO</v>
          </cell>
          <cell r="D62">
            <v>6728.2439999999997</v>
          </cell>
          <cell r="E62" t="str">
            <v>Gramo</v>
          </cell>
          <cell r="F62">
            <v>6.7282440000000001</v>
          </cell>
        </row>
        <row r="63">
          <cell r="A63" t="str">
            <v>0310096</v>
          </cell>
          <cell r="B63" t="str">
            <v>CREMA LUSTRE NATA (4KILO)</v>
          </cell>
          <cell r="C63" t="str">
            <v>KILO</v>
          </cell>
          <cell r="D63">
            <v>1818.5</v>
          </cell>
          <cell r="E63" t="str">
            <v>Gramo</v>
          </cell>
          <cell r="F63">
            <v>1.8185</v>
          </cell>
        </row>
        <row r="64">
          <cell r="A64" t="str">
            <v>0310099</v>
          </cell>
          <cell r="B64" t="str">
            <v>CREMA DULCE (3.6 KILOS)</v>
          </cell>
          <cell r="C64" t="str">
            <v>LITRO</v>
          </cell>
          <cell r="D64">
            <v>1723.807</v>
          </cell>
          <cell r="E64" t="str">
            <v>Mililitro</v>
          </cell>
          <cell r="F64">
            <v>1.7238070000000001</v>
          </cell>
        </row>
        <row r="65">
          <cell r="A65" t="str">
            <v>0310107</v>
          </cell>
          <cell r="B65" t="str">
            <v>LACTOCREMA GRANEL ( 25KG )</v>
          </cell>
          <cell r="C65" t="str">
            <v>KILO</v>
          </cell>
          <cell r="D65">
            <v>3043.268</v>
          </cell>
          <cell r="E65" t="str">
            <v>Gramo</v>
          </cell>
          <cell r="F65">
            <v>3.0432679999999999</v>
          </cell>
        </row>
        <row r="66">
          <cell r="A66" t="str">
            <v>0310108</v>
          </cell>
          <cell r="B66" t="str">
            <v>LECHE HOMOGENIZADA TB 3.5%  (1  Litro)</v>
          </cell>
          <cell r="C66" t="str">
            <v>LITRO</v>
          </cell>
          <cell r="D66">
            <v>647.96699999999998</v>
          </cell>
          <cell r="E66" t="str">
            <v>Mililitro</v>
          </cell>
          <cell r="F66">
            <v>0.64796699999999996</v>
          </cell>
        </row>
        <row r="67">
          <cell r="A67" t="str">
            <v>0310112</v>
          </cell>
          <cell r="B67" t="str">
            <v>QUESO PRADO RICO REBANADO ( 2.3 KG )</v>
          </cell>
          <cell r="C67" t="str">
            <v>KILO</v>
          </cell>
          <cell r="D67">
            <v>5162.3999999999996</v>
          </cell>
          <cell r="E67" t="str">
            <v>Gramo</v>
          </cell>
          <cell r="F67">
            <v>5.1623999999999999</v>
          </cell>
        </row>
        <row r="68">
          <cell r="A68" t="str">
            <v>0310115</v>
          </cell>
          <cell r="B68" t="str">
            <v>QUESO CHEDDAR BLOCK (2 kg)</v>
          </cell>
          <cell r="C68" t="str">
            <v>KILO</v>
          </cell>
          <cell r="D68">
            <v>8854.5010000000002</v>
          </cell>
          <cell r="E68" t="str">
            <v>Gramo</v>
          </cell>
          <cell r="F68">
            <v>8.8545010000000008</v>
          </cell>
        </row>
        <row r="69">
          <cell r="A69" t="str">
            <v>0310116</v>
          </cell>
          <cell r="B69" t="str">
            <v>QUESO PARMERSANO (KILO)</v>
          </cell>
          <cell r="C69" t="str">
            <v>KILO</v>
          </cell>
          <cell r="D69">
            <v>9871.2819999999992</v>
          </cell>
          <cell r="E69" t="str">
            <v>Gramo</v>
          </cell>
          <cell r="F69">
            <v>9.871281999999999</v>
          </cell>
        </row>
        <row r="70">
          <cell r="A70" t="str">
            <v>0310120</v>
          </cell>
          <cell r="B70" t="str">
            <v>QUESO RICOTTA (500 g)</v>
          </cell>
          <cell r="C70" t="str">
            <v>KILO</v>
          </cell>
          <cell r="D70">
            <v>4848.4369999999999</v>
          </cell>
          <cell r="E70" t="str">
            <v>Gramo</v>
          </cell>
          <cell r="F70">
            <v>4.8484369999999997</v>
          </cell>
        </row>
        <row r="71">
          <cell r="A71" t="str">
            <v>0310122</v>
          </cell>
          <cell r="B71" t="str">
            <v>YOGURTH IN LINE NAT ( 500 GR )</v>
          </cell>
          <cell r="C71" t="str">
            <v>KILO</v>
          </cell>
          <cell r="D71">
            <v>1866.454</v>
          </cell>
          <cell r="E71" t="str">
            <v>Gramo</v>
          </cell>
          <cell r="F71">
            <v>1.8664540000000001</v>
          </cell>
        </row>
        <row r="72">
          <cell r="A72" t="str">
            <v>0310143</v>
          </cell>
          <cell r="B72" t="str">
            <v>DULCE DE LECHE SUAVE F2 ( 5 KG )</v>
          </cell>
          <cell r="C72" t="str">
            <v>KILO</v>
          </cell>
          <cell r="D72">
            <v>1359.981</v>
          </cell>
          <cell r="E72" t="str">
            <v>Gramo</v>
          </cell>
          <cell r="F72">
            <v>1.3599809999999999</v>
          </cell>
        </row>
        <row r="73">
          <cell r="A73" t="str">
            <v>0310145</v>
          </cell>
          <cell r="B73" t="str">
            <v>LECHE POLVO INDUSTRIAL ( 25 KG )</v>
          </cell>
          <cell r="C73" t="str">
            <v>KILO</v>
          </cell>
          <cell r="D73">
            <v>2636.6610000000001</v>
          </cell>
          <cell r="E73" t="str">
            <v>Gramo</v>
          </cell>
          <cell r="F73">
            <v>2.6366610000000001</v>
          </cell>
        </row>
        <row r="74">
          <cell r="A74" t="str">
            <v>0310146</v>
          </cell>
          <cell r="B74" t="str">
            <v>QUESO CREMA ( 3.6 Kg )</v>
          </cell>
          <cell r="C74" t="str">
            <v>KILO</v>
          </cell>
          <cell r="D74">
            <v>2900.4119999999998</v>
          </cell>
          <cell r="E74" t="str">
            <v>Gramo</v>
          </cell>
          <cell r="F74">
            <v>2.9004119999999998</v>
          </cell>
        </row>
        <row r="75">
          <cell r="A75" t="str">
            <v>0310147</v>
          </cell>
          <cell r="B75" t="str">
            <v>CREMA BETTERCREAM DOBLE CHOCO 4K</v>
          </cell>
          <cell r="C75" t="str">
            <v>KILO</v>
          </cell>
          <cell r="D75">
            <v>2066.261</v>
          </cell>
          <cell r="E75" t="str">
            <v>Gramo</v>
          </cell>
          <cell r="F75">
            <v>2.0662609999999999</v>
          </cell>
        </row>
        <row r="76">
          <cell r="A76" t="str">
            <v>0310148</v>
          </cell>
          <cell r="B76" t="str">
            <v>BETTERCREME SUPREMO 4K</v>
          </cell>
          <cell r="C76" t="str">
            <v>KILO</v>
          </cell>
          <cell r="D76">
            <v>1768.75</v>
          </cell>
          <cell r="E76" t="str">
            <v>Gramo</v>
          </cell>
          <cell r="F76">
            <v>1.76875</v>
          </cell>
        </row>
        <row r="77">
          <cell r="A77" t="str">
            <v>0310151</v>
          </cell>
          <cell r="B77" t="str">
            <v>CREMA BETTER DULCE LECHE RICHS  ( 4 KILO )</v>
          </cell>
          <cell r="C77" t="str">
            <v>KILO</v>
          </cell>
          <cell r="D77">
            <v>2135.5</v>
          </cell>
          <cell r="E77" t="str">
            <v>Gramo</v>
          </cell>
          <cell r="F77">
            <v>2.1355</v>
          </cell>
        </row>
        <row r="78">
          <cell r="A78" t="str">
            <v>0310156</v>
          </cell>
          <cell r="B78" t="str">
            <v>BETTERCREAM CHOCOLATE (CAJA=4 Kg)</v>
          </cell>
          <cell r="C78" t="str">
            <v>KILO</v>
          </cell>
          <cell r="D78">
            <v>1918.0050000000001</v>
          </cell>
          <cell r="E78" t="str">
            <v>Gramo</v>
          </cell>
          <cell r="F78">
            <v>1.9180050000000002</v>
          </cell>
        </row>
        <row r="79">
          <cell r="A79" t="str">
            <v>0310194</v>
          </cell>
          <cell r="B79" t="str">
            <v>MERENGUE HY VOL ( 2.05 KG )</v>
          </cell>
          <cell r="C79" t="str">
            <v>KILO</v>
          </cell>
          <cell r="D79">
            <v>9031.2199999999993</v>
          </cell>
          <cell r="E79" t="str">
            <v>Gramo</v>
          </cell>
          <cell r="F79">
            <v>9.0312199999999994</v>
          </cell>
        </row>
        <row r="80">
          <cell r="A80" t="str">
            <v>310202</v>
          </cell>
          <cell r="B80" t="str">
            <v>QUESO MONTERREY JACK (KILO)</v>
          </cell>
          <cell r="C80" t="str">
            <v>KILO</v>
          </cell>
          <cell r="D80">
            <v>6479.5680000000002</v>
          </cell>
          <cell r="E80" t="str">
            <v>Gramo</v>
          </cell>
          <cell r="F80">
            <v>6.4795680000000004</v>
          </cell>
        </row>
        <row r="81">
          <cell r="A81" t="str">
            <v>310203</v>
          </cell>
          <cell r="B81" t="str">
            <v>QUESO CHEDDAR BLANCO (KILO)</v>
          </cell>
          <cell r="C81" t="str">
            <v>KILO</v>
          </cell>
          <cell r="D81">
            <v>8864.7129999999997</v>
          </cell>
          <cell r="E81" t="str">
            <v>Gramo</v>
          </cell>
          <cell r="F81">
            <v>8.8647130000000001</v>
          </cell>
        </row>
        <row r="82">
          <cell r="A82" t="str">
            <v>310204</v>
          </cell>
          <cell r="B82" t="str">
            <v>QUESO GOUDA BARRA</v>
          </cell>
          <cell r="C82" t="str">
            <v>KILO</v>
          </cell>
          <cell r="D82">
            <v>6639.44</v>
          </cell>
          <cell r="E82" t="str">
            <v>Gramo</v>
          </cell>
          <cell r="F82">
            <v>6.6394399999999996</v>
          </cell>
        </row>
        <row r="83">
          <cell r="A83" t="str">
            <v>310205</v>
          </cell>
          <cell r="B83" t="str">
            <v>QUESO FETA (200 GRMS)</v>
          </cell>
          <cell r="C83" t="str">
            <v>KILO</v>
          </cell>
          <cell r="D83">
            <v>13482.45</v>
          </cell>
          <cell r="E83" t="str">
            <v>Gramo</v>
          </cell>
          <cell r="F83">
            <v>13.48245</v>
          </cell>
        </row>
        <row r="84">
          <cell r="A84" t="str">
            <v>310207</v>
          </cell>
          <cell r="B84" t="str">
            <v>LECHE EN POLVO DESCREMADA ( 1.5 k)</v>
          </cell>
          <cell r="C84" t="str">
            <v>KILO</v>
          </cell>
          <cell r="D84">
            <v>6405.616</v>
          </cell>
          <cell r="E84" t="str">
            <v>Gramo</v>
          </cell>
          <cell r="F84">
            <v>6.4056160000000002</v>
          </cell>
        </row>
        <row r="85">
          <cell r="A85" t="str">
            <v>310216</v>
          </cell>
          <cell r="B85" t="str">
            <v>QUESO CABRA BIA MONTE KILO</v>
          </cell>
          <cell r="C85" t="str">
            <v>KILO</v>
          </cell>
          <cell r="D85">
            <v>3560</v>
          </cell>
          <cell r="E85" t="str">
            <v>Gramo</v>
          </cell>
          <cell r="F85">
            <v>3.56</v>
          </cell>
        </row>
        <row r="86">
          <cell r="A86" t="str">
            <v>310217</v>
          </cell>
          <cell r="B86" t="str">
            <v>QUESO AZUL EN TROZOS</v>
          </cell>
          <cell r="C86" t="str">
            <v>KILO</v>
          </cell>
          <cell r="D86">
            <v>4132.9560000000001</v>
          </cell>
          <cell r="E86" t="str">
            <v>Gramo</v>
          </cell>
          <cell r="F86">
            <v>4.1329560000000001</v>
          </cell>
        </row>
        <row r="87">
          <cell r="A87" t="str">
            <v>310218</v>
          </cell>
          <cell r="B87" t="str">
            <v>LA LECHERA TRES LECHES (1 LITRO)</v>
          </cell>
          <cell r="C87" t="str">
            <v>LITRO</v>
          </cell>
          <cell r="D87">
            <v>2233.25</v>
          </cell>
          <cell r="E87" t="str">
            <v>Mililitro</v>
          </cell>
          <cell r="F87">
            <v>2.23325</v>
          </cell>
        </row>
        <row r="88">
          <cell r="A88" t="str">
            <v>310219</v>
          </cell>
          <cell r="B88" t="str">
            <v>DOCELLO MOUSSE CHOCOLATE</v>
          </cell>
          <cell r="C88" t="str">
            <v>KILO</v>
          </cell>
          <cell r="D88">
            <v>10522.987999999999</v>
          </cell>
          <cell r="E88" t="str">
            <v>Gramo</v>
          </cell>
          <cell r="F88">
            <v>10.522988</v>
          </cell>
        </row>
        <row r="89">
          <cell r="A89" t="str">
            <v>310220</v>
          </cell>
          <cell r="B89" t="str">
            <v>DOCELLO TIRAMISU 400G</v>
          </cell>
          <cell r="C89" t="str">
            <v>KILO</v>
          </cell>
          <cell r="D89">
            <v>10252.477999999999</v>
          </cell>
          <cell r="E89" t="str">
            <v>Gramo</v>
          </cell>
          <cell r="F89">
            <v>10.252478</v>
          </cell>
        </row>
        <row r="90">
          <cell r="A90" t="str">
            <v>0312250</v>
          </cell>
          <cell r="B90" t="str">
            <v>MEZCLA BEBIDA MARACUYA (946ML)</v>
          </cell>
          <cell r="C90" t="str">
            <v>LITRO</v>
          </cell>
          <cell r="D90">
            <v>3229.4760000000001</v>
          </cell>
          <cell r="E90" t="str">
            <v>Mililitro</v>
          </cell>
          <cell r="F90">
            <v>3.229476</v>
          </cell>
        </row>
        <row r="91">
          <cell r="A91" t="str">
            <v>0312278</v>
          </cell>
          <cell r="B91" t="str">
            <v>LECHE ESTANDAR DE 10 LITROS</v>
          </cell>
          <cell r="C91" t="str">
            <v>LITRO</v>
          </cell>
          <cell r="D91">
            <v>473.80099999999999</v>
          </cell>
          <cell r="E91" t="str">
            <v>Mililitro</v>
          </cell>
          <cell r="F91">
            <v>0.47380099999999997</v>
          </cell>
        </row>
        <row r="92">
          <cell r="A92" t="str">
            <v>0312302</v>
          </cell>
          <cell r="B92" t="str">
            <v>HOJA DE LAUREL TONES (57g)</v>
          </cell>
          <cell r="C92" t="str">
            <v>KILO</v>
          </cell>
          <cell r="D92">
            <v>82003.491999999998</v>
          </cell>
          <cell r="E92" t="str">
            <v>Gramo</v>
          </cell>
          <cell r="F92">
            <v>82.003491999999994</v>
          </cell>
        </row>
        <row r="93">
          <cell r="A93" t="str">
            <v>0312303</v>
          </cell>
          <cell r="B93" t="str">
            <v>QUESO AZUL DANES ( 2.74 KG )</v>
          </cell>
          <cell r="C93" t="str">
            <v>KILO</v>
          </cell>
          <cell r="D93">
            <v>21214.100999999999</v>
          </cell>
          <cell r="E93" t="str">
            <v>Gramo</v>
          </cell>
          <cell r="F93">
            <v>21.214100999999999</v>
          </cell>
        </row>
        <row r="94">
          <cell r="A94" t="str">
            <v>0410110</v>
          </cell>
          <cell r="B94" t="str">
            <v>RELLENO  MELOC. BUCCA ( KILO )</v>
          </cell>
          <cell r="C94" t="str">
            <v>KILO</v>
          </cell>
          <cell r="D94">
            <v>2033</v>
          </cell>
          <cell r="E94" t="str">
            <v>Gramo</v>
          </cell>
          <cell r="F94">
            <v>2.0329999999999999</v>
          </cell>
        </row>
        <row r="95">
          <cell r="A95" t="str">
            <v>0410118</v>
          </cell>
          <cell r="B95" t="str">
            <v>BRILLO GLIT (CUBETA=5 KILOS)</v>
          </cell>
          <cell r="C95" t="str">
            <v>KILO</v>
          </cell>
          <cell r="D95">
            <v>1763.056</v>
          </cell>
          <cell r="E95" t="str">
            <v>Gramo</v>
          </cell>
          <cell r="F95">
            <v>1.763056</v>
          </cell>
        </row>
        <row r="96">
          <cell r="A96" t="str">
            <v>0410125</v>
          </cell>
          <cell r="B96" t="str">
            <v>RELLENO DE FRUTAS EXOTICAS ( KILO )</v>
          </cell>
          <cell r="C96" t="str">
            <v>KILO</v>
          </cell>
          <cell r="D96">
            <v>2271.9989999999998</v>
          </cell>
          <cell r="E96" t="str">
            <v>Gramo</v>
          </cell>
          <cell r="F96">
            <v>2.2719989999999997</v>
          </cell>
        </row>
        <row r="97">
          <cell r="A97" t="str">
            <v>0410127</v>
          </cell>
          <cell r="B97" t="str">
            <v>CREMA PASTELERA ( KILO )</v>
          </cell>
          <cell r="C97" t="str">
            <v>KILO</v>
          </cell>
          <cell r="D97">
            <v>1946.8520000000001</v>
          </cell>
          <cell r="E97" t="str">
            <v>Gramo</v>
          </cell>
          <cell r="F97">
            <v>1.946852</v>
          </cell>
        </row>
        <row r="98">
          <cell r="A98" t="str">
            <v>0410133</v>
          </cell>
          <cell r="B98" t="str">
            <v>RELLENO ORANGE FRUIT -O (12 L)</v>
          </cell>
          <cell r="C98" t="str">
            <v>KILO</v>
          </cell>
          <cell r="D98">
            <v>3771.3969999999999</v>
          </cell>
          <cell r="E98" t="str">
            <v>Gramo</v>
          </cell>
          <cell r="F98">
            <v>3.7713969999999999</v>
          </cell>
        </row>
        <row r="99">
          <cell r="A99" t="str">
            <v>0410137</v>
          </cell>
          <cell r="B99" t="str">
            <v>JALEA FRESA ( 5 KG )</v>
          </cell>
          <cell r="C99" t="str">
            <v>KILO</v>
          </cell>
          <cell r="D99">
            <v>1468.2</v>
          </cell>
          <cell r="E99" t="str">
            <v>Gramo</v>
          </cell>
          <cell r="F99">
            <v>1.4681999999999999</v>
          </cell>
        </row>
        <row r="100">
          <cell r="A100" t="str">
            <v>0410139</v>
          </cell>
          <cell r="B100" t="str">
            <v>MIRROIR PASTRY GLAZE BRILLO</v>
          </cell>
          <cell r="C100" t="str">
            <v>KILO</v>
          </cell>
          <cell r="D100">
            <v>3715.7139999999999</v>
          </cell>
          <cell r="E100" t="str">
            <v>Gramo</v>
          </cell>
          <cell r="F100">
            <v>3.7157139999999997</v>
          </cell>
        </row>
        <row r="101">
          <cell r="A101" t="str">
            <v>0410144</v>
          </cell>
          <cell r="B101" t="str">
            <v>RELLENO LIMON (KILO)</v>
          </cell>
          <cell r="C101" t="str">
            <v>KILO</v>
          </cell>
          <cell r="D101">
            <v>2336.91</v>
          </cell>
          <cell r="E101" t="str">
            <v>Gramo</v>
          </cell>
          <cell r="F101">
            <v>2.33691</v>
          </cell>
        </row>
        <row r="102">
          <cell r="A102" t="str">
            <v>0410151</v>
          </cell>
          <cell r="B102" t="str">
            <v>RELLENO FUDGE  (KILO)</v>
          </cell>
          <cell r="C102" t="str">
            <v>KILO</v>
          </cell>
          <cell r="D102">
            <v>3401.4740000000002</v>
          </cell>
          <cell r="E102" t="str">
            <v>Gramo</v>
          </cell>
          <cell r="F102">
            <v>3.4014740000000003</v>
          </cell>
        </row>
        <row r="103">
          <cell r="A103" t="str">
            <v>0410152</v>
          </cell>
          <cell r="B103" t="str">
            <v>RELLENO MELOCOTON (KILO)</v>
          </cell>
          <cell r="C103" t="str">
            <v>KILO</v>
          </cell>
          <cell r="D103">
            <v>2391.4319999999998</v>
          </cell>
          <cell r="E103" t="str">
            <v>Gramo</v>
          </cell>
          <cell r="F103">
            <v>2.391432</v>
          </cell>
        </row>
        <row r="104">
          <cell r="A104" t="str">
            <v>0410153</v>
          </cell>
          <cell r="B104" t="str">
            <v>TOOPING DE MELOCOTON KILO</v>
          </cell>
          <cell r="C104" t="str">
            <v>KILO</v>
          </cell>
          <cell r="D104">
            <v>1970.001</v>
          </cell>
          <cell r="E104" t="str">
            <v>Gramo</v>
          </cell>
          <cell r="F104">
            <v>1.9700009999999999</v>
          </cell>
        </row>
        <row r="105">
          <cell r="A105" t="str">
            <v>0410154</v>
          </cell>
          <cell r="B105" t="str">
            <v>RELLENO CARAMELO KILO</v>
          </cell>
          <cell r="C105" t="str">
            <v>KILO</v>
          </cell>
          <cell r="D105">
            <v>3165.7829999999999</v>
          </cell>
          <cell r="E105" t="str">
            <v>Gramo</v>
          </cell>
          <cell r="F105">
            <v>3.1657829999999998</v>
          </cell>
        </row>
        <row r="106">
          <cell r="A106" t="str">
            <v>0410172</v>
          </cell>
          <cell r="B106" t="str">
            <v>RELLENO DE FRESA (KILO)</v>
          </cell>
          <cell r="C106" t="str">
            <v>KILO</v>
          </cell>
          <cell r="D106">
            <v>2397</v>
          </cell>
          <cell r="E106" t="str">
            <v>Gramo</v>
          </cell>
          <cell r="F106">
            <v>2.3969999999999998</v>
          </cell>
        </row>
        <row r="107">
          <cell r="A107" t="str">
            <v>0410173</v>
          </cell>
          <cell r="B107" t="str">
            <v>TOPPING FRESA (KILO)</v>
          </cell>
          <cell r="C107" t="str">
            <v>KILO</v>
          </cell>
          <cell r="D107">
            <v>1860</v>
          </cell>
          <cell r="E107" t="str">
            <v>Gramo</v>
          </cell>
          <cell r="F107">
            <v>1.86</v>
          </cell>
        </row>
        <row r="108">
          <cell r="A108" t="str">
            <v>0410174</v>
          </cell>
          <cell r="B108" t="str">
            <v>RELLENO PIÑA COLADA</v>
          </cell>
          <cell r="C108" t="str">
            <v>KILO</v>
          </cell>
          <cell r="D108">
            <v>1912</v>
          </cell>
          <cell r="E108" t="str">
            <v>Gramo</v>
          </cell>
          <cell r="F108">
            <v>1.9119999999999999</v>
          </cell>
        </row>
        <row r="109">
          <cell r="A109" t="str">
            <v>0410179</v>
          </cell>
          <cell r="B109" t="str">
            <v>RELLENO MARACUYA (KILO)</v>
          </cell>
          <cell r="C109" t="str">
            <v>KILO</v>
          </cell>
          <cell r="D109">
            <v>2862</v>
          </cell>
          <cell r="E109" t="str">
            <v>Gramo</v>
          </cell>
          <cell r="F109">
            <v>2.8620000000000001</v>
          </cell>
        </row>
        <row r="110">
          <cell r="A110" t="str">
            <v>410187</v>
          </cell>
          <cell r="B110" t="str">
            <v>RELLENO  MANGO</v>
          </cell>
          <cell r="C110" t="str">
            <v>KILO</v>
          </cell>
          <cell r="D110">
            <v>2295</v>
          </cell>
          <cell r="E110" t="str">
            <v>Gramo</v>
          </cell>
          <cell r="F110">
            <v>2.2949999999999999</v>
          </cell>
        </row>
        <row r="111">
          <cell r="A111" t="str">
            <v>0410187</v>
          </cell>
          <cell r="B111" t="str">
            <v>RELLENO SALTY CARAMEL</v>
          </cell>
          <cell r="C111" t="str">
            <v>KILO</v>
          </cell>
          <cell r="D111">
            <v>3149.5189999999998</v>
          </cell>
          <cell r="E111" t="str">
            <v>Gramo</v>
          </cell>
          <cell r="F111">
            <v>3.1495189999999997</v>
          </cell>
        </row>
        <row r="112">
          <cell r="A112" t="str">
            <v>0410188</v>
          </cell>
          <cell r="B112" t="str">
            <v>RELLENO DE MANZANA KILO</v>
          </cell>
          <cell r="C112" t="str">
            <v>KILO</v>
          </cell>
          <cell r="D112">
            <v>4114</v>
          </cell>
          <cell r="E112" t="str">
            <v>Gramo</v>
          </cell>
          <cell r="F112">
            <v>4.1139999999999999</v>
          </cell>
        </row>
        <row r="113">
          <cell r="A113" t="str">
            <v>410189</v>
          </cell>
          <cell r="B113" t="str">
            <v>SMUCKERS MERMELADA DE NARANJA (340 gr)</v>
          </cell>
          <cell r="C113" t="str">
            <v>KILO</v>
          </cell>
          <cell r="D113">
            <v>5414.7060000000001</v>
          </cell>
          <cell r="E113" t="str">
            <v>Gramo</v>
          </cell>
          <cell r="F113">
            <v>5.4147059999999998</v>
          </cell>
        </row>
        <row r="114">
          <cell r="A114" t="str">
            <v>410190</v>
          </cell>
          <cell r="B114" t="str">
            <v>MERMELADA NARANJA (4.75 KG)</v>
          </cell>
          <cell r="C114" t="str">
            <v>KILO</v>
          </cell>
          <cell r="D114">
            <v>2470.7139999999999</v>
          </cell>
          <cell r="E114" t="str">
            <v>Gramo</v>
          </cell>
          <cell r="F114">
            <v>2.4707140000000001</v>
          </cell>
        </row>
        <row r="115">
          <cell r="A115" t="str">
            <v>0412304</v>
          </cell>
          <cell r="B115" t="str">
            <v>CHERRY FILLING ( 9 KG )</v>
          </cell>
          <cell r="C115" t="str">
            <v>KILO</v>
          </cell>
          <cell r="D115">
            <v>2714.0839999999998</v>
          </cell>
          <cell r="E115" t="str">
            <v>Gramo</v>
          </cell>
          <cell r="F115">
            <v>2.7140839999999997</v>
          </cell>
        </row>
        <row r="116">
          <cell r="A116" t="str">
            <v>0412306</v>
          </cell>
          <cell r="B116" t="str">
            <v>CREMA PRESTIGE GRAND (4 LITROS)</v>
          </cell>
          <cell r="C116" t="str">
            <v>LITRO</v>
          </cell>
          <cell r="D116">
            <v>1611.0050000000001</v>
          </cell>
          <cell r="E116" t="str">
            <v>Mililitro</v>
          </cell>
          <cell r="F116">
            <v>1.611005</v>
          </cell>
        </row>
        <row r="117">
          <cell r="A117" t="str">
            <v>0510103</v>
          </cell>
          <cell r="B117" t="str">
            <v>PREMEZCLA CHOCOMIX (BULTO=10 KILO)</v>
          </cell>
          <cell r="C117" t="str">
            <v>KILO</v>
          </cell>
          <cell r="D117">
            <v>1270</v>
          </cell>
          <cell r="E117" t="str">
            <v>Gramo</v>
          </cell>
          <cell r="F117">
            <v>1.27</v>
          </cell>
        </row>
        <row r="118">
          <cell r="A118" t="str">
            <v>0510107</v>
          </cell>
          <cell r="B118" t="str">
            <v>HARINA HARISOL WINTER (25k)</v>
          </cell>
          <cell r="C118" t="str">
            <v>KILO</v>
          </cell>
          <cell r="D118">
            <v>394.38799999999998</v>
          </cell>
          <cell r="E118" t="str">
            <v>Gramo</v>
          </cell>
          <cell r="F118">
            <v>0.39438799999999996</v>
          </cell>
        </row>
        <row r="119">
          <cell r="A119" t="str">
            <v>0510110</v>
          </cell>
          <cell r="B119" t="str">
            <v>AJONJOLI NEGRO ( 1 kilo )</v>
          </cell>
          <cell r="C119" t="str">
            <v>KILO</v>
          </cell>
          <cell r="D119">
            <v>6232.3969999999999</v>
          </cell>
          <cell r="E119" t="str">
            <v>Gramo</v>
          </cell>
          <cell r="F119">
            <v>6.2323969999999997</v>
          </cell>
        </row>
        <row r="120">
          <cell r="A120" t="str">
            <v>0510143</v>
          </cell>
          <cell r="B120" t="str">
            <v>GLUCOSA (5 KILO)</v>
          </cell>
          <cell r="C120" t="str">
            <v>LITRO</v>
          </cell>
          <cell r="D120">
            <v>4439.45</v>
          </cell>
          <cell r="E120" t="str">
            <v>Mililitro</v>
          </cell>
          <cell r="F120">
            <v>4.4394499999999999</v>
          </cell>
        </row>
        <row r="121">
          <cell r="A121" t="str">
            <v>0510146</v>
          </cell>
          <cell r="B121" t="str">
            <v>AJONJOLI (1 KILO)</v>
          </cell>
          <cell r="C121" t="str">
            <v>KILO</v>
          </cell>
          <cell r="D121">
            <v>1790.7149999999999</v>
          </cell>
          <cell r="E121" t="str">
            <v>Gramo</v>
          </cell>
          <cell r="F121">
            <v>1.7907149999999998</v>
          </cell>
        </row>
        <row r="122">
          <cell r="A122" t="str">
            <v>0510148</v>
          </cell>
          <cell r="B122" t="str">
            <v>ALMENDRA FILETEADA (11,34KG * CAJA)</v>
          </cell>
          <cell r="C122" t="str">
            <v>KILO</v>
          </cell>
          <cell r="D122">
            <v>5781.6049999999996</v>
          </cell>
          <cell r="E122" t="str">
            <v>Gramo</v>
          </cell>
          <cell r="F122">
            <v>5.7816049999999999</v>
          </cell>
        </row>
        <row r="123">
          <cell r="A123" t="str">
            <v>0510149</v>
          </cell>
          <cell r="B123" t="str">
            <v>ALMENDRA ENTERA (CAJAS DE 11.34 KG)</v>
          </cell>
          <cell r="C123" t="str">
            <v>KILO</v>
          </cell>
          <cell r="D123">
            <v>5671.585</v>
          </cell>
          <cell r="E123" t="str">
            <v>Gramo</v>
          </cell>
          <cell r="F123">
            <v>5.6715850000000003</v>
          </cell>
        </row>
        <row r="124">
          <cell r="A124" t="str">
            <v>0510155</v>
          </cell>
          <cell r="B124" t="str">
            <v>AZUCAR GLASS MOLIDA ( 4 KG )</v>
          </cell>
          <cell r="C124" t="str">
            <v>KILO</v>
          </cell>
          <cell r="D124">
            <v>1429.17</v>
          </cell>
          <cell r="E124" t="str">
            <v>Gramo</v>
          </cell>
          <cell r="F124">
            <v>1.4291700000000001</v>
          </cell>
        </row>
        <row r="125">
          <cell r="A125" t="str">
            <v>0510156</v>
          </cell>
          <cell r="B125" t="str">
            <v>AZUCAR MOLIDA ( 1 KG )</v>
          </cell>
          <cell r="C125" t="str">
            <v>KILO</v>
          </cell>
          <cell r="D125">
            <v>1300</v>
          </cell>
          <cell r="E125" t="str">
            <v>Gramo</v>
          </cell>
          <cell r="F125">
            <v>1.3</v>
          </cell>
        </row>
        <row r="126">
          <cell r="A126" t="str">
            <v>0510157</v>
          </cell>
          <cell r="B126" t="str">
            <v>AZUCAR MORENO ( 1 KG )</v>
          </cell>
          <cell r="C126" t="str">
            <v>KILO</v>
          </cell>
          <cell r="D126">
            <v>894.00300000000004</v>
          </cell>
          <cell r="E126" t="str">
            <v>Gramo</v>
          </cell>
          <cell r="F126">
            <v>0.89400299999999999</v>
          </cell>
        </row>
        <row r="127">
          <cell r="A127" t="str">
            <v>0510160</v>
          </cell>
          <cell r="B127" t="str">
            <v>BICARBONATO (454g)</v>
          </cell>
          <cell r="C127" t="str">
            <v>KILO</v>
          </cell>
          <cell r="D127">
            <v>1995.597</v>
          </cell>
          <cell r="E127" t="str">
            <v>Gramo</v>
          </cell>
          <cell r="F127">
            <v>1.9955970000000001</v>
          </cell>
        </row>
        <row r="128">
          <cell r="A128" t="str">
            <v>0510161</v>
          </cell>
          <cell r="B128" t="str">
            <v>BROWNIE MIX MOIST (22.73 KG)</v>
          </cell>
          <cell r="C128" t="str">
            <v>KILO</v>
          </cell>
          <cell r="D128">
            <v>2243.7269999999999</v>
          </cell>
          <cell r="E128" t="str">
            <v>Gramo</v>
          </cell>
          <cell r="F128">
            <v>2.2437269999999998</v>
          </cell>
        </row>
        <row r="129">
          <cell r="A129" t="str">
            <v>0510171</v>
          </cell>
          <cell r="B129" t="str">
            <v>CEREZAS CONFITADAS</v>
          </cell>
          <cell r="C129" t="str">
            <v>KILO</v>
          </cell>
          <cell r="D129">
            <v>2730</v>
          </cell>
          <cell r="E129" t="str">
            <v>Gramo</v>
          </cell>
          <cell r="F129">
            <v>2.73</v>
          </cell>
        </row>
        <row r="130">
          <cell r="A130" t="str">
            <v>0510174</v>
          </cell>
          <cell r="B130" t="str">
            <v>COCO RALLADO KILO</v>
          </cell>
          <cell r="C130" t="str">
            <v>KILO</v>
          </cell>
          <cell r="D130">
            <v>2770.261</v>
          </cell>
          <cell r="E130" t="str">
            <v>Gramo</v>
          </cell>
          <cell r="F130">
            <v>2.7702610000000001</v>
          </cell>
        </row>
        <row r="131">
          <cell r="A131" t="str">
            <v>0510184</v>
          </cell>
          <cell r="B131" t="str">
            <v>FRIJOL NEGRO ( 900 GR )</v>
          </cell>
          <cell r="C131" t="str">
            <v>KILO</v>
          </cell>
          <cell r="D131">
            <v>1171.1990000000001</v>
          </cell>
          <cell r="E131" t="str">
            <v>Gramo</v>
          </cell>
          <cell r="F131">
            <v>1.1711990000000001</v>
          </cell>
        </row>
        <row r="132">
          <cell r="A132" t="str">
            <v>0510185</v>
          </cell>
          <cell r="B132" t="str">
            <v>FRUTA CONFITADA ( 15 KG )</v>
          </cell>
          <cell r="C132" t="str">
            <v>KILO</v>
          </cell>
          <cell r="D132">
            <v>1645</v>
          </cell>
          <cell r="E132" t="str">
            <v>Gramo</v>
          </cell>
          <cell r="F132">
            <v>1.645</v>
          </cell>
        </row>
        <row r="133">
          <cell r="A133" t="str">
            <v>0510186</v>
          </cell>
          <cell r="B133" t="str">
            <v>GELATINA PURA  1 kg</v>
          </cell>
          <cell r="C133" t="str">
            <v>KILO</v>
          </cell>
          <cell r="D133">
            <v>9071</v>
          </cell>
          <cell r="E133" t="str">
            <v>Gramo</v>
          </cell>
          <cell r="F133">
            <v>9.0709999999999997</v>
          </cell>
        </row>
        <row r="134">
          <cell r="A134" t="str">
            <v>0510188</v>
          </cell>
          <cell r="B134" t="str">
            <v>HARINA ESTANDAR  ( 25 KG )</v>
          </cell>
          <cell r="C134" t="str">
            <v>KILO</v>
          </cell>
          <cell r="D134">
            <v>447.99900000000002</v>
          </cell>
          <cell r="E134" t="str">
            <v>Gramo</v>
          </cell>
          <cell r="F134">
            <v>0.44799900000000004</v>
          </cell>
        </row>
        <row r="135">
          <cell r="A135" t="str">
            <v>0510189</v>
          </cell>
          <cell r="B135" t="str">
            <v>HARINA GOLD MEDAL 2.268 KILOS</v>
          </cell>
          <cell r="C135" t="str">
            <v>KILO</v>
          </cell>
          <cell r="D135">
            <v>558.13499999999999</v>
          </cell>
          <cell r="E135" t="str">
            <v>Gramo</v>
          </cell>
          <cell r="F135">
            <v>0.55813499999999994</v>
          </cell>
        </row>
        <row r="136">
          <cell r="A136" t="str">
            <v>0510192</v>
          </cell>
          <cell r="B136" t="str">
            <v>LEVADURA (500GRM)</v>
          </cell>
          <cell r="C136" t="str">
            <v>KILO</v>
          </cell>
          <cell r="D136">
            <v>3931.6959999999999</v>
          </cell>
          <cell r="E136" t="str">
            <v>Gramo</v>
          </cell>
          <cell r="F136">
            <v>3.9316960000000001</v>
          </cell>
        </row>
        <row r="137">
          <cell r="A137" t="str">
            <v>0510194</v>
          </cell>
          <cell r="B137" t="str">
            <v>MACADAMIA #8 (PAQ=800g)</v>
          </cell>
          <cell r="C137" t="str">
            <v>PAQ</v>
          </cell>
          <cell r="D137">
            <v>7560</v>
          </cell>
          <cell r="E137" t="str">
            <v>Gramo</v>
          </cell>
          <cell r="F137">
            <v>9.4499999999999993</v>
          </cell>
        </row>
        <row r="138">
          <cell r="A138" t="str">
            <v>0510197</v>
          </cell>
          <cell r="B138" t="str">
            <v>MASECA GRANEL 20 KILOS</v>
          </cell>
          <cell r="C138" t="str">
            <v>KILO</v>
          </cell>
          <cell r="D138">
            <v>537.41099999999994</v>
          </cell>
          <cell r="E138" t="str">
            <v>Gramo</v>
          </cell>
          <cell r="F138">
            <v>0.53741099999999997</v>
          </cell>
        </row>
        <row r="139">
          <cell r="A139" t="str">
            <v>0510198</v>
          </cell>
          <cell r="B139" t="str">
            <v>MANI SIMPLE KG</v>
          </cell>
          <cell r="C139" t="str">
            <v>KILO</v>
          </cell>
          <cell r="D139">
            <v>2280.3969999999999</v>
          </cell>
          <cell r="E139" t="str">
            <v>Gramo</v>
          </cell>
          <cell r="F139">
            <v>2.2803969999999998</v>
          </cell>
        </row>
        <row r="140">
          <cell r="A140" t="str">
            <v>0510200</v>
          </cell>
          <cell r="B140" t="str">
            <v>PASAS ( CAJAS 13.6KG)</v>
          </cell>
          <cell r="C140" t="str">
            <v>KILO</v>
          </cell>
          <cell r="D140">
            <v>2884.88</v>
          </cell>
          <cell r="E140" t="str">
            <v>Gramo</v>
          </cell>
          <cell r="F140">
            <v>2.8848799999999999</v>
          </cell>
        </row>
        <row r="141">
          <cell r="A141" t="str">
            <v>0510202</v>
          </cell>
          <cell r="B141" t="str">
            <v>POLVO HORNEAR FLEISHMAN (2.5 KG)</v>
          </cell>
          <cell r="C141" t="str">
            <v>KILO</v>
          </cell>
          <cell r="D141">
            <v>895.2</v>
          </cell>
          <cell r="E141" t="str">
            <v>Gramo</v>
          </cell>
          <cell r="F141">
            <v>0.8952</v>
          </cell>
        </row>
        <row r="142">
          <cell r="A142" t="str">
            <v>0510204</v>
          </cell>
          <cell r="B142" t="str">
            <v>SAL REFINADA ( 500 GRS )</v>
          </cell>
          <cell r="C142" t="str">
            <v>KILO</v>
          </cell>
          <cell r="D142">
            <v>335.43</v>
          </cell>
          <cell r="E142" t="str">
            <v>Gramo</v>
          </cell>
          <cell r="F142">
            <v>0.33543000000000001</v>
          </cell>
        </row>
        <row r="143">
          <cell r="A143" t="str">
            <v>0510210</v>
          </cell>
          <cell r="B143" t="str">
            <v>AZUCAR EDULCURANTE ( KG )</v>
          </cell>
          <cell r="C143" t="str">
            <v>KILO</v>
          </cell>
          <cell r="D143">
            <v>5968.05</v>
          </cell>
          <cell r="E143" t="str">
            <v>Gramo</v>
          </cell>
          <cell r="F143">
            <v>5.9680499999999999</v>
          </cell>
        </row>
        <row r="144">
          <cell r="A144" t="str">
            <v>0510215</v>
          </cell>
          <cell r="B144" t="str">
            <v>ALMIDON MODIFICADO ( 25 KG )</v>
          </cell>
          <cell r="C144" t="str">
            <v>KILO</v>
          </cell>
          <cell r="D144">
            <v>1683.318</v>
          </cell>
          <cell r="E144" t="str">
            <v>Gramo</v>
          </cell>
          <cell r="F144">
            <v>1.6833180000000001</v>
          </cell>
        </row>
        <row r="145">
          <cell r="A145" t="str">
            <v>0510229</v>
          </cell>
          <cell r="B145" t="str">
            <v>HARINA NACARINA SACOS (50 KILOS)</v>
          </cell>
          <cell r="C145" t="str">
            <v>UND</v>
          </cell>
          <cell r="D145">
            <v>24266</v>
          </cell>
          <cell r="E145" t="str">
            <v>Gramo</v>
          </cell>
          <cell r="F145">
            <v>0.48531999999999997</v>
          </cell>
        </row>
        <row r="146">
          <cell r="A146" t="str">
            <v>0510240</v>
          </cell>
          <cell r="B146" t="str">
            <v>PREMEZCLA PILLS. CHOCOLATE (22.68 KG)</v>
          </cell>
          <cell r="C146" t="str">
            <v>KILO</v>
          </cell>
          <cell r="D146">
            <v>1566.27</v>
          </cell>
          <cell r="E146" t="str">
            <v>Gramo</v>
          </cell>
          <cell r="F146">
            <v>1.5662700000000001</v>
          </cell>
        </row>
        <row r="147">
          <cell r="A147" t="str">
            <v>0510249</v>
          </cell>
          <cell r="B147" t="str">
            <v>SEMILLA DE MARAÑON ( KILO )</v>
          </cell>
          <cell r="C147" t="str">
            <v>KILO</v>
          </cell>
          <cell r="D147">
            <v>8467.0660000000007</v>
          </cell>
          <cell r="E147" t="str">
            <v>Gramo</v>
          </cell>
          <cell r="F147">
            <v>8.4670660000000009</v>
          </cell>
        </row>
        <row r="148">
          <cell r="A148" t="str">
            <v>0510257</v>
          </cell>
          <cell r="B148" t="str">
            <v>SABORIZANTE DE COCO (KILO)</v>
          </cell>
          <cell r="C148" t="str">
            <v>KILO</v>
          </cell>
          <cell r="D148">
            <v>5455.9430000000002</v>
          </cell>
          <cell r="E148" t="str">
            <v>Gramo</v>
          </cell>
          <cell r="F148">
            <v>5.4559430000000004</v>
          </cell>
        </row>
        <row r="149">
          <cell r="A149" t="str">
            <v>0510258</v>
          </cell>
          <cell r="B149" t="str">
            <v>PREMEZCLA MOIST R PUDIN CAKE (24.71)NAC</v>
          </cell>
          <cell r="C149" t="str">
            <v>KILO</v>
          </cell>
          <cell r="D149">
            <v>1006.6660000000001</v>
          </cell>
          <cell r="E149" t="str">
            <v>Gramo</v>
          </cell>
          <cell r="F149">
            <v>1.0066660000000001</v>
          </cell>
        </row>
        <row r="150">
          <cell r="A150" t="str">
            <v>0510259</v>
          </cell>
          <cell r="B150" t="str">
            <v>SABORIZANTE FRESA BOSQUE (LITRO)</v>
          </cell>
          <cell r="C150" t="str">
            <v>LITRO</v>
          </cell>
          <cell r="D150">
            <v>8780.1260000000002</v>
          </cell>
          <cell r="E150" t="str">
            <v>Mililitro</v>
          </cell>
          <cell r="F150">
            <v>8.780126000000001</v>
          </cell>
        </row>
        <row r="151">
          <cell r="A151" t="str">
            <v>0510261</v>
          </cell>
          <cell r="B151" t="str">
            <v>SABORIZANTE MELO (KILO)</v>
          </cell>
          <cell r="C151" t="str">
            <v>KILO</v>
          </cell>
          <cell r="D151">
            <v>8294.9339999999993</v>
          </cell>
          <cell r="E151" t="str">
            <v>Gramo</v>
          </cell>
          <cell r="F151">
            <v>8.2949339999999996</v>
          </cell>
        </row>
        <row r="152">
          <cell r="A152" t="str">
            <v>0510262</v>
          </cell>
          <cell r="B152" t="str">
            <v>PECANA ENTERA (CAJA 13.6 K)</v>
          </cell>
          <cell r="C152" t="str">
            <v>KILO</v>
          </cell>
          <cell r="D152">
            <v>11935.353999999999</v>
          </cell>
          <cell r="E152" t="str">
            <v>Gramo</v>
          </cell>
          <cell r="F152">
            <v>11.935354</v>
          </cell>
        </row>
        <row r="153">
          <cell r="A153" t="str">
            <v>0510268</v>
          </cell>
          <cell r="B153" t="str">
            <v>FRIJOL TIERNO (PAQ=1KILO)</v>
          </cell>
          <cell r="C153" t="str">
            <v>KILO</v>
          </cell>
          <cell r="D153">
            <v>1700</v>
          </cell>
          <cell r="E153" t="str">
            <v>Gramo</v>
          </cell>
          <cell r="F153">
            <v>1.7</v>
          </cell>
        </row>
        <row r="154">
          <cell r="A154" t="str">
            <v>0510274</v>
          </cell>
          <cell r="B154" t="str">
            <v>MACADAMIA ENTERA (PAQ=1 KILO)</v>
          </cell>
          <cell r="C154" t="str">
            <v>KILO</v>
          </cell>
          <cell r="D154">
            <v>15094.946</v>
          </cell>
          <cell r="E154" t="str">
            <v>Gramo</v>
          </cell>
          <cell r="F154">
            <v>15.094946</v>
          </cell>
        </row>
        <row r="155">
          <cell r="A155" t="str">
            <v>0510275</v>
          </cell>
          <cell r="B155" t="str">
            <v>AVELLANA BLANQUEADA (CAJA =25K )</v>
          </cell>
          <cell r="C155" t="str">
            <v>KILO</v>
          </cell>
          <cell r="D155">
            <v>11728.659</v>
          </cell>
          <cell r="E155" t="str">
            <v>Gramo</v>
          </cell>
          <cell r="F155">
            <v>11.728659</v>
          </cell>
        </row>
        <row r="156">
          <cell r="A156" t="str">
            <v>0510276</v>
          </cell>
          <cell r="B156" t="str">
            <v>NUEZ DE BRASIL ( CAJA=20K)</v>
          </cell>
          <cell r="C156" t="str">
            <v>KILO</v>
          </cell>
          <cell r="D156">
            <v>10071.687</v>
          </cell>
          <cell r="E156" t="str">
            <v>Gramo</v>
          </cell>
          <cell r="F156">
            <v>10.071687000000001</v>
          </cell>
        </row>
        <row r="157">
          <cell r="A157" t="str">
            <v>0510277</v>
          </cell>
          <cell r="B157" t="str">
            <v>AJONJOLI NEGRO (PAQ=300g)</v>
          </cell>
          <cell r="C157" t="str">
            <v>KILO</v>
          </cell>
          <cell r="D157">
            <v>4518.6670000000004</v>
          </cell>
          <cell r="E157" t="str">
            <v>Gramo</v>
          </cell>
          <cell r="F157">
            <v>4.5186670000000007</v>
          </cell>
        </row>
        <row r="158">
          <cell r="A158" t="str">
            <v>0510278</v>
          </cell>
          <cell r="B158" t="str">
            <v>POPPY COOK PALOMITAS (TARRO = 850g )</v>
          </cell>
          <cell r="C158" t="str">
            <v>UND</v>
          </cell>
          <cell r="D158">
            <v>5794.4210000000003</v>
          </cell>
          <cell r="E158" t="str">
            <v>Gramo</v>
          </cell>
          <cell r="F158">
            <v>6.8169658823529415</v>
          </cell>
        </row>
        <row r="159">
          <cell r="A159" t="str">
            <v>0510280</v>
          </cell>
          <cell r="B159" t="str">
            <v>EMULCON TM</v>
          </cell>
          <cell r="C159" t="str">
            <v>KILO</v>
          </cell>
          <cell r="D159">
            <v>3687.1379999999999</v>
          </cell>
          <cell r="E159" t="str">
            <v>Gramo</v>
          </cell>
          <cell r="F159">
            <v>3.687138</v>
          </cell>
        </row>
        <row r="160">
          <cell r="A160" t="str">
            <v>0510285</v>
          </cell>
          <cell r="B160" t="str">
            <v>PREMEZCLA P/QUEQUE YOGURT (PAQ=22.67 KG)</v>
          </cell>
          <cell r="C160" t="str">
            <v>KILO</v>
          </cell>
          <cell r="D160">
            <v>1699.97</v>
          </cell>
          <cell r="E160" t="str">
            <v>Gramo</v>
          </cell>
          <cell r="F160">
            <v>1.69997</v>
          </cell>
        </row>
        <row r="161">
          <cell r="A161" t="str">
            <v>0510287</v>
          </cell>
          <cell r="B161" t="str">
            <v>PREMEZCLA TEGRAL CHIFFON (PAQ=10 Kg )</v>
          </cell>
          <cell r="C161" t="str">
            <v>KILO</v>
          </cell>
          <cell r="D161">
            <v>1730</v>
          </cell>
          <cell r="E161" t="str">
            <v>Gramo</v>
          </cell>
          <cell r="F161">
            <v>1.73</v>
          </cell>
        </row>
        <row r="162">
          <cell r="A162" t="str">
            <v>0510294</v>
          </cell>
          <cell r="B162" t="str">
            <v>ANTIOXIDANTE ESPECIAL (KILO)</v>
          </cell>
          <cell r="C162" t="str">
            <v>KILO</v>
          </cell>
          <cell r="D162">
            <v>5545.7430000000004</v>
          </cell>
          <cell r="E162" t="str">
            <v>Gramo</v>
          </cell>
          <cell r="F162">
            <v>5.5457430000000008</v>
          </cell>
        </row>
        <row r="163">
          <cell r="A163" t="str">
            <v>0510295</v>
          </cell>
          <cell r="B163" t="str">
            <v>PREMEZCLA TEGRAL BIZCOCHUELO CARAMELO (KILO)</v>
          </cell>
          <cell r="C163" t="str">
            <v>KILO</v>
          </cell>
          <cell r="D163">
            <v>1010</v>
          </cell>
          <cell r="E163" t="str">
            <v>Gramo</v>
          </cell>
          <cell r="F163">
            <v>1.01</v>
          </cell>
        </row>
        <row r="164">
          <cell r="A164" t="str">
            <v>510296</v>
          </cell>
          <cell r="B164" t="str">
            <v>AZUCAR C/CARAMELO DM 1/500 GRMS.</v>
          </cell>
          <cell r="C164" t="str">
            <v>KILO</v>
          </cell>
          <cell r="D164">
            <v>1372</v>
          </cell>
          <cell r="E164" t="str">
            <v>Gramo</v>
          </cell>
          <cell r="F164">
            <v>1.3720000000000001</v>
          </cell>
        </row>
        <row r="165">
          <cell r="A165" t="str">
            <v>0510298</v>
          </cell>
          <cell r="B165" t="str">
            <v>PREMEZCLA TEGRAL BIZCOCHUELO MELOCOTON (KILO)</v>
          </cell>
          <cell r="C165" t="str">
            <v>KILO</v>
          </cell>
          <cell r="D165">
            <v>1010</v>
          </cell>
          <cell r="E165" t="str">
            <v>Gramo</v>
          </cell>
          <cell r="F165">
            <v>1.01</v>
          </cell>
        </row>
        <row r="166">
          <cell r="A166" t="str">
            <v>510301</v>
          </cell>
          <cell r="B166" t="str">
            <v>AZUCAR BLANCO (INDUSTRIAL)</v>
          </cell>
          <cell r="C166" t="str">
            <v>KILO</v>
          </cell>
          <cell r="D166">
            <v>378.959</v>
          </cell>
          <cell r="E166" t="str">
            <v>Gramo</v>
          </cell>
          <cell r="F166">
            <v>0.37895899999999999</v>
          </cell>
        </row>
        <row r="167">
          <cell r="A167" t="str">
            <v>510302</v>
          </cell>
          <cell r="B167" t="str">
            <v>AZUCAR REFINO INDUSTRIAL</v>
          </cell>
          <cell r="C167" t="str">
            <v>KILO</v>
          </cell>
          <cell r="D167">
            <v>428.25900000000001</v>
          </cell>
          <cell r="E167" t="str">
            <v>Gramo</v>
          </cell>
          <cell r="F167">
            <v>0.428259</v>
          </cell>
        </row>
        <row r="168">
          <cell r="A168" t="str">
            <v>510303</v>
          </cell>
          <cell r="B168" t="str">
            <v>AJONJOLI BLANCO (PAQ=200GRM)</v>
          </cell>
          <cell r="C168" t="str">
            <v>KILO</v>
          </cell>
          <cell r="D168">
            <v>3370.4450000000002</v>
          </cell>
          <cell r="E168" t="str">
            <v>Gramo</v>
          </cell>
          <cell r="F168">
            <v>3.3704450000000001</v>
          </cell>
        </row>
        <row r="169">
          <cell r="A169" t="str">
            <v>0510304</v>
          </cell>
          <cell r="B169" t="str">
            <v>PREMEZCLA PASTEL SUPER ESPONJA</v>
          </cell>
          <cell r="C169" t="str">
            <v>KILO</v>
          </cell>
          <cell r="D169">
            <v>1682.2619999999999</v>
          </cell>
          <cell r="E169" t="str">
            <v>Gramo</v>
          </cell>
          <cell r="F169">
            <v>1.6822619999999999</v>
          </cell>
        </row>
        <row r="170">
          <cell r="A170" t="str">
            <v>510404</v>
          </cell>
          <cell r="B170" t="str">
            <v>ARROZ 96% EL ARMENIO ( BULTO =12 PAQ=1.8K)</v>
          </cell>
          <cell r="C170" t="str">
            <v>KILO</v>
          </cell>
          <cell r="D170">
            <v>797.79600000000005</v>
          </cell>
          <cell r="E170" t="str">
            <v>Gramo</v>
          </cell>
          <cell r="F170">
            <v>0.79779600000000006</v>
          </cell>
        </row>
        <row r="171">
          <cell r="A171" t="str">
            <v>510405</v>
          </cell>
          <cell r="B171" t="str">
            <v>ARROZ PRECOCIDO EL ARMENIO (BULTO= 30K)</v>
          </cell>
          <cell r="C171" t="str">
            <v>KILO</v>
          </cell>
          <cell r="D171">
            <v>709.5</v>
          </cell>
          <cell r="E171" t="str">
            <v>Gramo</v>
          </cell>
          <cell r="F171">
            <v>0.70950000000000002</v>
          </cell>
        </row>
        <row r="172">
          <cell r="A172" t="str">
            <v>510406</v>
          </cell>
          <cell r="B172" t="str">
            <v>QUINOA BLANCA ROLAND (PAQ=2.27 K)</v>
          </cell>
          <cell r="C172" t="str">
            <v>KILO</v>
          </cell>
          <cell r="D172">
            <v>5749.1610000000001</v>
          </cell>
          <cell r="E172" t="str">
            <v>Gramo</v>
          </cell>
          <cell r="F172">
            <v>5.749161</v>
          </cell>
        </row>
        <row r="173">
          <cell r="A173" t="str">
            <v>510410</v>
          </cell>
          <cell r="B173" t="str">
            <v>SABORIZANTE AMARETO</v>
          </cell>
          <cell r="C173" t="str">
            <v>KILO</v>
          </cell>
          <cell r="D173">
            <v>8185.35</v>
          </cell>
          <cell r="E173" t="str">
            <v>Gramo</v>
          </cell>
          <cell r="F173">
            <v>8.1853499999999997</v>
          </cell>
        </row>
        <row r="174">
          <cell r="A174" t="str">
            <v>510413</v>
          </cell>
          <cell r="B174" t="str">
            <v>PRESERVANTE ESTERLAC EFF20 (CAJA= 25K)</v>
          </cell>
          <cell r="C174" t="str">
            <v>KILO</v>
          </cell>
          <cell r="D174">
            <v>2364.4</v>
          </cell>
          <cell r="E174" t="str">
            <v>Gramo</v>
          </cell>
          <cell r="F174">
            <v>2.3644000000000003</v>
          </cell>
        </row>
        <row r="175">
          <cell r="A175" t="str">
            <v>510415</v>
          </cell>
          <cell r="B175" t="str">
            <v>PREMEZCLA VAINILLA PASTELERO REAL 20K</v>
          </cell>
          <cell r="C175" t="str">
            <v>KILO</v>
          </cell>
          <cell r="D175">
            <v>923.17899999999997</v>
          </cell>
          <cell r="E175" t="str">
            <v>Gramo</v>
          </cell>
          <cell r="F175">
            <v>0.92317899999999997</v>
          </cell>
        </row>
        <row r="176">
          <cell r="A176" t="str">
            <v>510416</v>
          </cell>
          <cell r="B176" t="str">
            <v>PREMEZCLA CHOCOLATE PASTELERO REAL 20K</v>
          </cell>
          <cell r="C176" t="str">
            <v>KILO</v>
          </cell>
          <cell r="D176">
            <v>1238.8610000000001</v>
          </cell>
          <cell r="E176" t="str">
            <v>Gramo</v>
          </cell>
          <cell r="F176">
            <v>1.2388610000000002</v>
          </cell>
        </row>
        <row r="177">
          <cell r="A177" t="str">
            <v>0512255</v>
          </cell>
          <cell r="B177" t="str">
            <v>COCOA DUTCH PROCESS (25 KG)</v>
          </cell>
          <cell r="C177" t="str">
            <v>KILO</v>
          </cell>
          <cell r="D177">
            <v>4856.0249999999996</v>
          </cell>
          <cell r="E177" t="str">
            <v>Gramo</v>
          </cell>
          <cell r="F177">
            <v>4.8560249999999998</v>
          </cell>
        </row>
        <row r="178">
          <cell r="A178" t="str">
            <v>0512256</v>
          </cell>
          <cell r="B178" t="str">
            <v>PREMEZCLA OTENTIC ORIGIN (PAQ=1 KILO)</v>
          </cell>
          <cell r="C178" t="str">
            <v>KILO</v>
          </cell>
          <cell r="D178">
            <v>6870</v>
          </cell>
          <cell r="E178" t="str">
            <v>Gramo</v>
          </cell>
          <cell r="F178">
            <v>6.87</v>
          </cell>
        </row>
        <row r="179">
          <cell r="A179" t="str">
            <v>0512261</v>
          </cell>
          <cell r="B179" t="str">
            <v>ACIDO SORBICO (KG)</v>
          </cell>
          <cell r="C179" t="str">
            <v>KILO</v>
          </cell>
          <cell r="D179">
            <v>8428.7659999999996</v>
          </cell>
          <cell r="E179" t="str">
            <v>Gramo</v>
          </cell>
          <cell r="F179">
            <v>8.4287659999999995</v>
          </cell>
        </row>
        <row r="180">
          <cell r="A180" t="str">
            <v>0512262</v>
          </cell>
          <cell r="B180" t="str">
            <v>PROPIONATO DE CALCIO</v>
          </cell>
          <cell r="C180" t="str">
            <v>KILO</v>
          </cell>
          <cell r="D180">
            <v>2042.42</v>
          </cell>
          <cell r="E180" t="str">
            <v>Gramo</v>
          </cell>
          <cell r="F180">
            <v>2.0424199999999999</v>
          </cell>
        </row>
        <row r="181">
          <cell r="A181" t="str">
            <v>0512299</v>
          </cell>
          <cell r="B181" t="str">
            <v>AVENA HOJUELAS (360 GR)</v>
          </cell>
          <cell r="C181" t="str">
            <v>UND</v>
          </cell>
          <cell r="D181">
            <v>648.99599999999998</v>
          </cell>
          <cell r="E181" t="str">
            <v>Gramo</v>
          </cell>
          <cell r="F181">
            <v>1.8027666666666666</v>
          </cell>
        </row>
        <row r="182">
          <cell r="A182" t="str">
            <v>0512310</v>
          </cell>
          <cell r="B182" t="str">
            <v>OREGANO TONES  ( 141 GRS )</v>
          </cell>
          <cell r="C182" t="str">
            <v>KILO</v>
          </cell>
          <cell r="D182">
            <v>37022.451999999997</v>
          </cell>
          <cell r="E182" t="str">
            <v>Gramo</v>
          </cell>
          <cell r="F182">
            <v>37.022451999999994</v>
          </cell>
        </row>
        <row r="183">
          <cell r="A183" t="str">
            <v>0512316</v>
          </cell>
          <cell r="B183" t="str">
            <v>CAFÉ INSTANTANEO ( 500 GRS )</v>
          </cell>
          <cell r="C183" t="str">
            <v>KILO</v>
          </cell>
          <cell r="D183">
            <v>16485.353999999999</v>
          </cell>
          <cell r="E183" t="str">
            <v>Gramo</v>
          </cell>
          <cell r="F183">
            <v>16.485354000000001</v>
          </cell>
        </row>
        <row r="184">
          <cell r="A184" t="str">
            <v>0512319</v>
          </cell>
          <cell r="B184" t="str">
            <v>PASTA AJO (KILO)</v>
          </cell>
          <cell r="C184" t="str">
            <v>KILO</v>
          </cell>
          <cell r="D184">
            <v>4294</v>
          </cell>
          <cell r="E184" t="str">
            <v>Gramo</v>
          </cell>
          <cell r="F184">
            <v>4.2939999999999996</v>
          </cell>
        </row>
        <row r="185">
          <cell r="A185" t="str">
            <v>0610205</v>
          </cell>
          <cell r="B185" t="str">
            <v>TOMILLO (199 GRAMOS)</v>
          </cell>
          <cell r="C185" t="str">
            <v>KILO</v>
          </cell>
          <cell r="D185">
            <v>46830.985999999997</v>
          </cell>
          <cell r="E185" t="str">
            <v>Gramo</v>
          </cell>
          <cell r="F185">
            <v>46.830985999999996</v>
          </cell>
        </row>
        <row r="186">
          <cell r="A186" t="str">
            <v>0610208</v>
          </cell>
          <cell r="B186" t="str">
            <v>ACHIOTE KG</v>
          </cell>
          <cell r="C186" t="str">
            <v>KILO</v>
          </cell>
          <cell r="D186">
            <v>3705.0920000000001</v>
          </cell>
          <cell r="E186" t="str">
            <v>Gramo</v>
          </cell>
          <cell r="F186">
            <v>3.7050920000000001</v>
          </cell>
        </row>
        <row r="187">
          <cell r="A187" t="str">
            <v>0610212</v>
          </cell>
          <cell r="B187" t="str">
            <v>JENGIBRE ENTERO</v>
          </cell>
          <cell r="C187" t="str">
            <v>KILO</v>
          </cell>
          <cell r="D187">
            <v>1675.48</v>
          </cell>
          <cell r="E187" t="str">
            <v>Gramo</v>
          </cell>
          <cell r="F187">
            <v>1.6754800000000001</v>
          </cell>
        </row>
        <row r="188">
          <cell r="A188" t="str">
            <v>0610213</v>
          </cell>
          <cell r="B188" t="str">
            <v>CANELA ASTILLA ( .500 KG )</v>
          </cell>
          <cell r="C188" t="str">
            <v>KILO</v>
          </cell>
          <cell r="D188">
            <v>6524.1319999999996</v>
          </cell>
          <cell r="E188" t="str">
            <v>Gramo</v>
          </cell>
          <cell r="F188">
            <v>6.5241319999999998</v>
          </cell>
        </row>
        <row r="189">
          <cell r="A189" t="str">
            <v>0610215</v>
          </cell>
          <cell r="B189" t="str">
            <v>PIMIENTO ROJO QUEBRADO TONES 341g</v>
          </cell>
          <cell r="C189" t="str">
            <v>KILO</v>
          </cell>
          <cell r="D189">
            <v>15896.911</v>
          </cell>
          <cell r="E189" t="str">
            <v>Gramo</v>
          </cell>
          <cell r="F189">
            <v>15.896910999999999</v>
          </cell>
        </row>
        <row r="190">
          <cell r="A190" t="str">
            <v>0610216</v>
          </cell>
          <cell r="B190" t="str">
            <v>CLAVO DE OLOR MOLIDO</v>
          </cell>
          <cell r="C190" t="str">
            <v>KILO</v>
          </cell>
          <cell r="D190">
            <v>27745.042000000001</v>
          </cell>
          <cell r="E190" t="str">
            <v>Gramo</v>
          </cell>
          <cell r="F190">
            <v>27.745042000000002</v>
          </cell>
        </row>
        <row r="191">
          <cell r="A191" t="str">
            <v>0610217</v>
          </cell>
          <cell r="B191" t="str">
            <v>ENELDO TONES 155g</v>
          </cell>
          <cell r="C191" t="str">
            <v>KILO</v>
          </cell>
          <cell r="D191">
            <v>48581.56</v>
          </cell>
          <cell r="E191" t="str">
            <v>Gramo</v>
          </cell>
          <cell r="F191">
            <v>48.581559999999996</v>
          </cell>
        </row>
        <row r="192">
          <cell r="A192" t="str">
            <v>0610218</v>
          </cell>
          <cell r="B192" t="str">
            <v>COMINO TONES ( 454G)</v>
          </cell>
          <cell r="C192" t="str">
            <v>KILO</v>
          </cell>
          <cell r="D192">
            <v>12784.166999999999</v>
          </cell>
          <cell r="E192" t="str">
            <v>Gramo</v>
          </cell>
          <cell r="F192">
            <v>12.784167</v>
          </cell>
        </row>
        <row r="193">
          <cell r="A193" t="str">
            <v>0610220</v>
          </cell>
          <cell r="B193" t="str">
            <v>CONSOME CONCEN. DE POLLO (1000g)</v>
          </cell>
          <cell r="C193" t="str">
            <v>GRAMO</v>
          </cell>
          <cell r="D193">
            <v>1.6040000000000001</v>
          </cell>
          <cell r="E193" t="str">
            <v>Gramo</v>
          </cell>
          <cell r="F193">
            <v>1.6040000000000001</v>
          </cell>
        </row>
        <row r="194">
          <cell r="A194" t="str">
            <v>0610221</v>
          </cell>
          <cell r="B194" t="str">
            <v>CONSOME CONCEN. DE RES (2000g)</v>
          </cell>
          <cell r="C194" t="str">
            <v>GRAMO</v>
          </cell>
          <cell r="D194">
            <v>2.758</v>
          </cell>
          <cell r="E194" t="str">
            <v>Gramo</v>
          </cell>
          <cell r="F194">
            <v>2.758</v>
          </cell>
        </row>
        <row r="195">
          <cell r="A195" t="str">
            <v>0610223</v>
          </cell>
          <cell r="B195" t="str">
            <v>CREMA DE HONGOS (CAJA=12 paq)</v>
          </cell>
          <cell r="C195" t="str">
            <v>UND</v>
          </cell>
          <cell r="D195">
            <v>476.83199999999999</v>
          </cell>
          <cell r="E195" t="str">
            <v>Gramo</v>
          </cell>
          <cell r="F195">
            <v>7.3358769230769232</v>
          </cell>
        </row>
        <row r="196">
          <cell r="A196" t="str">
            <v>0610233</v>
          </cell>
          <cell r="B196" t="str">
            <v>PEREJIL SECO ( 57 gr )</v>
          </cell>
          <cell r="C196" t="str">
            <v>GRAMO</v>
          </cell>
          <cell r="D196">
            <v>64.42</v>
          </cell>
          <cell r="E196" t="str">
            <v>Gramo</v>
          </cell>
          <cell r="F196">
            <v>64.42</v>
          </cell>
        </row>
        <row r="197">
          <cell r="A197" t="str">
            <v>0610236</v>
          </cell>
          <cell r="B197" t="str">
            <v>PIMIENTA NEGRA MOLIDA ( 1000 g )</v>
          </cell>
          <cell r="C197" t="str">
            <v>GRAMO</v>
          </cell>
          <cell r="D197">
            <v>10.519</v>
          </cell>
          <cell r="E197" t="str">
            <v>Gramo</v>
          </cell>
          <cell r="F197">
            <v>10.519</v>
          </cell>
        </row>
        <row r="198">
          <cell r="A198" t="str">
            <v>0610239</v>
          </cell>
          <cell r="B198" t="str">
            <v>TARRAGON ( 114 gr )</v>
          </cell>
          <cell r="C198" t="str">
            <v>GRAMO</v>
          </cell>
          <cell r="D198">
            <v>72.998999999999995</v>
          </cell>
          <cell r="E198" t="str">
            <v>Gramo</v>
          </cell>
          <cell r="F198">
            <v>72.998999999999995</v>
          </cell>
        </row>
        <row r="199">
          <cell r="A199" t="str">
            <v>0610241</v>
          </cell>
          <cell r="B199" t="str">
            <v>ROMERO TONES ( 170 GR )</v>
          </cell>
          <cell r="C199" t="str">
            <v>GRAMO</v>
          </cell>
          <cell r="D199">
            <v>29.093</v>
          </cell>
          <cell r="E199" t="str">
            <v>Gramo</v>
          </cell>
          <cell r="F199">
            <v>29.093</v>
          </cell>
        </row>
        <row r="200">
          <cell r="A200" t="str">
            <v>0610244</v>
          </cell>
          <cell r="B200" t="str">
            <v>JENGIBRE MOLIDO (453G)</v>
          </cell>
          <cell r="C200" t="str">
            <v>KILO</v>
          </cell>
          <cell r="D200">
            <v>8193.1470000000008</v>
          </cell>
          <cell r="E200" t="str">
            <v>Gramo</v>
          </cell>
          <cell r="F200">
            <v>8.1931470000000015</v>
          </cell>
        </row>
        <row r="201">
          <cell r="A201" t="str">
            <v>0610250</v>
          </cell>
          <cell r="B201" t="str">
            <v>HOJUELA PURE PAPA (15 KILOS)</v>
          </cell>
          <cell r="C201" t="str">
            <v>KILO</v>
          </cell>
          <cell r="D201">
            <v>1620.5989999999999</v>
          </cell>
          <cell r="E201" t="str">
            <v>Gramo</v>
          </cell>
          <cell r="F201">
            <v>1.6205989999999999</v>
          </cell>
        </row>
        <row r="202">
          <cell r="A202" t="str">
            <v>0610252</v>
          </cell>
          <cell r="B202" t="str">
            <v>SOPA FRIJOL (CAJA=12 UND)</v>
          </cell>
          <cell r="C202" t="str">
            <v>UND</v>
          </cell>
          <cell r="D202">
            <v>337.5</v>
          </cell>
          <cell r="E202" t="str">
            <v>Gramo</v>
          </cell>
          <cell r="F202">
            <v>5.625</v>
          </cell>
        </row>
        <row r="203">
          <cell r="A203" t="str">
            <v>0610253</v>
          </cell>
          <cell r="B203" t="str">
            <v>SOPA OLLA CARNE MAGGI (CAJA=12 PAQ)</v>
          </cell>
          <cell r="C203" t="str">
            <v>PAQ</v>
          </cell>
          <cell r="D203">
            <v>282.66699999999997</v>
          </cell>
          <cell r="E203" t="str">
            <v>Gramo</v>
          </cell>
          <cell r="F203">
            <v>7.0666749999999992</v>
          </cell>
        </row>
        <row r="204">
          <cell r="A204" t="str">
            <v>0610254</v>
          </cell>
          <cell r="B204" t="str">
            <v>PIMIENTA BLANCA MOLIDA (1 KILO)</v>
          </cell>
          <cell r="C204" t="str">
            <v>KILO</v>
          </cell>
          <cell r="D204">
            <v>12350.736999999999</v>
          </cell>
          <cell r="E204" t="str">
            <v>Gramo</v>
          </cell>
          <cell r="F204">
            <v>12.350736999999999</v>
          </cell>
        </row>
        <row r="205">
          <cell r="A205" t="str">
            <v>0610255</v>
          </cell>
          <cell r="B205" t="str">
            <v>CURRY POLVO TONE'S (454g)</v>
          </cell>
          <cell r="C205" t="str">
            <v>KILO</v>
          </cell>
          <cell r="D205">
            <v>12008.927</v>
          </cell>
          <cell r="E205" t="str">
            <v>Gramo</v>
          </cell>
          <cell r="F205">
            <v>12.008927</v>
          </cell>
        </row>
        <row r="206">
          <cell r="A206" t="str">
            <v>0610256</v>
          </cell>
          <cell r="B206" t="str">
            <v>NUEZ MOSCADA MOLIDA (3KILOS)</v>
          </cell>
          <cell r="C206" t="str">
            <v>KILO</v>
          </cell>
          <cell r="D206">
            <v>15851.794</v>
          </cell>
          <cell r="E206" t="str">
            <v>Gramo</v>
          </cell>
          <cell r="F206">
            <v>15.851794</v>
          </cell>
        </row>
        <row r="207">
          <cell r="A207" t="str">
            <v>0610258</v>
          </cell>
          <cell r="B207" t="str">
            <v>ADEREZO MAYONESA LIMON SIN GRASA (400g)</v>
          </cell>
          <cell r="C207" t="str">
            <v>KILO</v>
          </cell>
          <cell r="D207">
            <v>2452.482</v>
          </cell>
          <cell r="E207" t="str">
            <v>Gramo</v>
          </cell>
          <cell r="F207">
            <v>2.4524819999999998</v>
          </cell>
        </row>
        <row r="208">
          <cell r="A208" t="str">
            <v>0610261</v>
          </cell>
          <cell r="B208" t="str">
            <v>SEMILLA AMAPOLA (567 G)</v>
          </cell>
          <cell r="C208" t="str">
            <v>KILO</v>
          </cell>
          <cell r="D208">
            <v>6319.06</v>
          </cell>
          <cell r="E208" t="str">
            <v>Gramo</v>
          </cell>
          <cell r="F208">
            <v>6.3190600000000003</v>
          </cell>
        </row>
        <row r="209">
          <cell r="A209" t="str">
            <v>0610265</v>
          </cell>
          <cell r="B209" t="str">
            <v>CANELA MOLIDA TONE´S CHEF (511g)</v>
          </cell>
          <cell r="C209" t="str">
            <v>KILO</v>
          </cell>
          <cell r="D209">
            <v>9443.8510000000006</v>
          </cell>
          <cell r="E209" t="str">
            <v>Gramo</v>
          </cell>
          <cell r="F209">
            <v>9.4438510000000004</v>
          </cell>
        </row>
        <row r="210">
          <cell r="A210" t="str">
            <v>0610266</v>
          </cell>
          <cell r="B210" t="str">
            <v>PAPRIKA TONES (511 GRAMOS)</v>
          </cell>
          <cell r="C210" t="str">
            <v>KILO</v>
          </cell>
          <cell r="D210">
            <v>9558.4130000000005</v>
          </cell>
          <cell r="E210" t="str">
            <v>Gramo</v>
          </cell>
          <cell r="F210">
            <v>9.5584129999999998</v>
          </cell>
        </row>
        <row r="211">
          <cell r="A211" t="str">
            <v>0710247</v>
          </cell>
          <cell r="B211" t="str">
            <v>GALLETA OREO (PAQ=1.13 k)</v>
          </cell>
          <cell r="C211" t="str">
            <v>KILO</v>
          </cell>
          <cell r="D211">
            <v>5211.5050000000001</v>
          </cell>
          <cell r="E211" t="str">
            <v>Gramo</v>
          </cell>
          <cell r="F211">
            <v>5.2115049999999998</v>
          </cell>
        </row>
        <row r="212">
          <cell r="A212" t="str">
            <v>0710261</v>
          </cell>
          <cell r="B212" t="str">
            <v>PAN CUADRADO BLANCO (PAQ=22 REBANADAS )</v>
          </cell>
          <cell r="C212" t="str">
            <v>PAQ</v>
          </cell>
          <cell r="D212">
            <v>1000.001</v>
          </cell>
          <cell r="E212" t="str">
            <v>UND</v>
          </cell>
          <cell r="F212">
            <v>45.454590909090911</v>
          </cell>
        </row>
        <row r="213">
          <cell r="A213" t="str">
            <v>0710262</v>
          </cell>
          <cell r="B213" t="str">
            <v>PAN MOLIDO KILO (5 kilos)</v>
          </cell>
          <cell r="C213" t="str">
            <v>KILO</v>
          </cell>
          <cell r="D213">
            <v>1141.144</v>
          </cell>
          <cell r="E213" t="str">
            <v>Gramo</v>
          </cell>
          <cell r="F213">
            <v>1.1411439999999999</v>
          </cell>
        </row>
        <row r="214">
          <cell r="A214" t="str">
            <v>0710266</v>
          </cell>
          <cell r="B214" t="str">
            <v>TORTILLAS  (PAQ=20 UND)</v>
          </cell>
          <cell r="C214" t="str">
            <v>UND</v>
          </cell>
          <cell r="D214">
            <v>30.4</v>
          </cell>
          <cell r="E214" t="str">
            <v>UND</v>
          </cell>
          <cell r="F214">
            <v>30.4</v>
          </cell>
        </row>
        <row r="215">
          <cell r="A215" t="str">
            <v>0710282</v>
          </cell>
          <cell r="B215" t="str">
            <v>GALLETA POZUELO ENTERA (1/2KILO)</v>
          </cell>
          <cell r="C215" t="str">
            <v>KILO</v>
          </cell>
          <cell r="D215">
            <v>1684.232</v>
          </cell>
          <cell r="E215" t="str">
            <v>Gramo</v>
          </cell>
          <cell r="F215">
            <v>1.684232</v>
          </cell>
        </row>
        <row r="216">
          <cell r="A216" t="str">
            <v>0710285</v>
          </cell>
          <cell r="B216" t="str">
            <v>TORTILLA HARINA 10.25</v>
          </cell>
          <cell r="C216" t="str">
            <v>UND</v>
          </cell>
          <cell r="D216" t="e">
            <v>#N/A</v>
          </cell>
          <cell r="E216" t="str">
            <v>UND</v>
          </cell>
          <cell r="F216" t="e">
            <v>#N/A</v>
          </cell>
        </row>
        <row r="217">
          <cell r="A217" t="str">
            <v>0710295</v>
          </cell>
          <cell r="B217" t="str">
            <v>BARQUILLO VETEADO CHOCOLATE (CAJA=420 UND)</v>
          </cell>
          <cell r="C217" t="str">
            <v>UND</v>
          </cell>
          <cell r="D217">
            <v>37.472000000000001</v>
          </cell>
          <cell r="E217" t="str">
            <v>UND</v>
          </cell>
          <cell r="F217">
            <v>37.472000000000001</v>
          </cell>
        </row>
        <row r="218">
          <cell r="A218" t="str">
            <v>710301</v>
          </cell>
          <cell r="B218" t="str">
            <v>PAN SEMOLA RECTANGULAR (PAQ= 12 UND.)</v>
          </cell>
          <cell r="C218" t="str">
            <v>UND</v>
          </cell>
          <cell r="D218">
            <v>215.899</v>
          </cell>
          <cell r="E218" t="str">
            <v>UND</v>
          </cell>
          <cell r="F218">
            <v>215.899</v>
          </cell>
        </row>
        <row r="219">
          <cell r="A219" t="str">
            <v>710302</v>
          </cell>
          <cell r="B219" t="str">
            <v>PAN SEMOLA CUADRADO BLANCO (PAQ.= 12 UND)</v>
          </cell>
          <cell r="C219" t="str">
            <v>UND</v>
          </cell>
          <cell r="D219">
            <v>230</v>
          </cell>
          <cell r="E219" t="str">
            <v>UND</v>
          </cell>
          <cell r="F219">
            <v>230</v>
          </cell>
        </row>
        <row r="220">
          <cell r="A220" t="str">
            <v>710304</v>
          </cell>
          <cell r="B220" t="str">
            <v>TORTILLA MISION INTEGRAL (PAQ. 6 UND)</v>
          </cell>
          <cell r="C220" t="str">
            <v>UND</v>
          </cell>
          <cell r="D220">
            <v>156.261</v>
          </cell>
          <cell r="E220" t="str">
            <v>UND</v>
          </cell>
          <cell r="F220">
            <v>156.261</v>
          </cell>
        </row>
        <row r="221">
          <cell r="A221" t="str">
            <v>710305</v>
          </cell>
          <cell r="B221" t="str">
            <v>GALLETA DE CHOCOLATE (KILO)</v>
          </cell>
          <cell r="C221" t="str">
            <v>KILO</v>
          </cell>
          <cell r="D221">
            <v>1727.7370000000001</v>
          </cell>
          <cell r="E221" t="str">
            <v>Gramo</v>
          </cell>
          <cell r="F221">
            <v>1.7277370000000001</v>
          </cell>
        </row>
        <row r="222">
          <cell r="A222" t="str">
            <v>0712395</v>
          </cell>
          <cell r="B222" t="str">
            <v>GALLETAS DEDOS DE SEÑORA (PAQ)</v>
          </cell>
          <cell r="C222" t="str">
            <v>PAQ</v>
          </cell>
          <cell r="D222">
            <v>1246.556</v>
          </cell>
          <cell r="E222" t="str">
            <v>UND</v>
          </cell>
          <cell r="F222">
            <v>51.939833333333333</v>
          </cell>
        </row>
        <row r="223">
          <cell r="A223" t="str">
            <v>0712433</v>
          </cell>
          <cell r="B223" t="str">
            <v>EMPANIZADOR PANKO (3 Kg)</v>
          </cell>
          <cell r="C223" t="str">
            <v>KILO</v>
          </cell>
          <cell r="D223">
            <v>3260.6</v>
          </cell>
          <cell r="E223" t="str">
            <v>Gramo</v>
          </cell>
          <cell r="F223">
            <v>3.2605999999999997</v>
          </cell>
        </row>
        <row r="224">
          <cell r="A224" t="str">
            <v>0806049</v>
          </cell>
          <cell r="B224" t="str">
            <v>QUINS-MINI HEARTS 17402 (CAJA=9.08 Kg)</v>
          </cell>
          <cell r="C224" t="str">
            <v>KILO</v>
          </cell>
          <cell r="D224">
            <v>6536.68</v>
          </cell>
          <cell r="E224" t="str">
            <v>Gramo</v>
          </cell>
          <cell r="F224">
            <v>6.5366800000000005</v>
          </cell>
        </row>
        <row r="225">
          <cell r="A225" t="str">
            <v>0807003</v>
          </cell>
          <cell r="B225" t="str">
            <v>COLORANTE/PASTA 4 ONZ</v>
          </cell>
          <cell r="C225" t="str">
            <v>UND</v>
          </cell>
          <cell r="D225">
            <v>2418.181</v>
          </cell>
          <cell r="E225" t="str">
            <v>Gramo</v>
          </cell>
          <cell r="F225">
            <v>20.151508333333332</v>
          </cell>
        </row>
        <row r="226">
          <cell r="A226" t="str">
            <v>0807007</v>
          </cell>
          <cell r="B226" t="str">
            <v>LAMINA DE AZUCAR DE FONDANT (CAJA=24 UND)</v>
          </cell>
          <cell r="C226" t="str">
            <v>UND</v>
          </cell>
          <cell r="D226">
            <v>1124.3009999999999</v>
          </cell>
          <cell r="E226" t="str">
            <v>UND</v>
          </cell>
          <cell r="F226">
            <v>1124.3009999999999</v>
          </cell>
        </row>
        <row r="227">
          <cell r="A227" t="str">
            <v>0810268</v>
          </cell>
          <cell r="B227" t="str">
            <v>CONCENTRADO DE PIÑA COLADA</v>
          </cell>
          <cell r="C227" t="str">
            <v>GALON</v>
          </cell>
          <cell r="D227">
            <v>2975.9879999999998</v>
          </cell>
          <cell r="E227" t="str">
            <v>Mililitro</v>
          </cell>
          <cell r="F227">
            <v>0.78625838837516504</v>
          </cell>
        </row>
        <row r="228">
          <cell r="A228" t="str">
            <v>0810269</v>
          </cell>
          <cell r="B228" t="str">
            <v>JUGO DE PIÑA (LITRO)</v>
          </cell>
          <cell r="C228" t="str">
            <v>LITRO</v>
          </cell>
          <cell r="D228">
            <v>671.50900000000001</v>
          </cell>
          <cell r="E228" t="str">
            <v>Mililitro</v>
          </cell>
          <cell r="F228">
            <v>0.67150900000000002</v>
          </cell>
        </row>
        <row r="229">
          <cell r="A229" t="str">
            <v>0810288</v>
          </cell>
          <cell r="B229" t="str">
            <v>JUGO DE NARANJA TB LITRO</v>
          </cell>
          <cell r="C229" t="str">
            <v>LITRO</v>
          </cell>
          <cell r="D229">
            <v>638.57000000000005</v>
          </cell>
          <cell r="E229" t="str">
            <v>Mililitro</v>
          </cell>
          <cell r="F229">
            <v>0.63857000000000008</v>
          </cell>
        </row>
        <row r="230">
          <cell r="A230" t="str">
            <v>0810299</v>
          </cell>
          <cell r="B230" t="str">
            <v>SIROPE KARO DARK (3.785)</v>
          </cell>
          <cell r="C230" t="str">
            <v>LITRO</v>
          </cell>
          <cell r="D230">
            <v>2377.6840000000002</v>
          </cell>
          <cell r="E230" t="str">
            <v>Mililitro</v>
          </cell>
          <cell r="F230">
            <v>2.3776840000000004</v>
          </cell>
        </row>
        <row r="231">
          <cell r="A231" t="str">
            <v>0810306</v>
          </cell>
          <cell r="B231" t="str">
            <v>MIEL ABEJA BOTELLA</v>
          </cell>
          <cell r="C231" t="str">
            <v>UND</v>
          </cell>
          <cell r="D231">
            <v>4299</v>
          </cell>
          <cell r="E231" t="str">
            <v>Mililitro</v>
          </cell>
          <cell r="F231">
            <v>4.4781250000000004</v>
          </cell>
        </row>
        <row r="232">
          <cell r="A232" t="str">
            <v>0810308</v>
          </cell>
          <cell r="B232" t="str">
            <v>SIROPE CHOCO. LIQUIDO ( 680 gr )</v>
          </cell>
          <cell r="C232" t="str">
            <v>LITRO</v>
          </cell>
          <cell r="D232">
            <v>2186.2199999999998</v>
          </cell>
          <cell r="E232" t="str">
            <v>Mililitro</v>
          </cell>
          <cell r="F232">
            <v>2.1862199999999996</v>
          </cell>
        </row>
        <row r="233">
          <cell r="A233" t="str">
            <v>812390</v>
          </cell>
          <cell r="B233" t="str">
            <v>SIROPE DE MAIZ (LIGHT)</v>
          </cell>
          <cell r="C233" t="str">
            <v>GALON</v>
          </cell>
          <cell r="D233">
            <v>11559.638999999999</v>
          </cell>
          <cell r="E233" t="str">
            <v>Mililitro</v>
          </cell>
          <cell r="F233">
            <v>3.0540657859973579</v>
          </cell>
        </row>
        <row r="234">
          <cell r="A234" t="str">
            <v>0910307</v>
          </cell>
          <cell r="B234" t="str">
            <v>ACEITE  LIBRE DE TRANS INOLASA(17 LITROS)</v>
          </cell>
          <cell r="C234" t="str">
            <v>LITRO</v>
          </cell>
          <cell r="D234">
            <v>913.97699999999998</v>
          </cell>
          <cell r="E234" t="str">
            <v>Mililitro</v>
          </cell>
          <cell r="F234">
            <v>0.91397699999999993</v>
          </cell>
        </row>
        <row r="235">
          <cell r="A235" t="str">
            <v>0910310</v>
          </cell>
          <cell r="B235" t="str">
            <v>ACEITE DE SESAMO ( 1750 ml )</v>
          </cell>
          <cell r="C235" t="str">
            <v>LITRO</v>
          </cell>
          <cell r="D235">
            <v>5715.5780000000004</v>
          </cell>
          <cell r="E235" t="str">
            <v>Mililitro</v>
          </cell>
          <cell r="F235">
            <v>5.7155780000000007</v>
          </cell>
        </row>
        <row r="236">
          <cell r="A236" t="str">
            <v>0910311</v>
          </cell>
          <cell r="B236" t="str">
            <v>ACEITE DE OLIVA PLAST .5 LIT</v>
          </cell>
          <cell r="C236" t="str">
            <v>LITRO</v>
          </cell>
          <cell r="D236">
            <v>2374.8290000000002</v>
          </cell>
          <cell r="E236" t="str">
            <v>Mililitro</v>
          </cell>
          <cell r="F236">
            <v>2.3748290000000001</v>
          </cell>
        </row>
        <row r="237">
          <cell r="A237" t="str">
            <v>0910313</v>
          </cell>
          <cell r="B237" t="str">
            <v>ACEITE CAPULLO RBD ( 17  LTS )</v>
          </cell>
          <cell r="C237" t="str">
            <v>LITRO</v>
          </cell>
          <cell r="D237">
            <v>804.62199999999996</v>
          </cell>
          <cell r="E237" t="str">
            <v>Mililitro</v>
          </cell>
          <cell r="F237">
            <v>0.80462199999999995</v>
          </cell>
        </row>
        <row r="238">
          <cell r="A238" t="str">
            <v>0910316</v>
          </cell>
          <cell r="B238" t="str">
            <v>SALSA CHINA GALON</v>
          </cell>
          <cell r="C238" t="str">
            <v>KILO</v>
          </cell>
          <cell r="D238">
            <v>698.36</v>
          </cell>
          <cell r="E238" t="str">
            <v>Gramo</v>
          </cell>
          <cell r="F238">
            <v>0.69835999999999998</v>
          </cell>
        </row>
        <row r="239">
          <cell r="A239" t="str">
            <v>0910318</v>
          </cell>
          <cell r="B239" t="str">
            <v>SALSA INGLESA CRIOLLA (3.785 L)</v>
          </cell>
          <cell r="C239" t="str">
            <v>LITRO</v>
          </cell>
          <cell r="D239">
            <v>1714.433</v>
          </cell>
          <cell r="E239" t="str">
            <v>Mililitro</v>
          </cell>
          <cell r="F239">
            <v>1.7144330000000001</v>
          </cell>
        </row>
        <row r="240">
          <cell r="A240" t="str">
            <v>0910322</v>
          </cell>
          <cell r="B240" t="str">
            <v>VINAGRE BLANCO (3.785 L)</v>
          </cell>
          <cell r="C240" t="str">
            <v>LITRO</v>
          </cell>
          <cell r="D240">
            <v>853.24099999999999</v>
          </cell>
          <cell r="E240" t="str">
            <v>Mililitro</v>
          </cell>
          <cell r="F240">
            <v>0.85324100000000003</v>
          </cell>
        </row>
        <row r="241">
          <cell r="A241" t="str">
            <v>0910324</v>
          </cell>
          <cell r="B241" t="str">
            <v>VINAGRE DE MANZANA 16 onz</v>
          </cell>
          <cell r="C241" t="str">
            <v>UND</v>
          </cell>
          <cell r="D241">
            <v>1305</v>
          </cell>
          <cell r="E241" t="str">
            <v>Mililitro</v>
          </cell>
          <cell r="F241">
            <v>0</v>
          </cell>
        </row>
        <row r="242">
          <cell r="A242" t="str">
            <v>0910327</v>
          </cell>
          <cell r="B242" t="str">
            <v>SALSA LEA &amp; PERRINS GALON</v>
          </cell>
          <cell r="C242" t="str">
            <v>LITRO</v>
          </cell>
          <cell r="D242">
            <v>1975.8389999999999</v>
          </cell>
          <cell r="E242" t="str">
            <v>Mililitro</v>
          </cell>
          <cell r="F242">
            <v>1.9758389999999999</v>
          </cell>
        </row>
        <row r="243">
          <cell r="A243" t="str">
            <v>0910329</v>
          </cell>
          <cell r="B243" t="str">
            <v>VINAGRE BALSAMICO TINTO ( 250 ML )</v>
          </cell>
          <cell r="C243" t="str">
            <v>LITRO</v>
          </cell>
          <cell r="D243">
            <v>6568.2529999999997</v>
          </cell>
          <cell r="E243" t="str">
            <v>Mililitro</v>
          </cell>
          <cell r="F243">
            <v>6.5682529999999995</v>
          </cell>
        </row>
        <row r="244">
          <cell r="A244" t="str">
            <v>0910332</v>
          </cell>
          <cell r="B244" t="str">
            <v>VAINILLA CLARA ( 3.785 L )</v>
          </cell>
          <cell r="C244" t="str">
            <v>LITRO</v>
          </cell>
          <cell r="D244">
            <v>932.59799999999996</v>
          </cell>
          <cell r="E244" t="str">
            <v>Mililitro</v>
          </cell>
          <cell r="F244">
            <v>0.93259799999999993</v>
          </cell>
        </row>
        <row r="245">
          <cell r="A245" t="str">
            <v>0910339</v>
          </cell>
          <cell r="B245" t="str">
            <v>VINAGRE VINO DE ARROZ (1GALON)</v>
          </cell>
          <cell r="C245" t="str">
            <v>GALON</v>
          </cell>
          <cell r="D245">
            <v>7343.4440000000004</v>
          </cell>
          <cell r="E245" t="str">
            <v>Mililitro</v>
          </cell>
          <cell r="F245">
            <v>1.9401437252311757</v>
          </cell>
        </row>
        <row r="246">
          <cell r="A246" t="str">
            <v>0910341</v>
          </cell>
          <cell r="B246" t="str">
            <v>SALSA INGLESA LIZANO (GALON)</v>
          </cell>
          <cell r="C246" t="str">
            <v>GALON</v>
          </cell>
          <cell r="D246">
            <v>6842.826</v>
          </cell>
          <cell r="E246" t="str">
            <v>Mililitro</v>
          </cell>
          <cell r="F246">
            <v>1.8078800528401586</v>
          </cell>
        </row>
        <row r="247">
          <cell r="A247" t="str">
            <v>0910343</v>
          </cell>
          <cell r="B247" t="str">
            <v>SALSA TOMATE BANQUETE (PAQ=2 Kg)</v>
          </cell>
          <cell r="C247" t="str">
            <v>KILO</v>
          </cell>
          <cell r="D247">
            <v>683.00099999999998</v>
          </cell>
          <cell r="E247" t="str">
            <v>Gramo</v>
          </cell>
          <cell r="F247">
            <v>0.68300099999999997</v>
          </cell>
        </row>
        <row r="248">
          <cell r="A248" t="str">
            <v>0910351</v>
          </cell>
          <cell r="B248" t="str">
            <v>SALSA CHILE AJI (BOLSA=1 KILO)</v>
          </cell>
          <cell r="C248" t="str">
            <v>KILO</v>
          </cell>
          <cell r="D248">
            <v>5901.7420000000002</v>
          </cell>
          <cell r="E248" t="str">
            <v>Gramo</v>
          </cell>
          <cell r="F248">
            <v>5.9017420000000005</v>
          </cell>
        </row>
        <row r="249">
          <cell r="A249" t="str">
            <v>910355</v>
          </cell>
          <cell r="B249" t="str">
            <v>ACEITE CLOVER GIRASOL 1/3 L</v>
          </cell>
          <cell r="C249" t="str">
            <v>LITRO</v>
          </cell>
          <cell r="D249" t="e">
            <v>#N/A</v>
          </cell>
          <cell r="E249" t="str">
            <v>Mililitro</v>
          </cell>
          <cell r="F249" t="e">
            <v>#N/A</v>
          </cell>
        </row>
        <row r="250">
          <cell r="A250" t="str">
            <v>0912262</v>
          </cell>
          <cell r="B250" t="str">
            <v>SALSA OSTION (2.268g)</v>
          </cell>
          <cell r="C250" t="str">
            <v>KILO</v>
          </cell>
          <cell r="D250">
            <v>2094.1060000000002</v>
          </cell>
          <cell r="E250" t="str">
            <v>Gramo</v>
          </cell>
          <cell r="F250">
            <v>2.094106</v>
          </cell>
        </row>
        <row r="251">
          <cell r="A251" t="str">
            <v>1010009</v>
          </cell>
          <cell r="B251" t="str">
            <v>CHILE CHIPOTLE COSTEÑA (2.9 Kg)</v>
          </cell>
          <cell r="C251" t="str">
            <v>KILO</v>
          </cell>
          <cell r="D251">
            <v>10089</v>
          </cell>
          <cell r="E251" t="str">
            <v>Gramo</v>
          </cell>
          <cell r="F251">
            <v>3.4789655172413791</v>
          </cell>
        </row>
        <row r="252">
          <cell r="A252" t="str">
            <v>1010331</v>
          </cell>
          <cell r="B252" t="str">
            <v>BRANDY NAPOLEON 700ML</v>
          </cell>
          <cell r="C252" t="str">
            <v>LITRO</v>
          </cell>
          <cell r="D252">
            <v>8402.2800000000007</v>
          </cell>
          <cell r="E252" t="str">
            <v>Mililitro</v>
          </cell>
          <cell r="F252">
            <v>8.4022800000000011</v>
          </cell>
        </row>
        <row r="253">
          <cell r="A253" t="str">
            <v>1010337</v>
          </cell>
          <cell r="B253" t="str">
            <v>RON CORTEZ LITRO</v>
          </cell>
          <cell r="C253" t="str">
            <v>BOTE</v>
          </cell>
          <cell r="D253">
            <v>5661.384</v>
          </cell>
          <cell r="E253" t="str">
            <v>Mililitro</v>
          </cell>
          <cell r="F253">
            <v>5.661384</v>
          </cell>
        </row>
        <row r="254">
          <cell r="A254" t="str">
            <v>1010339</v>
          </cell>
          <cell r="B254" t="str">
            <v>TRIPLE SEC ( LITRO)</v>
          </cell>
          <cell r="C254" t="str">
            <v>LITRO</v>
          </cell>
          <cell r="D254">
            <v>4370.88</v>
          </cell>
          <cell r="E254" t="str">
            <v>Mililitro</v>
          </cell>
          <cell r="F254">
            <v>4.3708800000000005</v>
          </cell>
        </row>
        <row r="255">
          <cell r="A255" t="str">
            <v>1010340</v>
          </cell>
          <cell r="B255" t="str">
            <v>VINO BLANCO UNDURRAGA 750 ml</v>
          </cell>
          <cell r="C255" t="str">
            <v>LITRO</v>
          </cell>
          <cell r="D255">
            <v>6113.0969999999998</v>
          </cell>
          <cell r="E255" t="str">
            <v>Mililitro</v>
          </cell>
          <cell r="F255">
            <v>6.1130969999999998</v>
          </cell>
        </row>
        <row r="256">
          <cell r="A256" t="str">
            <v>1010341</v>
          </cell>
          <cell r="B256" t="str">
            <v>LICOR DE CAFÉ DON PANCHO (LITRO)</v>
          </cell>
          <cell r="C256" t="str">
            <v>LITRO</v>
          </cell>
          <cell r="D256">
            <v>6872.6859999999997</v>
          </cell>
          <cell r="E256" t="str">
            <v>Mililitro</v>
          </cell>
          <cell r="F256">
            <v>6.8726859999999999</v>
          </cell>
        </row>
        <row r="257">
          <cell r="A257" t="str">
            <v>1012301</v>
          </cell>
          <cell r="B257" t="str">
            <v>VINO TINTO PETER VELA CABERNET SAUV. (BOTELLA=5 LTS)</v>
          </cell>
          <cell r="C257" t="str">
            <v>LITRO</v>
          </cell>
          <cell r="D257">
            <v>3060.8290000000002</v>
          </cell>
          <cell r="E257" t="str">
            <v>Mililitro</v>
          </cell>
          <cell r="F257">
            <v>3.060829</v>
          </cell>
        </row>
        <row r="258">
          <cell r="A258" t="str">
            <v>1012341</v>
          </cell>
          <cell r="B258" t="str">
            <v>BAILEYS (BOTELLA=1 LITRO)</v>
          </cell>
          <cell r="C258" t="str">
            <v>BOTE</v>
          </cell>
          <cell r="D258">
            <v>11416.06</v>
          </cell>
          <cell r="E258" t="str">
            <v>Mililitro</v>
          </cell>
          <cell r="F258">
            <v>11.41606</v>
          </cell>
        </row>
        <row r="259">
          <cell r="A259" t="str">
            <v>1012387</v>
          </cell>
          <cell r="B259" t="str">
            <v>RON ABUELO RESERVA LITRO</v>
          </cell>
          <cell r="C259" t="str">
            <v>LITRO</v>
          </cell>
          <cell r="D259">
            <v>5899.7049999999999</v>
          </cell>
          <cell r="E259" t="str">
            <v>Mililitro</v>
          </cell>
          <cell r="F259">
            <v>5.899705</v>
          </cell>
        </row>
        <row r="260">
          <cell r="A260" t="str">
            <v>1012431</v>
          </cell>
          <cell r="B260" t="str">
            <v>VINO BLANCO PETER VELA CABERNET SAUV. (BOTELLA=5 LTS)</v>
          </cell>
          <cell r="C260" t="str">
            <v>LITRO</v>
          </cell>
          <cell r="D260">
            <v>3060.69</v>
          </cell>
          <cell r="E260" t="str">
            <v>Mililitro</v>
          </cell>
          <cell r="F260">
            <v>3.0606900000000001</v>
          </cell>
        </row>
        <row r="261">
          <cell r="A261" t="str">
            <v>1110340</v>
          </cell>
          <cell r="B261" t="str">
            <v>LENTEJAS ( KILO )</v>
          </cell>
          <cell r="C261" t="str">
            <v>KILO</v>
          </cell>
          <cell r="D261">
            <v>1251.6010000000001</v>
          </cell>
          <cell r="E261" t="str">
            <v>Gramo</v>
          </cell>
          <cell r="F261">
            <v>1.2516010000000002</v>
          </cell>
        </row>
        <row r="262">
          <cell r="A262" t="str">
            <v>1110341</v>
          </cell>
          <cell r="B262" t="str">
            <v>MAÍZ DULCE GALON (1.850K= DRENADO )</v>
          </cell>
          <cell r="C262" t="str">
            <v>KILO</v>
          </cell>
          <cell r="D262">
            <v>1292.2809999999999</v>
          </cell>
          <cell r="E262" t="str">
            <v>Gramo</v>
          </cell>
          <cell r="F262">
            <v>1.292281</v>
          </cell>
        </row>
        <row r="263">
          <cell r="A263" t="str">
            <v>1110346</v>
          </cell>
          <cell r="B263" t="str">
            <v>ANCHOAS FILET (396g)</v>
          </cell>
          <cell r="C263" t="str">
            <v>KILO</v>
          </cell>
          <cell r="D263">
            <v>16645.379000000001</v>
          </cell>
          <cell r="E263" t="str">
            <v>Gramo</v>
          </cell>
          <cell r="F263">
            <v>16.645379000000002</v>
          </cell>
        </row>
        <row r="264">
          <cell r="A264" t="str">
            <v>1110347</v>
          </cell>
          <cell r="B264" t="str">
            <v>MANTEQUILLA MANI (2.27 Kg)</v>
          </cell>
          <cell r="C264" t="str">
            <v>KILO</v>
          </cell>
          <cell r="D264">
            <v>5853.9380000000001</v>
          </cell>
          <cell r="E264" t="str">
            <v>Gramo</v>
          </cell>
          <cell r="F264">
            <v>5.8539380000000003</v>
          </cell>
        </row>
        <row r="265">
          <cell r="A265" t="str">
            <v>1110354</v>
          </cell>
          <cell r="B265" t="str">
            <v>ALCAPARRAS 907 GRS (32onzas)</v>
          </cell>
          <cell r="C265" t="str">
            <v>KILO</v>
          </cell>
          <cell r="D265">
            <v>3991.723</v>
          </cell>
          <cell r="E265" t="str">
            <v>Gramo</v>
          </cell>
          <cell r="F265">
            <v>6.1411123076923078</v>
          </cell>
        </row>
        <row r="266">
          <cell r="A266" t="str">
            <v>1110361</v>
          </cell>
          <cell r="B266" t="str">
            <v>ESPARRAGOS ENTEROS (425 g)</v>
          </cell>
          <cell r="C266" t="str">
            <v>KILO</v>
          </cell>
          <cell r="D266">
            <v>3438.2710000000002</v>
          </cell>
          <cell r="E266" t="str">
            <v>Gramo</v>
          </cell>
          <cell r="F266">
            <v>3.4382710000000003</v>
          </cell>
        </row>
        <row r="267">
          <cell r="A267" t="str">
            <v>1110363</v>
          </cell>
          <cell r="B267" t="str">
            <v>CEREZAS CON TALLO (1/2 GALON) **</v>
          </cell>
          <cell r="C267" t="str">
            <v>TOPPER</v>
          </cell>
          <cell r="D267">
            <v>4640.5020000000004</v>
          </cell>
          <cell r="E267" t="str">
            <v>Gramo</v>
          </cell>
          <cell r="F267">
            <v>2.9235162600000004</v>
          </cell>
        </row>
        <row r="268">
          <cell r="A268" t="str">
            <v>1110370</v>
          </cell>
          <cell r="B268" t="str">
            <v>LECHE CONDENSADA NESTLE CHILE 4.5 KILOS</v>
          </cell>
          <cell r="C268" t="str">
            <v>KILO</v>
          </cell>
          <cell r="D268">
            <v>1688.486204</v>
          </cell>
          <cell r="E268" t="str">
            <v>Gramo</v>
          </cell>
          <cell r="F268">
            <v>1.6884862039999999</v>
          </cell>
        </row>
        <row r="269">
          <cell r="A269" t="str">
            <v>1110377</v>
          </cell>
          <cell r="B269" t="str">
            <v>MOSTAZA FRENCH (2.98 KILOS)</v>
          </cell>
          <cell r="C269" t="str">
            <v>KILO</v>
          </cell>
          <cell r="D269">
            <v>1403.02</v>
          </cell>
          <cell r="E269" t="str">
            <v>Gramo</v>
          </cell>
          <cell r="F269">
            <v>1.4030199999999999</v>
          </cell>
        </row>
        <row r="270">
          <cell r="A270" t="str">
            <v>1110378</v>
          </cell>
          <cell r="B270" t="str">
            <v>TOMATE LICUADO LATA ( 4.1 KILOS )</v>
          </cell>
          <cell r="C270" t="str">
            <v>KILO</v>
          </cell>
          <cell r="D270">
            <v>1369.61</v>
          </cell>
          <cell r="E270" t="str">
            <v>Gramo</v>
          </cell>
          <cell r="F270">
            <v>1.36961</v>
          </cell>
        </row>
        <row r="271">
          <cell r="A271" t="str">
            <v>1110379</v>
          </cell>
          <cell r="B271" t="str">
            <v>PASTA DE TOMATE (3.15 KILO)</v>
          </cell>
          <cell r="C271" t="str">
            <v>KILO</v>
          </cell>
          <cell r="D271">
            <v>1485.704</v>
          </cell>
          <cell r="E271" t="str">
            <v>Gramo</v>
          </cell>
          <cell r="F271">
            <v>1.4857039999999999</v>
          </cell>
        </row>
        <row r="272">
          <cell r="A272" t="str">
            <v>1110380</v>
          </cell>
          <cell r="B272" t="str">
            <v>PEPINILLOS REBANADOS (GALON)</v>
          </cell>
          <cell r="C272" t="str">
            <v>KILO</v>
          </cell>
          <cell r="D272">
            <v>1022.98</v>
          </cell>
          <cell r="E272" t="str">
            <v>Gramo</v>
          </cell>
          <cell r="F272">
            <v>1.02298</v>
          </cell>
        </row>
        <row r="273">
          <cell r="A273" t="str">
            <v>1110386</v>
          </cell>
          <cell r="B273" t="str">
            <v>TABASCO (BOTELLA=62 g )</v>
          </cell>
          <cell r="C273" t="str">
            <v>KILO</v>
          </cell>
          <cell r="D273">
            <v>6616.0219999999999</v>
          </cell>
          <cell r="E273" t="str">
            <v>Gramo</v>
          </cell>
          <cell r="F273">
            <v>6.6160220000000001</v>
          </cell>
        </row>
        <row r="274">
          <cell r="A274" t="str">
            <v>1110388</v>
          </cell>
          <cell r="B274" t="str">
            <v>MOSTAZA DIJON EXTRA FUERTE ( 370 gr )</v>
          </cell>
          <cell r="C274" t="str">
            <v>KILO</v>
          </cell>
          <cell r="D274">
            <v>5257.3990000000003</v>
          </cell>
          <cell r="E274" t="str">
            <v>Gramo</v>
          </cell>
          <cell r="F274">
            <v>5.2573990000000004</v>
          </cell>
        </row>
        <row r="275">
          <cell r="A275" t="str">
            <v>1110389</v>
          </cell>
          <cell r="B275" t="str">
            <v>MOSTAZA DIJON GRANULADA ( 350 g )</v>
          </cell>
          <cell r="C275" t="str">
            <v>KILO</v>
          </cell>
          <cell r="D275">
            <v>5572.6509999999998</v>
          </cell>
          <cell r="E275" t="str">
            <v>Gramo</v>
          </cell>
          <cell r="F275">
            <v>5.5726509999999996</v>
          </cell>
        </row>
        <row r="276">
          <cell r="A276" t="str">
            <v>1110391</v>
          </cell>
          <cell r="B276" t="str">
            <v>CHILE MORRON ( 3 KG )</v>
          </cell>
          <cell r="C276" t="str">
            <v>KILO</v>
          </cell>
          <cell r="D276">
            <v>2118.393</v>
          </cell>
          <cell r="E276" t="str">
            <v>Gramo</v>
          </cell>
          <cell r="F276">
            <v>3.8516236363636365</v>
          </cell>
        </row>
        <row r="277">
          <cell r="A277" t="str">
            <v>1110393</v>
          </cell>
          <cell r="B277" t="str">
            <v>PIÑA EN RODAJAS (TARRO=3 KILOS)</v>
          </cell>
          <cell r="C277" t="str">
            <v>KILO</v>
          </cell>
          <cell r="D277">
            <v>1913.2570785674106</v>
          </cell>
          <cell r="E277" t="str">
            <v>Gramo</v>
          </cell>
          <cell r="F277">
            <v>1.9132570785674106</v>
          </cell>
        </row>
        <row r="278">
          <cell r="A278" t="str">
            <v>1110408</v>
          </cell>
          <cell r="B278" t="str">
            <v>GUISANTES LAMB WESTON (KILO)</v>
          </cell>
          <cell r="C278" t="str">
            <v>KILO</v>
          </cell>
          <cell r="D278">
            <v>1339.001</v>
          </cell>
          <cell r="E278" t="str">
            <v>Gramo</v>
          </cell>
          <cell r="F278">
            <v>1.3390009999999999</v>
          </cell>
        </row>
        <row r="279">
          <cell r="A279" t="str">
            <v>1110414</v>
          </cell>
          <cell r="B279" t="str">
            <v>LECHE EVAPORADA (LITRO)</v>
          </cell>
          <cell r="C279" t="str">
            <v>LITRO</v>
          </cell>
          <cell r="D279">
            <v>1374.4969039999999</v>
          </cell>
          <cell r="E279" t="str">
            <v>Mililitro</v>
          </cell>
          <cell r="F279">
            <v>1.3744969039999999</v>
          </cell>
        </row>
        <row r="280">
          <cell r="A280" t="str">
            <v>1110415</v>
          </cell>
          <cell r="B280" t="str">
            <v>PETI PIOS CON ZANAHORIA (1KILO)</v>
          </cell>
          <cell r="C280" t="str">
            <v>KILO</v>
          </cell>
          <cell r="D280">
            <v>1215.028</v>
          </cell>
          <cell r="E280" t="str">
            <v>Gramo</v>
          </cell>
          <cell r="F280">
            <v>1.215028</v>
          </cell>
        </row>
        <row r="281">
          <cell r="A281" t="str">
            <v>1110419</v>
          </cell>
          <cell r="B281" t="str">
            <v>ANCHOAS FILETAEADAS EN ACEITE (720g)</v>
          </cell>
          <cell r="C281" t="str">
            <v>KILO</v>
          </cell>
          <cell r="D281">
            <v>16914.723000000002</v>
          </cell>
          <cell r="E281" t="str">
            <v>Gramo</v>
          </cell>
          <cell r="F281">
            <v>16.914723000000002</v>
          </cell>
        </row>
        <row r="282">
          <cell r="A282" t="str">
            <v>1110420</v>
          </cell>
          <cell r="B282" t="str">
            <v>LECHE CONDENSADA COCINADA HAPPY DAY (1 KILO)</v>
          </cell>
          <cell r="C282" t="str">
            <v>KILO</v>
          </cell>
          <cell r="D282">
            <v>1770.83</v>
          </cell>
          <cell r="E282" t="str">
            <v>Gramo</v>
          </cell>
          <cell r="F282">
            <v>1.7708299999999999</v>
          </cell>
        </row>
        <row r="283">
          <cell r="A283" t="str">
            <v>1112431</v>
          </cell>
          <cell r="B283" t="str">
            <v>MANJAR DE LECHE CONDENSADA ( 4.5 KG )</v>
          </cell>
          <cell r="C283" t="str">
            <v>KILO</v>
          </cell>
          <cell r="D283">
            <v>1978.960853</v>
          </cell>
          <cell r="E283" t="str">
            <v>Gramo</v>
          </cell>
          <cell r="F283">
            <v>1.978960853</v>
          </cell>
        </row>
        <row r="284">
          <cell r="A284" t="str">
            <v>1112441</v>
          </cell>
          <cell r="B284" t="str">
            <v>ACEITUNA C/PIMENTO (1.7 K)</v>
          </cell>
          <cell r="C284" t="str">
            <v>KILO</v>
          </cell>
          <cell r="D284">
            <v>2924.69</v>
          </cell>
          <cell r="E284" t="str">
            <v>Gramo</v>
          </cell>
          <cell r="F284">
            <v>2.92469</v>
          </cell>
        </row>
        <row r="285">
          <cell r="A285" t="str">
            <v>1112442</v>
          </cell>
          <cell r="B285" t="str">
            <v>ANCHOAS FILET ACEITA OLIVA ROLAND 56 GR</v>
          </cell>
          <cell r="C285" t="str">
            <v>KILO</v>
          </cell>
          <cell r="D285">
            <v>20487.172999999999</v>
          </cell>
          <cell r="E285" t="str">
            <v>Gramo</v>
          </cell>
          <cell r="F285">
            <v>20.487172999999999</v>
          </cell>
        </row>
        <row r="286">
          <cell r="A286" t="str">
            <v>1112445</v>
          </cell>
          <cell r="B286" t="str">
            <v>CEREZAS ROJAS C/TALLO (GALON)**</v>
          </cell>
          <cell r="C286" t="str">
            <v>GALON</v>
          </cell>
          <cell r="D286">
            <v>7253</v>
          </cell>
          <cell r="E286" t="str">
            <v>Gramo</v>
          </cell>
          <cell r="F286">
            <v>3.0220833333333332</v>
          </cell>
        </row>
        <row r="287">
          <cell r="A287" t="str">
            <v>1200001</v>
          </cell>
          <cell r="B287" t="str">
            <v>CHOCOLATE CUADRITO ANGEL (CAJA=200 UND)</v>
          </cell>
          <cell r="C287" t="str">
            <v>CAJA</v>
          </cell>
          <cell r="D287">
            <v>11000</v>
          </cell>
          <cell r="E287" t="str">
            <v>UND</v>
          </cell>
          <cell r="F287">
            <v>55</v>
          </cell>
        </row>
        <row r="288">
          <cell r="A288" t="str">
            <v>1210386</v>
          </cell>
          <cell r="B288" t="str">
            <v>COBERTURA CHOCOLATE LECHE ( 5KG )</v>
          </cell>
          <cell r="C288" t="str">
            <v>KILO</v>
          </cell>
          <cell r="D288">
            <v>4468</v>
          </cell>
          <cell r="E288" t="str">
            <v>Gramo</v>
          </cell>
          <cell r="F288">
            <v>4.468</v>
          </cell>
        </row>
        <row r="289">
          <cell r="A289" t="str">
            <v>1210387</v>
          </cell>
          <cell r="B289" t="str">
            <v>COBERTURA DE CHOCOLATE BLANCO ( PAQ=5 K )</v>
          </cell>
          <cell r="C289" t="str">
            <v>KILO</v>
          </cell>
          <cell r="D289">
            <v>2869.8009999999999</v>
          </cell>
          <cell r="E289" t="str">
            <v>Gramo</v>
          </cell>
          <cell r="F289">
            <v>2.8698009999999998</v>
          </cell>
        </row>
        <row r="290">
          <cell r="A290" t="str">
            <v>1210392</v>
          </cell>
          <cell r="B290" t="str">
            <v>CHOCOLATE OSCURO (BELCOLADE 2.5 KILO)</v>
          </cell>
          <cell r="C290" t="str">
            <v>KILO</v>
          </cell>
          <cell r="D290">
            <v>6408</v>
          </cell>
          <cell r="E290" t="str">
            <v>Gramo</v>
          </cell>
          <cell r="F290">
            <v>6.4080000000000004</v>
          </cell>
        </row>
        <row r="291">
          <cell r="A291" t="str">
            <v>1210393</v>
          </cell>
          <cell r="B291" t="str">
            <v>MARGARINA MULTIUSO ( 25 kg )</v>
          </cell>
          <cell r="C291" t="str">
            <v>KILO</v>
          </cell>
          <cell r="D291">
            <v>1077.76</v>
          </cell>
          <cell r="E291" t="str">
            <v>Gramo</v>
          </cell>
          <cell r="F291">
            <v>1.0777600000000001</v>
          </cell>
        </row>
        <row r="292">
          <cell r="A292" t="str">
            <v>1210394</v>
          </cell>
          <cell r="B292" t="str">
            <v>CHOCOLATE BLANCO (BELCOLADE=2.5KILO)</v>
          </cell>
          <cell r="C292" t="str">
            <v>KILO</v>
          </cell>
          <cell r="D292">
            <v>7467.0169999999998</v>
          </cell>
          <cell r="E292" t="str">
            <v>Gramo</v>
          </cell>
          <cell r="F292">
            <v>7.4670170000000002</v>
          </cell>
        </row>
        <row r="293">
          <cell r="A293" t="str">
            <v>1210396</v>
          </cell>
          <cell r="B293" t="str">
            <v>CHOCOLATE DE LECHE ( BELCOLADE=2.5 KILO )</v>
          </cell>
          <cell r="C293" t="str">
            <v>KILO</v>
          </cell>
          <cell r="D293">
            <v>6822.4809999999998</v>
          </cell>
          <cell r="E293" t="str">
            <v>Gramo</v>
          </cell>
          <cell r="F293">
            <v>6.8224809999999998</v>
          </cell>
        </row>
        <row r="294">
          <cell r="A294" t="str">
            <v>1210397</v>
          </cell>
          <cell r="B294" t="str">
            <v>COBERTURA  DE CHOCOLATE 118  5kg</v>
          </cell>
          <cell r="C294" t="str">
            <v>KILO</v>
          </cell>
          <cell r="D294">
            <v>4019.03</v>
          </cell>
          <cell r="E294" t="str">
            <v>Gramo</v>
          </cell>
          <cell r="F294">
            <v>4.0190299999999999</v>
          </cell>
        </row>
        <row r="295">
          <cell r="A295" t="str">
            <v>1210400</v>
          </cell>
          <cell r="B295" t="str">
            <v>HUEVOS EN CARTON (30UNID)</v>
          </cell>
          <cell r="C295" t="str">
            <v>UND</v>
          </cell>
          <cell r="D295">
            <v>75.978999999999999</v>
          </cell>
          <cell r="E295" t="str">
            <v>UND</v>
          </cell>
          <cell r="F295">
            <v>75.978999999999999</v>
          </cell>
        </row>
        <row r="296">
          <cell r="A296" t="str">
            <v>1210401</v>
          </cell>
          <cell r="B296" t="str">
            <v>MANTECA MAX PAN (25 kg)</v>
          </cell>
          <cell r="C296" t="str">
            <v>KILO</v>
          </cell>
          <cell r="D296">
            <v>812.80200000000002</v>
          </cell>
          <cell r="E296" t="str">
            <v>Gramo</v>
          </cell>
          <cell r="F296">
            <v>0.81280200000000002</v>
          </cell>
        </row>
        <row r="297">
          <cell r="A297" t="str">
            <v>1210405</v>
          </cell>
          <cell r="B297" t="str">
            <v>PASTA P/LASAG/(PAQ 5 de 1/2KG)</v>
          </cell>
          <cell r="C297" t="str">
            <v>KILO</v>
          </cell>
          <cell r="D297">
            <v>2305.0010000000002</v>
          </cell>
          <cell r="E297" t="str">
            <v>Gramo</v>
          </cell>
          <cell r="F297">
            <v>2.3050010000000003</v>
          </cell>
        </row>
        <row r="298">
          <cell r="A298" t="str">
            <v>1210408</v>
          </cell>
          <cell r="B298" t="str">
            <v>TAPA  DE DULCE(ATADO=2 UND)</v>
          </cell>
          <cell r="C298" t="str">
            <v>UND</v>
          </cell>
          <cell r="D298">
            <v>900</v>
          </cell>
          <cell r="E298" t="str">
            <v>UND</v>
          </cell>
          <cell r="F298">
            <v>900</v>
          </cell>
        </row>
        <row r="299">
          <cell r="A299" t="str">
            <v>1210412</v>
          </cell>
          <cell r="B299" t="str">
            <v>HIELO EN CUBITOS (PAQ=10 KILOS)</v>
          </cell>
          <cell r="C299" t="str">
            <v>PAQ</v>
          </cell>
          <cell r="D299">
            <v>1530.001</v>
          </cell>
          <cell r="E299" t="str">
            <v>Gramo</v>
          </cell>
          <cell r="F299">
            <v>0.1530001</v>
          </cell>
        </row>
        <row r="300">
          <cell r="A300" t="str">
            <v>1210413</v>
          </cell>
          <cell r="B300" t="str">
            <v>PASTA WANTAN (PAQ=465g)</v>
          </cell>
          <cell r="C300" t="str">
            <v>KILO</v>
          </cell>
          <cell r="D300">
            <v>2902.279</v>
          </cell>
          <cell r="E300" t="str">
            <v>Gramo</v>
          </cell>
          <cell r="F300">
            <v>2.9022790000000001</v>
          </cell>
        </row>
        <row r="301">
          <cell r="A301" t="str">
            <v>1210415</v>
          </cell>
          <cell r="B301" t="str">
            <v>PABILO ROLLO</v>
          </cell>
          <cell r="C301" t="str">
            <v>UND</v>
          </cell>
          <cell r="D301">
            <v>5454.4219999999996</v>
          </cell>
          <cell r="E301" t="str">
            <v>Centimetro</v>
          </cell>
          <cell r="F301">
            <v>0.38960157142857138</v>
          </cell>
        </row>
        <row r="302">
          <cell r="A302" t="str">
            <v>1210421</v>
          </cell>
          <cell r="B302" t="str">
            <v>CHOCOLATE HERSHEYS SEMISWEET (2,5k)</v>
          </cell>
          <cell r="C302" t="str">
            <v>GRAMO</v>
          </cell>
          <cell r="D302">
            <v>4.7779999999999996</v>
          </cell>
          <cell r="E302" t="str">
            <v>Gramo</v>
          </cell>
          <cell r="F302">
            <v>4.7779999999999996</v>
          </cell>
        </row>
        <row r="303">
          <cell r="A303" t="str">
            <v>1210425</v>
          </cell>
          <cell r="B303" t="str">
            <v>FRIJOLES MOLIDOS (BOLSA=2.95 Kg)</v>
          </cell>
          <cell r="C303" t="str">
            <v>KILO</v>
          </cell>
          <cell r="D303">
            <v>1060.3309999999999</v>
          </cell>
          <cell r="E303" t="str">
            <v>Gramo</v>
          </cell>
          <cell r="F303">
            <v>1.0603309999999999</v>
          </cell>
        </row>
        <row r="304">
          <cell r="A304" t="str">
            <v>1210430</v>
          </cell>
          <cell r="B304" t="str">
            <v>FIDEOS ARROZ (400 G)</v>
          </cell>
          <cell r="C304" t="str">
            <v>KILO</v>
          </cell>
          <cell r="D304">
            <v>3181.8780000000002</v>
          </cell>
          <cell r="E304" t="str">
            <v>Gramo</v>
          </cell>
          <cell r="F304">
            <v>3.1818780000000002</v>
          </cell>
        </row>
        <row r="305">
          <cell r="A305" t="str">
            <v>1210439</v>
          </cell>
          <cell r="B305" t="str">
            <v>PASTA LASAÑA PRECOCIDA ESPINACA ( 1k )</v>
          </cell>
          <cell r="C305" t="str">
            <v>KILO</v>
          </cell>
          <cell r="D305">
            <v>3400</v>
          </cell>
          <cell r="E305" t="str">
            <v>Gramo</v>
          </cell>
          <cell r="F305">
            <v>3.4</v>
          </cell>
        </row>
        <row r="306">
          <cell r="A306" t="str">
            <v>1210443</v>
          </cell>
          <cell r="B306" t="str">
            <v>YEMA DE HUEVO PASTEURIZADA (CAJA=2 Kg)</v>
          </cell>
          <cell r="C306" t="str">
            <v>KILO</v>
          </cell>
          <cell r="D306">
            <v>2200</v>
          </cell>
          <cell r="E306" t="str">
            <v>Gramo</v>
          </cell>
          <cell r="F306">
            <v>2.2000000000000002</v>
          </cell>
        </row>
        <row r="307">
          <cell r="A307" t="str">
            <v>1210445</v>
          </cell>
          <cell r="B307" t="str">
            <v>CLARAS HUEVO DESHIDRATADAS (22.730 Kg )</v>
          </cell>
          <cell r="C307" t="str">
            <v>KILO</v>
          </cell>
          <cell r="D307">
            <v>14515.096</v>
          </cell>
          <cell r="E307" t="str">
            <v>Gramo</v>
          </cell>
          <cell r="F307">
            <v>14.515096</v>
          </cell>
        </row>
        <row r="308">
          <cell r="A308" t="str">
            <v>1210448</v>
          </cell>
          <cell r="B308" t="str">
            <v>CLARAS HUEVO PASTEURIZADO INNOVO (2 KG)</v>
          </cell>
          <cell r="C308" t="str">
            <v>KILO</v>
          </cell>
          <cell r="D308">
            <v>3766.6669999999999</v>
          </cell>
          <cell r="E308" t="str">
            <v>Gramo</v>
          </cell>
          <cell r="F308">
            <v>3.766667</v>
          </cell>
        </row>
        <row r="309">
          <cell r="A309" t="str">
            <v>1210450</v>
          </cell>
          <cell r="B309" t="str">
            <v>PASTA WAN TAN 340G</v>
          </cell>
          <cell r="C309" t="str">
            <v>KILO</v>
          </cell>
          <cell r="D309">
            <v>4932.1180000000004</v>
          </cell>
          <cell r="E309" t="str">
            <v>Gramo</v>
          </cell>
          <cell r="F309">
            <v>4.932118</v>
          </cell>
        </row>
        <row r="310">
          <cell r="A310" t="str">
            <v>1210458</v>
          </cell>
          <cell r="B310" t="str">
            <v>CHOCOLATE OLAS OSCURAS (CAJA=200g)</v>
          </cell>
          <cell r="C310" t="str">
            <v>KILO</v>
          </cell>
          <cell r="D310">
            <v>16409.091</v>
          </cell>
          <cell r="E310" t="str">
            <v>Gramo</v>
          </cell>
          <cell r="F310">
            <v>16.409091</v>
          </cell>
        </row>
        <row r="311">
          <cell r="A311" t="str">
            <v>1210459</v>
          </cell>
          <cell r="B311" t="str">
            <v>CHOCOLATE OLAS BLANCAS (CAJA=200g)</v>
          </cell>
          <cell r="C311" t="str">
            <v>KILO</v>
          </cell>
          <cell r="D311">
            <v>19281.043000000001</v>
          </cell>
          <cell r="E311" t="str">
            <v>Gramo</v>
          </cell>
          <cell r="F311">
            <v>19.281043</v>
          </cell>
        </row>
        <row r="312">
          <cell r="A312" t="str">
            <v>1210461</v>
          </cell>
          <cell r="B312" t="str">
            <v>CHOCOLATE TULIPAN MARMOL (CAJA=150 UND)</v>
          </cell>
          <cell r="C312" t="str">
            <v>UND</v>
          </cell>
          <cell r="D312">
            <v>120</v>
          </cell>
          <cell r="E312" t="str">
            <v>UND</v>
          </cell>
          <cell r="F312">
            <v>120</v>
          </cell>
        </row>
        <row r="313">
          <cell r="A313" t="str">
            <v>1210462</v>
          </cell>
          <cell r="B313" t="str">
            <v>MONEDAS MARMOLEADAS (240UND)</v>
          </cell>
          <cell r="C313" t="str">
            <v>UND</v>
          </cell>
          <cell r="D313">
            <v>42.000999999999998</v>
          </cell>
          <cell r="E313" t="str">
            <v>UND</v>
          </cell>
          <cell r="F313">
            <v>42.000999999999998</v>
          </cell>
        </row>
        <row r="314">
          <cell r="A314" t="str">
            <v>1210464</v>
          </cell>
          <cell r="B314" t="str">
            <v>CHOCOLATE TRIANGULO OLEAJE ESPECIAL (CAJA=200 UND)</v>
          </cell>
          <cell r="C314" t="str">
            <v>UND</v>
          </cell>
          <cell r="D314">
            <v>115</v>
          </cell>
          <cell r="E314" t="str">
            <v>UND</v>
          </cell>
          <cell r="F314">
            <v>115</v>
          </cell>
        </row>
        <row r="315">
          <cell r="A315" t="str">
            <v>1210466</v>
          </cell>
          <cell r="B315" t="str">
            <v>CHOCOLATE TULIPAN MARMOL ESPECIAL (CAJA=150 UND)</v>
          </cell>
          <cell r="C315" t="str">
            <v>UND</v>
          </cell>
          <cell r="D315">
            <v>75</v>
          </cell>
          <cell r="E315" t="str">
            <v>UND</v>
          </cell>
          <cell r="F315">
            <v>75</v>
          </cell>
        </row>
        <row r="316">
          <cell r="A316" t="str">
            <v>1210467</v>
          </cell>
          <cell r="B316" t="str">
            <v>HUEVO DESHIDRATADO DANTEX 7 (CAJA=22.67 Kg)</v>
          </cell>
          <cell r="C316" t="str">
            <v>KILO</v>
          </cell>
          <cell r="D316">
            <v>5202.7669999999998</v>
          </cell>
          <cell r="E316" t="str">
            <v>Gramo</v>
          </cell>
          <cell r="F316">
            <v>5.2027669999999997</v>
          </cell>
        </row>
        <row r="317">
          <cell r="A317" t="str">
            <v>1210472</v>
          </cell>
          <cell r="B317" t="str">
            <v>TABLETA CHOCOLATE CRUNCH (44g)</v>
          </cell>
          <cell r="C317" t="str">
            <v>KILO</v>
          </cell>
          <cell r="D317">
            <v>13110</v>
          </cell>
          <cell r="E317" t="str">
            <v>Gramo</v>
          </cell>
          <cell r="F317">
            <v>13.11</v>
          </cell>
        </row>
        <row r="318">
          <cell r="A318" t="str">
            <v>1210473</v>
          </cell>
          <cell r="B318" t="str">
            <v>CHOCOLATE HOJAS OTOÑO (CAJA=150 UND)</v>
          </cell>
          <cell r="C318" t="str">
            <v>UND</v>
          </cell>
          <cell r="D318">
            <v>70</v>
          </cell>
          <cell r="E318" t="str">
            <v>UND</v>
          </cell>
          <cell r="F318">
            <v>70</v>
          </cell>
        </row>
        <row r="319">
          <cell r="A319" t="str">
            <v>1210476</v>
          </cell>
          <cell r="B319" t="str">
            <v>PRETZEL MINI SNYDERS ( BOLSA 252G)</v>
          </cell>
          <cell r="C319" t="str">
            <v>KILO</v>
          </cell>
          <cell r="D319">
            <v>9000.1450000000004</v>
          </cell>
          <cell r="E319" t="str">
            <v>Gramo</v>
          </cell>
          <cell r="F319">
            <v>9.0001449999999998</v>
          </cell>
        </row>
        <row r="320">
          <cell r="A320" t="str">
            <v>1210481</v>
          </cell>
          <cell r="B320" t="str">
            <v>MANTECA REFINADA IMP. (SHORTENING)</v>
          </cell>
          <cell r="C320" t="str">
            <v>KILO</v>
          </cell>
          <cell r="D320">
            <v>3441.1759999999999</v>
          </cell>
          <cell r="E320" t="str">
            <v>Gramo</v>
          </cell>
          <cell r="F320">
            <v>3.441176</v>
          </cell>
        </row>
        <row r="321">
          <cell r="A321" t="str">
            <v>1210482</v>
          </cell>
          <cell r="B321" t="str">
            <v>HUEVO PASTEURIZADO INNOVO 1/10K</v>
          </cell>
          <cell r="C321" t="str">
            <v>KILO</v>
          </cell>
          <cell r="D321">
            <v>1360.0160000000001</v>
          </cell>
          <cell r="E321" t="str">
            <v>Gramo</v>
          </cell>
          <cell r="F321">
            <v>1.3600160000000001</v>
          </cell>
        </row>
        <row r="322">
          <cell r="A322" t="str">
            <v>1210487</v>
          </cell>
          <cell r="B322" t="str">
            <v>FRIJOLES NEGROS ARMENIO (PAQ= .900GR= BULTO 15 PAQ)</v>
          </cell>
          <cell r="C322" t="str">
            <v>KILO</v>
          </cell>
          <cell r="D322">
            <v>1047.797</v>
          </cell>
          <cell r="E322" t="str">
            <v>Gramo</v>
          </cell>
          <cell r="F322">
            <v>1.0477970000000001</v>
          </cell>
        </row>
        <row r="323">
          <cell r="A323" t="str">
            <v>1210492</v>
          </cell>
          <cell r="B323" t="str">
            <v>CHANTILLY TOP CREAM CHOCOLATE 2K</v>
          </cell>
          <cell r="C323" t="str">
            <v>KILO</v>
          </cell>
          <cell r="D323">
            <v>1788.75</v>
          </cell>
          <cell r="E323" t="str">
            <v>Gramo</v>
          </cell>
          <cell r="F323">
            <v>1.7887500000000001</v>
          </cell>
        </row>
        <row r="324">
          <cell r="A324" t="str">
            <v>1210493</v>
          </cell>
          <cell r="B324" t="str">
            <v>CHANTILLY TOP CREAM BASE 1K</v>
          </cell>
          <cell r="C324" t="str">
            <v>KILO</v>
          </cell>
          <cell r="D324">
            <v>2008.5</v>
          </cell>
          <cell r="E324" t="str">
            <v>Gramo</v>
          </cell>
          <cell r="F324">
            <v>2.0085000000000002</v>
          </cell>
        </row>
        <row r="325">
          <cell r="A325" t="str">
            <v>1212310</v>
          </cell>
          <cell r="B325" t="str">
            <v>FIBRA CITRICA F1 200 FG</v>
          </cell>
          <cell r="C325" t="str">
            <v>KILO</v>
          </cell>
          <cell r="D325">
            <v>7339.9279999999999</v>
          </cell>
          <cell r="E325" t="str">
            <v>Gramo</v>
          </cell>
          <cell r="F325">
            <v>7.3399279999999996</v>
          </cell>
        </row>
        <row r="326">
          <cell r="A326" t="str">
            <v>1212383</v>
          </cell>
          <cell r="B326" t="str">
            <v>COLORANTE ROJO ( 50 ml )</v>
          </cell>
          <cell r="C326" t="str">
            <v>LITRO</v>
          </cell>
          <cell r="D326">
            <v>26101.288</v>
          </cell>
          <cell r="E326" t="str">
            <v>Mililitro</v>
          </cell>
          <cell r="F326">
            <v>26.101288</v>
          </cell>
        </row>
        <row r="327">
          <cell r="A327" t="str">
            <v>1212410</v>
          </cell>
          <cell r="B327" t="str">
            <v>PRESERVANTE 1047S(PAQ=5 KILO)</v>
          </cell>
          <cell r="C327" t="str">
            <v>KILO</v>
          </cell>
          <cell r="D327">
            <v>4791.7780000000002</v>
          </cell>
          <cell r="E327" t="str">
            <v>Gramo</v>
          </cell>
          <cell r="F327">
            <v>4.7917779999999999</v>
          </cell>
        </row>
        <row r="328">
          <cell r="A328" t="str">
            <v>1212412</v>
          </cell>
          <cell r="B328" t="str">
            <v>PRESERVANTE 1017 (PAQ=5 KILO)</v>
          </cell>
          <cell r="C328" t="str">
            <v>KILO</v>
          </cell>
          <cell r="D328">
            <v>6276.5140000000001</v>
          </cell>
          <cell r="E328" t="str">
            <v>Gramo</v>
          </cell>
          <cell r="F328">
            <v>6.2765139999999997</v>
          </cell>
        </row>
        <row r="329">
          <cell r="A329" t="str">
            <v>1212437</v>
          </cell>
          <cell r="B329" t="str">
            <v>PRESERVANTE MIXTO (BALDE = 17k)</v>
          </cell>
          <cell r="C329" t="str">
            <v>KILO</v>
          </cell>
          <cell r="D329">
            <v>2889.9960000000001</v>
          </cell>
          <cell r="E329" t="str">
            <v>Gramo</v>
          </cell>
          <cell r="F329">
            <v>2.889996</v>
          </cell>
        </row>
        <row r="330">
          <cell r="A330" t="str">
            <v>1212439</v>
          </cell>
          <cell r="B330" t="str">
            <v>PRESERVANTE OPTIFORM PD4-25K</v>
          </cell>
          <cell r="C330" t="str">
            <v>KILO</v>
          </cell>
          <cell r="D330">
            <v>2533.424</v>
          </cell>
          <cell r="E330" t="str">
            <v>Gramo</v>
          </cell>
          <cell r="F330">
            <v>2.5334240000000001</v>
          </cell>
        </row>
        <row r="331">
          <cell r="A331" t="str">
            <v>1310444</v>
          </cell>
          <cell r="B331" t="str">
            <v>VAINILLA LIGHT AND FLUFFY ( 15.88 KG )( 35 LBS )</v>
          </cell>
          <cell r="C331" t="str">
            <v>KILO</v>
          </cell>
          <cell r="D331">
            <v>40508.512000000002</v>
          </cell>
          <cell r="E331" t="str">
            <v>Gramo</v>
          </cell>
          <cell r="F331">
            <v>40.508512000000003</v>
          </cell>
        </row>
        <row r="332">
          <cell r="A332" t="str">
            <v>1522523</v>
          </cell>
          <cell r="B332" t="str">
            <v>CONSERVA CHIVERRE ( CUBETA=25K)</v>
          </cell>
          <cell r="C332" t="str">
            <v>KILO</v>
          </cell>
          <cell r="D332">
            <v>2200</v>
          </cell>
          <cell r="E332" t="str">
            <v>Gramo</v>
          </cell>
          <cell r="F332">
            <v>2.2000000000000002</v>
          </cell>
        </row>
        <row r="333">
          <cell r="A333" t="str">
            <v>1590921</v>
          </cell>
          <cell r="B333" t="str">
            <v>SIROPE MAPLE AUNT JEMINA (340 GRAMOS)</v>
          </cell>
          <cell r="C333" t="str">
            <v>UND</v>
          </cell>
          <cell r="D333">
            <v>2444</v>
          </cell>
          <cell r="E333" t="str">
            <v>Gramo</v>
          </cell>
          <cell r="F333">
            <v>7.1882352941176473</v>
          </cell>
        </row>
        <row r="334">
          <cell r="A334" t="str">
            <v>1730473</v>
          </cell>
          <cell r="B334" t="str">
            <v>ACEITE EXTRA VIRGEN FILIPPO (250ml)</v>
          </cell>
          <cell r="C334" t="str">
            <v>LITRO</v>
          </cell>
          <cell r="D334">
            <v>6369.0950000000003</v>
          </cell>
          <cell r="E334" t="str">
            <v>Mililitro</v>
          </cell>
          <cell r="F334">
            <v>6.3690950000000006</v>
          </cell>
        </row>
        <row r="335">
          <cell r="A335" t="str">
            <v>1730478</v>
          </cell>
          <cell r="B335" t="str">
            <v>ALCACHOFAS EN CORAZON (1.55k)</v>
          </cell>
          <cell r="C335" t="str">
            <v>KILO</v>
          </cell>
          <cell r="D335">
            <v>5045.6170000000002</v>
          </cell>
          <cell r="E335" t="str">
            <v>Gramo</v>
          </cell>
          <cell r="F335">
            <v>5.045617</v>
          </cell>
        </row>
        <row r="336">
          <cell r="A336" t="str">
            <v>1730482</v>
          </cell>
          <cell r="B336" t="str">
            <v>HARINA NACARINA ( 2.5 kg )</v>
          </cell>
          <cell r="C336" t="str">
            <v>KILO</v>
          </cell>
          <cell r="D336">
            <v>611.6</v>
          </cell>
          <cell r="E336" t="str">
            <v>Gramo</v>
          </cell>
          <cell r="F336">
            <v>0.61160000000000003</v>
          </cell>
        </row>
        <row r="337">
          <cell r="A337" t="str">
            <v>1730576</v>
          </cell>
          <cell r="B337" t="str">
            <v>CARNE QUITITEÑA</v>
          </cell>
          <cell r="C337" t="str">
            <v>KILO</v>
          </cell>
          <cell r="D337">
            <v>3500</v>
          </cell>
          <cell r="E337" t="str">
            <v>Gramo</v>
          </cell>
          <cell r="F337">
            <v>3.5</v>
          </cell>
        </row>
        <row r="338">
          <cell r="A338" t="str">
            <v>1730580</v>
          </cell>
          <cell r="B338" t="str">
            <v>COSTILLA DE CERDO (PAQ=1 KILO)</v>
          </cell>
          <cell r="C338" t="str">
            <v>KILO</v>
          </cell>
          <cell r="D338">
            <v>3895</v>
          </cell>
          <cell r="E338" t="str">
            <v>Gramo</v>
          </cell>
          <cell r="F338">
            <v>3.895</v>
          </cell>
        </row>
        <row r="339">
          <cell r="A339" t="str">
            <v>1730607</v>
          </cell>
          <cell r="B339" t="str">
            <v>QUESO PROCESADO REBANADO</v>
          </cell>
          <cell r="C339" t="str">
            <v>KILO</v>
          </cell>
          <cell r="D339">
            <v>8780</v>
          </cell>
          <cell r="E339" t="str">
            <v>Gramo</v>
          </cell>
          <cell r="F339">
            <v>8.7799999999999994</v>
          </cell>
        </row>
        <row r="340">
          <cell r="A340" t="str">
            <v>1730610</v>
          </cell>
          <cell r="B340" t="str">
            <v>NATILLA (GALON=3.785 Lts)</v>
          </cell>
          <cell r="C340" t="str">
            <v>LITRO</v>
          </cell>
          <cell r="D340">
            <v>1497.1869999999999</v>
          </cell>
          <cell r="E340" t="str">
            <v>Mililitro</v>
          </cell>
          <cell r="F340">
            <v>1.4971869999999998</v>
          </cell>
        </row>
        <row r="341">
          <cell r="A341" t="str">
            <v>1730619</v>
          </cell>
          <cell r="B341" t="str">
            <v>PLATANO MADURO UNIDAD</v>
          </cell>
          <cell r="C341" t="str">
            <v>UND</v>
          </cell>
          <cell r="D341">
            <v>250</v>
          </cell>
          <cell r="E341" t="str">
            <v>UND</v>
          </cell>
          <cell r="F341">
            <v>250</v>
          </cell>
        </row>
        <row r="342">
          <cell r="A342" t="str">
            <v>1730643</v>
          </cell>
          <cell r="B342" t="str">
            <v>QUESO TURRIALBA (3KILO)</v>
          </cell>
          <cell r="C342" t="str">
            <v>KILO</v>
          </cell>
          <cell r="D342">
            <v>2979.5920000000001</v>
          </cell>
          <cell r="E342" t="str">
            <v>Gramo</v>
          </cell>
          <cell r="F342">
            <v>2.9795920000000002</v>
          </cell>
        </row>
        <row r="343">
          <cell r="A343" t="str">
            <v>1730645</v>
          </cell>
          <cell r="B343" t="str">
            <v>QUESO MOZARELLA RAYADO (1KILO)</v>
          </cell>
          <cell r="C343" t="str">
            <v>KILO</v>
          </cell>
          <cell r="D343">
            <v>4621.2539999999999</v>
          </cell>
          <cell r="E343" t="str">
            <v>Gramo</v>
          </cell>
          <cell r="F343">
            <v>4.6212539999999995</v>
          </cell>
        </row>
        <row r="344">
          <cell r="A344" t="str">
            <v>1730647</v>
          </cell>
          <cell r="B344" t="str">
            <v>PECHUGA DESHUESADA FILET CON LOMITO (KILO)</v>
          </cell>
          <cell r="C344" t="str">
            <v>KILO</v>
          </cell>
          <cell r="D344">
            <v>2380</v>
          </cell>
          <cell r="E344" t="str">
            <v>Gramo</v>
          </cell>
          <cell r="F344">
            <v>2.38</v>
          </cell>
        </row>
        <row r="345">
          <cell r="A345" t="str">
            <v>1730660</v>
          </cell>
          <cell r="B345" t="str">
            <v>QUESO CREMA PANADERO (CAJA =5 KILOS )</v>
          </cell>
          <cell r="C345" t="str">
            <v>KILO</v>
          </cell>
          <cell r="D345">
            <v>2589.5740000000001</v>
          </cell>
          <cell r="E345" t="str">
            <v>Gramo</v>
          </cell>
          <cell r="F345">
            <v>2.5895740000000003</v>
          </cell>
        </row>
        <row r="346">
          <cell r="A346" t="str">
            <v>5105009</v>
          </cell>
          <cell r="B346" t="str">
            <v>PASA GOLDEN (CAJA=13.6 K)</v>
          </cell>
          <cell r="C346" t="str">
            <v>KILO</v>
          </cell>
          <cell r="D346">
            <v>3277.788</v>
          </cell>
          <cell r="E346" t="str">
            <v>Gramo</v>
          </cell>
          <cell r="F346">
            <v>3.2777880000000001</v>
          </cell>
        </row>
        <row r="347">
          <cell r="A347" t="str">
            <v>10300001</v>
          </cell>
          <cell r="B347" t="str">
            <v>JARRETE PICADO KILO</v>
          </cell>
          <cell r="C347" t="str">
            <v>KILO</v>
          </cell>
          <cell r="D347">
            <v>859</v>
          </cell>
          <cell r="E347" t="str">
            <v>Gramo</v>
          </cell>
          <cell r="F347">
            <v>0.85899999999999999</v>
          </cell>
        </row>
        <row r="348">
          <cell r="A348" t="str">
            <v>10300003</v>
          </cell>
          <cell r="B348" t="str">
            <v>JAMON COCIDO EN TROZOS (PAQ=500G)</v>
          </cell>
          <cell r="C348" t="str">
            <v>PAQ</v>
          </cell>
          <cell r="D348">
            <v>2050</v>
          </cell>
          <cell r="E348" t="str">
            <v>Gramo</v>
          </cell>
          <cell r="F348">
            <v>4.0999999999999996</v>
          </cell>
        </row>
        <row r="349">
          <cell r="A349" t="str">
            <v>1110406</v>
          </cell>
          <cell r="B349" t="str">
            <v>ATUN LOMO TROZOS ACEITE (LATA=1 KILO)</v>
          </cell>
          <cell r="C349" t="str">
            <v>KILO</v>
          </cell>
          <cell r="D349">
            <v>3475.6759999999999</v>
          </cell>
          <cell r="E349" t="str">
            <v>Gramo</v>
          </cell>
          <cell r="F349">
            <v>3.475676</v>
          </cell>
        </row>
      </sheetData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>
            <v>202.95699999999999</v>
          </cell>
          <cell r="E2" t="str">
            <v>UND</v>
          </cell>
          <cell r="F2">
            <v>0.22550777777777778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205.90199999999999</v>
          </cell>
          <cell r="E3" t="str">
            <v>UND</v>
          </cell>
          <cell r="F3">
            <v>0.22877999999999998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196.625</v>
          </cell>
          <cell r="E4" t="str">
            <v>UND</v>
          </cell>
          <cell r="F4">
            <v>0.21847222222222223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259.42899999999997</v>
          </cell>
          <cell r="E5" t="str">
            <v>UND</v>
          </cell>
          <cell r="F5">
            <v>0.28825444444444442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193.44300000000001</v>
          </cell>
          <cell r="E6" t="str">
            <v>UND</v>
          </cell>
          <cell r="F6">
            <v>0.21493666666666669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193.173</v>
          </cell>
          <cell r="E7" t="str">
            <v>UND</v>
          </cell>
          <cell r="F7">
            <v>0.21463666666666667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190.66900000000001</v>
          </cell>
          <cell r="E8" t="str">
            <v>UND</v>
          </cell>
          <cell r="F8">
            <v>0.21185444444444446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165</v>
          </cell>
          <cell r="E9" t="str">
            <v>UND</v>
          </cell>
          <cell r="F9">
            <v>0.18333333333333332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4.306</v>
          </cell>
          <cell r="E10" t="str">
            <v>UND</v>
          </cell>
          <cell r="F10">
            <v>4.306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210.43799999999999</v>
          </cell>
          <cell r="E11" t="str">
            <v>UND</v>
          </cell>
          <cell r="F11">
            <v>0.23382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275</v>
          </cell>
          <cell r="E12" t="str">
            <v>UND</v>
          </cell>
          <cell r="F12">
            <v>0.30555555555555558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210.196</v>
          </cell>
          <cell r="E13" t="str">
            <v>UND</v>
          </cell>
          <cell r="F13">
            <v>0.2335511111111111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321.64</v>
          </cell>
          <cell r="E15" t="str">
            <v>UND</v>
          </cell>
          <cell r="F15">
            <v>0.35737777777777774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1.0449999999999999</v>
          </cell>
          <cell r="E16" t="str">
            <v>UND</v>
          </cell>
          <cell r="F16">
            <v>1.0449999999999999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2.0470000000000002</v>
          </cell>
          <cell r="E17" t="str">
            <v>UND</v>
          </cell>
          <cell r="F17">
            <v>2.0470000000000002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0.61599999999999999</v>
          </cell>
          <cell r="E18" t="str">
            <v>UND</v>
          </cell>
          <cell r="F18">
            <v>0.61599999999999999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6.7149999999999999</v>
          </cell>
          <cell r="E19" t="str">
            <v>UND</v>
          </cell>
          <cell r="F19">
            <v>6.7149999999999999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12.87</v>
          </cell>
          <cell r="E21" t="str">
            <v>UND</v>
          </cell>
          <cell r="F21">
            <v>12.87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5</v>
          </cell>
          <cell r="E22" t="str">
            <v>UND</v>
          </cell>
          <cell r="F22">
            <v>5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2.2759999999999998</v>
          </cell>
          <cell r="E25" t="str">
            <v>UND</v>
          </cell>
          <cell r="F25">
            <v>2.2759999999999998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25.007999999999999</v>
          </cell>
          <cell r="E26" t="str">
            <v>UND</v>
          </cell>
          <cell r="F26">
            <v>25.007999999999999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25.001000000000001</v>
          </cell>
          <cell r="E27" t="str">
            <v>UND</v>
          </cell>
          <cell r="F27">
            <v>25.001000000000001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5866.5159999999996</v>
          </cell>
          <cell r="E41" t="str">
            <v>UND</v>
          </cell>
          <cell r="F41">
            <v>5.8665159999999998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49.741999999999997</v>
          </cell>
          <cell r="E42" t="str">
            <v>UND</v>
          </cell>
          <cell r="F42">
            <v>49.741999999999997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34.210999999999999</v>
          </cell>
          <cell r="E46" t="str">
            <v>UND</v>
          </cell>
          <cell r="F46">
            <v>34.210999999999999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30494.162</v>
          </cell>
          <cell r="E48" t="str">
            <v>UND</v>
          </cell>
          <cell r="F48">
            <v>30.494161999999999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311.99400000000003</v>
          </cell>
          <cell r="E50" t="str">
            <v>UND</v>
          </cell>
          <cell r="F50">
            <v>311.99400000000003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395.62299999999999</v>
          </cell>
          <cell r="E51" t="str">
            <v>UND</v>
          </cell>
          <cell r="F51">
            <v>395.62299999999999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28.384</v>
          </cell>
          <cell r="E54" t="str">
            <v>UND</v>
          </cell>
          <cell r="F54">
            <v>28.384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6.7779999999999996</v>
          </cell>
          <cell r="E56" t="str">
            <v>UND</v>
          </cell>
          <cell r="F56">
            <v>6.7779999999999996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7.7370000000000001</v>
          </cell>
          <cell r="E59" t="str">
            <v>UND</v>
          </cell>
          <cell r="F59">
            <v>7.7370000000000001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49.914000000000001</v>
          </cell>
          <cell r="E60" t="str">
            <v>UND</v>
          </cell>
          <cell r="F60">
            <v>49.914000000000001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10.645</v>
          </cell>
          <cell r="E62" t="str">
            <v>UND</v>
          </cell>
          <cell r="F62">
            <v>10.645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201.988</v>
          </cell>
          <cell r="E65" t="str">
            <v>UND</v>
          </cell>
          <cell r="F65">
            <v>201.988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127.584</v>
          </cell>
          <cell r="E66" t="str">
            <v>UND</v>
          </cell>
          <cell r="F66">
            <v>127.584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206.16</v>
          </cell>
          <cell r="E67" t="str">
            <v>UND</v>
          </cell>
          <cell r="F67">
            <v>206.16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99.497</v>
          </cell>
          <cell r="E69" t="str">
            <v>UND</v>
          </cell>
          <cell r="F69">
            <v>99.497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92.992999999999995</v>
          </cell>
          <cell r="E70" t="str">
            <v>UND</v>
          </cell>
          <cell r="F70">
            <v>92.992999999999995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116.337</v>
          </cell>
          <cell r="E71" t="str">
            <v>UND</v>
          </cell>
          <cell r="F71">
            <v>116.337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</v>
          </cell>
          <cell r="E74" t="str">
            <v>UND</v>
          </cell>
          <cell r="F74">
            <v>6.75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54.371000000000002</v>
          </cell>
          <cell r="E76" t="str">
            <v>UND</v>
          </cell>
          <cell r="F76">
            <v>54.371000000000002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2.66</v>
          </cell>
          <cell r="E77" t="str">
            <v>UND</v>
          </cell>
          <cell r="F77">
            <v>2.66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109.575</v>
          </cell>
          <cell r="E78" t="str">
            <v>UND</v>
          </cell>
          <cell r="F78">
            <v>109.575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81.06</v>
          </cell>
          <cell r="E79" t="str">
            <v>UND</v>
          </cell>
          <cell r="F79">
            <v>81.06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1841.68</v>
          </cell>
          <cell r="E80" t="str">
            <v>UND</v>
          </cell>
          <cell r="F80">
            <v>1841.68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783</v>
          </cell>
          <cell r="E81" t="str">
            <v>UND</v>
          </cell>
          <cell r="F81">
            <v>783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36</v>
          </cell>
          <cell r="E82" t="str">
            <v>UND</v>
          </cell>
          <cell r="F82">
            <v>36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22.919</v>
          </cell>
          <cell r="E83" t="str">
            <v>UND</v>
          </cell>
          <cell r="F83">
            <v>22.919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5.78</v>
          </cell>
          <cell r="E84" t="str">
            <v>UND</v>
          </cell>
          <cell r="F84">
            <v>5.78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8.4</v>
          </cell>
          <cell r="E85" t="str">
            <v>UND</v>
          </cell>
          <cell r="F85">
            <v>8.4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7.75</v>
          </cell>
          <cell r="E86" t="str">
            <v>UND</v>
          </cell>
          <cell r="F86">
            <v>7.75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10.826000000000001</v>
          </cell>
          <cell r="E87" t="str">
            <v>UND</v>
          </cell>
          <cell r="F87">
            <v>10.826000000000001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41.201999999999998</v>
          </cell>
          <cell r="E89" t="str">
            <v>UND</v>
          </cell>
          <cell r="F89">
            <v>41.201999999999998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22.161999999999999</v>
          </cell>
          <cell r="E90" t="str">
            <v>UND</v>
          </cell>
          <cell r="F90">
            <v>22.161999999999999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178.08</v>
          </cell>
          <cell r="E91" t="str">
            <v>UND</v>
          </cell>
          <cell r="F91">
            <v>178.08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9524.0349999999999</v>
          </cell>
          <cell r="E92" t="str">
            <v>Centimetros</v>
          </cell>
          <cell r="F92">
            <v>0.47620174999999998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13787.079</v>
          </cell>
          <cell r="E93" t="str">
            <v>Centimetros</v>
          </cell>
          <cell r="F93">
            <v>1.3787079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25.997</v>
          </cell>
          <cell r="E94" t="str">
            <v>UND</v>
          </cell>
          <cell r="F94">
            <v>25.997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3535.223</v>
          </cell>
          <cell r="E96" t="str">
            <v>UND</v>
          </cell>
          <cell r="F96">
            <v>7.0704459999999996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270.87900000000002</v>
          </cell>
          <cell r="E97" t="str">
            <v>UND</v>
          </cell>
          <cell r="F97">
            <v>270.87900000000002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7.7149999999999999</v>
          </cell>
          <cell r="E101" t="str">
            <v>UND</v>
          </cell>
          <cell r="F101">
            <v>7.7149999999999999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17.401</v>
          </cell>
          <cell r="E102" t="str">
            <v>UND</v>
          </cell>
          <cell r="F102">
            <v>17.401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95.801000000000002</v>
          </cell>
          <cell r="E103" t="str">
            <v>UND</v>
          </cell>
          <cell r="F103">
            <v>95.801000000000002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69</v>
          </cell>
          <cell r="E104" t="str">
            <v>UND</v>
          </cell>
          <cell r="F104">
            <v>69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1302.367</v>
          </cell>
          <cell r="E105" t="str">
            <v>UND</v>
          </cell>
          <cell r="F105">
            <v>1302.367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145</v>
          </cell>
          <cell r="E106" t="str">
            <v>UND</v>
          </cell>
          <cell r="F106">
            <v>145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</v>
          </cell>
          <cell r="E107" t="str">
            <v>UND</v>
          </cell>
          <cell r="F107">
            <v>176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767.19899999999996</v>
          </cell>
          <cell r="E108" t="str">
            <v>UND</v>
          </cell>
          <cell r="F108">
            <v>767.19899999999996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188.82499999999999</v>
          </cell>
          <cell r="E109" t="str">
            <v>UND</v>
          </cell>
          <cell r="F109">
            <v>18.8825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48.207999999999998</v>
          </cell>
          <cell r="E110" t="str">
            <v>UND</v>
          </cell>
          <cell r="F110">
            <v>48.207999999999998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</v>
          </cell>
          <cell r="E111" t="str">
            <v>UND</v>
          </cell>
          <cell r="F111">
            <v>41.5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242</v>
          </cell>
          <cell r="E113" t="str">
            <v>UND</v>
          </cell>
          <cell r="F113">
            <v>242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106.91800000000001</v>
          </cell>
          <cell r="E115" t="str">
            <v>UND</v>
          </cell>
          <cell r="F115">
            <v>106.91800000000001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87.055000000000007</v>
          </cell>
          <cell r="E116" t="str">
            <v>UND</v>
          </cell>
          <cell r="F116">
            <v>87.055000000000007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4134.9430000000002</v>
          </cell>
          <cell r="E117" t="str">
            <v>UND</v>
          </cell>
          <cell r="F117">
            <v>12.380068862275449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25.364999999999998</v>
          </cell>
          <cell r="E118" t="str">
            <v>UND</v>
          </cell>
          <cell r="F118">
            <v>25.364999999999998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1350.1179999999999</v>
          </cell>
          <cell r="E119" t="str">
            <v>UND</v>
          </cell>
          <cell r="F119">
            <v>4.0422694610778445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168.37100000000001</v>
          </cell>
          <cell r="E121" t="str">
            <v>UND</v>
          </cell>
          <cell r="F121">
            <v>168.37100000000001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6.8479999999999999</v>
          </cell>
          <cell r="E123" t="str">
            <v>UND</v>
          </cell>
          <cell r="F123">
            <v>6.8479999999999999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5.0579999999999998</v>
          </cell>
          <cell r="E124" t="str">
            <v>UND</v>
          </cell>
          <cell r="F124">
            <v>5.0579999999999998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3872.431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6310.201</v>
          </cell>
          <cell r="E130" t="str">
            <v>Centimetros</v>
          </cell>
          <cell r="F130">
            <v>3.1551005000000001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29.498999999999999</v>
          </cell>
          <cell r="E131" t="str">
            <v>UND</v>
          </cell>
          <cell r="F131">
            <v>29.498999999999999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30.794</v>
          </cell>
          <cell r="E132" t="str">
            <v>UND</v>
          </cell>
          <cell r="F132">
            <v>30.794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413.55200000000002</v>
          </cell>
          <cell r="E133" t="str">
            <v>UND</v>
          </cell>
          <cell r="F133">
            <v>413.55200000000002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48.494999999999997</v>
          </cell>
          <cell r="E135" t="str">
            <v>UND</v>
          </cell>
          <cell r="F135">
            <v>48.494999999999997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71.403999999999996</v>
          </cell>
          <cell r="E136" t="str">
            <v>UND</v>
          </cell>
          <cell r="F136">
            <v>71.403999999999996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</v>
          </cell>
          <cell r="E139" t="str">
            <v>UND</v>
          </cell>
          <cell r="F139">
            <v>56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30.834</v>
          </cell>
          <cell r="E143" t="str">
            <v>UND</v>
          </cell>
          <cell r="F143">
            <v>30.834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3899.605</v>
          </cell>
          <cell r="E145" t="str">
            <v>UND</v>
          </cell>
          <cell r="F145">
            <v>3.8996050000000002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3845.4989999999998</v>
          </cell>
          <cell r="E146" t="str">
            <v>UND</v>
          </cell>
          <cell r="F146">
            <v>10.119734210526316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80.251999999999995</v>
          </cell>
          <cell r="E147" t="str">
            <v>UND</v>
          </cell>
          <cell r="F147">
            <v>80.251999999999995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62.628</v>
          </cell>
          <cell r="E148" t="str">
            <v>UND</v>
          </cell>
          <cell r="F148">
            <v>62.628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27.731999999999999</v>
          </cell>
          <cell r="E149" t="str">
            <v>UND</v>
          </cell>
          <cell r="F149">
            <v>27.731999999999999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71.456000000000003</v>
          </cell>
          <cell r="E151" t="str">
            <v>UND</v>
          </cell>
          <cell r="F151">
            <v>71.456000000000003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191.886</v>
          </cell>
          <cell r="E152" t="str">
            <v>UND</v>
          </cell>
          <cell r="F152">
            <v>191.886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81.039000000000001</v>
          </cell>
          <cell r="E156" t="str">
            <v>UND</v>
          </cell>
          <cell r="F156">
            <v>81.039000000000001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43.762</v>
          </cell>
          <cell r="E158" t="str">
            <v>UND</v>
          </cell>
          <cell r="F158">
            <v>43.762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28828.284</v>
          </cell>
          <cell r="E159" t="str">
            <v>UND</v>
          </cell>
          <cell r="F159">
            <v>48.047139999999999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3856.58</v>
          </cell>
          <cell r="E161" t="str">
            <v>UND</v>
          </cell>
          <cell r="F161">
            <v>10.220166953756459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3724.9929999999999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196.54499999999999</v>
          </cell>
          <cell r="E164" t="str">
            <v>UND</v>
          </cell>
          <cell r="F164">
            <v>196.54499999999999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52.966999999999999</v>
          </cell>
          <cell r="E170" t="str">
            <v>UND</v>
          </cell>
          <cell r="F170">
            <v>52.966999999999999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67.994</v>
          </cell>
          <cell r="E171" t="str">
            <v>UND</v>
          </cell>
          <cell r="F171">
            <v>67.994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77.037999999999997</v>
          </cell>
          <cell r="E172" t="str">
            <v>UND</v>
          </cell>
          <cell r="F172">
            <v>77.037999999999997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463.87599999999998</v>
          </cell>
          <cell r="E175" t="str">
            <v>UND</v>
          </cell>
          <cell r="F175">
            <v>463.87599999999998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475</v>
          </cell>
          <cell r="E176" t="str">
            <v>UND</v>
          </cell>
          <cell r="F176">
            <v>475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36270</v>
          </cell>
          <cell r="E180" t="str">
            <v>UND</v>
          </cell>
          <cell r="F180">
            <v>1450.8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25.797999999999998</v>
          </cell>
          <cell r="E181" t="str">
            <v>UND</v>
          </cell>
          <cell r="F181">
            <v>25.797999999999998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19.605</v>
          </cell>
          <cell r="E183" t="str">
            <v>UND</v>
          </cell>
          <cell r="F183">
            <v>19.605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906000032</v>
          </cell>
          <cell r="B2" t="str">
            <v>PASTA DE HOJALDRE (40800g)</v>
          </cell>
          <cell r="C2" t="str">
            <v>TANDA</v>
          </cell>
          <cell r="D2" t="str">
            <v>GRAMO</v>
          </cell>
          <cell r="E2">
            <v>28282.019153681333</v>
          </cell>
          <cell r="F2">
            <v>0.6931867439627778</v>
          </cell>
          <cell r="G2">
            <v>120.16275192390387</v>
          </cell>
          <cell r="H2">
            <v>2.9451654883309772E-3</v>
          </cell>
          <cell r="I2">
            <v>3300.5130004127113</v>
          </cell>
          <cell r="J2">
            <v>8.0894926480703705E-2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(23.123 Kg)</v>
          </cell>
          <cell r="C4" t="str">
            <v>TANDA</v>
          </cell>
          <cell r="D4" t="str">
            <v>GRAMO</v>
          </cell>
          <cell r="E4">
            <v>20323.830214799997</v>
          </cell>
          <cell r="F4">
            <v>0.87894435042165797</v>
          </cell>
          <cell r="G4">
            <v>66.878521111111112</v>
          </cell>
          <cell r="H4">
            <v>2.8922943005280938E-3</v>
          </cell>
          <cell r="I4">
            <v>550</v>
          </cell>
          <cell r="J4">
            <v>2.3785840937594602E-2</v>
          </cell>
        </row>
        <row r="5">
          <cell r="A5" t="str">
            <v>95017</v>
          </cell>
          <cell r="B5" t="str">
            <v>PLATANOS MADUROS FRITOS (23.950g)</v>
          </cell>
          <cell r="C5" t="str">
            <v>KILO</v>
          </cell>
          <cell r="D5" t="str">
            <v>GRAMO</v>
          </cell>
          <cell r="E5">
            <v>1277.9170454545454</v>
          </cell>
          <cell r="F5">
            <v>1.2779170454545454</v>
          </cell>
          <cell r="G5">
            <v>0</v>
          </cell>
          <cell r="H5">
            <v>0</v>
          </cell>
          <cell r="I5">
            <v>53.030303030303031</v>
          </cell>
          <cell r="J5">
            <v>5.3030303030303032E-2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KILO</v>
          </cell>
          <cell r="D6" t="str">
            <v>GRAMO</v>
          </cell>
          <cell r="E6">
            <v>299.02126133333331</v>
          </cell>
          <cell r="F6">
            <v>0.29902126133333329</v>
          </cell>
          <cell r="G6">
            <v>0</v>
          </cell>
          <cell r="H6">
            <v>0</v>
          </cell>
          <cell r="I6">
            <v>11.2</v>
          </cell>
          <cell r="J6">
            <v>1.12E-2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KILO</v>
          </cell>
          <cell r="D9" t="str">
            <v>GRAMO</v>
          </cell>
          <cell r="E9">
            <v>2109.7364485981311</v>
          </cell>
          <cell r="F9">
            <v>2.1097364485981309</v>
          </cell>
          <cell r="G9">
            <v>2.8935507995846312</v>
          </cell>
          <cell r="H9">
            <v>2.8935507995846311E-3</v>
          </cell>
          <cell r="I9">
            <v>31.401869158878508</v>
          </cell>
          <cell r="J9">
            <v>3.1401869158878506E-2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748.49367471667972</v>
          </cell>
          <cell r="F10">
            <v>748.49367471667972</v>
          </cell>
          <cell r="G10">
            <v>7.9980445916362211</v>
          </cell>
          <cell r="H10">
            <v>7.9980445916362211</v>
          </cell>
          <cell r="I10">
            <v>16.190125433462303</v>
          </cell>
          <cell r="J10">
            <v>16.190125433462303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54480.682748715342</v>
          </cell>
          <cell r="F11">
            <v>1.2634666685694653</v>
          </cell>
          <cell r="G11">
            <v>129.47633523809526</v>
          </cell>
          <cell r="H11">
            <v>3.0026979415142684E-3</v>
          </cell>
          <cell r="I11">
            <v>880</v>
          </cell>
          <cell r="J11">
            <v>2.0408163265306121E-2</v>
          </cell>
        </row>
        <row r="12">
          <cell r="A12" t="str">
            <v>95091</v>
          </cell>
          <cell r="B12" t="str">
            <v>BATIDO VAINILLA PURATOS BUCCA (49650g)</v>
          </cell>
          <cell r="C12" t="str">
            <v>KILO</v>
          </cell>
          <cell r="D12" t="str">
            <v>GRAMO</v>
          </cell>
          <cell r="E12">
            <v>40280.095809602288</v>
          </cell>
          <cell r="F12">
            <v>0.81128088236862617</v>
          </cell>
          <cell r="G12">
            <v>45.869093809523811</v>
          </cell>
          <cell r="H12">
            <v>9.2384881791588748E-4</v>
          </cell>
          <cell r="I12">
            <v>550</v>
          </cell>
          <cell r="J12">
            <v>1.1077542799597181E-2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KILO</v>
          </cell>
          <cell r="D23" t="str">
            <v>GRAMO</v>
          </cell>
          <cell r="E23">
            <v>2467.9194567499999</v>
          </cell>
          <cell r="F23">
            <v>2.4679194567499998</v>
          </cell>
          <cell r="G23">
            <v>1.5184587222651222</v>
          </cell>
          <cell r="H23">
            <v>1.5184587222651222E-3</v>
          </cell>
          <cell r="I23">
            <v>88.351351351351354</v>
          </cell>
          <cell r="J23">
            <v>8.8351351351351359E-2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678.51380087546431</v>
          </cell>
          <cell r="F24">
            <v>678.51380087546431</v>
          </cell>
          <cell r="G24">
            <v>10.458115476693255</v>
          </cell>
          <cell r="H24">
            <v>10.458115476693255</v>
          </cell>
          <cell r="I24">
            <v>25.731889744833179</v>
          </cell>
          <cell r="J24">
            <v>25.731889744833179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2190.120338282577</v>
          </cell>
          <cell r="F25">
            <v>1.0950601691412885</v>
          </cell>
          <cell r="G25">
            <v>7.7086684015865012</v>
          </cell>
          <cell r="H25">
            <v>3.8543342007932506E-3</v>
          </cell>
          <cell r="I25">
            <v>132.60711547611805</v>
          </cell>
          <cell r="J25">
            <v>6.630355773805903E-2</v>
          </cell>
        </row>
        <row r="26">
          <cell r="A26" t="str">
            <v>95149</v>
          </cell>
          <cell r="B26" t="str">
            <v>COCCION FRIJOLES MOLIDOS (14.450g)</v>
          </cell>
          <cell r="C26" t="str">
            <v>KILO</v>
          </cell>
          <cell r="D26" t="str">
            <v>GRAMO</v>
          </cell>
          <cell r="E26">
            <v>1225.7643839241489</v>
          </cell>
          <cell r="F26">
            <v>1.225764383924149</v>
          </cell>
          <cell r="G26">
            <v>2.686637232010189</v>
          </cell>
          <cell r="H26">
            <v>2.6866372320101888E-3</v>
          </cell>
          <cell r="I26">
            <v>97.290030425245874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3544.4919657142859</v>
          </cell>
          <cell r="F28">
            <v>3.5444919657142857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908000046</v>
          </cell>
          <cell r="B29" t="str">
            <v>COCCION POLLO RECORTE (31600g)</v>
          </cell>
          <cell r="C29" t="str">
            <v>TANDA</v>
          </cell>
          <cell r="D29" t="str">
            <v>GRAMO</v>
          </cell>
          <cell r="E29">
            <v>117811.73133333333</v>
          </cell>
          <cell r="F29">
            <v>3.7282193459915609</v>
          </cell>
          <cell r="G29">
            <v>0</v>
          </cell>
          <cell r="H29">
            <v>0</v>
          </cell>
          <cell r="I29">
            <v>2255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TANDA</v>
          </cell>
          <cell r="D36" t="str">
            <v>GRAMO</v>
          </cell>
          <cell r="E36">
            <v>19251.595537874768</v>
          </cell>
          <cell r="F36">
            <v>2.1155599492170074</v>
          </cell>
          <cell r="G36">
            <v>96.428571428571445</v>
          </cell>
          <cell r="H36">
            <v>1.0596546310832027E-2</v>
          </cell>
          <cell r="I36">
            <v>1211.1448992852502</v>
          </cell>
          <cell r="J36">
            <v>0.13309284607530222</v>
          </cell>
        </row>
        <row r="37">
          <cell r="A37" t="str">
            <v>905000001</v>
          </cell>
          <cell r="B37" t="str">
            <v>RELLENO P/TORTA CHOCOFRESA (23500g)</v>
          </cell>
          <cell r="C37" t="str">
            <v>TANDA</v>
          </cell>
          <cell r="D37" t="str">
            <v>GRAMO</v>
          </cell>
          <cell r="E37">
            <v>54041.682214799999</v>
          </cell>
          <cell r="F37">
            <v>2.299646051693617</v>
          </cell>
          <cell r="G37">
            <v>125.29527666666667</v>
          </cell>
          <cell r="H37">
            <v>5.33171390070922E-3</v>
          </cell>
          <cell r="I37">
            <v>990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9.3388131113481965</v>
          </cell>
          <cell r="F38">
            <v>9.3388131113481965</v>
          </cell>
          <cell r="G38">
            <v>0</v>
          </cell>
          <cell r="H38">
            <v>0</v>
          </cell>
          <cell r="I38">
            <v>4.1694385216773275</v>
          </cell>
          <cell r="J38">
            <v>4.1694385216773275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151.65326877623079</v>
          </cell>
          <cell r="F40">
            <v>151.65326877623079</v>
          </cell>
          <cell r="G40">
            <v>0.54627869180329502</v>
          </cell>
          <cell r="H40">
            <v>0.54627869180329502</v>
          </cell>
          <cell r="I40">
            <v>33.70166083016521</v>
          </cell>
          <cell r="J40">
            <v>33.70166083016521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19.567969144266296</v>
          </cell>
          <cell r="F41">
            <v>19.567969144266296</v>
          </cell>
          <cell r="G41">
            <v>0.1047391636438969</v>
          </cell>
          <cell r="H41">
            <v>0.1047391636438969</v>
          </cell>
          <cell r="I41">
            <v>8.4185917284465823</v>
          </cell>
          <cell r="J41">
            <v>8.4185917284465823</v>
          </cell>
        </row>
        <row r="42">
          <cell r="A42" t="str">
            <v>907000050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1323.8519660973845</v>
          </cell>
          <cell r="F42">
            <v>1323.8519660973845</v>
          </cell>
          <cell r="G42">
            <v>65.37484979292195</v>
          </cell>
          <cell r="H42">
            <v>65.37484979292195</v>
          </cell>
          <cell r="I42">
            <v>153.48429446331514</v>
          </cell>
          <cell r="J42">
            <v>153.48429446331514</v>
          </cell>
        </row>
        <row r="43">
          <cell r="A43">
            <v>903000002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9923.7223624379676</v>
          </cell>
          <cell r="F43">
            <v>9923.7223624379676</v>
          </cell>
          <cell r="G43">
            <v>32</v>
          </cell>
          <cell r="H43">
            <v>32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(12680g)</v>
          </cell>
          <cell r="C45" t="str">
            <v>KILO</v>
          </cell>
          <cell r="D45" t="str">
            <v>GRAMO</v>
          </cell>
          <cell r="E45">
            <v>509.90339415287065</v>
          </cell>
          <cell r="F45">
            <v>0.50990339415287067</v>
          </cell>
          <cell r="G45">
            <v>19.238843783022187</v>
          </cell>
          <cell r="H45">
            <v>1.9238843783022187E-2</v>
          </cell>
          <cell r="I45">
            <v>38.746037337090527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1758.5064069460227</v>
          </cell>
          <cell r="F46">
            <v>1.7585064069460228</v>
          </cell>
          <cell r="G46">
            <v>15.528757064935064</v>
          </cell>
          <cell r="H46">
            <v>1.5528757064935065E-2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TANDA</v>
          </cell>
          <cell r="D47" t="str">
            <v>GRAMO</v>
          </cell>
          <cell r="E47">
            <v>10045.103719999999</v>
          </cell>
          <cell r="F47">
            <v>0.7263270947216196</v>
          </cell>
          <cell r="G47">
            <v>110.87506800000001</v>
          </cell>
          <cell r="H47">
            <v>8.0169969631236453E-3</v>
          </cell>
          <cell r="I47">
            <v>825</v>
          </cell>
          <cell r="J47">
            <v>5.9652928416485902E-2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783.77464894866955</v>
          </cell>
          <cell r="F50">
            <v>0.78377464894866955</v>
          </cell>
          <cell r="G50">
            <v>142.44677419354841</v>
          </cell>
          <cell r="H50">
            <v>0.1424467741935484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TANDA</v>
          </cell>
          <cell r="D51" t="str">
            <v>GRAMO</v>
          </cell>
          <cell r="E51">
            <v>13690.75</v>
          </cell>
          <cell r="F51">
            <v>0.69075428859737642</v>
          </cell>
          <cell r="G51">
            <v>76.121990999999994</v>
          </cell>
          <cell r="H51">
            <v>3.8406655398587281E-3</v>
          </cell>
          <cell r="I51">
            <v>550</v>
          </cell>
          <cell r="J51">
            <v>2.7749747729566093E-2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TANDA</v>
          </cell>
          <cell r="D52" t="str">
            <v>GRAMO</v>
          </cell>
          <cell r="E52">
            <v>39127.173464515727</v>
          </cell>
          <cell r="F52">
            <v>1.3538814347583297</v>
          </cell>
          <cell r="G52">
            <v>538.82476734492559</v>
          </cell>
          <cell r="H52">
            <v>1.8644455617471474E-2</v>
          </cell>
          <cell r="I52">
            <v>3807.2710020827362</v>
          </cell>
          <cell r="J52">
            <v>0.13173948104092512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TANDA</v>
          </cell>
          <cell r="D53" t="str">
            <v>GRAMO</v>
          </cell>
          <cell r="E53">
            <v>140311.73133333333</v>
          </cell>
          <cell r="F53">
            <v>4.3847416041666669</v>
          </cell>
          <cell r="G53">
            <v>0</v>
          </cell>
          <cell r="H53">
            <v>0</v>
          </cell>
          <cell r="I53">
            <v>4950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TANDA</v>
          </cell>
          <cell r="D54" t="str">
            <v>GRAMO</v>
          </cell>
          <cell r="E54">
            <v>21845.003638823528</v>
          </cell>
          <cell r="F54">
            <v>2.2755212123774506</v>
          </cell>
          <cell r="G54">
            <v>420.14674999999994</v>
          </cell>
          <cell r="H54">
            <v>4.376528645833333E-2</v>
          </cell>
          <cell r="I54">
            <v>550</v>
          </cell>
          <cell r="J54">
            <v>5.7291666666666664E-2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642.94439443132001</v>
          </cell>
          <cell r="F59">
            <v>642.94439443132001</v>
          </cell>
          <cell r="G59">
            <v>7.3079337336067605</v>
          </cell>
          <cell r="H59">
            <v>7.3079337336067605</v>
          </cell>
          <cell r="I59">
            <v>47.383668903803134</v>
          </cell>
          <cell r="J59">
            <v>47.383668903803134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4824.2799000000005</v>
          </cell>
          <cell r="F61">
            <v>1.012865819861432</v>
          </cell>
          <cell r="G61">
            <v>64.754711587301585</v>
          </cell>
          <cell r="H61">
            <v>1.3595362499958342E-2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(1227 g)</v>
          </cell>
          <cell r="C62" t="str">
            <v>TANDA</v>
          </cell>
          <cell r="D62" t="str">
            <v>GRAMO</v>
          </cell>
          <cell r="E62">
            <v>520.91361319999999</v>
          </cell>
          <cell r="F62">
            <v>0.42454247204563977</v>
          </cell>
          <cell r="G62">
            <v>19.822725555555557</v>
          </cell>
          <cell r="H62">
            <v>1.6155440550575027E-2</v>
          </cell>
          <cell r="I62">
            <v>55</v>
          </cell>
          <cell r="J62">
            <v>4.4824775876120618E-2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5042.3485535999998</v>
          </cell>
          <cell r="F63">
            <v>0.5232823322540473</v>
          </cell>
          <cell r="G63">
            <v>67.090375555555553</v>
          </cell>
          <cell r="H63">
            <v>6.9624715188413818E-3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14742.3863884</v>
          </cell>
          <cell r="F65">
            <v>1.5965330721680746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43.385354920634924</v>
          </cell>
          <cell r="H66">
            <v>9.0764340838148383E-3</v>
          </cell>
          <cell r="I66">
            <v>165</v>
          </cell>
          <cell r="J66">
            <v>3.4518828451882845E-2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3405.0744131999995</v>
          </cell>
          <cell r="F67">
            <v>0.7555079683159529</v>
          </cell>
          <cell r="G67">
            <v>43.165582698412706</v>
          </cell>
          <cell r="H67">
            <v>9.5774534498364108E-3</v>
          </cell>
          <cell r="I67">
            <v>82.5</v>
          </cell>
          <cell r="J67">
            <v>1.8304859108054138E-2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18807.167751999998</v>
          </cell>
          <cell r="F69">
            <v>1.0265921262008733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TANDA</v>
          </cell>
          <cell r="D72" t="str">
            <v>GRAMO</v>
          </cell>
          <cell r="E72">
            <v>86679.037859999997</v>
          </cell>
          <cell r="F72">
            <v>1.5698458364574843</v>
          </cell>
          <cell r="G72">
            <v>0</v>
          </cell>
          <cell r="H72">
            <v>0</v>
          </cell>
          <cell r="I72">
            <v>990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KILO</v>
          </cell>
          <cell r="D74" t="str">
            <v>GRAMO</v>
          </cell>
          <cell r="E74">
            <v>6309.2999666666665</v>
          </cell>
          <cell r="F74">
            <v>6.309299966666666</v>
          </cell>
          <cell r="G74">
            <v>44.379882456140351</v>
          </cell>
          <cell r="H74">
            <v>4.437988245614035E-2</v>
          </cell>
          <cell r="I74">
            <v>221.36695906432749</v>
          </cell>
          <cell r="J74">
            <v>0.22136695906432749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KILO</v>
          </cell>
          <cell r="D75" t="str">
            <v>GRAMO</v>
          </cell>
          <cell r="E75">
            <v>2800.6299308377893</v>
          </cell>
          <cell r="F75">
            <v>2.8006299308377893</v>
          </cell>
          <cell r="G75">
            <v>229.3948051948052</v>
          </cell>
          <cell r="H75">
            <v>0.22939480519480521</v>
          </cell>
          <cell r="I75">
            <v>190.47619047619045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124.95451935071979</v>
          </cell>
          <cell r="F77">
            <v>124.95451935071979</v>
          </cell>
          <cell r="G77">
            <v>0.39725898390898567</v>
          </cell>
          <cell r="H77">
            <v>0.39725898390898567</v>
          </cell>
          <cell r="I77">
            <v>19.596152667075415</v>
          </cell>
          <cell r="J77">
            <v>19.596152667075415</v>
          </cell>
        </row>
        <row r="78">
          <cell r="A78" t="str">
            <v>95478</v>
          </cell>
          <cell r="B78" t="str">
            <v>TRIANGULO PALMITO (UND)</v>
          </cell>
          <cell r="C78" t="str">
            <v>UND</v>
          </cell>
          <cell r="D78" t="str">
            <v>UND</v>
          </cell>
          <cell r="E78">
            <v>62.391946592877211</v>
          </cell>
          <cell r="F78">
            <v>62.391946592877211</v>
          </cell>
          <cell r="G78">
            <v>1.8165973221979714</v>
          </cell>
          <cell r="H78">
            <v>1.8165973221979714</v>
          </cell>
          <cell r="I78">
            <v>28.884304007653984</v>
          </cell>
          <cell r="J78">
            <v>28.884304007653984</v>
          </cell>
        </row>
        <row r="79">
          <cell r="A79" t="str">
            <v>95485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278.67987800638974</v>
          </cell>
          <cell r="F79">
            <v>0.27867987800638977</v>
          </cell>
          <cell r="G79">
            <v>5.4044722044728424</v>
          </cell>
          <cell r="H79">
            <v>5.4044722044728427E-3</v>
          </cell>
          <cell r="I79">
            <v>26.357827476038338</v>
          </cell>
          <cell r="J79">
            <v>2.6357827476038338E-2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(23300g)</v>
          </cell>
          <cell r="C81" t="str">
            <v>TANDA</v>
          </cell>
          <cell r="D81" t="str">
            <v>GRAMO</v>
          </cell>
          <cell r="E81">
            <v>20134.403702399999</v>
          </cell>
          <cell r="F81">
            <v>0.8641374979570815</v>
          </cell>
          <cell r="G81">
            <v>64.728212063492066</v>
          </cell>
          <cell r="H81">
            <v>2.7780348525103891E-3</v>
          </cell>
          <cell r="I81">
            <v>632.5</v>
          </cell>
          <cell r="J81">
            <v>2.7145922746781116E-2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903000001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869.35986014250375</v>
          </cell>
          <cell r="F85">
            <v>869.35986014250375</v>
          </cell>
          <cell r="G85">
            <v>11.256012693707518</v>
          </cell>
          <cell r="H85">
            <v>11.256012693707518</v>
          </cell>
          <cell r="I85">
            <v>93.482197464990548</v>
          </cell>
          <cell r="J85">
            <v>93.482197464990548</v>
          </cell>
        </row>
        <row r="86">
          <cell r="A86" t="str">
            <v>95555</v>
          </cell>
          <cell r="B86" t="str">
            <v>BASE PREMEZCLA CHILENA (23524g)</v>
          </cell>
          <cell r="C86" t="str">
            <v>TANDA</v>
          </cell>
          <cell r="D86" t="str">
            <v>GRAMO</v>
          </cell>
          <cell r="E86">
            <v>20134.403702399999</v>
          </cell>
          <cell r="F86">
            <v>0.85590901642577788</v>
          </cell>
          <cell r="G86">
            <v>64.728212063492066</v>
          </cell>
          <cell r="H86">
            <v>2.7515818765300147E-3</v>
          </cell>
          <cell r="I86">
            <v>192.5</v>
          </cell>
          <cell r="J86">
            <v>8.1831321203876886E-3</v>
          </cell>
        </row>
        <row r="87">
          <cell r="A87" t="str">
            <v>906000034</v>
          </cell>
          <cell r="B87" t="str">
            <v>PASTA FROLA (13287g)</v>
          </cell>
          <cell r="C87" t="str">
            <v>TANDA</v>
          </cell>
          <cell r="D87" t="str">
            <v>GRAMO</v>
          </cell>
          <cell r="E87">
            <v>10312.653875999998</v>
          </cell>
          <cell r="F87">
            <v>0.77614614856626762</v>
          </cell>
          <cell r="G87">
            <v>43.169083809523819</v>
          </cell>
          <cell r="H87">
            <v>3.248971461543149E-3</v>
          </cell>
          <cell r="I87">
            <v>1155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23.83719</v>
          </cell>
          <cell r="F88">
            <v>0.95348759999999999</v>
          </cell>
          <cell r="G88">
            <v>2.9325322222222225</v>
          </cell>
          <cell r="H88">
            <v>0.1173012888888889</v>
          </cell>
          <cell r="I88">
            <v>110</v>
          </cell>
          <cell r="J88">
            <v>4.4000000000000004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(5218g)</v>
          </cell>
          <cell r="C91" t="str">
            <v>TANDA</v>
          </cell>
          <cell r="D91" t="str">
            <v>GRAMO</v>
          </cell>
          <cell r="E91">
            <v>5181.0308002319098</v>
          </cell>
          <cell r="F91">
            <v>0.99291506328706591</v>
          </cell>
          <cell r="G91">
            <v>11.021531111111111</v>
          </cell>
          <cell r="H91">
            <v>2.1122137046974149E-3</v>
          </cell>
          <cell r="I91">
            <v>165</v>
          </cell>
          <cell r="J91">
            <v>3.1621310847067839E-2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20299.330214799997</v>
          </cell>
          <cell r="F92">
            <v>0.88169787667984179</v>
          </cell>
          <cell r="G92">
            <v>66.878521111111112</v>
          </cell>
          <cell r="H92">
            <v>2.9048569305091046E-3</v>
          </cell>
          <cell r="I92">
            <v>220</v>
          </cell>
          <cell r="J92">
            <v>9.5556617295747739E-3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20132.857961333335</v>
          </cell>
          <cell r="F93">
            <v>0.83090623034805344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9105.8788759999989</v>
          </cell>
          <cell r="F94">
            <v>0.84470119443413716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(12900g)</v>
          </cell>
          <cell r="C96" t="str">
            <v>KILO</v>
          </cell>
          <cell r="D96" t="str">
            <v>GRAMO</v>
          </cell>
          <cell r="E96">
            <v>555.27255142460046</v>
          </cell>
          <cell r="F96">
            <v>0.55527255142460041</v>
          </cell>
          <cell r="G96">
            <v>9.0680071230020829</v>
          </cell>
          <cell r="H96">
            <v>9.0680071230020837E-3</v>
          </cell>
          <cell r="I96">
            <v>30.576789437109102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(1630g)</v>
          </cell>
          <cell r="C97" t="str">
            <v>KILO</v>
          </cell>
          <cell r="D97" t="str">
            <v>GRAMO</v>
          </cell>
          <cell r="E97">
            <v>1295.8859589591082</v>
          </cell>
          <cell r="F97">
            <v>1.2958859589591081</v>
          </cell>
          <cell r="G97">
            <v>0</v>
          </cell>
          <cell r="H97">
            <v>0</v>
          </cell>
          <cell r="I97">
            <v>63.937562058905606</v>
          </cell>
          <cell r="J97">
            <v>6.3937562058905606E-2</v>
          </cell>
        </row>
        <row r="98">
          <cell r="A98" t="str">
            <v>95630</v>
          </cell>
          <cell r="B98" t="str">
            <v>ENSAMBLE PECHUGA RELLENAS (4220g)</v>
          </cell>
          <cell r="C98" t="str">
            <v>KILO</v>
          </cell>
          <cell r="D98" t="str">
            <v>GRAMO</v>
          </cell>
          <cell r="E98">
            <v>5854.0162985454544</v>
          </cell>
          <cell r="F98">
            <v>5.8540162985454547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(41085g)</v>
          </cell>
          <cell r="C99" t="str">
            <v>TANDA</v>
          </cell>
          <cell r="D99" t="str">
            <v>GRAMO</v>
          </cell>
          <cell r="E99">
            <v>118986.07140922942</v>
          </cell>
          <cell r="F99">
            <v>2.8960952028533389</v>
          </cell>
          <cell r="G99">
            <v>145.32452499999999</v>
          </cell>
          <cell r="H99">
            <v>3.5371674577096262E-3</v>
          </cell>
          <cell r="I99">
            <v>825</v>
          </cell>
          <cell r="J99">
            <v>2.0080321285140562E-2</v>
          </cell>
        </row>
        <row r="100">
          <cell r="A100" t="str">
            <v>908000012</v>
          </cell>
          <cell r="B100" t="str">
            <v>QUESO PARMESANO RALLADO (4390g)</v>
          </cell>
          <cell r="C100" t="str">
            <v>TANDA</v>
          </cell>
          <cell r="D100" t="str">
            <v>GRAMO</v>
          </cell>
          <cell r="E100">
            <v>47256.901300000005</v>
          </cell>
          <cell r="F100">
            <v>10.764670000000001</v>
          </cell>
          <cell r="G100">
            <v>33.333333333333336</v>
          </cell>
          <cell r="H100">
            <v>7.5930144267274116E-3</v>
          </cell>
          <cell r="I100">
            <v>550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KILO</v>
          </cell>
          <cell r="D102" t="str">
            <v>GRAMO</v>
          </cell>
          <cell r="E102">
            <v>1409.4139578205657</v>
          </cell>
          <cell r="F102">
            <v>1.4094139578205656</v>
          </cell>
          <cell r="G102">
            <v>17.647261779348639</v>
          </cell>
          <cell r="H102">
            <v>1.7647261779348639E-2</v>
          </cell>
          <cell r="I102">
            <v>160.61555153707053</v>
          </cell>
          <cell r="J102">
            <v>0.16061555153707052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KILO</v>
          </cell>
          <cell r="D103" t="str">
            <v>GRAMO</v>
          </cell>
          <cell r="E103">
            <v>1695.2357207995622</v>
          </cell>
          <cell r="F103">
            <v>1.6952357207995621</v>
          </cell>
          <cell r="G103">
            <v>0</v>
          </cell>
          <cell r="H103">
            <v>0</v>
          </cell>
          <cell r="I103">
            <v>76.76410146400913</v>
          </cell>
          <cell r="J103">
            <v>7.6764101464009124E-2</v>
          </cell>
        </row>
        <row r="104">
          <cell r="A104" t="str">
            <v>905000013</v>
          </cell>
          <cell r="B104" t="str">
            <v>RELLENO CARNE P/ LASAGÑA (23200g)</v>
          </cell>
          <cell r="C104" t="str">
            <v>TANDA</v>
          </cell>
          <cell r="D104" t="str">
            <v>GRAMO</v>
          </cell>
          <cell r="E104">
            <v>31898.076823666299</v>
          </cell>
          <cell r="F104">
            <v>1.374917104468375</v>
          </cell>
          <cell r="G104">
            <v>5.9263668296050645E-5</v>
          </cell>
          <cell r="H104">
            <v>2.5544684610366657E-9</v>
          </cell>
          <cell r="I104">
            <v>1925</v>
          </cell>
          <cell r="J104">
            <v>8.2974137931034489E-2</v>
          </cell>
        </row>
        <row r="105">
          <cell r="A105" t="str">
            <v>95658</v>
          </cell>
          <cell r="B105" t="str">
            <v>RELLENO POLLO CREPA (22110g)</v>
          </cell>
          <cell r="C105" t="str">
            <v>KILO</v>
          </cell>
          <cell r="D105" t="str">
            <v>GRAMO</v>
          </cell>
          <cell r="E105">
            <v>2660.688358043979</v>
          </cell>
          <cell r="F105">
            <v>2.6606883580439789</v>
          </cell>
          <cell r="G105">
            <v>0</v>
          </cell>
          <cell r="H105">
            <v>0</v>
          </cell>
          <cell r="I105">
            <v>145.58224975687065</v>
          </cell>
          <cell r="J105">
            <v>0.14558224975687065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KILO</v>
          </cell>
          <cell r="D106" t="str">
            <v>GRAMO</v>
          </cell>
          <cell r="E106">
            <v>4063.1987740259738</v>
          </cell>
          <cell r="F106">
            <v>4.0631987740259738</v>
          </cell>
          <cell r="G106">
            <v>0</v>
          </cell>
          <cell r="H106">
            <v>0</v>
          </cell>
          <cell r="I106">
            <v>428.57142857142856</v>
          </cell>
          <cell r="J106">
            <v>0.42857142857142855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TANDA</v>
          </cell>
          <cell r="D109" t="str">
            <v>GRAMO</v>
          </cell>
          <cell r="E109">
            <v>43395.107599999996</v>
          </cell>
          <cell r="F109">
            <v>2.0664336952380951</v>
          </cell>
          <cell r="G109">
            <v>9.8401604535147387E-5</v>
          </cell>
          <cell r="H109">
            <v>4.6857906921498757E-9</v>
          </cell>
          <cell r="I109">
            <v>440</v>
          </cell>
          <cell r="J109">
            <v>2.0952380952380951E-2</v>
          </cell>
        </row>
        <row r="110">
          <cell r="A110" t="str">
            <v>905000007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5131.8064808497065</v>
          </cell>
          <cell r="F110">
            <v>1.7106021602832355</v>
          </cell>
          <cell r="G110">
            <v>115.4889219687858</v>
          </cell>
          <cell r="H110">
            <v>3.8496307322928601E-2</v>
          </cell>
          <cell r="I110">
            <v>323.14862542955325</v>
          </cell>
          <cell r="J110">
            <v>0.10771620847651775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(3000g)</v>
          </cell>
          <cell r="C112" t="str">
            <v>BOLSA</v>
          </cell>
          <cell r="D112" t="str">
            <v>GRAMO</v>
          </cell>
          <cell r="E112">
            <v>7395.5237540378503</v>
          </cell>
          <cell r="F112">
            <v>2.4651745846792834</v>
          </cell>
          <cell r="G112">
            <v>20.237424173441738</v>
          </cell>
          <cell r="H112">
            <v>6.7458080578139124E-3</v>
          </cell>
          <cell r="I112">
            <v>364.13353658536585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</v>
          </cell>
          <cell r="C113" t="str">
            <v>KILO</v>
          </cell>
          <cell r="D113" t="str">
            <v>GRAMO</v>
          </cell>
          <cell r="E113">
            <v>2513.4827373616895</v>
          </cell>
          <cell r="F113">
            <v>2.5134827373616897</v>
          </cell>
          <cell r="G113">
            <v>6.0606404585955271</v>
          </cell>
          <cell r="H113">
            <v>6.060640458595527E-3</v>
          </cell>
          <cell r="I113">
            <v>183.62216169213232</v>
          </cell>
          <cell r="J113">
            <v>0.18362216169213233</v>
          </cell>
        </row>
        <row r="114">
          <cell r="A114" t="str">
            <v>909000003</v>
          </cell>
          <cell r="B114" t="str">
            <v>RELLENO POLLO PASTEL (20730 )</v>
          </cell>
          <cell r="C114" t="str">
            <v>TANDA</v>
          </cell>
          <cell r="D114" t="str">
            <v>GRAMO</v>
          </cell>
          <cell r="E114">
            <v>67505.462348400877</v>
          </cell>
          <cell r="F114">
            <v>3.2564140061939644</v>
          </cell>
          <cell r="G114">
            <v>0</v>
          </cell>
          <cell r="H114">
            <v>0</v>
          </cell>
          <cell r="I114">
            <v>8443.875</v>
          </cell>
          <cell r="J114">
            <v>0.40732633863965267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(6200g)</v>
          </cell>
          <cell r="C116" t="str">
            <v>TANDA</v>
          </cell>
          <cell r="D116" t="str">
            <v>GRAMO</v>
          </cell>
          <cell r="E116">
            <v>13022.099999999999</v>
          </cell>
          <cell r="F116">
            <v>2.1003387096774193</v>
          </cell>
          <cell r="G116">
            <v>0</v>
          </cell>
          <cell r="H116">
            <v>0</v>
          </cell>
          <cell r="I116">
            <v>220</v>
          </cell>
          <cell r="J116">
            <v>3.5483870967741936E-2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TANDA</v>
          </cell>
          <cell r="D117" t="str">
            <v>GRAMO</v>
          </cell>
          <cell r="E117">
            <v>23723.05696794872</v>
          </cell>
          <cell r="F117">
            <v>2.2810631699950692</v>
          </cell>
          <cell r="G117">
            <v>0</v>
          </cell>
          <cell r="H117">
            <v>0</v>
          </cell>
          <cell r="I117">
            <v>1100</v>
          </cell>
          <cell r="J117">
            <v>0.10576923076923077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(6600 Kg)</v>
          </cell>
          <cell r="C119" t="str">
            <v>TANDA</v>
          </cell>
          <cell r="D119" t="str">
            <v>GRAMO</v>
          </cell>
          <cell r="E119">
            <v>13484.954282537949</v>
          </cell>
          <cell r="F119">
            <v>2.0431748912936287</v>
          </cell>
          <cell r="G119">
            <v>5.7817285407608283</v>
          </cell>
          <cell r="H119">
            <v>8.7601947587285275E-4</v>
          </cell>
          <cell r="I119">
            <v>1235.1789384001049</v>
          </cell>
          <cell r="J119">
            <v>0.18714832400001591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95692</v>
          </cell>
          <cell r="B123" t="str">
            <v>JUGO DE LIMON (11 LIT)</v>
          </cell>
          <cell r="C123" t="str">
            <v>TANDA</v>
          </cell>
          <cell r="D123" t="str">
            <v>Mililitro</v>
          </cell>
          <cell r="E123">
            <v>4413.9799999999996</v>
          </cell>
          <cell r="F123">
            <v>0.40127090909090907</v>
          </cell>
          <cell r="G123">
            <v>25.02874111111111</v>
          </cell>
          <cell r="H123">
            <v>2.2753401010101007E-3</v>
          </cell>
          <cell r="I123">
            <v>165</v>
          </cell>
          <cell r="J123">
            <v>1.4999999999999999E-2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TANDA</v>
          </cell>
          <cell r="D124" t="str">
            <v>GRAMO</v>
          </cell>
          <cell r="E124">
            <v>8079.450220264318</v>
          </cell>
          <cell r="F124">
            <v>1.8156067910706333</v>
          </cell>
          <cell r="G124">
            <v>0</v>
          </cell>
          <cell r="H124">
            <v>0</v>
          </cell>
          <cell r="I124">
            <v>440</v>
          </cell>
          <cell r="J124">
            <v>9.8876404494382023E-2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905000028</v>
          </cell>
          <cell r="B126" t="str">
            <v>RELLENO QUESO P/TORTA ZANAHORIA (11100g)</v>
          </cell>
          <cell r="C126" t="str">
            <v>TANDA</v>
          </cell>
          <cell r="D126" t="str">
            <v>GRAMO</v>
          </cell>
          <cell r="E126">
            <v>31183.261017866665</v>
          </cell>
          <cell r="F126">
            <v>2.8348419107151512</v>
          </cell>
          <cell r="G126">
            <v>0</v>
          </cell>
          <cell r="H126">
            <v>0</v>
          </cell>
          <cell r="I126">
            <v>330</v>
          </cell>
          <cell r="J126">
            <v>0.03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KILO</v>
          </cell>
          <cell r="D127" t="str">
            <v>GRAMO</v>
          </cell>
          <cell r="E127">
            <v>1321.0764681203009</v>
          </cell>
          <cell r="F127">
            <v>1.3210764681203009</v>
          </cell>
          <cell r="G127">
            <v>9.8510435851533611</v>
          </cell>
          <cell r="H127">
            <v>9.8510435851533618E-3</v>
          </cell>
          <cell r="I127">
            <v>78.571428571428569</v>
          </cell>
          <cell r="J127">
            <v>7.857142857142857E-2</v>
          </cell>
        </row>
        <row r="128">
          <cell r="A128" t="str">
            <v>95716</v>
          </cell>
          <cell r="B128" t="str">
            <v>CREMA CHANTILLY FIGURITAS (6000g)</v>
          </cell>
          <cell r="C128" t="str">
            <v>KILO</v>
          </cell>
          <cell r="D128" t="str">
            <v>GRAMO</v>
          </cell>
          <cell r="E128">
            <v>1668.6120000000001</v>
          </cell>
          <cell r="F128">
            <v>1.668612</v>
          </cell>
          <cell r="G128">
            <v>0</v>
          </cell>
          <cell r="H128">
            <v>0</v>
          </cell>
          <cell r="I128">
            <v>46.666666666666671</v>
          </cell>
          <cell r="J128">
            <v>4.6666666666666669E-2</v>
          </cell>
        </row>
        <row r="129">
          <cell r="A129" t="str">
            <v>95717</v>
          </cell>
          <cell r="B129" t="str">
            <v>CREMA CHANTILLY BLANCA SPOON-IND (20800g)</v>
          </cell>
          <cell r="C129" t="str">
            <v>KILO</v>
          </cell>
          <cell r="D129" t="str">
            <v>GRAMO</v>
          </cell>
          <cell r="E129">
            <v>35437.302314</v>
          </cell>
          <cell r="F129">
            <v>1.7037164574038461</v>
          </cell>
          <cell r="G129">
            <v>1.1990000000000001</v>
          </cell>
          <cell r="H129">
            <v>5.764423076923077E-5</v>
          </cell>
          <cell r="I129">
            <v>550</v>
          </cell>
          <cell r="J129">
            <v>2.6442307692307692E-2</v>
          </cell>
        </row>
        <row r="130">
          <cell r="A130" t="str">
            <v>910000014</v>
          </cell>
          <cell r="B130" t="str">
            <v>CREMA CHANTILLY CHOCO (SPOON-IND)(24875g)</v>
          </cell>
          <cell r="C130" t="str">
            <v>KILO</v>
          </cell>
          <cell r="D130" t="str">
            <v>GRAMO</v>
          </cell>
          <cell r="E130">
            <v>44224.302314</v>
          </cell>
          <cell r="F130">
            <v>1.777861399557789</v>
          </cell>
          <cell r="G130">
            <v>0</v>
          </cell>
          <cell r="H130">
            <v>0</v>
          </cell>
          <cell r="I130">
            <v>330</v>
          </cell>
          <cell r="J130">
            <v>1.3266331658291457E-2</v>
          </cell>
        </row>
        <row r="131">
          <cell r="A131" t="str">
            <v>95719</v>
          </cell>
          <cell r="B131" t="str">
            <v>CREMA CHANTILLY CAFE (21 Kg)</v>
          </cell>
          <cell r="C131" t="str">
            <v>KILO</v>
          </cell>
          <cell r="D131" t="str">
            <v>GRAMO</v>
          </cell>
          <cell r="E131">
            <v>37164.17</v>
          </cell>
          <cell r="F131">
            <v>1.7820268520738431</v>
          </cell>
          <cell r="G131">
            <v>0</v>
          </cell>
          <cell r="H131">
            <v>0</v>
          </cell>
          <cell r="I131">
            <v>560</v>
          </cell>
          <cell r="J131">
            <v>2.685207384320307E-2</v>
          </cell>
        </row>
        <row r="132">
          <cell r="A132" t="str">
            <v>95720</v>
          </cell>
          <cell r="B132" t="str">
            <v>MEZCLA ENGRASE MOLDES (29800g)</v>
          </cell>
          <cell r="C132" t="str">
            <v>KILO</v>
          </cell>
          <cell r="D132" t="str">
            <v>GRAMO</v>
          </cell>
          <cell r="E132">
            <v>24772</v>
          </cell>
          <cell r="F132">
            <v>0.83127516778523491</v>
          </cell>
          <cell r="G132">
            <v>337.97076000000004</v>
          </cell>
          <cell r="H132">
            <v>1.1341300671140942E-2</v>
          </cell>
          <cell r="I132">
            <v>1650</v>
          </cell>
          <cell r="J132">
            <v>5.5369127516778527E-2</v>
          </cell>
        </row>
        <row r="133">
          <cell r="A133" t="str">
            <v>95721</v>
          </cell>
          <cell r="B133" t="str">
            <v>BASE PREMEZCLA P/SUSPIRO (4055g)</v>
          </cell>
          <cell r="C133" t="str">
            <v>TANDA</v>
          </cell>
          <cell r="D133" t="str">
            <v>GRAMO</v>
          </cell>
          <cell r="E133">
            <v>11950.755438000002</v>
          </cell>
          <cell r="F133">
            <v>2.9471653361282373</v>
          </cell>
          <cell r="G133">
            <v>11.020357777777779</v>
          </cell>
          <cell r="H133">
            <v>2.7177207836689959E-3</v>
          </cell>
          <cell r="I133">
            <v>110</v>
          </cell>
          <cell r="J133">
            <v>2.7127003699136867E-2</v>
          </cell>
        </row>
        <row r="134">
          <cell r="A134" t="str">
            <v>95722</v>
          </cell>
          <cell r="B134" t="str">
            <v>ROSQUETE VAINILLA PURATOS (350g)</v>
          </cell>
          <cell r="C134" t="str">
            <v>UND</v>
          </cell>
          <cell r="D134" t="str">
            <v>UND</v>
          </cell>
          <cell r="E134">
            <v>292.26357191221223</v>
          </cell>
          <cell r="F134">
            <v>292.26357191221223</v>
          </cell>
          <cell r="G134">
            <v>6.3708003318896704</v>
          </cell>
          <cell r="H134">
            <v>6.3708003318896704</v>
          </cell>
          <cell r="I134">
            <v>9.0835665091884792</v>
          </cell>
          <cell r="J134">
            <v>9.0835665091884792</v>
          </cell>
        </row>
        <row r="135">
          <cell r="A135" t="str">
            <v>95723</v>
          </cell>
          <cell r="B135" t="str">
            <v>ROSQUETE CHOCOLATE BUCCA  (425g)</v>
          </cell>
          <cell r="C135" t="str">
            <v>UND</v>
          </cell>
          <cell r="D135" t="str">
            <v>UND</v>
          </cell>
          <cell r="E135">
            <v>474.88237784340049</v>
          </cell>
          <cell r="F135">
            <v>474.88237784340049</v>
          </cell>
          <cell r="G135">
            <v>9.1301279333483265</v>
          </cell>
          <cell r="H135">
            <v>9.1301279333483265</v>
          </cell>
          <cell r="I135">
            <v>46.30613969674372</v>
          </cell>
          <cell r="J135">
            <v>46.30613969674372</v>
          </cell>
        </row>
        <row r="136">
          <cell r="A136" t="str">
            <v>95732</v>
          </cell>
          <cell r="B136" t="str">
            <v>PLANCHA ROSQUETE ZANAHORIA (900g)</v>
          </cell>
          <cell r="C136" t="str">
            <v>UND</v>
          </cell>
          <cell r="D136" t="str">
            <v>UND</v>
          </cell>
          <cell r="E136">
            <v>1631.6073961350182</v>
          </cell>
          <cell r="F136">
            <v>1631.6073961350182</v>
          </cell>
          <cell r="G136">
            <v>33.643738712590341</v>
          </cell>
          <cell r="H136">
            <v>33.643738712590341</v>
          </cell>
          <cell r="I136">
            <v>179.32800631662062</v>
          </cell>
          <cell r="J136">
            <v>179.32800631662062</v>
          </cell>
        </row>
        <row r="137">
          <cell r="A137" t="str">
            <v>95736</v>
          </cell>
          <cell r="B137" t="str">
            <v>SALSA FRESA (1980g)</v>
          </cell>
          <cell r="C137" t="str">
            <v>TANDA</v>
          </cell>
          <cell r="D137" t="str">
            <v>GRAMO</v>
          </cell>
          <cell r="E137">
            <v>9718.1740000000009</v>
          </cell>
          <cell r="F137">
            <v>2.557414210526316</v>
          </cell>
          <cell r="G137">
            <v>10.8</v>
          </cell>
          <cell r="H137">
            <v>2.8421052631578949E-3</v>
          </cell>
          <cell r="I137">
            <v>220</v>
          </cell>
          <cell r="J137">
            <v>5.7894736842105263E-2</v>
          </cell>
        </row>
        <row r="138">
          <cell r="A138" t="str">
            <v>95739</v>
          </cell>
          <cell r="B138" t="str">
            <v>COCCION PAPA P/PURE (1000g)</v>
          </cell>
          <cell r="C138" t="str">
            <v>KILO</v>
          </cell>
          <cell r="D138" t="str">
            <v>GRAMO</v>
          </cell>
          <cell r="E138">
            <v>1505.085</v>
          </cell>
          <cell r="F138">
            <v>1.505085</v>
          </cell>
          <cell r="G138">
            <v>10.958269000000001</v>
          </cell>
          <cell r="H138">
            <v>1.0958269000000001E-2</v>
          </cell>
          <cell r="I138">
            <v>110</v>
          </cell>
          <cell r="J138">
            <v>0.11</v>
          </cell>
        </row>
        <row r="139">
          <cell r="A139" t="str">
            <v>95742</v>
          </cell>
          <cell r="B139" t="str">
            <v>ADEREZO ALCAPARRAS Y ANCHOAS (1280g)</v>
          </cell>
          <cell r="C139" t="str">
            <v>KILO</v>
          </cell>
          <cell r="D139" t="str">
            <v>GRAMO</v>
          </cell>
          <cell r="E139">
            <v>3186.3497932995865</v>
          </cell>
          <cell r="F139">
            <v>3.1863497932995863</v>
          </cell>
          <cell r="G139">
            <v>10.480755004741077</v>
          </cell>
          <cell r="H139">
            <v>1.0480755004741077E-2</v>
          </cell>
          <cell r="I139">
            <v>220.34519033879377</v>
          </cell>
          <cell r="J139">
            <v>0.22034519033879377</v>
          </cell>
        </row>
        <row r="140">
          <cell r="A140" t="str">
            <v>95743</v>
          </cell>
          <cell r="B140" t="str">
            <v>ADEREZO TEJANO (700g)</v>
          </cell>
          <cell r="C140" t="str">
            <v>KILO</v>
          </cell>
          <cell r="D140" t="str">
            <v>GRAMO</v>
          </cell>
          <cell r="E140">
            <v>1519.4840372487097</v>
          </cell>
          <cell r="F140">
            <v>1.5194840372487097</v>
          </cell>
          <cell r="G140">
            <v>0</v>
          </cell>
          <cell r="H140">
            <v>0</v>
          </cell>
          <cell r="I140">
            <v>380.61649851794556</v>
          </cell>
          <cell r="J140">
            <v>0.38061649851794555</v>
          </cell>
        </row>
        <row r="141">
          <cell r="A141" t="str">
            <v>95745</v>
          </cell>
          <cell r="B141" t="str">
            <v>CARNE MECHADA ARREGLADA (3170g)</v>
          </cell>
          <cell r="C141" t="str">
            <v>KILO</v>
          </cell>
          <cell r="D141" t="str">
            <v>GRAMO</v>
          </cell>
          <cell r="E141">
            <v>4022.521239392076</v>
          </cell>
          <cell r="F141">
            <v>4.0225212393920762</v>
          </cell>
          <cell r="G141">
            <v>42.743247032468886</v>
          </cell>
          <cell r="H141">
            <v>4.2743247032468887E-2</v>
          </cell>
          <cell r="I141">
            <v>256.04155281028466</v>
          </cell>
          <cell r="J141">
            <v>0.25604155281028468</v>
          </cell>
        </row>
        <row r="142">
          <cell r="A142" t="str">
            <v>95776</v>
          </cell>
          <cell r="B142" t="str">
            <v>BASE PREMEZCLA VAINILLA PURATOS (12522g)</v>
          </cell>
          <cell r="C142" t="str">
            <v>KILO</v>
          </cell>
          <cell r="D142" t="str">
            <v>GRAMO</v>
          </cell>
          <cell r="E142">
            <v>1909.9114799999998</v>
          </cell>
          <cell r="F142">
            <v>0.4813284979838709</v>
          </cell>
          <cell r="G142">
            <v>45.869093809523811</v>
          </cell>
          <cell r="H142">
            <v>1.1559751464093703E-2</v>
          </cell>
          <cell r="I142">
            <v>110</v>
          </cell>
          <cell r="J142">
            <v>2.7721774193548387E-2</v>
          </cell>
        </row>
        <row r="143">
          <cell r="A143" t="str">
            <v>95781</v>
          </cell>
          <cell r="B143" t="str">
            <v>BASE PREMEZCLA GALLETA JENGIBRE (10081g)</v>
          </cell>
          <cell r="C143" t="str">
            <v>TANDA</v>
          </cell>
          <cell r="D143" t="str">
            <v>GRAMO</v>
          </cell>
          <cell r="E143">
            <v>8815.3442730000006</v>
          </cell>
          <cell r="F143">
            <v>0.87445137119333405</v>
          </cell>
          <cell r="G143">
            <v>53.963805396825393</v>
          </cell>
          <cell r="H143">
            <v>5.3530210690234496E-3</v>
          </cell>
          <cell r="I143">
            <v>280</v>
          </cell>
          <cell r="J143">
            <v>2.7775022319214363E-2</v>
          </cell>
        </row>
        <row r="144">
          <cell r="A144" t="str">
            <v>95784</v>
          </cell>
          <cell r="B144" t="str">
            <v>EMPAQUE SALSA ROJA SPOON (2000g)</v>
          </cell>
          <cell r="C144" t="str">
            <v>BOLSA</v>
          </cell>
          <cell r="D144" t="str">
            <v>GRAMO</v>
          </cell>
          <cell r="E144">
            <v>3540.6923279097305</v>
          </cell>
          <cell r="F144">
            <v>1.1802307759699102</v>
          </cell>
          <cell r="G144">
            <v>28.15436968503937</v>
          </cell>
          <cell r="H144">
            <v>9.3847898950131237E-3</v>
          </cell>
          <cell r="I144">
            <v>177.08700787401574</v>
          </cell>
          <cell r="J144">
            <v>5.9029002624671915E-2</v>
          </cell>
        </row>
        <row r="145">
          <cell r="A145" t="str">
            <v>95785</v>
          </cell>
          <cell r="B145" t="str">
            <v>COCCION BERENJENA EMPARRILLADA (2880g)</v>
          </cell>
          <cell r="C145" t="str">
            <v>KILO</v>
          </cell>
          <cell r="D145" t="str">
            <v>GRAMO</v>
          </cell>
          <cell r="E145">
            <v>2635.993496521739</v>
          </cell>
          <cell r="F145">
            <v>2.6359934965217389</v>
          </cell>
          <cell r="G145">
            <v>0</v>
          </cell>
          <cell r="H145">
            <v>0</v>
          </cell>
          <cell r="I145">
            <v>486.95652173913044</v>
          </cell>
          <cell r="J145">
            <v>0.48695652173913045</v>
          </cell>
        </row>
        <row r="146">
          <cell r="A146" t="str">
            <v>95786</v>
          </cell>
          <cell r="B146" t="str">
            <v>COCCION ZUCCINI EMPARRILLADO (1600g)</v>
          </cell>
          <cell r="C146" t="str">
            <v>KILO</v>
          </cell>
          <cell r="D146" t="str">
            <v>GRAMO</v>
          </cell>
          <cell r="E146">
            <v>5064.2918999999993</v>
          </cell>
          <cell r="F146">
            <v>5.0642918999999988</v>
          </cell>
          <cell r="G146">
            <v>0</v>
          </cell>
          <cell r="H146">
            <v>0</v>
          </cell>
          <cell r="I146">
            <v>687.5</v>
          </cell>
          <cell r="J146">
            <v>0.6875</v>
          </cell>
        </row>
        <row r="147">
          <cell r="A147" t="str">
            <v>95789</v>
          </cell>
          <cell r="B147" t="str">
            <v>CREMA CON MANJAR (21000g)</v>
          </cell>
          <cell r="C147" t="str">
            <v>KILO</v>
          </cell>
          <cell r="D147" t="str">
            <v>GRAMO</v>
          </cell>
          <cell r="E147">
            <v>1874.0260666666668</v>
          </cell>
          <cell r="F147">
            <v>1.8740260666666668</v>
          </cell>
          <cell r="G147">
            <v>4.7666666666666663E-2</v>
          </cell>
          <cell r="H147">
            <v>4.7666666666666662E-5</v>
          </cell>
          <cell r="I147">
            <v>26.666666666666668</v>
          </cell>
          <cell r="J147">
            <v>2.6666666666666668E-2</v>
          </cell>
        </row>
        <row r="148">
          <cell r="A148" t="str">
            <v>95790</v>
          </cell>
          <cell r="B148" t="str">
            <v>CALDO P/SOPA NEGRA (1.780g)</v>
          </cell>
          <cell r="C148" t="str">
            <v>KILO</v>
          </cell>
          <cell r="D148" t="str">
            <v>GRAMO</v>
          </cell>
          <cell r="E148">
            <v>752.71955666666668</v>
          </cell>
          <cell r="F148">
            <v>0.75271955666666668</v>
          </cell>
          <cell r="G148">
            <v>0</v>
          </cell>
          <cell r="H148">
            <v>0</v>
          </cell>
          <cell r="I148">
            <v>137.5</v>
          </cell>
          <cell r="J148">
            <v>0.13750000000000001</v>
          </cell>
        </row>
        <row r="149">
          <cell r="A149" t="str">
            <v>95793</v>
          </cell>
          <cell r="B149" t="str">
            <v>ALMIBAR DE CAFE (12.1 Kg)</v>
          </cell>
          <cell r="C149" t="str">
            <v>KILO</v>
          </cell>
          <cell r="D149" t="str">
            <v>GRAMO</v>
          </cell>
          <cell r="E149">
            <v>408.48461283764158</v>
          </cell>
          <cell r="F149">
            <v>0.40848461283764159</v>
          </cell>
          <cell r="G149">
            <v>7.6222862358408356</v>
          </cell>
          <cell r="H149">
            <v>7.6222862358408354E-3</v>
          </cell>
          <cell r="I149">
            <v>49.755762680537586</v>
          </cell>
          <cell r="J149">
            <v>4.9755762680537587E-2</v>
          </cell>
        </row>
        <row r="150">
          <cell r="A150" t="str">
            <v>95795</v>
          </cell>
          <cell r="B150" t="str">
            <v>BASE PREMEZCLA P/ PAN BLANCO (8156g)</v>
          </cell>
          <cell r="C150" t="str">
            <v>TANDA</v>
          </cell>
          <cell r="D150" t="str">
            <v>GRAMO</v>
          </cell>
          <cell r="E150">
            <v>10933.471006</v>
          </cell>
          <cell r="F150">
            <v>0.67926633983598406</v>
          </cell>
          <cell r="G150">
            <v>45.865592698412698</v>
          </cell>
          <cell r="H150">
            <v>2.8495025284799142E-3</v>
          </cell>
          <cell r="I150">
            <v>110</v>
          </cell>
          <cell r="J150">
            <v>6.8339960238568585E-3</v>
          </cell>
        </row>
        <row r="151">
          <cell r="A151" t="str">
            <v>95797</v>
          </cell>
          <cell r="B151" t="str">
            <v>BOLLETA PAN BLANCO 140G (UND)</v>
          </cell>
          <cell r="C151" t="str">
            <v>UND</v>
          </cell>
          <cell r="D151" t="str">
            <v>UND</v>
          </cell>
          <cell r="E151">
            <v>71.121492454165036</v>
          </cell>
          <cell r="F151">
            <v>71.121492454165036</v>
          </cell>
          <cell r="G151">
            <v>0.27852989712318466</v>
          </cell>
          <cell r="H151">
            <v>0.27852989712318466</v>
          </cell>
          <cell r="I151">
            <v>18.51807179710579</v>
          </cell>
          <cell r="J151">
            <v>18.51807179710579</v>
          </cell>
        </row>
        <row r="152">
          <cell r="A152" t="str">
            <v>95803</v>
          </cell>
          <cell r="B152" t="str">
            <v>GALLETA P/ALFAJOR MEDIANO (UND)</v>
          </cell>
          <cell r="C152" t="str">
            <v>UND</v>
          </cell>
          <cell r="D152" t="str">
            <v>UND</v>
          </cell>
          <cell r="E152">
            <v>14.066912117670235</v>
          </cell>
          <cell r="F152">
            <v>14.066912117670235</v>
          </cell>
          <cell r="G152">
            <v>4.4991244674881463E-2</v>
          </cell>
          <cell r="H152">
            <v>4.4991244674881463E-2</v>
          </cell>
          <cell r="I152">
            <v>5.4696969696969697</v>
          </cell>
          <cell r="J152">
            <v>5.4696969696969697</v>
          </cell>
        </row>
        <row r="153">
          <cell r="A153" t="str">
            <v>95805</v>
          </cell>
          <cell r="B153" t="str">
            <v>ROSQUETE CHOCOLATE SPOON RED  (400g)</v>
          </cell>
          <cell r="C153" t="str">
            <v>UND</v>
          </cell>
          <cell r="D153" t="str">
            <v>UND</v>
          </cell>
          <cell r="E153">
            <v>515.15772492823965</v>
          </cell>
          <cell r="F153">
            <v>515.15772492823965</v>
          </cell>
          <cell r="G153">
            <v>7.9348272087369232</v>
          </cell>
          <cell r="H153">
            <v>7.9348272087369232</v>
          </cell>
          <cell r="I153">
            <v>19.624901438899521</v>
          </cell>
          <cell r="J153">
            <v>19.624901438899521</v>
          </cell>
        </row>
        <row r="154">
          <cell r="A154" t="str">
            <v>95812</v>
          </cell>
          <cell r="B154" t="str">
            <v>TOCINETA FRITA (265g)</v>
          </cell>
          <cell r="C154" t="str">
            <v>KILO</v>
          </cell>
          <cell r="D154" t="str">
            <v>GRAMO</v>
          </cell>
          <cell r="E154">
            <v>10598.679245283018</v>
          </cell>
          <cell r="F154">
            <v>10.598679245283018</v>
          </cell>
          <cell r="G154">
            <v>0</v>
          </cell>
          <cell r="H154">
            <v>0</v>
          </cell>
          <cell r="I154">
            <v>1056.6037735849056</v>
          </cell>
          <cell r="J154">
            <v>1.0566037735849056</v>
          </cell>
        </row>
        <row r="155">
          <cell r="A155" t="str">
            <v>95817</v>
          </cell>
          <cell r="B155" t="str">
            <v>MEZCLA TRES LECHES PASTEURIZADA (62500 ml)</v>
          </cell>
          <cell r="C155" t="str">
            <v>LITRO</v>
          </cell>
          <cell r="D155" t="str">
            <v>Mililitro</v>
          </cell>
          <cell r="E155">
            <v>95650.073764000001</v>
          </cell>
          <cell r="F155">
            <v>1.5304011802240001</v>
          </cell>
          <cell r="G155">
            <v>0</v>
          </cell>
          <cell r="H155">
            <v>0</v>
          </cell>
          <cell r="I155">
            <v>605</v>
          </cell>
          <cell r="J155">
            <v>9.6799999999999994E-3</v>
          </cell>
        </row>
        <row r="156">
          <cell r="A156" t="str">
            <v>95820</v>
          </cell>
          <cell r="B156" t="str">
            <v>CALDO P/SOPA POLLO (1150g)</v>
          </cell>
          <cell r="C156" t="str">
            <v>KILO</v>
          </cell>
          <cell r="D156" t="str">
            <v>GRAMO</v>
          </cell>
          <cell r="E156">
            <v>545.74586700000009</v>
          </cell>
          <cell r="F156">
            <v>0.54574586700000005</v>
          </cell>
          <cell r="G156">
            <v>12.604402499999999</v>
          </cell>
          <cell r="H156">
            <v>1.2604402499999999E-2</v>
          </cell>
          <cell r="I156">
            <v>275</v>
          </cell>
          <cell r="J156">
            <v>0.27500000000000002</v>
          </cell>
        </row>
        <row r="157">
          <cell r="A157" t="str">
            <v>95821</v>
          </cell>
          <cell r="B157" t="str">
            <v>COCCION CREMA BROCOLI (4000g)</v>
          </cell>
          <cell r="C157" t="str">
            <v>KILO</v>
          </cell>
          <cell r="D157" t="str">
            <v>GRAMO</v>
          </cell>
          <cell r="E157">
            <v>1126.8274617431762</v>
          </cell>
          <cell r="F157">
            <v>1.1268274617431762</v>
          </cell>
          <cell r="G157">
            <v>0</v>
          </cell>
          <cell r="H157">
            <v>0</v>
          </cell>
          <cell r="I157">
            <v>66.532258064516128</v>
          </cell>
          <cell r="J157">
            <v>6.6532258064516125E-2</v>
          </cell>
        </row>
        <row r="158">
          <cell r="A158" t="str">
            <v>95822</v>
          </cell>
          <cell r="B158" t="str">
            <v>CALDO P/SOPA AZTECA (34580g)</v>
          </cell>
          <cell r="C158" t="str">
            <v>TANDA</v>
          </cell>
          <cell r="D158" t="str">
            <v>GRAMO</v>
          </cell>
          <cell r="E158">
            <v>33517.644825641022</v>
          </cell>
          <cell r="F158">
            <v>0.96927833503878025</v>
          </cell>
          <cell r="G158">
            <v>2.8030027039872187E-5</v>
          </cell>
          <cell r="H158">
            <v>8.1058493464060695E-10</v>
          </cell>
          <cell r="I158">
            <v>1650</v>
          </cell>
          <cell r="J158">
            <v>4.7715442452284561E-2</v>
          </cell>
        </row>
        <row r="159">
          <cell r="A159" t="str">
            <v>95827</v>
          </cell>
          <cell r="B159" t="str">
            <v>TEMPERADO CHOCOLATE LECHE BELCOLADE (4900g)</v>
          </cell>
          <cell r="C159" t="str">
            <v>KILO</v>
          </cell>
          <cell r="D159" t="str">
            <v>GRAMO</v>
          </cell>
          <cell r="E159">
            <v>6636.7346938775509</v>
          </cell>
          <cell r="F159">
            <v>6.6367346938775507</v>
          </cell>
          <cell r="G159">
            <v>1.8918510204081629</v>
          </cell>
          <cell r="H159">
            <v>1.891851020408163E-3</v>
          </cell>
          <cell r="I159">
            <v>57.142857142857139</v>
          </cell>
          <cell r="J159">
            <v>5.7142857142857141E-2</v>
          </cell>
        </row>
        <row r="160">
          <cell r="A160" t="str">
            <v>95828</v>
          </cell>
          <cell r="B160" t="str">
            <v>TEMPERADO CHOCOLATE BLANCO (3200g)</v>
          </cell>
          <cell r="C160" t="str">
            <v>KILO</v>
          </cell>
          <cell r="D160" t="str">
            <v>GRAMO</v>
          </cell>
          <cell r="E160">
            <v>4534.6199374999997</v>
          </cell>
          <cell r="F160">
            <v>4.5346199374999996</v>
          </cell>
          <cell r="G160">
            <v>2.9559371874999996</v>
          </cell>
          <cell r="H160">
            <v>2.9559371874999995E-3</v>
          </cell>
          <cell r="I160">
            <v>87.5</v>
          </cell>
          <cell r="J160">
            <v>8.7499999999999994E-2</v>
          </cell>
        </row>
        <row r="161">
          <cell r="A161" t="str">
            <v>95829</v>
          </cell>
          <cell r="B161" t="str">
            <v>GLACE BLANCO PURO (7495g)</v>
          </cell>
          <cell r="C161" t="str">
            <v>KILO</v>
          </cell>
          <cell r="D161" t="str">
            <v>GRAMO</v>
          </cell>
          <cell r="E161">
            <v>1609.9631754503</v>
          </cell>
          <cell r="F161">
            <v>1.6099631754503001</v>
          </cell>
          <cell r="G161">
            <v>4.8027942628418954</v>
          </cell>
          <cell r="H161">
            <v>4.8027942628418949E-3</v>
          </cell>
          <cell r="I161">
            <v>89.659773182121413</v>
          </cell>
          <cell r="J161">
            <v>8.9659773182121413E-2</v>
          </cell>
        </row>
        <row r="162">
          <cell r="A162" t="str">
            <v>95831</v>
          </cell>
          <cell r="B162" t="str">
            <v>BASE PREMEZCLA RELLENO CHOCOFRESA (5400g)</v>
          </cell>
          <cell r="C162" t="str">
            <v>TANDA</v>
          </cell>
          <cell r="D162" t="str">
            <v>GRAMO</v>
          </cell>
          <cell r="E162">
            <v>16413.192000000003</v>
          </cell>
          <cell r="F162">
            <v>3.0394800000000006</v>
          </cell>
          <cell r="G162">
            <v>73.876666666666665</v>
          </cell>
          <cell r="H162">
            <v>1.3680864197530864E-2</v>
          </cell>
          <cell r="I162">
            <v>55</v>
          </cell>
          <cell r="J162">
            <v>1.0185185185185186E-2</v>
          </cell>
        </row>
        <row r="163">
          <cell r="A163" t="str">
            <v>95832</v>
          </cell>
          <cell r="B163" t="str">
            <v>GALLETAS P/CAFE (UND)</v>
          </cell>
          <cell r="C163" t="str">
            <v>UND</v>
          </cell>
          <cell r="D163" t="str">
            <v>UND</v>
          </cell>
          <cell r="E163">
            <v>15.120441866741274</v>
          </cell>
          <cell r="F163">
            <v>15.120441866741274</v>
          </cell>
          <cell r="G163">
            <v>7.417582417582419E-2</v>
          </cell>
          <cell r="H163">
            <v>7.417582417582419E-2</v>
          </cell>
          <cell r="I163">
            <v>4.5983165891937823</v>
          </cell>
          <cell r="J163">
            <v>4.5983165891937823</v>
          </cell>
        </row>
        <row r="164">
          <cell r="A164" t="str">
            <v>95834</v>
          </cell>
          <cell r="B164" t="str">
            <v>FLAN CARAMELO MINI P/FLAN TRES LECHES (UND=500g)</v>
          </cell>
          <cell r="C164" t="str">
            <v>UND</v>
          </cell>
          <cell r="D164" t="str">
            <v>UND</v>
          </cell>
          <cell r="E164">
            <v>871.41789396866682</v>
          </cell>
          <cell r="F164">
            <v>871.41789396866682</v>
          </cell>
          <cell r="G164">
            <v>24.008873999999999</v>
          </cell>
          <cell r="H164">
            <v>24.008873999999999</v>
          </cell>
          <cell r="I164">
            <v>77.400000000000006</v>
          </cell>
          <cell r="J164">
            <v>77.400000000000006</v>
          </cell>
        </row>
        <row r="165">
          <cell r="A165" t="str">
            <v>95846</v>
          </cell>
          <cell r="B165" t="str">
            <v>COCCION SALSA ROJA SPOON (31750g)</v>
          </cell>
          <cell r="C165" t="str">
            <v>TANDA</v>
          </cell>
          <cell r="D165" t="str">
            <v>GRAMO</v>
          </cell>
          <cell r="E165">
            <v>37472.327137044653</v>
          </cell>
          <cell r="F165">
            <v>1.1802307759699102</v>
          </cell>
          <cell r="G165">
            <v>42.858157499999997</v>
          </cell>
          <cell r="H165">
            <v>1.3498632283464565E-3</v>
          </cell>
          <cell r="I165">
            <v>1100</v>
          </cell>
          <cell r="J165">
            <v>3.4645669291338582E-2</v>
          </cell>
        </row>
        <row r="166">
          <cell r="A166" t="str">
            <v>95854</v>
          </cell>
          <cell r="B166" t="str">
            <v>COCCION CREMA DE AYOTE (30800g)</v>
          </cell>
          <cell r="C166" t="str">
            <v>TANDA</v>
          </cell>
          <cell r="D166" t="str">
            <v>GRAMO</v>
          </cell>
          <cell r="E166">
            <v>42689.357034230779</v>
          </cell>
          <cell r="F166">
            <v>1.3860180855269733</v>
          </cell>
          <cell r="G166">
            <v>3.814676212170518</v>
          </cell>
          <cell r="H166">
            <v>1.2385312377177006E-4</v>
          </cell>
          <cell r="I166">
            <v>1715.2733485193621</v>
          </cell>
          <cell r="J166">
            <v>5.5690693133745521E-2</v>
          </cell>
        </row>
        <row r="167">
          <cell r="A167" t="str">
            <v>908000042</v>
          </cell>
          <cell r="B167" t="str">
            <v>COCCION PECHUGA PARRILLA (UND)</v>
          </cell>
          <cell r="C167" t="str">
            <v>UND</v>
          </cell>
          <cell r="D167" t="str">
            <v>UND</v>
          </cell>
          <cell r="E167">
            <v>452.11328695249421</v>
          </cell>
          <cell r="F167">
            <v>452.11328695249421</v>
          </cell>
          <cell r="G167">
            <v>4.0254080435939166</v>
          </cell>
          <cell r="H167">
            <v>4.0254080435939166</v>
          </cell>
          <cell r="I167">
            <v>9.8290511360080117</v>
          </cell>
          <cell r="J167">
            <v>9.8290511360080117</v>
          </cell>
        </row>
        <row r="168">
          <cell r="A168" t="str">
            <v>95863</v>
          </cell>
          <cell r="B168" t="str">
            <v>BASE PREMEZCLA PURE DE PAPA (4000g)</v>
          </cell>
          <cell r="C168" t="str">
            <v>TANDA</v>
          </cell>
          <cell r="D168" t="str">
            <v>GRAMO</v>
          </cell>
          <cell r="E168">
            <v>7311.6</v>
          </cell>
          <cell r="F168">
            <v>1.8279000000000001</v>
          </cell>
          <cell r="G168">
            <v>33.333333333333336</v>
          </cell>
          <cell r="H168">
            <v>8.3333333333333332E-3</v>
          </cell>
          <cell r="I168">
            <v>55</v>
          </cell>
          <cell r="J168">
            <v>1.375E-2</v>
          </cell>
        </row>
        <row r="169">
          <cell r="A169" t="str">
            <v>95874</v>
          </cell>
          <cell r="B169" t="str">
            <v>SALSA TAMARINDO (2905g)</v>
          </cell>
          <cell r="C169" t="str">
            <v>KILO</v>
          </cell>
          <cell r="D169" t="str">
            <v>GRAMO</v>
          </cell>
          <cell r="E169">
            <v>673.94177435714289</v>
          </cell>
          <cell r="F169">
            <v>0.67394177435714286</v>
          </cell>
          <cell r="G169">
            <v>2.6672902380952381</v>
          </cell>
          <cell r="H169">
            <v>2.6672902380952381E-3</v>
          </cell>
          <cell r="I169">
            <v>65.476190476190482</v>
          </cell>
          <cell r="J169">
            <v>6.5476190476190479E-2</v>
          </cell>
        </row>
        <row r="170">
          <cell r="A170" t="str">
            <v>95878</v>
          </cell>
          <cell r="B170" t="str">
            <v>SALSA LIMON Y ALCAPARRAS (1200g)</v>
          </cell>
          <cell r="C170" t="str">
            <v>KILO</v>
          </cell>
          <cell r="D170" t="str">
            <v>GRAMO</v>
          </cell>
          <cell r="E170">
            <v>1960.6105894221296</v>
          </cell>
          <cell r="F170">
            <v>1.9606105894221295</v>
          </cell>
          <cell r="G170">
            <v>9.8570690296466451E-2</v>
          </cell>
          <cell r="H170">
            <v>9.8570690296466445E-5</v>
          </cell>
          <cell r="I170">
            <v>119.79520840170659</v>
          </cell>
          <cell r="J170">
            <v>0.11979520840170658</v>
          </cell>
        </row>
        <row r="171">
          <cell r="A171" t="str">
            <v>95879</v>
          </cell>
          <cell r="B171" t="str">
            <v>RELLENO CARNE SOMBRERO PERUANO (2057g)</v>
          </cell>
          <cell r="C171" t="str">
            <v>KILO</v>
          </cell>
          <cell r="D171" t="str">
            <v>GRAMO</v>
          </cell>
          <cell r="E171">
            <v>2820.5823037963492</v>
          </cell>
          <cell r="F171">
            <v>2.8205823037963493</v>
          </cell>
          <cell r="G171">
            <v>0</v>
          </cell>
          <cell r="H171">
            <v>0</v>
          </cell>
          <cell r="I171">
            <v>401.06951871657753</v>
          </cell>
          <cell r="J171">
            <v>0.40106951871657753</v>
          </cell>
        </row>
        <row r="172">
          <cell r="A172" t="str">
            <v>95882</v>
          </cell>
          <cell r="B172" t="str">
            <v>BATIDO GENOVESA (21600g)</v>
          </cell>
          <cell r="C172" t="str">
            <v>TANDA</v>
          </cell>
          <cell r="D172" t="str">
            <v>GRAMO</v>
          </cell>
          <cell r="E172">
            <v>23324.529458823534</v>
          </cell>
          <cell r="F172">
            <v>1.0798393267973858</v>
          </cell>
          <cell r="G172">
            <v>0</v>
          </cell>
          <cell r="H172">
            <v>0</v>
          </cell>
          <cell r="I172">
            <v>440</v>
          </cell>
          <cell r="J172">
            <v>2.0370370370370372E-2</v>
          </cell>
        </row>
        <row r="173">
          <cell r="A173" t="str">
            <v>95883</v>
          </cell>
          <cell r="B173" t="str">
            <v>BASE GALLETA P/BARRA PECANAS (400g)</v>
          </cell>
          <cell r="C173" t="str">
            <v>UND</v>
          </cell>
          <cell r="D173" t="str">
            <v>UND</v>
          </cell>
          <cell r="E173">
            <v>829.59735667114091</v>
          </cell>
          <cell r="F173">
            <v>829.59735667114091</v>
          </cell>
          <cell r="G173">
            <v>14.519826875838925</v>
          </cell>
          <cell r="H173">
            <v>14.519826875838925</v>
          </cell>
          <cell r="I173">
            <v>113.1275167785235</v>
          </cell>
          <cell r="J173">
            <v>113.1275167785235</v>
          </cell>
        </row>
        <row r="174">
          <cell r="A174" t="str">
            <v>95884</v>
          </cell>
          <cell r="B174" t="str">
            <v>RELLENO PECANAS P/BARRAS (3975g)</v>
          </cell>
          <cell r="C174" t="str">
            <v>KILO</v>
          </cell>
          <cell r="D174" t="str">
            <v>GRAMO</v>
          </cell>
          <cell r="E174">
            <v>1745.5228490566042</v>
          </cell>
          <cell r="F174">
            <v>1.7455228490566042</v>
          </cell>
          <cell r="G174">
            <v>0</v>
          </cell>
          <cell r="H174">
            <v>0</v>
          </cell>
          <cell r="I174">
            <v>140.88050314465409</v>
          </cell>
          <cell r="J174">
            <v>0.14088050314465408</v>
          </cell>
        </row>
        <row r="175">
          <cell r="A175" t="str">
            <v>95885</v>
          </cell>
          <cell r="B175" t="str">
            <v>PLANCHA BARRA DE PECANAS (1425g)</v>
          </cell>
          <cell r="C175" t="str">
            <v>UND</v>
          </cell>
          <cell r="D175" t="str">
            <v>UND</v>
          </cell>
          <cell r="E175">
            <v>4546.1427989352915</v>
          </cell>
          <cell r="F175">
            <v>4546.1427989352915</v>
          </cell>
          <cell r="G175">
            <v>14.519826875838925</v>
          </cell>
          <cell r="H175">
            <v>14.519826875838925</v>
          </cell>
          <cell r="I175">
            <v>335.01430923135365</v>
          </cell>
          <cell r="J175">
            <v>335.01430923135365</v>
          </cell>
        </row>
        <row r="176">
          <cell r="A176" t="str">
            <v>95890</v>
          </cell>
          <cell r="B176" t="str">
            <v>REBANADA CROSTINIS PARMESANO (UND)</v>
          </cell>
          <cell r="C176" t="str">
            <v>UND</v>
          </cell>
          <cell r="D176" t="str">
            <v>UND</v>
          </cell>
          <cell r="E176">
            <v>46.419747183579176</v>
          </cell>
          <cell r="F176">
            <v>46.419747183579176</v>
          </cell>
          <cell r="G176">
            <v>0.12270622458169364</v>
          </cell>
          <cell r="H176">
            <v>0.12270622458169364</v>
          </cell>
          <cell r="I176">
            <v>26.868729026942543</v>
          </cell>
          <cell r="J176">
            <v>26.868729026942543</v>
          </cell>
        </row>
        <row r="177">
          <cell r="A177" t="str">
            <v>95892</v>
          </cell>
          <cell r="B177" t="str">
            <v>REBANADA CROSTINIS TOMATE (UND)</v>
          </cell>
          <cell r="C177" t="str">
            <v>UND</v>
          </cell>
          <cell r="D177" t="str">
            <v>UND</v>
          </cell>
          <cell r="E177">
            <v>46.975118392240581</v>
          </cell>
          <cell r="F177">
            <v>46.975118392240581</v>
          </cell>
          <cell r="G177">
            <v>0.11339934089754986</v>
          </cell>
          <cell r="H177">
            <v>0.11339934089754986</v>
          </cell>
          <cell r="I177">
            <v>27.088700707050897</v>
          </cell>
          <cell r="J177">
            <v>27.088700707050897</v>
          </cell>
        </row>
        <row r="178">
          <cell r="A178" t="str">
            <v>95893</v>
          </cell>
          <cell r="B178" t="str">
            <v>GALLETA CHOCOLATE BLANCO/MACADAMIA (UND)</v>
          </cell>
          <cell r="C178" t="str">
            <v>UND</v>
          </cell>
          <cell r="D178" t="str">
            <v>UND</v>
          </cell>
          <cell r="E178">
            <v>243.35316090966765</v>
          </cell>
          <cell r="F178">
            <v>243.35316090966765</v>
          </cell>
          <cell r="G178">
            <v>0.34567573662551443</v>
          </cell>
          <cell r="H178">
            <v>0.34567573662551443</v>
          </cell>
          <cell r="I178">
            <v>20.657777777777778</v>
          </cell>
          <cell r="J178">
            <v>20.657777777777778</v>
          </cell>
        </row>
        <row r="179">
          <cell r="A179" t="str">
            <v>95894</v>
          </cell>
          <cell r="B179" t="str">
            <v>BASE PREMEZCLA GALLETA CHOCOLATE CHIPS (663g)</v>
          </cell>
          <cell r="C179" t="str">
            <v>TANDA</v>
          </cell>
          <cell r="D179" t="str">
            <v>GRAMO</v>
          </cell>
          <cell r="E179">
            <v>4845.6445659999999</v>
          </cell>
          <cell r="F179">
            <v>0.70206383164300201</v>
          </cell>
          <cell r="G179">
            <v>17.771546111111114</v>
          </cell>
          <cell r="H179">
            <v>2.5748400624617668E-3</v>
          </cell>
          <cell r="I179">
            <v>112</v>
          </cell>
          <cell r="J179">
            <v>1.6227180527383367E-2</v>
          </cell>
        </row>
        <row r="180">
          <cell r="A180" t="str">
            <v>95920</v>
          </cell>
          <cell r="B180" t="str">
            <v>CREMA CHOCOLATE CON AGUA (900g)</v>
          </cell>
          <cell r="C180" t="str">
            <v>Kilo</v>
          </cell>
          <cell r="D180" t="str">
            <v>Gramo</v>
          </cell>
          <cell r="E180">
            <v>1350.8181999999999</v>
          </cell>
          <cell r="F180">
            <v>1.3508182</v>
          </cell>
          <cell r="G180">
            <v>7.6890899999999993</v>
          </cell>
          <cell r="H180">
            <v>7.6890899999999991E-3</v>
          </cell>
          <cell r="I180">
            <v>50.909090909090914</v>
          </cell>
          <cell r="J180">
            <v>5.0909090909090911E-2</v>
          </cell>
        </row>
        <row r="181">
          <cell r="A181" t="str">
            <v>95930</v>
          </cell>
          <cell r="B181" t="str">
            <v>TIQUEÑOS DE QUESO (UND)</v>
          </cell>
          <cell r="C181" t="str">
            <v>UND</v>
          </cell>
          <cell r="D181" t="str">
            <v>UND</v>
          </cell>
          <cell r="E181">
            <v>69.895097488372087</v>
          </cell>
          <cell r="F181">
            <v>69.895097488372087</v>
          </cell>
          <cell r="G181">
            <v>1.0934808139534881E-2</v>
          </cell>
          <cell r="H181">
            <v>1.0934808139534881E-2</v>
          </cell>
          <cell r="I181">
            <v>7.7703488372093021</v>
          </cell>
          <cell r="J181">
            <v>7.7703488372093021</v>
          </cell>
        </row>
        <row r="182">
          <cell r="A182" t="str">
            <v>95966</v>
          </cell>
          <cell r="B182" t="str">
            <v>COCCION HONGOS SALTEADOS  (2790g)</v>
          </cell>
          <cell r="C182" t="str">
            <v>KILO</v>
          </cell>
          <cell r="D182" t="str">
            <v>GRAMO</v>
          </cell>
          <cell r="E182">
            <v>3629.3204697024025</v>
          </cell>
          <cell r="F182">
            <v>3.6293204697024026</v>
          </cell>
          <cell r="G182">
            <v>0</v>
          </cell>
          <cell r="H182">
            <v>0</v>
          </cell>
          <cell r="I182">
            <v>197.20329867335963</v>
          </cell>
          <cell r="J182">
            <v>0.19720329867335962</v>
          </cell>
        </row>
        <row r="183">
          <cell r="A183" t="str">
            <v>95968</v>
          </cell>
          <cell r="B183" t="str">
            <v>ADEREZO MOSTAZA MIEL (4450g)</v>
          </cell>
          <cell r="C183" t="str">
            <v>KILO</v>
          </cell>
          <cell r="D183" t="str">
            <v>GRAMO</v>
          </cell>
          <cell r="E183">
            <v>2339.5513111855466</v>
          </cell>
          <cell r="F183">
            <v>2.3395513111855468</v>
          </cell>
          <cell r="G183">
            <v>11.950525782111065</v>
          </cell>
          <cell r="H183">
            <v>1.1950525782111065E-2</v>
          </cell>
          <cell r="I183">
            <v>89.434579176999804</v>
          </cell>
          <cell r="J183">
            <v>8.9434579176999804E-2</v>
          </cell>
        </row>
        <row r="184">
          <cell r="A184" t="str">
            <v>95990</v>
          </cell>
          <cell r="B184" t="str">
            <v>TARTALETA OVALADA DULCE (UND)</v>
          </cell>
          <cell r="C184" t="str">
            <v>UND</v>
          </cell>
          <cell r="D184" t="str">
            <v>UND</v>
          </cell>
          <cell r="E184">
            <v>52.843058724812039</v>
          </cell>
          <cell r="F184">
            <v>52.843058724812039</v>
          </cell>
          <cell r="G184">
            <v>0.39404174340613446</v>
          </cell>
          <cell r="H184">
            <v>0.39404174340613446</v>
          </cell>
          <cell r="I184">
            <v>17.809523809523807</v>
          </cell>
          <cell r="J184">
            <v>17.809523809523807</v>
          </cell>
        </row>
        <row r="185">
          <cell r="A185" t="str">
            <v>96022</v>
          </cell>
          <cell r="B185" t="str">
            <v>RELLENO JAMON-QUESO CREMA P/EMPANADA (420g)</v>
          </cell>
          <cell r="C185" t="str">
            <v>Kilo</v>
          </cell>
          <cell r="D185" t="str">
            <v>Gramo</v>
          </cell>
          <cell r="E185">
            <v>3527.5846928571427</v>
          </cell>
          <cell r="F185">
            <v>3.5275846928571428</v>
          </cell>
          <cell r="G185">
            <v>20.062483333333333</v>
          </cell>
          <cell r="H185">
            <v>2.0062483333333332E-2</v>
          </cell>
          <cell r="I185">
            <v>261.90476190476193</v>
          </cell>
          <cell r="J185">
            <v>0.26190476190476192</v>
          </cell>
        </row>
        <row r="186">
          <cell r="A186" t="str">
            <v>96032</v>
          </cell>
          <cell r="B186" t="str">
            <v>CARAMELO AZUCAR P/FLAN (900g)</v>
          </cell>
          <cell r="C186" t="str">
            <v>KILO</v>
          </cell>
          <cell r="D186" t="str">
            <v>GRAMO</v>
          </cell>
          <cell r="E186">
            <v>401.04444444444442</v>
          </cell>
          <cell r="F186">
            <v>0.40104444444444443</v>
          </cell>
          <cell r="G186">
            <v>0</v>
          </cell>
          <cell r="H186">
            <v>0</v>
          </cell>
          <cell r="I186">
            <v>373.33333333333337</v>
          </cell>
          <cell r="J186">
            <v>0.37333333333333335</v>
          </cell>
        </row>
        <row r="187">
          <cell r="A187" t="str">
            <v>96037</v>
          </cell>
          <cell r="B187" t="str">
            <v>RELLENO CEBOLLA Y QUESO P/EMPANADA (1000g)</v>
          </cell>
          <cell r="C187" t="str">
            <v>KILO</v>
          </cell>
          <cell r="D187" t="str">
            <v>GRAMO</v>
          </cell>
          <cell r="E187">
            <v>3182.9953504999999</v>
          </cell>
          <cell r="F187">
            <v>3.1829953504999997</v>
          </cell>
          <cell r="G187">
            <v>23.595589314028313</v>
          </cell>
          <cell r="H187">
            <v>2.3595589314028314E-2</v>
          </cell>
          <cell r="I187">
            <v>337.89189189189187</v>
          </cell>
          <cell r="J187">
            <v>0.33789189189189189</v>
          </cell>
        </row>
        <row r="188">
          <cell r="A188" t="str">
            <v>96038</v>
          </cell>
          <cell r="B188" t="str">
            <v>EMPANADA CEBOLLA Y QUESO LAVAZZA (UND)</v>
          </cell>
          <cell r="C188" t="str">
            <v>UND</v>
          </cell>
          <cell r="D188" t="str">
            <v>UND</v>
          </cell>
          <cell r="E188">
            <v>154.8772280327008</v>
          </cell>
          <cell r="F188">
            <v>154.8772280327008</v>
          </cell>
          <cell r="G188">
            <v>2.1859325422494185</v>
          </cell>
          <cell r="H188">
            <v>2.1859325422494185</v>
          </cell>
          <cell r="I188">
            <v>62.028973598034135</v>
          </cell>
          <cell r="J188">
            <v>62.028973598034135</v>
          </cell>
        </row>
        <row r="189">
          <cell r="A189" t="str">
            <v>96039</v>
          </cell>
          <cell r="B189" t="str">
            <v>EMPANADA JAMON Y PETTI POIS FAS (UND)</v>
          </cell>
          <cell r="C189" t="str">
            <v>UND</v>
          </cell>
          <cell r="D189" t="str">
            <v>UND</v>
          </cell>
          <cell r="E189">
            <v>127.0016258582545</v>
          </cell>
          <cell r="F189">
            <v>127.0016258582545</v>
          </cell>
          <cell r="G189">
            <v>0.73652764234903134</v>
          </cell>
          <cell r="H189">
            <v>0.73652764234903134</v>
          </cell>
          <cell r="I189">
            <v>67.901510178238496</v>
          </cell>
          <cell r="J189">
            <v>67.901510178238496</v>
          </cell>
        </row>
        <row r="190">
          <cell r="A190" t="str">
            <v>96055</v>
          </cell>
          <cell r="B190" t="str">
            <v>EMPANADA CARNE MECHADA IND (UND)</v>
          </cell>
          <cell r="C190" t="str">
            <v>UND</v>
          </cell>
          <cell r="D190" t="str">
            <v>UND</v>
          </cell>
          <cell r="E190">
            <v>244.93062478975185</v>
          </cell>
          <cell r="F190">
            <v>244.93062478975185</v>
          </cell>
          <cell r="G190">
            <v>2.8525404214828645</v>
          </cell>
          <cell r="H190">
            <v>2.8525404214828645</v>
          </cell>
          <cell r="I190">
            <v>44.052602441043518</v>
          </cell>
          <cell r="J190">
            <v>44.052602441043518</v>
          </cell>
        </row>
        <row r="191">
          <cell r="A191" t="str">
            <v>96058</v>
          </cell>
          <cell r="B191" t="str">
            <v>BASE PREMEZCLA YOGURT CAKE  (1804g)</v>
          </cell>
          <cell r="C191" t="str">
            <v>TANDA</v>
          </cell>
          <cell r="D191" t="str">
            <v>GRAMO</v>
          </cell>
          <cell r="E191">
            <v>3078.0217600000001</v>
          </cell>
          <cell r="F191">
            <v>1.7062204878048781</v>
          </cell>
          <cell r="G191">
            <v>11.020357777777779</v>
          </cell>
          <cell r="H191">
            <v>6.1088457748213849E-3</v>
          </cell>
          <cell r="I191">
            <v>112</v>
          </cell>
          <cell r="J191">
            <v>6.2084257206208429E-2</v>
          </cell>
        </row>
        <row r="192">
          <cell r="A192" t="str">
            <v>96059</v>
          </cell>
          <cell r="B192" t="str">
            <v>ROSQUETE YOGURT CAKE (400g)</v>
          </cell>
          <cell r="C192" t="str">
            <v>UND</v>
          </cell>
          <cell r="D192" t="str">
            <v>UND</v>
          </cell>
          <cell r="E192">
            <v>566.44048035760045</v>
          </cell>
          <cell r="F192">
            <v>566.44048035760045</v>
          </cell>
          <cell r="G192">
            <v>7.6925275956760082</v>
          </cell>
          <cell r="H192">
            <v>7.6925275956760082</v>
          </cell>
          <cell r="I192">
            <v>45.229776115579696</v>
          </cell>
          <cell r="J192">
            <v>45.229776115579696</v>
          </cell>
        </row>
        <row r="193">
          <cell r="A193" t="str">
            <v>96076</v>
          </cell>
          <cell r="B193" t="str">
            <v>RELLENO CARNE MECHA-COMINO-ROMERO (1000g)</v>
          </cell>
          <cell r="C193" t="str">
            <v>Kilo</v>
          </cell>
          <cell r="D193" t="str">
            <v>Gramo</v>
          </cell>
          <cell r="E193">
            <v>3486.6073803027475</v>
          </cell>
          <cell r="F193">
            <v>3.4866073803027473</v>
          </cell>
          <cell r="G193">
            <v>33.528991908140348</v>
          </cell>
          <cell r="H193">
            <v>3.3528991908140349E-2</v>
          </cell>
          <cell r="I193">
            <v>230.83623001068085</v>
          </cell>
          <cell r="J193">
            <v>0.23083623001068085</v>
          </cell>
        </row>
        <row r="194">
          <cell r="A194" t="str">
            <v>96098</v>
          </cell>
          <cell r="B194" t="str">
            <v>ADEREZO PEPINILLOS Y ANCHOAS (390g)</v>
          </cell>
          <cell r="C194" t="str">
            <v>KILO</v>
          </cell>
          <cell r="D194" t="str">
            <v>GRAMO</v>
          </cell>
          <cell r="E194">
            <v>2774.9748658519438</v>
          </cell>
          <cell r="F194">
            <v>2.7749748658519438</v>
          </cell>
          <cell r="G194">
            <v>22.677630516055928</v>
          </cell>
          <cell r="H194">
            <v>2.2677630516055928E-2</v>
          </cell>
          <cell r="I194">
            <v>727.77511757705349</v>
          </cell>
          <cell r="J194">
            <v>0.72777511757705349</v>
          </cell>
        </row>
        <row r="195">
          <cell r="A195" t="str">
            <v>96100</v>
          </cell>
          <cell r="B195" t="str">
            <v>COCCION QUINUA BLANCA (600g)</v>
          </cell>
          <cell r="C195" t="str">
            <v>KILO</v>
          </cell>
          <cell r="D195" t="str">
            <v>GRAMO</v>
          </cell>
          <cell r="E195">
            <v>2098.3056844444445</v>
          </cell>
          <cell r="F195">
            <v>2.0983056844444445</v>
          </cell>
          <cell r="G195">
            <v>0</v>
          </cell>
          <cell r="H195">
            <v>0</v>
          </cell>
          <cell r="I195">
            <v>183.33333333333331</v>
          </cell>
          <cell r="J195">
            <v>0.18333333333333332</v>
          </cell>
        </row>
        <row r="196">
          <cell r="A196" t="str">
            <v>96108</v>
          </cell>
          <cell r="B196" t="str">
            <v>CEBOLLA CARAMELIZADA (1516g)</v>
          </cell>
          <cell r="C196" t="str">
            <v>KILO</v>
          </cell>
          <cell r="D196" t="str">
            <v>GRAMO</v>
          </cell>
          <cell r="E196">
            <v>3038.1794284166672</v>
          </cell>
          <cell r="F196">
            <v>3.038179428416667</v>
          </cell>
          <cell r="G196">
            <v>0</v>
          </cell>
          <cell r="H196">
            <v>0</v>
          </cell>
          <cell r="I196">
            <v>160.41666666666669</v>
          </cell>
          <cell r="J196">
            <v>0.16041666666666668</v>
          </cell>
        </row>
        <row r="197">
          <cell r="A197" t="str">
            <v>96136</v>
          </cell>
          <cell r="B197" t="str">
            <v>MERENGUE P/SUSPIROS (5250g)</v>
          </cell>
          <cell r="C197" t="str">
            <v>TANDA</v>
          </cell>
          <cell r="D197" t="str">
            <v>GRAMO</v>
          </cell>
          <cell r="E197">
            <v>12100.755438000002</v>
          </cell>
          <cell r="F197">
            <v>2.3248329371757928</v>
          </cell>
          <cell r="G197">
            <v>11.020357777777779</v>
          </cell>
          <cell r="H197">
            <v>2.0991157671957673E-3</v>
          </cell>
          <cell r="I197">
            <v>770</v>
          </cell>
          <cell r="J197">
            <v>0.14666666666666667</v>
          </cell>
        </row>
        <row r="198">
          <cell r="A198" t="str">
            <v>96170</v>
          </cell>
          <cell r="B198" t="str">
            <v>EMPANADA CARNE PERUANA GRANDE (UND)</v>
          </cell>
          <cell r="C198" t="str">
            <v>UND</v>
          </cell>
          <cell r="D198" t="str">
            <v>UND</v>
          </cell>
          <cell r="E198">
            <v>184.75896482753404</v>
          </cell>
          <cell r="F198">
            <v>184.75896482753404</v>
          </cell>
          <cell r="G198">
            <v>1.8487279947561979</v>
          </cell>
          <cell r="H198">
            <v>1.8487279947561979</v>
          </cell>
          <cell r="I198">
            <v>58.297288149715087</v>
          </cell>
          <cell r="J198">
            <v>58.297288149715087</v>
          </cell>
        </row>
        <row r="199">
          <cell r="A199" t="str">
            <v>96170</v>
          </cell>
          <cell r="B199" t="str">
            <v>EMPANADA CARNE PERUANA GRANDE (UND)</v>
          </cell>
          <cell r="C199" t="str">
            <v>UND</v>
          </cell>
          <cell r="D199" t="str">
            <v>UND</v>
          </cell>
          <cell r="E199">
            <v>184.75896482753404</v>
          </cell>
          <cell r="F199">
            <v>184.75896482753404</v>
          </cell>
          <cell r="G199">
            <v>1.8487279947561979</v>
          </cell>
          <cell r="H199">
            <v>1.8487279947561979</v>
          </cell>
          <cell r="I199">
            <v>58.297288149715087</v>
          </cell>
          <cell r="J199">
            <v>58.297288149715087</v>
          </cell>
        </row>
        <row r="200">
          <cell r="A200" t="str">
            <v>96180</v>
          </cell>
          <cell r="B200" t="str">
            <v>RELLENO DELIZZIA (7.150 Kg)</v>
          </cell>
          <cell r="C200" t="str">
            <v>KILO</v>
          </cell>
          <cell r="D200" t="str">
            <v>GRAMO</v>
          </cell>
          <cell r="E200">
            <v>1901.6339954888927</v>
          </cell>
          <cell r="F200">
            <v>1.9016339954888926</v>
          </cell>
          <cell r="G200">
            <v>1.5039062499999999E-2</v>
          </cell>
          <cell r="H200">
            <v>1.5039062499999999E-5</v>
          </cell>
          <cell r="I200">
            <v>77.01322115384616</v>
          </cell>
          <cell r="J200">
            <v>7.7013221153846165E-2</v>
          </cell>
        </row>
        <row r="201">
          <cell r="A201" t="str">
            <v>96192</v>
          </cell>
          <cell r="B201" t="str">
            <v>ACEITE DE AJO Y PEREJIL (1000g)</v>
          </cell>
          <cell r="C201" t="str">
            <v>TANDA</v>
          </cell>
          <cell r="D201" t="str">
            <v>GRAMO</v>
          </cell>
          <cell r="E201">
            <v>2790.6051721925132</v>
          </cell>
          <cell r="F201">
            <v>2.7906051721925134</v>
          </cell>
          <cell r="G201">
            <v>14.672860317171718</v>
          </cell>
          <cell r="H201">
            <v>1.4672860317171719E-2</v>
          </cell>
          <cell r="I201">
            <v>222.55</v>
          </cell>
          <cell r="J201">
            <v>0.22255</v>
          </cell>
        </row>
        <row r="202">
          <cell r="A202" t="str">
            <v>96197</v>
          </cell>
          <cell r="B202" t="str">
            <v>MEZCLA DE YEMA PARA PINTAR (1430g)</v>
          </cell>
          <cell r="C202" t="str">
            <v>TANDA</v>
          </cell>
          <cell r="D202" t="str">
            <v>GRAMO</v>
          </cell>
          <cell r="E202">
            <v>2413.21</v>
          </cell>
          <cell r="F202">
            <v>1.6875594405594405</v>
          </cell>
          <cell r="G202">
            <v>0</v>
          </cell>
          <cell r="H202">
            <v>0</v>
          </cell>
          <cell r="I202">
            <v>55</v>
          </cell>
          <cell r="J202">
            <v>3.8461538461538464E-2</v>
          </cell>
        </row>
        <row r="203">
          <cell r="A203" t="str">
            <v>96199</v>
          </cell>
          <cell r="B203" t="str">
            <v>COBERTURA CHOCOLATE LECHE RALLADO (4700g)</v>
          </cell>
          <cell r="C203" t="str">
            <v>KILO</v>
          </cell>
          <cell r="D203" t="str">
            <v>GRAMO</v>
          </cell>
          <cell r="E203">
            <v>22340</v>
          </cell>
          <cell r="F203">
            <v>4.7531914893617024</v>
          </cell>
          <cell r="G203">
            <v>1.1990000000000001</v>
          </cell>
          <cell r="H203">
            <v>2.5510638297872339E-4</v>
          </cell>
          <cell r="I203">
            <v>385</v>
          </cell>
          <cell r="J203">
            <v>8.191489361702127E-2</v>
          </cell>
        </row>
        <row r="204">
          <cell r="A204" t="str">
            <v>96223</v>
          </cell>
          <cell r="B204" t="str">
            <v>GANACHE DE DULCE LECHE (4800g)</v>
          </cell>
          <cell r="C204" t="str">
            <v>KILO</v>
          </cell>
          <cell r="D204" t="str">
            <v>GRAMO</v>
          </cell>
          <cell r="E204">
            <v>2483.106770833333</v>
          </cell>
          <cell r="F204">
            <v>2.483106770833333</v>
          </cell>
          <cell r="G204">
            <v>0</v>
          </cell>
          <cell r="H204">
            <v>0</v>
          </cell>
          <cell r="I204">
            <v>116.66666666666667</v>
          </cell>
          <cell r="J204">
            <v>0.11666666666666667</v>
          </cell>
        </row>
        <row r="205">
          <cell r="A205" t="str">
            <v>96242</v>
          </cell>
          <cell r="B205" t="str">
            <v>PURE PAPA (2000g)</v>
          </cell>
          <cell r="C205" t="str">
            <v>KILO</v>
          </cell>
          <cell r="D205" t="str">
            <v>GRAMO</v>
          </cell>
          <cell r="E205">
            <v>1997.5468639999997</v>
          </cell>
          <cell r="F205">
            <v>1.9975468639999996</v>
          </cell>
          <cell r="G205">
            <v>11.666437714285715</v>
          </cell>
          <cell r="H205">
            <v>1.1666437714285716E-2</v>
          </cell>
          <cell r="I205">
            <v>165.7</v>
          </cell>
          <cell r="J205">
            <v>0.16569999999999999</v>
          </cell>
        </row>
        <row r="206">
          <cell r="A206" t="str">
            <v>96251</v>
          </cell>
          <cell r="B206" t="str">
            <v>GALLETA P/TORTA CHILENA FAS (210g)</v>
          </cell>
          <cell r="C206" t="str">
            <v>UND</v>
          </cell>
          <cell r="D206" t="str">
            <v>UND</v>
          </cell>
          <cell r="E206">
            <v>226.41733244134201</v>
          </cell>
          <cell r="F206">
            <v>226.41733244134201</v>
          </cell>
          <cell r="G206">
            <v>0.65629030839002267</v>
          </cell>
          <cell r="H206">
            <v>0.65629030839002267</v>
          </cell>
          <cell r="I206">
            <v>27.595238095238095</v>
          </cell>
          <cell r="J206">
            <v>27.595238095238095</v>
          </cell>
        </row>
        <row r="207">
          <cell r="A207" t="str">
            <v>96252</v>
          </cell>
          <cell r="B207" t="str">
            <v>RELLENO CHEESE CAKE INDUSTRIA (9000g)</v>
          </cell>
          <cell r="C207" t="str">
            <v>TANDA</v>
          </cell>
          <cell r="D207" t="str">
            <v>GRAMO</v>
          </cell>
          <cell r="E207">
            <v>18145.277160472564</v>
          </cell>
          <cell r="F207">
            <v>2.0161419067191737</v>
          </cell>
          <cell r="G207">
            <v>0.13834615384615384</v>
          </cell>
          <cell r="H207">
            <v>1.5371794871794872E-5</v>
          </cell>
          <cell r="I207">
            <v>888.46153846153845</v>
          </cell>
          <cell r="J207">
            <v>9.8717948717948714E-2</v>
          </cell>
        </row>
        <row r="208">
          <cell r="A208" t="str">
            <v>96263</v>
          </cell>
          <cell r="B208" t="str">
            <v>QUESO PARMESANO LAMINADO (8580g)</v>
          </cell>
          <cell r="C208" t="str">
            <v>KILO</v>
          </cell>
          <cell r="D208" t="str">
            <v>GRAMO</v>
          </cell>
          <cell r="E208">
            <v>9408.3355186480203</v>
          </cell>
          <cell r="F208">
            <v>9.4083355186480198</v>
          </cell>
          <cell r="G208">
            <v>3.0547558275058275</v>
          </cell>
          <cell r="H208">
            <v>3.0547558275058275E-3</v>
          </cell>
          <cell r="I208">
            <v>32.051282051282051</v>
          </cell>
          <cell r="J208">
            <v>3.2051282051282048E-2</v>
          </cell>
        </row>
        <row r="209">
          <cell r="A209" t="str">
            <v>96266</v>
          </cell>
          <cell r="B209" t="str">
            <v>LAMINA AZUCAR ESCANEADA (UND)</v>
          </cell>
          <cell r="C209" t="str">
            <v>UND</v>
          </cell>
          <cell r="D209" t="str">
            <v>UND</v>
          </cell>
          <cell r="E209">
            <v>1387.384</v>
          </cell>
          <cell r="F209">
            <v>1387.384</v>
          </cell>
          <cell r="G209">
            <v>0</v>
          </cell>
          <cell r="H209">
            <v>0</v>
          </cell>
          <cell r="I209">
            <v>275</v>
          </cell>
          <cell r="J209">
            <v>275</v>
          </cell>
        </row>
        <row r="210">
          <cell r="A210" t="str">
            <v>96267</v>
          </cell>
          <cell r="B210" t="str">
            <v>ROSQUETE CHOCOLATE BUCCA (320g)</v>
          </cell>
          <cell r="C210" t="str">
            <v>UND</v>
          </cell>
          <cell r="D210" t="str">
            <v>UND</v>
          </cell>
          <cell r="E210">
            <v>355.25335753863862</v>
          </cell>
          <cell r="F210">
            <v>355.25335753863862</v>
          </cell>
          <cell r="G210">
            <v>8.2092643814880741</v>
          </cell>
          <cell r="H210">
            <v>8.2092643814880741</v>
          </cell>
          <cell r="I210">
            <v>35.876510067114097</v>
          </cell>
          <cell r="J210">
            <v>35.876510067114097</v>
          </cell>
        </row>
        <row r="211">
          <cell r="A211" t="str">
            <v>96270</v>
          </cell>
          <cell r="B211" t="str">
            <v>ROSQUETE MELOCOTON PURATOS (360g)</v>
          </cell>
          <cell r="C211" t="str">
            <v>UND</v>
          </cell>
          <cell r="D211" t="str">
            <v>UND</v>
          </cell>
          <cell r="E211">
            <v>422.05372617403651</v>
          </cell>
          <cell r="F211">
            <v>422.05372617403651</v>
          </cell>
          <cell r="G211">
            <v>8.7370147215647176</v>
          </cell>
          <cell r="H211">
            <v>8.7370147215647176</v>
          </cell>
          <cell r="I211">
            <v>19.774041546820072</v>
          </cell>
          <cell r="J211">
            <v>19.774041546820072</v>
          </cell>
        </row>
        <row r="212">
          <cell r="A212" t="str">
            <v>96271</v>
          </cell>
          <cell r="B212" t="str">
            <v>CORTE  P/GALLETA ESC (UND)</v>
          </cell>
          <cell r="C212" t="str">
            <v>UND</v>
          </cell>
          <cell r="D212" t="str">
            <v>UND</v>
          </cell>
          <cell r="E212">
            <v>21.349894497743044</v>
          </cell>
          <cell r="F212">
            <v>21.349894497743044</v>
          </cell>
          <cell r="G212">
            <v>0</v>
          </cell>
          <cell r="H212">
            <v>0</v>
          </cell>
          <cell r="I212">
            <v>10.686239816064377</v>
          </cell>
          <cell r="J212">
            <v>10.686239816064377</v>
          </cell>
        </row>
        <row r="213">
          <cell r="A213" t="str">
            <v>96272</v>
          </cell>
          <cell r="B213" t="str">
            <v>EMPANADA POLLO C/AJONJOLI (UND)</v>
          </cell>
          <cell r="C213" t="str">
            <v>UND</v>
          </cell>
          <cell r="D213" t="str">
            <v>UND</v>
          </cell>
          <cell r="E213">
            <v>185.40642008823716</v>
          </cell>
          <cell r="F213">
            <v>185.40642008823716</v>
          </cell>
          <cell r="G213">
            <v>1.7940720010640245</v>
          </cell>
          <cell r="H213">
            <v>1.7940720010640245</v>
          </cell>
          <cell r="I213">
            <v>45.17753744451764</v>
          </cell>
          <cell r="J213">
            <v>45.17753744451764</v>
          </cell>
        </row>
        <row r="214">
          <cell r="A214" t="str">
            <v>96275</v>
          </cell>
          <cell r="B214" t="str">
            <v>GALLETA CHOCOLATE CHIPS STARBUCKS (UND)</v>
          </cell>
          <cell r="C214" t="str">
            <v>UND</v>
          </cell>
          <cell r="D214" t="str">
            <v>UND</v>
          </cell>
          <cell r="E214">
            <v>142.47345146308726</v>
          </cell>
          <cell r="F214">
            <v>142.47345146308726</v>
          </cell>
          <cell r="G214">
            <v>0.13315657482254814</v>
          </cell>
          <cell r="H214">
            <v>0.13315657482254814</v>
          </cell>
          <cell r="I214">
            <v>9.8643519761372112</v>
          </cell>
          <cell r="J214">
            <v>9.8643519761372112</v>
          </cell>
        </row>
        <row r="215">
          <cell r="A215" t="str">
            <v>96276</v>
          </cell>
          <cell r="B215" t="str">
            <v>ROSQUETE CARAMELO PURATOS (335g)</v>
          </cell>
          <cell r="C215" t="str">
            <v>UND</v>
          </cell>
          <cell r="D215" t="str">
            <v>UND</v>
          </cell>
          <cell r="E215">
            <v>446.846888464561</v>
          </cell>
          <cell r="F215">
            <v>446.846888464561</v>
          </cell>
          <cell r="G215">
            <v>7.6483473744357671</v>
          </cell>
          <cell r="H215">
            <v>7.6483473744357671</v>
          </cell>
          <cell r="I215">
            <v>5.5005424229143616</v>
          </cell>
          <cell r="J215">
            <v>5.5005424229143616</v>
          </cell>
        </row>
        <row r="216">
          <cell r="A216" t="str">
            <v>96277</v>
          </cell>
          <cell r="B216" t="str">
            <v>ARREGLADOS GRANDE (UND)</v>
          </cell>
          <cell r="C216" t="str">
            <v>UND</v>
          </cell>
          <cell r="D216" t="str">
            <v>UND</v>
          </cell>
          <cell r="E216">
            <v>61.2487247127549</v>
          </cell>
          <cell r="F216">
            <v>61.2487247127549</v>
          </cell>
          <cell r="G216">
            <v>0.33516442918327466</v>
          </cell>
          <cell r="H216">
            <v>0.33516442918327466</v>
          </cell>
          <cell r="I216">
            <v>14.436503612785934</v>
          </cell>
          <cell r="J216">
            <v>14.436503612785934</v>
          </cell>
        </row>
        <row r="217">
          <cell r="A217" t="str">
            <v>96280</v>
          </cell>
          <cell r="B217" t="str">
            <v>OREJITAS DULCES (5409g)</v>
          </cell>
          <cell r="C217" t="str">
            <v>KILO</v>
          </cell>
          <cell r="D217" t="str">
            <v>GRAMO</v>
          </cell>
          <cell r="E217">
            <v>935.32970759169018</v>
          </cell>
          <cell r="F217">
            <v>0.93532970759169021</v>
          </cell>
          <cell r="G217">
            <v>4.3075589700960348</v>
          </cell>
          <cell r="H217">
            <v>4.3075589700960351E-3</v>
          </cell>
          <cell r="I217">
            <v>625.67426218810954</v>
          </cell>
          <cell r="J217">
            <v>0.62567426218810951</v>
          </cell>
        </row>
        <row r="218">
          <cell r="A218" t="str">
            <v>96284</v>
          </cell>
          <cell r="B218" t="str">
            <v>CROISSANT SPOON 110g (UND)</v>
          </cell>
          <cell r="C218" t="str">
            <v>UND</v>
          </cell>
          <cell r="D218" t="str">
            <v>UND</v>
          </cell>
          <cell r="E218">
            <v>123.89697454065589</v>
          </cell>
          <cell r="F218">
            <v>123.89697454065589</v>
          </cell>
          <cell r="G218">
            <v>0.39982959433249193</v>
          </cell>
          <cell r="H218">
            <v>0.39982959433249193</v>
          </cell>
          <cell r="I218">
            <v>46.883423180592985</v>
          </cell>
          <cell r="J218">
            <v>46.883423180592985</v>
          </cell>
        </row>
        <row r="219">
          <cell r="A219" t="str">
            <v>96292</v>
          </cell>
          <cell r="B219" t="str">
            <v>ROSQUETE TRES LECHES RED. (150g)</v>
          </cell>
          <cell r="C219" t="str">
            <v>UND</v>
          </cell>
          <cell r="D219" t="str">
            <v>UND</v>
          </cell>
          <cell r="E219">
            <v>161.62757625425056</v>
          </cell>
          <cell r="F219">
            <v>161.62757625425056</v>
          </cell>
          <cell r="G219">
            <v>1.7718978079258554</v>
          </cell>
          <cell r="H219">
            <v>1.7718978079258554</v>
          </cell>
          <cell r="I219">
            <v>29.720637583892618</v>
          </cell>
          <cell r="J219">
            <v>29.720637583892618</v>
          </cell>
        </row>
        <row r="220">
          <cell r="A220" t="str">
            <v>96293</v>
          </cell>
          <cell r="B220" t="str">
            <v>BATIDO P/ROSQUETE TRES LECHES (16700g)</v>
          </cell>
          <cell r="C220" t="str">
            <v>KILO</v>
          </cell>
          <cell r="D220" t="str">
            <v>GRAMO</v>
          </cell>
          <cell r="E220">
            <v>812.68024883060116</v>
          </cell>
          <cell r="F220">
            <v>0.81268024883060119</v>
          </cell>
          <cell r="G220">
            <v>3.6661407407407403</v>
          </cell>
          <cell r="H220">
            <v>3.6661407407407405E-3</v>
          </cell>
          <cell r="I220">
            <v>24.043715846994537</v>
          </cell>
          <cell r="J220">
            <v>2.4043715846994537E-2</v>
          </cell>
        </row>
        <row r="221">
          <cell r="A221" t="str">
            <v>96296</v>
          </cell>
          <cell r="B221" t="str">
            <v>BATIDO P/ROSQUETE CHOCOLATE BUCCA (48100g)</v>
          </cell>
          <cell r="C221" t="str">
            <v>TANDA</v>
          </cell>
          <cell r="D221" t="str">
            <v>GRAMO</v>
          </cell>
          <cell r="E221">
            <v>39777.513660588236</v>
          </cell>
          <cell r="F221">
            <v>0.82697533597896544</v>
          </cell>
          <cell r="G221">
            <v>2.9325322222222225</v>
          </cell>
          <cell r="H221">
            <v>6.0967405867405874E-5</v>
          </cell>
          <cell r="I221">
            <v>550</v>
          </cell>
          <cell r="J221">
            <v>1.1434511434511435E-2</v>
          </cell>
        </row>
        <row r="222">
          <cell r="A222" t="str">
            <v>96299</v>
          </cell>
          <cell r="B222" t="str">
            <v>CROISSANT C/JAMON STB (UND)</v>
          </cell>
          <cell r="C222" t="str">
            <v>UND</v>
          </cell>
          <cell r="D222" t="str">
            <v>UND</v>
          </cell>
          <cell r="E222">
            <v>307.09518973819553</v>
          </cell>
          <cell r="F222">
            <v>307.09518973819553</v>
          </cell>
          <cell r="G222">
            <v>0.73358858788922221</v>
          </cell>
          <cell r="H222">
            <v>0.73358858788922221</v>
          </cell>
          <cell r="I222">
            <v>50.787974886339036</v>
          </cell>
          <cell r="J222">
            <v>50.787974886339036</v>
          </cell>
        </row>
        <row r="223">
          <cell r="A223" t="str">
            <v>902000014</v>
          </cell>
          <cell r="B223" t="str">
            <v>BATIDO P/BROWNIE SPOON (8000g)</v>
          </cell>
          <cell r="C223" t="str">
            <v>KILO</v>
          </cell>
          <cell r="D223" t="str">
            <v>GRAMO</v>
          </cell>
          <cell r="E223">
            <v>8947.9594560000005</v>
          </cell>
          <cell r="F223">
            <v>1.1184949320000002</v>
          </cell>
          <cell r="G223">
            <v>117.03071158730158</v>
          </cell>
          <cell r="H223">
            <v>1.4628838948412697E-2</v>
          </cell>
          <cell r="I223">
            <v>412.5</v>
          </cell>
          <cell r="J223">
            <v>5.1562499999999997E-2</v>
          </cell>
        </row>
        <row r="224">
          <cell r="A224" t="str">
            <v>96306</v>
          </cell>
          <cell r="B224" t="str">
            <v>BATIDO P/COCADA SPOON (21500g)</v>
          </cell>
          <cell r="C224" t="str">
            <v>TANDA</v>
          </cell>
          <cell r="D224" t="str">
            <v>GRAMO</v>
          </cell>
          <cell r="E224">
            <v>49322.221812189833</v>
          </cell>
          <cell r="F224">
            <v>2.2940568284739458</v>
          </cell>
          <cell r="G224">
            <v>0</v>
          </cell>
          <cell r="H224">
            <v>0</v>
          </cell>
          <cell r="I224">
            <v>550</v>
          </cell>
          <cell r="J224">
            <v>2.5581395348837209E-2</v>
          </cell>
        </row>
        <row r="225">
          <cell r="A225" t="str">
            <v>96311</v>
          </cell>
          <cell r="B225" t="str">
            <v>ROSQUETE CHOCOLATE RED. (700g)</v>
          </cell>
          <cell r="C225" t="str">
            <v>UND</v>
          </cell>
          <cell r="D225" t="str">
            <v>UND</v>
          </cell>
          <cell r="E225">
            <v>852.46206408625835</v>
          </cell>
          <cell r="F225">
            <v>852.46206408625835</v>
          </cell>
          <cell r="G225">
            <v>15.921994095213645</v>
          </cell>
          <cell r="H225">
            <v>15.921994095213645</v>
          </cell>
          <cell r="I225">
            <v>29.022774782704367</v>
          </cell>
          <cell r="J225">
            <v>29.022774782704367</v>
          </cell>
        </row>
        <row r="226">
          <cell r="A226" t="str">
            <v>96322</v>
          </cell>
          <cell r="B226" t="str">
            <v>BATIDO P/ROSQUETE CARAMELO (18150g)</v>
          </cell>
          <cell r="C226" t="str">
            <v>KILO</v>
          </cell>
          <cell r="D226" t="str">
            <v>GRAMO</v>
          </cell>
          <cell r="E226">
            <v>1190.2698842975205</v>
          </cell>
          <cell r="F226">
            <v>1.1902698842975206</v>
          </cell>
          <cell r="G226">
            <v>0</v>
          </cell>
          <cell r="H226">
            <v>0</v>
          </cell>
          <cell r="I226">
            <v>15.426997245179065</v>
          </cell>
          <cell r="J226">
            <v>1.5426997245179064E-2</v>
          </cell>
        </row>
        <row r="227">
          <cell r="A227" t="str">
            <v>96324</v>
          </cell>
          <cell r="B227" t="str">
            <v>ROSQUETE CARAMELO PURATOS (1060g)</v>
          </cell>
          <cell r="C227" t="str">
            <v>UND</v>
          </cell>
          <cell r="D227" t="str">
            <v>UND</v>
          </cell>
          <cell r="E227">
            <v>1440.5810135573906</v>
          </cell>
          <cell r="F227">
            <v>1440.5810135573906</v>
          </cell>
          <cell r="G227">
            <v>19.769060411482837</v>
          </cell>
          <cell r="H227">
            <v>19.769060411482837</v>
          </cell>
          <cell r="I227">
            <v>43.943276172306241</v>
          </cell>
          <cell r="J227">
            <v>43.943276172306241</v>
          </cell>
        </row>
        <row r="228">
          <cell r="A228" t="str">
            <v>96328</v>
          </cell>
          <cell r="B228" t="str">
            <v>ROSQUETE MELOCOTON RECT.PURATOS (3400g)</v>
          </cell>
          <cell r="C228" t="str">
            <v>UND</v>
          </cell>
          <cell r="D228" t="str">
            <v>UND</v>
          </cell>
          <cell r="E228">
            <v>4595.986369707296</v>
          </cell>
          <cell r="F228">
            <v>4595.986369707296</v>
          </cell>
          <cell r="G228">
            <v>29.641797018394229</v>
          </cell>
          <cell r="H228">
            <v>29.641797018394229</v>
          </cell>
          <cell r="I228">
            <v>140.25143489451781</v>
          </cell>
          <cell r="J228">
            <v>140.25143489451781</v>
          </cell>
        </row>
        <row r="229">
          <cell r="A229" t="str">
            <v>96329</v>
          </cell>
          <cell r="B229" t="str">
            <v>PRALINE (1380g)</v>
          </cell>
          <cell r="C229" t="str">
            <v>KILO</v>
          </cell>
          <cell r="D229" t="str">
            <v>GRAMO</v>
          </cell>
          <cell r="E229">
            <v>5776.4652173913037</v>
          </cell>
          <cell r="F229">
            <v>5.776465217391304</v>
          </cell>
          <cell r="G229">
            <v>7.8260869565217401</v>
          </cell>
          <cell r="H229">
            <v>7.8260869565217397E-3</v>
          </cell>
          <cell r="I229">
            <v>405.79710144927537</v>
          </cell>
          <cell r="J229">
            <v>0.40579710144927539</v>
          </cell>
        </row>
        <row r="230">
          <cell r="A230" t="str">
            <v>96331</v>
          </cell>
          <cell r="B230" t="str">
            <v>BOLLETA BLANCA P/CROCANTINI (80g)</v>
          </cell>
          <cell r="C230" t="str">
            <v>UND</v>
          </cell>
          <cell r="D230" t="str">
            <v>UND</v>
          </cell>
          <cell r="E230">
            <v>45.417622234316674</v>
          </cell>
          <cell r="F230">
            <v>45.417622234316674</v>
          </cell>
          <cell r="G230">
            <v>0.39930195657604239</v>
          </cell>
          <cell r="H230">
            <v>0.39930195657604239</v>
          </cell>
          <cell r="I230">
            <v>23.408856882257645</v>
          </cell>
          <cell r="J230">
            <v>23.408856882257645</v>
          </cell>
        </row>
        <row r="231">
          <cell r="A231" t="str">
            <v>96340</v>
          </cell>
          <cell r="B231" t="str">
            <v>CREMA MOKA C/BAILEYS (1200g)</v>
          </cell>
          <cell r="C231" t="str">
            <v>KILO</v>
          </cell>
          <cell r="D231" t="str">
            <v>GRAMO</v>
          </cell>
          <cell r="E231">
            <v>4033.7853397038107</v>
          </cell>
          <cell r="F231">
            <v>4.0337853397038108</v>
          </cell>
          <cell r="G231">
            <v>0.93512481943999726</v>
          </cell>
          <cell r="H231">
            <v>9.3512481943999726E-4</v>
          </cell>
          <cell r="I231">
            <v>249.85910983029137</v>
          </cell>
          <cell r="J231">
            <v>0.24985910983029139</v>
          </cell>
        </row>
        <row r="232">
          <cell r="A232" t="str">
            <v>96341</v>
          </cell>
          <cell r="B232" t="str">
            <v>PECANA CUBIERTA C/COCOLATE BLANCO (500g)</v>
          </cell>
          <cell r="C232" t="str">
            <v>KILO</v>
          </cell>
          <cell r="D232" t="str">
            <v>GRAMO</v>
          </cell>
          <cell r="E232">
            <v>6432.4953750000004</v>
          </cell>
          <cell r="F232">
            <v>6.4324953750000002</v>
          </cell>
          <cell r="G232">
            <v>32.96543615625</v>
          </cell>
          <cell r="H232">
            <v>3.296543615625E-2</v>
          </cell>
          <cell r="I232">
            <v>600.16666666666663</v>
          </cell>
          <cell r="J232">
            <v>0.60016666666666663</v>
          </cell>
        </row>
        <row r="233">
          <cell r="A233" t="str">
            <v>96342</v>
          </cell>
          <cell r="B233" t="str">
            <v>MEZCLA DE TRES LECHES C/BAILEYS (3600g)</v>
          </cell>
          <cell r="C233" t="str">
            <v>LITRO</v>
          </cell>
          <cell r="D233" t="str">
            <v>GRAMO</v>
          </cell>
          <cell r="E233">
            <v>6479.2919439704865</v>
          </cell>
          <cell r="F233">
            <v>6.4792919439704866</v>
          </cell>
          <cell r="G233">
            <v>2.6780055555555555</v>
          </cell>
          <cell r="H233">
            <v>2.6780055555555553E-3</v>
          </cell>
          <cell r="I233">
            <v>35.223765432098766</v>
          </cell>
          <cell r="J233">
            <v>3.5223765432098764E-2</v>
          </cell>
        </row>
        <row r="234">
          <cell r="A234" t="str">
            <v>96343</v>
          </cell>
          <cell r="B234" t="str">
            <v>GANACHE BAILEYS (700g)</v>
          </cell>
          <cell r="C234" t="str">
            <v>KILO</v>
          </cell>
          <cell r="D234" t="str">
            <v>GRAMO</v>
          </cell>
          <cell r="E234">
            <v>4033.9998857142855</v>
          </cell>
          <cell r="F234">
            <v>4.0339998857142856</v>
          </cell>
          <cell r="G234">
            <v>13.772599999999999</v>
          </cell>
          <cell r="H234">
            <v>1.3772599999999999E-2</v>
          </cell>
          <cell r="I234">
            <v>392.85714285714283</v>
          </cell>
          <cell r="J234">
            <v>0.39285714285714285</v>
          </cell>
        </row>
        <row r="235">
          <cell r="A235" t="str">
            <v>96344</v>
          </cell>
          <cell r="B235" t="str">
            <v>CREMA DULCE LECHE (24500g)</v>
          </cell>
          <cell r="C235" t="str">
            <v>TANDA</v>
          </cell>
          <cell r="D235" t="str">
            <v>GRAMO</v>
          </cell>
          <cell r="E235">
            <v>47842.976727200003</v>
          </cell>
          <cell r="F235">
            <v>1.9527745602938777</v>
          </cell>
          <cell r="G235">
            <v>0</v>
          </cell>
          <cell r="H235">
            <v>0</v>
          </cell>
          <cell r="I235">
            <v>275</v>
          </cell>
          <cell r="J235">
            <v>1.1224489795918367E-2</v>
          </cell>
        </row>
        <row r="236">
          <cell r="A236" t="str">
            <v>96349</v>
          </cell>
          <cell r="B236" t="str">
            <v>BATIDO P/ROSQUETE ZANAHORIA (10200g)</v>
          </cell>
          <cell r="C236" t="str">
            <v>KILO</v>
          </cell>
          <cell r="D236" t="str">
            <v>GRAMO</v>
          </cell>
          <cell r="E236">
            <v>19770.832487975571</v>
          </cell>
          <cell r="F236">
            <v>1.8306326377755158</v>
          </cell>
          <cell r="G236">
            <v>11.122917368936587</v>
          </cell>
          <cell r="H236">
            <v>1.0298997563830173E-3</v>
          </cell>
          <cell r="I236">
            <v>991.51782292065923</v>
          </cell>
          <cell r="J236">
            <v>9.1807205825986962E-2</v>
          </cell>
        </row>
        <row r="237">
          <cell r="A237" t="str">
            <v>96352</v>
          </cell>
          <cell r="B237" t="str">
            <v>GALLETA P/TORTA CHILENA BUCCA</v>
          </cell>
          <cell r="C237" t="str">
            <v>UND</v>
          </cell>
          <cell r="D237" t="str">
            <v>UND</v>
          </cell>
          <cell r="E237">
            <v>59.974259271360751</v>
          </cell>
          <cell r="F237">
            <v>59.974259271360751</v>
          </cell>
          <cell r="G237">
            <v>0.46606528812537668</v>
          </cell>
          <cell r="H237">
            <v>0.46606528812537668</v>
          </cell>
          <cell r="I237">
            <v>15.320253164556961</v>
          </cell>
          <cell r="J237">
            <v>15.320253164556961</v>
          </cell>
        </row>
        <row r="238">
          <cell r="A238" t="str">
            <v>90100143</v>
          </cell>
          <cell r="B238" t="str">
            <v>ROSQUETE VAINILLA PURATOS  (1000g)</v>
          </cell>
          <cell r="C238" t="str">
            <v>UND</v>
          </cell>
          <cell r="D238" t="str">
            <v>UND</v>
          </cell>
          <cell r="E238">
            <v>1023.982802590923</v>
          </cell>
          <cell r="F238">
            <v>1023.982802590923</v>
          </cell>
          <cell r="G238">
            <v>24.187790337380832</v>
          </cell>
          <cell r="H238">
            <v>24.187790337380832</v>
          </cell>
          <cell r="I238">
            <v>34.421435367327526</v>
          </cell>
          <cell r="J238">
            <v>34.421435367327526</v>
          </cell>
        </row>
        <row r="239">
          <cell r="A239" t="str">
            <v>96357</v>
          </cell>
          <cell r="B239" t="str">
            <v>ROSQUETE CHOCOLATE SPOON  (280g)</v>
          </cell>
          <cell r="C239" t="str">
            <v>UND</v>
          </cell>
          <cell r="D239" t="str">
            <v>UND</v>
          </cell>
          <cell r="E239">
            <v>361.52154215254848</v>
          </cell>
          <cell r="F239">
            <v>361.52154215254848</v>
          </cell>
          <cell r="G239">
            <v>4.9894117266091946</v>
          </cell>
          <cell r="H239">
            <v>4.9894117266091946</v>
          </cell>
          <cell r="I239">
            <v>15.669346192538576</v>
          </cell>
          <cell r="J239">
            <v>15.669346192538576</v>
          </cell>
        </row>
        <row r="240">
          <cell r="A240" t="str">
            <v>96360</v>
          </cell>
          <cell r="B240" t="str">
            <v>COCCION PALMITO P/ENSALADA (1900g)</v>
          </cell>
          <cell r="C240" t="str">
            <v>KILO</v>
          </cell>
          <cell r="D240" t="str">
            <v>GRAMO</v>
          </cell>
          <cell r="E240">
            <v>2347.4006557894736</v>
          </cell>
          <cell r="F240">
            <v>2.3474006557894738</v>
          </cell>
          <cell r="G240">
            <v>44.225973684210523</v>
          </cell>
          <cell r="H240">
            <v>4.4225973684210523E-2</v>
          </cell>
          <cell r="I240">
            <v>86.842105263157904</v>
          </cell>
          <cell r="J240">
            <v>8.6842105263157901E-2</v>
          </cell>
        </row>
        <row r="241">
          <cell r="A241" t="str">
            <v>96361</v>
          </cell>
          <cell r="B241" t="str">
            <v>BATIDO YOGURT CAKE (10500g)</v>
          </cell>
          <cell r="C241" t="str">
            <v>KILO</v>
          </cell>
          <cell r="D241" t="str">
            <v>GRAMO</v>
          </cell>
          <cell r="E241">
            <v>1356.717147051859</v>
          </cell>
          <cell r="F241">
            <v>1.3567171470518591</v>
          </cell>
          <cell r="G241">
            <v>3.1315248243744573</v>
          </cell>
          <cell r="H241">
            <v>3.1315248243744573E-3</v>
          </cell>
          <cell r="I241">
            <v>47.738574473123371</v>
          </cell>
          <cell r="J241">
            <v>4.7738574473123373E-2</v>
          </cell>
        </row>
        <row r="242">
          <cell r="A242" t="str">
            <v>96362</v>
          </cell>
          <cell r="B242" t="str">
            <v>ADEREZO CULANTRO RANCH (500g)</v>
          </cell>
          <cell r="C242" t="str">
            <v>KILO</v>
          </cell>
          <cell r="D242" t="str">
            <v>GRAMO</v>
          </cell>
          <cell r="E242">
            <v>1313.3792668857036</v>
          </cell>
          <cell r="F242">
            <v>1.3133792668857036</v>
          </cell>
          <cell r="G242">
            <v>64.31460317543943</v>
          </cell>
          <cell r="H242">
            <v>6.4314603175439425E-2</v>
          </cell>
          <cell r="I242">
            <v>604.54374873079269</v>
          </cell>
          <cell r="J242">
            <v>0.60454374873079264</v>
          </cell>
        </row>
        <row r="243">
          <cell r="A243" t="str">
            <v>96367</v>
          </cell>
          <cell r="B243" t="str">
            <v>ADEREZO PESTO ALBAHACA (300g)</v>
          </cell>
          <cell r="C243" t="str">
            <v>KILO</v>
          </cell>
          <cell r="D243" t="str">
            <v>GRAMO</v>
          </cell>
          <cell r="E243">
            <v>3256.399145833333</v>
          </cell>
          <cell r="F243">
            <v>3.256399145833333</v>
          </cell>
          <cell r="G243">
            <v>54.084525925925938</v>
          </cell>
          <cell r="H243">
            <v>5.4084525925925934E-2</v>
          </cell>
          <cell r="I243">
            <v>566.93693693693706</v>
          </cell>
          <cell r="J243">
            <v>0.56693693693693703</v>
          </cell>
        </row>
        <row r="244">
          <cell r="A244" t="str">
            <v>96368</v>
          </cell>
          <cell r="B244" t="str">
            <v>COCCION CARNE PHILLY (500g)</v>
          </cell>
          <cell r="C244" t="str">
            <v>KILO</v>
          </cell>
          <cell r="D244" t="str">
            <v>GRAMO</v>
          </cell>
          <cell r="E244">
            <v>11091.887170000002</v>
          </cell>
          <cell r="F244">
            <v>11.091887170000001</v>
          </cell>
          <cell r="G244">
            <v>49.338826999999995</v>
          </cell>
          <cell r="H244">
            <v>4.9338826999999995E-2</v>
          </cell>
          <cell r="I244">
            <v>560</v>
          </cell>
          <cell r="J244">
            <v>0.56000000000000005</v>
          </cell>
        </row>
        <row r="245">
          <cell r="A245" t="str">
            <v>96369</v>
          </cell>
          <cell r="B245" t="str">
            <v>COCCION CEBOLLA PHILLY (200g)</v>
          </cell>
          <cell r="C245" t="str">
            <v>KILO</v>
          </cell>
          <cell r="D245" t="str">
            <v>GRAMO</v>
          </cell>
          <cell r="E245">
            <v>7895.8827233333341</v>
          </cell>
          <cell r="F245">
            <v>7.895882723333334</v>
          </cell>
          <cell r="G245">
            <v>123.34706749999999</v>
          </cell>
          <cell r="H245">
            <v>0.12334706749999999</v>
          </cell>
          <cell r="I245">
            <v>1400</v>
          </cell>
          <cell r="J245">
            <v>1.4</v>
          </cell>
        </row>
        <row r="246">
          <cell r="A246" t="str">
            <v>96370</v>
          </cell>
          <cell r="B246" t="str">
            <v>MEZCLA CLARAS P/TORTA (1700g)</v>
          </cell>
          <cell r="C246" t="str">
            <v>KILO</v>
          </cell>
          <cell r="D246" t="str">
            <v>GRAMO</v>
          </cell>
          <cell r="E246">
            <v>2967.8659223529412</v>
          </cell>
          <cell r="F246">
            <v>2.9678659223529413</v>
          </cell>
          <cell r="G246">
            <v>0</v>
          </cell>
          <cell r="H246">
            <v>0</v>
          </cell>
          <cell r="I246">
            <v>98.823529411764696</v>
          </cell>
          <cell r="J246">
            <v>9.8823529411764699E-2</v>
          </cell>
        </row>
        <row r="247">
          <cell r="A247" t="str">
            <v>96371</v>
          </cell>
          <cell r="B247" t="str">
            <v>MEZCLA DE HUEVOS ENTEROS P/TORTA (750g)</v>
          </cell>
          <cell r="C247" t="str">
            <v>KILO</v>
          </cell>
          <cell r="D247" t="str">
            <v>GRAMO</v>
          </cell>
          <cell r="E247">
            <v>1409.0171506666668</v>
          </cell>
          <cell r="F247">
            <v>1.4090171506666669</v>
          </cell>
          <cell r="G247">
            <v>0</v>
          </cell>
          <cell r="H247">
            <v>0</v>
          </cell>
          <cell r="I247">
            <v>224</v>
          </cell>
          <cell r="J247">
            <v>0.224</v>
          </cell>
        </row>
        <row r="248">
          <cell r="A248" t="str">
            <v>96372</v>
          </cell>
          <cell r="B248" t="str">
            <v>QUESO CHEDDAR BLANCO LAMINADO Y EMPACADO (1000g)</v>
          </cell>
          <cell r="C248" t="str">
            <v>KILO</v>
          </cell>
          <cell r="D248" t="str">
            <v>GRAMO</v>
          </cell>
          <cell r="E248">
            <v>9278.7842700000001</v>
          </cell>
          <cell r="F248">
            <v>9.2787842700000009</v>
          </cell>
          <cell r="G248">
            <v>52.097924444444445</v>
          </cell>
          <cell r="H248">
            <v>5.2097924444444443E-2</v>
          </cell>
          <cell r="I248">
            <v>224</v>
          </cell>
          <cell r="J248">
            <v>0.224</v>
          </cell>
        </row>
        <row r="249">
          <cell r="A249" t="str">
            <v>96373</v>
          </cell>
          <cell r="B249" t="str">
            <v>QUESO CHEDDAR LAMINADO Y EMPACADO (1000g)</v>
          </cell>
          <cell r="C249" t="str">
            <v>KILO</v>
          </cell>
          <cell r="D249" t="str">
            <v>GRAMO</v>
          </cell>
          <cell r="E249">
            <v>9065.4797699999999</v>
          </cell>
          <cell r="F249">
            <v>9.0654797699999996</v>
          </cell>
          <cell r="G249">
            <v>52.097924444444445</v>
          </cell>
          <cell r="H249">
            <v>5.2097924444444443E-2</v>
          </cell>
          <cell r="I249">
            <v>224</v>
          </cell>
          <cell r="J249">
            <v>0.224</v>
          </cell>
        </row>
        <row r="250">
          <cell r="A250" t="str">
            <v>96374</v>
          </cell>
          <cell r="B250" t="str">
            <v>QUESO GOUDA BLANCO LAMINADO Y EMPACADO (1000g)</v>
          </cell>
          <cell r="C250" t="str">
            <v>KILO</v>
          </cell>
          <cell r="D250" t="str">
            <v>GRAMO</v>
          </cell>
          <cell r="E250">
            <v>6766.1310899999999</v>
          </cell>
          <cell r="F250">
            <v>6.76613109</v>
          </cell>
          <cell r="G250">
            <v>52.103924444444445</v>
          </cell>
          <cell r="H250">
            <v>5.2103924444444442E-2</v>
          </cell>
          <cell r="I250">
            <v>224</v>
          </cell>
          <cell r="J250">
            <v>0.224</v>
          </cell>
        </row>
        <row r="251">
          <cell r="A251" t="str">
            <v>96375</v>
          </cell>
          <cell r="B251" t="str">
            <v>QUESO MONTERREY JACK LAMINADO Y EMPACADO (1000g)</v>
          </cell>
          <cell r="C251" t="str">
            <v>KILO</v>
          </cell>
          <cell r="D251" t="str">
            <v>GRAMO</v>
          </cell>
          <cell r="E251">
            <v>6933.1377600000005</v>
          </cell>
          <cell r="F251">
            <v>6.9331377600000001</v>
          </cell>
          <cell r="G251">
            <v>52.223357777777778</v>
          </cell>
          <cell r="H251">
            <v>5.2223357777777778E-2</v>
          </cell>
          <cell r="I251">
            <v>224</v>
          </cell>
          <cell r="J251">
            <v>0.224</v>
          </cell>
        </row>
        <row r="252">
          <cell r="A252" t="str">
            <v>96376</v>
          </cell>
          <cell r="B252" t="str">
            <v>SALCHICHA AMERICANA HORNEADA (300g)</v>
          </cell>
          <cell r="C252" t="str">
            <v>UND</v>
          </cell>
          <cell r="D252" t="str">
            <v>UND</v>
          </cell>
          <cell r="E252">
            <v>263.25</v>
          </cell>
          <cell r="F252">
            <v>263.25</v>
          </cell>
          <cell r="G252">
            <v>0</v>
          </cell>
          <cell r="H252">
            <v>0</v>
          </cell>
          <cell r="I252">
            <v>16.8</v>
          </cell>
          <cell r="J252">
            <v>16.8</v>
          </cell>
        </row>
        <row r="253">
          <cell r="A253" t="str">
            <v>96376</v>
          </cell>
          <cell r="B253" t="str">
            <v>SALCHICHA AMERICANA HORNEADA (300g)</v>
          </cell>
          <cell r="C253" t="str">
            <v>KILO</v>
          </cell>
          <cell r="D253" t="str">
            <v>GRAMO</v>
          </cell>
          <cell r="E253">
            <v>263.25</v>
          </cell>
          <cell r="F253">
            <v>0.26324999999999998</v>
          </cell>
          <cell r="G253">
            <v>0</v>
          </cell>
          <cell r="H253">
            <v>0</v>
          </cell>
          <cell r="I253">
            <v>16.8</v>
          </cell>
          <cell r="J253">
            <v>1.6800000000000002E-2</v>
          </cell>
        </row>
        <row r="254">
          <cell r="A254" t="str">
            <v>96377</v>
          </cell>
          <cell r="B254" t="str">
            <v>SALSA CEBOLLA PHILLY (500g)</v>
          </cell>
          <cell r="C254" t="str">
            <v>KILO</v>
          </cell>
          <cell r="D254" t="str">
            <v>GRAMO</v>
          </cell>
          <cell r="E254">
            <v>2593.4490490000003</v>
          </cell>
          <cell r="F254">
            <v>2.5934490490000002</v>
          </cell>
          <cell r="G254">
            <v>0</v>
          </cell>
          <cell r="H254">
            <v>0</v>
          </cell>
          <cell r="I254">
            <v>560</v>
          </cell>
          <cell r="J254">
            <v>0.56000000000000005</v>
          </cell>
        </row>
        <row r="255">
          <cell r="A255" t="str">
            <v>96378</v>
          </cell>
          <cell r="B255" t="str">
            <v>TOCINETA TOSTADA (150g)</v>
          </cell>
          <cell r="C255" t="str">
            <v>KILO</v>
          </cell>
          <cell r="D255" t="str">
            <v>GRAMO</v>
          </cell>
          <cell r="E255">
            <v>12643.866666666667</v>
          </cell>
          <cell r="F255">
            <v>12.643866666666666</v>
          </cell>
          <cell r="G255">
            <v>0</v>
          </cell>
          <cell r="H255">
            <v>0</v>
          </cell>
          <cell r="I255">
            <v>1120</v>
          </cell>
          <cell r="J255">
            <v>1.1200000000000001</v>
          </cell>
        </row>
        <row r="256">
          <cell r="A256" t="str">
            <v>96379</v>
          </cell>
          <cell r="B256" t="str">
            <v>TORTA DE CLARAS (110g)</v>
          </cell>
          <cell r="C256" t="str">
            <v>UND</v>
          </cell>
          <cell r="D256" t="str">
            <v>UND</v>
          </cell>
          <cell r="E256">
            <v>508.87973196778529</v>
          </cell>
          <cell r="F256">
            <v>508.87973196778529</v>
          </cell>
          <cell r="G256">
            <v>0</v>
          </cell>
          <cell r="H256">
            <v>0</v>
          </cell>
          <cell r="I256">
            <v>33.881879194630869</v>
          </cell>
          <cell r="J256">
            <v>33.881879194630869</v>
          </cell>
        </row>
        <row r="257">
          <cell r="A257" t="str">
            <v>96380</v>
          </cell>
          <cell r="B257" t="str">
            <v>TORTA DE HUEVO (75g)</v>
          </cell>
          <cell r="C257" t="str">
            <v>UND</v>
          </cell>
          <cell r="D257" t="str">
            <v>UND</v>
          </cell>
          <cell r="E257">
            <v>107.84754888389264</v>
          </cell>
          <cell r="F257">
            <v>107.84754888389264</v>
          </cell>
          <cell r="G257">
            <v>2.838254697986577E-2</v>
          </cell>
          <cell r="H257">
            <v>2.838254697986577E-2</v>
          </cell>
          <cell r="I257">
            <v>39.340939597315433</v>
          </cell>
          <cell r="J257">
            <v>39.340939597315433</v>
          </cell>
        </row>
        <row r="258">
          <cell r="A258" t="str">
            <v>96381</v>
          </cell>
          <cell r="B258" t="str">
            <v>TORTA HUEVOS Y VEGETALES (75g)</v>
          </cell>
          <cell r="C258" t="str">
            <v>UND</v>
          </cell>
          <cell r="D258" t="str">
            <v>UND</v>
          </cell>
          <cell r="E258">
            <v>113.89141737722596</v>
          </cell>
          <cell r="F258">
            <v>113.89141737722596</v>
          </cell>
          <cell r="G258">
            <v>2.838254697986577E-2</v>
          </cell>
          <cell r="H258">
            <v>2.838254697986577E-2</v>
          </cell>
          <cell r="I258">
            <v>37.100939597315438</v>
          </cell>
          <cell r="J258">
            <v>37.100939597315438</v>
          </cell>
        </row>
        <row r="259">
          <cell r="A259" t="str">
            <v>96388</v>
          </cell>
          <cell r="B259" t="str">
            <v>BASE DE GALLETA DE CHOCOLATE (1000g)</v>
          </cell>
          <cell r="C259" t="str">
            <v>KILO</v>
          </cell>
          <cell r="D259" t="str">
            <v>GRAMO</v>
          </cell>
          <cell r="E259">
            <v>1553.7802000000001</v>
          </cell>
          <cell r="F259">
            <v>1.5537802000000001</v>
          </cell>
          <cell r="G259">
            <v>0</v>
          </cell>
          <cell r="H259">
            <v>0</v>
          </cell>
          <cell r="I259">
            <v>220</v>
          </cell>
          <cell r="J259">
            <v>0.22</v>
          </cell>
        </row>
        <row r="260">
          <cell r="A260" t="str">
            <v>96392</v>
          </cell>
          <cell r="B260" t="str">
            <v>BASTONES QUESO TURRIALBA P/TIQUEÑOS</v>
          </cell>
          <cell r="C260" t="str">
            <v>KILO</v>
          </cell>
          <cell r="D260" t="str">
            <v>GRAMO</v>
          </cell>
          <cell r="E260">
            <v>3036.3153488372091</v>
          </cell>
          <cell r="F260">
            <v>3.036315348837209</v>
          </cell>
          <cell r="G260">
            <v>1.0934808139534882</v>
          </cell>
          <cell r="H260">
            <v>1.0934808139534881E-3</v>
          </cell>
          <cell r="I260">
            <v>89.534883720930225</v>
          </cell>
          <cell r="J260">
            <v>8.9534883720930228E-2</v>
          </cell>
        </row>
        <row r="261">
          <cell r="A261" t="str">
            <v>96393</v>
          </cell>
          <cell r="B261" t="str">
            <v>BATIDO P/PAN BLANCO (24650g)</v>
          </cell>
          <cell r="C261" t="str">
            <v>KILO</v>
          </cell>
          <cell r="D261" t="str">
            <v>GRAMO</v>
          </cell>
          <cell r="E261">
            <v>496.04960787018251</v>
          </cell>
          <cell r="F261">
            <v>0.49604960787018249</v>
          </cell>
          <cell r="G261">
            <v>1.8606731317814482</v>
          </cell>
          <cell r="H261">
            <v>1.8606731317814481E-3</v>
          </cell>
          <cell r="I261">
            <v>20.081135902636916</v>
          </cell>
          <cell r="J261">
            <v>2.0081135902636917E-2</v>
          </cell>
        </row>
        <row r="262">
          <cell r="A262" t="str">
            <v>96395</v>
          </cell>
          <cell r="B262" t="str">
            <v>PRALINE C/CHOCOLATE BLANCO (2600g)</v>
          </cell>
          <cell r="C262" t="str">
            <v>KILO</v>
          </cell>
          <cell r="D262" t="str">
            <v>GRAMO</v>
          </cell>
          <cell r="E262">
            <v>4516.5968076923073</v>
          </cell>
          <cell r="F262">
            <v>4.5165968076923075</v>
          </cell>
          <cell r="G262">
            <v>8.6926923076923082</v>
          </cell>
          <cell r="H262">
            <v>8.6926923076923075E-3</v>
          </cell>
          <cell r="I262">
            <v>430.76923076923077</v>
          </cell>
          <cell r="J262">
            <v>0.43076923076923079</v>
          </cell>
        </row>
        <row r="263">
          <cell r="A263" t="str">
            <v>96396</v>
          </cell>
          <cell r="B263" t="str">
            <v>CREMA CHANTILLY BEIDGE (10400g)</v>
          </cell>
          <cell r="C263" t="str">
            <v>KILO</v>
          </cell>
          <cell r="D263" t="str">
            <v>GRAMO</v>
          </cell>
          <cell r="E263">
            <v>1565.0805096153845</v>
          </cell>
          <cell r="F263">
            <v>1.5650805096153844</v>
          </cell>
          <cell r="G263">
            <v>9.6249999999999988E-2</v>
          </cell>
          <cell r="H263">
            <v>9.6249999999999995E-5</v>
          </cell>
          <cell r="I263">
            <v>26.923076923076923</v>
          </cell>
          <cell r="J263">
            <v>2.6923076923076925E-2</v>
          </cell>
        </row>
        <row r="264">
          <cell r="A264" t="str">
            <v>96398</v>
          </cell>
          <cell r="B264" t="str">
            <v>ALMIBAR CON LICOR DE CAFE (3000g)</v>
          </cell>
          <cell r="C264" t="str">
            <v>KILO</v>
          </cell>
          <cell r="D264" t="str">
            <v>GRAMO</v>
          </cell>
          <cell r="E264">
            <v>9455.557774311821</v>
          </cell>
          <cell r="F264">
            <v>3.1518525914372737</v>
          </cell>
          <cell r="G264">
            <v>19.751088578274761</v>
          </cell>
          <cell r="H264">
            <v>6.5836961927582538E-3</v>
          </cell>
          <cell r="I264">
            <v>103.76198083067092</v>
          </cell>
          <cell r="J264">
            <v>3.4587326943556977E-2</v>
          </cell>
        </row>
        <row r="265">
          <cell r="A265" t="str">
            <v>96399</v>
          </cell>
          <cell r="B265" t="str">
            <v>BATIDO P/TORTA KALUA (7684g)</v>
          </cell>
          <cell r="C265" t="str">
            <v>KILO</v>
          </cell>
          <cell r="D265" t="str">
            <v>GRAMO</v>
          </cell>
          <cell r="E265">
            <v>2598.1708149431574</v>
          </cell>
          <cell r="F265">
            <v>2.5981708149431575</v>
          </cell>
          <cell r="G265">
            <v>7.0082209161000613</v>
          </cell>
          <cell r="H265">
            <v>7.0082209161000612E-3</v>
          </cell>
          <cell r="I265">
            <v>111.33659065921081</v>
          </cell>
          <cell r="J265">
            <v>0.11133659065921081</v>
          </cell>
        </row>
        <row r="266">
          <cell r="A266" t="str">
            <v>96409</v>
          </cell>
          <cell r="B266" t="str">
            <v>BASE PREMEZCLA CHOCOLATE PILLSBURY (6012g)</v>
          </cell>
          <cell r="C266" t="str">
            <v>TANDA</v>
          </cell>
          <cell r="D266" t="str">
            <v>GRAMO</v>
          </cell>
          <cell r="E266">
            <v>9697.4206871788356</v>
          </cell>
          <cell r="F266">
            <v>1.6130107596771184</v>
          </cell>
          <cell r="G266">
            <v>32.369083809523815</v>
          </cell>
          <cell r="H266">
            <v>5.3840791433007011E-3</v>
          </cell>
          <cell r="I266">
            <v>110</v>
          </cell>
          <cell r="J266">
            <v>1.8296739853626082E-2</v>
          </cell>
        </row>
        <row r="267">
          <cell r="A267" t="str">
            <v>96451</v>
          </cell>
          <cell r="B267" t="str">
            <v>MEZCLA TRES LECHES C/AGUA (2000g)</v>
          </cell>
          <cell r="C267" t="str">
            <v>Kilo</v>
          </cell>
          <cell r="D267" t="str">
            <v>Gramo</v>
          </cell>
          <cell r="E267">
            <v>866.54019873768948</v>
          </cell>
          <cell r="F267">
            <v>0.8665401987376895</v>
          </cell>
          <cell r="G267">
            <v>0</v>
          </cell>
          <cell r="H267">
            <v>0</v>
          </cell>
          <cell r="I267">
            <v>67.934680321062828</v>
          </cell>
          <cell r="J267">
            <v>6.7934680321062826E-2</v>
          </cell>
        </row>
        <row r="268">
          <cell r="A268" t="str">
            <v>96464</v>
          </cell>
          <cell r="B268" t="str">
            <v>EMPAQUE SALSA BLANCA SPOON  (5000g)</v>
          </cell>
          <cell r="C268" t="str">
            <v>KILO</v>
          </cell>
          <cell r="D268" t="str">
            <v>GRAMO</v>
          </cell>
          <cell r="E268">
            <v>1571.1600631712397</v>
          </cell>
          <cell r="F268">
            <v>1.5711600631712397</v>
          </cell>
          <cell r="G268">
            <v>7.751116539682541</v>
          </cell>
          <cell r="H268">
            <v>7.7511165396825406E-3</v>
          </cell>
          <cell r="I268">
            <v>37.179910350448246</v>
          </cell>
          <cell r="J268">
            <v>3.7179910350448243E-2</v>
          </cell>
        </row>
        <row r="269">
          <cell r="A269" t="str">
            <v>96465</v>
          </cell>
          <cell r="B269" t="str">
            <v>POLLO RECORTE EMPACADO (5000g)</v>
          </cell>
          <cell r="C269" t="str">
            <v>TANDA</v>
          </cell>
          <cell r="D269" t="str">
            <v>GRAMO</v>
          </cell>
          <cell r="E269">
            <v>18641.096729957804</v>
          </cell>
          <cell r="F269">
            <v>3.7282193459915609</v>
          </cell>
          <cell r="G269">
            <v>38.052083809523815</v>
          </cell>
          <cell r="H269">
            <v>7.6104167619047633E-3</v>
          </cell>
          <cell r="I269">
            <v>398.05379746835445</v>
          </cell>
          <cell r="J269">
            <v>7.9610759493670885E-2</v>
          </cell>
        </row>
        <row r="270">
          <cell r="A270" t="str">
            <v>96466</v>
          </cell>
          <cell r="B270" t="str">
            <v>POLLO DESMENUZADO MARMITA EMPACADO (5000g)</v>
          </cell>
          <cell r="C270" t="str">
            <v>BOLSA</v>
          </cell>
          <cell r="D270" t="str">
            <v>GRAMO</v>
          </cell>
          <cell r="E270">
            <v>21923.708020833335</v>
          </cell>
          <cell r="F270">
            <v>4.3847416041666669</v>
          </cell>
          <cell r="G270">
            <v>38.810127142857141</v>
          </cell>
          <cell r="H270">
            <v>7.762025428571428E-3</v>
          </cell>
          <cell r="I270">
            <v>828.4375</v>
          </cell>
          <cell r="J270">
            <v>0.16568749999999999</v>
          </cell>
        </row>
        <row r="271">
          <cell r="A271" t="str">
            <v>96467</v>
          </cell>
          <cell r="B271" t="str">
            <v>ARROZ PRECOCIDO P/GALLO PINTO EMPACADO (5000g)</v>
          </cell>
          <cell r="C271" t="str">
            <v>TANDA</v>
          </cell>
          <cell r="D271" t="str">
            <v>GRAMO</v>
          </cell>
          <cell r="E271">
            <v>3631.635473608098</v>
          </cell>
          <cell r="F271">
            <v>0.7263270947216196</v>
          </cell>
          <cell r="G271">
            <v>80.961763325069739</v>
          </cell>
          <cell r="H271">
            <v>1.6192352665013947E-2</v>
          </cell>
          <cell r="I271">
            <v>399.93763557483732</v>
          </cell>
          <cell r="J271">
            <v>7.9987527114967469E-2</v>
          </cell>
        </row>
        <row r="272">
          <cell r="A272" t="str">
            <v>96468</v>
          </cell>
          <cell r="B272" t="str">
            <v>FRIJOLES P/GALLO PINTO EMPACADOS (4000g)</v>
          </cell>
          <cell r="C272" t="str">
            <v>TANDA</v>
          </cell>
          <cell r="D272" t="str">
            <v>GRAMO</v>
          </cell>
          <cell r="E272">
            <v>2763.0171543895058</v>
          </cell>
          <cell r="F272">
            <v>0.69075428859737642</v>
          </cell>
          <cell r="G272">
            <v>31.588019937212692</v>
          </cell>
          <cell r="H272">
            <v>7.8970049843031728E-3</v>
          </cell>
          <cell r="I272">
            <v>195.51715438950555</v>
          </cell>
          <cell r="J272">
            <v>4.8879288597376384E-2</v>
          </cell>
        </row>
        <row r="273">
          <cell r="A273" t="str">
            <v>96475</v>
          </cell>
          <cell r="B273" t="str">
            <v>COCCION CREMA TOMATE (18500g)</v>
          </cell>
          <cell r="C273" t="str">
            <v>KILO</v>
          </cell>
          <cell r="D273" t="str">
            <v>GRAMO</v>
          </cell>
          <cell r="E273">
            <v>1122.8780081600833</v>
          </cell>
          <cell r="F273">
            <v>1.1228780081600833</v>
          </cell>
          <cell r="G273">
            <v>0</v>
          </cell>
          <cell r="H273">
            <v>0</v>
          </cell>
          <cell r="I273">
            <v>29.198841698841701</v>
          </cell>
          <cell r="J273">
            <v>2.9198841698841699E-2</v>
          </cell>
        </row>
        <row r="274">
          <cell r="A274" t="str">
            <v>96476</v>
          </cell>
          <cell r="B274" t="str">
            <v>BASE PREMEZCLA P/EMPANADA STB (9456g)</v>
          </cell>
          <cell r="C274" t="str">
            <v>TANDA</v>
          </cell>
          <cell r="D274" t="str">
            <v>GRAMO</v>
          </cell>
          <cell r="E274">
            <v>3544.9617000000003</v>
          </cell>
          <cell r="F274">
            <v>0.37489019670050766</v>
          </cell>
          <cell r="G274">
            <v>35.065582698412705</v>
          </cell>
          <cell r="H274">
            <v>3.7082892024548121E-3</v>
          </cell>
          <cell r="I274">
            <v>168</v>
          </cell>
          <cell r="J274">
            <v>1.7766497461928935E-2</v>
          </cell>
        </row>
        <row r="275">
          <cell r="A275" t="str">
            <v>96477</v>
          </cell>
          <cell r="B275" t="str">
            <v>PASTA P/EMPANADA STB (16000g)</v>
          </cell>
          <cell r="C275" t="str">
            <v>KILO</v>
          </cell>
          <cell r="D275" t="str">
            <v>GRAMO</v>
          </cell>
          <cell r="E275">
            <v>796.91226375000008</v>
          </cell>
          <cell r="F275">
            <v>0.79691226375000013</v>
          </cell>
          <cell r="G275">
            <v>2.191598918650794</v>
          </cell>
          <cell r="H275">
            <v>2.1915989186507942E-3</v>
          </cell>
          <cell r="I275">
            <v>44.875</v>
          </cell>
          <cell r="J275">
            <v>4.4874999999999998E-2</v>
          </cell>
        </row>
        <row r="276">
          <cell r="A276" t="str">
            <v>96478</v>
          </cell>
          <cell r="B276" t="str">
            <v>RECTANGULOS DE PASTA P/EMPANADA STB (UND)</v>
          </cell>
          <cell r="C276" t="str">
            <v>UND</v>
          </cell>
          <cell r="D276" t="str">
            <v>UND</v>
          </cell>
          <cell r="E276">
            <v>52.184340622010872</v>
          </cell>
          <cell r="F276">
            <v>52.184340622010872</v>
          </cell>
          <cell r="G276">
            <v>0.14245392971230164</v>
          </cell>
          <cell r="H276">
            <v>0.14245392971230164</v>
          </cell>
          <cell r="I276">
            <v>6.50383152173913</v>
          </cell>
          <cell r="J276">
            <v>6.50383152173913</v>
          </cell>
        </row>
        <row r="277">
          <cell r="A277" t="str">
            <v>96479</v>
          </cell>
          <cell r="B277" t="str">
            <v>RUEDA P/EMPANADA STB (UND)</v>
          </cell>
          <cell r="C277" t="str">
            <v>UND</v>
          </cell>
          <cell r="D277" t="str">
            <v>UND</v>
          </cell>
          <cell r="E277">
            <v>48.379197015000003</v>
          </cell>
          <cell r="F277">
            <v>48.379197015000003</v>
          </cell>
          <cell r="G277">
            <v>0.13066080357142856</v>
          </cell>
          <cell r="H277">
            <v>0.13066080357142856</v>
          </cell>
          <cell r="I277">
            <v>6.0525000000000002</v>
          </cell>
          <cell r="J277">
            <v>6.0525000000000002</v>
          </cell>
        </row>
        <row r="278">
          <cell r="A278" t="str">
            <v>96480</v>
          </cell>
          <cell r="B278" t="str">
            <v>RELLENO POLLO Y HONGOS STB EMPACADO (4000g)</v>
          </cell>
          <cell r="C278" t="str">
            <v>KILO</v>
          </cell>
          <cell r="D278" t="str">
            <v>GRAMO</v>
          </cell>
          <cell r="E278">
            <v>3397.7394979447758</v>
          </cell>
          <cell r="F278">
            <v>3.3977394979447757</v>
          </cell>
          <cell r="G278">
            <v>6.8891455555555563</v>
          </cell>
          <cell r="H278">
            <v>6.8891455555555566E-3</v>
          </cell>
          <cell r="I278">
            <v>241.83476259980947</v>
          </cell>
          <cell r="J278">
            <v>0.24183476259980946</v>
          </cell>
        </row>
        <row r="279">
          <cell r="A279" t="str">
            <v>96481</v>
          </cell>
          <cell r="B279" t="str">
            <v>RELLENO CAPRESSE STB EMPACADO (4000g)</v>
          </cell>
          <cell r="C279" t="str">
            <v>KILO</v>
          </cell>
          <cell r="D279" t="str">
            <v>GRAMO</v>
          </cell>
          <cell r="E279">
            <v>2734.9109968887979</v>
          </cell>
          <cell r="F279">
            <v>2.7349109968887979</v>
          </cell>
          <cell r="G279">
            <v>0.63700000000000001</v>
          </cell>
          <cell r="H279">
            <v>6.3699999999999998E-4</v>
          </cell>
          <cell r="I279">
            <v>165.82375204924509</v>
          </cell>
          <cell r="J279">
            <v>0.1658237520492451</v>
          </cell>
        </row>
        <row r="280">
          <cell r="A280" t="str">
            <v>96482</v>
          </cell>
          <cell r="B280" t="str">
            <v>RELLENO JAMON Y QUESO STB (4000g)</v>
          </cell>
          <cell r="C280" t="str">
            <v>KILO</v>
          </cell>
          <cell r="D280" t="str">
            <v>GRAMO</v>
          </cell>
          <cell r="E280">
            <v>2451.1142236052137</v>
          </cell>
          <cell r="F280">
            <v>2.4511142236052139</v>
          </cell>
          <cell r="G280">
            <v>6.7954622222222225</v>
          </cell>
          <cell r="H280">
            <v>6.7954622222222228E-3</v>
          </cell>
          <cell r="I280">
            <v>474.39387384356604</v>
          </cell>
          <cell r="J280">
            <v>0.47439387384356602</v>
          </cell>
        </row>
        <row r="281">
          <cell r="A281" t="str">
            <v>96483</v>
          </cell>
          <cell r="B281" t="str">
            <v>EMPANADA CAPRESSE STB (UND)</v>
          </cell>
          <cell r="C281" t="str">
            <v>UND</v>
          </cell>
          <cell r="D281" t="str">
            <v>UND</v>
          </cell>
          <cell r="E281">
            <v>185.3247468594399</v>
          </cell>
          <cell r="F281">
            <v>185.3247468594399</v>
          </cell>
          <cell r="G281">
            <v>9.4479533660714292</v>
          </cell>
          <cell r="H281">
            <v>9.4479533660714292</v>
          </cell>
          <cell r="I281">
            <v>34.94618760246226</v>
          </cell>
          <cell r="J281">
            <v>34.94618760246226</v>
          </cell>
        </row>
        <row r="282">
          <cell r="A282" t="str">
            <v>96484</v>
          </cell>
          <cell r="B282" t="str">
            <v>EMPANADA JAMON Y QUESO (UND)</v>
          </cell>
          <cell r="C282" t="str">
            <v>UND</v>
          </cell>
          <cell r="D282" t="str">
            <v>UND</v>
          </cell>
          <cell r="E282">
            <v>174.96650794651072</v>
          </cell>
          <cell r="F282">
            <v>174.96650794651072</v>
          </cell>
          <cell r="G282">
            <v>8.8327253432539674</v>
          </cell>
          <cell r="H282">
            <v>8.8327253432539674</v>
          </cell>
          <cell r="I282">
            <v>51.219693692178296</v>
          </cell>
          <cell r="J282">
            <v>51.219693692178296</v>
          </cell>
        </row>
        <row r="283">
          <cell r="A283" t="str">
            <v>96485</v>
          </cell>
          <cell r="B283" t="str">
            <v>EMPANADA POLLO Y HONGOS STB (UND)</v>
          </cell>
          <cell r="C283" t="str">
            <v>UND</v>
          </cell>
          <cell r="D283" t="str">
            <v>UND</v>
          </cell>
          <cell r="E283">
            <v>236.16168907253365</v>
          </cell>
          <cell r="F283">
            <v>236.16168907253365</v>
          </cell>
          <cell r="G283">
            <v>0.4704339146825397</v>
          </cell>
          <cell r="H283">
            <v>0.4704339146825397</v>
          </cell>
          <cell r="I283">
            <v>45.275087651085606</v>
          </cell>
          <cell r="J283">
            <v>45.275087651085606</v>
          </cell>
        </row>
        <row r="284">
          <cell r="A284" t="str">
            <v>96486</v>
          </cell>
          <cell r="B284" t="str">
            <v>RELLENO CARNE CON ACEITUNAS EMPACADO (2000g)</v>
          </cell>
          <cell r="C284" t="str">
            <v>KILO</v>
          </cell>
          <cell r="D284" t="str">
            <v>GRAMO</v>
          </cell>
          <cell r="E284">
            <v>3198.589746943192</v>
          </cell>
          <cell r="F284">
            <v>3.1985897469431919</v>
          </cell>
          <cell r="G284">
            <v>28.689440516707077</v>
          </cell>
          <cell r="H284">
            <v>2.8689440516707077E-2</v>
          </cell>
          <cell r="I284">
            <v>402.68474645994223</v>
          </cell>
          <cell r="J284">
            <v>0.40268474645994223</v>
          </cell>
        </row>
        <row r="285">
          <cell r="A285" t="str">
            <v>96487</v>
          </cell>
          <cell r="B285" t="str">
            <v>EMPANADA CARNE C/ACEITUNAS STB (UND)</v>
          </cell>
          <cell r="C285" t="str">
            <v>UND</v>
          </cell>
          <cell r="D285" t="str">
            <v>UND</v>
          </cell>
          <cell r="E285">
            <v>217.7416789246596</v>
          </cell>
          <cell r="F285">
            <v>217.7416789246596</v>
          </cell>
          <cell r="G285">
            <v>9.7033764771825393</v>
          </cell>
          <cell r="H285">
            <v>9.7033764771825393</v>
          </cell>
          <cell r="I285">
            <v>53.724237322997112</v>
          </cell>
          <cell r="J285">
            <v>53.724237322997112</v>
          </cell>
        </row>
        <row r="286">
          <cell r="A286">
            <v>904000013</v>
          </cell>
          <cell r="B286" t="str">
            <v>EMPAQUE MAYONESA (2000g)</v>
          </cell>
          <cell r="C286" t="str">
            <v>KILO</v>
          </cell>
          <cell r="D286" t="str">
            <v>GRAMO</v>
          </cell>
          <cell r="E286">
            <v>2743.4704380846811</v>
          </cell>
          <cell r="F286">
            <v>0.91449014602822698</v>
          </cell>
          <cell r="G286">
            <v>16.550283797317931</v>
          </cell>
          <cell r="H286">
            <v>5.5167612657726437E-3</v>
          </cell>
          <cell r="I286">
            <v>211.09077370879305</v>
          </cell>
          <cell r="J286">
            <v>7.0363591236264345E-2</v>
          </cell>
        </row>
        <row r="287">
          <cell r="A287" t="str">
            <v>96488</v>
          </cell>
          <cell r="B287" t="str">
            <v>ROSQUETE CUADRADO TRES LECHES (330g)</v>
          </cell>
          <cell r="C287" t="str">
            <v>UND</v>
          </cell>
          <cell r="D287" t="str">
            <v>UND</v>
          </cell>
          <cell r="E287">
            <v>329.13105196412442</v>
          </cell>
          <cell r="F287">
            <v>329.13105196412442</v>
          </cell>
          <cell r="G287">
            <v>1.2382540299524487</v>
          </cell>
          <cell r="H287">
            <v>1.2382540299524487</v>
          </cell>
          <cell r="I287">
            <v>28.483709579011595</v>
          </cell>
          <cell r="J287">
            <v>28.483709579011595</v>
          </cell>
        </row>
        <row r="288">
          <cell r="A288" t="str">
            <v>95356</v>
          </cell>
          <cell r="B288" t="str">
            <v>ROSQUETE TRES LECHES (1000g)</v>
          </cell>
          <cell r="C288" t="str">
            <v>UND</v>
          </cell>
          <cell r="D288" t="str">
            <v>UND</v>
          </cell>
          <cell r="E288">
            <v>875.20064786705029</v>
          </cell>
          <cell r="F288">
            <v>875.20064786705029</v>
          </cell>
          <cell r="G288">
            <v>11.131434946060155</v>
          </cell>
          <cell r="H288">
            <v>11.131434946060155</v>
          </cell>
          <cell r="I288">
            <v>48.803930968360504</v>
          </cell>
          <cell r="J288">
            <v>48.803930968360504</v>
          </cell>
        </row>
        <row r="289">
          <cell r="A289" t="str">
            <v>96389</v>
          </cell>
          <cell r="B289" t="str">
            <v>MOUSSE P/POSTRE COOKIES AND CREAM (1800g)</v>
          </cell>
          <cell r="C289" t="str">
            <v>KILO</v>
          </cell>
          <cell r="D289" t="str">
            <v>GRAMO</v>
          </cell>
          <cell r="E289">
            <v>3412.0520363595087</v>
          </cell>
          <cell r="F289">
            <v>3.4120520363595088</v>
          </cell>
          <cell r="G289">
            <v>9.090277777777777E-3</v>
          </cell>
          <cell r="H289">
            <v>9.0902777777777772E-6</v>
          </cell>
          <cell r="I289">
            <v>157.77243589743591</v>
          </cell>
          <cell r="J289">
            <v>0.15777243589743592</v>
          </cell>
        </row>
        <row r="290">
          <cell r="A290" t="str">
            <v>96390</v>
          </cell>
          <cell r="B290" t="str">
            <v>BASE CHOCOLATE Y ALMENDRAS P/MINI POSTRE (1000g)</v>
          </cell>
          <cell r="C290" t="str">
            <v>KILO</v>
          </cell>
          <cell r="D290" t="str">
            <v>GRAMO</v>
          </cell>
          <cell r="E290">
            <v>4564.1309955584647</v>
          </cell>
          <cell r="F290">
            <v>4.5641309955584646</v>
          </cell>
          <cell r="G290">
            <v>0.4859724379484196</v>
          </cell>
          <cell r="H290">
            <v>4.859724379484196E-4</v>
          </cell>
          <cell r="I290">
            <v>195.95549738219896</v>
          </cell>
          <cell r="J290">
            <v>0.19595549738219895</v>
          </cell>
        </row>
        <row r="291">
          <cell r="A291" t="str">
            <v>96391</v>
          </cell>
          <cell r="B291" t="str">
            <v>MOUSSE CHOCOLATE DARK C/COBERTURA (6000g)</v>
          </cell>
          <cell r="C291" t="str">
            <v>KILO</v>
          </cell>
          <cell r="D291" t="str">
            <v>GRAMO</v>
          </cell>
          <cell r="E291">
            <v>3291.487916666666</v>
          </cell>
          <cell r="F291">
            <v>3.2914879166666662</v>
          </cell>
          <cell r="G291">
            <v>6.3433650000000004</v>
          </cell>
          <cell r="H291">
            <v>6.3433650000000001E-3</v>
          </cell>
          <cell r="I291">
            <v>140</v>
          </cell>
          <cell r="J291">
            <v>0.14000000000000001</v>
          </cell>
        </row>
        <row r="292">
          <cell r="A292" t="str">
            <v>95584</v>
          </cell>
          <cell r="B292" t="str">
            <v>RELLENO QUESO P/CHESSE CAKE HORNEADO (12800g)</v>
          </cell>
          <cell r="C292" t="str">
            <v>KILO</v>
          </cell>
          <cell r="D292" t="str">
            <v>GRAMO</v>
          </cell>
          <cell r="E292">
            <v>2306.3680384765626</v>
          </cell>
          <cell r="F292">
            <v>2.3063680384765624</v>
          </cell>
          <cell r="G292">
            <v>0</v>
          </cell>
          <cell r="H292">
            <v>0</v>
          </cell>
          <cell r="I292">
            <v>25.78125</v>
          </cell>
          <cell r="J292">
            <v>2.5781249999999999E-2</v>
          </cell>
        </row>
        <row r="293">
          <cell r="A293" t="str">
            <v>95702</v>
          </cell>
          <cell r="B293" t="str">
            <v>RELLENO QUESO BASE P/CHESSE CAKE SPOON (7.8 Kg)</v>
          </cell>
          <cell r="C293" t="str">
            <v>KILO</v>
          </cell>
          <cell r="D293" t="str">
            <v>GRAMO</v>
          </cell>
          <cell r="E293">
            <v>1798.4060811282054</v>
          </cell>
          <cell r="F293">
            <v>1.7984060811282054</v>
          </cell>
          <cell r="G293">
            <v>0</v>
          </cell>
          <cell r="H293">
            <v>0</v>
          </cell>
          <cell r="I293">
            <v>105.76923076923077</v>
          </cell>
          <cell r="J293">
            <v>0.10576923076923077</v>
          </cell>
        </row>
        <row r="294">
          <cell r="A294" t="str">
            <v>95833</v>
          </cell>
          <cell r="B294" t="str">
            <v>ROSQUETE MELOCOTON PURATOS (300g)</v>
          </cell>
          <cell r="C294" t="str">
            <v>UND</v>
          </cell>
          <cell r="D294" t="str">
            <v>UND</v>
          </cell>
          <cell r="E294">
            <v>354.48884494634626</v>
          </cell>
          <cell r="F294">
            <v>354.48884494634626</v>
          </cell>
          <cell r="G294">
            <v>9.2045736593345016</v>
          </cell>
          <cell r="H294">
            <v>9.2045736593345016</v>
          </cell>
          <cell r="I294">
            <v>18.692332962886429</v>
          </cell>
          <cell r="J294">
            <v>18.692332962886429</v>
          </cell>
        </row>
        <row r="295">
          <cell r="A295" t="str">
            <v>95857</v>
          </cell>
          <cell r="B295" t="str">
            <v>ROSQUETE CHOCOLATE SPOON RED. (320g)</v>
          </cell>
          <cell r="C295" t="str">
            <v>UND</v>
          </cell>
          <cell r="D295" t="str">
            <v>UND</v>
          </cell>
          <cell r="E295">
            <v>395.76817663200347</v>
          </cell>
          <cell r="F295">
            <v>395.76817663200347</v>
          </cell>
          <cell r="G295">
            <v>5.8299605890354398</v>
          </cell>
          <cell r="H295">
            <v>5.8299605890354398</v>
          </cell>
          <cell r="I295">
            <v>16.8969495634217</v>
          </cell>
          <cell r="J295">
            <v>16.8969495634217</v>
          </cell>
        </row>
        <row r="296">
          <cell r="A296" t="str">
            <v>96273</v>
          </cell>
          <cell r="B296" t="str">
            <v>CORTE GALLETA PEQ P/TORTA CHILENA (UND)</v>
          </cell>
          <cell r="C296" t="str">
            <v>UND</v>
          </cell>
          <cell r="D296" t="str">
            <v>UND</v>
          </cell>
          <cell r="E296">
            <v>91.259726746921174</v>
          </cell>
          <cell r="F296">
            <v>91.259726746921174</v>
          </cell>
          <cell r="G296">
            <v>0.71619935522714828</v>
          </cell>
          <cell r="H296">
            <v>0.71619935522714828</v>
          </cell>
          <cell r="I296">
            <v>21.555665024630542</v>
          </cell>
          <cell r="J296">
            <v>21.555665024630542</v>
          </cell>
        </row>
        <row r="297">
          <cell r="A297" t="str">
            <v>906000005</v>
          </cell>
          <cell r="B297" t="str">
            <v>EMPANADA DE POLLO PEQUEÑA  (UND)</v>
          </cell>
          <cell r="C297" t="str">
            <v>UND</v>
          </cell>
          <cell r="D297" t="str">
            <v>UND</v>
          </cell>
          <cell r="E297">
            <v>57.013804147782189</v>
          </cell>
          <cell r="F297">
            <v>57.013804147782189</v>
          </cell>
          <cell r="G297">
            <v>0.71571045852291038</v>
          </cell>
          <cell r="H297">
            <v>0.71571045852291038</v>
          </cell>
          <cell r="I297">
            <v>26.79662026328894</v>
          </cell>
          <cell r="J297">
            <v>26.79662026328894</v>
          </cell>
        </row>
        <row r="298">
          <cell r="A298" t="str">
            <v>96259</v>
          </cell>
          <cell r="B298" t="str">
            <v>EMPAQUE RELLENO QUESOS P/EMPANADA (3000g)</v>
          </cell>
          <cell r="C298" t="str">
            <v>TANDA</v>
          </cell>
          <cell r="D298" t="str">
            <v>GRAMO</v>
          </cell>
          <cell r="E298">
            <v>13997.971705098042</v>
          </cell>
          <cell r="F298">
            <v>4.6659905683660137</v>
          </cell>
          <cell r="G298">
            <v>29.327455069693023</v>
          </cell>
          <cell r="H298">
            <v>9.7758183565643409E-3</v>
          </cell>
          <cell r="I298">
            <v>386.37813211845105</v>
          </cell>
          <cell r="J298">
            <v>0.12879271070615034</v>
          </cell>
        </row>
        <row r="299">
          <cell r="A299" t="str">
            <v>96262</v>
          </cell>
          <cell r="B299" t="str">
            <v>EMPANADITA TRES QUESOS (UND)</v>
          </cell>
          <cell r="C299" t="str">
            <v>UND</v>
          </cell>
          <cell r="D299" t="str">
            <v>UND</v>
          </cell>
          <cell r="E299">
            <v>108.19885408972851</v>
          </cell>
          <cell r="F299">
            <v>108.19885408972851</v>
          </cell>
          <cell r="G299">
            <v>3.5195198379508806E-3</v>
          </cell>
          <cell r="H299">
            <v>3.5195198379508806E-3</v>
          </cell>
          <cell r="I299">
            <v>30.066935115202529</v>
          </cell>
          <cell r="J299">
            <v>30.066935115202529</v>
          </cell>
        </row>
        <row r="300">
          <cell r="A300" t="str">
            <v>95152</v>
          </cell>
          <cell r="B300" t="str">
            <v>EMPAQUE RELLENO JAMON P/ ARROLLADO (2000g)</v>
          </cell>
          <cell r="C300" t="str">
            <v>KILO</v>
          </cell>
          <cell r="D300" t="str">
            <v>GRAMO</v>
          </cell>
          <cell r="E300">
            <v>3053.0307908769746</v>
          </cell>
          <cell r="F300">
            <v>3.0530307908769747</v>
          </cell>
          <cell r="G300">
            <v>6.1319432886334617</v>
          </cell>
          <cell r="H300">
            <v>6.1319432886334617E-3</v>
          </cell>
          <cell r="I300">
            <v>74.597701149425291</v>
          </cell>
          <cell r="J300">
            <v>7.4597701149425294E-2</v>
          </cell>
        </row>
        <row r="301">
          <cell r="A301" t="str">
            <v>95230</v>
          </cell>
          <cell r="B301" t="str">
            <v>ARROLLADO DE JAMON (UND)</v>
          </cell>
          <cell r="C301" t="str">
            <v>UND</v>
          </cell>
          <cell r="D301" t="str">
            <v>UND</v>
          </cell>
          <cell r="E301">
            <v>122.67460640985297</v>
          </cell>
          <cell r="F301">
            <v>122.67460640985297</v>
          </cell>
          <cell r="G301">
            <v>1.2535177289265251</v>
          </cell>
          <cell r="H301">
            <v>1.2535177289265251</v>
          </cell>
          <cell r="I301">
            <v>33.979038314581437</v>
          </cell>
          <cell r="J301">
            <v>33.979038314581437</v>
          </cell>
        </row>
        <row r="302">
          <cell r="A302" t="str">
            <v>95475</v>
          </cell>
          <cell r="B302" t="str">
            <v>PAÑUELO ESPINACA C/RICOTTA (UND)</v>
          </cell>
          <cell r="C302" t="str">
            <v>UND</v>
          </cell>
          <cell r="D302" t="str">
            <v>UND</v>
          </cell>
          <cell r="E302">
            <v>137.21388281956311</v>
          </cell>
          <cell r="F302">
            <v>137.21388281956311</v>
          </cell>
          <cell r="G302">
            <v>0.72944441322726261</v>
          </cell>
          <cell r="H302">
            <v>0.72944441322726261</v>
          </cell>
          <cell r="I302">
            <v>36.400315884852304</v>
          </cell>
          <cell r="J302">
            <v>36.400315884852304</v>
          </cell>
        </row>
        <row r="303">
          <cell r="A303" t="str">
            <v>95446</v>
          </cell>
          <cell r="B303" t="str">
            <v>CANASTITA DULCE S/RELLENO (UND)</v>
          </cell>
          <cell r="C303" t="str">
            <v>UND</v>
          </cell>
          <cell r="D303" t="str">
            <v>UND</v>
          </cell>
          <cell r="E303">
            <v>23.819677581492538</v>
          </cell>
          <cell r="F303">
            <v>23.819677581492538</v>
          </cell>
          <cell r="G303">
            <v>0.23133632153518124</v>
          </cell>
          <cell r="H303">
            <v>0.23133632153518124</v>
          </cell>
          <cell r="I303">
            <v>13.292338308457712</v>
          </cell>
          <cell r="J303">
            <v>13.292338308457712</v>
          </cell>
        </row>
        <row r="304">
          <cell r="A304" t="str">
            <v>95253</v>
          </cell>
          <cell r="B304" t="str">
            <v>PLANCHA BROWNIE (1950g)</v>
          </cell>
          <cell r="C304" t="str">
            <v>UND</v>
          </cell>
          <cell r="D304" t="str">
            <v>UND</v>
          </cell>
          <cell r="E304">
            <v>3077.5122504999999</v>
          </cell>
          <cell r="F304">
            <v>3077.5122504999999</v>
          </cell>
          <cell r="G304">
            <v>33.108337615277776</v>
          </cell>
          <cell r="H304">
            <v>33.108337615277776</v>
          </cell>
          <cell r="I304">
            <v>184.57847222222222</v>
          </cell>
          <cell r="J304">
            <v>184.57847222222222</v>
          </cell>
        </row>
        <row r="305">
          <cell r="A305" t="str">
            <v>95519</v>
          </cell>
          <cell r="B305" t="str">
            <v>ROSQUETE VAINILLA BUCCA (1200g)</v>
          </cell>
          <cell r="C305" t="str">
            <v>UND</v>
          </cell>
          <cell r="D305" t="str">
            <v>UND</v>
          </cell>
          <cell r="E305">
            <v>1223.9160074044096</v>
          </cell>
          <cell r="F305">
            <v>1223.9160074044096</v>
          </cell>
          <cell r="G305">
            <v>24.193430851167854</v>
          </cell>
          <cell r="H305">
            <v>24.193430851167854</v>
          </cell>
          <cell r="I305">
            <v>40.990017742806444</v>
          </cell>
          <cell r="J305">
            <v>40.990017742806444</v>
          </cell>
        </row>
        <row r="306">
          <cell r="A306" t="str">
            <v>96235</v>
          </cell>
          <cell r="B306" t="str">
            <v>CANASTA REDONDA (30g)</v>
          </cell>
          <cell r="C306" t="str">
            <v>UND</v>
          </cell>
          <cell r="D306" t="str">
            <v>UND</v>
          </cell>
          <cell r="E306">
            <v>55.485211661052638</v>
          </cell>
          <cell r="F306">
            <v>55.485211661052638</v>
          </cell>
          <cell r="G306">
            <v>0.41374383057644121</v>
          </cell>
          <cell r="H306">
            <v>0.41374383057644121</v>
          </cell>
          <cell r="I306">
            <v>20.223076923076921</v>
          </cell>
          <cell r="J306">
            <v>20.223076923076921</v>
          </cell>
        </row>
        <row r="307">
          <cell r="A307" t="str">
            <v>96285</v>
          </cell>
          <cell r="B307" t="str">
            <v>ROSQUETE CHOCOLATE (50g)</v>
          </cell>
          <cell r="C307" t="str">
            <v>UND</v>
          </cell>
          <cell r="D307" t="str">
            <v>UND</v>
          </cell>
          <cell r="E307">
            <v>64.920020827704391</v>
          </cell>
          <cell r="F307">
            <v>64.920020827704391</v>
          </cell>
          <cell r="G307">
            <v>1.6945652336553261</v>
          </cell>
          <cell r="H307">
            <v>1.6945652336553261</v>
          </cell>
          <cell r="I307">
            <v>8.6622596368573692</v>
          </cell>
          <cell r="J307">
            <v>8.6622596368573692</v>
          </cell>
        </row>
        <row r="308">
          <cell r="A308" t="str">
            <v>95372</v>
          </cell>
          <cell r="B308" t="str">
            <v>BASE PREMEZCLA TURRON ALMENDRA (3047g)</v>
          </cell>
          <cell r="C308" t="str">
            <v>TANDA</v>
          </cell>
          <cell r="D308" t="str">
            <v>GRAMO</v>
          </cell>
          <cell r="E308">
            <v>1537.6218530000001</v>
          </cell>
          <cell r="F308">
            <v>0.50463467443386945</v>
          </cell>
          <cell r="G308">
            <v>21.822725555555557</v>
          </cell>
          <cell r="H308">
            <v>7.1620366116033991E-3</v>
          </cell>
          <cell r="I308">
            <v>110</v>
          </cell>
          <cell r="J308">
            <v>3.6101083032490974E-2</v>
          </cell>
        </row>
        <row r="309">
          <cell r="A309" t="str">
            <v>96358</v>
          </cell>
          <cell r="B309" t="str">
            <v>BATIDO P/TURRON ALMENDRAS (5760g)</v>
          </cell>
          <cell r="C309" t="str">
            <v>KILO</v>
          </cell>
          <cell r="D309" t="str">
            <v>GRAMO</v>
          </cell>
          <cell r="E309">
            <v>2349.0428222222222</v>
          </cell>
          <cell r="F309">
            <v>2.3490428222222222</v>
          </cell>
          <cell r="G309">
            <v>3.7886732253086417</v>
          </cell>
          <cell r="H309">
            <v>3.7886732253086417E-3</v>
          </cell>
          <cell r="I309">
            <v>76.736111111111114</v>
          </cell>
          <cell r="J309">
            <v>7.6736111111111116E-2</v>
          </cell>
        </row>
        <row r="310">
          <cell r="A310" t="str">
            <v>95103</v>
          </cell>
          <cell r="B310" t="str">
            <v>MEDIA LUNA CUBIERTA CHOCOLATE LECHE (UND)</v>
          </cell>
          <cell r="C310" t="str">
            <v>UND</v>
          </cell>
          <cell r="D310" t="str">
            <v>UND</v>
          </cell>
          <cell r="E310">
            <v>25.479206085055701</v>
          </cell>
          <cell r="F310">
            <v>25.479206085055701</v>
          </cell>
          <cell r="G310">
            <v>0.23606913072852082</v>
          </cell>
          <cell r="H310">
            <v>0.23606913072852082</v>
          </cell>
          <cell r="I310">
            <v>4.1430462944096549</v>
          </cell>
          <cell r="J310">
            <v>4.1430462944096549</v>
          </cell>
        </row>
        <row r="311">
          <cell r="A311" t="str">
            <v>95369</v>
          </cell>
          <cell r="B311" t="str">
            <v>BASE PREMEZCLA QUEQUE SECO (3320g)</v>
          </cell>
          <cell r="C311" t="str">
            <v>TANDA</v>
          </cell>
          <cell r="D311" t="str">
            <v>GRAMO</v>
          </cell>
          <cell r="E311">
            <v>5261.1257500000002</v>
          </cell>
          <cell r="F311">
            <v>1.5846764307228915</v>
          </cell>
          <cell r="G311">
            <v>21.822757777777777</v>
          </cell>
          <cell r="H311">
            <v>6.5731198125836676E-3</v>
          </cell>
          <cell r="I311">
            <v>84</v>
          </cell>
          <cell r="J311">
            <v>2.5301204819277109E-2</v>
          </cell>
        </row>
        <row r="312">
          <cell r="A312" t="str">
            <v>95345</v>
          </cell>
          <cell r="B312" t="str">
            <v>ROSQUETE QQ SECO C/PASAS (750g)</v>
          </cell>
          <cell r="C312" t="str">
            <v>UND</v>
          </cell>
          <cell r="D312" t="str">
            <v>UND</v>
          </cell>
          <cell r="E312">
            <v>1347.2006525167783</v>
          </cell>
          <cell r="F312">
            <v>1347.2006525167783</v>
          </cell>
          <cell r="G312">
            <v>9.9081243153297116</v>
          </cell>
          <cell r="H312">
            <v>9.9081243153297116</v>
          </cell>
          <cell r="I312">
            <v>170.27037392138064</v>
          </cell>
          <cell r="J312">
            <v>170.27037392138064</v>
          </cell>
        </row>
        <row r="313">
          <cell r="A313" t="str">
            <v>95112</v>
          </cell>
          <cell r="B313" t="str">
            <v>ROSQUETE VAINILLA PERSONAL BUCCA (200g)</v>
          </cell>
          <cell r="C313" t="str">
            <v>UND</v>
          </cell>
          <cell r="D313" t="str">
            <v>UND</v>
          </cell>
          <cell r="E313">
            <v>203.19643881318322</v>
          </cell>
          <cell r="F313">
            <v>203.19643881318322</v>
          </cell>
          <cell r="G313">
            <v>4.392269724166896</v>
          </cell>
          <cell r="H313">
            <v>4.392269724166896</v>
          </cell>
          <cell r="I313">
            <v>10.814359975068081</v>
          </cell>
          <cell r="J313">
            <v>10.814359975068081</v>
          </cell>
        </row>
        <row r="314">
          <cell r="A314" t="str">
            <v>96185</v>
          </cell>
          <cell r="B314" t="str">
            <v>BASE PREMEZCLA SOUFLE (6.035 Kg)</v>
          </cell>
          <cell r="C314" t="str">
            <v>TANDA</v>
          </cell>
          <cell r="D314" t="str">
            <v>GRAMO</v>
          </cell>
          <cell r="E314">
            <v>10445.845386000001</v>
          </cell>
          <cell r="F314">
            <v>1.7311642999668546</v>
          </cell>
          <cell r="G314">
            <v>11.022725555555557</v>
          </cell>
          <cell r="H314">
            <v>1.8267692336021804E-3</v>
          </cell>
          <cell r="I314">
            <v>165</v>
          </cell>
          <cell r="J314">
            <v>2.7345044746436859E-2</v>
          </cell>
        </row>
        <row r="315">
          <cell r="A315" t="str">
            <v>96332</v>
          </cell>
          <cell r="B315" t="str">
            <v>BATIDO P/ROSQUETE SOUFFLE (11100g)</v>
          </cell>
          <cell r="C315" t="str">
            <v>KILO</v>
          </cell>
          <cell r="D315" t="str">
            <v>GRAMO</v>
          </cell>
          <cell r="E315">
            <v>1603.841223963964</v>
          </cell>
          <cell r="F315">
            <v>1.6038412239639641</v>
          </cell>
          <cell r="G315">
            <v>0.99303833833833832</v>
          </cell>
          <cell r="H315">
            <v>9.9303833833833837E-4</v>
          </cell>
          <cell r="I315">
            <v>49.549549549549553</v>
          </cell>
          <cell r="J315">
            <v>4.954954954954955E-2</v>
          </cell>
        </row>
        <row r="316">
          <cell r="A316" t="str">
            <v>90100142</v>
          </cell>
          <cell r="B316" t="str">
            <v>SAL (5000G)</v>
          </cell>
          <cell r="C316" t="str">
            <v>BOLSA</v>
          </cell>
          <cell r="D316" t="str">
            <v>GRAMO</v>
          </cell>
          <cell r="E316">
            <v>940</v>
          </cell>
          <cell r="F316">
            <v>0.188</v>
          </cell>
          <cell r="G316">
            <v>13.475999999999999</v>
          </cell>
          <cell r="H316">
            <v>2.6952E-3</v>
          </cell>
          <cell r="I316">
            <v>55</v>
          </cell>
          <cell r="J316">
            <v>1.0999999999999999E-2</v>
          </cell>
        </row>
        <row r="317">
          <cell r="A317" t="str">
            <v>907000219</v>
          </cell>
          <cell r="B317" t="str">
            <v>Rosquete Brownie Menta 1000g</v>
          </cell>
          <cell r="C317" t="str">
            <v>UND</v>
          </cell>
          <cell r="D317" t="str">
            <v>UND</v>
          </cell>
          <cell r="E317">
            <v>3608.2294588235295</v>
          </cell>
          <cell r="F317">
            <v>3608.2294588235295</v>
          </cell>
          <cell r="G317">
            <v>54.990309948412701</v>
          </cell>
          <cell r="H317">
            <v>54.990309948412701</v>
          </cell>
          <cell r="I317">
            <v>120.3125</v>
          </cell>
          <cell r="J317">
            <v>120.3125</v>
          </cell>
        </row>
        <row r="318">
          <cell r="A318" t="str">
            <v>907000217</v>
          </cell>
          <cell r="B318" t="str">
            <v>RELLENO CHOCOMENTA</v>
          </cell>
          <cell r="C318" t="str">
            <v>KILO</v>
          </cell>
          <cell r="D318" t="str">
            <v>KILO</v>
          </cell>
          <cell r="E318">
            <v>3261.1301544444445</v>
          </cell>
          <cell r="F318">
            <v>3.2611301544444444</v>
          </cell>
          <cell r="G318">
            <v>0</v>
          </cell>
          <cell r="H318">
            <v>0</v>
          </cell>
          <cell r="I318">
            <v>275</v>
          </cell>
          <cell r="J318">
            <v>0.27500000000000002</v>
          </cell>
        </row>
        <row r="319">
          <cell r="A319" t="str">
            <v>910000005</v>
          </cell>
          <cell r="B319" t="str">
            <v>MEZCLA DULCE LECHE CON AGUA</v>
          </cell>
          <cell r="C319" t="str">
            <v>TANDA</v>
          </cell>
          <cell r="D319" t="str">
            <v>GRAMO</v>
          </cell>
          <cell r="E319">
            <v>897.49288799999999</v>
          </cell>
          <cell r="F319">
            <v>1.49582148</v>
          </cell>
          <cell r="G319">
            <v>49.681000000000004</v>
          </cell>
          <cell r="H319">
            <v>8.2801666666666676E-2</v>
          </cell>
          <cell r="I319">
            <v>55</v>
          </cell>
          <cell r="J319">
            <v>9.166666666666666E-2</v>
          </cell>
        </row>
        <row r="320">
          <cell r="A320" t="str">
            <v>902000066</v>
          </cell>
          <cell r="B320" t="str">
            <v>SUSPIRO QUEBRADO 7650 g</v>
          </cell>
          <cell r="C320" t="str">
            <v>TANDA</v>
          </cell>
          <cell r="D320" t="str">
            <v>GRAMO</v>
          </cell>
          <cell r="E320">
            <v>19353.380484982161</v>
          </cell>
          <cell r="F320">
            <v>2.5298536581676028</v>
          </cell>
          <cell r="G320">
            <v>28.481995768033212</v>
          </cell>
          <cell r="H320">
            <v>3.7231367017036879E-3</v>
          </cell>
          <cell r="I320">
            <v>2470.4311925180209</v>
          </cell>
          <cell r="J320">
            <v>0.32293218202849949</v>
          </cell>
        </row>
        <row r="321">
          <cell r="A321" t="str">
            <v>90100115</v>
          </cell>
          <cell r="B321" t="str">
            <v>SALSA NARANJA (TANDA= 500 g)</v>
          </cell>
          <cell r="C321" t="str">
            <v>TANDA</v>
          </cell>
          <cell r="D321" t="str">
            <v>GRAMO</v>
          </cell>
          <cell r="E321">
            <v>17252.58664899736</v>
          </cell>
          <cell r="F321">
            <v>1.3802069319197887</v>
          </cell>
          <cell r="G321">
            <v>0</v>
          </cell>
          <cell r="H321">
            <v>0</v>
          </cell>
          <cell r="I321">
            <v>440</v>
          </cell>
          <cell r="J321">
            <v>3.5200000000000002E-2</v>
          </cell>
        </row>
        <row r="322">
          <cell r="A322" t="str">
            <v>907000226</v>
          </cell>
          <cell r="B322" t="str">
            <v>ROSQUETE CHOCOLATE BUCCA 800G</v>
          </cell>
          <cell r="C322" t="str">
            <v>UND</v>
          </cell>
          <cell r="D322" t="str">
            <v>UND</v>
          </cell>
          <cell r="E322">
            <v>612.44387157698372</v>
          </cell>
          <cell r="F322">
            <v>612.44387157698372</v>
          </cell>
          <cell r="G322">
            <v>13.45860305381556</v>
          </cell>
          <cell r="H322">
            <v>13.45860305381556</v>
          </cell>
          <cell r="I322">
            <v>43.217561521252797</v>
          </cell>
          <cell r="J322">
            <v>43.217561521252797</v>
          </cell>
        </row>
        <row r="323">
          <cell r="A323" t="str">
            <v>901000036</v>
          </cell>
          <cell r="B323" t="str">
            <v>PREMEZCLA VAINILLA RICH 170G</v>
          </cell>
          <cell r="C323" t="str">
            <v>TANDA</v>
          </cell>
          <cell r="D323" t="str">
            <v>GRAMO</v>
          </cell>
          <cell r="E323">
            <v>154.22406599999999</v>
          </cell>
          <cell r="F323">
            <v>0.90720038823529403</v>
          </cell>
          <cell r="G323">
            <v>7.5947800000000001</v>
          </cell>
          <cell r="H323">
            <v>4.4675176470588239E-2</v>
          </cell>
          <cell r="I323">
            <v>55</v>
          </cell>
          <cell r="J323">
            <v>0.3235294117647059</v>
          </cell>
        </row>
        <row r="324">
          <cell r="A324" t="str">
            <v>902000024</v>
          </cell>
          <cell r="B324" t="str">
            <v>Batido Vainilla Rich FAS 24000g</v>
          </cell>
          <cell r="C324" t="str">
            <v>TANDA</v>
          </cell>
          <cell r="D324" t="str">
            <v>GRAMO</v>
          </cell>
          <cell r="E324">
            <v>31287.540585694296</v>
          </cell>
          <cell r="F324">
            <v>1.3036475244039289</v>
          </cell>
          <cell r="G324">
            <v>7.594780000000001</v>
          </cell>
          <cell r="H324">
            <v>3.1644916666666669E-4</v>
          </cell>
          <cell r="I324">
            <v>495</v>
          </cell>
          <cell r="J324">
            <v>2.0625000000000001E-2</v>
          </cell>
        </row>
        <row r="325">
          <cell r="A325" t="str">
            <v>903000064</v>
          </cell>
          <cell r="B325" t="str">
            <v>ROSQUETE VAINILLA RICH 900G</v>
          </cell>
          <cell r="C325" t="str">
            <v>UND</v>
          </cell>
          <cell r="D325" t="str">
            <v>UND</v>
          </cell>
          <cell r="E325">
            <v>1215.8360731204052</v>
          </cell>
          <cell r="F325">
            <v>1215.8360731204052</v>
          </cell>
          <cell r="G325">
            <v>14.598128740836346</v>
          </cell>
          <cell r="H325">
            <v>14.598128740836346</v>
          </cell>
          <cell r="I325">
            <v>57.945921528136296</v>
          </cell>
          <cell r="J325">
            <v>57.945921528136296</v>
          </cell>
        </row>
        <row r="326">
          <cell r="A326" t="str">
            <v>901000005</v>
          </cell>
          <cell r="B326" t="str">
            <v xml:space="preserve">PREMEZCLA P/BATIDO CHOCO PASTELERO </v>
          </cell>
          <cell r="C326" t="str">
            <v>TANDA</v>
          </cell>
          <cell r="D326" t="str">
            <v>GRAMO</v>
          </cell>
          <cell r="E326">
            <v>4095.2116799999994</v>
          </cell>
          <cell r="F326">
            <v>1.2546604411764704</v>
          </cell>
          <cell r="G326">
            <v>51.239250509457278</v>
          </cell>
          <cell r="H326">
            <v>1.5698299788436666E-2</v>
          </cell>
          <cell r="I326">
            <v>110</v>
          </cell>
          <cell r="J326">
            <v>3.3700980392156861E-2</v>
          </cell>
        </row>
        <row r="327">
          <cell r="A327" t="str">
            <v>902000003</v>
          </cell>
          <cell r="B327" t="str">
            <v>BATIDO CHOCOLATE PASTELERO REAL 32400G</v>
          </cell>
          <cell r="C327" t="str">
            <v>TANDA</v>
          </cell>
          <cell r="D327" t="str">
            <v>GRAMO</v>
          </cell>
          <cell r="E327">
            <v>35227.057306764706</v>
          </cell>
          <cell r="F327">
            <v>1.0872548551470589</v>
          </cell>
          <cell r="G327">
            <v>328.81658736859441</v>
          </cell>
          <cell r="H327">
            <v>1.0148660103968964E-2</v>
          </cell>
          <cell r="I327">
            <v>1153.9007352941176</v>
          </cell>
          <cell r="J327">
            <v>3.5614220225127086E-2</v>
          </cell>
        </row>
        <row r="328">
          <cell r="A328" t="str">
            <v>907000204</v>
          </cell>
          <cell r="B328" t="str">
            <v>PLANCHA CHOCOLATE PASTELERO REAL 1300g</v>
          </cell>
          <cell r="C328" t="str">
            <v>UND</v>
          </cell>
          <cell r="D328" t="str">
            <v>UND</v>
          </cell>
          <cell r="E328">
            <v>1441.5558928626554</v>
          </cell>
          <cell r="F328">
            <v>1441.5558928626554</v>
          </cell>
          <cell r="G328">
            <v>13.796570919739926</v>
          </cell>
          <cell r="H328">
            <v>13.796570919739926</v>
          </cell>
          <cell r="I328">
            <v>132.30935985831189</v>
          </cell>
          <cell r="J328">
            <v>132.30935985831189</v>
          </cell>
        </row>
        <row r="329">
          <cell r="A329" t="str">
            <v>907000211</v>
          </cell>
          <cell r="B329" t="str">
            <v>ROSQUETE MELOCOTON MED 300G</v>
          </cell>
          <cell r="C329" t="str">
            <v>UND</v>
          </cell>
          <cell r="D329" t="str">
            <v>UND</v>
          </cell>
          <cell r="E329">
            <v>346.25307546532559</v>
          </cell>
          <cell r="F329">
            <v>346.25307546532559</v>
          </cell>
          <cell r="G329">
            <v>7.3045465006072225</v>
          </cell>
          <cell r="H329">
            <v>7.3045465006072225</v>
          </cell>
          <cell r="I329">
            <v>18.950701073484009</v>
          </cell>
          <cell r="J329">
            <v>18.950701073484009</v>
          </cell>
        </row>
        <row r="330">
          <cell r="A330" t="str">
            <v>90100219</v>
          </cell>
          <cell r="B330" t="str">
            <v>PREMEZCLA TORTA DE TRES LECHES RP 4527G</v>
          </cell>
          <cell r="C330" t="str">
            <v>TANDA</v>
          </cell>
          <cell r="D330" t="str">
            <v>GRAMO</v>
          </cell>
          <cell r="E330">
            <v>2138.8148460000007</v>
          </cell>
          <cell r="F330">
            <v>0.47245744333996037</v>
          </cell>
          <cell r="G330">
            <v>42.57118777777778</v>
          </cell>
          <cell r="H330">
            <v>9.4038409051861675E-3</v>
          </cell>
          <cell r="I330">
            <v>165</v>
          </cell>
          <cell r="J330">
            <v>3.6447978793903248E-2</v>
          </cell>
        </row>
        <row r="331">
          <cell r="A331" t="str">
            <v>90100220</v>
          </cell>
          <cell r="B331" t="str">
            <v>BATIDO TORTA DE TRES LECHES RP 9600G</v>
          </cell>
          <cell r="C331" t="str">
            <v>TANDA</v>
          </cell>
          <cell r="D331" t="str">
            <v>GRAMO</v>
          </cell>
          <cell r="E331">
            <v>5277.9678302260372</v>
          </cell>
          <cell r="F331">
            <v>0.54978831564854558</v>
          </cell>
          <cell r="G331">
            <v>165</v>
          </cell>
          <cell r="H331">
            <v>1.7187500000000001E-2</v>
          </cell>
          <cell r="I331">
            <v>1815</v>
          </cell>
          <cell r="J331">
            <v>0.18906249999999999</v>
          </cell>
        </row>
        <row r="332">
          <cell r="A332" t="str">
            <v>90100275</v>
          </cell>
          <cell r="B332" t="str">
            <v>ROSQUETE GUSTITO 4 LECHES 90g</v>
          </cell>
          <cell r="C332" t="str">
            <v>UND</v>
          </cell>
          <cell r="D332" t="str">
            <v>UND</v>
          </cell>
          <cell r="E332">
            <v>49.792149341755071</v>
          </cell>
          <cell r="F332">
            <v>49.792149341755071</v>
          </cell>
          <cell r="G332">
            <v>62.56504561844865</v>
          </cell>
          <cell r="H332">
            <v>62.56504561844865</v>
          </cell>
          <cell r="I332">
            <v>27.5</v>
          </cell>
          <cell r="J332">
            <v>27.5</v>
          </cell>
        </row>
        <row r="333">
          <cell r="A333" t="str">
            <v>90100161</v>
          </cell>
          <cell r="B333" t="str">
            <v>PREMEZCLA TORTA QQ CRISTAL (8176g)</v>
          </cell>
          <cell r="C333" t="str">
            <v>TANDA</v>
          </cell>
          <cell r="D333" t="str">
            <v>GRAMO</v>
          </cell>
          <cell r="E333">
            <v>3492.2954479999999</v>
          </cell>
          <cell r="F333">
            <v>0.42713985420743639</v>
          </cell>
          <cell r="G333">
            <v>62.945187777777775</v>
          </cell>
          <cell r="H333">
            <v>7.6987754131332894E-3</v>
          </cell>
          <cell r="I333">
            <v>192.5</v>
          </cell>
          <cell r="J333">
            <v>2.3544520547945206E-2</v>
          </cell>
        </row>
        <row r="334">
          <cell r="A334" t="str">
            <v>90100225</v>
          </cell>
          <cell r="B334" t="str">
            <v>BATIDO CHOCOLATE 27500g</v>
          </cell>
          <cell r="C334" t="str">
            <v>TANDA</v>
          </cell>
          <cell r="D334" t="str">
            <v>GRAMO</v>
          </cell>
          <cell r="E334">
            <v>38581.311737905038</v>
          </cell>
          <cell r="F334">
            <v>1.4029567904692741</v>
          </cell>
          <cell r="G334">
            <v>0</v>
          </cell>
          <cell r="H334">
            <v>0</v>
          </cell>
          <cell r="I334">
            <v>440</v>
          </cell>
          <cell r="J334">
            <v>1.6E-2</v>
          </cell>
        </row>
        <row r="335">
          <cell r="A335" t="str">
            <v>90100226</v>
          </cell>
          <cell r="B335" t="str">
            <v>ROSQUETE DE CHOCOLATE 1100g</v>
          </cell>
          <cell r="C335" t="str">
            <v>UND</v>
          </cell>
          <cell r="D335" t="str">
            <v>UND</v>
          </cell>
          <cell r="E335">
            <v>1564.0343487108323</v>
          </cell>
          <cell r="F335">
            <v>1564.0343487108323</v>
          </cell>
          <cell r="G335">
            <v>0.28353251677852354</v>
          </cell>
          <cell r="H335">
            <v>0.28353251677852354</v>
          </cell>
          <cell r="I335">
            <v>95.98422818791947</v>
          </cell>
          <cell r="J335">
            <v>95.98422818791947</v>
          </cell>
        </row>
        <row r="336">
          <cell r="A336" t="str">
            <v>90100233</v>
          </cell>
          <cell r="B336" t="str">
            <v>BORONA CHOCOLATE ROSTI POLLOS 3900G</v>
          </cell>
          <cell r="C336" t="str">
            <v>TANDA</v>
          </cell>
          <cell r="D336" t="str">
            <v>GRAMO</v>
          </cell>
          <cell r="E336">
            <v>6256.1373948433293</v>
          </cell>
          <cell r="F336">
            <v>1.6041377935495715</v>
          </cell>
          <cell r="G336">
            <v>79.289130067114101</v>
          </cell>
          <cell r="H336">
            <v>2.0330546171054897E-2</v>
          </cell>
          <cell r="I336">
            <v>1153.9369127516779</v>
          </cell>
          <cell r="J336">
            <v>0.29588125967991741</v>
          </cell>
        </row>
        <row r="337">
          <cell r="A337" t="str">
            <v>90100234</v>
          </cell>
          <cell r="B337" t="str">
            <v>BATIDO QUEQUE ARCOIRIS 33930</v>
          </cell>
          <cell r="C337" t="str">
            <v>TANDA</v>
          </cell>
          <cell r="D337" t="str">
            <v>GRAMO</v>
          </cell>
          <cell r="E337">
            <v>40764.431855714094</v>
          </cell>
          <cell r="F337">
            <v>1.2014274051197789</v>
          </cell>
          <cell r="G337">
            <v>79.289130067114101</v>
          </cell>
          <cell r="H337">
            <v>2.3368443874775746E-3</v>
          </cell>
          <cell r="I337">
            <v>1483.9369127516779</v>
          </cell>
          <cell r="J337">
            <v>4.3735246470724375E-2</v>
          </cell>
        </row>
        <row r="338">
          <cell r="A338" t="str">
            <v>901000106</v>
          </cell>
          <cell r="B338" t="str">
            <v>JAMON PAVO REBANADO 2870G</v>
          </cell>
          <cell r="C338" t="str">
            <v>TANDA</v>
          </cell>
          <cell r="D338" t="str">
            <v>GRAMO</v>
          </cell>
          <cell r="E338">
            <v>8490.6059999999998</v>
          </cell>
          <cell r="F338">
            <v>2.9583993031358884</v>
          </cell>
          <cell r="G338">
            <v>294.39000000000004</v>
          </cell>
          <cell r="H338">
            <v>0.10257491289198607</v>
          </cell>
          <cell r="I338">
            <v>440</v>
          </cell>
          <cell r="J338">
            <v>0.15331010452961671</v>
          </cell>
        </row>
        <row r="339">
          <cell r="A339" t="str">
            <v>90100221</v>
          </cell>
          <cell r="B339" t="str">
            <v>ROSQUETE TORTA DE TRES LECHES RP (960 gr)</v>
          </cell>
          <cell r="C339" t="str">
            <v>UND</v>
          </cell>
          <cell r="D339" t="str">
            <v>UND</v>
          </cell>
          <cell r="E339">
            <v>527.79678302260368</v>
          </cell>
          <cell r="F339">
            <v>527.79678302260368</v>
          </cell>
          <cell r="G339">
            <v>406.73166666666668</v>
          </cell>
          <cell r="H339">
            <v>406.73166666666668</v>
          </cell>
          <cell r="I339">
            <v>225.5</v>
          </cell>
          <cell r="J339">
            <v>225.5</v>
          </cell>
        </row>
        <row r="340">
          <cell r="A340" t="str">
            <v>90100222</v>
          </cell>
          <cell r="B340" t="str">
            <v>MEZCLA DE TRES LECHES RP</v>
          </cell>
          <cell r="C340" t="str">
            <v>TANDA</v>
          </cell>
          <cell r="D340" t="str">
            <v>MIlilitro</v>
          </cell>
          <cell r="E340">
            <v>12415.167355350066</v>
          </cell>
          <cell r="F340">
            <v>2.0691945592250112</v>
          </cell>
          <cell r="G340">
            <v>0</v>
          </cell>
          <cell r="H340">
            <v>0</v>
          </cell>
          <cell r="I340">
            <v>275</v>
          </cell>
          <cell r="J340">
            <v>4.583333333333333E-2</v>
          </cell>
        </row>
        <row r="341">
          <cell r="A341" t="str">
            <v>90100223</v>
          </cell>
          <cell r="B341" t="str">
            <v>MERENGUE PARA TRES LECHES RP</v>
          </cell>
          <cell r="C341" t="str">
            <v>TANDA</v>
          </cell>
          <cell r="D341" t="str">
            <v>GRAMO</v>
          </cell>
          <cell r="E341">
            <v>3761.7899899999998</v>
          </cell>
          <cell r="F341">
            <v>1.07479714</v>
          </cell>
          <cell r="G341">
            <v>3.0708489714285713E-4</v>
          </cell>
          <cell r="H341">
            <v>8.7738542040816329E-8</v>
          </cell>
          <cell r="I341">
            <v>1100</v>
          </cell>
          <cell r="J341">
            <v>0.31428571428571428</v>
          </cell>
        </row>
        <row r="342">
          <cell r="A342" t="str">
            <v>901000006</v>
          </cell>
          <cell r="B342" t="str">
            <v xml:space="preserve">BASE PREMEZCLA P/BATIDO VAINILLA PASTELERO </v>
          </cell>
          <cell r="C342" t="str">
            <v>TANDA</v>
          </cell>
          <cell r="D342" t="str">
            <v>GRAMO</v>
          </cell>
          <cell r="E342">
            <v>4095.2116799999999</v>
          </cell>
          <cell r="F342">
            <v>1.2546604411764706</v>
          </cell>
          <cell r="G342">
            <v>19.096393366600132</v>
          </cell>
          <cell r="H342">
            <v>5.8506107128064129E-3</v>
          </cell>
          <cell r="I342">
            <v>110</v>
          </cell>
          <cell r="J342">
            <v>3.3700980392156861E-2</v>
          </cell>
        </row>
        <row r="343">
          <cell r="A343" t="str">
            <v>905000094</v>
          </cell>
          <cell r="B343" t="str">
            <v>Ensamble media torta chocolate</v>
          </cell>
          <cell r="C343" t="str">
            <v>UND</v>
          </cell>
          <cell r="D343" t="str">
            <v>UND</v>
          </cell>
          <cell r="E343">
            <v>1050.4464617677095</v>
          </cell>
          <cell r="F343">
            <v>1050.4464617677095</v>
          </cell>
          <cell r="G343">
            <v>7.8435866075199412</v>
          </cell>
          <cell r="H343">
            <v>7.8435866075199412</v>
          </cell>
          <cell r="I343">
            <v>129.29891730862488</v>
          </cell>
          <cell r="J343">
            <v>129.29891730862488</v>
          </cell>
        </row>
        <row r="344">
          <cell r="A344" t="str">
            <v>905000095</v>
          </cell>
          <cell r="B344" t="str">
            <v>Ensamble media torta melocoton</v>
          </cell>
          <cell r="C344" t="str">
            <v xml:space="preserve">UND </v>
          </cell>
          <cell r="D344" t="str">
            <v>UND</v>
          </cell>
          <cell r="E344">
            <v>1028.5414935552374</v>
          </cell>
          <cell r="F344">
            <v>1028.5414935552374</v>
          </cell>
          <cell r="G344">
            <v>6.8830884301585966</v>
          </cell>
          <cell r="H344">
            <v>6.8830884301585966</v>
          </cell>
          <cell r="I344">
            <v>126.5233770208436</v>
          </cell>
          <cell r="J344">
            <v>126.5233770208436</v>
          </cell>
        </row>
        <row r="345">
          <cell r="A345" t="str">
            <v>95342</v>
          </cell>
          <cell r="B345" t="str">
            <v>BASE Premezcla Batidos para Rosquete Super esponja</v>
          </cell>
          <cell r="C345" t="str">
            <v>TANDA</v>
          </cell>
          <cell r="D345" t="str">
            <v>GRAMO</v>
          </cell>
          <cell r="E345">
            <v>536.52239999999995</v>
          </cell>
          <cell r="F345">
            <v>4.4710199999999993</v>
          </cell>
          <cell r="G345">
            <v>4.421616766467066</v>
          </cell>
          <cell r="H345">
            <v>3.6846806387225553E-2</v>
          </cell>
          <cell r="I345">
            <v>27.5</v>
          </cell>
          <cell r="J345">
            <v>0.22916666666666666</v>
          </cell>
        </row>
        <row r="346">
          <cell r="A346" t="str">
            <v>95343</v>
          </cell>
          <cell r="B346" t="str">
            <v>BATIDO Super Esponja (40120g</v>
          </cell>
          <cell r="C346" t="str">
            <v>TANDA</v>
          </cell>
          <cell r="D346" t="str">
            <v>GRAMO</v>
          </cell>
          <cell r="E346">
            <v>53885.640047058827</v>
          </cell>
          <cell r="F346">
            <v>1.3431116661779368</v>
          </cell>
          <cell r="G346">
            <v>4.421616766467066</v>
          </cell>
          <cell r="H346">
            <v>1.1020978979229976E-4</v>
          </cell>
          <cell r="I346">
            <v>467.5</v>
          </cell>
          <cell r="J346">
            <v>1.1652542372881356E-2</v>
          </cell>
        </row>
        <row r="347">
          <cell r="A347" t="str">
            <v>907000035</v>
          </cell>
          <cell r="B347" t="str">
            <v>Rosquete Super Esponja 380g</v>
          </cell>
          <cell r="C347" t="str">
            <v>UND</v>
          </cell>
          <cell r="D347" t="str">
            <v>UND</v>
          </cell>
          <cell r="E347">
            <v>524.38269974552782</v>
          </cell>
          <cell r="F347">
            <v>524.38269974552782</v>
          </cell>
          <cell r="G347">
            <v>4.6211066985275187</v>
          </cell>
          <cell r="H347">
            <v>4.6211066985275187</v>
          </cell>
          <cell r="I347">
            <v>18.483375539635087</v>
          </cell>
          <cell r="J347">
            <v>18.483375539635087</v>
          </cell>
        </row>
        <row r="348">
          <cell r="A348" t="str">
            <v>907000200</v>
          </cell>
          <cell r="B348" t="str">
            <v>BATIDO P/ARROLLADO DULCE LECHE 3600G</v>
          </cell>
          <cell r="C348" t="str">
            <v>TANDA</v>
          </cell>
          <cell r="D348" t="str">
            <v>GRAMO</v>
          </cell>
          <cell r="E348">
            <v>3846.8646231243679</v>
          </cell>
          <cell r="F348">
            <v>1.0685735064234356</v>
          </cell>
          <cell r="G348">
            <v>24.200849944761391</v>
          </cell>
          <cell r="H348">
            <v>6.7224583179892753E-3</v>
          </cell>
          <cell r="I348">
            <v>342.14751426242867</v>
          </cell>
          <cell r="J348">
            <v>9.5040976184007961E-2</v>
          </cell>
        </row>
        <row r="349">
          <cell r="A349" t="str">
            <v>903000154</v>
          </cell>
          <cell r="B349" t="str">
            <v>RUEDA HOJALDRE EMPANADA DE POLLO PEQUEÑA</v>
          </cell>
          <cell r="C349" t="str">
            <v>UND</v>
          </cell>
          <cell r="D349" t="str">
            <v>UND</v>
          </cell>
          <cell r="E349">
            <v>17.692668599069446</v>
          </cell>
          <cell r="F349">
            <v>17.692668599069446</v>
          </cell>
          <cell r="G349">
            <v>7.3629137208274437E-2</v>
          </cell>
          <cell r="H349">
            <v>7.3629137208274437E-2</v>
          </cell>
          <cell r="I349">
            <v>11.189039828684258</v>
          </cell>
          <cell r="J349">
            <v>11.189039828684258</v>
          </cell>
        </row>
        <row r="350">
          <cell r="A350" t="str">
            <v>90100281</v>
          </cell>
          <cell r="B350" t="str">
            <v>Crema de Garbanzos 10000G</v>
          </cell>
          <cell r="C350" t="str">
            <v>TANDA</v>
          </cell>
          <cell r="D350" t="str">
            <v>GRAMO</v>
          </cell>
          <cell r="E350">
            <v>13062.089689729972</v>
          </cell>
          <cell r="F350">
            <v>1.3062089689729972</v>
          </cell>
          <cell r="G350">
            <v>69.513032603681182</v>
          </cell>
          <cell r="H350">
            <v>6.9513032603681184E-3</v>
          </cell>
          <cell r="I350">
            <v>1383.7719279201042</v>
          </cell>
          <cell r="J350">
            <v>0.13837719279201041</v>
          </cell>
        </row>
        <row r="351">
          <cell r="A351" t="str">
            <v>901000051</v>
          </cell>
          <cell r="B351" t="str">
            <v>Premezcla Pasta Piña(5262g) Spoon</v>
          </cell>
          <cell r="C351" t="str">
            <v>TANDA</v>
          </cell>
          <cell r="D351" t="str">
            <v>GRAMO</v>
          </cell>
          <cell r="E351">
            <v>4629.7639655999992</v>
          </cell>
          <cell r="F351">
            <v>0.87984872018243998</v>
          </cell>
          <cell r="G351">
            <v>28.572730555555559</v>
          </cell>
          <cell r="H351">
            <v>5.4300134085054274E-3</v>
          </cell>
          <cell r="I351">
            <v>275</v>
          </cell>
          <cell r="J351">
            <v>5.2261497529456483E-2</v>
          </cell>
        </row>
        <row r="352">
          <cell r="A352" t="str">
            <v>95466</v>
          </cell>
          <cell r="B352" t="str">
            <v>Pasta para empanada de piña</v>
          </cell>
          <cell r="C352" t="str">
            <v>TANDA</v>
          </cell>
          <cell r="D352" t="str">
            <v>GRAMO</v>
          </cell>
          <cell r="E352">
            <v>7170.5829880570664</v>
          </cell>
          <cell r="F352">
            <v>1.1636778623916044</v>
          </cell>
          <cell r="G352">
            <v>64.415063888888895</v>
          </cell>
          <cell r="H352">
            <v>1.0453596866096867E-2</v>
          </cell>
          <cell r="I352">
            <v>825</v>
          </cell>
          <cell r="J352">
            <v>0.13388510223953262</v>
          </cell>
        </row>
        <row r="353">
          <cell r="A353" t="str">
            <v>907000050</v>
          </cell>
          <cell r="B353" t="str">
            <v>ROSQUETE ARROLLADO 1000G</v>
          </cell>
          <cell r="C353" t="str">
            <v>UND</v>
          </cell>
          <cell r="D353" t="str">
            <v>UND</v>
          </cell>
          <cell r="E353">
            <v>1078.5488084368583</v>
          </cell>
          <cell r="F353">
            <v>1078.5488084368583</v>
          </cell>
          <cell r="G353">
            <v>65.019382592709633</v>
          </cell>
          <cell r="H353">
            <v>65.019382592709633</v>
          </cell>
          <cell r="I353">
            <v>150.70540571420932</v>
          </cell>
          <cell r="J353">
            <v>150.70540571420932</v>
          </cell>
        </row>
        <row r="354">
          <cell r="A354" t="str">
            <v>90100280</v>
          </cell>
          <cell r="B354" t="str">
            <v>SALSA POMODORO 15000</v>
          </cell>
          <cell r="C354" t="str">
            <v>TANDA</v>
          </cell>
          <cell r="D354" t="str">
            <v>GRAMO</v>
          </cell>
          <cell r="E354">
            <v>21018.911828324784</v>
          </cell>
          <cell r="F354">
            <v>1.4012607885549857</v>
          </cell>
          <cell r="G354">
            <v>0</v>
          </cell>
          <cell r="I354">
            <v>1925</v>
          </cell>
          <cell r="J354">
            <v>0.12833333333333333</v>
          </cell>
        </row>
        <row r="355">
          <cell r="A355" t="str">
            <v>95969</v>
          </cell>
          <cell r="B355" t="str">
            <v>CALDO POLLO C/CARCASA 47000</v>
          </cell>
          <cell r="C355" t="str">
            <v>TANDA</v>
          </cell>
          <cell r="D355" t="str">
            <v>GRAMO</v>
          </cell>
          <cell r="E355">
            <v>25962.644746666661</v>
          </cell>
          <cell r="F355">
            <v>0.55239669673758851</v>
          </cell>
          <cell r="G355">
            <v>231.47791333333333</v>
          </cell>
          <cell r="H355">
            <v>4.9250619858156024E-3</v>
          </cell>
          <cell r="I355">
            <v>1650</v>
          </cell>
          <cell r="J355">
            <v>3.5106382978723406E-2</v>
          </cell>
        </row>
        <row r="356">
          <cell r="A356" t="str">
            <v>90100129</v>
          </cell>
          <cell r="B356" t="str">
            <v>ALMIDON MODIFICADO (BOLSA:5000g)</v>
          </cell>
          <cell r="C356" t="str">
            <v>TANDA</v>
          </cell>
          <cell r="D356" t="str">
            <v>GRAMO</v>
          </cell>
          <cell r="E356">
            <v>5716.2</v>
          </cell>
          <cell r="F356">
            <v>1.14324</v>
          </cell>
          <cell r="G356">
            <v>35.609333333333339</v>
          </cell>
          <cell r="H356">
            <v>7.1218666666666682E-3</v>
          </cell>
          <cell r="I356">
            <v>55</v>
          </cell>
          <cell r="J356">
            <v>1.0999999999999999E-2</v>
          </cell>
        </row>
        <row r="357">
          <cell r="A357" t="str">
            <v>90100279</v>
          </cell>
          <cell r="B357" t="str">
            <v>SALSA CULANTRO 2000G</v>
          </cell>
          <cell r="C357" t="str">
            <v>TANDA</v>
          </cell>
          <cell r="D357" t="str">
            <v>GRAMO</v>
          </cell>
          <cell r="E357">
            <v>3002.3665583193829</v>
          </cell>
          <cell r="F357">
            <v>1.5011832791596915</v>
          </cell>
          <cell r="G357">
            <v>9.5495689134751789</v>
          </cell>
          <cell r="H357">
            <v>4.7747844567375894E-3</v>
          </cell>
          <cell r="I357">
            <v>600.18293617021277</v>
          </cell>
          <cell r="J357">
            <v>0.30009146808510639</v>
          </cell>
        </row>
      </sheetData>
      <sheetData sheetId="4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 xml:space="preserve">Costo MP
 </v>
          </cell>
          <cell r="E1" t="str">
            <v xml:space="preserve">Costo Empaque
 </v>
          </cell>
          <cell r="F1" t="str">
            <v>Costo
MO</v>
          </cell>
          <cell r="G1" t="str">
            <v>Precio
Venta</v>
          </cell>
          <cell r="H1" t="str">
            <v>Costo Und medida 
Local</v>
          </cell>
          <cell r="I1" t="str">
            <v>Und Medida 
Locales</v>
          </cell>
        </row>
        <row r="2">
          <cell r="A2" t="str">
            <v>10010</v>
          </cell>
          <cell r="B2" t="str">
            <v>GALLO PINTO (BOLSA=400g=2 PORC)</v>
          </cell>
          <cell r="C2" t="str">
            <v>BOLSA</v>
          </cell>
          <cell r="D2">
            <v>541.5525739033319</v>
          </cell>
          <cell r="E2">
            <v>19.445710023777735</v>
          </cell>
          <cell r="F2">
            <v>80.840809717408121</v>
          </cell>
          <cell r="G2">
            <v>842.41381040842953</v>
          </cell>
          <cell r="H2">
            <v>2.106034526021074</v>
          </cell>
          <cell r="I2" t="str">
            <v>GRAMO</v>
          </cell>
        </row>
        <row r="3">
          <cell r="A3" t="str">
            <v>14004</v>
          </cell>
          <cell r="B3" t="str">
            <v>ARROZ C/PALMITO (TOPPER=2 PORC)</v>
          </cell>
          <cell r="C3" t="str">
            <v>TOPPER</v>
          </cell>
          <cell r="D3">
            <v>976.1254549545398</v>
          </cell>
          <cell r="E3">
            <v>68.412100951995939</v>
          </cell>
          <cell r="F3">
            <v>132.49121689426991</v>
          </cell>
          <cell r="G3">
            <v>1558.559819722331</v>
          </cell>
          <cell r="H3">
            <v>779.27990986116549</v>
          </cell>
          <cell r="I3" t="str">
            <v>PORCION</v>
          </cell>
        </row>
        <row r="4">
          <cell r="A4" t="str">
            <v>14013</v>
          </cell>
          <cell r="B4" t="str">
            <v>ARROZ C/POLLO (BOLSA=550g=2 PORC)</v>
          </cell>
          <cell r="C4" t="str">
            <v>BOLSA</v>
          </cell>
          <cell r="D4">
            <v>964.40958157031241</v>
          </cell>
          <cell r="E4">
            <v>15.451930635714287</v>
          </cell>
          <cell r="F4">
            <v>73.639843749999997</v>
          </cell>
          <cell r="G4">
            <v>1395.5812120399889</v>
          </cell>
          <cell r="H4">
            <v>2.5374203855272528</v>
          </cell>
          <cell r="I4" t="str">
            <v>GRAMO</v>
          </cell>
        </row>
        <row r="5">
          <cell r="A5" t="str">
            <v>14016</v>
          </cell>
          <cell r="B5" t="str">
            <v>ARROZ C/PALMITO (PIREX=6 PORC)</v>
          </cell>
          <cell r="C5" t="str">
            <v>UND</v>
          </cell>
          <cell r="D5">
            <v>2771.4604071317499</v>
          </cell>
          <cell r="E5">
            <v>333.75281791650434</v>
          </cell>
          <cell r="F5">
            <v>339.94565225384741</v>
          </cell>
          <cell r="G5">
            <v>4562.5269500377672</v>
          </cell>
          <cell r="H5">
            <v>760.42115833962782</v>
          </cell>
          <cell r="I5" t="str">
            <v>PORCION</v>
          </cell>
        </row>
        <row r="6">
          <cell r="A6" t="str">
            <v>14049</v>
          </cell>
          <cell r="B6" t="str">
            <v>ARROZ BLANCO CASADITO (BOLSA=600g=4 PORC)</v>
          </cell>
          <cell r="C6" t="str">
            <v>BOLSA</v>
          </cell>
          <cell r="D6">
            <v>305.94203649172238</v>
          </cell>
          <cell r="E6">
            <v>40.772996364792952</v>
          </cell>
          <cell r="F6">
            <v>50.113294044045368</v>
          </cell>
          <cell r="G6">
            <v>520.83717905698586</v>
          </cell>
          <cell r="H6">
            <v>0.86806196509497646</v>
          </cell>
          <cell r="I6" t="str">
            <v>GRAMO</v>
          </cell>
        </row>
        <row r="7">
          <cell r="A7" t="str">
            <v>16089</v>
          </cell>
          <cell r="B7" t="str">
            <v>LASAGÑA CARNE REINGENIERIA (PIREX=6 PORC)</v>
          </cell>
          <cell r="C7" t="str">
            <v>PIREX</v>
          </cell>
          <cell r="D7">
            <v>4986.5204438789697</v>
          </cell>
          <cell r="E7">
            <v>310.532714169722</v>
          </cell>
          <cell r="F7">
            <v>496.36431262639258</v>
          </cell>
          <cell r="G7">
            <v>7673.3842529604362</v>
          </cell>
          <cell r="H7">
            <v>1278.8973754934061</v>
          </cell>
          <cell r="I7" t="str">
            <v>PORCION</v>
          </cell>
        </row>
        <row r="8">
          <cell r="A8" t="str">
            <v>16094</v>
          </cell>
          <cell r="B8" t="str">
            <v>LASAGÑA VEGETARIANA (TOPPER=2 PORC)</v>
          </cell>
          <cell r="C8" t="str">
            <v>TOPPER</v>
          </cell>
          <cell r="D8">
            <v>1653.3259489253901</v>
          </cell>
          <cell r="E8">
            <v>59.224634248698166</v>
          </cell>
          <cell r="F8">
            <v>248.34050833160256</v>
          </cell>
          <cell r="G8">
            <v>2596.1467840053792</v>
          </cell>
          <cell r="H8">
            <v>1298.0733920026896</v>
          </cell>
          <cell r="I8" t="str">
            <v>PORCION</v>
          </cell>
        </row>
        <row r="9">
          <cell r="A9" t="str">
            <v>20044</v>
          </cell>
          <cell r="B9" t="str">
            <v>PASTEL POLLO (PIREX=4 PORC)</v>
          </cell>
          <cell r="C9" t="str">
            <v>UND</v>
          </cell>
        </row>
        <row r="10">
          <cell r="A10" t="str">
            <v>20052</v>
          </cell>
          <cell r="B10" t="str">
            <v>PASTEL POLLO (PIREX=6 PORC)</v>
          </cell>
          <cell r="C10" t="str">
            <v>PIREX</v>
          </cell>
          <cell r="D10">
            <v>2496.4035908650021</v>
          </cell>
          <cell r="E10">
            <v>306.56596295563088</v>
          </cell>
          <cell r="F10">
            <v>584.31552325922758</v>
          </cell>
          <cell r="G10">
            <v>4482.6006390612129</v>
          </cell>
          <cell r="H10">
            <v>4482.6006390612129</v>
          </cell>
          <cell r="I10" t="str">
            <v>PIREX</v>
          </cell>
        </row>
        <row r="11">
          <cell r="A11" t="str">
            <v>20054</v>
          </cell>
          <cell r="B11" t="str">
            <v>PASTEL PALMITO (PIREX=6 PORC)</v>
          </cell>
          <cell r="C11" t="str">
            <v>PIREX</v>
          </cell>
          <cell r="D11">
            <v>1762.9220643859064</v>
          </cell>
          <cell r="E11">
            <v>336.03535779023366</v>
          </cell>
          <cell r="F11">
            <v>702.1811984839585</v>
          </cell>
          <cell r="G11">
            <v>3704.0432557824406</v>
          </cell>
          <cell r="H11">
            <v>3704.0432557824406</v>
          </cell>
          <cell r="I11" t="str">
            <v>PIREX</v>
          </cell>
        </row>
        <row r="12">
          <cell r="A12" t="str">
            <v>22114</v>
          </cell>
          <cell r="B12" t="str">
            <v>PECHUGA RELLENA SIN SALSA (PAQ=170g)</v>
          </cell>
          <cell r="C12" t="str">
            <v>PAQ</v>
          </cell>
          <cell r="D12">
            <v>1321.9</v>
          </cell>
          <cell r="E12">
            <v>19.527587704545457</v>
          </cell>
          <cell r="F12">
            <v>89</v>
          </cell>
          <cell r="G12">
            <v>1895.0424459508381</v>
          </cell>
          <cell r="H12">
            <v>11.147308505593164</v>
          </cell>
          <cell r="I12" t="str">
            <v>GRAMO</v>
          </cell>
        </row>
        <row r="13">
          <cell r="A13" t="str">
            <v>28002</v>
          </cell>
          <cell r="B13" t="str">
            <v>SOPA AZTECA (400g)</v>
          </cell>
          <cell r="C13" t="str">
            <v>BOLSA</v>
          </cell>
          <cell r="D13">
            <v>456.02059939806981</v>
          </cell>
          <cell r="E13">
            <v>13.683999999999999</v>
          </cell>
          <cell r="F13">
            <v>62.475618131868131</v>
          </cell>
          <cell r="G13">
            <v>698.48653550804363</v>
          </cell>
          <cell r="H13">
            <v>698.48653550804363</v>
          </cell>
          <cell r="I13" t="str">
            <v>BOLSA</v>
          </cell>
        </row>
        <row r="14">
          <cell r="A14" t="str">
            <v>28010</v>
          </cell>
          <cell r="B14" t="str">
            <v>SOPA DE POLLO (TOPPER=400g)</v>
          </cell>
          <cell r="C14" t="str">
            <v>TOPPER</v>
          </cell>
          <cell r="D14">
            <v>373.82354048125001</v>
          </cell>
          <cell r="E14">
            <v>71.914266430555557</v>
          </cell>
          <cell r="F14">
            <v>131.484375</v>
          </cell>
          <cell r="G14">
            <v>763.45442247496226</v>
          </cell>
          <cell r="H14">
            <v>763.45442247496226</v>
          </cell>
          <cell r="I14" t="str">
            <v>TOPPER</v>
          </cell>
        </row>
        <row r="15">
          <cell r="A15" t="str">
            <v>28011</v>
          </cell>
          <cell r="B15" t="str">
            <v>SOPA NEGRA (TOPPER=300g)</v>
          </cell>
          <cell r="C15" t="str">
            <v>UND</v>
          </cell>
          <cell r="D15">
            <v>301.08782266666668</v>
          </cell>
          <cell r="E15">
            <v>70.676725555555564</v>
          </cell>
          <cell r="F15">
            <v>82.5</v>
          </cell>
          <cell r="G15">
            <v>601.10162923708344</v>
          </cell>
          <cell r="H15">
            <v>601.10162923708344</v>
          </cell>
          <cell r="I15" t="str">
            <v>TOPPER</v>
          </cell>
        </row>
        <row r="16">
          <cell r="A16" t="str">
            <v>28012</v>
          </cell>
          <cell r="B16" t="str">
            <v>CREMA DE AYOTE (400g)</v>
          </cell>
          <cell r="C16" t="str">
            <v>UND</v>
          </cell>
          <cell r="D16">
            <v>554.4072342107894</v>
          </cell>
          <cell r="E16">
            <v>67.55576791617537</v>
          </cell>
          <cell r="F16">
            <v>43.704848682069638</v>
          </cell>
          <cell r="G16">
            <v>881.85231858977397</v>
          </cell>
          <cell r="H16">
            <v>881.85231858977397</v>
          </cell>
          <cell r="I16" t="str">
            <v>TOPPER</v>
          </cell>
        </row>
        <row r="17">
          <cell r="A17" t="str">
            <v>28018</v>
          </cell>
          <cell r="B17" t="str">
            <v>CREMA TOMATE (CONTEN=370g)</v>
          </cell>
          <cell r="C17" t="str">
            <v>TOPPER</v>
          </cell>
          <cell r="D17">
            <v>403.38498377335173</v>
          </cell>
          <cell r="E17">
            <v>69.761854444444438</v>
          </cell>
          <cell r="F17">
            <v>52.053571428571431</v>
          </cell>
          <cell r="G17">
            <v>695.53558991246598</v>
          </cell>
          <cell r="H17">
            <v>695.53558991246598</v>
          </cell>
          <cell r="I17" t="str">
            <v>CONT</v>
          </cell>
        </row>
        <row r="18">
          <cell r="A18" t="str">
            <v>32006</v>
          </cell>
          <cell r="B18" t="str">
            <v>CHEESE CAKE FRESA (UND=5 PORC)</v>
          </cell>
          <cell r="C18" t="str">
            <v>UND</v>
          </cell>
          <cell r="D18">
            <v>1535.9506277910316</v>
          </cell>
          <cell r="E18">
            <v>359.37527</v>
          </cell>
          <cell r="F18">
            <v>301.02900912646675</v>
          </cell>
          <cell r="G18">
            <v>2907.5919677377242</v>
          </cell>
          <cell r="H18">
            <v>2907.5919677377242</v>
          </cell>
          <cell r="I18" t="str">
            <v>UND</v>
          </cell>
        </row>
        <row r="19">
          <cell r="A19" t="str">
            <v>32016</v>
          </cell>
          <cell r="B19" t="str">
            <v>CHESSE CAKE FRESA (UND=8 PORC)</v>
          </cell>
          <cell r="C19" t="str">
            <v>UND</v>
          </cell>
          <cell r="D19">
            <v>2489.5829112881156</v>
          </cell>
          <cell r="E19">
            <v>512.15726999999993</v>
          </cell>
          <cell r="F19">
            <v>303.90971316818775</v>
          </cell>
          <cell r="G19">
            <v>4494.2362525551061</v>
          </cell>
          <cell r="H19">
            <v>4494.2362525551061</v>
          </cell>
          <cell r="I19" t="str">
            <v>UND</v>
          </cell>
        </row>
        <row r="20">
          <cell r="A20" t="str">
            <v>32020</v>
          </cell>
          <cell r="B20" t="str">
            <v>CHESSE CAKE CHERRIE (UND=6 PORC)</v>
          </cell>
          <cell r="C20" t="str">
            <v>UND</v>
          </cell>
          <cell r="D20">
            <v>2788.6521291754302</v>
          </cell>
          <cell r="E20">
            <v>384.58827000000002</v>
          </cell>
          <cell r="F20">
            <v>202.21153846153845</v>
          </cell>
          <cell r="G20">
            <v>4430.2806681485217</v>
          </cell>
          <cell r="H20">
            <v>4430.2806681485217</v>
          </cell>
          <cell r="I20" t="str">
            <v>UND</v>
          </cell>
        </row>
        <row r="21">
          <cell r="A21" t="str">
            <v>32040</v>
          </cell>
          <cell r="B21" t="str">
            <v>PIE DE LIMON (UND=6 PORC)</v>
          </cell>
          <cell r="C21" t="str">
            <v>UND</v>
          </cell>
          <cell r="D21">
            <v>2827.0046489570109</v>
          </cell>
          <cell r="E21">
            <v>367.54037888888888</v>
          </cell>
          <cell r="F21">
            <v>239.20227047148524</v>
          </cell>
          <cell r="G21">
            <v>4548.7217325320444</v>
          </cell>
          <cell r="H21">
            <v>4548.7217325320444</v>
          </cell>
          <cell r="I21" t="str">
            <v>UND</v>
          </cell>
        </row>
        <row r="22">
          <cell r="A22" t="str">
            <v>32096</v>
          </cell>
          <cell r="B22" t="str">
            <v>FLAN TRES LECHES MINI (UND=5 PORC)</v>
          </cell>
          <cell r="C22" t="str">
            <v>UND</v>
          </cell>
          <cell r="D22">
            <v>1459.1424360050007</v>
          </cell>
          <cell r="E22">
            <v>255.12604180792582</v>
          </cell>
          <cell r="F22">
            <v>276.01508202833708</v>
          </cell>
          <cell r="G22">
            <v>2634.7469460629527</v>
          </cell>
          <cell r="H22">
            <v>2634.7469460629527</v>
          </cell>
          <cell r="I22" t="str">
            <v>UND</v>
          </cell>
        </row>
        <row r="23">
          <cell r="A23" t="str">
            <v>32101</v>
          </cell>
          <cell r="B23" t="str">
            <v>CHESSE CAKE MARACUYA LIGHT RED (6 PORC)</v>
          </cell>
          <cell r="C23" t="str">
            <v>UND</v>
          </cell>
          <cell r="D23">
            <v>0</v>
          </cell>
          <cell r="E23">
            <v>0</v>
          </cell>
          <cell r="F23">
            <v>0</v>
          </cell>
          <cell r="G23">
            <v>6163.3</v>
          </cell>
          <cell r="H23">
            <v>6163.3</v>
          </cell>
          <cell r="I23" t="str">
            <v>UND</v>
          </cell>
        </row>
        <row r="24">
          <cell r="A24" t="str">
            <v>32115</v>
          </cell>
          <cell r="B24" t="str">
            <v>TRES LECHES S/DECORAR (PIREX=4 PORC)</v>
          </cell>
          <cell r="C24" t="str">
            <v>UND</v>
          </cell>
          <cell r="D24">
            <v>1339.0553689207911</v>
          </cell>
          <cell r="E24">
            <v>109.40448485775694</v>
          </cell>
          <cell r="F24">
            <v>202.90031392821263</v>
          </cell>
          <cell r="G24">
            <v>2186.4212556959669</v>
          </cell>
          <cell r="H24">
            <v>2186.4212556959669</v>
          </cell>
          <cell r="I24" t="str">
            <v>UND</v>
          </cell>
        </row>
        <row r="25">
          <cell r="A25" t="str">
            <v>32116</v>
          </cell>
          <cell r="B25" t="str">
            <v>TRES LECHES S/DECORAR (PIREX=6 PORC)</v>
          </cell>
          <cell r="C25" t="str">
            <v>UND</v>
          </cell>
          <cell r="D25">
            <v>2023.2490897948062</v>
          </cell>
          <cell r="E25">
            <v>311.78286654499129</v>
          </cell>
          <cell r="F25">
            <v>206.79008202833705</v>
          </cell>
          <cell r="G25">
            <v>3366.7887197851369</v>
          </cell>
          <cell r="H25">
            <v>3366.7887197851369</v>
          </cell>
          <cell r="I25" t="str">
            <v>UND</v>
          </cell>
        </row>
        <row r="26">
          <cell r="A26" t="str">
            <v>32126</v>
          </cell>
          <cell r="B26" t="str">
            <v>POSTRE MINI COOKIES AND CREAM (CAJA=5 UND)</v>
          </cell>
          <cell r="C26" t="str">
            <v>UND</v>
          </cell>
          <cell r="D26">
            <v>435.73139116632836</v>
          </cell>
          <cell r="E26">
            <v>65.099034666666668</v>
          </cell>
          <cell r="F26">
            <v>129.77356052187514</v>
          </cell>
          <cell r="G26">
            <v>834.24113142982515</v>
          </cell>
          <cell r="H26">
            <v>834.24113142982515</v>
          </cell>
          <cell r="I26" t="str">
            <v>UND</v>
          </cell>
        </row>
        <row r="27">
          <cell r="A27" t="str">
            <v>32127</v>
          </cell>
          <cell r="B27" t="str">
            <v>POSTRE MINI CHOCOLATE DARK (CAJA=5 UND)</v>
          </cell>
          <cell r="C27" t="str">
            <v>UND</v>
          </cell>
          <cell r="D27">
            <v>452.04403920576641</v>
          </cell>
          <cell r="E27">
            <v>126.297543989267</v>
          </cell>
          <cell r="F27">
            <v>93.026232681991843</v>
          </cell>
          <cell r="G27">
            <v>888.76099161803029</v>
          </cell>
          <cell r="H27">
            <v>888.76099161803029</v>
          </cell>
          <cell r="I27" t="str">
            <v>UND</v>
          </cell>
        </row>
        <row r="28">
          <cell r="A28" t="str">
            <v>32132</v>
          </cell>
          <cell r="B28" t="str">
            <v>DELICIA MANZANA PERSONAL (CAJA=5 UND)</v>
          </cell>
          <cell r="C28" t="str">
            <v>CAJA</v>
          </cell>
          <cell r="D28">
            <v>1474.3023692560055</v>
          </cell>
          <cell r="E28">
            <v>364.08072555555555</v>
          </cell>
          <cell r="F28">
            <v>316.75330528846155</v>
          </cell>
          <cell r="G28">
            <v>2852.7453032506814</v>
          </cell>
          <cell r="H28">
            <v>570.54906065013631</v>
          </cell>
          <cell r="I28" t="str">
            <v>UND</v>
          </cell>
        </row>
        <row r="29">
          <cell r="A29" t="str">
            <v>34003</v>
          </cell>
          <cell r="B29" t="str">
            <v>GALLETAS P/TORTA CHILENA 30 PORC.</v>
          </cell>
          <cell r="C29" t="str">
            <v>PAQ</v>
          </cell>
          <cell r="D29">
            <v>1728.1420560775862</v>
          </cell>
          <cell r="E29">
            <v>974.34112455938703</v>
          </cell>
          <cell r="F29">
            <v>671.51724137931035</v>
          </cell>
          <cell r="G29">
            <v>5721.2540114621979</v>
          </cell>
          <cell r="H29">
            <v>5721.2540114621979</v>
          </cell>
          <cell r="I29" t="str">
            <v>PAQ</v>
          </cell>
        </row>
        <row r="30">
          <cell r="A30" t="str">
            <v>34010</v>
          </cell>
          <cell r="B30" t="str">
            <v>TORTA CHOCOLATE RED. (UND=8 PORC)</v>
          </cell>
          <cell r="C30" t="str">
            <v>UND</v>
          </cell>
          <cell r="D30">
            <v>5132.2759350842625</v>
          </cell>
          <cell r="E30">
            <v>459.8293194930551</v>
          </cell>
          <cell r="F30">
            <v>407.90321552434051</v>
          </cell>
          <cell r="G30">
            <v>7630.4711985357626</v>
          </cell>
          <cell r="H30">
            <v>7630.4711985357626</v>
          </cell>
          <cell r="I30" t="str">
            <v>UND</v>
          </cell>
        </row>
        <row r="31">
          <cell r="A31" t="str">
            <v>34021</v>
          </cell>
          <cell r="B31" t="str">
            <v>PORCION QQ SECO C/PASAS</v>
          </cell>
          <cell r="C31" t="str">
            <v>UND</v>
          </cell>
          <cell r="D31">
            <v>192.17421072665809</v>
          </cell>
          <cell r="E31">
            <v>109.90615893518085</v>
          </cell>
          <cell r="F31">
            <v>51.748126868196941</v>
          </cell>
          <cell r="G31">
            <v>541.37281243646396</v>
          </cell>
          <cell r="H31">
            <v>541.37281243646396</v>
          </cell>
          <cell r="I31" t="str">
            <v>PORCION</v>
          </cell>
        </row>
        <row r="32">
          <cell r="A32" t="str">
            <v>34030</v>
          </cell>
          <cell r="B32" t="str">
            <v>QQ SECO C/PASAS RECT (8 PORC)</v>
          </cell>
          <cell r="C32" t="str">
            <v>UND</v>
          </cell>
        </row>
        <row r="33">
          <cell r="A33" t="str">
            <v>34047</v>
          </cell>
          <cell r="B33" t="str">
            <v>QQ ZANAHORIA RECT. (UND=8 PORC)</v>
          </cell>
          <cell r="C33" t="str">
            <v>UND</v>
          </cell>
        </row>
        <row r="34">
          <cell r="A34" t="str">
            <v>34064</v>
          </cell>
          <cell r="B34" t="str">
            <v>GALLETAS P/TORTA CHILENA GDE (7 GALLETAS)</v>
          </cell>
          <cell r="C34" t="str">
            <v>CONT</v>
          </cell>
          <cell r="D34">
            <v>874.68163545503853</v>
          </cell>
          <cell r="E34">
            <v>468.76206177625187</v>
          </cell>
          <cell r="F34">
            <v>192.17306866952791</v>
          </cell>
          <cell r="G34">
            <v>2033.1297037709846</v>
          </cell>
          <cell r="H34">
            <v>2033.1297037709846</v>
          </cell>
          <cell r="I34" t="str">
            <v>CONT</v>
          </cell>
        </row>
        <row r="35">
          <cell r="A35" t="str">
            <v>34065</v>
          </cell>
          <cell r="B35" t="str">
            <v>GALLETAS P/TORTA CHILENA PEQ</v>
          </cell>
          <cell r="C35" t="str">
            <v>CONT</v>
          </cell>
          <cell r="D35">
            <v>638.81808722844823</v>
          </cell>
          <cell r="E35">
            <v>394.03194635478934</v>
          </cell>
          <cell r="F35">
            <v>219.15655172413793</v>
          </cell>
          <cell r="G35">
            <v>1656.8147999067103</v>
          </cell>
          <cell r="H35">
            <v>1656.8147999067103</v>
          </cell>
          <cell r="I35" t="str">
            <v>CONT</v>
          </cell>
        </row>
        <row r="36">
          <cell r="A36" t="str">
            <v>36008</v>
          </cell>
          <cell r="B36" t="str">
            <v>TORTA LECHE CONDENSADA Y PECANAS (8 PORC)</v>
          </cell>
          <cell r="C36" t="str">
            <v>UND</v>
          </cell>
          <cell r="D36">
            <v>5629.8981010416437</v>
          </cell>
          <cell r="E36">
            <v>505.88681785496516</v>
          </cell>
          <cell r="F36">
            <v>482.23681979533819</v>
          </cell>
          <cell r="G36">
            <v>7723.8752000851682</v>
          </cell>
          <cell r="H36">
            <v>7723.8752000851682</v>
          </cell>
          <cell r="I36" t="str">
            <v>UND</v>
          </cell>
        </row>
        <row r="37">
          <cell r="A37" t="str">
            <v>36022</v>
          </cell>
          <cell r="B37" t="str">
            <v>TORTA MELOCOTON MEDIANA</v>
          </cell>
          <cell r="C37" t="str">
            <v>UND</v>
          </cell>
          <cell r="D37">
            <v>2621.3063171005351</v>
          </cell>
          <cell r="E37">
            <v>651.27423019627793</v>
          </cell>
          <cell r="F37">
            <v>367.9270441386671</v>
          </cell>
          <cell r="G37">
            <v>5053.8008429534857</v>
          </cell>
          <cell r="H37">
            <v>5053.8008429534857</v>
          </cell>
          <cell r="I37" t="str">
            <v>UND</v>
          </cell>
        </row>
        <row r="38">
          <cell r="A38" t="str">
            <v>36024</v>
          </cell>
          <cell r="B38" t="str">
            <v>TORTA CHOCOFRESA MEDIANA</v>
          </cell>
          <cell r="C38" t="str">
            <v>UND</v>
          </cell>
          <cell r="D38">
            <v>2917.0384102985695</v>
          </cell>
          <cell r="E38">
            <v>656.2637880048469</v>
          </cell>
          <cell r="F38">
            <v>401.34535873634781</v>
          </cell>
          <cell r="G38">
            <v>5516.5552278723462</v>
          </cell>
          <cell r="H38">
            <v>5516.5552278723462</v>
          </cell>
          <cell r="I38" t="str">
            <v>UND</v>
          </cell>
        </row>
        <row r="39">
          <cell r="A39" t="str">
            <v>36028</v>
          </cell>
          <cell r="B39" t="str">
            <v>TORTA CHOCOLATE MEDIANA</v>
          </cell>
          <cell r="C39" t="str">
            <v>UND</v>
          </cell>
          <cell r="D39">
            <v>3286.7513452383141</v>
          </cell>
          <cell r="E39">
            <v>643.93061891890375</v>
          </cell>
          <cell r="F39">
            <v>371.17993046340183</v>
          </cell>
          <cell r="G39">
            <v>5772.3211766332934</v>
          </cell>
          <cell r="H39">
            <v>5772.3211766332934</v>
          </cell>
          <cell r="I39" t="str">
            <v>UND</v>
          </cell>
        </row>
        <row r="40">
          <cell r="A40" t="str">
            <v>36032</v>
          </cell>
          <cell r="B40" t="str">
            <v>QQ CARAMELO RECT. 30 PORC (1 CAPA)</v>
          </cell>
          <cell r="C40" t="str">
            <v>UND</v>
          </cell>
        </row>
        <row r="41">
          <cell r="A41" t="str">
            <v>36043</v>
          </cell>
          <cell r="B41" t="str">
            <v>TORTA CHOCOFRESA RED. (UND=8 PORC)</v>
          </cell>
          <cell r="C41" t="str">
            <v>UND</v>
          </cell>
          <cell r="D41">
            <v>4579.0785678545826</v>
          </cell>
          <cell r="E41">
            <v>492.41420284617993</v>
          </cell>
          <cell r="F41">
            <v>361.08838397889258</v>
          </cell>
          <cell r="G41">
            <v>7196.8261081324954</v>
          </cell>
          <cell r="H41">
            <v>7196.8261081324954</v>
          </cell>
          <cell r="I41" t="str">
            <v>UND</v>
          </cell>
        </row>
        <row r="42">
          <cell r="A42" t="str">
            <v>36045</v>
          </cell>
          <cell r="B42" t="str">
            <v>TORTA CHOCOFRESA RECT. 30 PORC (1 CAPA)</v>
          </cell>
          <cell r="C42" t="str">
            <v>UND</v>
          </cell>
        </row>
        <row r="43">
          <cell r="A43" t="str">
            <v>36075</v>
          </cell>
          <cell r="B43" t="str">
            <v>TORTA LICOR CAFE  RECT. 30 PORC DEC (1 CAPA)</v>
          </cell>
          <cell r="C43" t="str">
            <v>UND</v>
          </cell>
        </row>
        <row r="44">
          <cell r="A44" t="str">
            <v>36085</v>
          </cell>
          <cell r="B44" t="str">
            <v>TORTA MELOCOTON RED (UND=8 PORC)</v>
          </cell>
          <cell r="C44" t="str">
            <v>UND</v>
          </cell>
          <cell r="D44">
            <v>3804.5522085081702</v>
          </cell>
          <cell r="E44">
            <v>498.19296587569886</v>
          </cell>
          <cell r="F44">
            <v>433.05654946837802</v>
          </cell>
          <cell r="G44">
            <v>6272.2132929698619</v>
          </cell>
          <cell r="H44">
            <v>6272.2132929698619</v>
          </cell>
          <cell r="I44" t="str">
            <v>UND</v>
          </cell>
        </row>
        <row r="45">
          <cell r="A45" t="str">
            <v>36086</v>
          </cell>
          <cell r="B45" t="str">
            <v>QUEQUE MELOCOTON RECTAGULAR 15 PORC. (Dec. Orig.)</v>
          </cell>
          <cell r="C45" t="str">
            <v>UND</v>
          </cell>
        </row>
        <row r="46">
          <cell r="A46" t="str">
            <v>36087</v>
          </cell>
          <cell r="B46" t="str">
            <v>TORTA MELOCOTON RECT. 30 PORC (1 CAPA)</v>
          </cell>
          <cell r="C46" t="str">
            <v>UND</v>
          </cell>
        </row>
        <row r="47">
          <cell r="A47" t="str">
            <v>36092</v>
          </cell>
          <cell r="B47" t="str">
            <v>TORTA MOCHA SPOON (UND=8 PORC)</v>
          </cell>
          <cell r="C47" t="str">
            <v>UND</v>
          </cell>
          <cell r="D47">
            <v>3798.6424883366694</v>
          </cell>
          <cell r="E47">
            <v>465.53249102438366</v>
          </cell>
          <cell r="F47">
            <v>439.01713495341181</v>
          </cell>
          <cell r="G47">
            <v>6415.0673236232533</v>
          </cell>
          <cell r="H47">
            <v>6415.0673236232533</v>
          </cell>
          <cell r="I47" t="str">
            <v>UND</v>
          </cell>
        </row>
        <row r="48">
          <cell r="A48" t="str">
            <v>36106</v>
          </cell>
          <cell r="B48" t="str">
            <v>TORTA CHOCOFRESA RECT. 30 PORC (2 CAPAS)</v>
          </cell>
          <cell r="C48" t="str">
            <v>UND</v>
          </cell>
        </row>
        <row r="49">
          <cell r="A49" t="str">
            <v>36108</v>
          </cell>
          <cell r="B49" t="str">
            <v>TORTA CHOCOLATE RECT. 30 PORC (2 CAPAS)</v>
          </cell>
          <cell r="C49" t="str">
            <v>UND</v>
          </cell>
        </row>
        <row r="50">
          <cell r="A50" t="str">
            <v>36116</v>
          </cell>
          <cell r="B50" t="str">
            <v>QQ KALUA RECT. 30 PORC (2 CAPAS)</v>
          </cell>
          <cell r="C50" t="str">
            <v>UND</v>
          </cell>
        </row>
        <row r="51">
          <cell r="A51" t="str">
            <v>36118</v>
          </cell>
          <cell r="B51" t="str">
            <v>TORTA MELOCOTON RECT. 30 PORC (2 CAPAS)</v>
          </cell>
          <cell r="C51" t="str">
            <v>UND</v>
          </cell>
        </row>
        <row r="52">
          <cell r="A52" t="str">
            <v>36179</v>
          </cell>
          <cell r="B52" t="str">
            <v>TORTA BAILEYS (UND= 8 PORC)</v>
          </cell>
          <cell r="C52" t="str">
            <v>UND</v>
          </cell>
          <cell r="D52">
            <v>4598.7075168997089</v>
          </cell>
          <cell r="E52">
            <v>502.75829806383814</v>
          </cell>
          <cell r="F52">
            <v>450.80325768902469</v>
          </cell>
          <cell r="G52">
            <v>7354.3098966778971</v>
          </cell>
          <cell r="H52">
            <v>7354.3098966778971</v>
          </cell>
          <cell r="I52" t="str">
            <v>UND</v>
          </cell>
        </row>
        <row r="53">
          <cell r="A53" t="str">
            <v>36180</v>
          </cell>
          <cell r="B53" t="str">
            <v>TORTA CHOCOLATE PEQUEÑA</v>
          </cell>
          <cell r="C53" t="str">
            <v>UND</v>
          </cell>
          <cell r="D53">
            <v>2090.1667576732671</v>
          </cell>
          <cell r="E53">
            <v>649.20235362165988</v>
          </cell>
          <cell r="F53">
            <v>243.50401928880785</v>
          </cell>
          <cell r="G53">
            <v>3950.9752034768981</v>
          </cell>
          <cell r="H53">
            <v>3950.9752034768981</v>
          </cell>
          <cell r="I53" t="str">
            <v>UND</v>
          </cell>
        </row>
        <row r="54">
          <cell r="A54" t="str">
            <v>36181</v>
          </cell>
          <cell r="B54" t="str">
            <v>TORTA MELOCOTON PEQUEÑA</v>
          </cell>
          <cell r="C54" t="str">
            <v>UND</v>
          </cell>
          <cell r="D54">
            <v>1301.2115508379275</v>
          </cell>
          <cell r="E54">
            <v>377.25059296382511</v>
          </cell>
          <cell r="F54">
            <v>299.26890275890509</v>
          </cell>
          <cell r="G54">
            <v>2617.8018142482611</v>
          </cell>
          <cell r="H54">
            <v>2617.8018142482611</v>
          </cell>
          <cell r="I54" t="str">
            <v>UND</v>
          </cell>
        </row>
        <row r="55">
          <cell r="A55" t="str">
            <v>36182</v>
          </cell>
          <cell r="B55" t="str">
            <v>TORTA CHOCOFRESA PEQUEÑA</v>
          </cell>
          <cell r="C55" t="str">
            <v>UND</v>
          </cell>
          <cell r="D55">
            <v>916.98845985247135</v>
          </cell>
          <cell r="E55">
            <v>370.24427434643383</v>
          </cell>
          <cell r="F55">
            <v>294.49960973278348</v>
          </cell>
          <cell r="G55">
            <v>2092.9186310467021</v>
          </cell>
          <cell r="H55">
            <v>2092.9186310467021</v>
          </cell>
          <cell r="I55" t="str">
            <v>UND</v>
          </cell>
        </row>
        <row r="56">
          <cell r="A56" t="str">
            <v>36183</v>
          </cell>
          <cell r="B56" t="str">
            <v>TORTA ZANAHORIA GRANDE (8 PORC)</v>
          </cell>
          <cell r="C56" t="str">
            <v>UND</v>
          </cell>
          <cell r="D56">
            <v>4272.6771574653139</v>
          </cell>
          <cell r="E56">
            <v>477.4977831651928</v>
          </cell>
          <cell r="F56">
            <v>591.93442579755583</v>
          </cell>
          <cell r="G56">
            <v>7073.864589532609</v>
          </cell>
          <cell r="H56">
            <v>7073.864589532609</v>
          </cell>
          <cell r="I56" t="str">
            <v>UND</v>
          </cell>
        </row>
        <row r="57">
          <cell r="A57" t="str">
            <v>36186</v>
          </cell>
          <cell r="B57" t="str">
            <v>TORTA MARACUYA-YOGURT (8 PORC)</v>
          </cell>
          <cell r="C57" t="str">
            <v>UND</v>
          </cell>
          <cell r="D57">
            <v>3702.9708567135813</v>
          </cell>
          <cell r="E57">
            <v>394.86962294857005</v>
          </cell>
          <cell r="F57">
            <v>526.71728597256219</v>
          </cell>
          <cell r="G57">
            <v>6606.1154964429334</v>
          </cell>
          <cell r="H57">
            <v>6606.1154964429334</v>
          </cell>
          <cell r="I57" t="str">
            <v>UND</v>
          </cell>
        </row>
        <row r="58">
          <cell r="A58" t="str">
            <v>40007</v>
          </cell>
          <cell r="B58" t="str">
            <v>ARROLLADO LECHE COND. MEDIANO (UND)</v>
          </cell>
          <cell r="C58" t="str">
            <v>UND</v>
          </cell>
          <cell r="D58">
            <v>148.98535507793008</v>
          </cell>
          <cell r="E58">
            <v>25.321664525526927</v>
          </cell>
          <cell r="F58">
            <v>24.613666467380312</v>
          </cell>
          <cell r="G58">
            <v>261.083400467974</v>
          </cell>
          <cell r="H58">
            <v>261.083400467974</v>
          </cell>
          <cell r="I58" t="str">
            <v>UND</v>
          </cell>
        </row>
        <row r="59">
          <cell r="A59" t="str">
            <v>40017</v>
          </cell>
          <cell r="B59" t="str">
            <v>BROWNIE DE CHOCOLATE (UND)</v>
          </cell>
          <cell r="C59" t="str">
            <v>UND</v>
          </cell>
          <cell r="D59">
            <v>244.33474126041665</v>
          </cell>
          <cell r="E59">
            <v>21.178204750173609</v>
          </cell>
          <cell r="F59">
            <v>34.617853009259257</v>
          </cell>
          <cell r="G59">
            <v>393.92167371355254</v>
          </cell>
          <cell r="H59">
            <v>393.92167371355254</v>
          </cell>
          <cell r="I59" t="str">
            <v>UND</v>
          </cell>
        </row>
        <row r="60">
          <cell r="A60" t="str">
            <v>40046</v>
          </cell>
          <cell r="B60" t="str">
            <v>ARROLLADO S/DECORAR (UND)</v>
          </cell>
          <cell r="C60" t="str">
            <v>UND</v>
          </cell>
        </row>
        <row r="61">
          <cell r="A61" t="str">
            <v>40049</v>
          </cell>
          <cell r="B61" t="str">
            <v>COCADITAS (UND)</v>
          </cell>
          <cell r="C61" t="str">
            <v>UND</v>
          </cell>
          <cell r="D61">
            <v>157.02092345629694</v>
          </cell>
          <cell r="E61">
            <v>4.5975501887945907</v>
          </cell>
          <cell r="F61">
            <v>6.962025316455696</v>
          </cell>
          <cell r="G61">
            <v>218.49613107594286</v>
          </cell>
          <cell r="H61">
            <v>218.49613107594286</v>
          </cell>
          <cell r="I61" t="str">
            <v>UND</v>
          </cell>
        </row>
        <row r="62">
          <cell r="A62" t="str">
            <v>40054</v>
          </cell>
          <cell r="B62" t="str">
            <v>COSTILLAS SIN RELLENO (UND)</v>
          </cell>
          <cell r="C62" t="str">
            <v>UND</v>
          </cell>
          <cell r="D62">
            <v>19.567969144266296</v>
          </cell>
          <cell r="E62">
            <v>6.1762766080883411</v>
          </cell>
          <cell r="F62">
            <v>17.585258395113247</v>
          </cell>
          <cell r="G62">
            <v>218.49613107594286</v>
          </cell>
          <cell r="H62">
            <v>218.49613107594286</v>
          </cell>
          <cell r="I62" t="str">
            <v>UND</v>
          </cell>
        </row>
        <row r="63">
          <cell r="A63" t="str">
            <v>40060</v>
          </cell>
          <cell r="B63" t="str">
            <v>CROCANTE DE ALMENDRA (PORCION)</v>
          </cell>
          <cell r="C63" t="str">
            <v>UND</v>
          </cell>
          <cell r="D63">
            <v>0</v>
          </cell>
          <cell r="E63">
            <v>0</v>
          </cell>
          <cell r="F63">
            <v>0</v>
          </cell>
          <cell r="G63">
            <v>601.33370000000014</v>
          </cell>
          <cell r="H63">
            <v>601.33370000000014</v>
          </cell>
          <cell r="I63" t="str">
            <v>UND</v>
          </cell>
        </row>
        <row r="64">
          <cell r="A64" t="str">
            <v>40093</v>
          </cell>
          <cell r="B64" t="str">
            <v>MIL HOJAS GRANDE (CAJA=6 UND)</v>
          </cell>
          <cell r="C64" t="str">
            <v>UND</v>
          </cell>
        </row>
        <row r="65">
          <cell r="A65" t="str">
            <v>40130</v>
          </cell>
          <cell r="B65" t="str">
            <v>PALETA CHOCOLATES ESCANEADOS</v>
          </cell>
          <cell r="C65" t="str">
            <v>UND</v>
          </cell>
          <cell r="D65">
            <v>243.04806947066325</v>
          </cell>
          <cell r="E65">
            <v>26.431040041783927</v>
          </cell>
          <cell r="F65">
            <v>76.535496515679441</v>
          </cell>
          <cell r="G65">
            <v>454.14417041191621</v>
          </cell>
          <cell r="H65">
            <v>454.14417041191621</v>
          </cell>
          <cell r="I65" t="str">
            <v>UND</v>
          </cell>
        </row>
        <row r="66">
          <cell r="A66" t="str">
            <v>40164</v>
          </cell>
          <cell r="B66" t="str">
            <v>SHOT MARACUYA ( CAJA= 4 UND)</v>
          </cell>
          <cell r="C66" t="str">
            <v>UND</v>
          </cell>
          <cell r="D66">
            <v>0</v>
          </cell>
          <cell r="E66">
            <v>0</v>
          </cell>
          <cell r="F66">
            <v>0</v>
          </cell>
          <cell r="G66">
            <v>650.1</v>
          </cell>
          <cell r="H66">
            <v>650.1</v>
          </cell>
          <cell r="I66" t="str">
            <v>UND</v>
          </cell>
        </row>
        <row r="67">
          <cell r="A67" t="str">
            <v>40165</v>
          </cell>
          <cell r="B67" t="str">
            <v>SHOT LIMEÑO ( CAJA= 4 UND)</v>
          </cell>
          <cell r="C67" t="str">
            <v>und</v>
          </cell>
          <cell r="D67">
            <v>0</v>
          </cell>
          <cell r="E67">
            <v>0</v>
          </cell>
          <cell r="F67">
            <v>0</v>
          </cell>
          <cell r="G67">
            <v>757.90000000000009</v>
          </cell>
          <cell r="H67">
            <v>757.90000000000009</v>
          </cell>
          <cell r="I67" t="str">
            <v>UND</v>
          </cell>
        </row>
        <row r="68">
          <cell r="A68" t="str">
            <v>42001</v>
          </cell>
          <cell r="B68" t="str">
            <v>SOMBRERO PEJIBAYE PEQ (CAJA=6 UND)</v>
          </cell>
          <cell r="C68" t="str">
            <v>UND</v>
          </cell>
          <cell r="D68">
            <v>119.45119486074059</v>
          </cell>
          <cell r="E68">
            <v>6.0941969062855783</v>
          </cell>
          <cell r="F68">
            <v>49.302018185878673</v>
          </cell>
          <cell r="G68">
            <v>342.0064368148058</v>
          </cell>
          <cell r="H68">
            <v>342.0064368148058</v>
          </cell>
          <cell r="I68" t="str">
            <v>UND</v>
          </cell>
        </row>
        <row r="69">
          <cell r="A69" t="str">
            <v>42003</v>
          </cell>
          <cell r="B69" t="str">
            <v>ARROLLADOS DE JAMON (UND)</v>
          </cell>
          <cell r="C69" t="str">
            <v>UND</v>
          </cell>
          <cell r="D69">
            <v>122.44652966566693</v>
          </cell>
          <cell r="E69">
            <v>13.192717328926527</v>
          </cell>
          <cell r="F69">
            <v>43.645704981248095</v>
          </cell>
          <cell r="G69">
            <v>235.31149946829203</v>
          </cell>
          <cell r="H69">
            <v>235.31149946829203</v>
          </cell>
          <cell r="I69" t="str">
            <v>UND</v>
          </cell>
        </row>
        <row r="70">
          <cell r="A70" t="str">
            <v>42014</v>
          </cell>
          <cell r="B70" t="str">
            <v>LAMINAS P/ MIL HOJAS (CAJA=5 LAMINAS)</v>
          </cell>
          <cell r="C70" t="str">
            <v>CAJA</v>
          </cell>
        </row>
        <row r="71">
          <cell r="A71" t="str">
            <v>42016</v>
          </cell>
          <cell r="B71" t="str">
            <v>ARREGLADOS (UND)</v>
          </cell>
          <cell r="C71" t="str">
            <v>UND</v>
          </cell>
          <cell r="D71">
            <v>63.797436985006023</v>
          </cell>
          <cell r="E71">
            <v>17.422003688095643</v>
          </cell>
          <cell r="F71">
            <v>31.94717824506472</v>
          </cell>
          <cell r="G71">
            <v>148.53118733009339</v>
          </cell>
          <cell r="H71">
            <v>148.53118733009339</v>
          </cell>
          <cell r="I71" t="str">
            <v>UND</v>
          </cell>
        </row>
        <row r="72">
          <cell r="A72" t="str">
            <v>42025</v>
          </cell>
          <cell r="B72" t="str">
            <v>EMPANADA POLLO PEQUEÑA (UND)</v>
          </cell>
          <cell r="C72" t="str">
            <v>CAJA</v>
          </cell>
          <cell r="D72">
            <v>342.08282488669312</v>
          </cell>
          <cell r="E72">
            <v>44.311262751137463</v>
          </cell>
          <cell r="F72">
            <v>215.77972157973363</v>
          </cell>
          <cell r="G72">
            <v>790.353124598053</v>
          </cell>
          <cell r="H72">
            <v>131.72552076634216</v>
          </cell>
          <cell r="I72" t="str">
            <v>UND</v>
          </cell>
        </row>
        <row r="73">
          <cell r="A73" t="str">
            <v>42028</v>
          </cell>
          <cell r="B73" t="str">
            <v>EMPANADA POLLO GRANDE (UND)</v>
          </cell>
          <cell r="C73" t="str">
            <v>UND</v>
          </cell>
          <cell r="D73">
            <v>1516.5326877623079</v>
          </cell>
          <cell r="E73">
            <v>62.327326918032952</v>
          </cell>
          <cell r="F73">
            <v>392.01660830165213</v>
          </cell>
          <cell r="G73">
            <v>2607.4981053565452</v>
          </cell>
          <cell r="H73">
            <v>2607.4981053565452</v>
          </cell>
          <cell r="I73" t="str">
            <v>UND</v>
          </cell>
        </row>
        <row r="74">
          <cell r="A74" t="str">
            <v>42034</v>
          </cell>
          <cell r="B74" t="str">
            <v>PAÑUELO ESPINACA Y RICOTTA (UND)</v>
          </cell>
          <cell r="C74" t="str">
            <v>UND</v>
          </cell>
          <cell r="D74">
            <v>137.21388281956311</v>
          </cell>
          <cell r="E74">
            <v>6.8583516591531888</v>
          </cell>
          <cell r="F74">
            <v>43.000315884852306</v>
          </cell>
          <cell r="G74">
            <v>247.42367042971694</v>
          </cell>
          <cell r="H74">
            <v>247.42367042971694</v>
          </cell>
          <cell r="I74" t="str">
            <v>UND</v>
          </cell>
        </row>
        <row r="75">
          <cell r="A75" t="str">
            <v>42037</v>
          </cell>
          <cell r="B75" t="str">
            <v>TRIANGULO PALMITO (UND)</v>
          </cell>
          <cell r="C75" t="str">
            <v>UND</v>
          </cell>
          <cell r="D75">
            <v>62.391946592877211</v>
          </cell>
          <cell r="E75">
            <v>7.4675146555313043</v>
          </cell>
          <cell r="F75">
            <v>35.759304007653988</v>
          </cell>
          <cell r="G75">
            <v>139.54153482746739</v>
          </cell>
          <cell r="H75">
            <v>139.54153482746739</v>
          </cell>
          <cell r="I75" t="str">
            <v>UND</v>
          </cell>
        </row>
        <row r="76">
          <cell r="A76" t="str">
            <v>42051</v>
          </cell>
          <cell r="B76" t="str">
            <v>PASTEL PALMITO PEQUEÑO (UND)</v>
          </cell>
          <cell r="C76" t="str">
            <v>UND</v>
          </cell>
        </row>
        <row r="77">
          <cell r="A77" t="str">
            <v>42086</v>
          </cell>
          <cell r="B77" t="str">
            <v>CANASTA SIN RELLENO (UND)</v>
          </cell>
          <cell r="C77" t="str">
            <v>UND</v>
          </cell>
          <cell r="D77">
            <v>23.806066337160257</v>
          </cell>
          <cell r="E77">
            <v>3.0289249584117646</v>
          </cell>
          <cell r="F77">
            <v>18.881542686567165</v>
          </cell>
          <cell r="G77">
            <v>108.226141944483</v>
          </cell>
          <cell r="H77">
            <v>108.226141944483</v>
          </cell>
          <cell r="I77" t="str">
            <v>UND</v>
          </cell>
        </row>
        <row r="78">
          <cell r="A78" t="str">
            <v>42090</v>
          </cell>
          <cell r="B78" t="str">
            <v>PAN BLANCO BOLLETA (BOLSA=5 UND)</v>
          </cell>
          <cell r="C78" t="str">
            <v>BOLSA</v>
          </cell>
          <cell r="D78">
            <v>355.60748228253266</v>
          </cell>
          <cell r="E78">
            <v>15.153535352319498</v>
          </cell>
          <cell r="F78">
            <v>147.59836366854077</v>
          </cell>
          <cell r="G78">
            <v>685.21292631716085</v>
          </cell>
          <cell r="H78">
            <v>137.04258526343216</v>
          </cell>
          <cell r="I78" t="str">
            <v>UND</v>
          </cell>
        </row>
        <row r="79">
          <cell r="A79" t="str">
            <v>42092</v>
          </cell>
          <cell r="B79" t="str">
            <v>GALLETA P/CAFE (CONT=40 UND)</v>
          </cell>
          <cell r="C79" t="str">
            <v>UND</v>
          </cell>
          <cell r="D79">
            <v>19.72</v>
          </cell>
          <cell r="E79">
            <v>3.6923669722222221</v>
          </cell>
          <cell r="F79">
            <v>6.3509491677912724</v>
          </cell>
          <cell r="G79">
            <v>51.81031512576552</v>
          </cell>
          <cell r="H79">
            <v>51.81031512576552</v>
          </cell>
          <cell r="I79" t="str">
            <v>UND</v>
          </cell>
        </row>
        <row r="80">
          <cell r="A80" t="str">
            <v>42103</v>
          </cell>
          <cell r="B80" t="str">
            <v>EMPANADA PIÑA LIGHT (PAQ=3 UND)</v>
          </cell>
          <cell r="C80" t="str">
            <v>PAQ</v>
          </cell>
        </row>
        <row r="81">
          <cell r="A81" t="str">
            <v>42115</v>
          </cell>
          <cell r="B81" t="str">
            <v>MINI CROISSANT HONGOS/TOCINETA (CAJA=6 UND)</v>
          </cell>
          <cell r="C81" t="str">
            <v>UND</v>
          </cell>
        </row>
        <row r="82">
          <cell r="A82" t="str">
            <v>42119</v>
          </cell>
          <cell r="B82" t="str">
            <v>EMPANADA CARNE PERUANA GRANDE (CAJA=3 UNID)</v>
          </cell>
          <cell r="C82" t="str">
            <v>UND</v>
          </cell>
          <cell r="D82">
            <v>184.75896482753404</v>
          </cell>
          <cell r="E82">
            <v>13.025635846608049</v>
          </cell>
          <cell r="F82">
            <v>80.297288149715087</v>
          </cell>
          <cell r="G82">
            <v>367.57840196516071</v>
          </cell>
          <cell r="H82">
            <v>367.57840196516071</v>
          </cell>
          <cell r="I82" t="str">
            <v>UND</v>
          </cell>
        </row>
        <row r="83">
          <cell r="A83" t="str">
            <v>42127</v>
          </cell>
          <cell r="B83" t="str">
            <v>EMPANADITA CAPRESSE (UND)</v>
          </cell>
          <cell r="C83" t="str">
            <v>UND</v>
          </cell>
        </row>
        <row r="84">
          <cell r="A84" t="str">
            <v>42128</v>
          </cell>
          <cell r="B84" t="str">
            <v>EMPANADITA TRES QUESOS (UND)</v>
          </cell>
          <cell r="C84" t="str">
            <v>CAJA</v>
          </cell>
          <cell r="D84">
            <v>649.19312453837108</v>
          </cell>
          <cell r="E84">
            <v>46.807696244282234</v>
          </cell>
          <cell r="F84">
            <v>238.7281980018526</v>
          </cell>
          <cell r="G84">
            <v>1235.9668479274364</v>
          </cell>
          <cell r="H84">
            <v>205.99447465457274</v>
          </cell>
          <cell r="I84" t="str">
            <v>UND</v>
          </cell>
        </row>
        <row r="85">
          <cell r="A85" t="str">
            <v>44003</v>
          </cell>
          <cell r="B85" t="str">
            <v>OREJITAS DULCES (BURBUJA)</v>
          </cell>
          <cell r="C85" t="str">
            <v>BURBU</v>
          </cell>
          <cell r="D85">
            <v>149.65275321467044</v>
          </cell>
          <cell r="E85">
            <v>71.081569033415903</v>
          </cell>
          <cell r="F85">
            <v>144.03467063562167</v>
          </cell>
          <cell r="G85">
            <v>842.75101253585979</v>
          </cell>
          <cell r="H85">
            <v>842.75101253585979</v>
          </cell>
          <cell r="I85" t="str">
            <v>BURBUJA</v>
          </cell>
        </row>
        <row r="86">
          <cell r="A86" t="str">
            <v>44009</v>
          </cell>
          <cell r="B86" t="str">
            <v>CHILENA P/ENSAMBLAR MEDIANA</v>
          </cell>
          <cell r="C86" t="str">
            <v>CAJA</v>
          </cell>
        </row>
        <row r="87">
          <cell r="A87" t="str">
            <v>44018</v>
          </cell>
          <cell r="B87" t="str">
            <v>GALLETA ESCANEADA (120g)</v>
          </cell>
          <cell r="C87" t="str">
            <v>BURBU</v>
          </cell>
        </row>
        <row r="88">
          <cell r="A88" t="str">
            <v>44019</v>
          </cell>
          <cell r="B88" t="str">
            <v>PALITOS DE QUESO BURBUJA (130 GRS)</v>
          </cell>
          <cell r="C88" t="str">
            <v>BURBU</v>
          </cell>
          <cell r="D88">
            <v>487.25353689741917</v>
          </cell>
          <cell r="E88">
            <v>71.923429595301911</v>
          </cell>
          <cell r="F88">
            <v>101.52250557096517</v>
          </cell>
          <cell r="G88">
            <v>1026.259091847116</v>
          </cell>
          <cell r="H88">
            <v>1026.259091847116</v>
          </cell>
          <cell r="I88" t="str">
            <v>BURBUJA</v>
          </cell>
        </row>
        <row r="89">
          <cell r="A89" t="str">
            <v>44020</v>
          </cell>
          <cell r="B89" t="str">
            <v>BURBUJA GALLETA LUNA</v>
          </cell>
          <cell r="C89" t="str">
            <v>BURBU</v>
          </cell>
        </row>
        <row r="90">
          <cell r="A90" t="str">
            <v>44021</v>
          </cell>
          <cell r="B90" t="str">
            <v>GALLETA ESCANEADA INDIVIDUAL</v>
          </cell>
          <cell r="C90" t="str">
            <v>UND</v>
          </cell>
        </row>
        <row r="91">
          <cell r="A91" t="str">
            <v>44049</v>
          </cell>
          <cell r="B91" t="str">
            <v>GALLETA MANTEQUILLA (CONT=18 UND)</v>
          </cell>
          <cell r="C91" t="str">
            <v>CONT</v>
          </cell>
          <cell r="D91">
            <v>354.96</v>
          </cell>
          <cell r="E91">
            <v>66.090840952380944</v>
          </cell>
          <cell r="F91">
            <v>145.11708502024291</v>
          </cell>
          <cell r="G91">
            <v>1061.846657433279</v>
          </cell>
          <cell r="H91">
            <v>1061.846657433279</v>
          </cell>
          <cell r="I91" t="str">
            <v>CONT</v>
          </cell>
        </row>
        <row r="92">
          <cell r="A92" t="str">
            <v>44051</v>
          </cell>
          <cell r="B92" t="str">
            <v>ALFAJORES (Para ensamblar)</v>
          </cell>
          <cell r="C92" t="str">
            <v>CAJA</v>
          </cell>
        </row>
        <row r="93">
          <cell r="A93" t="str">
            <v>78002</v>
          </cell>
          <cell r="B93" t="str">
            <v>LASAGNA DE POLLO (PIREX=6 PORC)</v>
          </cell>
          <cell r="C93" t="str">
            <v>PIREX</v>
          </cell>
          <cell r="D93">
            <v>4828.1732066215627</v>
          </cell>
          <cell r="E93">
            <v>286.39102114920632</v>
          </cell>
          <cell r="F93">
            <v>385.09754066984414</v>
          </cell>
          <cell r="G93">
            <v>7285.4347265677961</v>
          </cell>
          <cell r="H93">
            <v>1214.2391210946328</v>
          </cell>
          <cell r="I93" t="str">
            <v>PORCION</v>
          </cell>
        </row>
        <row r="94">
          <cell r="A94" t="str">
            <v>95132</v>
          </cell>
          <cell r="B94" t="str">
            <v>CHERRY P/TARTALETA (BOLSA=500g)</v>
          </cell>
          <cell r="C94" t="str">
            <v>BOLSA</v>
          </cell>
          <cell r="D94">
            <v>1323.7339999999999</v>
          </cell>
          <cell r="E94">
            <v>9.481730555555556</v>
          </cell>
          <cell r="F94">
            <v>42</v>
          </cell>
          <cell r="G94">
            <v>1804.9706463541665</v>
          </cell>
          <cell r="H94">
            <v>3.6099412927083332</v>
          </cell>
          <cell r="I94" t="str">
            <v>GRAMO</v>
          </cell>
        </row>
        <row r="95">
          <cell r="A95" t="str">
            <v>95217</v>
          </cell>
          <cell r="B95" t="str">
            <v>GALLETA PARA ALFAJOR MEDIANO (CAJA=42 UND)</v>
          </cell>
          <cell r="C95" t="str">
            <v>UND</v>
          </cell>
          <cell r="D95">
            <v>14.066912117670235</v>
          </cell>
          <cell r="E95">
            <v>1.0203808141794508</v>
          </cell>
          <cell r="F95">
            <v>6.7792207792207799</v>
          </cell>
          <cell r="G95">
            <v>28.699799245779985</v>
          </cell>
          <cell r="H95">
            <v>28.699799245779985</v>
          </cell>
          <cell r="I95" t="str">
            <v>UND</v>
          </cell>
        </row>
        <row r="96">
          <cell r="A96" t="str">
            <v>95445</v>
          </cell>
          <cell r="B96" t="str">
            <v>TARTALETA OVALADA SIN RELLENO (UND)</v>
          </cell>
          <cell r="C96" t="str">
            <v>UND</v>
          </cell>
          <cell r="D96">
            <v>52.843058724812039</v>
          </cell>
          <cell r="E96">
            <v>6.6610791878505786</v>
          </cell>
          <cell r="F96">
            <v>24.684523809523807</v>
          </cell>
          <cell r="G96">
            <v>110.49761851036969</v>
          </cell>
          <cell r="H96">
            <v>110.49761851036969</v>
          </cell>
          <cell r="I96" t="str">
            <v>UND</v>
          </cell>
        </row>
        <row r="97">
          <cell r="A97" t="str">
            <v>95607</v>
          </cell>
          <cell r="B97" t="str">
            <v>ALMENDRAS TAJADAS (BOLSA=500g)</v>
          </cell>
          <cell r="C97" t="str">
            <v>UND</v>
          </cell>
          <cell r="D97">
            <v>3504.2577204968939</v>
          </cell>
          <cell r="E97">
            <v>9.4817305555555542</v>
          </cell>
          <cell r="F97">
            <v>39.04170363797693</v>
          </cell>
          <cell r="G97">
            <v>4709.1430958262481</v>
          </cell>
          <cell r="H97">
            <v>9.4182861916524967</v>
          </cell>
          <cell r="I97" t="str">
            <v>GRAMO</v>
          </cell>
        </row>
        <row r="98">
          <cell r="A98" t="str">
            <v>96000</v>
          </cell>
          <cell r="B98" t="str">
            <v>BRILLO GLIT (BOLSA=500g)</v>
          </cell>
          <cell r="C98" t="str">
            <v>BOLSA</v>
          </cell>
          <cell r="D98">
            <v>1003.9235</v>
          </cell>
          <cell r="E98">
            <v>7.9737305555555551</v>
          </cell>
          <cell r="F98">
            <v>41.25</v>
          </cell>
          <cell r="G98">
            <v>1382.2557401041665</v>
          </cell>
          <cell r="H98">
            <v>2.7645114802083333</v>
          </cell>
          <cell r="I98" t="str">
            <v>GRAMO</v>
          </cell>
        </row>
        <row r="99">
          <cell r="A99" t="str">
            <v>96009</v>
          </cell>
          <cell r="B99" t="str">
            <v>TOPPING DE FRESA (BOLSA=400g)</v>
          </cell>
          <cell r="C99" t="str">
            <v>BOLSA</v>
          </cell>
          <cell r="D99">
            <v>807.44640000000004</v>
          </cell>
          <cell r="E99">
            <v>94.817305555555564</v>
          </cell>
          <cell r="F99">
            <v>55</v>
          </cell>
          <cell r="G99">
            <v>1268.2508246770833</v>
          </cell>
          <cell r="H99">
            <v>3.1706270616927084</v>
          </cell>
          <cell r="I99" t="str">
            <v>GRAMO</v>
          </cell>
        </row>
        <row r="100">
          <cell r="A100" t="str">
            <v>96010</v>
          </cell>
          <cell r="B100" t="str">
            <v>ICING COLORES (100g)</v>
          </cell>
          <cell r="C100" t="str">
            <v>BOLSA</v>
          </cell>
        </row>
        <row r="101">
          <cell r="A101" t="str">
            <v>96015</v>
          </cell>
          <cell r="B101" t="str">
            <v>GALLETA ALFAJOR PEQUEÑO (CAJA=36 UND)</v>
          </cell>
          <cell r="C101" t="str">
            <v>UND</v>
          </cell>
          <cell r="D101">
            <v>9.3388131113481965</v>
          </cell>
          <cell r="E101">
            <v>0.87122859876543202</v>
          </cell>
          <cell r="F101">
            <v>5.3152718550106606</v>
          </cell>
          <cell r="G101">
            <v>20.376974054225631</v>
          </cell>
          <cell r="H101">
            <v>20.376974054225631</v>
          </cell>
          <cell r="I101" t="str">
            <v>UND</v>
          </cell>
        </row>
        <row r="102">
          <cell r="A102" t="str">
            <v>710256</v>
          </cell>
          <cell r="B102" t="str">
            <v>CROISSANT GRANDE (UND )</v>
          </cell>
          <cell r="C102" t="str">
            <v>UND</v>
          </cell>
          <cell r="D102">
            <v>123.89697454065589</v>
          </cell>
          <cell r="E102">
            <v>17.587479733867372</v>
          </cell>
          <cell r="F102">
            <v>66.069469692220892</v>
          </cell>
          <cell r="G102">
            <v>272.4145252063517</v>
          </cell>
          <cell r="H102">
            <v>272.4145252063517</v>
          </cell>
          <cell r="I102" t="str">
            <v>UND</v>
          </cell>
        </row>
        <row r="103">
          <cell r="A103" t="str">
            <v>1520456</v>
          </cell>
          <cell r="B103" t="str">
            <v>FRIJOLES TIERNOS C/CALDO PARA CHIFRIJO (BOLSA=660g)</v>
          </cell>
          <cell r="C103" t="str">
            <v>BOLSA</v>
          </cell>
          <cell r="D103">
            <v>991.1095743266668</v>
          </cell>
          <cell r="E103">
            <v>17.931772167222221</v>
          </cell>
          <cell r="F103">
            <v>135.36111111111111</v>
          </cell>
          <cell r="G103">
            <v>1515.2718932792948</v>
          </cell>
          <cell r="H103">
            <v>2.2958665049686284</v>
          </cell>
          <cell r="I103" t="str">
            <v>GRAMO</v>
          </cell>
        </row>
        <row r="104">
          <cell r="A104" t="str">
            <v>1520478</v>
          </cell>
          <cell r="B104" t="str">
            <v>SALSA P/PECHUGAS RELLENAS (BOLSA=130g)</v>
          </cell>
          <cell r="C104" t="str">
            <v>BOLSA</v>
          </cell>
          <cell r="D104">
            <v>295.10000000000002</v>
          </cell>
          <cell r="E104">
            <v>7.2911861676646712</v>
          </cell>
          <cell r="F104">
            <v>39.859550561797754</v>
          </cell>
          <cell r="G104">
            <v>453.17297627587004</v>
          </cell>
          <cell r="H104">
            <v>3.4859459713528467</v>
          </cell>
          <cell r="I104" t="str">
            <v>GRAMO</v>
          </cell>
        </row>
        <row r="105">
          <cell r="A105" t="str">
            <v>1522341</v>
          </cell>
          <cell r="B105" t="str">
            <v>SALSA ROJA (BOLSA=400g)</v>
          </cell>
          <cell r="C105" t="str">
            <v>BOLSA</v>
          </cell>
          <cell r="D105">
            <v>443.45801831811025</v>
          </cell>
          <cell r="E105">
            <v>12.17154749577136</v>
          </cell>
          <cell r="F105">
            <v>96.761601049868773</v>
          </cell>
          <cell r="G105">
            <v>725.01340650867235</v>
          </cell>
          <cell r="H105">
            <v>1.8125335162716809</v>
          </cell>
          <cell r="I105" t="str">
            <v>GRAMO</v>
          </cell>
        </row>
        <row r="106">
          <cell r="A106" t="str">
            <v>1522344</v>
          </cell>
          <cell r="B106" t="str">
            <v>PURE PAPA TRUE (BOLSA=450g=3 PORC)</v>
          </cell>
          <cell r="C106" t="str">
            <v>UND</v>
          </cell>
          <cell r="D106">
            <v>618.62088059999985</v>
          </cell>
          <cell r="E106">
            <v>25.226400988095236</v>
          </cell>
          <cell r="F106">
            <v>102.065</v>
          </cell>
          <cell r="G106">
            <v>979.00986958437477</v>
          </cell>
          <cell r="H106">
            <v>2.1755774879652772</v>
          </cell>
          <cell r="I106" t="str">
            <v>GRAMO</v>
          </cell>
        </row>
        <row r="107">
          <cell r="A107" t="str">
            <v>1522347</v>
          </cell>
          <cell r="B107" t="str">
            <v>RELLENO DE LIMON (BOLSA=500g)</v>
          </cell>
          <cell r="C107" t="str">
            <v>BOLSA</v>
          </cell>
          <cell r="D107">
            <v>1154.2094999999999</v>
          </cell>
          <cell r="E107">
            <v>7.9737305555555551</v>
          </cell>
          <cell r="F107">
            <v>31.9</v>
          </cell>
          <cell r="G107">
            <v>1567.2342401041667</v>
          </cell>
          <cell r="H107">
            <v>3.1344684802083336</v>
          </cell>
          <cell r="I107" t="str">
            <v>GRAMO</v>
          </cell>
        </row>
        <row r="108">
          <cell r="A108" t="str">
            <v>1522352</v>
          </cell>
          <cell r="B108" t="str">
            <v>CHAOMIN (BOLSA=40g)</v>
          </cell>
          <cell r="C108" t="str">
            <v>BOLSA</v>
          </cell>
          <cell r="D108">
            <v>132.31899428571427</v>
          </cell>
          <cell r="E108">
            <v>5.0170966666666672</v>
          </cell>
          <cell r="F108">
            <v>66.314285714285717</v>
          </cell>
          <cell r="G108">
            <v>267.29111937499999</v>
          </cell>
          <cell r="H108">
            <v>6.6822779843750002</v>
          </cell>
          <cell r="I108" t="str">
            <v>GRAMO</v>
          </cell>
        </row>
        <row r="109">
          <cell r="A109" t="str">
            <v>1522353</v>
          </cell>
          <cell r="B109" t="str">
            <v>CROUTONS (BOLSA=20g)</v>
          </cell>
          <cell r="C109" t="str">
            <v>BOLSA</v>
          </cell>
          <cell r="D109">
            <v>94.621145000000013</v>
          </cell>
          <cell r="E109">
            <v>10.59185074352548</v>
          </cell>
          <cell r="F109">
            <v>35.444444444444443</v>
          </cell>
          <cell r="G109">
            <v>185.99381081584434</v>
          </cell>
          <cell r="H109">
            <v>9.2996905407922164</v>
          </cell>
          <cell r="I109" t="str">
            <v>GRAMO</v>
          </cell>
        </row>
        <row r="110">
          <cell r="A110" t="str">
            <v>1522354</v>
          </cell>
          <cell r="B110" t="str">
            <v>FIDEO THAI (PAQ=10g)</v>
          </cell>
          <cell r="C110" t="str">
            <v>BOLSA</v>
          </cell>
          <cell r="D110">
            <v>20.227958909090908</v>
          </cell>
          <cell r="E110">
            <v>4.0125955555555555</v>
          </cell>
          <cell r="F110">
            <v>10.833333333333334</v>
          </cell>
          <cell r="G110">
            <v>46.352635012196963</v>
          </cell>
          <cell r="H110">
            <v>4.6352635012196961</v>
          </cell>
          <cell r="I110" t="str">
            <v>GRAMO</v>
          </cell>
        </row>
        <row r="111">
          <cell r="A111" t="str">
            <v>1522361</v>
          </cell>
          <cell r="B111" t="str">
            <v>SALSA ARREGLADO (BOLSA=320g)</v>
          </cell>
          <cell r="C111" t="str">
            <v>BOLSA</v>
          </cell>
          <cell r="D111">
            <v>289.92336465608469</v>
          </cell>
          <cell r="E111">
            <v>9.3035401359186398</v>
          </cell>
          <cell r="F111">
            <v>50.780423280423278</v>
          </cell>
          <cell r="G111">
            <v>459.38461809505992</v>
          </cell>
          <cell r="H111">
            <v>1.4355769315470623</v>
          </cell>
          <cell r="I111" t="str">
            <v>GRAMO</v>
          </cell>
        </row>
        <row r="112">
          <cell r="A112" t="str">
            <v>1522386</v>
          </cell>
          <cell r="B112" t="str">
            <v>RELLENO POLLO LAPIZ (BOLSA=300g)</v>
          </cell>
          <cell r="C112" t="str">
            <v>BOLSA</v>
          </cell>
          <cell r="D112">
            <v>754.04482120850685</v>
          </cell>
          <cell r="E112">
            <v>25.116973262382597</v>
          </cell>
          <cell r="F112">
            <v>70.614320477166928</v>
          </cell>
          <cell r="G112">
            <v>1115.3311508693239</v>
          </cell>
          <cell r="H112">
            <v>3.7177705028977464</v>
          </cell>
          <cell r="I112" t="str">
            <v>GRAMO</v>
          </cell>
        </row>
        <row r="113">
          <cell r="A113" t="str">
            <v>1522458</v>
          </cell>
          <cell r="B113" t="str">
            <v>CEBOLLA CARAMELIZADA (BOLSA=75g)</v>
          </cell>
          <cell r="C113" t="str">
            <v>UND</v>
          </cell>
          <cell r="D113">
            <v>326.34923340039575</v>
          </cell>
          <cell r="E113">
            <v>10.457142834331338</v>
          </cell>
          <cell r="F113">
            <v>37.196833773087079</v>
          </cell>
          <cell r="G113">
            <v>490.87921313525612</v>
          </cell>
          <cell r="H113">
            <v>6.5450561751367484</v>
          </cell>
          <cell r="I113" t="str">
            <v>GRAMO</v>
          </cell>
        </row>
        <row r="114">
          <cell r="A114" t="str">
            <v>1522464</v>
          </cell>
          <cell r="B114" t="str">
            <v>CREMA DE BROCOLI (CONT=400g)</v>
          </cell>
          <cell r="C114" t="str">
            <v>TOPPER</v>
          </cell>
          <cell r="D114">
            <v>440.81931526302719</v>
          </cell>
          <cell r="E114">
            <v>70.68022666666667</v>
          </cell>
          <cell r="F114">
            <v>68.346774193548384</v>
          </cell>
          <cell r="G114">
            <v>767.76172139958271</v>
          </cell>
          <cell r="H114">
            <v>767.76172139958271</v>
          </cell>
          <cell r="I114" t="str">
            <v>TOPPER</v>
          </cell>
        </row>
        <row r="115">
          <cell r="A115" t="str">
            <v>1522491</v>
          </cell>
          <cell r="B115" t="str">
            <v>MADUROS EN MIEL (BOLSA=560g)</v>
          </cell>
          <cell r="C115" t="str">
            <v>BOLSA</v>
          </cell>
          <cell r="D115">
            <v>447.80621851878789</v>
          </cell>
          <cell r="E115">
            <v>13.161730555555556</v>
          </cell>
          <cell r="F115">
            <v>45.925696969696972</v>
          </cell>
          <cell r="G115">
            <v>665.29791043280295</v>
          </cell>
          <cell r="H115">
            <v>1.4784398009617843</v>
          </cell>
          <cell r="I115" t="str">
            <v>GRAMO</v>
          </cell>
        </row>
        <row r="116">
          <cell r="A116" t="str">
            <v>1522505</v>
          </cell>
          <cell r="B116" t="str">
            <v>BERENJENA EMPARRILLADA (BOLSA=240g)</v>
          </cell>
          <cell r="C116" t="str">
            <v>BOLSA</v>
          </cell>
          <cell r="D116">
            <v>632.63843916521728</v>
          </cell>
          <cell r="E116">
            <v>20.145725555555554</v>
          </cell>
          <cell r="F116">
            <v>158.86956521739131</v>
          </cell>
          <cell r="G116">
            <v>1367.927034981165</v>
          </cell>
          <cell r="H116">
            <v>5.6996959790881876</v>
          </cell>
          <cell r="I116" t="str">
            <v>GRAMO</v>
          </cell>
        </row>
        <row r="117">
          <cell r="A117" t="str">
            <v>1522506</v>
          </cell>
          <cell r="B117" t="str">
            <v>ZUCCINI EMPARRILLADO (BOLSA=160g)</v>
          </cell>
          <cell r="C117" t="str">
            <v>BOLSA</v>
          </cell>
          <cell r="D117">
            <v>524.35829333333345</v>
          </cell>
          <cell r="E117">
            <v>17.277725555555556</v>
          </cell>
          <cell r="F117">
            <v>140</v>
          </cell>
          <cell r="G117">
            <v>1169.4519262299998</v>
          </cell>
          <cell r="H117">
            <v>7.3090745389374989</v>
          </cell>
          <cell r="I117" t="str">
            <v>GRAMO</v>
          </cell>
        </row>
        <row r="118">
          <cell r="A118" t="str">
            <v>1620470</v>
          </cell>
          <cell r="B118" t="str">
            <v>PALMITO COCINADO (BOLSA=125g)</v>
          </cell>
          <cell r="C118" t="str">
            <v>BOLSA</v>
          </cell>
          <cell r="D118">
            <v>293.42508197368426</v>
          </cell>
          <cell r="E118">
            <v>24.151972266081874</v>
          </cell>
          <cell r="F118">
            <v>32.565789473684212</v>
          </cell>
          <cell r="G118">
            <v>463.73068121080047</v>
          </cell>
          <cell r="H118">
            <v>3.7098454496864037</v>
          </cell>
          <cell r="I118" t="str">
            <v>GRAMO</v>
          </cell>
        </row>
        <row r="119">
          <cell r="A119" t="str">
            <v>1620477</v>
          </cell>
          <cell r="B119" t="str">
            <v>TIQUEÑOS CON QUESO (TOPPER=720g=40 UNID)</v>
          </cell>
          <cell r="C119" t="str">
            <v>TOPPER</v>
          </cell>
          <cell r="D119">
            <v>2795.8038995348834</v>
          </cell>
          <cell r="E119">
            <v>109.58764588113695</v>
          </cell>
          <cell r="F119">
            <v>393.31395348837208</v>
          </cell>
          <cell r="G119">
            <v>4367.6842313456009</v>
          </cell>
          <cell r="H119">
            <v>109.19210578364002</v>
          </cell>
          <cell r="I119" t="str">
            <v>UND</v>
          </cell>
        </row>
        <row r="120">
          <cell r="A120" t="str">
            <v>1620479</v>
          </cell>
          <cell r="B120" t="str">
            <v>ACEITE DE AJO Y PEREJIL (BOLSA=200g)</v>
          </cell>
          <cell r="C120" t="str">
            <v>BOLSA</v>
          </cell>
          <cell r="D120">
            <v>558.12103443850265</v>
          </cell>
          <cell r="E120">
            <v>9.6140432743458533</v>
          </cell>
          <cell r="F120">
            <v>72.019272727272721</v>
          </cell>
          <cell r="G120">
            <v>839.67758495265912</v>
          </cell>
          <cell r="H120">
            <v>4.1983879247632956</v>
          </cell>
          <cell r="I120" t="str">
            <v>GRAMO</v>
          </cell>
        </row>
        <row r="121">
          <cell r="A121" t="str">
            <v>1620482</v>
          </cell>
          <cell r="B121" t="str">
            <v>GUISO AYOTE (BOLSA=160g)</v>
          </cell>
          <cell r="C121" t="str">
            <v>BOLSA</v>
          </cell>
          <cell r="D121">
            <v>171.99505984693874</v>
          </cell>
          <cell r="E121">
            <v>5.2691428343313369</v>
          </cell>
          <cell r="F121">
            <v>37.602040816326529</v>
          </cell>
          <cell r="G121">
            <v>284.33853725078723</v>
          </cell>
          <cell r="H121">
            <v>1.7771158578174202</v>
          </cell>
          <cell r="I121" t="str">
            <v>GRAMO</v>
          </cell>
        </row>
        <row r="122">
          <cell r="A122" t="str">
            <v>1620483</v>
          </cell>
          <cell r="B122" t="str">
            <v>PICADILLO PAPA C/CHORIZO (PAQ=160g)</v>
          </cell>
          <cell r="C122" t="str">
            <v>BOLSA</v>
          </cell>
          <cell r="D122" t="e">
            <v>#REF!</v>
          </cell>
          <cell r="E122">
            <v>8.6092266666666664</v>
          </cell>
          <cell r="F122">
            <v>55.986842105263158</v>
          </cell>
          <cell r="G122">
            <v>657.2805299573314</v>
          </cell>
          <cell r="H122">
            <v>4.108003312233321</v>
          </cell>
          <cell r="I122" t="str">
            <v>GRAMO</v>
          </cell>
        </row>
        <row r="123">
          <cell r="A123" t="str">
            <v>1620484</v>
          </cell>
          <cell r="B123" t="str">
            <v>TORTILLA ALINEADA (CAJA=8 UND)</v>
          </cell>
          <cell r="C123" t="str">
            <v>CAJA</v>
          </cell>
          <cell r="D123">
            <v>640</v>
          </cell>
          <cell r="E123">
            <v>0</v>
          </cell>
          <cell r="F123">
            <v>0</v>
          </cell>
          <cell r="G123">
            <v>1040</v>
          </cell>
          <cell r="H123">
            <v>130</v>
          </cell>
          <cell r="I123" t="str">
            <v>UND</v>
          </cell>
        </row>
        <row r="124">
          <cell r="A124" t="str">
            <v>1622325</v>
          </cell>
          <cell r="B124" t="str">
            <v>ADEREZO MOSTAZA MIEL (BOLSA=350g)</v>
          </cell>
          <cell r="C124" t="str">
            <v>BOLSA</v>
          </cell>
          <cell r="D124">
            <v>818.84295891494139</v>
          </cell>
          <cell r="E124">
            <v>9.4483257469590995</v>
          </cell>
          <cell r="F124">
            <v>58.802102711949928</v>
          </cell>
          <cell r="G124">
            <v>1164.3100709281787</v>
          </cell>
          <cell r="H124">
            <v>3.3266002026519392</v>
          </cell>
          <cell r="I124" t="str">
            <v>GRAMO</v>
          </cell>
        </row>
        <row r="125">
          <cell r="A125" t="str">
            <v>1622332</v>
          </cell>
          <cell r="B125" t="str">
            <v>QUESO PARMESANO (BOLSA=216g)</v>
          </cell>
          <cell r="C125" t="str">
            <v>BOLSA</v>
          </cell>
          <cell r="D125">
            <v>2032.2004720279722</v>
          </cell>
          <cell r="E125">
            <v>8.6335578142968146</v>
          </cell>
          <cell r="F125">
            <v>48.17307692307692</v>
          </cell>
          <cell r="G125">
            <v>2741.821827629517</v>
          </cell>
          <cell r="H125">
            <v>12.693619572358875</v>
          </cell>
          <cell r="I125" t="str">
            <v>GRAMO</v>
          </cell>
        </row>
        <row r="126">
          <cell r="A126" t="str">
            <v>1622333</v>
          </cell>
          <cell r="B126" t="str">
            <v>MAYONESA CHIPOTLE (BOLSA=700g)</v>
          </cell>
          <cell r="C126" t="str">
            <v>BOLSA</v>
          </cell>
          <cell r="D126">
            <v>579.06053071206236</v>
          </cell>
          <cell r="E126">
            <v>9.481730555555556</v>
          </cell>
          <cell r="F126">
            <v>72.256293441233922</v>
          </cell>
          <cell r="G126">
            <v>867.29810305536796</v>
          </cell>
          <cell r="H126">
            <v>1.2389972900790971</v>
          </cell>
          <cell r="I126" t="str">
            <v>GRAMO</v>
          </cell>
        </row>
        <row r="127">
          <cell r="A127" t="str">
            <v>1622334</v>
          </cell>
          <cell r="B127" t="str">
            <v>SALSA HONGOS PORTOBELLO (BOLSA=160g)</v>
          </cell>
          <cell r="C127" t="str">
            <v>BOLSA</v>
          </cell>
          <cell r="D127">
            <v>333.74277837864071</v>
          </cell>
          <cell r="E127">
            <v>6.7750972131920886</v>
          </cell>
          <cell r="F127">
            <v>39.911542936182563</v>
          </cell>
          <cell r="G127">
            <v>499.31361181802015</v>
          </cell>
          <cell r="H127">
            <v>3.1207100738626261</v>
          </cell>
          <cell r="I127" t="str">
            <v>GRAMO</v>
          </cell>
        </row>
        <row r="128">
          <cell r="A128" t="str">
            <v>1622336</v>
          </cell>
          <cell r="B128" t="str">
            <v>POLLO DESMENUZADO (PAQ=250g)</v>
          </cell>
          <cell r="C128" t="str">
            <v>PAQ</v>
          </cell>
          <cell r="D128">
            <v>914.0624351562501</v>
          </cell>
          <cell r="E128">
            <v>18.627226666666665</v>
          </cell>
          <cell r="F128">
            <v>79.921875</v>
          </cell>
          <cell r="G128">
            <v>1329.0526420800784</v>
          </cell>
          <cell r="H128">
            <v>5.3162105683203134</v>
          </cell>
          <cell r="I128" t="str">
            <v>GRAMO</v>
          </cell>
        </row>
        <row r="129">
          <cell r="A129">
            <v>20100079</v>
          </cell>
          <cell r="B129" t="str">
            <v>Empaque pechuga parrilla Cruda (1 unidad)</v>
          </cell>
          <cell r="C129" t="str">
            <v>PAQ</v>
          </cell>
          <cell r="D129">
            <v>451.79085164512088</v>
          </cell>
          <cell r="E129">
            <v>6.4776120768910737</v>
          </cell>
          <cell r="F129">
            <v>58.132530120481931</v>
          </cell>
          <cell r="G129">
            <v>683.79107800462464</v>
          </cell>
          <cell r="H129">
            <v>683.79107800462464</v>
          </cell>
          <cell r="I129" t="str">
            <v>UND</v>
          </cell>
        </row>
        <row r="130">
          <cell r="A130" t="str">
            <v>1622340</v>
          </cell>
          <cell r="B130" t="str">
            <v>MAYONESA CHILE MORRON (BOLSA=700g)</v>
          </cell>
          <cell r="C130" t="str">
            <v>BOLSA</v>
          </cell>
        </row>
        <row r="131">
          <cell r="A131" t="str">
            <v>1622342</v>
          </cell>
          <cell r="B131" t="str">
            <v>FRIJOLES NEGROS CASADITO (BOLSA=520g=4 PORC)</v>
          </cell>
          <cell r="C131" t="str">
            <v>BOLSA</v>
          </cell>
          <cell r="D131">
            <v>647.65550580645174</v>
          </cell>
          <cell r="E131">
            <v>29.763052698128234</v>
          </cell>
          <cell r="F131">
            <v>139.63560334528077</v>
          </cell>
          <cell r="G131">
            <v>583.88834124448988</v>
          </cell>
          <cell r="H131">
            <v>1.1228621947009421</v>
          </cell>
          <cell r="I131" t="str">
            <v>GRAMO</v>
          </cell>
        </row>
        <row r="132">
          <cell r="A132" t="str">
            <v>1622343</v>
          </cell>
          <cell r="B132" t="str">
            <v>FRIJOLES MOLIDOS (PAQ=400g)</v>
          </cell>
          <cell r="C132" t="str">
            <v>BOLSA</v>
          </cell>
          <cell r="D132">
            <v>490.03813814476746</v>
          </cell>
          <cell r="E132">
            <v>24.675437025401539</v>
          </cell>
          <cell r="F132">
            <v>80.166012170098355</v>
          </cell>
          <cell r="G132">
            <v>780.77945838410085</v>
          </cell>
          <cell r="H132">
            <v>1.9519486459602522</v>
          </cell>
          <cell r="I132" t="str">
            <v>GRAMO</v>
          </cell>
        </row>
        <row r="133">
          <cell r="A133" t="str">
            <v>1622344</v>
          </cell>
          <cell r="B133" t="str">
            <v>ADEREZO VINAGRETA ALBAHACA (BOLSA=700g)</v>
          </cell>
          <cell r="C133" t="str">
            <v>BOLSA</v>
          </cell>
          <cell r="D133">
            <v>1832.6019400593473</v>
          </cell>
          <cell r="E133">
            <v>9.1076508654797212</v>
          </cell>
          <cell r="F133">
            <v>100.61572700296736</v>
          </cell>
          <cell r="G133">
            <v>2573.4744181611181</v>
          </cell>
          <cell r="H133">
            <v>3.6763920259444545</v>
          </cell>
          <cell r="I133" t="str">
            <v>GRAMO</v>
          </cell>
        </row>
        <row r="134">
          <cell r="A134" t="str">
            <v>1622357</v>
          </cell>
          <cell r="B134" t="str">
            <v>ADEREZO TEJANO (BOLSA=350g)</v>
          </cell>
          <cell r="C134" t="str">
            <v>BOLSA</v>
          </cell>
          <cell r="D134">
            <v>531.81941303704843</v>
          </cell>
          <cell r="E134">
            <v>9.9511428343313373</v>
          </cell>
          <cell r="F134">
            <v>160.71577448128093</v>
          </cell>
          <cell r="G134">
            <v>929.12404713367914</v>
          </cell>
          <cell r="H134">
            <v>2.6546401346676545</v>
          </cell>
          <cell r="I134" t="str">
            <v>GRAMO</v>
          </cell>
        </row>
        <row r="135">
          <cell r="A135" t="str">
            <v>1622394</v>
          </cell>
          <cell r="B135" t="str">
            <v>SALSA TAMARINDO (210g)</v>
          </cell>
          <cell r="C135" t="str">
            <v>UND</v>
          </cell>
          <cell r="D135">
            <v>139.74235404999999</v>
          </cell>
          <cell r="E135">
            <v>7.3227395843313374</v>
          </cell>
          <cell r="F135">
            <v>41.75</v>
          </cell>
          <cell r="G135">
            <v>249.75003974901045</v>
          </cell>
          <cell r="H135">
            <v>1.1892859035667165</v>
          </cell>
          <cell r="I135" t="str">
            <v>GRAMO</v>
          </cell>
        </row>
        <row r="136">
          <cell r="A136" t="str">
            <v>1622396</v>
          </cell>
          <cell r="B136" t="str">
            <v>SALSA LIMON Y ALCAPARRAS (250g)</v>
          </cell>
          <cell r="C136" t="str">
            <v>BOLSA</v>
          </cell>
          <cell r="D136">
            <v>490.15264735553239</v>
          </cell>
          <cell r="E136">
            <v>5.2937855069054542</v>
          </cell>
          <cell r="F136">
            <v>57.948802100426647</v>
          </cell>
          <cell r="G136">
            <v>732.83398032007904</v>
          </cell>
          <cell r="H136">
            <v>2.9313359212803163</v>
          </cell>
          <cell r="I136" t="str">
            <v>GRAMO</v>
          </cell>
        </row>
        <row r="137">
          <cell r="A137" t="str">
            <v>1622400</v>
          </cell>
          <cell r="B137" t="str">
            <v>ADEREZO ALBAHACA CAPRESSE (BOLSA=350g)</v>
          </cell>
          <cell r="C137" t="str">
            <v>BOLSA</v>
          </cell>
          <cell r="D137">
            <v>493.294885237198</v>
          </cell>
          <cell r="E137">
            <v>11.417500650414654</v>
          </cell>
          <cell r="F137">
            <v>80.27794303797468</v>
          </cell>
          <cell r="G137">
            <v>774.42415677960832</v>
          </cell>
          <cell r="H137">
            <v>2.2126404479417379</v>
          </cell>
          <cell r="I137" t="str">
            <v>GRAMO</v>
          </cell>
        </row>
        <row r="138">
          <cell r="A138" t="str">
            <v>1622401</v>
          </cell>
          <cell r="B138" t="str">
            <v>ADEREZO ALCAPARRAS (BOLSA=350g)</v>
          </cell>
          <cell r="C138" t="str">
            <v>BOLSA</v>
          </cell>
          <cell r="D138">
            <v>1115.2224276548552</v>
          </cell>
          <cell r="E138">
            <v>10.445407085990714</v>
          </cell>
          <cell r="F138">
            <v>104.62081661857782</v>
          </cell>
          <cell r="G138">
            <v>1614.7538549092437</v>
          </cell>
          <cell r="H138">
            <v>4.6135824425978393</v>
          </cell>
          <cell r="I138" t="str">
            <v>GRAMO</v>
          </cell>
        </row>
        <row r="139">
          <cell r="A139" t="str">
            <v>1622406</v>
          </cell>
          <cell r="B139" t="str">
            <v>ADEREZO CESAR (BOLSA=300g)</v>
          </cell>
          <cell r="C139" t="str">
            <v>BOLSA</v>
          </cell>
          <cell r="D139">
            <v>884.89826747772486</v>
          </cell>
          <cell r="E139">
            <v>6.7771428343313369</v>
          </cell>
          <cell r="F139">
            <v>80.924178016781781</v>
          </cell>
          <cell r="G139">
            <v>1288.2401994419454</v>
          </cell>
          <cell r="H139">
            <v>4.2941339981398183</v>
          </cell>
          <cell r="I139" t="str">
            <v>GRAMO</v>
          </cell>
        </row>
        <row r="140">
          <cell r="A140" t="str">
            <v>1622407</v>
          </cell>
          <cell r="B140" t="str">
            <v>ADEREZO DRESSING LOW (BOLSA=300g)</v>
          </cell>
          <cell r="C140" t="str">
            <v>BOLSA</v>
          </cell>
          <cell r="D140">
            <v>546.80726901503158</v>
          </cell>
          <cell r="E140">
            <v>8.3275732232202273</v>
          </cell>
          <cell r="F140">
            <v>98</v>
          </cell>
          <cell r="G140">
            <v>1007.1012410371676</v>
          </cell>
          <cell r="H140">
            <v>3.3570041367905588</v>
          </cell>
          <cell r="I140" t="str">
            <v>GRAMO</v>
          </cell>
        </row>
        <row r="141">
          <cell r="A141" t="str">
            <v>1622408</v>
          </cell>
          <cell r="B141" t="str">
            <v>ADEREZO THAI (BOLSA=300g)</v>
          </cell>
          <cell r="C141" t="str">
            <v>BOLSA</v>
          </cell>
          <cell r="D141">
            <v>813.28739736842078</v>
          </cell>
          <cell r="E141">
            <v>6.8322978975382576</v>
          </cell>
          <cell r="F141">
            <v>59.02493074792244</v>
          </cell>
          <cell r="G141">
            <v>1126.8261824110057</v>
          </cell>
          <cell r="H141">
            <v>3.7560872747033525</v>
          </cell>
          <cell r="I141" t="str">
            <v>GRAMO</v>
          </cell>
        </row>
        <row r="142">
          <cell r="A142" t="str">
            <v>1622409</v>
          </cell>
          <cell r="B142" t="str">
            <v>ADEREZO GRILL (BOLSA=500g)</v>
          </cell>
          <cell r="C142" t="str">
            <v>BOLSA</v>
          </cell>
          <cell r="D142">
            <v>857.3772367465823</v>
          </cell>
          <cell r="E142">
            <v>8.1655322222222217</v>
          </cell>
          <cell r="F142">
            <v>65.882050732004558</v>
          </cell>
          <cell r="G142">
            <v>1233.8553247000275</v>
          </cell>
          <cell r="H142">
            <v>2.4677106494000549</v>
          </cell>
          <cell r="I142" t="str">
            <v>GRAMO</v>
          </cell>
        </row>
        <row r="143">
          <cell r="A143" t="str">
            <v>1622410</v>
          </cell>
          <cell r="B143" t="str">
            <v>CARNE MECHADA  (BOLSA=300g)</v>
          </cell>
          <cell r="C143" t="str">
            <v>BOLSA</v>
          </cell>
          <cell r="D143">
            <v>1206.7563718176229</v>
          </cell>
          <cell r="E143">
            <v>36.865699665296219</v>
          </cell>
          <cell r="F143">
            <v>104.31246584308541</v>
          </cell>
          <cell r="G143">
            <v>1769.1640802403811</v>
          </cell>
          <cell r="H143">
            <v>5.8972136008012699</v>
          </cell>
          <cell r="I143" t="str">
            <v>GRAMO</v>
          </cell>
        </row>
        <row r="144">
          <cell r="A144" t="str">
            <v>1622411</v>
          </cell>
          <cell r="B144" t="str">
            <v>HONGOS SALTEADOS (BOLSA=100g)</v>
          </cell>
          <cell r="C144" t="str">
            <v>BOLSA</v>
          </cell>
          <cell r="D144">
            <v>362.93204697024026</v>
          </cell>
          <cell r="E144">
            <v>5.2656417232202273</v>
          </cell>
          <cell r="F144">
            <v>47.220329867335963</v>
          </cell>
          <cell r="G144">
            <v>550.06874402514688</v>
          </cell>
          <cell r="H144">
            <v>5.5006874402514692</v>
          </cell>
          <cell r="I144" t="str">
            <v>GRAMO</v>
          </cell>
        </row>
        <row r="145">
          <cell r="A145" t="str">
            <v>1622414</v>
          </cell>
          <cell r="B145" t="str">
            <v>ADEREZOS PEPINILLOS Y ANCHOAS (BOLSA=130g)</v>
          </cell>
          <cell r="C145" t="str">
            <v>BOLSA</v>
          </cell>
          <cell r="D145">
            <v>385.77670861102013</v>
          </cell>
          <cell r="E145">
            <v>8.3107006285791023</v>
          </cell>
          <cell r="F145">
            <v>122.26116338365037</v>
          </cell>
          <cell r="G145">
            <v>682.87989881428496</v>
          </cell>
          <cell r="H145">
            <v>5.2529222985714226</v>
          </cell>
          <cell r="I145" t="str">
            <v>GRAMO</v>
          </cell>
        </row>
        <row r="146">
          <cell r="A146" t="str">
            <v>1622415</v>
          </cell>
          <cell r="B146" t="str">
            <v>PAPA COCTEL (BOLSA=110g)</v>
          </cell>
          <cell r="C146" t="str">
            <v>BOLSA</v>
          </cell>
          <cell r="D146">
            <v>105.953992</v>
          </cell>
          <cell r="E146">
            <v>5.2691428343313369</v>
          </cell>
          <cell r="F146">
            <v>31.9</v>
          </cell>
          <cell r="G146">
            <v>189.30891811476044</v>
          </cell>
          <cell r="H146">
            <v>1.7209901646796404</v>
          </cell>
          <cell r="I146" t="str">
            <v>GRAMO</v>
          </cell>
        </row>
        <row r="147">
          <cell r="A147" t="str">
            <v>1622416</v>
          </cell>
          <cell r="B147" t="str">
            <v>QUINUA BLANCA (BOLSA=300g)</v>
          </cell>
          <cell r="C147" t="str">
            <v>BOLSA</v>
          </cell>
          <cell r="D147">
            <v>629.49170533333336</v>
          </cell>
          <cell r="E147">
            <v>9.5103788888888889</v>
          </cell>
          <cell r="F147">
            <v>96.25</v>
          </cell>
          <cell r="G147">
            <v>973.40526289708339</v>
          </cell>
          <cell r="H147">
            <v>3.2446842096569446</v>
          </cell>
          <cell r="I147" t="str">
            <v>GRAMO</v>
          </cell>
        </row>
        <row r="148">
          <cell r="A148" t="str">
            <v>1622428</v>
          </cell>
          <cell r="B148" t="str">
            <v>FUDGE LOCALES (BOLSA=390g)</v>
          </cell>
          <cell r="C148" t="str">
            <v>BOLSA</v>
          </cell>
        </row>
        <row r="149">
          <cell r="A149" t="str">
            <v>1622429</v>
          </cell>
          <cell r="B149" t="str">
            <v>RIZOS FLOREADOS DE CHOCOLATE (BOLSA=200g)</v>
          </cell>
          <cell r="C149" t="str">
            <v>BOLSA</v>
          </cell>
          <cell r="D149">
            <v>1736.73</v>
          </cell>
          <cell r="E149">
            <v>4.8701239055222887</v>
          </cell>
          <cell r="F149">
            <v>55</v>
          </cell>
          <cell r="G149">
            <v>2358.0376626259977</v>
          </cell>
          <cell r="H149">
            <v>11.790188313129988</v>
          </cell>
          <cell r="I149" t="str">
            <v>GRAMO</v>
          </cell>
        </row>
        <row r="150">
          <cell r="A150" t="str">
            <v>1622434</v>
          </cell>
          <cell r="B150" t="str">
            <v>LENTEJAS COCIDAS (BOLSA=300g)</v>
          </cell>
          <cell r="C150" t="str">
            <v>BOLSA</v>
          </cell>
          <cell r="D150">
            <v>165.66393650000001</v>
          </cell>
          <cell r="E150">
            <v>9.5279594444444431</v>
          </cell>
          <cell r="F150">
            <v>210.00000000000003</v>
          </cell>
          <cell r="G150">
            <v>1071.6701455565001</v>
          </cell>
          <cell r="H150">
            <v>3.5722338185216671</v>
          </cell>
          <cell r="I150" t="str">
            <v>GRAMO</v>
          </cell>
        </row>
        <row r="151">
          <cell r="A151" t="str">
            <v>1622435</v>
          </cell>
          <cell r="B151" t="str">
            <v>SALSA BBQ DE NARANJA Y ROMERO (BOLSA=500g)</v>
          </cell>
          <cell r="C151" t="str">
            <v>BOLSA</v>
          </cell>
        </row>
        <row r="152">
          <cell r="A152" t="str">
            <v>1622436</v>
          </cell>
          <cell r="B152" t="str">
            <v>ADEREZO PESTO ALBAHACA (BOLSA=300g)</v>
          </cell>
          <cell r="C152" t="str">
            <v>BOLSA</v>
          </cell>
          <cell r="D152">
            <v>740.3758370249999</v>
          </cell>
          <cell r="E152">
            <v>7.287835514217794</v>
          </cell>
          <cell r="F152">
            <v>54.505405405405412</v>
          </cell>
          <cell r="G152">
            <v>1030.199879742205</v>
          </cell>
          <cell r="H152">
            <v>3.4339995991406833</v>
          </cell>
          <cell r="I152" t="str">
            <v>GRAMO</v>
          </cell>
        </row>
        <row r="153">
          <cell r="A153" t="str">
            <v>6000177</v>
          </cell>
          <cell r="B153" t="str">
            <v>EMPANADA POLLO Y AJONJOLI (UND)</v>
          </cell>
          <cell r="C153" t="str">
            <v>UND</v>
          </cell>
          <cell r="D153">
            <v>556.21926026471147</v>
          </cell>
          <cell r="E153">
            <v>34.208351003192078</v>
          </cell>
          <cell r="F153">
            <v>176.78261233355292</v>
          </cell>
          <cell r="G153">
            <v>1014.712780874803</v>
          </cell>
          <cell r="H153">
            <v>1014.712780874803</v>
          </cell>
          <cell r="I153" t="str">
            <v>UND</v>
          </cell>
        </row>
        <row r="154">
          <cell r="A154">
            <v>20200056</v>
          </cell>
          <cell r="B154" t="str">
            <v>TORTA MITAD Y MITAD</v>
          </cell>
          <cell r="C154" t="str">
            <v>UND</v>
          </cell>
          <cell r="D154">
            <v>3804.1458809337378</v>
          </cell>
          <cell r="E154">
            <v>452.8786430184478</v>
          </cell>
          <cell r="F154">
            <v>698.20210202177623</v>
          </cell>
          <cell r="G154">
            <v>6559.6083934676972</v>
          </cell>
          <cell r="H154">
            <v>6559.6083934676972</v>
          </cell>
          <cell r="I154" t="str">
            <v>UND</v>
          </cell>
        </row>
        <row r="155">
          <cell r="A155" t="str">
            <v>36026</v>
          </cell>
          <cell r="B155" t="str">
            <v>TORTA CARAMELO MEDIANA</v>
          </cell>
          <cell r="C155" t="str">
            <v>UND</v>
          </cell>
          <cell r="D155">
            <v>3314.253646781603</v>
          </cell>
          <cell r="E155">
            <v>495.64177290035542</v>
          </cell>
          <cell r="F155">
            <v>423.71518895047825</v>
          </cell>
          <cell r="G155">
            <v>5612.1800630683747</v>
          </cell>
          <cell r="H155">
            <v>5612.1800630683747</v>
          </cell>
          <cell r="I155" t="str">
            <v>UND</v>
          </cell>
        </row>
        <row r="156">
          <cell r="A156">
            <v>20100111</v>
          </cell>
          <cell r="B156" t="str">
            <v>SALSA CULANTRO (BOLSA 200G)</v>
          </cell>
          <cell r="C156" t="str">
            <v>BOLSA</v>
          </cell>
          <cell r="D156">
            <v>300.23665583193832</v>
          </cell>
          <cell r="E156">
            <v>6.2201336578145829</v>
          </cell>
          <cell r="F156">
            <v>115.01829361702127</v>
          </cell>
          <cell r="G156">
            <v>557.20829193969416</v>
          </cell>
          <cell r="H156">
            <v>2.7860414596984708</v>
          </cell>
          <cell r="I156" t="str">
            <v>GRAMO</v>
          </cell>
        </row>
      </sheetData>
      <sheetData sheetId="5">
        <row r="2">
          <cell r="A2" t="str">
            <v>42069</v>
          </cell>
          <cell r="B2" t="str">
            <v>TACOS DE POLLO 20 PQT</v>
          </cell>
          <cell r="C2" t="str">
            <v>UND</v>
          </cell>
          <cell r="D2">
            <v>219.45000000000002</v>
          </cell>
          <cell r="E2" t="str">
            <v>UND</v>
          </cell>
          <cell r="F2">
            <v>219.45000000000002</v>
          </cell>
        </row>
        <row r="3">
          <cell r="A3" t="str">
            <v>0101013</v>
          </cell>
          <cell r="B3" t="str">
            <v>PAPITA RAYADA (PAQ=1.5 KILOS)</v>
          </cell>
          <cell r="C3" t="str">
            <v>KILO</v>
          </cell>
          <cell r="D3">
            <v>11440.000000000002</v>
          </cell>
          <cell r="E3" t="str">
            <v>GRAMO</v>
          </cell>
          <cell r="F3">
            <v>11.440000000000001</v>
          </cell>
        </row>
        <row r="4">
          <cell r="A4" t="str">
            <v>0101015</v>
          </cell>
          <cell r="B4" t="str">
            <v>ARVEJA CHINA (PAQ=200g)</v>
          </cell>
          <cell r="C4" t="str">
            <v>KILO</v>
          </cell>
          <cell r="D4" t="e">
            <v>#N/A</v>
          </cell>
          <cell r="E4" t="str">
            <v>GRAMO</v>
          </cell>
          <cell r="F4" t="e">
            <v>#N/A</v>
          </cell>
        </row>
        <row r="5">
          <cell r="A5" t="str">
            <v>0101019</v>
          </cell>
          <cell r="B5" t="str">
            <v>ZANAHORIA TIRAS (PAQ=500g)</v>
          </cell>
          <cell r="C5" t="str">
            <v>KILO</v>
          </cell>
          <cell r="D5">
            <v>941.6</v>
          </cell>
          <cell r="E5" t="str">
            <v>GRAMO</v>
          </cell>
          <cell r="F5">
            <v>0.94159999999999999</v>
          </cell>
        </row>
        <row r="6">
          <cell r="A6" t="str">
            <v>0101023</v>
          </cell>
          <cell r="B6" t="str">
            <v>REMOLACHA TIRAS (PAQ=500g)</v>
          </cell>
          <cell r="C6" t="str">
            <v>KILO</v>
          </cell>
          <cell r="D6">
            <v>1199</v>
          </cell>
          <cell r="E6" t="str">
            <v>GRAMO</v>
          </cell>
          <cell r="F6">
            <v>1.1990000000000001</v>
          </cell>
        </row>
        <row r="7">
          <cell r="A7" t="str">
            <v>0101031</v>
          </cell>
          <cell r="B7" t="str">
            <v>LECHUGA ROMANA PICADA (PAQ=200g)</v>
          </cell>
          <cell r="C7" t="str">
            <v>PAQ</v>
          </cell>
          <cell r="D7">
            <v>434.50000000000006</v>
          </cell>
          <cell r="E7" t="str">
            <v>GRAMO</v>
          </cell>
          <cell r="F7">
            <v>2.1725000000000003</v>
          </cell>
        </row>
        <row r="8">
          <cell r="A8" t="str">
            <v>0101040</v>
          </cell>
          <cell r="B8" t="str">
            <v>CEBOLLA EN TRENZA</v>
          </cell>
          <cell r="C8" t="str">
            <v>KILO</v>
          </cell>
          <cell r="D8">
            <v>1822.7</v>
          </cell>
          <cell r="E8" t="str">
            <v>GRAMO</v>
          </cell>
          <cell r="F8">
            <v>1.8227</v>
          </cell>
        </row>
        <row r="9">
          <cell r="A9" t="str">
            <v>0101042</v>
          </cell>
          <cell r="B9" t="str">
            <v>CEBOLLA MORADA JULIANA ( KILO )</v>
          </cell>
          <cell r="C9" t="str">
            <v>KILO</v>
          </cell>
          <cell r="D9">
            <v>2420</v>
          </cell>
          <cell r="E9" t="str">
            <v>GRAMO</v>
          </cell>
          <cell r="F9">
            <v>2.42</v>
          </cell>
        </row>
        <row r="10">
          <cell r="A10" t="str">
            <v>0101055</v>
          </cell>
          <cell r="B10" t="str">
            <v>CHILE DULCE (KILO)</v>
          </cell>
          <cell r="C10" t="str">
            <v>KILO</v>
          </cell>
          <cell r="D10">
            <v>1554.6696000000002</v>
          </cell>
          <cell r="E10" t="str">
            <v>GRAMO</v>
          </cell>
          <cell r="F10">
            <v>1.5546696000000002</v>
          </cell>
        </row>
        <row r="11">
          <cell r="A11" t="str">
            <v>0101072</v>
          </cell>
          <cell r="B11" t="str">
            <v>CULANTRO DESINFECTADO (UND=100g)</v>
          </cell>
          <cell r="C11" t="str">
            <v>UND</v>
          </cell>
          <cell r="D11">
            <v>550</v>
          </cell>
          <cell r="E11" t="str">
            <v>GRAMO</v>
          </cell>
          <cell r="F11">
            <v>5.5</v>
          </cell>
        </row>
        <row r="12">
          <cell r="A12" t="str">
            <v>0101080</v>
          </cell>
          <cell r="B12" t="str">
            <v>FRESAS ENTERA (BURBUJA=300 GRAMOS)</v>
          </cell>
          <cell r="C12" t="str">
            <v>KILO</v>
          </cell>
          <cell r="D12">
            <v>3116.6663000000003</v>
          </cell>
          <cell r="E12" t="str">
            <v>GRAMO</v>
          </cell>
          <cell r="F12">
            <v>3.1166663000000003</v>
          </cell>
        </row>
        <row r="13">
          <cell r="A13" t="str">
            <v>0101085</v>
          </cell>
          <cell r="B13" t="str">
            <v>BANANO UNI</v>
          </cell>
          <cell r="C13" t="str">
            <v>UND</v>
          </cell>
          <cell r="D13">
            <v>93.500000000000014</v>
          </cell>
          <cell r="E13" t="str">
            <v>UND</v>
          </cell>
          <cell r="F13">
            <v>93.500000000000014</v>
          </cell>
        </row>
        <row r="14">
          <cell r="A14" t="str">
            <v>0101086</v>
          </cell>
          <cell r="B14" t="str">
            <v>ELOTE MINI (BANDEJA=200g)</v>
          </cell>
          <cell r="C14" t="str">
            <v>KILO</v>
          </cell>
          <cell r="D14" t="e">
            <v>#N/A</v>
          </cell>
          <cell r="E14" t="str">
            <v>GRAMO</v>
          </cell>
          <cell r="F14" t="e">
            <v>#N/A</v>
          </cell>
        </row>
        <row r="15">
          <cell r="A15" t="str">
            <v>0101111</v>
          </cell>
          <cell r="B15" t="str">
            <v>ALBAHACA BOLSA 100 GR</v>
          </cell>
          <cell r="C15" t="str">
            <v>KILO</v>
          </cell>
          <cell r="D15" t="e">
            <v>#N/A</v>
          </cell>
          <cell r="E15" t="str">
            <v>GRAMO</v>
          </cell>
          <cell r="F15" t="e">
            <v>#N/A</v>
          </cell>
        </row>
        <row r="16">
          <cell r="A16" t="str">
            <v>0101125</v>
          </cell>
          <cell r="B16" t="str">
            <v>LECHUGA AMERICANA ENTERA ( PAQ 500g )</v>
          </cell>
          <cell r="C16" t="str">
            <v>KILO</v>
          </cell>
          <cell r="D16">
            <v>2145</v>
          </cell>
          <cell r="E16" t="str">
            <v>GRAMO</v>
          </cell>
          <cell r="F16">
            <v>2.145</v>
          </cell>
        </row>
        <row r="17">
          <cell r="A17" t="str">
            <v>0101128</v>
          </cell>
          <cell r="B17" t="str">
            <v>VAINICA BABY (PAQ=200g)</v>
          </cell>
          <cell r="C17" t="str">
            <v>KILO</v>
          </cell>
          <cell r="D17" t="e">
            <v>#N/A</v>
          </cell>
          <cell r="E17" t="str">
            <v>GRAMO</v>
          </cell>
          <cell r="F17" t="e">
            <v>#N/A</v>
          </cell>
        </row>
        <row r="18">
          <cell r="A18" t="str">
            <v>0101130</v>
          </cell>
          <cell r="B18" t="str">
            <v>LIMONES MAYA 10 UNID</v>
          </cell>
          <cell r="C18" t="str">
            <v>UND</v>
          </cell>
          <cell r="D18">
            <v>197.64359999999999</v>
          </cell>
          <cell r="E18" t="str">
            <v>UND</v>
          </cell>
          <cell r="F18">
            <v>197.64359999999999</v>
          </cell>
        </row>
        <row r="19">
          <cell r="A19" t="str">
            <v>0101133</v>
          </cell>
          <cell r="B19" t="str">
            <v>LECHUGA MIX ( .500 KG )</v>
          </cell>
          <cell r="C19" t="str">
            <v>KILO</v>
          </cell>
          <cell r="D19">
            <v>2461.3292000000001</v>
          </cell>
          <cell r="E19" t="str">
            <v>GRAMO</v>
          </cell>
          <cell r="F19">
            <v>2.4613292000000002</v>
          </cell>
        </row>
        <row r="20">
          <cell r="A20" t="str">
            <v>0101136</v>
          </cell>
          <cell r="B20" t="str">
            <v>ENSALADA DE FRUTAS (BURBUJA=180g)</v>
          </cell>
          <cell r="C20" t="str">
            <v>BURBU</v>
          </cell>
          <cell r="D20">
            <v>506.00000000000006</v>
          </cell>
          <cell r="E20" t="str">
            <v>BURBUJA</v>
          </cell>
          <cell r="F20">
            <v>506.00000000000006</v>
          </cell>
        </row>
        <row r="21">
          <cell r="A21" t="str">
            <v>0101170</v>
          </cell>
          <cell r="B21" t="str">
            <v>PAPAS FREIR (PAQ= 2.5 Kg)</v>
          </cell>
          <cell r="C21" t="str">
            <v>KILO</v>
          </cell>
          <cell r="D21">
            <v>987.97799999999995</v>
          </cell>
          <cell r="E21" t="str">
            <v>GRAMO</v>
          </cell>
          <cell r="F21">
            <v>0.98797799999999991</v>
          </cell>
        </row>
        <row r="22">
          <cell r="A22" t="str">
            <v>0101175</v>
          </cell>
          <cell r="B22" t="str">
            <v>PEPINO ENTERO</v>
          </cell>
          <cell r="C22" t="str">
            <v>KILO</v>
          </cell>
          <cell r="D22">
            <v>660</v>
          </cell>
          <cell r="E22" t="str">
            <v>GRAMO</v>
          </cell>
          <cell r="F22">
            <v>0.66</v>
          </cell>
        </row>
        <row r="23">
          <cell r="A23" t="str">
            <v>0101180</v>
          </cell>
          <cell r="B23" t="str">
            <v>PEREJIL ( 32 gr )</v>
          </cell>
          <cell r="C23" t="str">
            <v>KILO</v>
          </cell>
          <cell r="D23" t="e">
            <v>#N/A</v>
          </cell>
          <cell r="E23" t="str">
            <v>GRAMO</v>
          </cell>
          <cell r="F23" t="e">
            <v>#N/A</v>
          </cell>
        </row>
        <row r="24">
          <cell r="A24" t="str">
            <v>0101195</v>
          </cell>
          <cell r="B24" t="str">
            <v>RABANO ( 5 UND )</v>
          </cell>
          <cell r="C24" t="str">
            <v>KILO</v>
          </cell>
          <cell r="D24">
            <v>1826.3663000000001</v>
          </cell>
          <cell r="E24" t="str">
            <v>GRAMO</v>
          </cell>
          <cell r="F24">
            <v>1.8263663000000001</v>
          </cell>
        </row>
        <row r="25">
          <cell r="A25" t="str">
            <v>0101201</v>
          </cell>
          <cell r="B25" t="str">
            <v>REPOLLO MORADO RALLADO PAQ 250 GRS</v>
          </cell>
          <cell r="C25" t="str">
            <v>KILO</v>
          </cell>
          <cell r="D25">
            <v>1780.2037</v>
          </cell>
          <cell r="E25" t="str">
            <v>GRAMO</v>
          </cell>
          <cell r="F25">
            <v>1.7802036999999999</v>
          </cell>
        </row>
        <row r="26">
          <cell r="A26" t="str">
            <v>0101204</v>
          </cell>
          <cell r="B26" t="str">
            <v>HIERBA BUENA (100G)</v>
          </cell>
          <cell r="C26" t="str">
            <v>KILO</v>
          </cell>
          <cell r="D26" t="e">
            <v>#N/A</v>
          </cell>
          <cell r="E26" t="str">
            <v>GRAMO</v>
          </cell>
          <cell r="F26" t="e">
            <v>#N/A</v>
          </cell>
        </row>
        <row r="27">
          <cell r="A27" t="str">
            <v>0101210</v>
          </cell>
          <cell r="B27" t="str">
            <v>TOMATE (KILO)</v>
          </cell>
          <cell r="C27" t="str">
            <v>KILO</v>
          </cell>
          <cell r="D27">
            <v>748.00000000000011</v>
          </cell>
          <cell r="E27" t="str">
            <v>GRAMO</v>
          </cell>
          <cell r="F27">
            <v>0.74800000000000011</v>
          </cell>
        </row>
        <row r="28">
          <cell r="A28" t="str">
            <v>0101220</v>
          </cell>
          <cell r="B28" t="str">
            <v>TOMATE CHERRY (PAQ=200g)</v>
          </cell>
          <cell r="C28" t="str">
            <v>KILO</v>
          </cell>
          <cell r="D28" t="e">
            <v>#N/A</v>
          </cell>
          <cell r="E28" t="str">
            <v>GRAMO</v>
          </cell>
          <cell r="F28" t="e">
            <v>#N/A</v>
          </cell>
        </row>
        <row r="29">
          <cell r="A29" t="str">
            <v>0101235</v>
          </cell>
          <cell r="B29" t="str">
            <v>ZANAHORIA RALLADA PAQ 1/2 KG</v>
          </cell>
          <cell r="C29" t="str">
            <v>KILO</v>
          </cell>
          <cell r="D29">
            <v>1320</v>
          </cell>
          <cell r="E29" t="str">
            <v>GRAMO</v>
          </cell>
          <cell r="F29">
            <v>1.32</v>
          </cell>
        </row>
        <row r="30">
          <cell r="A30" t="str">
            <v>0101236</v>
          </cell>
          <cell r="B30" t="str">
            <v>ZANAHORIA FAJITAS ( PAQ=500g )</v>
          </cell>
          <cell r="C30" t="str">
            <v>KILO</v>
          </cell>
          <cell r="D30">
            <v>1974.5000000000002</v>
          </cell>
          <cell r="E30" t="str">
            <v>GRAMO</v>
          </cell>
          <cell r="F30">
            <v>1.9745000000000001</v>
          </cell>
        </row>
        <row r="31">
          <cell r="A31" t="str">
            <v>0101245</v>
          </cell>
          <cell r="B31" t="str">
            <v>ZUQUINI MINI (PAQ=200g)</v>
          </cell>
          <cell r="C31" t="str">
            <v>KILO</v>
          </cell>
          <cell r="D31">
            <v>2200</v>
          </cell>
          <cell r="E31" t="str">
            <v>GRAMO</v>
          </cell>
          <cell r="F31">
            <v>2.2000000000000002</v>
          </cell>
        </row>
        <row r="32">
          <cell r="A32" t="str">
            <v>0101267</v>
          </cell>
          <cell r="B32" t="str">
            <v>AGUACATE ( 5 UND= KILO)</v>
          </cell>
          <cell r="C32" t="str">
            <v>KILO</v>
          </cell>
          <cell r="D32">
            <v>3803.1367</v>
          </cell>
          <cell r="E32" t="str">
            <v>UND</v>
          </cell>
          <cell r="F32">
            <v>806.26498040000001</v>
          </cell>
        </row>
        <row r="33">
          <cell r="A33" t="str">
            <v>0110048</v>
          </cell>
          <cell r="B33" t="str">
            <v>CARAMBOLA (KILO)</v>
          </cell>
          <cell r="C33" t="str">
            <v>KILO</v>
          </cell>
          <cell r="D33">
            <v>990.00000000000011</v>
          </cell>
          <cell r="E33" t="str">
            <v>GRAMO</v>
          </cell>
          <cell r="F33">
            <v>0.9900000000000001</v>
          </cell>
        </row>
        <row r="34">
          <cell r="A34" t="str">
            <v>0110049</v>
          </cell>
          <cell r="B34" t="str">
            <v>MANGO MADURO (PAQ=1/2 KILO)</v>
          </cell>
          <cell r="C34" t="str">
            <v>KILO</v>
          </cell>
          <cell r="D34">
            <v>3300.0000000000005</v>
          </cell>
          <cell r="E34" t="str">
            <v>GRAMO</v>
          </cell>
          <cell r="F34">
            <v>3.3000000000000003</v>
          </cell>
        </row>
        <row r="35">
          <cell r="A35" t="str">
            <v>0110071</v>
          </cell>
          <cell r="B35" t="str">
            <v>ARANDANOS CONGELADOS (PAQ=2.26 Kg)</v>
          </cell>
          <cell r="C35" t="str">
            <v>KILO</v>
          </cell>
          <cell r="D35">
            <v>3891.91</v>
          </cell>
          <cell r="E35" t="str">
            <v>GRAMO</v>
          </cell>
          <cell r="F35">
            <v>3.8919099999999998</v>
          </cell>
        </row>
        <row r="36">
          <cell r="A36" t="str">
            <v>0110080</v>
          </cell>
          <cell r="B36" t="str">
            <v>CEBOLLA MORADA KG</v>
          </cell>
          <cell r="C36" t="str">
            <v>KILO</v>
          </cell>
          <cell r="D36">
            <v>1650.0000000000002</v>
          </cell>
          <cell r="E36" t="str">
            <v>GRAMO</v>
          </cell>
          <cell r="F36">
            <v>1.6500000000000001</v>
          </cell>
        </row>
        <row r="37">
          <cell r="A37" t="str">
            <v>0210047</v>
          </cell>
          <cell r="B37" t="str">
            <v>CHICHARON (450g)</v>
          </cell>
          <cell r="C37" t="str">
            <v>KILO</v>
          </cell>
          <cell r="D37">
            <v>6528.5132000000003</v>
          </cell>
          <cell r="E37" t="str">
            <v>GRAMO</v>
          </cell>
          <cell r="F37">
            <v>6.5285131999999999</v>
          </cell>
        </row>
        <row r="38">
          <cell r="A38" t="str">
            <v>0210059</v>
          </cell>
          <cell r="B38" t="str">
            <v>CAMARON EMPANIZADO 71/90 (KILO)</v>
          </cell>
          <cell r="C38" t="str">
            <v>KILO</v>
          </cell>
          <cell r="D38">
            <v>6861.4</v>
          </cell>
          <cell r="E38" t="str">
            <v>GRAMO</v>
          </cell>
          <cell r="F38">
            <v>6.8613999999999997</v>
          </cell>
        </row>
        <row r="39">
          <cell r="A39" t="str">
            <v>0210063</v>
          </cell>
          <cell r="B39" t="str">
            <v>ROAST BEEF (PAQ=1 KILO )</v>
          </cell>
          <cell r="C39" t="str">
            <v>KILO</v>
          </cell>
          <cell r="D39">
            <v>6057.7099000000007</v>
          </cell>
          <cell r="E39" t="str">
            <v>GRAMO</v>
          </cell>
          <cell r="F39">
            <v>6.0577099000000008</v>
          </cell>
        </row>
        <row r="40">
          <cell r="A40" t="str">
            <v>0210064</v>
          </cell>
          <cell r="B40" t="str">
            <v>SALMON EN MEDALLON ( KILO)</v>
          </cell>
          <cell r="C40" t="str">
            <v>KILO</v>
          </cell>
          <cell r="D40">
            <v>8745.1320000000014</v>
          </cell>
          <cell r="E40" t="str">
            <v>GRAMO</v>
          </cell>
          <cell r="F40">
            <v>8.7451320000000017</v>
          </cell>
        </row>
        <row r="41">
          <cell r="A41" t="str">
            <v>0210073</v>
          </cell>
          <cell r="B41" t="str">
            <v>JAMON DE COCIDO  (500G)</v>
          </cell>
          <cell r="C41" t="str">
            <v>KILO</v>
          </cell>
          <cell r="D41">
            <v>4517.7528000000002</v>
          </cell>
          <cell r="E41" t="str">
            <v>GRAMO</v>
          </cell>
          <cell r="F41">
            <v>4.5177528000000002</v>
          </cell>
        </row>
        <row r="42">
          <cell r="A42" t="str">
            <v>0210091</v>
          </cell>
          <cell r="B42" t="str">
            <v>TOCINETA(PAQ=1 KILO)</v>
          </cell>
          <cell r="C42" t="str">
            <v>KILO</v>
          </cell>
          <cell r="D42">
            <v>5490.1</v>
          </cell>
          <cell r="E42" t="str">
            <v>GRAMO</v>
          </cell>
          <cell r="F42">
            <v>5.4901</v>
          </cell>
        </row>
        <row r="43">
          <cell r="A43" t="str">
            <v>210444</v>
          </cell>
          <cell r="B43" t="str">
            <v>FILET DE TILAPIA ( 5-7 oz. p/Kg)</v>
          </cell>
          <cell r="C43" t="str">
            <v>KILO</v>
          </cell>
          <cell r="D43">
            <v>2759.0619999999999</v>
          </cell>
          <cell r="E43" t="str">
            <v>GRAMO</v>
          </cell>
          <cell r="F43">
            <v>2.7590619999999997</v>
          </cell>
        </row>
        <row r="44">
          <cell r="A44" t="str">
            <v>210891</v>
          </cell>
          <cell r="B44" t="str">
            <v>LOMO FAJITAS (PAQ= 400g)</v>
          </cell>
          <cell r="C44" t="str">
            <v>PAQ</v>
          </cell>
          <cell r="D44">
            <v>4053.1051000000002</v>
          </cell>
          <cell r="E44" t="str">
            <v>GRAMO</v>
          </cell>
          <cell r="F44">
            <v>10.132762750000001</v>
          </cell>
        </row>
        <row r="45">
          <cell r="A45" t="str">
            <v>0212274</v>
          </cell>
          <cell r="B45" t="str">
            <v>PECHUGA DE PAVO 250 GR</v>
          </cell>
          <cell r="C45" t="str">
            <v>KILO</v>
          </cell>
          <cell r="D45">
            <v>741.95</v>
          </cell>
          <cell r="E45" t="str">
            <v>GRAMO</v>
          </cell>
          <cell r="F45">
            <v>0.74195</v>
          </cell>
        </row>
        <row r="46">
          <cell r="A46" t="str">
            <v>0310088</v>
          </cell>
          <cell r="B46" t="str">
            <v>MANTEQUILLA BLISTER 10g (CAJA=100 UND)</v>
          </cell>
          <cell r="C46" t="str">
            <v>UND</v>
          </cell>
          <cell r="D46">
            <v>80.334100000000007</v>
          </cell>
          <cell r="E46" t="str">
            <v>UND</v>
          </cell>
          <cell r="F46">
            <v>80.334100000000007</v>
          </cell>
        </row>
        <row r="47">
          <cell r="A47" t="str">
            <v>0310104</v>
          </cell>
          <cell r="B47" t="str">
            <v>HELADOS CREAMRICA (1/2 GALON)</v>
          </cell>
          <cell r="C47" t="str">
            <v>UND</v>
          </cell>
          <cell r="D47">
            <v>9680</v>
          </cell>
          <cell r="E47" t="str">
            <v>GRAMO</v>
          </cell>
          <cell r="F47">
            <v>5.1162790697674421</v>
          </cell>
        </row>
        <row r="48">
          <cell r="A48" t="str">
            <v>0310108</v>
          </cell>
          <cell r="B48" t="str">
            <v>LECHE HOMOGENIZADA TB 3.5%  (1  Litro)</v>
          </cell>
          <cell r="C48" t="str">
            <v>LITRO</v>
          </cell>
          <cell r="D48">
            <v>647.96699999999998</v>
          </cell>
          <cell r="E48" t="str">
            <v>MILILITRO</v>
          </cell>
          <cell r="F48">
            <v>0.64796699999999996</v>
          </cell>
        </row>
        <row r="49">
          <cell r="A49" t="str">
            <v>0310109</v>
          </cell>
          <cell r="B49" t="str">
            <v>LECHE DESCREMADA (LITRO)</v>
          </cell>
          <cell r="C49" t="str">
            <v>LITRO</v>
          </cell>
          <cell r="D49">
            <v>768.58299999999997</v>
          </cell>
          <cell r="E49" t="str">
            <v>MILILITRO</v>
          </cell>
          <cell r="F49">
            <v>0.76858300000000002</v>
          </cell>
        </row>
        <row r="50">
          <cell r="A50" t="str">
            <v>0310112</v>
          </cell>
          <cell r="B50" t="str">
            <v>QUESO PRADO RICO REBANADO ( 2.3 KG )</v>
          </cell>
          <cell r="C50" t="str">
            <v>KILO</v>
          </cell>
          <cell r="D50">
            <v>5678.64</v>
          </cell>
          <cell r="E50" t="str">
            <v>GRAMO</v>
          </cell>
          <cell r="F50">
            <v>5.6786400000000006</v>
          </cell>
        </row>
        <row r="51">
          <cell r="A51" t="str">
            <v>0310122</v>
          </cell>
          <cell r="B51" t="str">
            <v>YOGURTH IN LINE NAT ( 500 GR )</v>
          </cell>
          <cell r="C51" t="str">
            <v>KILO</v>
          </cell>
          <cell r="D51">
            <v>1866.454</v>
          </cell>
          <cell r="E51" t="str">
            <v>GRAMO</v>
          </cell>
          <cell r="F51">
            <v>1.8664540000000001</v>
          </cell>
        </row>
        <row r="52">
          <cell r="A52" t="str">
            <v>0310141</v>
          </cell>
          <cell r="B52" t="str">
            <v>QUESO GOUDA (160 gr )</v>
          </cell>
          <cell r="C52" t="str">
            <v>KILO</v>
          </cell>
          <cell r="D52">
            <v>11428.312500000002</v>
          </cell>
          <cell r="E52" t="str">
            <v>GRAMO</v>
          </cell>
          <cell r="F52">
            <v>11.428312500000002</v>
          </cell>
        </row>
        <row r="53">
          <cell r="A53" t="str">
            <v>310205</v>
          </cell>
          <cell r="B53" t="str">
            <v>QUESO FETA (200 GRMS)</v>
          </cell>
          <cell r="C53" t="str">
            <v>KILO</v>
          </cell>
          <cell r="D53">
            <v>14830.695000000002</v>
          </cell>
          <cell r="E53" t="str">
            <v>GRAMO</v>
          </cell>
          <cell r="F53">
            <v>14.830695000000002</v>
          </cell>
        </row>
        <row r="54">
          <cell r="A54" t="str">
            <v>310211</v>
          </cell>
          <cell r="B54" t="str">
            <v>QUESO CHEDDAR RALLADO (225 gr)</v>
          </cell>
          <cell r="C54" t="str">
            <v>KILO</v>
          </cell>
          <cell r="D54">
            <v>9789.5769999999993</v>
          </cell>
          <cell r="E54" t="str">
            <v>GRAMO</v>
          </cell>
          <cell r="F54">
            <v>9.7895769999999995</v>
          </cell>
        </row>
        <row r="55">
          <cell r="A55" t="str">
            <v>310214</v>
          </cell>
          <cell r="B55" t="str">
            <v>QUESO FETA EN CUBOS  KILO</v>
          </cell>
          <cell r="C55" t="str">
            <v>KILO</v>
          </cell>
          <cell r="D55">
            <v>15713.775000000001</v>
          </cell>
          <cell r="E55" t="str">
            <v>GRAMO</v>
          </cell>
          <cell r="F55">
            <v>15.713775000000002</v>
          </cell>
        </row>
        <row r="56">
          <cell r="A56" t="str">
            <v>0312241</v>
          </cell>
          <cell r="B56" t="str">
            <v>MIXTURA (1.8925 LIT)</v>
          </cell>
          <cell r="C56" t="str">
            <v>LITRO</v>
          </cell>
          <cell r="D56">
            <v>1859.9735000000001</v>
          </cell>
          <cell r="E56" t="str">
            <v>MILILITRO</v>
          </cell>
          <cell r="F56">
            <v>1.8599735000000002</v>
          </cell>
        </row>
        <row r="57">
          <cell r="A57" t="str">
            <v>0312250</v>
          </cell>
          <cell r="B57" t="str">
            <v>MEZCLA BEBIDA MARACUYA (946ML)</v>
          </cell>
          <cell r="C57" t="str">
            <v>LITRO</v>
          </cell>
          <cell r="D57">
            <v>3229.4760000000001</v>
          </cell>
          <cell r="E57" t="str">
            <v>MILILITRO</v>
          </cell>
          <cell r="F57">
            <v>3.229476</v>
          </cell>
        </row>
        <row r="58">
          <cell r="A58" t="str">
            <v>0312277</v>
          </cell>
          <cell r="B58" t="str">
            <v>QUESO BOCCONCINI  (500 GR)</v>
          </cell>
          <cell r="C58" t="str">
            <v>KILO</v>
          </cell>
          <cell r="D58">
            <v>8472.2660000000014</v>
          </cell>
          <cell r="E58" t="str">
            <v>GRAMO</v>
          </cell>
          <cell r="F58">
            <v>8.4722660000000012</v>
          </cell>
        </row>
        <row r="59">
          <cell r="A59" t="str">
            <v>0410165</v>
          </cell>
          <cell r="B59" t="str">
            <v>TOPPING GOURM. D/CHOCOLATE ( 1.89 LT )</v>
          </cell>
          <cell r="C59" t="str">
            <v>LITRO</v>
          </cell>
          <cell r="D59">
            <v>5479.4784000000009</v>
          </cell>
          <cell r="E59" t="str">
            <v>MILILITRO</v>
          </cell>
          <cell r="F59">
            <v>5.4794784000000005</v>
          </cell>
        </row>
        <row r="60">
          <cell r="A60" t="str">
            <v>0412306</v>
          </cell>
          <cell r="B60" t="str">
            <v>CREMA PRESTIGE GRAND (4 LITROS)</v>
          </cell>
          <cell r="C60" t="str">
            <v>LITRO</v>
          </cell>
          <cell r="D60">
            <v>1772.1055000000003</v>
          </cell>
          <cell r="E60" t="str">
            <v>MILILITRO</v>
          </cell>
          <cell r="F60">
            <v>1.7721055000000003</v>
          </cell>
        </row>
        <row r="61">
          <cell r="A61" t="str">
            <v>0412312</v>
          </cell>
          <cell r="B61" t="str">
            <v>YUCA CONGELADA (PAQ=1KILO)</v>
          </cell>
          <cell r="C61" t="str">
            <v>KILO</v>
          </cell>
          <cell r="D61">
            <v>1923.7790000000002</v>
          </cell>
          <cell r="E61" t="str">
            <v>GRAMO</v>
          </cell>
          <cell r="F61">
            <v>1.9237790000000001</v>
          </cell>
        </row>
        <row r="62">
          <cell r="A62" t="str">
            <v>0510131</v>
          </cell>
          <cell r="B62" t="str">
            <v>CAFE FRAILES (PAQ=250g)</v>
          </cell>
          <cell r="C62" t="str">
            <v>KILO</v>
          </cell>
          <cell r="D62">
            <v>3960.0000000000005</v>
          </cell>
          <cell r="E62" t="str">
            <v>GRAMO</v>
          </cell>
          <cell r="F62">
            <v>3.9600000000000004</v>
          </cell>
        </row>
        <row r="63">
          <cell r="A63" t="str">
            <v>0510136</v>
          </cell>
          <cell r="B63" t="str">
            <v>CAFE FRAILES GRANO (250g)</v>
          </cell>
          <cell r="C63" t="str">
            <v>KILO</v>
          </cell>
          <cell r="D63">
            <v>3960.0000000000005</v>
          </cell>
          <cell r="E63" t="str">
            <v>GRAMO</v>
          </cell>
          <cell r="F63">
            <v>3.9600000000000004</v>
          </cell>
        </row>
        <row r="64">
          <cell r="A64" t="str">
            <v>0510152</v>
          </cell>
          <cell r="B64" t="str">
            <v>AZUCAR SOBRES PERSO. SPOON (1000 * PAQ)</v>
          </cell>
          <cell r="C64" t="str">
            <v>UND</v>
          </cell>
          <cell r="D64">
            <v>5.62</v>
          </cell>
          <cell r="E64" t="str">
            <v>UND</v>
          </cell>
          <cell r="F64">
            <v>5.62</v>
          </cell>
        </row>
        <row r="65">
          <cell r="A65" t="str">
            <v>0510155</v>
          </cell>
          <cell r="B65" t="str">
            <v>AZUCAR GLASS MOLIDA ( 4 KG )</v>
          </cell>
          <cell r="C65" t="str">
            <v>KILO</v>
          </cell>
          <cell r="D65">
            <v>1429.17</v>
          </cell>
          <cell r="E65" t="str">
            <v>GRAMO</v>
          </cell>
          <cell r="F65">
            <v>1.4291700000000001</v>
          </cell>
        </row>
        <row r="66">
          <cell r="A66" t="str">
            <v>0510158</v>
          </cell>
          <cell r="B66" t="str">
            <v>AZUCAR REFINADA VICTORIA ( 1 KG )</v>
          </cell>
          <cell r="C66" t="str">
            <v>KILO</v>
          </cell>
          <cell r="D66">
            <v>842.59559999999999</v>
          </cell>
          <cell r="E66" t="str">
            <v>GRAMO</v>
          </cell>
          <cell r="F66">
            <v>0.8425956</v>
          </cell>
        </row>
        <row r="67">
          <cell r="A67" t="str">
            <v>0510163</v>
          </cell>
          <cell r="B67" t="str">
            <v>CAFÉ BRITT ( 70 GRS )</v>
          </cell>
          <cell r="C67" t="str">
            <v>KILO</v>
          </cell>
          <cell r="D67">
            <v>7071.4160000000002</v>
          </cell>
          <cell r="E67" t="str">
            <v>GRAMO</v>
          </cell>
          <cell r="F67">
            <v>7.0714160000000001</v>
          </cell>
        </row>
        <row r="68">
          <cell r="A68" t="str">
            <v>0510176</v>
          </cell>
          <cell r="B68" t="str">
            <v>CAFÉ FRAILES SPOON (75 g)</v>
          </cell>
          <cell r="C68" t="str">
            <v>KILO</v>
          </cell>
          <cell r="D68">
            <v>6050.0000000000009</v>
          </cell>
          <cell r="E68" t="str">
            <v>GRAMO</v>
          </cell>
          <cell r="F68">
            <v>6.0500000000000007</v>
          </cell>
        </row>
        <row r="69">
          <cell r="A69" t="str">
            <v>0510178</v>
          </cell>
          <cell r="B69" t="str">
            <v>CAFÉ BRITT EXPRESSO  GRANO (2LB)</v>
          </cell>
          <cell r="C69" t="str">
            <v>KILO</v>
          </cell>
          <cell r="D69">
            <v>7020.7939999999999</v>
          </cell>
          <cell r="E69" t="str">
            <v>GRAMO</v>
          </cell>
          <cell r="F69">
            <v>7.0207939999999995</v>
          </cell>
        </row>
        <row r="70">
          <cell r="A70" t="str">
            <v>0510179</v>
          </cell>
          <cell r="B70" t="str">
            <v>CONFITURA COLORES(PAQ=1 KILO)</v>
          </cell>
          <cell r="C70" t="str">
            <v>KILO</v>
          </cell>
          <cell r="D70">
            <v>3564.0000000000005</v>
          </cell>
          <cell r="E70" t="str">
            <v>GRAMO</v>
          </cell>
          <cell r="F70">
            <v>3.5640000000000005</v>
          </cell>
        </row>
        <row r="71">
          <cell r="A71" t="str">
            <v>0510203</v>
          </cell>
          <cell r="B71" t="str">
            <v>SAL INDIVIDUAL ( 500 UND )</v>
          </cell>
          <cell r="C71" t="str">
            <v>UND</v>
          </cell>
          <cell r="D71">
            <v>5.7779999999999996</v>
          </cell>
          <cell r="E71" t="str">
            <v>UND</v>
          </cell>
          <cell r="F71">
            <v>5.7779999999999996</v>
          </cell>
        </row>
        <row r="72">
          <cell r="A72" t="str">
            <v>0510204</v>
          </cell>
          <cell r="B72" t="str">
            <v>SAL REFINADA ( 500 GRS )</v>
          </cell>
          <cell r="C72" t="str">
            <v>KILO</v>
          </cell>
          <cell r="D72">
            <v>335.43</v>
          </cell>
          <cell r="E72" t="str">
            <v>GRAMO</v>
          </cell>
          <cell r="F72">
            <v>0.33543000000000001</v>
          </cell>
        </row>
        <row r="73">
          <cell r="A73" t="str">
            <v>0510234</v>
          </cell>
          <cell r="B73" t="str">
            <v>AZUCAR ZUCRA (PAQ=1000 UND )</v>
          </cell>
          <cell r="C73" t="str">
            <v>UND</v>
          </cell>
          <cell r="D73">
            <v>8.8715000000000011</v>
          </cell>
          <cell r="E73" t="str">
            <v>UND</v>
          </cell>
          <cell r="F73">
            <v>8.8715000000000011</v>
          </cell>
        </row>
        <row r="74">
          <cell r="A74" t="str">
            <v>0510277</v>
          </cell>
          <cell r="B74" t="str">
            <v>AJONJOLI NEGRO (PAQ=300g)</v>
          </cell>
          <cell r="C74" t="str">
            <v>KILO</v>
          </cell>
          <cell r="D74">
            <v>4970.5337000000009</v>
          </cell>
          <cell r="E74" t="str">
            <v>GRAMO</v>
          </cell>
          <cell r="F74">
            <v>4.9705337000000007</v>
          </cell>
        </row>
        <row r="75">
          <cell r="A75" t="str">
            <v>0510284</v>
          </cell>
          <cell r="B75" t="str">
            <v>PASA NEGRA (PAQ=1 KILO)</v>
          </cell>
          <cell r="C75" t="str">
            <v>KILO</v>
          </cell>
          <cell r="D75">
            <v>2388.5708</v>
          </cell>
          <cell r="E75" t="str">
            <v>GRAMO</v>
          </cell>
          <cell r="F75">
            <v>2.3885708000000001</v>
          </cell>
        </row>
        <row r="76">
          <cell r="A76" t="str">
            <v>0510293</v>
          </cell>
          <cell r="B76" t="str">
            <v>SNACK DE PLATANO (PAQ=180g)</v>
          </cell>
          <cell r="C76" t="str">
            <v>KILO</v>
          </cell>
          <cell r="D76">
            <v>4579.1118999999999</v>
          </cell>
          <cell r="E76" t="str">
            <v>GRAMO</v>
          </cell>
          <cell r="F76">
            <v>4.5791119</v>
          </cell>
        </row>
        <row r="77">
          <cell r="A77" t="str">
            <v>0510299</v>
          </cell>
          <cell r="B77" t="str">
            <v>SACHET CAFE FRAILES 12g (PAQ= 50 UND)</v>
          </cell>
          <cell r="C77" t="str">
            <v>PAQ</v>
          </cell>
          <cell r="D77">
            <v>25850.000000000004</v>
          </cell>
          <cell r="E77" t="str">
            <v>UND</v>
          </cell>
          <cell r="F77">
            <v>517.00000000000011</v>
          </cell>
        </row>
        <row r="78">
          <cell r="A78" t="str">
            <v>510303</v>
          </cell>
          <cell r="B78" t="str">
            <v>AJONJOLI BLANCO (PAQ=200GRM)</v>
          </cell>
          <cell r="C78" t="str">
            <v>KILO</v>
          </cell>
          <cell r="D78">
            <v>3707.4895000000006</v>
          </cell>
          <cell r="E78" t="str">
            <v>GRAMO</v>
          </cell>
          <cell r="F78">
            <v>3.7074895000000008</v>
          </cell>
        </row>
        <row r="79">
          <cell r="A79" t="str">
            <v>510304</v>
          </cell>
          <cell r="B79" t="str">
            <v>SNACK YUCA SOLDANZA (PAQ=135g)</v>
          </cell>
          <cell r="C79" t="str">
            <v>KILO</v>
          </cell>
          <cell r="D79">
            <v>4852.2221</v>
          </cell>
          <cell r="E79" t="str">
            <v>GRAMO</v>
          </cell>
          <cell r="F79">
            <v>4.8522220999999996</v>
          </cell>
        </row>
        <row r="80">
          <cell r="A80" t="str">
            <v>510400</v>
          </cell>
          <cell r="B80" t="str">
            <v>CANASTA PLATANO VERDE (PAQ= 10 UND)</v>
          </cell>
          <cell r="C80" t="str">
            <v>PAQ</v>
          </cell>
          <cell r="D80">
            <v>2640</v>
          </cell>
          <cell r="E80" t="str">
            <v>UND</v>
          </cell>
          <cell r="F80">
            <v>264</v>
          </cell>
        </row>
        <row r="81">
          <cell r="A81" t="str">
            <v>510409</v>
          </cell>
          <cell r="B81" t="str">
            <v>PEPPERMINT BARK ( 1K )</v>
          </cell>
          <cell r="C81" t="str">
            <v>KILO</v>
          </cell>
          <cell r="D81">
            <v>8000</v>
          </cell>
          <cell r="E81" t="str">
            <v>GRAMO</v>
          </cell>
          <cell r="F81">
            <v>8</v>
          </cell>
        </row>
        <row r="82">
          <cell r="A82" t="str">
            <v>510411</v>
          </cell>
          <cell r="B82" t="str">
            <v>AZUCAR NEVELLA (CAJA= 2000 UND.)</v>
          </cell>
          <cell r="C82" t="str">
            <v>UND</v>
          </cell>
          <cell r="D82">
            <v>8.6940000000000008</v>
          </cell>
          <cell r="E82" t="str">
            <v>UND</v>
          </cell>
          <cell r="F82">
            <v>8.6940000000000008</v>
          </cell>
        </row>
        <row r="83">
          <cell r="A83" t="str">
            <v>0512308</v>
          </cell>
          <cell r="B83" t="str">
            <v>CAFÉ BRITT DESCAFEINADO (BOLSA=340 g)</v>
          </cell>
          <cell r="C83" t="str">
            <v>KILO</v>
          </cell>
          <cell r="D83">
            <v>13160.975</v>
          </cell>
          <cell r="E83" t="str">
            <v>GRAMO</v>
          </cell>
          <cell r="F83">
            <v>13.160975000000001</v>
          </cell>
        </row>
        <row r="84">
          <cell r="A84" t="str">
            <v>0512312</v>
          </cell>
          <cell r="B84" t="str">
            <v>OREGANO MAYCA (500G)</v>
          </cell>
          <cell r="C84" t="str">
            <v>GRAMO</v>
          </cell>
          <cell r="D84">
            <v>7.4139999999999997</v>
          </cell>
          <cell r="E84" t="str">
            <v>GRAMO</v>
          </cell>
          <cell r="F84">
            <v>7.4139999999999997</v>
          </cell>
        </row>
        <row r="85">
          <cell r="A85" t="str">
            <v>0512317</v>
          </cell>
          <cell r="B85" t="str">
            <v>CAFE BRITT DESCAFEINADO (PAQ=500g)</v>
          </cell>
          <cell r="C85" t="str">
            <v>KILO</v>
          </cell>
          <cell r="D85">
            <v>16638</v>
          </cell>
          <cell r="E85" t="str">
            <v>GRAMO</v>
          </cell>
          <cell r="F85">
            <v>16.638000000000002</v>
          </cell>
        </row>
        <row r="86">
          <cell r="A86" t="str">
            <v>0610202</v>
          </cell>
          <cell r="B86" t="str">
            <v>PIMIENTA NEGRA MOLIDA REST.511 gr (TONE´S CHEF)</v>
          </cell>
          <cell r="C86" t="str">
            <v>KILO</v>
          </cell>
          <cell r="D86">
            <v>14971.597300000001</v>
          </cell>
          <cell r="E86" t="str">
            <v>GRAMO</v>
          </cell>
          <cell r="F86">
            <v>14.971597300000001</v>
          </cell>
        </row>
        <row r="87">
          <cell r="A87" t="str">
            <v>0610210</v>
          </cell>
          <cell r="B87" t="str">
            <v>AJINOMOTO (KILO)</v>
          </cell>
          <cell r="C87" t="str">
            <v>GRAMO</v>
          </cell>
          <cell r="D87">
            <v>2.0960000000000001</v>
          </cell>
          <cell r="E87" t="str">
            <v>GRAMO</v>
          </cell>
          <cell r="F87">
            <v>2.0960000000000001</v>
          </cell>
        </row>
        <row r="88">
          <cell r="A88" t="str">
            <v>0610214</v>
          </cell>
          <cell r="B88" t="str">
            <v>CANELA EN POLVO KILO</v>
          </cell>
          <cell r="C88" t="str">
            <v>GRAMO</v>
          </cell>
          <cell r="D88">
            <v>3.786</v>
          </cell>
          <cell r="E88" t="str">
            <v>GRAMO</v>
          </cell>
          <cell r="F88">
            <v>3.786</v>
          </cell>
        </row>
        <row r="89">
          <cell r="A89" t="str">
            <v>0610217</v>
          </cell>
          <cell r="B89" t="str">
            <v>ENELDO TONES 155g</v>
          </cell>
          <cell r="C89" t="str">
            <v>KILO</v>
          </cell>
          <cell r="D89">
            <v>53439.716</v>
          </cell>
          <cell r="E89" t="str">
            <v>GRAMO</v>
          </cell>
          <cell r="F89">
            <v>53.439715999999997</v>
          </cell>
        </row>
        <row r="90">
          <cell r="A90" t="str">
            <v>0610258</v>
          </cell>
          <cell r="B90" t="str">
            <v>ADEREZO MAYONESA LIMON SIN GRASA (400g)</v>
          </cell>
          <cell r="C90" t="str">
            <v>KILO</v>
          </cell>
          <cell r="D90">
            <v>2697.7302</v>
          </cell>
          <cell r="E90" t="str">
            <v>GRAMO</v>
          </cell>
          <cell r="F90">
            <v>2.6977302000000001</v>
          </cell>
        </row>
        <row r="91">
          <cell r="A91" t="str">
            <v>0610261</v>
          </cell>
          <cell r="B91" t="str">
            <v>SEMILLA AMAPOLA (567 G)</v>
          </cell>
          <cell r="C91" t="str">
            <v>KILO</v>
          </cell>
          <cell r="D91">
            <v>6950.9660000000013</v>
          </cell>
          <cell r="E91" t="str">
            <v>GRAMO</v>
          </cell>
          <cell r="F91">
            <v>6.9509660000000011</v>
          </cell>
        </row>
        <row r="92">
          <cell r="A92" t="str">
            <v>0610265</v>
          </cell>
          <cell r="B92" t="str">
            <v>CANELA MOLIDA TONE´S CHEF (511g)</v>
          </cell>
          <cell r="C92" t="str">
            <v>KILO</v>
          </cell>
          <cell r="D92">
            <v>10388.236100000002</v>
          </cell>
          <cell r="E92" t="str">
            <v>GRAMO</v>
          </cell>
          <cell r="F92">
            <v>10.388236100000002</v>
          </cell>
        </row>
        <row r="93">
          <cell r="A93" t="str">
            <v>0710235</v>
          </cell>
          <cell r="B93" t="str">
            <v>PAN CUADRADO JUMBO (PAQ)</v>
          </cell>
          <cell r="C93" t="str">
            <v>PAQ</v>
          </cell>
          <cell r="D93">
            <v>1359.4349999999999</v>
          </cell>
          <cell r="E93" t="str">
            <v>REBANADA</v>
          </cell>
        </row>
        <row r="94">
          <cell r="A94" t="str">
            <v>0710237</v>
          </cell>
          <cell r="B94" t="str">
            <v>PAN PROVENZAL (BOLSA=10 UND)</v>
          </cell>
          <cell r="C94" t="str">
            <v>UND</v>
          </cell>
          <cell r="D94">
            <v>203.50000000000003</v>
          </cell>
          <cell r="E94" t="str">
            <v>UND</v>
          </cell>
          <cell r="F94">
            <v>203.50000000000003</v>
          </cell>
        </row>
        <row r="95">
          <cell r="A95" t="str">
            <v>0710238</v>
          </cell>
          <cell r="B95" t="str">
            <v>PAN CIABATTA PEQUEÑO (PAQ=10 UND)</v>
          </cell>
          <cell r="C95" t="str">
            <v>UND</v>
          </cell>
          <cell r="D95">
            <v>187.00000000000003</v>
          </cell>
          <cell r="E95" t="str">
            <v>UND</v>
          </cell>
          <cell r="F95">
            <v>187.00000000000003</v>
          </cell>
        </row>
        <row r="96">
          <cell r="A96" t="str">
            <v>0710240</v>
          </cell>
          <cell r="B96" t="str">
            <v>PAN MOLIDO EMPANIZADOR (250g)</v>
          </cell>
          <cell r="C96" t="str">
            <v>KILO</v>
          </cell>
          <cell r="D96">
            <v>1343.76</v>
          </cell>
          <cell r="E96" t="str">
            <v>GRAMO</v>
          </cell>
          <cell r="F96">
            <v>1.3437600000000001</v>
          </cell>
        </row>
        <row r="97">
          <cell r="A97" t="str">
            <v>0710250</v>
          </cell>
          <cell r="B97" t="str">
            <v>PAN MINI BAGUET ( 5 UND )</v>
          </cell>
          <cell r="C97" t="str">
            <v>UND</v>
          </cell>
          <cell r="D97">
            <v>203.50000000000003</v>
          </cell>
          <cell r="E97" t="str">
            <v>UND</v>
          </cell>
          <cell r="F97">
            <v>203.50000000000003</v>
          </cell>
        </row>
        <row r="98">
          <cell r="A98" t="str">
            <v>0710260</v>
          </cell>
          <cell r="B98" t="str">
            <v>PAN CUADRADO INTEGRAL (PAQ=22 REBANADAS )</v>
          </cell>
          <cell r="C98" t="str">
            <v>PAQ</v>
          </cell>
          <cell r="D98">
            <v>1430.0000000000002</v>
          </cell>
          <cell r="E98" t="str">
            <v>REBANADA</v>
          </cell>
          <cell r="F98">
            <v>65.000000000000014</v>
          </cell>
        </row>
        <row r="99">
          <cell r="A99" t="str">
            <v>0710261</v>
          </cell>
          <cell r="B99" t="str">
            <v>PAN CUADRADO BLANCO (PAQ=22 REBANADAS )</v>
          </cell>
          <cell r="C99" t="str">
            <v>PAQ</v>
          </cell>
          <cell r="D99">
            <v>1100.0011</v>
          </cell>
          <cell r="E99" t="str">
            <v>REBANADA</v>
          </cell>
          <cell r="F99">
            <v>50.000049999999995</v>
          </cell>
        </row>
        <row r="100">
          <cell r="A100" t="str">
            <v>0710263</v>
          </cell>
          <cell r="B100" t="str">
            <v>PAN ARABE BLANCO (PAQ=5 UND )</v>
          </cell>
          <cell r="C100" t="str">
            <v>UND</v>
          </cell>
          <cell r="D100">
            <v>206.99800000000002</v>
          </cell>
          <cell r="E100" t="str">
            <v>UND</v>
          </cell>
          <cell r="F100">
            <v>206.99800000000002</v>
          </cell>
        </row>
        <row r="101">
          <cell r="A101" t="str">
            <v>0710266</v>
          </cell>
          <cell r="B101" t="str">
            <v>TORTILLAS FOGON (PAQ=20 UND)</v>
          </cell>
          <cell r="C101" t="str">
            <v>UND</v>
          </cell>
          <cell r="D101">
            <v>33.44</v>
          </cell>
          <cell r="E101" t="str">
            <v>UND</v>
          </cell>
          <cell r="F101">
            <v>33.44</v>
          </cell>
        </row>
        <row r="102">
          <cell r="A102" t="str">
            <v>0710273</v>
          </cell>
          <cell r="B102" t="str">
            <v>PAN ARABE INTEGRAL (5 UND X PAQ)</v>
          </cell>
          <cell r="C102" t="str">
            <v>UND</v>
          </cell>
          <cell r="D102">
            <v>207.19380000000001</v>
          </cell>
          <cell r="E102" t="str">
            <v>UND</v>
          </cell>
          <cell r="F102">
            <v>207.19380000000001</v>
          </cell>
        </row>
        <row r="103">
          <cell r="A103" t="str">
            <v>0710286</v>
          </cell>
          <cell r="B103" t="str">
            <v>PAN CENA (PAQ= 5 UND)</v>
          </cell>
          <cell r="C103" t="str">
            <v>UND</v>
          </cell>
          <cell r="D103">
            <v>92.4</v>
          </cell>
          <cell r="E103" t="str">
            <v>UND</v>
          </cell>
          <cell r="F103">
            <v>92.4</v>
          </cell>
        </row>
        <row r="104">
          <cell r="A104" t="str">
            <v>0710289</v>
          </cell>
          <cell r="B104" t="str">
            <v>PAN ARABE MEDIANO (PAQ = 8 UND)</v>
          </cell>
          <cell r="C104" t="str">
            <v>UND</v>
          </cell>
          <cell r="D104">
            <v>133.375</v>
          </cell>
          <cell r="E104" t="str">
            <v>UND</v>
          </cell>
          <cell r="F104">
            <v>133.375</v>
          </cell>
        </row>
        <row r="105">
          <cell r="A105" t="str">
            <v>0710290</v>
          </cell>
          <cell r="B105" t="str">
            <v>PAPEL DE ARROZ (PAQ=36 UND)</v>
          </cell>
          <cell r="C105" t="str">
            <v>PAQ</v>
          </cell>
          <cell r="D105">
            <v>1486.7765000000002</v>
          </cell>
          <cell r="E105" t="str">
            <v>UND</v>
          </cell>
          <cell r="F105">
            <v>41.299347222222224</v>
          </cell>
        </row>
        <row r="106">
          <cell r="A106" t="str">
            <v>0710297</v>
          </cell>
          <cell r="B106" t="str">
            <v>PAN CIABATTA GRANDE (UND)</v>
          </cell>
          <cell r="C106" t="str">
            <v>UND</v>
          </cell>
          <cell r="D106">
            <v>203.50000000000003</v>
          </cell>
          <cell r="E106" t="str">
            <v>UND</v>
          </cell>
          <cell r="F106">
            <v>203.50000000000003</v>
          </cell>
        </row>
        <row r="107">
          <cell r="A107" t="str">
            <v>710306</v>
          </cell>
          <cell r="B107" t="str">
            <v>PAN PRETZEL (PAQ=10 UND)</v>
          </cell>
          <cell r="C107" t="str">
            <v>PAQ</v>
          </cell>
          <cell r="D107">
            <v>1760.0000000000002</v>
          </cell>
          <cell r="E107" t="str">
            <v>UND</v>
          </cell>
          <cell r="F107">
            <v>176.00000000000003</v>
          </cell>
        </row>
        <row r="108">
          <cell r="A108" t="str">
            <v>710308</v>
          </cell>
          <cell r="B108" t="str">
            <v>PAN MULTI GRANO (PAQ=10 UND)</v>
          </cell>
          <cell r="C108" t="str">
            <v>UND</v>
          </cell>
          <cell r="D108">
            <v>209.00000000000003</v>
          </cell>
          <cell r="E108" t="str">
            <v>UND</v>
          </cell>
          <cell r="F108">
            <v>209.00000000000003</v>
          </cell>
        </row>
        <row r="109">
          <cell r="A109" t="str">
            <v>710314</v>
          </cell>
          <cell r="B109" t="str">
            <v>TORTILLA TRIGO MISION (TACO BELL 12")</v>
          </cell>
          <cell r="C109" t="str">
            <v>UND</v>
          </cell>
          <cell r="D109">
            <v>109.17100000000001</v>
          </cell>
          <cell r="E109" t="str">
            <v>UND</v>
          </cell>
          <cell r="F109">
            <v>109.17100000000001</v>
          </cell>
        </row>
        <row r="110">
          <cell r="A110" t="str">
            <v>0712281</v>
          </cell>
          <cell r="B110" t="str">
            <v>PAN GRISSINI (PAQ=20 UND)</v>
          </cell>
          <cell r="C110" t="str">
            <v>PAQ</v>
          </cell>
          <cell r="D110">
            <v>554.40000000000009</v>
          </cell>
          <cell r="E110" t="str">
            <v>UND</v>
          </cell>
          <cell r="F110">
            <v>27.720000000000006</v>
          </cell>
        </row>
        <row r="111">
          <cell r="A111" t="str">
            <v>0712433</v>
          </cell>
          <cell r="B111" t="str">
            <v>EMPANIZADOR PANKO (3 Kg)</v>
          </cell>
          <cell r="C111" t="str">
            <v>KILO</v>
          </cell>
          <cell r="D111">
            <v>3586.6600000000003</v>
          </cell>
          <cell r="E111" t="str">
            <v>GRAMO</v>
          </cell>
          <cell r="F111">
            <v>3.5866600000000002</v>
          </cell>
        </row>
        <row r="112">
          <cell r="A112" t="str">
            <v>0712434</v>
          </cell>
          <cell r="B112" t="str">
            <v>CONCHA PIZZA (PAQ =5UND)</v>
          </cell>
          <cell r="C112" t="str">
            <v>UND</v>
          </cell>
          <cell r="D112">
            <v>181.50000000000003</v>
          </cell>
          <cell r="E112" t="str">
            <v>UND</v>
          </cell>
          <cell r="F112">
            <v>181.50000000000003</v>
          </cell>
        </row>
        <row r="113">
          <cell r="A113" t="str">
            <v>0712435</v>
          </cell>
          <cell r="B113" t="str">
            <v>PAN TELERA GRANDE (PAQ= 5 UND)</v>
          </cell>
          <cell r="C113" t="str">
            <v>PAQ</v>
          </cell>
          <cell r="D113">
            <v>797.50000000000011</v>
          </cell>
          <cell r="E113" t="str">
            <v>UND</v>
          </cell>
          <cell r="F113">
            <v>159.50000000000003</v>
          </cell>
        </row>
        <row r="114">
          <cell r="A114" t="str">
            <v>0810259</v>
          </cell>
          <cell r="B114" t="str">
            <v>MOTTS JUGO MANZANA 100% (1892ml)</v>
          </cell>
          <cell r="C114" t="str">
            <v>LITRO</v>
          </cell>
          <cell r="D114">
            <v>1201.9865</v>
          </cell>
          <cell r="E114" t="str">
            <v>MILILITRO</v>
          </cell>
          <cell r="F114">
            <v>1.2019865000000001</v>
          </cell>
        </row>
        <row r="115">
          <cell r="A115" t="str">
            <v>0810270</v>
          </cell>
          <cell r="B115" t="str">
            <v>PAPAYA PARA BATIDO (PAQ=0.8 Kg)</v>
          </cell>
          <cell r="C115" t="str">
            <v>KILO</v>
          </cell>
          <cell r="D115">
            <v>1455.0459000000001</v>
          </cell>
          <cell r="E115" t="str">
            <v>GRAMO</v>
          </cell>
          <cell r="F115">
            <v>1.4550459</v>
          </cell>
        </row>
        <row r="116">
          <cell r="A116" t="str">
            <v>0810279</v>
          </cell>
          <cell r="B116" t="str">
            <v>CONCENTRADO DE CAS (3.785 L)</v>
          </cell>
          <cell r="C116" t="str">
            <v>LITRO</v>
          </cell>
          <cell r="D116">
            <v>1063.2080000000001</v>
          </cell>
          <cell r="E116" t="str">
            <v>MILILITRO</v>
          </cell>
          <cell r="F116">
            <v>1.0632080000000002</v>
          </cell>
        </row>
        <row r="117">
          <cell r="A117" t="str">
            <v>0810280</v>
          </cell>
          <cell r="B117" t="str">
            <v>CONCENTRADO GUANABANA</v>
          </cell>
          <cell r="C117" t="str">
            <v>LITRO</v>
          </cell>
          <cell r="D117">
            <v>1193.1310000000001</v>
          </cell>
          <cell r="E117" t="str">
            <v>MILILITRO</v>
          </cell>
          <cell r="F117">
            <v>1.1931310000000002</v>
          </cell>
        </row>
        <row r="118">
          <cell r="A118" t="str">
            <v>0810282</v>
          </cell>
          <cell r="B118" t="str">
            <v>CONCENTRADO MORA</v>
          </cell>
          <cell r="C118" t="str">
            <v>LITRO</v>
          </cell>
          <cell r="D118">
            <v>1281.518</v>
          </cell>
          <cell r="E118" t="str">
            <v>MILILITRO</v>
          </cell>
          <cell r="F118">
            <v>1.2815179999999999</v>
          </cell>
        </row>
        <row r="119">
          <cell r="A119" t="str">
            <v>0810283</v>
          </cell>
          <cell r="B119" t="str">
            <v>FRUTAS P/BATIDOS (PAQ=0.8 Kg)</v>
          </cell>
          <cell r="C119" t="str">
            <v>KILO</v>
          </cell>
          <cell r="D119">
            <v>1659.3137000000002</v>
          </cell>
          <cell r="E119" t="str">
            <v>GRAMO</v>
          </cell>
          <cell r="F119">
            <v>1.6593137000000002</v>
          </cell>
        </row>
        <row r="120">
          <cell r="A120" t="str">
            <v>0810294</v>
          </cell>
          <cell r="B120" t="str">
            <v>PIÑA PARA BATIDO (PAQ=0.8 Kg)</v>
          </cell>
          <cell r="C120" t="str">
            <v>KILO</v>
          </cell>
          <cell r="D120">
            <v>1528.3180000000002</v>
          </cell>
          <cell r="E120" t="str">
            <v>GRAMO</v>
          </cell>
          <cell r="F120">
            <v>1.5283180000000003</v>
          </cell>
        </row>
        <row r="121">
          <cell r="A121" t="str">
            <v>0810297</v>
          </cell>
          <cell r="B121" t="str">
            <v>SIROPE VAINILLA ( BOT 750ML )</v>
          </cell>
          <cell r="C121" t="str">
            <v>LITRO</v>
          </cell>
          <cell r="D121">
            <v>6390.8350000000009</v>
          </cell>
          <cell r="E121" t="str">
            <v>MILILITRO</v>
          </cell>
          <cell r="F121">
            <v>6.3908350000000009</v>
          </cell>
        </row>
        <row r="122">
          <cell r="A122" t="str">
            <v>0810305</v>
          </cell>
          <cell r="B122" t="str">
            <v>TE FRIO INSTANTANEO ( PAQ 1 KG )</v>
          </cell>
          <cell r="C122" t="str">
            <v>KILO</v>
          </cell>
          <cell r="D122">
            <v>1238.1389999999999</v>
          </cell>
          <cell r="E122" t="str">
            <v>GRAMO</v>
          </cell>
          <cell r="F122">
            <v>1.2381389999999999</v>
          </cell>
        </row>
        <row r="123">
          <cell r="A123" t="str">
            <v>0810308</v>
          </cell>
          <cell r="B123" t="str">
            <v>SIROPE CHOCO. LIQUIDO ( 680 gr )</v>
          </cell>
          <cell r="C123" t="str">
            <v>LITRO</v>
          </cell>
          <cell r="D123">
            <v>2186.2199999999998</v>
          </cell>
          <cell r="E123" t="str">
            <v>MILILITRO</v>
          </cell>
          <cell r="F123">
            <v>2.1862199999999996</v>
          </cell>
        </row>
        <row r="124">
          <cell r="A124" t="str">
            <v>0810313</v>
          </cell>
          <cell r="B124" t="str">
            <v>TE TWINING MANZANILLA 25 PAQ.</v>
          </cell>
          <cell r="C124" t="str">
            <v>UND</v>
          </cell>
          <cell r="D124">
            <v>91.845600000000005</v>
          </cell>
          <cell r="E124" t="str">
            <v>UND</v>
          </cell>
          <cell r="F124">
            <v>91.845600000000005</v>
          </cell>
        </row>
        <row r="125">
          <cell r="A125" t="str">
            <v>0810316</v>
          </cell>
          <cell r="B125" t="str">
            <v>TE TWINING EARL GREY 25 PAQ</v>
          </cell>
          <cell r="C125" t="str">
            <v>UND</v>
          </cell>
          <cell r="D125">
            <v>91.845600000000005</v>
          </cell>
          <cell r="E125" t="str">
            <v>UND</v>
          </cell>
          <cell r="F125">
            <v>91.845600000000005</v>
          </cell>
        </row>
        <row r="126">
          <cell r="A126" t="str">
            <v>0810319</v>
          </cell>
          <cell r="B126" t="str">
            <v>TE TWINING MENTA 25 PAQ.</v>
          </cell>
          <cell r="C126" t="str">
            <v>UND</v>
          </cell>
          <cell r="D126">
            <v>91.845600000000005</v>
          </cell>
          <cell r="E126" t="str">
            <v>UND</v>
          </cell>
          <cell r="F126">
            <v>91.845600000000005</v>
          </cell>
        </row>
        <row r="127">
          <cell r="A127" t="str">
            <v>0810321</v>
          </cell>
          <cell r="B127" t="str">
            <v>TE TWINING 4 FRUTAS (25 *  PAQ)</v>
          </cell>
          <cell r="C127" t="str">
            <v>UND</v>
          </cell>
          <cell r="D127">
            <v>91.845600000000005</v>
          </cell>
          <cell r="E127" t="str">
            <v>UND</v>
          </cell>
          <cell r="F127">
            <v>91.845600000000005</v>
          </cell>
        </row>
        <row r="128">
          <cell r="A128" t="str">
            <v>0810323</v>
          </cell>
          <cell r="B128" t="str">
            <v>TE TWINING VAINILLA 20 PAQ.</v>
          </cell>
          <cell r="C128" t="str">
            <v>UND</v>
          </cell>
          <cell r="D128">
            <v>114.80700000000002</v>
          </cell>
          <cell r="E128" t="str">
            <v>UND</v>
          </cell>
          <cell r="F128">
            <v>114.80700000000002</v>
          </cell>
        </row>
        <row r="129">
          <cell r="A129" t="str">
            <v>0810348</v>
          </cell>
          <cell r="B129" t="str">
            <v>TE CHAI ESPECIES (PAQ=.800 GR)</v>
          </cell>
          <cell r="C129" t="str">
            <v>KILO</v>
          </cell>
          <cell r="D129">
            <v>6199.05</v>
          </cell>
          <cell r="E129" t="str">
            <v>GRAMO</v>
          </cell>
          <cell r="F129">
            <v>6.1990500000000006</v>
          </cell>
        </row>
        <row r="130">
          <cell r="A130" t="str">
            <v>0810354</v>
          </cell>
          <cell r="B130" t="str">
            <v>HORCHATA (GALON=3.785 Lts)</v>
          </cell>
          <cell r="C130" t="str">
            <v>GALON</v>
          </cell>
          <cell r="D130">
            <v>4400</v>
          </cell>
          <cell r="E130" t="str">
            <v>MILILITRO</v>
          </cell>
          <cell r="F130">
            <v>1.1624834874504624</v>
          </cell>
        </row>
        <row r="131">
          <cell r="A131" t="str">
            <v>0810357</v>
          </cell>
          <cell r="B131" t="str">
            <v>TE NEGRO LIPTON (CAJA=20 UND)</v>
          </cell>
          <cell r="C131" t="str">
            <v>UND</v>
          </cell>
          <cell r="D131">
            <v>26.126999999999999</v>
          </cell>
          <cell r="E131" t="str">
            <v>UND</v>
          </cell>
          <cell r="F131">
            <v>26.126999999999999</v>
          </cell>
        </row>
        <row r="132">
          <cell r="A132" t="str">
            <v>0810358</v>
          </cell>
          <cell r="B132" t="str">
            <v>TE H&amp;S TROPICAL GREEN (CAJA=20 BOLSITAS)</v>
          </cell>
          <cell r="C132" t="str">
            <v>BOLSA</v>
          </cell>
          <cell r="D132">
            <v>136.75</v>
          </cell>
          <cell r="E132" t="str">
            <v>BOLSA</v>
          </cell>
          <cell r="F132">
            <v>136.75</v>
          </cell>
        </row>
        <row r="133">
          <cell r="A133" t="str">
            <v>810360</v>
          </cell>
          <cell r="B133" t="str">
            <v>SIROPE GOURMET MENTA VERDE (750ml)</v>
          </cell>
          <cell r="C133" t="str">
            <v>LITRO</v>
          </cell>
          <cell r="D133">
            <v>5866.6662999999999</v>
          </cell>
          <cell r="E133" t="str">
            <v>MILILITRO</v>
          </cell>
          <cell r="F133">
            <v>5.8666662999999994</v>
          </cell>
        </row>
        <row r="134">
          <cell r="A134" t="str">
            <v>810361</v>
          </cell>
          <cell r="B134" t="str">
            <v>TE VERDE GREEN TROPICAL (PAQ. 1 KILO)</v>
          </cell>
          <cell r="C134" t="str">
            <v>KILO</v>
          </cell>
          <cell r="D134">
            <v>64835.100000000006</v>
          </cell>
          <cell r="E134" t="str">
            <v>GRAMO</v>
          </cell>
          <cell r="F134">
            <v>64.835100000000011</v>
          </cell>
        </row>
        <row r="135">
          <cell r="A135" t="str">
            <v>0812271</v>
          </cell>
          <cell r="B135" t="str">
            <v>JUGO DE NARANJA NATURAL 3.785 L</v>
          </cell>
          <cell r="C135" t="str">
            <v>LITRO</v>
          </cell>
          <cell r="D135">
            <v>915.45519999999999</v>
          </cell>
          <cell r="E135" t="str">
            <v>MILILITRO</v>
          </cell>
          <cell r="F135">
            <v>0.91545520000000002</v>
          </cell>
        </row>
        <row r="136">
          <cell r="A136" t="str">
            <v>0812274</v>
          </cell>
          <cell r="B136" t="str">
            <v>SIROPE CARAMELO HERSHEY 620g</v>
          </cell>
          <cell r="C136" t="str">
            <v>KILO</v>
          </cell>
          <cell r="D136">
            <v>3041.7979999999998</v>
          </cell>
          <cell r="E136" t="str">
            <v>GRAMO</v>
          </cell>
          <cell r="F136">
            <v>3.0417979999999996</v>
          </cell>
        </row>
        <row r="137">
          <cell r="A137" t="str">
            <v>0812333</v>
          </cell>
          <cell r="B137" t="str">
            <v>SIROPE MAPLE (710 ml)</v>
          </cell>
          <cell r="C137" t="str">
            <v>LITRO</v>
          </cell>
          <cell r="D137">
            <v>3139.6379999999999</v>
          </cell>
          <cell r="E137" t="str">
            <v>MILILITRO</v>
          </cell>
          <cell r="F137">
            <v>3.1396379999999997</v>
          </cell>
        </row>
        <row r="138">
          <cell r="A138" t="str">
            <v>0812377</v>
          </cell>
          <cell r="B138" t="str">
            <v>SIROPE CREMA IRLANDESA (750 ML)</v>
          </cell>
          <cell r="C138" t="str">
            <v>LITRO</v>
          </cell>
          <cell r="D138">
            <v>5573.333700000001</v>
          </cell>
          <cell r="E138" t="str">
            <v>MILILITRO</v>
          </cell>
          <cell r="F138">
            <v>5.5733337000000009</v>
          </cell>
        </row>
        <row r="139">
          <cell r="A139" t="str">
            <v>0812378</v>
          </cell>
          <cell r="B139" t="str">
            <v>SIROPE AMARETTO 750 ML</v>
          </cell>
          <cell r="C139" t="str">
            <v>LITRO</v>
          </cell>
          <cell r="D139">
            <v>5546.0537000000004</v>
          </cell>
          <cell r="E139" t="str">
            <v>MILILITRO</v>
          </cell>
          <cell r="F139">
            <v>5.5460537000000008</v>
          </cell>
        </row>
        <row r="140">
          <cell r="A140" t="str">
            <v>0812379</v>
          </cell>
          <cell r="B140" t="str">
            <v>SIROPE VAINILLA S/AZUCAR</v>
          </cell>
          <cell r="C140" t="str">
            <v>LITRO</v>
          </cell>
          <cell r="D140">
            <v>5837.333700000001</v>
          </cell>
          <cell r="E140" t="str">
            <v>MILILITRO</v>
          </cell>
          <cell r="F140">
            <v>5.8373337000000012</v>
          </cell>
        </row>
        <row r="141">
          <cell r="A141" t="str">
            <v>0812387</v>
          </cell>
          <cell r="B141" t="str">
            <v>SIROPE MANZANA VERDE ( BOTELLA=750ML)</v>
          </cell>
          <cell r="C141" t="str">
            <v>LITRO</v>
          </cell>
          <cell r="D141">
            <v>4986.6652000000004</v>
          </cell>
          <cell r="E141" t="str">
            <v>MILILITRO</v>
          </cell>
          <cell r="F141">
            <v>4.9866652</v>
          </cell>
        </row>
        <row r="142">
          <cell r="A142" t="str">
            <v>812389</v>
          </cell>
          <cell r="B142" t="str">
            <v>JUGO DE LIMON (LITRO)</v>
          </cell>
          <cell r="C142" t="str">
            <v>LITRO</v>
          </cell>
          <cell r="D142">
            <v>2309.9989</v>
          </cell>
          <cell r="E142" t="str">
            <v>MILILITRO</v>
          </cell>
          <cell r="F142">
            <v>2.3099989000000001</v>
          </cell>
        </row>
        <row r="143">
          <cell r="A143" t="str">
            <v>0910043</v>
          </cell>
          <cell r="B143" t="str">
            <v>GLASEADO BALSAMICO (225 ML)</v>
          </cell>
          <cell r="C143" t="str">
            <v>LITRO</v>
          </cell>
          <cell r="D143">
            <v>15878.2107</v>
          </cell>
          <cell r="E143" t="str">
            <v>MILILITRO</v>
          </cell>
          <cell r="F143">
            <v>15.8782107</v>
          </cell>
        </row>
        <row r="144">
          <cell r="A144" t="str">
            <v>0910307</v>
          </cell>
          <cell r="B144" t="str">
            <v>ACEITE  LIBRE DE TRANS INOLASA(17 LITROS)</v>
          </cell>
          <cell r="C144" t="str">
            <v>LITRO</v>
          </cell>
          <cell r="D144">
            <v>913.97699999999998</v>
          </cell>
          <cell r="E144" t="str">
            <v>MILILITRO</v>
          </cell>
          <cell r="F144">
            <v>0.91397699999999993</v>
          </cell>
        </row>
        <row r="145">
          <cell r="A145" t="str">
            <v>0910308</v>
          </cell>
          <cell r="B145" t="str">
            <v>ACEITE DE OLIVA EXTRA VIRGEN VIGO ( .250 ML )</v>
          </cell>
          <cell r="C145" t="str">
            <v>LITRO</v>
          </cell>
          <cell r="D145">
            <v>7349.8414000000002</v>
          </cell>
          <cell r="E145" t="str">
            <v>MILILITRO</v>
          </cell>
          <cell r="F145">
            <v>7.3498413999999999</v>
          </cell>
        </row>
        <row r="146">
          <cell r="A146" t="str">
            <v>0910329</v>
          </cell>
          <cell r="B146" t="str">
            <v>VINAGRE BALSAMICO TINTO ( 250 ML )</v>
          </cell>
          <cell r="C146" t="str">
            <v>LITRO</v>
          </cell>
          <cell r="D146">
            <v>7225.0783000000001</v>
          </cell>
          <cell r="E146" t="str">
            <v>MILILITRO</v>
          </cell>
          <cell r="F146">
            <v>7.2250782999999998</v>
          </cell>
        </row>
        <row r="147">
          <cell r="A147" t="str">
            <v>0910338</v>
          </cell>
          <cell r="B147" t="str">
            <v>ACEITE OLIVA PAMACE (1G)</v>
          </cell>
          <cell r="C147" t="str">
            <v>LITRO</v>
          </cell>
          <cell r="D147">
            <v>2193.9560000000001</v>
          </cell>
          <cell r="E147" t="str">
            <v>MILILITRO</v>
          </cell>
          <cell r="F147">
            <v>2.193956</v>
          </cell>
        </row>
        <row r="148">
          <cell r="A148" t="str">
            <v>0910341</v>
          </cell>
          <cell r="B148" t="str">
            <v>SALSA INGLESA LIZANO (GALON)</v>
          </cell>
          <cell r="C148" t="str">
            <v>GALON</v>
          </cell>
          <cell r="D148">
            <v>6842.826</v>
          </cell>
          <cell r="E148" t="str">
            <v>MILILITRO</v>
          </cell>
          <cell r="F148">
            <v>1.8078800528401586</v>
          </cell>
        </row>
        <row r="149">
          <cell r="A149" t="str">
            <v>0910353</v>
          </cell>
          <cell r="B149" t="str">
            <v>SALSA LIZANO (135g)</v>
          </cell>
          <cell r="C149" t="str">
            <v>UND</v>
          </cell>
          <cell r="D149">
            <v>498.625</v>
          </cell>
          <cell r="E149" t="str">
            <v>UND</v>
          </cell>
          <cell r="F149">
            <v>498.625</v>
          </cell>
        </row>
        <row r="150">
          <cell r="A150" t="str">
            <v>0912323</v>
          </cell>
          <cell r="B150" t="str">
            <v>GRASA SPRAY ANTIADHERENTE 22 ONZ</v>
          </cell>
          <cell r="C150" t="str">
            <v>UND</v>
          </cell>
          <cell r="D150">
            <v>3105.98</v>
          </cell>
          <cell r="E150" t="str">
            <v>GRAMO</v>
          </cell>
          <cell r="F150">
            <v>4.7060303030303032</v>
          </cell>
        </row>
        <row r="151">
          <cell r="A151" t="str">
            <v>0912334</v>
          </cell>
          <cell r="B151" t="str">
            <v>PAPA SEASONED HEDGES (2.3kG)</v>
          </cell>
          <cell r="C151" t="str">
            <v>KILO</v>
          </cell>
          <cell r="D151">
            <v>1239.723</v>
          </cell>
          <cell r="E151" t="str">
            <v>GRAMO</v>
          </cell>
          <cell r="F151">
            <v>1.2397229999999999</v>
          </cell>
        </row>
        <row r="152">
          <cell r="A152" t="str">
            <v>0912335</v>
          </cell>
          <cell r="B152" t="str">
            <v>PAPA ROSTIZADA ALEXIA CUBOS (PAQ=1.135 KG)</v>
          </cell>
          <cell r="C152" t="str">
            <v>KILO</v>
          </cell>
          <cell r="D152">
            <v>1223.8240000000001</v>
          </cell>
          <cell r="E152" t="str">
            <v>GRAMO</v>
          </cell>
          <cell r="F152">
            <v>1.223824</v>
          </cell>
        </row>
        <row r="153">
          <cell r="A153" t="str">
            <v>1010006</v>
          </cell>
          <cell r="B153" t="str">
            <v>ATUN TROZOS PRONTO (LATA=354g)</v>
          </cell>
          <cell r="C153" t="str">
            <v>LATA</v>
          </cell>
          <cell r="D153">
            <v>2486</v>
          </cell>
          <cell r="E153" t="str">
            <v>LATA</v>
          </cell>
          <cell r="F153">
            <v>2486</v>
          </cell>
        </row>
        <row r="154">
          <cell r="A154" t="str">
            <v>1010330</v>
          </cell>
          <cell r="B154" t="str">
            <v>EMPANIZADOR DE PESCADO(1000g)</v>
          </cell>
          <cell r="C154" t="str">
            <v>GRAMO</v>
          </cell>
          <cell r="D154">
            <v>2.2989999999999999</v>
          </cell>
          <cell r="E154" t="str">
            <v>GRAMO</v>
          </cell>
          <cell r="F154">
            <v>2.2989999999999999</v>
          </cell>
        </row>
        <row r="155">
          <cell r="A155" t="str">
            <v>1010333</v>
          </cell>
          <cell r="B155" t="str">
            <v>PEÑASOL AIREN TETRAPACK (1000 ml)</v>
          </cell>
          <cell r="C155" t="str">
            <v>LITRO</v>
          </cell>
          <cell r="D155">
            <v>2531.6698000000001</v>
          </cell>
          <cell r="E155" t="str">
            <v>MILILITRO</v>
          </cell>
          <cell r="F155">
            <v>2.5316698</v>
          </cell>
        </row>
        <row r="156">
          <cell r="A156" t="str">
            <v>1010339</v>
          </cell>
          <cell r="B156" t="str">
            <v>TRIPLE SEC 750ml</v>
          </cell>
          <cell r="C156" t="str">
            <v>LITRO</v>
          </cell>
          <cell r="D156">
            <v>4807.9680000000008</v>
          </cell>
          <cell r="E156" t="str">
            <v>MILILITRO</v>
          </cell>
          <cell r="F156">
            <v>4.8079680000000007</v>
          </cell>
        </row>
        <row r="157">
          <cell r="A157" t="str">
            <v>1010351</v>
          </cell>
          <cell r="B157" t="str">
            <v>VINO PEÑASOL TEMPRANILLO TETRAPACK</v>
          </cell>
          <cell r="C157" t="str">
            <v>LITRO</v>
          </cell>
          <cell r="D157">
            <v>2514.8387000000002</v>
          </cell>
          <cell r="E157" t="str">
            <v>MILILITRO</v>
          </cell>
          <cell r="F157">
            <v>2.5148387000000003</v>
          </cell>
        </row>
        <row r="158">
          <cell r="A158" t="str">
            <v>1010352</v>
          </cell>
          <cell r="B158" t="str">
            <v>SANGRIA PEÑASOL LITRO</v>
          </cell>
          <cell r="C158" t="str">
            <v>LITRO</v>
          </cell>
          <cell r="D158">
            <v>2265.1496999999999</v>
          </cell>
          <cell r="E158" t="str">
            <v>MILILITRO</v>
          </cell>
          <cell r="F158">
            <v>2.2651496999999998</v>
          </cell>
        </row>
        <row r="159">
          <cell r="A159" t="str">
            <v>1012232</v>
          </cell>
          <cell r="B159" t="str">
            <v>MALIBU (BOTELLA=1 Litro)</v>
          </cell>
          <cell r="C159" t="str">
            <v>LITRO</v>
          </cell>
          <cell r="D159">
            <v>9734.5413000000008</v>
          </cell>
          <cell r="E159" t="str">
            <v>MILILITRO</v>
          </cell>
          <cell r="F159">
            <v>9.7345413000000001</v>
          </cell>
        </row>
        <row r="160">
          <cell r="A160" t="str">
            <v>1012341</v>
          </cell>
          <cell r="B160" t="str">
            <v>BAILEYS (BOTELLA=1 LITRO)</v>
          </cell>
          <cell r="C160" t="str">
            <v>BOTE</v>
          </cell>
          <cell r="D160">
            <v>12557.666000000001</v>
          </cell>
          <cell r="E160" t="str">
            <v>MILILITRO</v>
          </cell>
          <cell r="F160">
            <v>12.557666000000001</v>
          </cell>
        </row>
        <row r="161">
          <cell r="A161" t="str">
            <v>1110339</v>
          </cell>
          <cell r="B161" t="str">
            <v>ACEITUNA VERDE C/PIMIENTO (250g) **</v>
          </cell>
          <cell r="C161" t="str">
            <v>UND</v>
          </cell>
          <cell r="D161">
            <v>1334.3000000000002</v>
          </cell>
          <cell r="E161" t="str">
            <v>GRAMO</v>
          </cell>
          <cell r="F161">
            <v>8.8953333333333351</v>
          </cell>
        </row>
        <row r="162">
          <cell r="A162" t="str">
            <v>1110363</v>
          </cell>
          <cell r="B162" t="str">
            <v>CEREZAS CON TALLO (1/2 GALON) **</v>
          </cell>
          <cell r="C162" t="str">
            <v>TOPPER</v>
          </cell>
          <cell r="D162">
            <v>4640.5020000000004</v>
          </cell>
          <cell r="E162" t="str">
            <v>GRAMO</v>
          </cell>
          <cell r="F162">
            <v>3.8670850000000003</v>
          </cell>
        </row>
        <row r="163">
          <cell r="A163" t="str">
            <v>1110375</v>
          </cell>
          <cell r="B163" t="str">
            <v>MELOCOTON MITADES ( 820 g )</v>
          </cell>
          <cell r="C163" t="str">
            <v>KILO</v>
          </cell>
          <cell r="D163">
            <v>2386.1018867924527</v>
          </cell>
          <cell r="E163" t="str">
            <v>GRAMO</v>
          </cell>
          <cell r="F163">
            <v>2.3861018867924528</v>
          </cell>
        </row>
        <row r="164">
          <cell r="A164" t="str">
            <v>1110388</v>
          </cell>
          <cell r="B164" t="str">
            <v>MOSTAZA DIJON EXTRA FUERTE ( 370 gr )</v>
          </cell>
          <cell r="C164" t="str">
            <v>KILO</v>
          </cell>
          <cell r="D164">
            <v>5783.1389000000008</v>
          </cell>
          <cell r="E164" t="str">
            <v>GRAMO</v>
          </cell>
          <cell r="F164">
            <v>5.7831389000000009</v>
          </cell>
        </row>
        <row r="165">
          <cell r="A165" t="str">
            <v>1110395</v>
          </cell>
          <cell r="B165" t="str">
            <v>MAIZ DULCE (LATA=432g) **</v>
          </cell>
          <cell r="C165" t="str">
            <v>UND</v>
          </cell>
          <cell r="D165">
            <v>373.12099999999998</v>
          </cell>
          <cell r="E165" t="str">
            <v>GRAMO</v>
          </cell>
          <cell r="F165">
            <v>1.4241259541984732</v>
          </cell>
        </row>
        <row r="166">
          <cell r="A166" t="str">
            <v>1110397</v>
          </cell>
          <cell r="B166" t="str">
            <v>LECHE CONDENSADA NESTLE ( .395 g )</v>
          </cell>
          <cell r="C166" t="str">
            <v>KILO</v>
          </cell>
          <cell r="D166">
            <v>2058.5160000000001</v>
          </cell>
          <cell r="E166" t="str">
            <v>GRAMO</v>
          </cell>
          <cell r="F166">
            <v>2.058516</v>
          </cell>
        </row>
        <row r="167">
          <cell r="A167" t="str">
            <v>1110399</v>
          </cell>
          <cell r="B167" t="str">
            <v>LECHE COND COCINADA (LATA 395G)</v>
          </cell>
          <cell r="C167" t="str">
            <v>KILO</v>
          </cell>
          <cell r="D167">
            <v>2444.0768000000003</v>
          </cell>
          <cell r="E167" t="str">
            <v>GRAMO</v>
          </cell>
          <cell r="F167">
            <v>2.4440768000000004</v>
          </cell>
        </row>
        <row r="168">
          <cell r="A168" t="str">
            <v>1110405</v>
          </cell>
          <cell r="B168" t="str">
            <v>CHILE MORRON LATA (390g) **</v>
          </cell>
          <cell r="C168" t="str">
            <v>KILO</v>
          </cell>
          <cell r="D168">
            <v>4246.1980000000003</v>
          </cell>
          <cell r="E168" t="str">
            <v>GRAMO</v>
          </cell>
          <cell r="F168">
            <v>4.2461980000000006</v>
          </cell>
        </row>
        <row r="169">
          <cell r="A169" t="str">
            <v>1110420</v>
          </cell>
          <cell r="B169" t="str">
            <v>LECHE CONDENSADA COCINADA HAPPY DAY (1 KILO)</v>
          </cell>
          <cell r="C169" t="str">
            <v>KILO</v>
          </cell>
          <cell r="D169">
            <v>1947.913</v>
          </cell>
          <cell r="E169" t="str">
            <v>GRAMO</v>
          </cell>
          <cell r="F169">
            <v>1.947913</v>
          </cell>
        </row>
        <row r="170">
          <cell r="A170" t="str">
            <v>1112408</v>
          </cell>
          <cell r="B170" t="str">
            <v>NARANJA MANDARINA ( 425g) **</v>
          </cell>
          <cell r="C170" t="str">
            <v>UND</v>
          </cell>
          <cell r="D170">
            <v>1081.08</v>
          </cell>
          <cell r="E170" t="str">
            <v>GRAMO</v>
          </cell>
          <cell r="F170">
            <v>3.6035999999999997</v>
          </cell>
        </row>
        <row r="171">
          <cell r="A171" t="str">
            <v>1210400</v>
          </cell>
          <cell r="B171" t="str">
            <v>HUEVOS EN CARTON (30UNID)</v>
          </cell>
          <cell r="C171" t="str">
            <v>UND</v>
          </cell>
          <cell r="D171">
            <v>83.576900000000009</v>
          </cell>
          <cell r="E171" t="str">
            <v>UND</v>
          </cell>
          <cell r="F171">
            <v>83.576900000000009</v>
          </cell>
        </row>
        <row r="172">
          <cell r="A172" t="str">
            <v>1210402</v>
          </cell>
          <cell r="B172" t="str">
            <v>MARGARINA BLOQUE 12.5 KILOS</v>
          </cell>
          <cell r="C172" t="str">
            <v>KILO</v>
          </cell>
          <cell r="D172">
            <v>1077.76</v>
          </cell>
          <cell r="E172" t="str">
            <v>GRAMO</v>
          </cell>
          <cell r="F172">
            <v>1.0777600000000001</v>
          </cell>
        </row>
        <row r="173">
          <cell r="A173" t="str">
            <v>1210404</v>
          </cell>
          <cell r="B173" t="str">
            <v>MAYONESA INDIVIDUAL (200 * PAQ)</v>
          </cell>
          <cell r="C173" t="str">
            <v>UND</v>
          </cell>
          <cell r="D173">
            <v>14.124000000000001</v>
          </cell>
          <cell r="E173" t="str">
            <v>UND</v>
          </cell>
          <cell r="F173">
            <v>14.124000000000001</v>
          </cell>
        </row>
        <row r="174">
          <cell r="A174" t="str">
            <v>1210407</v>
          </cell>
          <cell r="B174" t="str">
            <v>SALSA TOMATE IND  (1000 und)</v>
          </cell>
          <cell r="C174" t="str">
            <v>UND</v>
          </cell>
          <cell r="D174">
            <v>11.393000000000001</v>
          </cell>
          <cell r="E174" t="str">
            <v>UND</v>
          </cell>
          <cell r="F174">
            <v>11.393000000000001</v>
          </cell>
        </row>
        <row r="175">
          <cell r="A175" t="str">
            <v>1210409</v>
          </cell>
          <cell r="B175" t="str">
            <v>MOSTAZA INDIVIDUAL (500 UND )</v>
          </cell>
          <cell r="C175" t="str">
            <v>UND</v>
          </cell>
          <cell r="D175">
            <v>13.694000000000001</v>
          </cell>
          <cell r="E175" t="str">
            <v>UND</v>
          </cell>
          <cell r="F175">
            <v>13.694000000000001</v>
          </cell>
        </row>
        <row r="176">
          <cell r="A176" t="str">
            <v>1210410</v>
          </cell>
          <cell r="B176" t="str">
            <v>MERMELADA INDIVIDUAL(CAJA=200 UND)</v>
          </cell>
          <cell r="C176" t="str">
            <v>UND</v>
          </cell>
          <cell r="D176">
            <v>62.502000000000002</v>
          </cell>
          <cell r="E176" t="str">
            <v>UND</v>
          </cell>
          <cell r="F176">
            <v>62.502000000000002</v>
          </cell>
        </row>
        <row r="177">
          <cell r="A177" t="str">
            <v>1210411</v>
          </cell>
          <cell r="B177" t="str">
            <v>CREMA CAFÉ INDIVIDUAL (500 * PAQ)</v>
          </cell>
          <cell r="C177" t="str">
            <v>UND</v>
          </cell>
          <cell r="D177">
            <v>9.702</v>
          </cell>
          <cell r="E177" t="str">
            <v>UND</v>
          </cell>
          <cell r="F177">
            <v>9.702</v>
          </cell>
        </row>
        <row r="178">
          <cell r="A178" t="str">
            <v>1210412</v>
          </cell>
          <cell r="B178" t="str">
            <v>HIELO EN CUBITOS (PAQ=10 KILOS)</v>
          </cell>
          <cell r="C178" t="str">
            <v>PAQ</v>
          </cell>
          <cell r="D178">
            <v>1530.001</v>
          </cell>
          <cell r="E178" t="str">
            <v>GRAMO</v>
          </cell>
          <cell r="F178">
            <v>0.1530001</v>
          </cell>
        </row>
        <row r="179">
          <cell r="A179" t="str">
            <v>1210417</v>
          </cell>
          <cell r="B179" t="str">
            <v>MARGARINA INDIVIDUAL ( UND )</v>
          </cell>
          <cell r="C179" t="str">
            <v>UND</v>
          </cell>
          <cell r="D179">
            <v>87.206000000000003</v>
          </cell>
          <cell r="E179" t="str">
            <v>UND</v>
          </cell>
          <cell r="F179">
            <v>87.206000000000003</v>
          </cell>
        </row>
        <row r="180">
          <cell r="A180" t="str">
            <v>1210449</v>
          </cell>
          <cell r="B180" t="str">
            <v>FRIJOLES ROJOS ENTEROS (LATA=439g)</v>
          </cell>
          <cell r="C180" t="str">
            <v>UND</v>
          </cell>
          <cell r="D180">
            <v>780.12000000000012</v>
          </cell>
          <cell r="E180" t="str">
            <v>GRAMO</v>
          </cell>
          <cell r="F180">
            <v>2.7861428571428575</v>
          </cell>
        </row>
        <row r="181">
          <cell r="A181" t="str">
            <v>1210494</v>
          </cell>
          <cell r="B181" t="str">
            <v>CUCHARA CHOCOLATE (CAJA=25 UND)</v>
          </cell>
          <cell r="C181" t="str">
            <v>CAJA</v>
          </cell>
          <cell r="D181">
            <v>16472.5</v>
          </cell>
          <cell r="E181" t="str">
            <v>UND</v>
          </cell>
          <cell r="F181">
            <v>658.9</v>
          </cell>
        </row>
        <row r="182">
          <cell r="A182" t="str">
            <v>1212309</v>
          </cell>
          <cell r="B182" t="str">
            <v>ALFALFA  BOLSA ( 150 g )</v>
          </cell>
          <cell r="C182" t="str">
            <v>KILO</v>
          </cell>
          <cell r="D182" t="e">
            <v>#N/A</v>
          </cell>
          <cell r="E182" t="str">
            <v>GRAMO</v>
          </cell>
          <cell r="F182" t="e">
            <v>#N/A</v>
          </cell>
        </row>
        <row r="183">
          <cell r="A183" t="str">
            <v>1212416</v>
          </cell>
          <cell r="B183" t="str">
            <v>GUARNICIÓN ( .220 KG )</v>
          </cell>
          <cell r="C183" t="str">
            <v>KILO</v>
          </cell>
          <cell r="D183">
            <v>1600.0006000000001</v>
          </cell>
          <cell r="E183" t="str">
            <v>GRAMO</v>
          </cell>
          <cell r="F183">
            <v>1.6000006</v>
          </cell>
        </row>
        <row r="184">
          <cell r="A184" t="str">
            <v>1500007</v>
          </cell>
          <cell r="B184" t="str">
            <v>SIROPE MANZANA VERDE (LITRO)</v>
          </cell>
          <cell r="C184" t="str">
            <v>LITRO</v>
          </cell>
          <cell r="D184">
            <v>4675</v>
          </cell>
          <cell r="E184" t="str">
            <v>MILILITRO</v>
          </cell>
          <cell r="F184">
            <v>4.6749999999999998</v>
          </cell>
        </row>
        <row r="185">
          <cell r="A185" t="str">
            <v>1500011</v>
          </cell>
          <cell r="B185" t="str">
            <v>SIROPE COCO MONIN (LITRO)</v>
          </cell>
          <cell r="C185" t="str">
            <v>LITRO</v>
          </cell>
          <cell r="D185">
            <v>7115</v>
          </cell>
          <cell r="E185" t="str">
            <v>MILILITRO</v>
          </cell>
          <cell r="F185">
            <v>7.1150000000000002</v>
          </cell>
        </row>
        <row r="186">
          <cell r="A186" t="str">
            <v>1500012</v>
          </cell>
          <cell r="B186" t="str">
            <v>SIROPE NECTAR DE AGAVE  MONIN (LITRO)</v>
          </cell>
          <cell r="C186" t="str">
            <v>LITRO</v>
          </cell>
          <cell r="D186">
            <v>5089</v>
          </cell>
          <cell r="E186" t="str">
            <v>MILILITRO</v>
          </cell>
          <cell r="F186">
            <v>5.0890000000000004</v>
          </cell>
        </row>
        <row r="187">
          <cell r="A187" t="str">
            <v>1500015</v>
          </cell>
          <cell r="B187" t="str">
            <v>SIROPE WILDBERRY MONIN (LITRO)</v>
          </cell>
          <cell r="C187" t="str">
            <v>LITRO</v>
          </cell>
          <cell r="D187">
            <v>4497</v>
          </cell>
          <cell r="E187" t="str">
            <v>MILILITRO</v>
          </cell>
          <cell r="F187">
            <v>4.4969999999999999</v>
          </cell>
        </row>
        <row r="188">
          <cell r="A188" t="str">
            <v>1500016</v>
          </cell>
          <cell r="B188" t="str">
            <v>SIROPE MELOCOTON LIGHT (BOTELLA=750ML)</v>
          </cell>
          <cell r="C188" t="str">
            <v>BOTE</v>
          </cell>
          <cell r="D188">
            <v>4610.1000000000004</v>
          </cell>
          <cell r="E188" t="str">
            <v>MILILITRO</v>
          </cell>
          <cell r="F188">
            <v>6.1468000000000007</v>
          </cell>
        </row>
        <row r="189">
          <cell r="A189" t="str">
            <v>1500017</v>
          </cell>
          <cell r="B189" t="str">
            <v>TE ORGANICO DE MENTA HERBAL BIGELOW</v>
          </cell>
          <cell r="C189" t="str">
            <v>UND</v>
          </cell>
          <cell r="D189">
            <v>91.5</v>
          </cell>
          <cell r="E189" t="str">
            <v>UND</v>
          </cell>
          <cell r="F189">
            <v>91.5</v>
          </cell>
        </row>
        <row r="190">
          <cell r="A190" t="str">
            <v>1500018</v>
          </cell>
          <cell r="B190" t="str">
            <v>TE NEGRO INGLES BIGELOW</v>
          </cell>
          <cell r="C190" t="str">
            <v>UND</v>
          </cell>
          <cell r="D190">
            <v>104.318</v>
          </cell>
          <cell r="E190" t="str">
            <v>UND</v>
          </cell>
          <cell r="F190">
            <v>104.318</v>
          </cell>
        </row>
        <row r="191">
          <cell r="A191" t="str">
            <v>1522387</v>
          </cell>
          <cell r="B191" t="str">
            <v>MEDALLON LOMITO (PAQ=200g)</v>
          </cell>
          <cell r="C191" t="str">
            <v>KILO</v>
          </cell>
          <cell r="D191">
            <v>4044.5955000000004</v>
          </cell>
          <cell r="E191" t="str">
            <v>GRAMO</v>
          </cell>
          <cell r="F191">
            <v>4.0445955000000007</v>
          </cell>
        </row>
        <row r="192">
          <cell r="A192" t="str">
            <v>1522521</v>
          </cell>
          <cell r="B192" t="str">
            <v>MEDALLON LOMITO MONTECILLOS ( KILO)</v>
          </cell>
          <cell r="C192" t="str">
            <v>KILO</v>
          </cell>
          <cell r="D192">
            <v>12795</v>
          </cell>
          <cell r="E192" t="str">
            <v>GRAMO</v>
          </cell>
          <cell r="F192">
            <v>12.795</v>
          </cell>
        </row>
        <row r="193">
          <cell r="A193" t="str">
            <v>1590921</v>
          </cell>
          <cell r="B193" t="str">
            <v>SIROPE MAPLE AUNT JEMINA (340 GRAMOS)</v>
          </cell>
          <cell r="C193" t="str">
            <v>UND</v>
          </cell>
          <cell r="D193">
            <v>2444</v>
          </cell>
          <cell r="E193" t="str">
            <v>GRAMO</v>
          </cell>
          <cell r="F193">
            <v>7.1882352941176473</v>
          </cell>
        </row>
        <row r="194">
          <cell r="A194" t="str">
            <v>1620480</v>
          </cell>
          <cell r="B194" t="str">
            <v>ENSALADA CARACOLITOS (BOLSA=350g)</v>
          </cell>
          <cell r="C194" t="str">
            <v>BOLSA</v>
          </cell>
          <cell r="D194">
            <v>764.50000000000011</v>
          </cell>
          <cell r="E194" t="str">
            <v>GRAMO</v>
          </cell>
          <cell r="F194">
            <v>2.1842857142857146</v>
          </cell>
        </row>
        <row r="195">
          <cell r="A195" t="str">
            <v>1620481</v>
          </cell>
          <cell r="B195" t="str">
            <v>ENSALADA RUSA (BOLSA=350g)</v>
          </cell>
          <cell r="C195" t="str">
            <v>BOLSA</v>
          </cell>
          <cell r="D195">
            <v>715.00000000000011</v>
          </cell>
          <cell r="E195" t="str">
            <v>GRAMO</v>
          </cell>
          <cell r="F195">
            <v>2.0428571428571431</v>
          </cell>
        </row>
        <row r="196">
          <cell r="A196" t="str">
            <v>1730470</v>
          </cell>
          <cell r="B196" t="str">
            <v>ADEREZO ROSADO GALON</v>
          </cell>
          <cell r="C196" t="str">
            <v>GALON</v>
          </cell>
          <cell r="D196">
            <v>5285.5</v>
          </cell>
          <cell r="E196" t="str">
            <v>MILILITRO</v>
          </cell>
          <cell r="F196">
            <v>1.3964332892998679</v>
          </cell>
        </row>
        <row r="197">
          <cell r="A197" t="str">
            <v>1730473</v>
          </cell>
          <cell r="B197" t="str">
            <v>ACEITE EXTRA VIRGEN FILIPPO (250ml)</v>
          </cell>
          <cell r="C197" t="str">
            <v>LITRO</v>
          </cell>
          <cell r="D197">
            <v>7006.0045000000009</v>
          </cell>
          <cell r="E197" t="str">
            <v>MILILITRO</v>
          </cell>
          <cell r="F197">
            <v>7.0060045000000013</v>
          </cell>
        </row>
        <row r="198">
          <cell r="A198" t="str">
            <v>1730482</v>
          </cell>
          <cell r="B198" t="str">
            <v>HARINA NACARINA ( 2.5 kg )</v>
          </cell>
          <cell r="C198" t="str">
            <v>KILO</v>
          </cell>
          <cell r="D198">
            <v>611.6</v>
          </cell>
          <cell r="E198" t="str">
            <v>GRAMO</v>
          </cell>
          <cell r="F198">
            <v>0.61160000000000003</v>
          </cell>
        </row>
        <row r="199">
          <cell r="A199" t="str">
            <v>1730491</v>
          </cell>
          <cell r="B199" t="str">
            <v>CEREAL VITALISIMO ALMEDRA (450g)</v>
          </cell>
          <cell r="C199" t="str">
            <v>CAJA</v>
          </cell>
          <cell r="D199">
            <v>1926</v>
          </cell>
          <cell r="E199" t="str">
            <v>GRAMO</v>
          </cell>
          <cell r="F199">
            <v>4.28</v>
          </cell>
        </row>
        <row r="200">
          <cell r="A200" t="str">
            <v>1730532</v>
          </cell>
          <cell r="B200" t="str">
            <v>MAYONESA SPOON (3.785 L)</v>
          </cell>
          <cell r="C200" t="str">
            <v>LITRO</v>
          </cell>
          <cell r="D200">
            <v>2159.3132000000001</v>
          </cell>
          <cell r="E200" t="str">
            <v>MILILITRO</v>
          </cell>
          <cell r="F200">
            <v>2.1593132000000002</v>
          </cell>
        </row>
        <row r="201">
          <cell r="A201" t="str">
            <v>1730613</v>
          </cell>
          <cell r="B201" t="str">
            <v>LECHE DELACTOMY 1LITRO</v>
          </cell>
          <cell r="C201" t="str">
            <v>LITRO</v>
          </cell>
          <cell r="D201">
            <v>867.54899999999998</v>
          </cell>
          <cell r="E201" t="str">
            <v>MILILITRO</v>
          </cell>
          <cell r="F201">
            <v>0.86754900000000001</v>
          </cell>
        </row>
        <row r="202">
          <cell r="A202" t="str">
            <v>1730618</v>
          </cell>
          <cell r="B202" t="str">
            <v>MANDARINA (KILO)</v>
          </cell>
          <cell r="C202" t="str">
            <v>KILO</v>
          </cell>
          <cell r="D202">
            <v>1859.0000000000002</v>
          </cell>
          <cell r="E202" t="str">
            <v>GRAMO</v>
          </cell>
          <cell r="F202">
            <v>1.8590000000000002</v>
          </cell>
        </row>
        <row r="203">
          <cell r="A203" t="str">
            <v>1730643</v>
          </cell>
          <cell r="B203" t="str">
            <v>QUESO TURRIALBA (3KILO)</v>
          </cell>
          <cell r="C203" t="str">
            <v>KILO</v>
          </cell>
          <cell r="D203">
            <v>2979.5920000000001</v>
          </cell>
          <cell r="E203" t="str">
            <v>GRAMO</v>
          </cell>
          <cell r="F203">
            <v>2.9795920000000002</v>
          </cell>
        </row>
        <row r="204">
          <cell r="A204" t="str">
            <v>1730645</v>
          </cell>
          <cell r="B204" t="str">
            <v>QUESO MOZARELLA RAYADO (1KILO)</v>
          </cell>
          <cell r="C204" t="str">
            <v>KILO</v>
          </cell>
          <cell r="D204">
            <v>4621.2539999999999</v>
          </cell>
          <cell r="E204" t="str">
            <v>GRAMO</v>
          </cell>
          <cell r="F204">
            <v>4.6212539999999995</v>
          </cell>
        </row>
        <row r="205">
          <cell r="A205" t="str">
            <v>1730646</v>
          </cell>
          <cell r="B205" t="str">
            <v>NATILLA GRANJA (115g)</v>
          </cell>
          <cell r="C205" t="str">
            <v>UND</v>
          </cell>
          <cell r="D205">
            <v>130.90899999999999</v>
          </cell>
          <cell r="E205" t="str">
            <v>GRAMO</v>
          </cell>
          <cell r="F205">
            <v>1.1383391304347825</v>
          </cell>
        </row>
        <row r="206">
          <cell r="A206" t="str">
            <v>1730653</v>
          </cell>
          <cell r="B206" t="str">
            <v>PATACONES DE PLATANO VERDE (PAQ=750g)</v>
          </cell>
          <cell r="C206" t="str">
            <v>KILO</v>
          </cell>
          <cell r="D206">
            <v>1850.5663000000002</v>
          </cell>
          <cell r="E206" t="str">
            <v>GRAMO</v>
          </cell>
          <cell r="F206">
            <v>1.8505663000000001</v>
          </cell>
        </row>
        <row r="207">
          <cell r="A207" t="str">
            <v>1730663</v>
          </cell>
          <cell r="B207" t="str">
            <v>SALSA AJI AMARILLO-DOY PACK (500GR)</v>
          </cell>
          <cell r="C207" t="str">
            <v>UND</v>
          </cell>
          <cell r="D207">
            <v>3382.9598000000005</v>
          </cell>
          <cell r="E207" t="str">
            <v>GRAMO</v>
          </cell>
          <cell r="F207">
            <v>6.765919600000001</v>
          </cell>
        </row>
        <row r="208">
          <cell r="A208" t="str">
            <v>2000001</v>
          </cell>
          <cell r="B208" t="str">
            <v>SALMON AHUMADO (PAQ=900g)</v>
          </cell>
          <cell r="C208" t="str">
            <v>PAQ</v>
          </cell>
          <cell r="D208">
            <v>17671.629800000002</v>
          </cell>
          <cell r="E208" t="str">
            <v>GRAMO</v>
          </cell>
          <cell r="F208">
            <v>19.635144222222223</v>
          </cell>
        </row>
        <row r="209">
          <cell r="A209" t="str">
            <v>10900006</v>
          </cell>
          <cell r="B209" t="str">
            <v>SANDIA CONGELADA INPAK 3 KG</v>
          </cell>
          <cell r="C209" t="str">
            <v>PAQ</v>
          </cell>
          <cell r="D209">
            <v>5816.8</v>
          </cell>
          <cell r="E209" t="str">
            <v>GRAMO</v>
          </cell>
          <cell r="F209">
            <v>1.9350632069194944</v>
          </cell>
        </row>
        <row r="210">
          <cell r="A210" t="str">
            <v>10900051</v>
          </cell>
          <cell r="B210" t="str">
            <v>AGUACATE KILO</v>
          </cell>
          <cell r="C210" t="str">
            <v>kilo</v>
          </cell>
          <cell r="D210">
            <v>2805</v>
          </cell>
          <cell r="E210" t="str">
            <v>GRAMO</v>
          </cell>
          <cell r="F210">
            <v>2.8050000000000002</v>
          </cell>
        </row>
        <row r="211">
          <cell r="A211" t="str">
            <v>10900057</v>
          </cell>
          <cell r="B211" t="str">
            <v>ZUQUINI MINI (PAQ= 200g)</v>
          </cell>
          <cell r="C211" t="str">
            <v>PAQ</v>
          </cell>
          <cell r="D211">
            <v>440.00000000000006</v>
          </cell>
          <cell r="E211" t="str">
            <v>GRAMO</v>
          </cell>
          <cell r="F211">
            <v>2.2000000000000002</v>
          </cell>
        </row>
      </sheetData>
      <sheetData sheetId="6">
        <row r="2">
          <cell r="A2" t="str">
            <v>0007526</v>
          </cell>
          <cell r="B2" t="str">
            <v>VASO 12on COCA COLA 50 UND X TIRA</v>
          </cell>
          <cell r="C2" t="str">
            <v>UND</v>
          </cell>
          <cell r="D2">
            <v>7.7880000000000003</v>
          </cell>
          <cell r="E2" t="str">
            <v>UND</v>
          </cell>
          <cell r="F2">
            <v>7.7880000000000003</v>
          </cell>
        </row>
        <row r="3">
          <cell r="A3" t="str">
            <v>0007527</v>
          </cell>
          <cell r="B3" t="str">
            <v>VASO 16 on COCA COLA 50 UND X TIRA</v>
          </cell>
          <cell r="C3" t="str">
            <v>UND</v>
          </cell>
          <cell r="D3">
            <v>10.183999999999999</v>
          </cell>
          <cell r="E3" t="str">
            <v>UND</v>
          </cell>
          <cell r="F3">
            <v>10.183999999999999</v>
          </cell>
        </row>
        <row r="4">
          <cell r="A4" t="str">
            <v>0007530</v>
          </cell>
          <cell r="B4" t="str">
            <v>VASO 22on 50 UND X TIRA</v>
          </cell>
          <cell r="C4" t="str">
            <v>PAQ</v>
          </cell>
          <cell r="D4">
            <v>601.00300000000004</v>
          </cell>
          <cell r="E4" t="str">
            <v>UND</v>
          </cell>
          <cell r="F4">
            <v>12.020060000000001</v>
          </cell>
        </row>
        <row r="5">
          <cell r="A5" t="str">
            <v>0007541</v>
          </cell>
          <cell r="B5" t="str">
            <v>TAPAS 12 on COCA COLA</v>
          </cell>
          <cell r="C5" t="str">
            <v>UND</v>
          </cell>
          <cell r="D5">
            <v>5.5960000000000001</v>
          </cell>
          <cell r="E5" t="str">
            <v>UND</v>
          </cell>
          <cell r="F5">
            <v>5.5960000000000001</v>
          </cell>
        </row>
        <row r="6">
          <cell r="A6" t="str">
            <v>0007542</v>
          </cell>
          <cell r="B6" t="str">
            <v>TAPA 16 on / 22 on COCA COLA</v>
          </cell>
          <cell r="C6" t="str">
            <v>UND</v>
          </cell>
          <cell r="D6">
            <v>3.399</v>
          </cell>
          <cell r="E6" t="str">
            <v>UND</v>
          </cell>
          <cell r="F6">
            <v>3.399</v>
          </cell>
        </row>
        <row r="7">
          <cell r="A7" t="str">
            <v>56007</v>
          </cell>
          <cell r="B7" t="str">
            <v>CANDELAS # 0</v>
          </cell>
          <cell r="C7" t="str">
            <v>UND</v>
          </cell>
          <cell r="D7">
            <v>438.92310000000003</v>
          </cell>
          <cell r="E7" t="str">
            <v>UND</v>
          </cell>
          <cell r="F7">
            <v>438.92310000000003</v>
          </cell>
        </row>
        <row r="8">
          <cell r="A8" t="str">
            <v>56009</v>
          </cell>
          <cell r="B8" t="str">
            <v>CANDELA MAGICA</v>
          </cell>
          <cell r="C8" t="str">
            <v>UND</v>
          </cell>
          <cell r="D8">
            <v>783.74340000000007</v>
          </cell>
          <cell r="E8" t="str">
            <v>UND</v>
          </cell>
          <cell r="F8">
            <v>783.74340000000007</v>
          </cell>
        </row>
        <row r="9">
          <cell r="A9" t="str">
            <v>56015</v>
          </cell>
          <cell r="B9" t="str">
            <v>CANDELAS # 1</v>
          </cell>
          <cell r="C9" t="str">
            <v>UND</v>
          </cell>
          <cell r="D9">
            <v>438.90000000000003</v>
          </cell>
          <cell r="E9" t="str">
            <v>UND</v>
          </cell>
          <cell r="F9">
            <v>438.90000000000003</v>
          </cell>
        </row>
        <row r="10">
          <cell r="A10" t="str">
            <v>56017</v>
          </cell>
          <cell r="B10" t="str">
            <v>CANDELAS # 2</v>
          </cell>
          <cell r="C10" t="str">
            <v>UND</v>
          </cell>
          <cell r="D10">
            <v>438.90000000000003</v>
          </cell>
          <cell r="E10" t="str">
            <v>UND</v>
          </cell>
          <cell r="F10">
            <v>438.90000000000003</v>
          </cell>
        </row>
        <row r="11">
          <cell r="A11" t="str">
            <v>56019</v>
          </cell>
          <cell r="B11" t="str">
            <v>CANDELAS # 3</v>
          </cell>
          <cell r="C11" t="str">
            <v>UND</v>
          </cell>
          <cell r="D11">
            <v>438.90000000000003</v>
          </cell>
          <cell r="E11" t="str">
            <v>UND</v>
          </cell>
          <cell r="F11">
            <v>438.90000000000003</v>
          </cell>
        </row>
        <row r="12">
          <cell r="A12" t="str">
            <v>56021</v>
          </cell>
          <cell r="B12" t="str">
            <v>CANDELAS # 4</v>
          </cell>
          <cell r="C12" t="str">
            <v>UND</v>
          </cell>
          <cell r="D12">
            <v>438.90000000000003</v>
          </cell>
          <cell r="E12" t="str">
            <v>UND</v>
          </cell>
          <cell r="F12">
            <v>438.90000000000003</v>
          </cell>
        </row>
        <row r="13">
          <cell r="A13" t="str">
            <v>56023</v>
          </cell>
          <cell r="B13" t="str">
            <v>CANDELAS # 5</v>
          </cell>
          <cell r="C13" t="str">
            <v>UND</v>
          </cell>
          <cell r="D13">
            <v>438.90770000000003</v>
          </cell>
          <cell r="E13" t="str">
            <v>UND</v>
          </cell>
          <cell r="F13">
            <v>438.90770000000003</v>
          </cell>
        </row>
        <row r="14">
          <cell r="A14" t="str">
            <v>56025</v>
          </cell>
          <cell r="B14" t="str">
            <v>CANDELAS # 6</v>
          </cell>
          <cell r="C14" t="str">
            <v>UND</v>
          </cell>
          <cell r="D14">
            <v>438.90000000000003</v>
          </cell>
          <cell r="E14" t="str">
            <v>UND</v>
          </cell>
          <cell r="F14">
            <v>438.90000000000003</v>
          </cell>
        </row>
        <row r="15">
          <cell r="A15" t="str">
            <v>56027</v>
          </cell>
          <cell r="B15" t="str">
            <v>CANDELAS # 7</v>
          </cell>
          <cell r="C15" t="str">
            <v>UND</v>
          </cell>
          <cell r="D15">
            <v>438.911</v>
          </cell>
          <cell r="E15" t="str">
            <v>UND</v>
          </cell>
          <cell r="F15">
            <v>438.911</v>
          </cell>
        </row>
        <row r="16">
          <cell r="A16" t="str">
            <v>56029</v>
          </cell>
          <cell r="B16" t="str">
            <v>CANDELAS # 8</v>
          </cell>
          <cell r="C16" t="str">
            <v>UND</v>
          </cell>
          <cell r="D16">
            <v>438.90220000000005</v>
          </cell>
          <cell r="E16" t="str">
            <v>UND</v>
          </cell>
          <cell r="F16">
            <v>438.90220000000005</v>
          </cell>
        </row>
        <row r="17">
          <cell r="A17" t="str">
            <v>56031</v>
          </cell>
          <cell r="B17" t="str">
            <v>CANDELAS # 9</v>
          </cell>
          <cell r="C17" t="str">
            <v>UND</v>
          </cell>
          <cell r="D17">
            <v>438.90000000000003</v>
          </cell>
          <cell r="E17" t="str">
            <v>UND</v>
          </cell>
          <cell r="F17">
            <v>438.90000000000003</v>
          </cell>
        </row>
        <row r="18">
          <cell r="A18" t="str">
            <v>0702053</v>
          </cell>
          <cell r="B18" t="str">
            <v>STICKER REDONDO AMARILLO</v>
          </cell>
          <cell r="C18" t="str">
            <v>ROLLO</v>
          </cell>
          <cell r="D18">
            <v>231.48179999999999</v>
          </cell>
          <cell r="E18" t="str">
            <v>UND</v>
          </cell>
          <cell r="F18">
            <v>0.25720199999999999</v>
          </cell>
        </row>
        <row r="19">
          <cell r="A19" t="str">
            <v>0702054</v>
          </cell>
          <cell r="B19" t="str">
            <v>STICKER REDONDO BLANCO</v>
          </cell>
          <cell r="C19" t="str">
            <v>ROLLO</v>
          </cell>
          <cell r="D19">
            <v>367.29</v>
          </cell>
          <cell r="E19" t="str">
            <v>UND</v>
          </cell>
          <cell r="F19">
            <v>0.40810000000000002</v>
          </cell>
        </row>
        <row r="20">
          <cell r="A20" t="str">
            <v>0702057</v>
          </cell>
          <cell r="B20" t="str">
            <v>STICKER REDONDO NARANJA</v>
          </cell>
          <cell r="C20" t="str">
            <v>ROLLO</v>
          </cell>
          <cell r="D20">
            <v>231.21560000000002</v>
          </cell>
          <cell r="E20" t="str">
            <v>UND</v>
          </cell>
          <cell r="F20">
            <v>0.25690622222222226</v>
          </cell>
        </row>
        <row r="21">
          <cell r="A21" t="str">
            <v>0702058</v>
          </cell>
          <cell r="B21" t="str">
            <v>STICKER REDONDO ROJO</v>
          </cell>
          <cell r="C21" t="str">
            <v>ROLLO</v>
          </cell>
          <cell r="D21">
            <v>717.11090000000002</v>
          </cell>
          <cell r="E21" t="str">
            <v>UND</v>
          </cell>
          <cell r="F21">
            <v>0.79678988888888891</v>
          </cell>
        </row>
        <row r="22">
          <cell r="A22" t="str">
            <v>0702060</v>
          </cell>
          <cell r="B22" t="str">
            <v>STICKER REDONDO VERDE</v>
          </cell>
          <cell r="C22" t="str">
            <v>ROLLO</v>
          </cell>
          <cell r="D22">
            <v>353.80400000000003</v>
          </cell>
          <cell r="E22" t="str">
            <v>UND</v>
          </cell>
          <cell r="F22">
            <v>0.39311555555555561</v>
          </cell>
        </row>
        <row r="23">
          <cell r="A23" t="str">
            <v>0702119</v>
          </cell>
          <cell r="B23" t="str">
            <v>STICKER REDONDO CAFE</v>
          </cell>
          <cell r="C23" t="str">
            <v>UND</v>
          </cell>
          <cell r="D23">
            <v>660.5390000000001</v>
          </cell>
          <cell r="E23" t="str">
            <v>UND</v>
          </cell>
          <cell r="F23">
            <v>0.73393222222222232</v>
          </cell>
        </row>
        <row r="24">
          <cell r="A24" t="str">
            <v>0702155</v>
          </cell>
          <cell r="B24" t="str">
            <v>ETIQUETA BLANCA VENCE (ROLLO=1000 UND)</v>
          </cell>
          <cell r="C24" t="str">
            <v>ROLLO</v>
          </cell>
          <cell r="D24">
            <v>638</v>
          </cell>
          <cell r="E24" t="str">
            <v>UND</v>
          </cell>
          <cell r="F24">
            <v>0.63800000000000001</v>
          </cell>
        </row>
        <row r="25">
          <cell r="A25" t="str">
            <v>702174</v>
          </cell>
          <cell r="B25" t="str">
            <v>ETIQUETA SELLO DE SEGURIDAD **</v>
          </cell>
          <cell r="C25" t="str">
            <v>ROLLO</v>
          </cell>
          <cell r="D25">
            <v>6453.1675999999998</v>
          </cell>
          <cell r="E25" t="str">
            <v>UND</v>
          </cell>
          <cell r="F25">
            <v>6.4531675999999996</v>
          </cell>
        </row>
        <row r="26">
          <cell r="A26" t="str">
            <v>0703204</v>
          </cell>
          <cell r="B26" t="str">
            <v>TARJETA SPOONERS PVC C/CODIGO BARRA</v>
          </cell>
          <cell r="C26" t="str">
            <v>UND</v>
          </cell>
          <cell r="D26">
            <v>83.054400000000015</v>
          </cell>
          <cell r="E26" t="str">
            <v>UND</v>
          </cell>
          <cell r="F26">
            <v>83.054400000000015</v>
          </cell>
        </row>
        <row r="27">
          <cell r="A27" t="str">
            <v>703205</v>
          </cell>
          <cell r="B27" t="str">
            <v>BROCHURE P/ TARJETAS SPOONERS</v>
          </cell>
          <cell r="C27" t="str">
            <v>UND</v>
          </cell>
          <cell r="D27">
            <v>53.058500000000002</v>
          </cell>
          <cell r="E27" t="str">
            <v>UND</v>
          </cell>
          <cell r="F27">
            <v>53.058500000000002</v>
          </cell>
        </row>
        <row r="28">
          <cell r="A28" t="str">
            <v>1840689</v>
          </cell>
          <cell r="B28" t="str">
            <v>SERVILLETA TORK W7T (CAJA = 12 PAQ)</v>
          </cell>
          <cell r="C28" t="str">
            <v>PAQ</v>
          </cell>
          <cell r="D28">
            <v>1028.2280000000001</v>
          </cell>
          <cell r="E28" t="str">
            <v>UND</v>
          </cell>
          <cell r="F28">
            <v>2.0564560000000003</v>
          </cell>
        </row>
        <row r="29">
          <cell r="A29" t="str">
            <v>1840690</v>
          </cell>
          <cell r="B29" t="str">
            <v>SERVILLETA TORK XPRESS ADV</v>
          </cell>
          <cell r="C29" t="str">
            <v>PAQ</v>
          </cell>
          <cell r="D29">
            <v>818.173</v>
          </cell>
          <cell r="E29" t="str">
            <v>UND</v>
          </cell>
          <cell r="F29">
            <v>1.6363460000000001</v>
          </cell>
        </row>
        <row r="30">
          <cell r="A30" t="str">
            <v>1950380</v>
          </cell>
          <cell r="B30" t="str">
            <v>FORRO VASO 12 ONZ BRITT (PAQ=50 UND)</v>
          </cell>
          <cell r="C30" t="str">
            <v>UND</v>
          </cell>
          <cell r="D30">
            <v>30.015000000000001</v>
          </cell>
          <cell r="E30" t="str">
            <v>UND</v>
          </cell>
          <cell r="F30">
            <v>30.015000000000001</v>
          </cell>
        </row>
        <row r="31">
          <cell r="A31" t="str">
            <v>1950381</v>
          </cell>
          <cell r="B31" t="str">
            <v>FORRO VASO 8 ONZ BRITT (PAQ=50 UND)</v>
          </cell>
          <cell r="C31" t="str">
            <v>UND</v>
          </cell>
          <cell r="D31">
            <v>30.024000000000001</v>
          </cell>
          <cell r="E31" t="str">
            <v>UND</v>
          </cell>
          <cell r="F31">
            <v>30.024000000000001</v>
          </cell>
        </row>
        <row r="32">
          <cell r="A32" t="str">
            <v>1950405</v>
          </cell>
          <cell r="B32" t="str">
            <v>SUFLE PLASTICO TRASLUCIDO 2.5 oz (PAQ=100 UND)</v>
          </cell>
          <cell r="C32" t="str">
            <v>UND</v>
          </cell>
          <cell r="D32">
            <v>13.5388</v>
          </cell>
          <cell r="E32" t="str">
            <v>UND</v>
          </cell>
          <cell r="F32">
            <v>13.5388</v>
          </cell>
        </row>
        <row r="33">
          <cell r="A33" t="str">
            <v>1950406</v>
          </cell>
          <cell r="B33" t="str">
            <v>TAPA SUFFLE PLAST. 1.5/2.5 oz (PAQ=100 UND)</v>
          </cell>
          <cell r="C33" t="str">
            <v>UND</v>
          </cell>
          <cell r="D33">
            <v>8.5106999999999999</v>
          </cell>
          <cell r="E33" t="str">
            <v>UND</v>
          </cell>
          <cell r="F33">
            <v>8.5106999999999999</v>
          </cell>
        </row>
        <row r="34">
          <cell r="A34" t="str">
            <v>1950408</v>
          </cell>
          <cell r="B34" t="str">
            <v>CAJA OFFICE BREAK PORCION (CAJA=525 UND)</v>
          </cell>
          <cell r="C34" t="str">
            <v>UND</v>
          </cell>
          <cell r="D34">
            <v>55.855800000000002</v>
          </cell>
          <cell r="E34" t="str">
            <v>UND</v>
          </cell>
          <cell r="F34">
            <v>55.855800000000002</v>
          </cell>
        </row>
        <row r="35">
          <cell r="A35" t="str">
            <v>1950668</v>
          </cell>
          <cell r="B35" t="str">
            <v>TAPA PLAST P/CONT. PAPEL 12 ONZ (PAQ=50 UND)</v>
          </cell>
          <cell r="C35" t="str">
            <v>UND</v>
          </cell>
          <cell r="D35">
            <v>34.7303</v>
          </cell>
          <cell r="E35" t="str">
            <v>UND</v>
          </cell>
          <cell r="F35">
            <v>34.7303</v>
          </cell>
        </row>
        <row r="36">
          <cell r="A36" t="str">
            <v>1950669</v>
          </cell>
          <cell r="B36" t="str">
            <v>CONTENEDOR PAPEL 12 ONZAS (PAQ=50 UND)</v>
          </cell>
          <cell r="C36" t="str">
            <v>UND</v>
          </cell>
          <cell r="D36" t="e">
            <v>#N/A</v>
          </cell>
          <cell r="E36" t="str">
            <v>UND</v>
          </cell>
          <cell r="F36" t="e">
            <v>#N/A</v>
          </cell>
        </row>
        <row r="37">
          <cell r="A37" t="str">
            <v>1950701</v>
          </cell>
          <cell r="B37" t="str">
            <v>BOLSA PAPEL KRAFT 2 LB (PAQ=500)</v>
          </cell>
          <cell r="C37" t="str">
            <v>UND</v>
          </cell>
          <cell r="D37">
            <v>6.3689999999999998</v>
          </cell>
          <cell r="E37" t="str">
            <v>UND</v>
          </cell>
          <cell r="F37">
            <v>6.3689999999999998</v>
          </cell>
        </row>
        <row r="38">
          <cell r="A38" t="str">
            <v>1950702</v>
          </cell>
          <cell r="B38" t="str">
            <v>BOLSA 12x18 TRANSP (KILO)</v>
          </cell>
          <cell r="C38" t="str">
            <v>KILO</v>
          </cell>
          <cell r="D38">
            <v>1485.0000000000002</v>
          </cell>
          <cell r="E38" t="str">
            <v>UND</v>
          </cell>
          <cell r="F38">
            <v>11.880000000000003</v>
          </cell>
        </row>
        <row r="39">
          <cell r="A39" t="str">
            <v>1950703</v>
          </cell>
          <cell r="B39" t="str">
            <v>BOLSA IMP. SPOON CAMI 8 * 16 **</v>
          </cell>
          <cell r="C39" t="str">
            <v>KILO</v>
          </cell>
          <cell r="D39">
            <v>2035.0000000000002</v>
          </cell>
          <cell r="E39" t="str">
            <v>UND</v>
          </cell>
          <cell r="F39">
            <v>9.1666666666666679</v>
          </cell>
        </row>
        <row r="40">
          <cell r="A40" t="str">
            <v>1950704</v>
          </cell>
          <cell r="B40" t="str">
            <v>BOLSA 5x8 TRANSP (KILO) **</v>
          </cell>
          <cell r="C40" t="str">
            <v>KILO</v>
          </cell>
          <cell r="D40">
            <v>1485.0000000000002</v>
          </cell>
          <cell r="E40" t="str">
            <v>UND</v>
          </cell>
          <cell r="F40">
            <v>2.9700000000000006</v>
          </cell>
        </row>
        <row r="41">
          <cell r="A41" t="str">
            <v>1950705</v>
          </cell>
          <cell r="B41" t="str">
            <v xml:space="preserve">BOLSA 8x12 TRANSP (KILO) ** </v>
          </cell>
          <cell r="C41" t="str">
            <v>KILO</v>
          </cell>
          <cell r="D41">
            <v>1485.0000000000002</v>
          </cell>
          <cell r="E41" t="str">
            <v>UND</v>
          </cell>
          <cell r="F41">
            <v>7.4250000000000007</v>
          </cell>
        </row>
        <row r="42">
          <cell r="A42" t="str">
            <v>1950708</v>
          </cell>
          <cell r="B42" t="str">
            <v xml:space="preserve">BOLSA 17x25 TRANSP (KILO) ** </v>
          </cell>
          <cell r="C42" t="str">
            <v>KILO</v>
          </cell>
          <cell r="D42">
            <v>1485.0000000000002</v>
          </cell>
          <cell r="E42" t="str">
            <v>UND</v>
          </cell>
          <cell r="F42">
            <v>35.357142857142861</v>
          </cell>
        </row>
        <row r="43">
          <cell r="A43" t="str">
            <v>1950709</v>
          </cell>
          <cell r="B43" t="str">
            <v>BOLSAS IMP. SPOON CAMI 10 * 20 **</v>
          </cell>
          <cell r="C43" t="str">
            <v>KILO</v>
          </cell>
          <cell r="D43">
            <v>2035.0000000000002</v>
          </cell>
          <cell r="E43" t="str">
            <v>UND</v>
          </cell>
          <cell r="F43">
            <v>18.500000000000004</v>
          </cell>
        </row>
        <row r="44">
          <cell r="A44" t="str">
            <v>1950711</v>
          </cell>
          <cell r="B44" t="str">
            <v>BURBUJA # 5 (125XPAQ)</v>
          </cell>
          <cell r="C44" t="str">
            <v>UND</v>
          </cell>
          <cell r="D44">
            <v>54.371000000000002</v>
          </cell>
          <cell r="E44" t="str">
            <v>UND</v>
          </cell>
          <cell r="F44">
            <v>54.371000000000002</v>
          </cell>
        </row>
        <row r="45">
          <cell r="A45" t="str">
            <v>1950712</v>
          </cell>
          <cell r="B45" t="str">
            <v>BURBUJA # 6 (125XPAQ)</v>
          </cell>
          <cell r="C45" t="str">
            <v>UND</v>
          </cell>
          <cell r="D45">
            <v>71.129000000000005</v>
          </cell>
          <cell r="E45" t="str">
            <v>UND</v>
          </cell>
          <cell r="F45">
            <v>71.129000000000005</v>
          </cell>
        </row>
        <row r="46">
          <cell r="A46" t="str">
            <v>1950731</v>
          </cell>
          <cell r="B46" t="str">
            <v>CAPSULA # 3 LOGO (100 * PAQ)</v>
          </cell>
          <cell r="C46" t="str">
            <v>UND</v>
          </cell>
          <cell r="D46">
            <v>7.8100000000000005</v>
          </cell>
          <cell r="E46" t="str">
            <v>UND</v>
          </cell>
          <cell r="F46">
            <v>7.8100000000000005</v>
          </cell>
        </row>
        <row r="47">
          <cell r="A47" t="str">
            <v>1950733</v>
          </cell>
          <cell r="B47" t="str">
            <v>CAPSULA # 10 BLANCA (100 * PAQ)</v>
          </cell>
          <cell r="C47" t="str">
            <v>UND</v>
          </cell>
          <cell r="D47">
            <v>6.3580000000000005</v>
          </cell>
          <cell r="E47" t="str">
            <v>UND</v>
          </cell>
          <cell r="F47">
            <v>6.3580000000000005</v>
          </cell>
        </row>
        <row r="48">
          <cell r="A48" t="str">
            <v>1950735</v>
          </cell>
          <cell r="B48" t="str">
            <v>CAPSULA # 5 LOGO (100 * PAQ)</v>
          </cell>
          <cell r="C48" t="str">
            <v>UND</v>
          </cell>
          <cell r="D48">
            <v>9.240000000000002</v>
          </cell>
          <cell r="E48" t="str">
            <v>UND</v>
          </cell>
          <cell r="F48">
            <v>9.240000000000002</v>
          </cell>
        </row>
        <row r="49">
          <cell r="A49" t="str">
            <v>1950741</v>
          </cell>
          <cell r="B49" t="str">
            <v>VASO 3.25 OZ (PAQ * 125)</v>
          </cell>
          <cell r="C49" t="str">
            <v>UND</v>
          </cell>
          <cell r="D49">
            <v>12.335000000000001</v>
          </cell>
          <cell r="E49" t="str">
            <v>UND</v>
          </cell>
          <cell r="F49">
            <v>12.335000000000001</v>
          </cell>
        </row>
        <row r="50">
          <cell r="A50" t="str">
            <v>1950742</v>
          </cell>
          <cell r="B50" t="str">
            <v>VASO SOUFLE 5.5 OZ (PAQ * 250)</v>
          </cell>
          <cell r="C50" t="str">
            <v>UND</v>
          </cell>
          <cell r="D50">
            <v>10.826000000000001</v>
          </cell>
          <cell r="E50" t="str">
            <v>UND</v>
          </cell>
          <cell r="F50">
            <v>10.826000000000001</v>
          </cell>
        </row>
        <row r="51">
          <cell r="A51" t="str">
            <v>1950744</v>
          </cell>
          <cell r="B51" t="str">
            <v>CUCHARA PLASTICA NEGRA (1000 * CAJA).....</v>
          </cell>
          <cell r="C51" t="str">
            <v>UND</v>
          </cell>
          <cell r="D51">
            <v>6.1619999999999999</v>
          </cell>
          <cell r="E51" t="str">
            <v>UND</v>
          </cell>
          <cell r="F51">
            <v>6.1619999999999999</v>
          </cell>
        </row>
        <row r="52">
          <cell r="A52" t="str">
            <v>1950745</v>
          </cell>
          <cell r="B52" t="str">
            <v>CUCHILLO PLASTICO NEGRO (1000 * CAJA)....</v>
          </cell>
          <cell r="C52" t="str">
            <v>UND</v>
          </cell>
          <cell r="D52">
            <v>5.952</v>
          </cell>
          <cell r="E52" t="str">
            <v>UND</v>
          </cell>
          <cell r="F52">
            <v>5.952</v>
          </cell>
        </row>
        <row r="53">
          <cell r="A53" t="str">
            <v>1950747</v>
          </cell>
          <cell r="B53" t="str">
            <v>FILTROS P/ CAFETERA VPR (PAQ * 500)</v>
          </cell>
          <cell r="C53" t="str">
            <v>UND</v>
          </cell>
          <cell r="D53">
            <v>12.218999999999999</v>
          </cell>
          <cell r="E53" t="str">
            <v>UND</v>
          </cell>
          <cell r="F53">
            <v>12.218999999999999</v>
          </cell>
        </row>
        <row r="54">
          <cell r="A54" t="str">
            <v>1950753</v>
          </cell>
          <cell r="B54" t="str">
            <v>BANDEJA ALUM 12 PORC #367.</v>
          </cell>
          <cell r="C54" t="str">
            <v>UND</v>
          </cell>
          <cell r="D54">
            <v>524.06200000000001</v>
          </cell>
          <cell r="E54" t="str">
            <v>UND</v>
          </cell>
          <cell r="F54">
            <v>524.06200000000001</v>
          </cell>
        </row>
        <row r="55">
          <cell r="A55" t="str">
            <v>1950756</v>
          </cell>
          <cell r="B55" t="str">
            <v>BANDEJA ALUM DESE #4040 (6 PORC)</v>
          </cell>
          <cell r="C55" t="str">
            <v>UND</v>
          </cell>
          <cell r="D55">
            <v>195.88800000000003</v>
          </cell>
          <cell r="E55" t="str">
            <v>UND</v>
          </cell>
          <cell r="F55">
            <v>195.88800000000003</v>
          </cell>
        </row>
        <row r="56">
          <cell r="A56" t="str">
            <v>1950760</v>
          </cell>
          <cell r="B56" t="str">
            <v>PAJILLA ENVUELTA 500UND</v>
          </cell>
          <cell r="C56" t="str">
            <v>UND</v>
          </cell>
          <cell r="D56">
            <v>8.4209999999999994</v>
          </cell>
          <cell r="E56" t="str">
            <v>UND</v>
          </cell>
          <cell r="F56">
            <v>8.4209999999999994</v>
          </cell>
        </row>
        <row r="57">
          <cell r="A57" t="str">
            <v>1950764</v>
          </cell>
          <cell r="B57" t="str">
            <v>PALILLOS DE DIENTES (800 UNID)</v>
          </cell>
          <cell r="C57" t="str">
            <v>UND</v>
          </cell>
          <cell r="D57">
            <v>0.44700000000000001</v>
          </cell>
          <cell r="E57" t="str">
            <v>UND</v>
          </cell>
          <cell r="F57">
            <v>0.44700000000000001</v>
          </cell>
        </row>
        <row r="58">
          <cell r="A58" t="str">
            <v>1950766</v>
          </cell>
          <cell r="B58" t="str">
            <v>PLAST. AUTOAD 12 * 2000</v>
          </cell>
          <cell r="C58" t="str">
            <v>CAJA</v>
          </cell>
          <cell r="D58">
            <v>6653.4089999999997</v>
          </cell>
          <cell r="E58" t="str">
            <v>CM</v>
          </cell>
          <cell r="F58">
            <v>0.10914384842519685</v>
          </cell>
        </row>
        <row r="59">
          <cell r="A59" t="str">
            <v>1950767</v>
          </cell>
          <cell r="B59" t="str">
            <v>PAPEL ALUMINIO 12 * 1000</v>
          </cell>
          <cell r="C59" t="str">
            <v>CAJA</v>
          </cell>
          <cell r="D59">
            <v>13787.079</v>
          </cell>
          <cell r="E59" t="str">
            <v>CM</v>
          </cell>
          <cell r="F59">
            <v>0.45233198818897635</v>
          </cell>
        </row>
        <row r="60">
          <cell r="A60" t="str">
            <v>1950772</v>
          </cell>
          <cell r="B60" t="str">
            <v>PAPEL ENCERADO 12 X 10 (CAJA) **</v>
          </cell>
          <cell r="C60" t="str">
            <v>CAJA</v>
          </cell>
          <cell r="D60">
            <v>3535.223</v>
          </cell>
          <cell r="E60" t="str">
            <v>UND</v>
          </cell>
          <cell r="F60">
            <v>7.0704459999999996</v>
          </cell>
        </row>
        <row r="61">
          <cell r="A61" t="str">
            <v>1950784</v>
          </cell>
          <cell r="B61" t="str">
            <v>REMOVEDORES (CAJA=1000 UND)</v>
          </cell>
          <cell r="C61" t="str">
            <v>UND</v>
          </cell>
          <cell r="D61">
            <v>0.68300000000000005</v>
          </cell>
          <cell r="E61" t="str">
            <v>UND</v>
          </cell>
          <cell r="F61">
            <v>0.68300000000000005</v>
          </cell>
        </row>
        <row r="62">
          <cell r="A62" t="str">
            <v>1950786</v>
          </cell>
          <cell r="B62" t="str">
            <v>BOLSA IMP. SPOON CAMI 12 * 25 **</v>
          </cell>
          <cell r="C62" t="str">
            <v>KILO</v>
          </cell>
          <cell r="D62">
            <v>2035.0000000000002</v>
          </cell>
          <cell r="E62" t="str">
            <v>UND</v>
          </cell>
          <cell r="F62">
            <v>24.226190476190478</v>
          </cell>
        </row>
        <row r="63">
          <cell r="A63" t="str">
            <v>1950790</v>
          </cell>
          <cell r="B63" t="str">
            <v>KIT TENEDOR CUCHILLO (CAJA=500)</v>
          </cell>
          <cell r="C63" t="str">
            <v>UND</v>
          </cell>
          <cell r="D63">
            <v>24.754400000000004</v>
          </cell>
          <cell r="E63" t="str">
            <v>UND</v>
          </cell>
          <cell r="F63">
            <v>24.754400000000004</v>
          </cell>
        </row>
        <row r="64">
          <cell r="A64" t="str">
            <v>1950791</v>
          </cell>
          <cell r="B64" t="str">
            <v>TAPA PLAST. SUFLE 5.5 oz (PAQ=250 UND)</v>
          </cell>
          <cell r="C64" t="str">
            <v>UND</v>
          </cell>
          <cell r="D64">
            <v>7.7149999999999999</v>
          </cell>
          <cell r="E64" t="str">
            <v>UND</v>
          </cell>
          <cell r="F64">
            <v>7.7149999999999999</v>
          </cell>
        </row>
        <row r="65">
          <cell r="A65" t="str">
            <v>1950794</v>
          </cell>
          <cell r="B65" t="str">
            <v>TENEDOR PLASTICO NEGRO (1000 * CAJA).....</v>
          </cell>
          <cell r="C65" t="str">
            <v>UND</v>
          </cell>
          <cell r="D65">
            <v>4.7590000000000003</v>
          </cell>
          <cell r="E65" t="str">
            <v>UND</v>
          </cell>
          <cell r="F65">
            <v>4.7590000000000003</v>
          </cell>
        </row>
        <row r="66">
          <cell r="A66" t="str">
            <v>1950797</v>
          </cell>
          <cell r="B66" t="str">
            <v>VASO PLAST. TRASL 16 OZ (PAQ=50 UND)</v>
          </cell>
          <cell r="C66" t="str">
            <v>UND</v>
          </cell>
          <cell r="D66">
            <v>76.452200000000005</v>
          </cell>
          <cell r="E66" t="str">
            <v>UND</v>
          </cell>
          <cell r="F66">
            <v>76.452200000000005</v>
          </cell>
        </row>
        <row r="67">
          <cell r="A67" t="str">
            <v>1950853</v>
          </cell>
          <cell r="B67" t="str">
            <v>VASO 9oz P/SUNDAE TS9(PAQ=50 UND)</v>
          </cell>
          <cell r="C67" t="str">
            <v>UND</v>
          </cell>
          <cell r="D67">
            <v>45.650000000000006</v>
          </cell>
          <cell r="E67" t="str">
            <v>UND</v>
          </cell>
          <cell r="F67">
            <v>45.650000000000006</v>
          </cell>
        </row>
        <row r="68">
          <cell r="A68" t="str">
            <v>1950864</v>
          </cell>
          <cell r="B68" t="str">
            <v>FILTRO P/GRASA 10” CONICO PAQ DE 50</v>
          </cell>
          <cell r="C68" t="str">
            <v>PAQ</v>
          </cell>
          <cell r="D68">
            <v>3379.9430000000002</v>
          </cell>
          <cell r="E68" t="str">
            <v>UND</v>
          </cell>
          <cell r="F68">
            <v>67.598860000000002</v>
          </cell>
        </row>
        <row r="69">
          <cell r="A69" t="str">
            <v>1950879</v>
          </cell>
          <cell r="B69" t="str">
            <v>BANDEJA PLASTICA 3 DIV. (250 UND)</v>
          </cell>
          <cell r="C69" t="str">
            <v>UND</v>
          </cell>
          <cell r="D69">
            <v>106.91800000000001</v>
          </cell>
          <cell r="E69" t="str">
            <v>UND</v>
          </cell>
          <cell r="F69">
            <v>106.91800000000001</v>
          </cell>
        </row>
        <row r="70">
          <cell r="A70" t="str">
            <v>1950880</v>
          </cell>
          <cell r="B70" t="str">
            <v>TAPA BANDEJA PLASTICA 3 DIV. (250 UND)</v>
          </cell>
          <cell r="C70" t="str">
            <v>UND</v>
          </cell>
          <cell r="D70">
            <v>87.055000000000007</v>
          </cell>
          <cell r="E70" t="str">
            <v>UND</v>
          </cell>
          <cell r="F70">
            <v>87.055000000000007</v>
          </cell>
        </row>
        <row r="71">
          <cell r="A71" t="str">
            <v>1950883</v>
          </cell>
          <cell r="B71" t="str">
            <v>CAJA PEQUEÑA OFFICE BREAK (CAJA=550 UND)</v>
          </cell>
          <cell r="C71" t="str">
            <v>UND</v>
          </cell>
          <cell r="D71">
            <v>62.7</v>
          </cell>
          <cell r="E71" t="str">
            <v>UND</v>
          </cell>
          <cell r="F71">
            <v>62.7</v>
          </cell>
        </row>
        <row r="72">
          <cell r="A72" t="str">
            <v>1950884</v>
          </cell>
          <cell r="B72" t="str">
            <v>CAJA MEDIANA OFFICE BREAK (CAJA=240 UND)</v>
          </cell>
          <cell r="C72" t="str">
            <v>UND</v>
          </cell>
          <cell r="D72">
            <v>82.986199999999997</v>
          </cell>
          <cell r="E72" t="str">
            <v>UND</v>
          </cell>
          <cell r="F72">
            <v>82.986199999999997</v>
          </cell>
        </row>
        <row r="73">
          <cell r="A73" t="str">
            <v>1950885</v>
          </cell>
          <cell r="B73" t="str">
            <v>CAJA GRANDE OFFICE BREAK (CAJA=180 UND)</v>
          </cell>
          <cell r="C73" t="str">
            <v>UND</v>
          </cell>
          <cell r="D73">
            <v>127.2458</v>
          </cell>
          <cell r="E73" t="str">
            <v>UND</v>
          </cell>
          <cell r="F73">
            <v>127.2458</v>
          </cell>
        </row>
        <row r="74">
          <cell r="A74" t="str">
            <v>1950887</v>
          </cell>
          <cell r="B74" t="str">
            <v>PLATO 9 COMPOSTABLE</v>
          </cell>
          <cell r="C74" t="str">
            <v>UND</v>
          </cell>
          <cell r="D74">
            <v>64.900000000000006</v>
          </cell>
          <cell r="E74" t="str">
            <v>UND</v>
          </cell>
          <cell r="F74">
            <v>64.900000000000006</v>
          </cell>
        </row>
        <row r="75">
          <cell r="A75" t="str">
            <v>1950888</v>
          </cell>
          <cell r="B75" t="str">
            <v>PLATO  6 COMPOSTABLE</v>
          </cell>
          <cell r="C75" t="str">
            <v>UND</v>
          </cell>
          <cell r="D75">
            <v>29.150000000000002</v>
          </cell>
          <cell r="E75" t="str">
            <v>UND</v>
          </cell>
          <cell r="F75">
            <v>29.150000000000002</v>
          </cell>
        </row>
        <row r="76">
          <cell r="A76" t="str">
            <v>1950890</v>
          </cell>
          <cell r="B76" t="str">
            <v>VASO BIODEGRADABLE 8 on (UND)</v>
          </cell>
          <cell r="C76" t="str">
            <v>UND</v>
          </cell>
          <cell r="D76">
            <v>39.25</v>
          </cell>
          <cell r="E76" t="str">
            <v>UND</v>
          </cell>
          <cell r="F76">
            <v>39.25</v>
          </cell>
        </row>
        <row r="77">
          <cell r="A77" t="str">
            <v>1950891</v>
          </cell>
          <cell r="B77" t="str">
            <v>VASO BIODEGRAABLE 12 on (UND)</v>
          </cell>
          <cell r="C77" t="str">
            <v>UND</v>
          </cell>
          <cell r="D77">
            <v>51.76</v>
          </cell>
          <cell r="E77" t="str">
            <v>UND</v>
          </cell>
          <cell r="F77">
            <v>51.76</v>
          </cell>
        </row>
        <row r="78">
          <cell r="A78" t="str">
            <v>1950893</v>
          </cell>
          <cell r="B78" t="str">
            <v>TAPA VASO BIODEGRADABLE (12,16 on) (UND)</v>
          </cell>
          <cell r="C78" t="str">
            <v>UND</v>
          </cell>
          <cell r="D78">
            <v>18.026</v>
          </cell>
          <cell r="E78" t="str">
            <v>UND</v>
          </cell>
          <cell r="F78">
            <v>18.026</v>
          </cell>
        </row>
        <row r="79">
          <cell r="A79" t="str">
            <v>1950900</v>
          </cell>
          <cell r="B79" t="str">
            <v>BANDEJA NEGRA DELI 120NZAS (252UND)</v>
          </cell>
          <cell r="C79" t="str">
            <v>UND</v>
          </cell>
          <cell r="D79">
            <v>61.023000000000003</v>
          </cell>
          <cell r="E79" t="str">
            <v>UND</v>
          </cell>
          <cell r="F79">
            <v>61.023000000000003</v>
          </cell>
        </row>
        <row r="80">
          <cell r="A80" t="str">
            <v>1950901</v>
          </cell>
          <cell r="B80" t="str">
            <v>TAPA BANDEJA 8/12/16 ONZAS (CAJA=252UND)</v>
          </cell>
          <cell r="C80" t="str">
            <v>UND</v>
          </cell>
          <cell r="D80">
            <v>54.353000000000002</v>
          </cell>
          <cell r="E80" t="str">
            <v>UND</v>
          </cell>
          <cell r="F80">
            <v>54.353000000000002</v>
          </cell>
        </row>
        <row r="81">
          <cell r="A81" t="str">
            <v>1950902</v>
          </cell>
          <cell r="B81" t="str">
            <v>BOLW 35 ONZAS ROSEWARE (ENSALADERA) (220U)</v>
          </cell>
          <cell r="C81" t="str">
            <v>UND</v>
          </cell>
          <cell r="D81">
            <v>171.863</v>
          </cell>
          <cell r="E81" t="str">
            <v>UND</v>
          </cell>
          <cell r="F81">
            <v>171.863</v>
          </cell>
        </row>
        <row r="82">
          <cell r="A82" t="str">
            <v>1950905</v>
          </cell>
          <cell r="B82" t="str">
            <v>BOLSA PANINI IMPRESA (PAQ=500 UND)</v>
          </cell>
          <cell r="C82" t="str">
            <v>UND</v>
          </cell>
          <cell r="D82">
            <v>56.384900000000002</v>
          </cell>
          <cell r="E82" t="str">
            <v>UND</v>
          </cell>
          <cell r="F82">
            <v>56.384900000000002</v>
          </cell>
        </row>
        <row r="83">
          <cell r="A83" t="str">
            <v>1950906</v>
          </cell>
          <cell r="B83" t="str">
            <v>BOLSA PAPAS ANTIGRASA (PAQ=1000 UND)</v>
          </cell>
          <cell r="C83" t="str">
            <v>UND</v>
          </cell>
          <cell r="D83">
            <v>15.433</v>
          </cell>
          <cell r="E83" t="str">
            <v>UND</v>
          </cell>
          <cell r="F83">
            <v>15.433</v>
          </cell>
        </row>
        <row r="84">
          <cell r="A84" t="str">
            <v>1950906</v>
          </cell>
          <cell r="B84" t="str">
            <v>BOLSA PAPAS ANTIGRASA (PAQ=500 UND)</v>
          </cell>
          <cell r="C84" t="str">
            <v>UND</v>
          </cell>
          <cell r="D84">
            <v>16.976300000000002</v>
          </cell>
          <cell r="E84" t="str">
            <v>UND</v>
          </cell>
          <cell r="F84">
            <v>16.976300000000002</v>
          </cell>
        </row>
        <row r="85">
          <cell r="A85" t="str">
            <v>1950914</v>
          </cell>
          <cell r="B85" t="str">
            <v>PORTA VASO 4 CAVIDADES (CAJA=300 UND)</v>
          </cell>
          <cell r="C85" t="str">
            <v>UND</v>
          </cell>
          <cell r="D85">
            <v>54.462100000000007</v>
          </cell>
          <cell r="E85" t="str">
            <v>UND</v>
          </cell>
          <cell r="F85">
            <v>54.462100000000007</v>
          </cell>
        </row>
        <row r="86">
          <cell r="A86" t="str">
            <v>1950920</v>
          </cell>
          <cell r="B86" t="str">
            <v>SUFLE PLASTICO TRASLUCIDO 1 ONZ (PAQ=100 UND)</v>
          </cell>
          <cell r="C86" t="str">
            <v>UND</v>
          </cell>
          <cell r="D86">
            <v>7.5328000000000008</v>
          </cell>
          <cell r="E86" t="str">
            <v>UND</v>
          </cell>
          <cell r="F86">
            <v>7.5328000000000008</v>
          </cell>
        </row>
        <row r="87">
          <cell r="A87" t="str">
            <v>1950921</v>
          </cell>
          <cell r="B87" t="str">
            <v>TAPA SUFLE PLAST .5/.75/1 OZ (PAQ=100 UND)</v>
          </cell>
          <cell r="C87" t="str">
            <v>UND</v>
          </cell>
          <cell r="D87">
            <v>5.5638000000000005</v>
          </cell>
          <cell r="E87" t="str">
            <v>UND</v>
          </cell>
          <cell r="F87">
            <v>5.5638000000000005</v>
          </cell>
        </row>
        <row r="88">
          <cell r="A88" t="str">
            <v>1950925</v>
          </cell>
          <cell r="B88" t="str">
            <v>TAPA VASO BIO 8 ONZAS (100 UND)</v>
          </cell>
          <cell r="C88" t="str">
            <v>UND</v>
          </cell>
          <cell r="D88">
            <v>16.739999999999998</v>
          </cell>
          <cell r="E88" t="str">
            <v>UND</v>
          </cell>
          <cell r="F88">
            <v>16.739999999999998</v>
          </cell>
        </row>
        <row r="89">
          <cell r="A89" t="str">
            <v>1950934</v>
          </cell>
          <cell r="B89" t="str">
            <v>CINTA BORDADA LOGO (ROLLO=20M)</v>
          </cell>
          <cell r="C89" t="str">
            <v>ROLLO</v>
          </cell>
          <cell r="D89">
            <v>6941.2211000000007</v>
          </cell>
          <cell r="E89" t="str">
            <v>UND</v>
          </cell>
          <cell r="F89">
            <v>3.4706105500000004</v>
          </cell>
        </row>
        <row r="90">
          <cell r="A90" t="str">
            <v>1950941</v>
          </cell>
          <cell r="B90" t="str">
            <v>FUNDA VASO BLEND (UND)</v>
          </cell>
          <cell r="C90" t="str">
            <v>UND</v>
          </cell>
          <cell r="D90">
            <v>64.614000000000004</v>
          </cell>
          <cell r="E90" t="str">
            <v>UND</v>
          </cell>
          <cell r="F90">
            <v>64.614000000000004</v>
          </cell>
        </row>
        <row r="91">
          <cell r="A91" t="str">
            <v>1950945</v>
          </cell>
          <cell r="B91" t="str">
            <v>TAPA PLASTICA P/CONT DELI. 8/12/16 ONZ (CAJA=1008 UND)</v>
          </cell>
          <cell r="C91" t="str">
            <v>UND</v>
          </cell>
          <cell r="D91">
            <v>30.794</v>
          </cell>
          <cell r="E91" t="str">
            <v>UND</v>
          </cell>
          <cell r="F91">
            <v>30.794</v>
          </cell>
        </row>
        <row r="92">
          <cell r="A92" t="str">
            <v>1950959</v>
          </cell>
          <cell r="B92" t="str">
            <v>TAPA PLAST. SUFLE 3.25 onz (PAQ=120 UND)</v>
          </cell>
          <cell r="C92" t="str">
            <v>UND</v>
          </cell>
          <cell r="D92">
            <v>10.657</v>
          </cell>
          <cell r="E92" t="str">
            <v>UND</v>
          </cell>
          <cell r="F92">
            <v>10.657</v>
          </cell>
        </row>
        <row r="93">
          <cell r="A93" t="str">
            <v>1952409</v>
          </cell>
          <cell r="B93" t="str">
            <v>BANDEJA  ALUMINIO A-42 (4PORC) ( 500 UND )</v>
          </cell>
          <cell r="C93" t="str">
            <v>UND</v>
          </cell>
          <cell r="D93">
            <v>88.277200000000008</v>
          </cell>
          <cell r="E93" t="str">
            <v>UND</v>
          </cell>
          <cell r="F93">
            <v>88.277200000000008</v>
          </cell>
        </row>
        <row r="94">
          <cell r="A94" t="str">
            <v>1952410</v>
          </cell>
          <cell r="B94" t="str">
            <v>TAPA CONTEN. ALUMINIO A-42 (4 PORC) ( 250 UND )</v>
          </cell>
          <cell r="C94" t="str">
            <v>UND</v>
          </cell>
          <cell r="D94">
            <v>68.890799999999999</v>
          </cell>
          <cell r="E94" t="str">
            <v>UND</v>
          </cell>
          <cell r="F94">
            <v>68.890799999999999</v>
          </cell>
        </row>
        <row r="95">
          <cell r="A95" t="str">
            <v>1952432</v>
          </cell>
          <cell r="B95" t="str">
            <v>TAPA BAND ALUM. DESE 4040 (6 PORC) (CAJA=250 UND)</v>
          </cell>
          <cell r="C95" t="str">
            <v>UND</v>
          </cell>
          <cell r="D95">
            <v>78.601600000000005</v>
          </cell>
          <cell r="E95" t="str">
            <v>UND</v>
          </cell>
          <cell r="F95">
            <v>78.601600000000005</v>
          </cell>
        </row>
        <row r="96">
          <cell r="A96" t="str">
            <v>1952826</v>
          </cell>
          <cell r="B96" t="str">
            <v>TAPA DOMO P/VASO TRASL 16onz ( PAQ*100)</v>
          </cell>
          <cell r="C96" t="str">
            <v>UND</v>
          </cell>
          <cell r="D96">
            <v>41.423800000000007</v>
          </cell>
          <cell r="E96" t="str">
            <v>UND</v>
          </cell>
          <cell r="F96">
            <v>41.423800000000007</v>
          </cell>
        </row>
        <row r="97">
          <cell r="A97" t="str">
            <v>1952832</v>
          </cell>
          <cell r="B97" t="str">
            <v>CONTENEDOR PAPEL BLANCO 8 ONZ (PAQ=50 UND)</v>
          </cell>
          <cell r="C97" t="str">
            <v>UND</v>
          </cell>
          <cell r="D97">
            <v>34.023000000000003</v>
          </cell>
          <cell r="E97" t="str">
            <v>UND</v>
          </cell>
          <cell r="F97">
            <v>34.023000000000003</v>
          </cell>
        </row>
        <row r="98">
          <cell r="A98" t="str">
            <v>1952833</v>
          </cell>
          <cell r="B98" t="str">
            <v>TAPA PLASTICA P/CONTE PAPEL BLANCO (PAQ=50 UND)</v>
          </cell>
          <cell r="C98" t="str">
            <v>UND</v>
          </cell>
          <cell r="D98">
            <v>24.708200000000001</v>
          </cell>
          <cell r="E98" t="str">
            <v>UND</v>
          </cell>
          <cell r="F98">
            <v>24.708200000000001</v>
          </cell>
        </row>
        <row r="99">
          <cell r="A99" t="str">
            <v>1950886</v>
          </cell>
          <cell r="B99" t="str">
            <v>PLATO 10 COMPOSTABLE</v>
          </cell>
          <cell r="C99" t="str">
            <v>UND</v>
          </cell>
          <cell r="D99">
            <v>82.5</v>
          </cell>
          <cell r="E99" t="str">
            <v>UND</v>
          </cell>
          <cell r="F99">
            <v>82.5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ROSQUETE"/>
      <sheetName val="REC 15-03-19"/>
      <sheetName val="COSTEO ROSQUETE"/>
      <sheetName val="Hoja1"/>
    </sheetNames>
    <sheetDataSet>
      <sheetData sheetId="0"/>
      <sheetData sheetId="1"/>
      <sheetData sheetId="2">
        <row r="32">
          <cell r="E32">
            <v>0</v>
          </cell>
        </row>
        <row r="39">
          <cell r="E39">
            <v>0.02</v>
          </cell>
        </row>
      </sheetData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453 REC GALLETA MAR BAÑADA"/>
      <sheetName val="Hoja1"/>
    </sheetNames>
    <sheetDataSet>
      <sheetData sheetId="0"/>
      <sheetData sheetId="1">
        <row r="62">
          <cell r="E62">
            <v>2.6615006000000001</v>
          </cell>
        </row>
        <row r="67">
          <cell r="E67">
            <v>0.171875</v>
          </cell>
        </row>
        <row r="69">
          <cell r="E69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398 REC LICOR"/>
      <sheetName val="REC 28-01-20"/>
      <sheetName val="REC 03-02-20"/>
      <sheetName val="COSTEO ALMIBAR"/>
    </sheetNames>
    <sheetDataSet>
      <sheetData sheetId="0"/>
      <sheetData sheetId="1"/>
      <sheetData sheetId="2"/>
      <sheetData sheetId="3">
        <row r="45">
          <cell r="E45">
            <v>3.5216187433439836E-2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ABFA-360E-4534-A1F0-ED085B08842C}">
  <dimension ref="A1:Q84"/>
  <sheetViews>
    <sheetView workbookViewId="0">
      <selection activeCell="E17" sqref="E17"/>
    </sheetView>
  </sheetViews>
  <sheetFormatPr baseColWidth="10" defaultColWidth="8.42578125" defaultRowHeight="12.75" x14ac:dyDescent="0.2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11" style="6" bestFit="1" customWidth="1"/>
    <col min="6" max="6" width="10" style="6" bestFit="1" customWidth="1"/>
    <col min="7" max="7" width="9.5703125" style="204" bestFit="1" customWidth="1"/>
    <col min="8" max="8" width="11" style="78" bestFit="1" customWidth="1"/>
    <col min="9" max="9" width="4.5703125" style="78" customWidth="1"/>
    <col min="10" max="10" width="1.71093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16384" width="8.42578125" style="6"/>
  </cols>
  <sheetData>
    <row r="1" spans="1:10" ht="27.75" customHeight="1" x14ac:dyDescent="0.2">
      <c r="A1" s="1"/>
      <c r="B1" s="1"/>
      <c r="C1" s="1"/>
      <c r="D1" s="1"/>
      <c r="E1" s="2" t="s">
        <v>50</v>
      </c>
      <c r="F1" s="3" t="s">
        <v>51</v>
      </c>
      <c r="G1" s="3" t="s">
        <v>52</v>
      </c>
      <c r="H1" s="3" t="s">
        <v>53</v>
      </c>
      <c r="I1" s="4"/>
    </row>
    <row r="2" spans="1:10" ht="30.75" customHeight="1" x14ac:dyDescent="0.2">
      <c r="A2" s="1"/>
      <c r="B2" s="1"/>
      <c r="C2" s="1"/>
      <c r="D2" s="1"/>
      <c r="E2" s="7">
        <f>IFERROR(O55,"")</f>
        <v>119061.09359305294</v>
      </c>
      <c r="F2" s="7">
        <f>IFERROR(H46,"")</f>
        <v>89196.957236470596</v>
      </c>
      <c r="G2" s="7">
        <f>IFERROR(H47,"")</f>
        <v>19.096393366600132</v>
      </c>
      <c r="H2" s="7">
        <f>IFERROR(H49,"")</f>
        <v>605</v>
      </c>
      <c r="I2" s="8"/>
    </row>
    <row r="3" spans="1:10" ht="15" customHeight="1" x14ac:dyDescent="0.2">
      <c r="A3" s="1"/>
      <c r="B3" s="1"/>
      <c r="C3" s="1"/>
      <c r="D3" s="1"/>
      <c r="E3" s="1"/>
      <c r="F3" s="9"/>
      <c r="G3" s="9"/>
      <c r="H3" s="9"/>
      <c r="I3" s="9"/>
    </row>
    <row r="4" spans="1:10" ht="24.75" customHeight="1" thickBot="1" x14ac:dyDescent="0.25">
      <c r="A4" s="245" t="s">
        <v>149</v>
      </c>
      <c r="B4" s="245"/>
      <c r="C4" s="245"/>
      <c r="D4" s="245"/>
      <c r="E4" s="245"/>
      <c r="F4" s="245"/>
      <c r="G4" s="245"/>
      <c r="H4" s="245"/>
      <c r="I4" s="10"/>
    </row>
    <row r="5" spans="1:10" ht="19.5" customHeight="1" thickBot="1" x14ac:dyDescent="0.25">
      <c r="A5" s="246" t="s">
        <v>54</v>
      </c>
      <c r="B5" s="247"/>
      <c r="C5" s="247"/>
      <c r="D5" s="247"/>
      <c r="E5" s="247"/>
      <c r="F5" s="247"/>
      <c r="G5" s="247"/>
      <c r="H5" s="248"/>
      <c r="I5" s="11"/>
    </row>
    <row r="6" spans="1:10" ht="19.5" thickBot="1" x14ac:dyDescent="0.25">
      <c r="A6" s="11"/>
      <c r="B6" s="11"/>
      <c r="C6" s="11"/>
      <c r="D6" s="11"/>
      <c r="E6" s="11"/>
      <c r="F6" s="249" t="s">
        <v>55</v>
      </c>
      <c r="G6" s="249"/>
      <c r="H6" s="12">
        <f ca="1">TODAY()</f>
        <v>46058</v>
      </c>
      <c r="I6" s="12"/>
    </row>
    <row r="7" spans="1:10" ht="26.25" thickBot="1" x14ac:dyDescent="0.25">
      <c r="A7" s="13" t="s">
        <v>56</v>
      </c>
      <c r="B7" s="14" t="s">
        <v>57</v>
      </c>
      <c r="C7" s="14" t="s">
        <v>56</v>
      </c>
      <c r="D7" s="15" t="s">
        <v>58</v>
      </c>
      <c r="E7" s="15" t="s">
        <v>59</v>
      </c>
      <c r="F7" s="15" t="s">
        <v>60</v>
      </c>
      <c r="G7" s="15" t="s">
        <v>61</v>
      </c>
      <c r="H7" s="16" t="s">
        <v>62</v>
      </c>
      <c r="I7" s="17"/>
    </row>
    <row r="8" spans="1:10" ht="13.5" x14ac:dyDescent="0.25">
      <c r="A8" s="18">
        <v>15875</v>
      </c>
      <c r="B8" s="6" t="str">
        <f>IFERROR(VLOOKUP(H8,'[1]ARTICULOS MP PLANTA'!$A$2:$G$589,2,0),"")</f>
        <v>PREMEZCLA PASTEL SUPER ESPONJA</v>
      </c>
      <c r="C8" s="19">
        <f>+A8</f>
        <v>15875</v>
      </c>
      <c r="D8" s="20" t="str">
        <f>IFERROR(VLOOKUP(H8,'[1]ARTICULOS MP PLANTA'!$A$2:$G$589,6,0),"")</f>
        <v>Gramo</v>
      </c>
      <c r="E8" s="20">
        <f>IFERROR(VLOOKUP(H8,'[1]ARTICULOS MP PLANTA'!$A$2:$G$589,7,0),"")</f>
        <v>1.8234999999999999</v>
      </c>
      <c r="F8" s="20">
        <f>IFERROR(C8*E8,"")</f>
        <v>28948.0625</v>
      </c>
      <c r="G8" s="196">
        <f>IFERROR(F8/$F$59,"")</f>
        <v>0.31657988612671562</v>
      </c>
      <c r="H8" s="22" t="s">
        <v>39</v>
      </c>
      <c r="I8" s="22"/>
      <c r="J8" s="197"/>
    </row>
    <row r="9" spans="1:10" ht="13.5" x14ac:dyDescent="0.25">
      <c r="A9" s="18">
        <v>11112</v>
      </c>
      <c r="B9" s="6" t="str">
        <f>IFERROR(VLOOKUP(H9,'[1]ARTICULOS MP PLANTA'!$A$2:$G$589,2,0),"")</f>
        <v>HUEVO LIQUIDO REFRIG (UND:13.6 K)</v>
      </c>
      <c r="C9" s="19">
        <f t="shared" ref="C9:C14" si="0">+A9</f>
        <v>11112</v>
      </c>
      <c r="D9" s="20" t="str">
        <f>IFERROR(VLOOKUP(H9,'[1]ARTICULOS MP PLANTA'!$A$2:$G$589,6,0),"")</f>
        <v>Gramo</v>
      </c>
      <c r="E9" s="20">
        <f>IFERROR(VLOOKUP(H9,'[1]ARTICULOS MP PLANTA'!$A$2:$G$589,7,0),"")</f>
        <v>1.1627941176470589</v>
      </c>
      <c r="F9" s="20">
        <f t="shared" ref="F9:F14" si="1">IFERROR(C9*E9,"")</f>
        <v>12920.968235294118</v>
      </c>
      <c r="G9" s="196">
        <f t="shared" ref="G9:G14" si="2">IFERROR(F9/$F$59,"")</f>
        <v>0.14130543806088305</v>
      </c>
      <c r="H9" s="22" t="s">
        <v>151</v>
      </c>
      <c r="I9" s="22"/>
      <c r="J9" s="197"/>
    </row>
    <row r="10" spans="1:10" ht="13.5" x14ac:dyDescent="0.25">
      <c r="A10" s="18">
        <v>4762</v>
      </c>
      <c r="B10" s="6" t="s">
        <v>152</v>
      </c>
      <c r="C10" s="19">
        <f t="shared" si="0"/>
        <v>4762</v>
      </c>
      <c r="D10" s="20" t="s">
        <v>153</v>
      </c>
      <c r="E10" s="20">
        <v>0.1</v>
      </c>
      <c r="F10" s="20">
        <f t="shared" si="1"/>
        <v>476.20000000000005</v>
      </c>
      <c r="G10" s="196">
        <f t="shared" si="2"/>
        <v>5.2077869381946373E-3</v>
      </c>
      <c r="H10" s="22" t="s">
        <v>154</v>
      </c>
      <c r="I10" s="22"/>
      <c r="J10" s="197"/>
    </row>
    <row r="11" spans="1:10" ht="13.5" hidden="1" x14ac:dyDescent="0.25">
      <c r="A11" s="18"/>
      <c r="B11" s="6" t="str">
        <f>IFERROR(VLOOKUP(H11,'[1]ARTICULOS MP PLANTA'!$A$2:$G$589,2,0),"")</f>
        <v/>
      </c>
      <c r="C11" s="19">
        <f t="shared" si="0"/>
        <v>0</v>
      </c>
      <c r="D11" s="20" t="str">
        <f>IFERROR(VLOOKUP(H11,'[1]ARTICULOS MP PLANTA'!$A$2:$G$589,6,0),"")</f>
        <v/>
      </c>
      <c r="E11" s="20" t="str">
        <f>IFERROR(VLOOKUP(H11,'[1]ARTICULOS MP PLANTA'!$A$2:$G$589,7,0),"")</f>
        <v/>
      </c>
      <c r="F11" s="20" t="str">
        <f t="shared" si="1"/>
        <v/>
      </c>
      <c r="G11" s="196" t="str">
        <f t="shared" si="2"/>
        <v/>
      </c>
      <c r="H11" s="22"/>
      <c r="I11" s="22"/>
      <c r="J11" s="197"/>
    </row>
    <row r="12" spans="1:10" ht="13.5" hidden="1" x14ac:dyDescent="0.25">
      <c r="A12" s="18"/>
      <c r="B12" s="6" t="str">
        <f>IFERROR(VLOOKUP(H12,'[1]ARTICULOS MP PLANTA'!$A$2:$G$589,2,0),"")</f>
        <v/>
      </c>
      <c r="C12" s="19">
        <f t="shared" si="0"/>
        <v>0</v>
      </c>
      <c r="D12" s="20" t="str">
        <f>IFERROR(VLOOKUP(H12,'[1]ARTICULOS MP PLANTA'!$A$2:$G$589,6,0),"")</f>
        <v/>
      </c>
      <c r="E12" s="20" t="str">
        <f>IFERROR(VLOOKUP(H12,'[1]ARTICULOS MP PLANTA'!$A$2:$G$589,7,0),"")</f>
        <v/>
      </c>
      <c r="F12" s="20" t="str">
        <f t="shared" si="1"/>
        <v/>
      </c>
      <c r="G12" s="196" t="str">
        <f t="shared" si="2"/>
        <v/>
      </c>
      <c r="H12" s="22"/>
      <c r="I12" s="22"/>
      <c r="J12" s="197"/>
    </row>
    <row r="13" spans="1:10" ht="13.5" hidden="1" x14ac:dyDescent="0.25">
      <c r="A13" s="18"/>
      <c r="B13" s="6" t="str">
        <f>IFERROR(VLOOKUP(H13,'[1]ARTICULOS MP PLANTA'!$A$2:$G$589,2,0),"")</f>
        <v/>
      </c>
      <c r="C13" s="19">
        <f t="shared" si="0"/>
        <v>0</v>
      </c>
      <c r="D13" s="20" t="str">
        <f>IFERROR(VLOOKUP(H13,'[1]ARTICULOS MP PLANTA'!$A$2:$G$589,6,0),"")</f>
        <v/>
      </c>
      <c r="E13" s="20" t="str">
        <f>IFERROR(VLOOKUP(H13,'[1]ARTICULOS MP PLANTA'!$A$2:$G$589,7,0),"")</f>
        <v/>
      </c>
      <c r="F13" s="20" t="str">
        <f t="shared" si="1"/>
        <v/>
      </c>
      <c r="G13" s="196" t="str">
        <f t="shared" si="2"/>
        <v/>
      </c>
      <c r="H13" s="22"/>
      <c r="I13" s="22"/>
      <c r="J13" s="197"/>
    </row>
    <row r="14" spans="1:10" ht="13.5" hidden="1" x14ac:dyDescent="0.25">
      <c r="A14" s="18"/>
      <c r="B14" s="6" t="str">
        <f>IFERROR(VLOOKUP(H14,'[1]ARTICULOS MP PLANTA'!$A$2:$G$589,2,0),"")</f>
        <v/>
      </c>
      <c r="C14" s="19">
        <f t="shared" si="0"/>
        <v>0</v>
      </c>
      <c r="D14" s="20" t="str">
        <f>IFERROR(VLOOKUP(H14,'[1]ARTICULOS MP PLANTA'!$A$2:$G$589,6,0),"")</f>
        <v/>
      </c>
      <c r="E14" s="20" t="str">
        <f>IFERROR(VLOOKUP(H14,'[1]ARTICULOS MP PLANTA'!$A$2:$G$589,7,0),"")</f>
        <v/>
      </c>
      <c r="F14" s="20" t="str">
        <f t="shared" si="1"/>
        <v/>
      </c>
      <c r="G14" s="196" t="str">
        <f t="shared" si="2"/>
        <v/>
      </c>
      <c r="H14" s="22"/>
      <c r="I14" s="22"/>
      <c r="J14" s="197"/>
    </row>
    <row r="15" spans="1:10" ht="14.25" thickBot="1" x14ac:dyDescent="0.3">
      <c r="A15" s="18"/>
      <c r="B15" s="6" t="str">
        <f>IFERROR(VLOOKUP(H15,'[1]ARTICULOS MP PLANTA'!$A$2:$G$589,2,0),"")</f>
        <v/>
      </c>
      <c r="C15" s="19"/>
      <c r="D15" s="20"/>
      <c r="E15" s="20"/>
      <c r="F15" s="20"/>
      <c r="G15" s="196"/>
      <c r="H15" s="22"/>
      <c r="I15" s="22"/>
      <c r="J15" s="197"/>
    </row>
    <row r="16" spans="1:10" ht="26.25" thickBot="1" x14ac:dyDescent="0.25">
      <c r="A16" s="13" t="s">
        <v>56</v>
      </c>
      <c r="B16" s="14" t="s">
        <v>63</v>
      </c>
      <c r="C16" s="14" t="s">
        <v>56</v>
      </c>
      <c r="D16" s="15" t="s">
        <v>58</v>
      </c>
      <c r="E16" s="15" t="s">
        <v>59</v>
      </c>
      <c r="F16" s="15" t="s">
        <v>60</v>
      </c>
      <c r="G16" s="15" t="s">
        <v>61</v>
      </c>
      <c r="H16" s="16" t="s">
        <v>62</v>
      </c>
      <c r="I16" s="17"/>
      <c r="J16" s="197"/>
    </row>
    <row r="17" spans="1:12" ht="13.5" x14ac:dyDescent="0.25">
      <c r="A17" s="18">
        <v>8252</v>
      </c>
      <c r="B17" s="6" t="s">
        <v>150</v>
      </c>
      <c r="C17" s="19">
        <f>+A17</f>
        <v>8252</v>
      </c>
      <c r="D17" s="19" t="s">
        <v>132</v>
      </c>
      <c r="E17" s="20">
        <f>+'[2]Costo '!$E$62</f>
        <v>5.677620758746543</v>
      </c>
      <c r="F17" s="20">
        <f>IFERROR(E17*C17,"")</f>
        <v>46851.726501176476</v>
      </c>
      <c r="G17" s="196">
        <f>IFERROR(F17/$F$59,"")</f>
        <v>0.51237675200481803</v>
      </c>
      <c r="H17" s="22"/>
      <c r="I17" s="22"/>
      <c r="J17" s="197"/>
    </row>
    <row r="18" spans="1:12" ht="13.5" hidden="1" x14ac:dyDescent="0.25">
      <c r="A18" s="18"/>
      <c r="B18" s="6" t="str">
        <f>IFERROR(VLOOKUP($H18,[3]SEMIELABORADOS!$A$1:$J$999,2,0),"")</f>
        <v/>
      </c>
      <c r="C18" s="19">
        <f>+A18</f>
        <v>0</v>
      </c>
      <c r="D18" s="19" t="str">
        <f>IFERROR(VLOOKUP($H18,[3]SEMIELABORADOS!$A$1:$J$999,4,0),"")</f>
        <v/>
      </c>
      <c r="E18" s="20" t="str">
        <f>IFERROR(VLOOKUP($H18,[3]SEMIELABORADOS!$A$1:$J$999,6,0),"")</f>
        <v/>
      </c>
      <c r="F18" s="20" t="str">
        <f>IFERROR(E18*C18,"")</f>
        <v/>
      </c>
      <c r="G18" s="196" t="str">
        <f>IFERROR(F18/$F$59,"")</f>
        <v/>
      </c>
      <c r="H18" s="22"/>
      <c r="I18" s="22"/>
      <c r="J18" s="197"/>
    </row>
    <row r="19" spans="1:12" ht="13.5" hidden="1" x14ac:dyDescent="0.25">
      <c r="A19" s="18"/>
      <c r="B19" s="6" t="str">
        <f>IFERROR(VLOOKUP($H19,[3]SEMIELABORADOS!$A$1:$J$999,2,0),"")</f>
        <v/>
      </c>
      <c r="C19" s="19">
        <f>+A19</f>
        <v>0</v>
      </c>
      <c r="D19" s="19" t="str">
        <f>IFERROR(VLOOKUP($H19,[3]SEMIELABORADOS!$A$1:$J$999,4,0),"")</f>
        <v/>
      </c>
      <c r="E19" s="20" t="str">
        <f>IFERROR(VLOOKUP($H19,[3]SEMIELABORADOS!$A$1:$J$999,6,0),"")</f>
        <v/>
      </c>
      <c r="F19" s="20" t="str">
        <f>IFERROR(E19*C19,"")</f>
        <v/>
      </c>
      <c r="G19" s="196" t="str">
        <f>IFERROR(F19/$F$59,"")</f>
        <v/>
      </c>
      <c r="H19" s="22"/>
      <c r="I19" s="22"/>
      <c r="J19" s="197"/>
    </row>
    <row r="20" spans="1:12" ht="13.5" hidden="1" x14ac:dyDescent="0.25">
      <c r="A20" s="18"/>
      <c r="B20" s="6" t="str">
        <f>IFERROR(VLOOKUP($H20,[3]SEMIELABORADOS!$A$1:$J$999,2,0),"")</f>
        <v/>
      </c>
      <c r="C20" s="19">
        <f>+A20</f>
        <v>0</v>
      </c>
      <c r="D20" s="19" t="str">
        <f>IFERROR(VLOOKUP($H20,[3]SEMIELABORADOS!$A$1:$J$999,4,0),"")</f>
        <v/>
      </c>
      <c r="E20" s="20" t="str">
        <f>IFERROR(VLOOKUP($H20,[3]SEMIELABORADOS!$A$1:$J$999,6,0),"")</f>
        <v/>
      </c>
      <c r="F20" s="20" t="str">
        <f>IFERROR(E20*C20,"")</f>
        <v/>
      </c>
      <c r="G20" s="196" t="str">
        <f>IFERROR(F20/$F$59,"")</f>
        <v/>
      </c>
      <c r="H20" s="22"/>
      <c r="I20" s="22"/>
      <c r="J20" s="197"/>
    </row>
    <row r="21" spans="1:12" ht="13.5" hidden="1" x14ac:dyDescent="0.25">
      <c r="A21" s="18"/>
      <c r="B21" s="6" t="str">
        <f>IFERROR(VLOOKUP($H21,[3]SEMIELABORADOS!$A$1:$J$999,2,0),"")</f>
        <v/>
      </c>
      <c r="C21" s="19">
        <f>+A21</f>
        <v>0</v>
      </c>
      <c r="D21" s="19" t="str">
        <f>IFERROR(VLOOKUP($H21,[3]SEMIELABORADOS!$A$1:$J$999,4,0),"")</f>
        <v/>
      </c>
      <c r="E21" s="20" t="str">
        <f>IFERROR(VLOOKUP($H21,[3]SEMIELABORADOS!$A$1:$J$999,6,0),"")</f>
        <v/>
      </c>
      <c r="F21" s="20" t="str">
        <f>IFERROR(E21*C21,"")</f>
        <v/>
      </c>
      <c r="G21" s="196" t="str">
        <f>IFERROR(F21/$F$59,"")</f>
        <v/>
      </c>
      <c r="H21" s="22"/>
      <c r="I21" s="22"/>
      <c r="J21" s="197"/>
    </row>
    <row r="22" spans="1:12" ht="14.25" hidden="1" thickBot="1" x14ac:dyDescent="0.3">
      <c r="A22" s="18"/>
      <c r="C22" s="19"/>
      <c r="D22" s="19"/>
      <c r="E22" s="20"/>
      <c r="F22" s="20"/>
      <c r="G22" s="196"/>
      <c r="H22" s="22"/>
      <c r="I22" s="22"/>
      <c r="J22" s="197"/>
    </row>
    <row r="23" spans="1:12" ht="26.25" hidden="1" thickBot="1" x14ac:dyDescent="0.25">
      <c r="A23" s="13" t="s">
        <v>56</v>
      </c>
      <c r="B23" s="14" t="s">
        <v>35</v>
      </c>
      <c r="C23" s="14" t="s">
        <v>56</v>
      </c>
      <c r="D23" s="15" t="s">
        <v>58</v>
      </c>
      <c r="E23" s="15" t="s">
        <v>59</v>
      </c>
      <c r="F23" s="15" t="s">
        <v>60</v>
      </c>
      <c r="G23" s="15" t="s">
        <v>61</v>
      </c>
      <c r="H23" s="16" t="s">
        <v>62</v>
      </c>
      <c r="I23" s="17"/>
    </row>
    <row r="24" spans="1:12" ht="13.5" hidden="1" x14ac:dyDescent="0.25">
      <c r="A24" s="18"/>
      <c r="B24" s="24" t="str">
        <f>IFERROR(VLOOKUP(H24,'[1]EMPAQUE PLANTA'!$A$2:$H$176,2,0),"")</f>
        <v/>
      </c>
      <c r="C24" s="19">
        <f t="shared" ref="C24:C29" si="3">+A24</f>
        <v>0</v>
      </c>
      <c r="D24" s="20" t="str">
        <f>IFERROR(VLOOKUP(H24,'[1]EMPAQUE PLANTA'!$A$2:$H$176,7,0),"")</f>
        <v/>
      </c>
      <c r="E24" s="20" t="str">
        <f>IFERROR(VLOOKUP(H24,'[1]EMPAQUE PLANTA'!$A$2:$H$176,8,0),"")</f>
        <v/>
      </c>
      <c r="F24" s="20" t="str">
        <f t="shared" ref="F24:F29" si="4">IFERROR(E24*C24,"")</f>
        <v/>
      </c>
      <c r="G24" s="196" t="str">
        <f t="shared" ref="G24:G29" si="5">IFERROR(F24/$F$59,"")</f>
        <v/>
      </c>
      <c r="H24" s="25"/>
      <c r="I24" s="25"/>
      <c r="J24" s="197"/>
      <c r="K24" s="242"/>
      <c r="L24" s="242"/>
    </row>
    <row r="25" spans="1:12" ht="13.5" hidden="1" x14ac:dyDescent="0.25">
      <c r="A25" s="18"/>
      <c r="B25" s="24" t="str">
        <f>IFERROR(VLOOKUP(H25,'[1]EMPAQUE PLANTA'!$A$2:$H$176,2,0),"")</f>
        <v/>
      </c>
      <c r="C25" s="19">
        <f t="shared" si="3"/>
        <v>0</v>
      </c>
      <c r="D25" s="20" t="str">
        <f>IFERROR(VLOOKUP(H25,'[1]EMPAQUE PLANTA'!$A$2:$H$176,7,0),"")</f>
        <v/>
      </c>
      <c r="E25" s="20" t="str">
        <f>IFERROR(VLOOKUP($H25,'[3]EMP PLANTA'!$A$2:$F$500,6,0),"")</f>
        <v/>
      </c>
      <c r="F25" s="20" t="str">
        <f t="shared" si="4"/>
        <v/>
      </c>
      <c r="G25" s="196" t="str">
        <f t="shared" si="5"/>
        <v/>
      </c>
      <c r="H25" s="25"/>
      <c r="I25" s="25"/>
      <c r="J25" s="197"/>
      <c r="K25" s="242"/>
      <c r="L25" s="242"/>
    </row>
    <row r="26" spans="1:12" ht="13.5" hidden="1" x14ac:dyDescent="0.25">
      <c r="A26" s="18"/>
      <c r="B26" s="24" t="str">
        <f>IFERROR(VLOOKUP(H26,'[1]EMPAQUE PLANTA'!$A$2:$H$176,2,0),"")</f>
        <v/>
      </c>
      <c r="C26" s="19">
        <f t="shared" si="3"/>
        <v>0</v>
      </c>
      <c r="D26" s="20" t="str">
        <f>IFERROR(VLOOKUP(H26,'[1]EMPAQUE PLANTA'!$A$2:$H$176,7,0),"")</f>
        <v/>
      </c>
      <c r="E26" s="20" t="str">
        <f>IFERROR(VLOOKUP($H26,'[3]EMP PLANTA'!$A$2:$F$500,6,0),"")</f>
        <v/>
      </c>
      <c r="F26" s="20" t="str">
        <f t="shared" si="4"/>
        <v/>
      </c>
      <c r="G26" s="196" t="str">
        <f t="shared" si="5"/>
        <v/>
      </c>
      <c r="H26" s="25"/>
      <c r="I26" s="25"/>
      <c r="J26" s="197"/>
      <c r="K26" s="242"/>
      <c r="L26" s="242"/>
    </row>
    <row r="27" spans="1:12" ht="13.5" hidden="1" x14ac:dyDescent="0.25">
      <c r="A27" s="18"/>
      <c r="B27" s="24" t="str">
        <f>IFERROR(VLOOKUP(H27,'[1]EMPAQUE PLANTA'!$A$2:$H$176,2,0),"")</f>
        <v/>
      </c>
      <c r="C27" s="19">
        <f t="shared" si="3"/>
        <v>0</v>
      </c>
      <c r="D27" s="20" t="str">
        <f>IFERROR(VLOOKUP(H27,'[1]EMPAQUE PLANTA'!$A$2:$H$176,7,0),"")</f>
        <v/>
      </c>
      <c r="E27" s="20" t="str">
        <f>IFERROR(VLOOKUP($H27,'[3]EMP PLANTA'!$A$2:$F$500,6,0),"")</f>
        <v/>
      </c>
      <c r="F27" s="20" t="str">
        <f t="shared" si="4"/>
        <v/>
      </c>
      <c r="G27" s="196" t="str">
        <f t="shared" si="5"/>
        <v/>
      </c>
      <c r="H27" s="25"/>
      <c r="I27" s="25"/>
      <c r="J27" s="197"/>
      <c r="K27" s="242"/>
      <c r="L27" s="242"/>
    </row>
    <row r="28" spans="1:12" ht="13.5" hidden="1" x14ac:dyDescent="0.25">
      <c r="A28" s="18"/>
      <c r="B28" s="24" t="str">
        <f>IFERROR(VLOOKUP(H28,'[1]EMPAQUE PLANTA'!$A$2:$H$176,2,0),"")</f>
        <v/>
      </c>
      <c r="C28" s="19">
        <f t="shared" si="3"/>
        <v>0</v>
      </c>
      <c r="D28" s="20" t="str">
        <f>IFERROR(VLOOKUP(H28,'[1]EMPAQUE PLANTA'!$A$2:$H$176,7,0),"")</f>
        <v/>
      </c>
      <c r="E28" s="20" t="str">
        <f>IFERROR(VLOOKUP($H28,'[3]EMP PLANTA'!$A$2:$F$500,6,0),"")</f>
        <v/>
      </c>
      <c r="F28" s="20" t="str">
        <f t="shared" si="4"/>
        <v/>
      </c>
      <c r="G28" s="196" t="str">
        <f t="shared" si="5"/>
        <v/>
      </c>
      <c r="H28" s="25"/>
      <c r="I28" s="25"/>
      <c r="J28" s="197"/>
      <c r="K28" s="26"/>
      <c r="L28" s="27"/>
    </row>
    <row r="29" spans="1:12" ht="13.5" hidden="1" x14ac:dyDescent="0.25">
      <c r="A29" s="18"/>
      <c r="B29" s="24" t="str">
        <f>IFERROR(VLOOKUP(H29,'[1]EMPAQUE PLANTA'!$A$2:$H$176,2,0),"")</f>
        <v/>
      </c>
      <c r="C29" s="19">
        <f t="shared" si="3"/>
        <v>0</v>
      </c>
      <c r="D29" s="20" t="str">
        <f>IFERROR(VLOOKUP(H29,'[1]EMPAQUE PLANTA'!$A$2:$H$176,7,0),"")</f>
        <v/>
      </c>
      <c r="E29" s="20" t="str">
        <f>IFERROR(VLOOKUP($H29,'[3]EMP PLANTA'!$A$2:$F$500,6,0),"")</f>
        <v/>
      </c>
      <c r="F29" s="20" t="str">
        <f t="shared" si="4"/>
        <v/>
      </c>
      <c r="G29" s="196" t="str">
        <f t="shared" si="5"/>
        <v/>
      </c>
      <c r="H29" s="25"/>
      <c r="I29" s="25"/>
      <c r="J29" s="197"/>
    </row>
    <row r="30" spans="1:12" ht="14.25" thickBot="1" x14ac:dyDescent="0.3">
      <c r="A30" s="18"/>
      <c r="B30" s="24" t="str">
        <f>IFERROR(VLOOKUP(H30,'[1]EMPAQUE PLANTA'!$A$2:$H$176,2,0),"")</f>
        <v/>
      </c>
      <c r="C30" s="19"/>
      <c r="D30" s="20"/>
      <c r="E30" s="20"/>
      <c r="F30" s="20"/>
      <c r="G30" s="196"/>
      <c r="H30" s="25"/>
      <c r="I30" s="25"/>
      <c r="J30" s="197"/>
    </row>
    <row r="31" spans="1:12" ht="26.25" thickBot="1" x14ac:dyDescent="0.25">
      <c r="A31" s="13" t="s">
        <v>56</v>
      </c>
      <c r="B31" s="14" t="s">
        <v>64</v>
      </c>
      <c r="C31" s="14" t="s">
        <v>56</v>
      </c>
      <c r="D31" s="15" t="s">
        <v>58</v>
      </c>
      <c r="E31" s="15" t="s">
        <v>59</v>
      </c>
      <c r="F31" s="15" t="s">
        <v>60</v>
      </c>
      <c r="G31" s="15" t="s">
        <v>61</v>
      </c>
      <c r="H31" s="16" t="s">
        <v>62</v>
      </c>
      <c r="I31" s="17"/>
      <c r="J31" s="197"/>
    </row>
    <row r="32" spans="1:12" ht="13.5" x14ac:dyDescent="0.25">
      <c r="A32" s="18">
        <f>+A17</f>
        <v>8252</v>
      </c>
      <c r="B32" s="24" t="s">
        <v>150</v>
      </c>
      <c r="C32" s="19">
        <f>+A32</f>
        <v>8252</v>
      </c>
      <c r="D32" s="20" t="s">
        <v>65</v>
      </c>
      <c r="E32" s="20">
        <f>+'[2]Costo '!$E$69</f>
        <v>2.314153340596235E-3</v>
      </c>
      <c r="F32" s="20">
        <f>IFERROR(E32*C32,"")</f>
        <v>19.096393366600132</v>
      </c>
      <c r="G32" s="196">
        <f>IFERROR(F32/$F$58,"")</f>
        <v>4.3400894015000302E-2</v>
      </c>
      <c r="H32" s="25"/>
      <c r="I32" s="25"/>
      <c r="J32" s="197"/>
    </row>
    <row r="33" spans="1:17" ht="13.5" hidden="1" x14ac:dyDescent="0.25">
      <c r="A33" s="18">
        <f>+A18</f>
        <v>0</v>
      </c>
      <c r="B33" s="24"/>
      <c r="C33" s="19">
        <f>+A33</f>
        <v>0</v>
      </c>
      <c r="D33" s="20" t="s">
        <v>65</v>
      </c>
      <c r="E33" s="20" t="str">
        <f>IFERROR(VLOOKUP($H33,[3]SEMIELABORADOS!$A$1:$J$999,8,0),"")</f>
        <v/>
      </c>
      <c r="F33" s="20" t="str">
        <f>IFERROR(E33*C33,"")</f>
        <v/>
      </c>
      <c r="G33" s="196" t="str">
        <f>IFERROR(F33/$F$58,"")</f>
        <v/>
      </c>
      <c r="H33" s="25"/>
      <c r="I33" s="25"/>
      <c r="J33" s="197"/>
    </row>
    <row r="34" spans="1:17" ht="13.5" hidden="1" x14ac:dyDescent="0.25">
      <c r="A34" s="18">
        <f>+A19</f>
        <v>0</v>
      </c>
      <c r="B34" s="24"/>
      <c r="C34" s="19">
        <f>+A34</f>
        <v>0</v>
      </c>
      <c r="D34" s="20" t="s">
        <v>65</v>
      </c>
      <c r="E34" s="20" t="str">
        <f>IFERROR(VLOOKUP($H34,[3]SEMIELABORADOS!$A$1:$J$999,8,0),"")</f>
        <v/>
      </c>
      <c r="F34" s="20" t="str">
        <f>IFERROR(E34*C34,"")</f>
        <v/>
      </c>
      <c r="G34" s="196" t="str">
        <f>IFERROR(F34/$F$58,"")</f>
        <v/>
      </c>
      <c r="H34" s="25"/>
      <c r="I34" s="25"/>
      <c r="J34" s="197"/>
    </row>
    <row r="35" spans="1:17" ht="13.5" hidden="1" x14ac:dyDescent="0.25">
      <c r="A35" s="18">
        <f>+A20</f>
        <v>0</v>
      </c>
      <c r="B35" s="24"/>
      <c r="C35" s="19">
        <f>+A35</f>
        <v>0</v>
      </c>
      <c r="D35" s="20" t="s">
        <v>65</v>
      </c>
      <c r="E35" s="20" t="str">
        <f>IFERROR(VLOOKUP($H35,[3]SEMIELABORADOS!$A$1:$J$999,8,0),"")</f>
        <v/>
      </c>
      <c r="F35" s="20" t="str">
        <f>IFERROR(E35*C35,"")</f>
        <v/>
      </c>
      <c r="G35" s="196" t="str">
        <f>IFERROR(F35/$F$58,"")</f>
        <v/>
      </c>
      <c r="H35" s="25"/>
      <c r="I35" s="25"/>
      <c r="J35" s="197"/>
    </row>
    <row r="36" spans="1:17" ht="13.5" hidden="1" x14ac:dyDescent="0.25">
      <c r="A36" s="18">
        <f>+A21</f>
        <v>0</v>
      </c>
      <c r="B36" s="24"/>
      <c r="C36" s="19">
        <f>+A36</f>
        <v>0</v>
      </c>
      <c r="D36" s="20" t="s">
        <v>65</v>
      </c>
      <c r="E36" s="20" t="str">
        <f>IFERROR(VLOOKUP($H36,[3]SEMIELABORADOS!$A$1:$J$999,8,0),"")</f>
        <v/>
      </c>
      <c r="F36" s="20" t="str">
        <f>IFERROR(E36*C36,"")</f>
        <v/>
      </c>
      <c r="G36" s="196" t="str">
        <f>IFERROR(F36/$F$58,"")</f>
        <v/>
      </c>
      <c r="H36" s="25"/>
      <c r="I36" s="25"/>
      <c r="J36" s="197"/>
    </row>
    <row r="37" spans="1:17" ht="14.25" thickBot="1" x14ac:dyDescent="0.3">
      <c r="A37" s="18"/>
      <c r="B37" s="24"/>
      <c r="C37" s="19"/>
      <c r="D37" s="20"/>
      <c r="E37" s="20"/>
      <c r="F37" s="20"/>
      <c r="G37" s="196"/>
      <c r="H37" s="25"/>
      <c r="I37" s="25"/>
      <c r="J37" s="197"/>
    </row>
    <row r="38" spans="1:17" ht="26.25" thickBot="1" x14ac:dyDescent="0.25">
      <c r="A38" s="13" t="s">
        <v>56</v>
      </c>
      <c r="B38" s="14" t="s">
        <v>66</v>
      </c>
      <c r="C38" s="14" t="s">
        <v>56</v>
      </c>
      <c r="D38" s="14"/>
      <c r="E38" s="15" t="s">
        <v>59</v>
      </c>
      <c r="F38" s="15" t="s">
        <v>60</v>
      </c>
      <c r="G38" s="15" t="s">
        <v>61</v>
      </c>
      <c r="H38" s="16" t="s">
        <v>62</v>
      </c>
      <c r="I38" s="17"/>
      <c r="J38" s="197"/>
    </row>
    <row r="39" spans="1:17" ht="13.5" x14ac:dyDescent="0.25">
      <c r="A39" s="18">
        <f>+A17</f>
        <v>8252</v>
      </c>
      <c r="B39" s="28" t="s">
        <v>150</v>
      </c>
      <c r="C39" s="19">
        <f t="shared" ref="C39:C44" si="6">+A39</f>
        <v>8252</v>
      </c>
      <c r="D39" s="19" t="s">
        <v>65</v>
      </c>
      <c r="E39" s="20">
        <f>+'[2]Costo '!$E$67</f>
        <v>1.9995152690256906E-2</v>
      </c>
      <c r="F39" s="20">
        <f t="shared" ref="F39:F44" si="7">IFERROR(C39*E39,"")</f>
        <v>165</v>
      </c>
      <c r="G39" s="196">
        <f t="shared" ref="G39:G44" si="8">IFERROR(F39/$F$59,"")</f>
        <v>1.8044620848427448E-3</v>
      </c>
      <c r="H39" s="29"/>
      <c r="I39" s="29"/>
      <c r="J39" s="197"/>
    </row>
    <row r="40" spans="1:17" ht="13.5" hidden="1" x14ac:dyDescent="0.25">
      <c r="A40" s="18">
        <f>+A18</f>
        <v>0</v>
      </c>
      <c r="B40" s="28"/>
      <c r="C40" s="19">
        <f t="shared" si="6"/>
        <v>0</v>
      </c>
      <c r="D40" s="19" t="s">
        <v>65</v>
      </c>
      <c r="E40" s="20" t="str">
        <f>IFERROR(VLOOKUP($H40,[3]SEMIELABORADOS!$A$1:$J$999,10,0),"")</f>
        <v/>
      </c>
      <c r="F40" s="20" t="str">
        <f t="shared" si="7"/>
        <v/>
      </c>
      <c r="G40" s="196" t="str">
        <f t="shared" si="8"/>
        <v/>
      </c>
      <c r="H40" s="29"/>
      <c r="I40" s="29"/>
      <c r="J40" s="197"/>
    </row>
    <row r="41" spans="1:17" ht="13.5" hidden="1" x14ac:dyDescent="0.25">
      <c r="A41" s="18">
        <f>+A19</f>
        <v>0</v>
      </c>
      <c r="B41" s="28"/>
      <c r="C41" s="19">
        <f t="shared" si="6"/>
        <v>0</v>
      </c>
      <c r="D41" s="19" t="s">
        <v>65</v>
      </c>
      <c r="E41" s="20" t="str">
        <f>IFERROR(VLOOKUP($H41,[3]SEMIELABORADOS!$A$1:$J$999,10,0),"")</f>
        <v/>
      </c>
      <c r="F41" s="20" t="str">
        <f t="shared" si="7"/>
        <v/>
      </c>
      <c r="G41" s="196" t="str">
        <f t="shared" si="8"/>
        <v/>
      </c>
      <c r="H41" s="29"/>
      <c r="I41" s="29"/>
      <c r="J41" s="197"/>
    </row>
    <row r="42" spans="1:17" ht="13.5" hidden="1" x14ac:dyDescent="0.25">
      <c r="A42" s="18">
        <f>+A20</f>
        <v>0</v>
      </c>
      <c r="B42" s="28"/>
      <c r="C42" s="19">
        <f t="shared" si="6"/>
        <v>0</v>
      </c>
      <c r="D42" s="19" t="s">
        <v>65</v>
      </c>
      <c r="E42" s="20" t="str">
        <f>IFERROR(VLOOKUP($H42,[3]SEMIELABORADOS!$A$1:$J$999,10,0),"")</f>
        <v/>
      </c>
      <c r="F42" s="20" t="str">
        <f t="shared" si="7"/>
        <v/>
      </c>
      <c r="G42" s="196" t="str">
        <f t="shared" si="8"/>
        <v/>
      </c>
      <c r="H42" s="29"/>
      <c r="I42" s="29"/>
      <c r="J42" s="197"/>
    </row>
    <row r="43" spans="1:17" ht="13.5" hidden="1" x14ac:dyDescent="0.25">
      <c r="A43" s="18">
        <f>+A21</f>
        <v>0</v>
      </c>
      <c r="B43" s="28"/>
      <c r="C43" s="19">
        <f t="shared" si="6"/>
        <v>0</v>
      </c>
      <c r="D43" s="19" t="s">
        <v>65</v>
      </c>
      <c r="E43" s="20" t="str">
        <f>IFERROR(VLOOKUP($H43,[3]SEMIELABORADOS!$A$1:$J$999,10,0),"")</f>
        <v/>
      </c>
      <c r="F43" s="20" t="str">
        <f t="shared" si="7"/>
        <v/>
      </c>
      <c r="G43" s="196" t="str">
        <f t="shared" si="8"/>
        <v/>
      </c>
      <c r="H43" s="29"/>
      <c r="I43" s="29"/>
      <c r="J43" s="197"/>
    </row>
    <row r="44" spans="1:17" ht="13.5" x14ac:dyDescent="0.25">
      <c r="A44" s="18">
        <v>1</v>
      </c>
      <c r="B44" s="24" t="s">
        <v>67</v>
      </c>
      <c r="C44" s="19">
        <f t="shared" si="6"/>
        <v>1</v>
      </c>
      <c r="D44" s="19" t="s">
        <v>65</v>
      </c>
      <c r="E44" s="20">
        <f>+F58</f>
        <v>440</v>
      </c>
      <c r="F44" s="20">
        <f t="shared" si="7"/>
        <v>440</v>
      </c>
      <c r="G44" s="196">
        <f t="shared" si="8"/>
        <v>4.811898892913986E-3</v>
      </c>
      <c r="H44" s="29"/>
      <c r="I44" s="29"/>
      <c r="J44" s="197"/>
    </row>
    <row r="45" spans="1:17" ht="14.25" thickBot="1" x14ac:dyDescent="0.3">
      <c r="A45" s="18"/>
      <c r="B45" s="24"/>
      <c r="C45" s="19"/>
      <c r="D45" s="19"/>
      <c r="E45" s="20"/>
      <c r="F45" s="20"/>
      <c r="G45" s="196"/>
      <c r="H45" s="29"/>
      <c r="I45" s="29"/>
      <c r="J45" s="197"/>
    </row>
    <row r="46" spans="1:17" ht="13.5" thickBot="1" x14ac:dyDescent="0.25">
      <c r="A46" s="30"/>
      <c r="B46" s="231" t="s">
        <v>68</v>
      </c>
      <c r="C46" s="231"/>
      <c r="D46" s="231"/>
      <c r="E46" s="231"/>
      <c r="F46" s="32">
        <f>SUM(F8:F14,F17:F21)</f>
        <v>89196.957236470596</v>
      </c>
      <c r="G46" s="196">
        <f>+F46/$F$59</f>
        <v>0.97546986313061135</v>
      </c>
      <c r="H46" s="33">
        <f>+F46/$D$53</f>
        <v>89196.957236470596</v>
      </c>
      <c r="I46" s="33"/>
      <c r="J46" s="198"/>
      <c r="K46" s="35"/>
      <c r="L46" s="35"/>
      <c r="M46" s="35"/>
      <c r="N46" s="35"/>
      <c r="O46" s="35"/>
      <c r="P46" s="35"/>
      <c r="Q46" s="36"/>
    </row>
    <row r="47" spans="1:17" x14ac:dyDescent="0.2">
      <c r="A47" s="30"/>
      <c r="B47" s="231" t="s">
        <v>69</v>
      </c>
      <c r="C47" s="231"/>
      <c r="D47" s="231"/>
      <c r="E47" s="231"/>
      <c r="F47" s="32">
        <f>SUM(F24:F29,F32:F36)</f>
        <v>19.096393366600132</v>
      </c>
      <c r="G47" s="196">
        <f>+F47/$F$59</f>
        <v>2.0884071386225719E-4</v>
      </c>
      <c r="H47" s="33">
        <f>+F47/$D$53</f>
        <v>19.096393366600132</v>
      </c>
      <c r="I47" s="33"/>
      <c r="J47" s="37"/>
      <c r="K47" s="243" t="s">
        <v>70</v>
      </c>
      <c r="L47" s="244"/>
      <c r="M47" s="244"/>
      <c r="N47" s="244"/>
      <c r="O47" s="38">
        <f>+F48</f>
        <v>89216.053629837203</v>
      </c>
      <c r="P47" s="38"/>
      <c r="Q47" s="39"/>
    </row>
    <row r="48" spans="1:17" x14ac:dyDescent="0.2">
      <c r="A48" s="30"/>
      <c r="B48" s="231" t="s">
        <v>71</v>
      </c>
      <c r="C48" s="231"/>
      <c r="D48" s="231"/>
      <c r="E48" s="231"/>
      <c r="F48" s="32">
        <f>+F46+F47</f>
        <v>89216.053629837203</v>
      </c>
      <c r="G48" s="196">
        <f>+F48/$F$59</f>
        <v>0.97567870384447375</v>
      </c>
      <c r="H48" s="33">
        <f>+F48/$D$53</f>
        <v>89216.053629837203</v>
      </c>
      <c r="I48" s="33"/>
      <c r="J48" s="199"/>
      <c r="K48" s="41"/>
      <c r="L48" s="233" t="s">
        <v>72</v>
      </c>
      <c r="M48" s="233"/>
      <c r="N48" s="233"/>
      <c r="O48" s="38">
        <f>+F49</f>
        <v>605</v>
      </c>
      <c r="P48" s="38"/>
      <c r="Q48" s="39"/>
    </row>
    <row r="49" spans="1:17" ht="13.5" thickBot="1" x14ac:dyDescent="0.25">
      <c r="A49" s="30"/>
      <c r="B49" s="31"/>
      <c r="C49" s="231" t="s">
        <v>73</v>
      </c>
      <c r="D49" s="231"/>
      <c r="E49" s="231"/>
      <c r="F49" s="32">
        <f>SUM(F39:F44)</f>
        <v>605</v>
      </c>
      <c r="G49" s="196">
        <f>+F49/$F$59</f>
        <v>6.6163609777567306E-3</v>
      </c>
      <c r="H49" s="33">
        <f>+F49/$D$53</f>
        <v>605</v>
      </c>
      <c r="I49" s="33"/>
      <c r="J49" s="199"/>
      <c r="K49" s="41"/>
      <c r="L49" s="41"/>
      <c r="M49" s="41" t="s">
        <v>74</v>
      </c>
      <c r="N49" s="200">
        <v>0.01</v>
      </c>
      <c r="O49" s="38">
        <f>O47*N49</f>
        <v>892.16053629837199</v>
      </c>
      <c r="P49" s="38"/>
      <c r="Q49" s="39"/>
    </row>
    <row r="50" spans="1:17" ht="13.5" thickBot="1" x14ac:dyDescent="0.25">
      <c r="A50" s="30"/>
      <c r="B50" s="43"/>
      <c r="C50" s="43"/>
      <c r="D50" s="43"/>
      <c r="E50" s="43"/>
      <c r="F50" s="44"/>
      <c r="G50" s="196"/>
      <c r="H50" s="45"/>
      <c r="I50" s="33"/>
      <c r="J50" s="199"/>
      <c r="K50" s="46"/>
      <c r="M50" s="47" t="s">
        <v>75</v>
      </c>
      <c r="N50" s="48"/>
      <c r="O50" s="49">
        <f>SUM(O47:O49)</f>
        <v>90713.214166135571</v>
      </c>
      <c r="P50" s="50"/>
      <c r="Q50" s="39"/>
    </row>
    <row r="51" spans="1:17" x14ac:dyDescent="0.2">
      <c r="B51" s="232" t="s">
        <v>76</v>
      </c>
      <c r="C51" s="232"/>
      <c r="D51" s="51">
        <v>40000</v>
      </c>
      <c r="E51" s="52"/>
      <c r="G51" s="196"/>
      <c r="H51" s="45"/>
      <c r="I51" s="53"/>
      <c r="J51" s="199"/>
      <c r="K51" s="46"/>
      <c r="L51" s="41"/>
      <c r="M51" s="41" t="s">
        <v>77</v>
      </c>
      <c r="N51" s="201">
        <v>0.25</v>
      </c>
      <c r="O51" s="38">
        <f>+O50*N51</f>
        <v>22678.303541533893</v>
      </c>
      <c r="P51" s="38"/>
      <c r="Q51" s="39"/>
    </row>
    <row r="52" spans="1:17" x14ac:dyDescent="0.2">
      <c r="B52" s="232" t="s">
        <v>78</v>
      </c>
      <c r="C52" s="232"/>
      <c r="D52" s="55">
        <v>40000</v>
      </c>
      <c r="E52" s="52"/>
      <c r="G52" s="196"/>
      <c r="H52" s="45"/>
      <c r="I52" s="53"/>
      <c r="J52" s="199"/>
      <c r="K52" s="46"/>
      <c r="L52" s="41"/>
      <c r="M52" s="233" t="s">
        <v>75</v>
      </c>
      <c r="N52" s="233"/>
      <c r="O52" s="38">
        <f>SUM(O50:O51)</f>
        <v>113391.51770766947</v>
      </c>
      <c r="P52" s="38"/>
      <c r="Q52" s="39"/>
    </row>
    <row r="53" spans="1:17" ht="13.5" thickBot="1" x14ac:dyDescent="0.25">
      <c r="B53" s="234" t="s">
        <v>79</v>
      </c>
      <c r="C53" s="234"/>
      <c r="D53" s="51">
        <f>+D51/D52</f>
        <v>1</v>
      </c>
      <c r="E53" s="52"/>
      <c r="F53" s="56"/>
      <c r="G53" s="196"/>
      <c r="H53" s="45"/>
      <c r="I53" s="53"/>
      <c r="J53" s="199"/>
      <c r="K53" s="46"/>
      <c r="L53" s="233" t="s">
        <v>80</v>
      </c>
      <c r="M53" s="233"/>
      <c r="N53" s="201">
        <v>0.05</v>
      </c>
      <c r="O53" s="38">
        <f>+O52*N53</f>
        <v>5669.5758853834741</v>
      </c>
      <c r="P53" s="38"/>
      <c r="Q53" s="39"/>
    </row>
    <row r="54" spans="1:17" ht="13.5" thickBot="1" x14ac:dyDescent="0.25">
      <c r="B54" s="234" t="s">
        <v>81</v>
      </c>
      <c r="C54" s="234"/>
      <c r="D54" s="57" t="s">
        <v>155</v>
      </c>
      <c r="E54" s="52"/>
      <c r="F54" s="56"/>
      <c r="G54" s="196"/>
      <c r="H54" s="45"/>
      <c r="I54" s="53"/>
      <c r="J54" s="199"/>
      <c r="K54" s="235" t="s">
        <v>82</v>
      </c>
      <c r="L54" s="236"/>
      <c r="M54" s="236"/>
      <c r="N54" s="237"/>
      <c r="O54" s="49">
        <f>SUM(O52:O53)</f>
        <v>119061.09359305294</v>
      </c>
      <c r="P54" s="58" t="s">
        <v>83</v>
      </c>
      <c r="Q54" s="39"/>
    </row>
    <row r="55" spans="1:17" ht="13.5" thickBot="1" x14ac:dyDescent="0.25">
      <c r="C55" s="30" t="s">
        <v>84</v>
      </c>
      <c r="D55" s="59"/>
      <c r="E55" s="4" t="s">
        <v>85</v>
      </c>
      <c r="F55" s="60" t="s">
        <v>86</v>
      </c>
      <c r="G55" s="196"/>
      <c r="H55" s="45"/>
      <c r="I55" s="53"/>
      <c r="J55" s="61"/>
      <c r="K55" s="62"/>
      <c r="L55" s="238" t="s">
        <v>87</v>
      </c>
      <c r="M55" s="238"/>
      <c r="N55" s="238"/>
      <c r="O55" s="63">
        <f>+O54/D53</f>
        <v>119061.09359305294</v>
      </c>
      <c r="P55" s="64">
        <f>+O55/D52</f>
        <v>2.9765273398263234</v>
      </c>
      <c r="Q55" s="65"/>
    </row>
    <row r="56" spans="1:17" ht="13.5" thickBot="1" x14ac:dyDescent="0.25">
      <c r="B56" s="239" t="s">
        <v>71</v>
      </c>
      <c r="C56" s="239"/>
      <c r="D56" s="239"/>
      <c r="E56" s="202">
        <f>+F56/F56</f>
        <v>1</v>
      </c>
      <c r="F56" s="67">
        <f>SUM(F48)</f>
        <v>89216.053629837203</v>
      </c>
      <c r="G56" s="196">
        <f>+F56/$F$59</f>
        <v>0.97567870384447375</v>
      </c>
      <c r="H56" s="45"/>
      <c r="I56" s="53"/>
      <c r="K56" s="240"/>
      <c r="L56" s="241"/>
      <c r="M56" s="241"/>
      <c r="N56" s="241"/>
      <c r="O56" s="68"/>
      <c r="P56" s="69"/>
    </row>
    <row r="57" spans="1:17" ht="13.5" thickBot="1" x14ac:dyDescent="0.25">
      <c r="B57" s="230" t="s">
        <v>88</v>
      </c>
      <c r="C57" s="230"/>
      <c r="D57" s="230"/>
      <c r="E57" s="70">
        <v>0.02</v>
      </c>
      <c r="F57" s="67">
        <f>+F46*E57</f>
        <v>1783.939144729412</v>
      </c>
      <c r="G57" s="196">
        <f>+F57/$F$59</f>
        <v>1.9509397262612228E-2</v>
      </c>
      <c r="H57" s="33"/>
      <c r="I57" s="53"/>
      <c r="J57" s="203"/>
      <c r="O57" s="72"/>
      <c r="P57" s="31"/>
    </row>
    <row r="58" spans="1:17" ht="13.5" thickBot="1" x14ac:dyDescent="0.25">
      <c r="B58" s="220" t="s">
        <v>89</v>
      </c>
      <c r="C58" s="221"/>
      <c r="D58" s="73">
        <v>8</v>
      </c>
      <c r="E58" s="74">
        <v>55</v>
      </c>
      <c r="F58" s="67">
        <f>+E58*D58</f>
        <v>440</v>
      </c>
      <c r="G58" s="196">
        <f>+F58/$F$59</f>
        <v>4.811898892913986E-3</v>
      </c>
      <c r="H58" s="33"/>
      <c r="I58" s="33"/>
      <c r="J58" s="197"/>
    </row>
    <row r="59" spans="1:17" ht="13.5" thickBot="1" x14ac:dyDescent="0.25">
      <c r="B59" s="222" t="s">
        <v>90</v>
      </c>
      <c r="C59" s="223"/>
      <c r="D59" s="223"/>
      <c r="E59" s="224"/>
      <c r="F59" s="44">
        <f>SUM(F56:F58)</f>
        <v>91439.992774566621</v>
      </c>
      <c r="G59" s="196">
        <f>+F59/$F$59</f>
        <v>1</v>
      </c>
      <c r="H59" s="225"/>
      <c r="I59" s="33"/>
      <c r="J59" s="197"/>
    </row>
    <row r="60" spans="1:17" x14ac:dyDescent="0.2">
      <c r="C60" s="76"/>
      <c r="D60" s="76"/>
      <c r="E60" s="77"/>
      <c r="F60" s="67"/>
      <c r="G60" s="196"/>
      <c r="H60" s="225"/>
      <c r="I60" s="75"/>
      <c r="J60" s="6"/>
    </row>
    <row r="61" spans="1:17" ht="13.5" thickBot="1" x14ac:dyDescent="0.25">
      <c r="B61" s="226" t="s">
        <v>91</v>
      </c>
      <c r="C61" s="226"/>
      <c r="D61" s="226"/>
      <c r="E61" s="226"/>
      <c r="F61" s="226"/>
      <c r="G61" s="196"/>
      <c r="H61" s="79"/>
      <c r="I61" s="75"/>
      <c r="J61" s="6"/>
    </row>
    <row r="62" spans="1:17" ht="13.5" thickBot="1" x14ac:dyDescent="0.25">
      <c r="B62" s="80" t="s">
        <v>92</v>
      </c>
      <c r="C62" s="81">
        <f>+F46</f>
        <v>89196.957236470596</v>
      </c>
      <c r="D62" s="81">
        <f>+D51</f>
        <v>40000</v>
      </c>
      <c r="E62" s="82">
        <f>+C62/D62</f>
        <v>2.2299239309117649</v>
      </c>
      <c r="F62" s="196"/>
      <c r="G62" s="79"/>
      <c r="H62" s="197"/>
      <c r="I62" s="79"/>
      <c r="J62" s="6"/>
    </row>
    <row r="63" spans="1:17" x14ac:dyDescent="0.2">
      <c r="B63" s="83"/>
      <c r="C63" s="84"/>
      <c r="D63" s="85"/>
      <c r="E63" s="67"/>
      <c r="F63" s="196"/>
      <c r="G63" s="79"/>
      <c r="H63" s="197"/>
      <c r="I63" s="197"/>
      <c r="J63" s="6"/>
    </row>
    <row r="64" spans="1:17" x14ac:dyDescent="0.2">
      <c r="B64" s="80" t="s">
        <v>93</v>
      </c>
      <c r="C64" s="81">
        <f>SUM(F56:F57)</f>
        <v>90999.992774566621</v>
      </c>
      <c r="D64" s="81">
        <f>+D51</f>
        <v>40000</v>
      </c>
      <c r="E64" s="86">
        <f>+C64/D64</f>
        <v>2.2749998193641656</v>
      </c>
      <c r="F64" s="196"/>
      <c r="G64" s="79"/>
      <c r="H64" s="197"/>
      <c r="I64" s="197"/>
      <c r="J64" s="6"/>
    </row>
    <row r="65" spans="2:10" x14ac:dyDescent="0.2">
      <c r="B65" s="80"/>
      <c r="C65" s="81"/>
      <c r="D65" s="81"/>
      <c r="E65" s="86"/>
      <c r="F65" s="196"/>
      <c r="G65" s="79"/>
      <c r="H65" s="197"/>
      <c r="I65" s="197"/>
      <c r="J65" s="6"/>
    </row>
    <row r="66" spans="2:10" ht="13.5" thickBot="1" x14ac:dyDescent="0.25">
      <c r="B66" s="80" t="s">
        <v>94</v>
      </c>
      <c r="C66" s="81">
        <f>+F58</f>
        <v>440</v>
      </c>
      <c r="D66" s="81">
        <f>+D51</f>
        <v>40000</v>
      </c>
      <c r="E66" s="86">
        <f>+C66/D66</f>
        <v>1.0999999999999999E-2</v>
      </c>
      <c r="F66" s="196"/>
      <c r="G66" s="79"/>
      <c r="H66" s="197"/>
      <c r="I66" s="197"/>
      <c r="J66" s="6"/>
    </row>
    <row r="67" spans="2:10" ht="13.5" thickBot="1" x14ac:dyDescent="0.25">
      <c r="B67" s="80" t="s">
        <v>95</v>
      </c>
      <c r="C67" s="81">
        <f>+F49</f>
        <v>605</v>
      </c>
      <c r="D67" s="81">
        <f>+D66</f>
        <v>40000</v>
      </c>
      <c r="E67" s="82">
        <f>+C67/D67</f>
        <v>1.5125E-2</v>
      </c>
      <c r="F67" s="196"/>
      <c r="G67" s="79"/>
      <c r="H67" s="197"/>
      <c r="I67" s="197"/>
      <c r="J67" s="6"/>
    </row>
    <row r="68" spans="2:10" ht="13.5" thickBot="1" x14ac:dyDescent="0.25">
      <c r="B68" s="43"/>
      <c r="C68" s="44"/>
      <c r="D68" s="44"/>
      <c r="E68" s="86"/>
      <c r="F68" s="196"/>
      <c r="G68" s="79"/>
      <c r="H68" s="197"/>
      <c r="I68" s="197"/>
      <c r="J68" s="6"/>
    </row>
    <row r="69" spans="2:10" ht="13.5" thickBot="1" x14ac:dyDescent="0.25">
      <c r="B69" s="80" t="s">
        <v>96</v>
      </c>
      <c r="C69" s="81">
        <f>+F47</f>
        <v>19.096393366600132</v>
      </c>
      <c r="D69" s="81">
        <f>+D67</f>
        <v>40000</v>
      </c>
      <c r="E69" s="82">
        <f>+C69/D69</f>
        <v>4.7740983416500333E-4</v>
      </c>
      <c r="F69" s="196"/>
      <c r="G69" s="79"/>
      <c r="H69" s="197"/>
      <c r="I69" s="197"/>
      <c r="J69" s="197"/>
    </row>
    <row r="70" spans="2:10" ht="13.5" thickBot="1" x14ac:dyDescent="0.25">
      <c r="B70" s="43"/>
      <c r="C70" s="44"/>
      <c r="D70" s="44"/>
      <c r="E70" s="86"/>
      <c r="F70" s="196"/>
      <c r="G70" s="79"/>
      <c r="H70" s="197"/>
      <c r="I70" s="197"/>
    </row>
    <row r="71" spans="2:10" ht="13.5" thickBot="1" x14ac:dyDescent="0.25">
      <c r="B71" s="227" t="s">
        <v>97</v>
      </c>
      <c r="C71" s="228"/>
      <c r="D71" s="229"/>
      <c r="E71" s="82">
        <f>+E62+E67</f>
        <v>2.2450489309117647</v>
      </c>
      <c r="G71" s="196"/>
      <c r="H71" s="79"/>
      <c r="I71" s="197"/>
      <c r="J71" s="86"/>
    </row>
    <row r="72" spans="2:10" x14ac:dyDescent="0.2">
      <c r="I72" s="79"/>
      <c r="J72" s="6"/>
    </row>
    <row r="73" spans="2:10" ht="13.5" thickBot="1" x14ac:dyDescent="0.25">
      <c r="B73" s="226" t="s">
        <v>98</v>
      </c>
      <c r="C73" s="226"/>
      <c r="D73" s="226"/>
      <c r="E73" s="226"/>
      <c r="F73" s="226"/>
      <c r="G73" s="196"/>
      <c r="H73" s="79"/>
      <c r="J73" s="6"/>
    </row>
    <row r="74" spans="2:10" ht="13.5" thickBot="1" x14ac:dyDescent="0.25">
      <c r="B74" s="80" t="s">
        <v>92</v>
      </c>
      <c r="C74" s="81">
        <f>+C62</f>
        <v>89196.957236470596</v>
      </c>
      <c r="D74" s="81">
        <f>+D53</f>
        <v>1</v>
      </c>
      <c r="E74" s="82">
        <f>+C74/D74</f>
        <v>89196.957236470596</v>
      </c>
      <c r="F74" s="196"/>
      <c r="G74" s="79"/>
      <c r="H74" s="197"/>
      <c r="I74" s="79"/>
      <c r="J74" s="6"/>
    </row>
    <row r="75" spans="2:10" x14ac:dyDescent="0.2">
      <c r="B75" s="83"/>
      <c r="C75" s="84"/>
      <c r="D75" s="85"/>
      <c r="E75" s="67"/>
      <c r="F75" s="196"/>
      <c r="G75" s="79"/>
      <c r="H75" s="197"/>
      <c r="I75" s="197"/>
      <c r="J75" s="6"/>
    </row>
    <row r="76" spans="2:10" x14ac:dyDescent="0.2">
      <c r="B76" s="80" t="s">
        <v>93</v>
      </c>
      <c r="C76" s="81">
        <f>+C64</f>
        <v>90999.992774566621</v>
      </c>
      <c r="D76" s="81">
        <f>+D53</f>
        <v>1</v>
      </c>
      <c r="E76" s="86">
        <f>+C76/D76</f>
        <v>90999.992774566621</v>
      </c>
      <c r="F76" s="196"/>
      <c r="G76" s="79"/>
      <c r="H76" s="197"/>
      <c r="I76" s="197"/>
      <c r="J76" s="6"/>
    </row>
    <row r="77" spans="2:10" x14ac:dyDescent="0.2">
      <c r="B77" s="80"/>
      <c r="C77" s="81"/>
      <c r="D77" s="81"/>
      <c r="E77" s="86"/>
      <c r="F77" s="196"/>
      <c r="G77" s="79"/>
      <c r="H77" s="197"/>
      <c r="I77" s="197"/>
      <c r="J77" s="6"/>
    </row>
    <row r="78" spans="2:10" ht="13.5" thickBot="1" x14ac:dyDescent="0.25">
      <c r="B78" s="80" t="s">
        <v>95</v>
      </c>
      <c r="C78" s="81">
        <f>+C66</f>
        <v>440</v>
      </c>
      <c r="D78" s="81">
        <f>+D53</f>
        <v>1</v>
      </c>
      <c r="E78" s="86">
        <f>+C78/D78</f>
        <v>440</v>
      </c>
      <c r="F78" s="88"/>
      <c r="G78" s="78"/>
      <c r="H78" s="5"/>
      <c r="I78" s="197"/>
    </row>
    <row r="79" spans="2:10" ht="13.5" thickBot="1" x14ac:dyDescent="0.25">
      <c r="B79" s="80" t="s">
        <v>95</v>
      </c>
      <c r="C79" s="81">
        <f>+C67</f>
        <v>605</v>
      </c>
      <c r="D79" s="81">
        <f>+D78</f>
        <v>1</v>
      </c>
      <c r="E79" s="82">
        <f>+C79/D79</f>
        <v>605</v>
      </c>
      <c r="F79" s="204"/>
      <c r="G79" s="78"/>
      <c r="H79" s="5"/>
      <c r="I79" s="5"/>
    </row>
    <row r="80" spans="2:10" x14ac:dyDescent="0.2">
      <c r="I80" s="5"/>
    </row>
    <row r="81" spans="1:7" x14ac:dyDescent="0.2">
      <c r="A81" s="219"/>
      <c r="B81" s="219"/>
      <c r="C81" s="89"/>
      <c r="D81" s="89"/>
      <c r="E81" s="90"/>
      <c r="G81" s="205"/>
    </row>
    <row r="82" spans="1:7" x14ac:dyDescent="0.2">
      <c r="A82" s="24"/>
      <c r="B82" s="92"/>
      <c r="C82" s="93"/>
      <c r="D82" s="93"/>
      <c r="E82" s="94"/>
      <c r="G82" s="205"/>
    </row>
    <row r="83" spans="1:7" x14ac:dyDescent="0.2">
      <c r="A83" s="24"/>
      <c r="B83" s="92"/>
      <c r="C83" s="95"/>
      <c r="D83" s="95"/>
      <c r="E83" s="24"/>
      <c r="G83" s="205"/>
    </row>
    <row r="84" spans="1:7" x14ac:dyDescent="0.2">
      <c r="A84" s="24"/>
      <c r="B84" s="92"/>
      <c r="C84" s="96"/>
      <c r="D84" s="96"/>
      <c r="E84" s="24"/>
      <c r="G84" s="205"/>
    </row>
  </sheetData>
  <mergeCells count="31">
    <mergeCell ref="K26:L26"/>
    <mergeCell ref="A4:H4"/>
    <mergeCell ref="A5:H5"/>
    <mergeCell ref="F6:G6"/>
    <mergeCell ref="K24:L24"/>
    <mergeCell ref="K25:L25"/>
    <mergeCell ref="K27:L27"/>
    <mergeCell ref="B46:E46"/>
    <mergeCell ref="B47:E47"/>
    <mergeCell ref="K47:N47"/>
    <mergeCell ref="B48:E48"/>
    <mergeCell ref="L48:N48"/>
    <mergeCell ref="B57:D57"/>
    <mergeCell ref="C49:E49"/>
    <mergeCell ref="B51:C51"/>
    <mergeCell ref="B52:C52"/>
    <mergeCell ref="M52:N52"/>
    <mergeCell ref="B53:C53"/>
    <mergeCell ref="L53:M53"/>
    <mergeCell ref="B54:C54"/>
    <mergeCell ref="K54:N54"/>
    <mergeCell ref="L55:N55"/>
    <mergeCell ref="B56:D56"/>
    <mergeCell ref="K56:N56"/>
    <mergeCell ref="A81:B81"/>
    <mergeCell ref="B58:C58"/>
    <mergeCell ref="B59:E59"/>
    <mergeCell ref="H59:H60"/>
    <mergeCell ref="B61:F61"/>
    <mergeCell ref="B71:D71"/>
    <mergeCell ref="B73:F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735A7-EFC4-4F6D-AE85-BBB71D244A5B}">
  <dimension ref="A1:Q84"/>
  <sheetViews>
    <sheetView topLeftCell="A40" workbookViewId="0">
      <selection activeCell="H54" sqref="H54"/>
    </sheetView>
  </sheetViews>
  <sheetFormatPr baseColWidth="10" defaultColWidth="8.42578125" defaultRowHeight="12.75" x14ac:dyDescent="0.2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6" width="9.7109375" style="6" bestFit="1" customWidth="1"/>
    <col min="7" max="7" width="9.5703125" style="87" bestFit="1" customWidth="1"/>
    <col min="8" max="8" width="10.42578125" style="78" bestFit="1" customWidth="1"/>
    <col min="9" max="9" width="4.5703125" style="78" customWidth="1"/>
    <col min="10" max="10" width="1.71093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16384" width="8.42578125" style="6"/>
  </cols>
  <sheetData>
    <row r="1" spans="1:10" ht="27.75" customHeight="1" x14ac:dyDescent="0.2">
      <c r="A1" s="1"/>
      <c r="B1" s="1"/>
      <c r="C1" s="1"/>
      <c r="D1" s="1"/>
      <c r="E1" s="2" t="s">
        <v>50</v>
      </c>
      <c r="F1" s="3" t="s">
        <v>51</v>
      </c>
      <c r="G1" s="3" t="s">
        <v>52</v>
      </c>
      <c r="H1" s="3" t="s">
        <v>53</v>
      </c>
      <c r="I1" s="4"/>
    </row>
    <row r="2" spans="1:10" ht="30.75" customHeight="1" x14ac:dyDescent="0.2">
      <c r="A2" s="1"/>
      <c r="B2" s="1"/>
      <c r="C2" s="1"/>
      <c r="D2" s="1"/>
      <c r="E2" s="7">
        <f>IFERROR(O55,"")</f>
        <v>1211.1627392440566</v>
      </c>
      <c r="F2" s="7">
        <f>IFERROR(H46,"")</f>
        <v>879.31449066489347</v>
      </c>
      <c r="G2" s="7">
        <f>IFERROR(H47,"")</f>
        <v>4.6230599748354724</v>
      </c>
      <c r="H2" s="7">
        <f>IFERROR(H49,"")</f>
        <v>30.013732325535933</v>
      </c>
      <c r="I2" s="8"/>
    </row>
    <row r="3" spans="1:10" ht="15" customHeight="1" x14ac:dyDescent="0.2">
      <c r="A3" s="1"/>
      <c r="B3" s="1"/>
      <c r="C3" s="1"/>
      <c r="D3" s="1"/>
      <c r="E3" s="1"/>
      <c r="F3" s="9"/>
      <c r="G3" s="9"/>
      <c r="H3" s="9"/>
      <c r="I3" s="9"/>
    </row>
    <row r="4" spans="1:10" ht="24.75" customHeight="1" thickBot="1" x14ac:dyDescent="0.25">
      <c r="A4" s="245"/>
      <c r="B4" s="245"/>
      <c r="C4" s="245"/>
      <c r="D4" s="245"/>
      <c r="E4" s="245"/>
      <c r="F4" s="245"/>
      <c r="G4" s="245"/>
      <c r="H4" s="245"/>
      <c r="I4" s="10"/>
    </row>
    <row r="5" spans="1:10" ht="19.5" customHeight="1" thickBot="1" x14ac:dyDescent="0.25">
      <c r="A5" s="246" t="s">
        <v>54</v>
      </c>
      <c r="B5" s="247"/>
      <c r="C5" s="247"/>
      <c r="D5" s="247"/>
      <c r="E5" s="247"/>
      <c r="F5" s="247"/>
      <c r="G5" s="247"/>
      <c r="H5" s="248"/>
      <c r="I5" s="11"/>
    </row>
    <row r="6" spans="1:10" ht="19.5" thickBot="1" x14ac:dyDescent="0.25">
      <c r="A6" s="11"/>
      <c r="B6" s="11"/>
      <c r="C6" s="11"/>
      <c r="D6" s="11"/>
      <c r="E6" s="11"/>
      <c r="F6" s="249" t="s">
        <v>55</v>
      </c>
      <c r="G6" s="249"/>
      <c r="H6" s="12">
        <f ca="1">TODAY()</f>
        <v>46058</v>
      </c>
      <c r="I6" s="12"/>
    </row>
    <row r="7" spans="1:10" ht="26.25" hidden="1" thickBot="1" x14ac:dyDescent="0.25">
      <c r="A7" s="13" t="s">
        <v>56</v>
      </c>
      <c r="B7" s="14" t="s">
        <v>57</v>
      </c>
      <c r="C7" s="14" t="s">
        <v>56</v>
      </c>
      <c r="D7" s="15" t="s">
        <v>58</v>
      </c>
      <c r="E7" s="15" t="s">
        <v>59</v>
      </c>
      <c r="F7" s="15" t="s">
        <v>60</v>
      </c>
      <c r="G7" s="15" t="s">
        <v>61</v>
      </c>
      <c r="H7" s="16" t="s">
        <v>62</v>
      </c>
      <c r="I7" s="17"/>
    </row>
    <row r="8" spans="1:10" ht="13.5" hidden="1" x14ac:dyDescent="0.25">
      <c r="A8" s="18"/>
      <c r="B8" s="6" t="str">
        <f>IFERROR(VLOOKUP($H8,'[3]MP PLANTA'!$A$2:$F$500,2,0),"")</f>
        <v/>
      </c>
      <c r="C8" s="19">
        <f>+A8</f>
        <v>0</v>
      </c>
      <c r="D8" s="20" t="str">
        <f>IFERROR(VLOOKUP($H8,'[3]MP PLANTA'!$A$2:$F$500,5,0),"")</f>
        <v/>
      </c>
      <c r="E8" s="20" t="str">
        <f>IFERROR(VLOOKUP($H8,'[3]MP PLANTA'!$A$2:$F$500,6,0),"")</f>
        <v/>
      </c>
      <c r="F8" s="20" t="str">
        <f>IFERROR(C8*E8,"")</f>
        <v/>
      </c>
      <c r="G8" s="21" t="str">
        <f>IFERROR(F8/$F$59,"")</f>
        <v/>
      </c>
      <c r="H8" s="22"/>
      <c r="I8" s="22"/>
      <c r="J8" s="23"/>
    </row>
    <row r="9" spans="1:10" ht="13.5" hidden="1" x14ac:dyDescent="0.25">
      <c r="A9" s="18"/>
      <c r="B9" s="6" t="str">
        <f>IFERROR(VLOOKUP($H9,'[3]MP PLANTA'!$A$2:$F$500,2,0),"")</f>
        <v/>
      </c>
      <c r="C9" s="19">
        <f t="shared" ref="C9:C14" si="0">+A9</f>
        <v>0</v>
      </c>
      <c r="D9" s="20" t="str">
        <f>IFERROR(VLOOKUP($H9,'[3]MP PLANTA'!$A$2:$F$500,5,0),"")</f>
        <v/>
      </c>
      <c r="E9" s="20" t="str">
        <f>IFERROR(VLOOKUP($H9,'[3]MP PLANTA'!$A$2:$F$500,6,0),"")</f>
        <v/>
      </c>
      <c r="F9" s="20" t="str">
        <f t="shared" ref="F9:F14" si="1">IFERROR(C9*E9,"")</f>
        <v/>
      </c>
      <c r="G9" s="21" t="str">
        <f t="shared" ref="G9:G14" si="2">IFERROR(F9/$F$59,"")</f>
        <v/>
      </c>
      <c r="H9" s="22"/>
      <c r="I9" s="22"/>
      <c r="J9" s="23"/>
    </row>
    <row r="10" spans="1:10" ht="13.5" hidden="1" x14ac:dyDescent="0.25">
      <c r="A10" s="18"/>
      <c r="B10" s="6" t="str">
        <f>IFERROR(VLOOKUP($H10,'[3]MP PLANTA'!$A$2:$F$500,2,0),"")</f>
        <v/>
      </c>
      <c r="C10" s="19">
        <f t="shared" si="0"/>
        <v>0</v>
      </c>
      <c r="D10" s="20" t="str">
        <f>IFERROR(VLOOKUP($H10,'[3]MP PLANTA'!$A$2:$F$500,5,0),"")</f>
        <v/>
      </c>
      <c r="E10" s="20" t="str">
        <f>IFERROR(VLOOKUP($H10,'[3]MP PLANTA'!$A$2:$F$500,6,0),"")</f>
        <v/>
      </c>
      <c r="F10" s="20" t="str">
        <f t="shared" si="1"/>
        <v/>
      </c>
      <c r="G10" s="21" t="str">
        <f t="shared" si="2"/>
        <v/>
      </c>
      <c r="H10" s="22"/>
      <c r="I10" s="22"/>
      <c r="J10" s="23"/>
    </row>
    <row r="11" spans="1:10" ht="13.5" hidden="1" x14ac:dyDescent="0.25">
      <c r="A11" s="18"/>
      <c r="B11" s="6" t="str">
        <f>IFERROR(VLOOKUP($H11,'[3]MP PLANTA'!$A$2:$F$500,2,0),"")</f>
        <v/>
      </c>
      <c r="C11" s="19">
        <f t="shared" si="0"/>
        <v>0</v>
      </c>
      <c r="D11" s="20" t="str">
        <f>IFERROR(VLOOKUP($H11,'[3]MP PLANTA'!$A$2:$F$500,5,0),"")</f>
        <v/>
      </c>
      <c r="E11" s="20" t="str">
        <f>IFERROR(VLOOKUP($H11,'[3]MP PLANTA'!$A$2:$F$500,6,0),"")</f>
        <v/>
      </c>
      <c r="F11" s="20" t="str">
        <f t="shared" si="1"/>
        <v/>
      </c>
      <c r="G11" s="21" t="str">
        <f t="shared" si="2"/>
        <v/>
      </c>
      <c r="H11" s="22"/>
      <c r="I11" s="22"/>
      <c r="J11" s="23"/>
    </row>
    <row r="12" spans="1:10" ht="13.5" hidden="1" x14ac:dyDescent="0.25">
      <c r="A12" s="18"/>
      <c r="B12" s="6" t="str">
        <f>IFERROR(VLOOKUP($H12,'[3]MP PLANTA'!$A$2:$F$500,2,0),"")</f>
        <v/>
      </c>
      <c r="C12" s="19">
        <f t="shared" si="0"/>
        <v>0</v>
      </c>
      <c r="D12" s="20" t="str">
        <f>IFERROR(VLOOKUP($H12,'[3]MP PLANTA'!$A$2:$F$500,5,0),"")</f>
        <v/>
      </c>
      <c r="E12" s="20" t="str">
        <f>IFERROR(VLOOKUP($H12,'[3]MP PLANTA'!$A$2:$F$500,6,0),"")</f>
        <v/>
      </c>
      <c r="F12" s="20" t="str">
        <f t="shared" si="1"/>
        <v/>
      </c>
      <c r="G12" s="21" t="str">
        <f t="shared" si="2"/>
        <v/>
      </c>
      <c r="H12" s="22"/>
      <c r="I12" s="22"/>
      <c r="J12" s="23"/>
    </row>
    <row r="13" spans="1:10" ht="13.5" hidden="1" x14ac:dyDescent="0.25">
      <c r="A13" s="18"/>
      <c r="B13" s="6" t="str">
        <f>IFERROR(VLOOKUP($H13,'[3]MP PLANTA'!$A$2:$F$500,2,0),"")</f>
        <v/>
      </c>
      <c r="C13" s="19">
        <f t="shared" si="0"/>
        <v>0</v>
      </c>
      <c r="D13" s="20" t="str">
        <f>IFERROR(VLOOKUP($H13,'[3]MP PLANTA'!$A$2:$F$500,5,0),"")</f>
        <v/>
      </c>
      <c r="E13" s="20" t="str">
        <f>IFERROR(VLOOKUP($H13,'[3]MP PLANTA'!$A$2:$F$500,6,0),"")</f>
        <v/>
      </c>
      <c r="F13" s="20" t="str">
        <f t="shared" si="1"/>
        <v/>
      </c>
      <c r="G13" s="21" t="str">
        <f t="shared" si="2"/>
        <v/>
      </c>
      <c r="H13" s="22"/>
      <c r="I13" s="22"/>
      <c r="J13" s="23"/>
    </row>
    <row r="14" spans="1:10" ht="13.5" hidden="1" x14ac:dyDescent="0.25">
      <c r="A14" s="18"/>
      <c r="B14" s="6" t="str">
        <f>IFERROR(VLOOKUP($H14,'[3]MP PLANTA'!$A$2:$F$500,2,0),"")</f>
        <v/>
      </c>
      <c r="C14" s="19">
        <f t="shared" si="0"/>
        <v>0</v>
      </c>
      <c r="D14" s="20" t="str">
        <f>IFERROR(VLOOKUP($H14,'[3]MP PLANTA'!$A$2:$F$500,5,0),"")</f>
        <v/>
      </c>
      <c r="E14" s="20" t="str">
        <f>IFERROR(VLOOKUP($H14,'[3]MP PLANTA'!$A$2:$F$500,6,0),"")</f>
        <v/>
      </c>
      <c r="F14" s="20" t="str">
        <f t="shared" si="1"/>
        <v/>
      </c>
      <c r="G14" s="21" t="str">
        <f t="shared" si="2"/>
        <v/>
      </c>
      <c r="H14" s="22"/>
      <c r="I14" s="22"/>
      <c r="J14" s="23"/>
    </row>
    <row r="15" spans="1:10" ht="14.25" hidden="1" thickBot="1" x14ac:dyDescent="0.3">
      <c r="A15" s="18"/>
      <c r="C15" s="19"/>
      <c r="D15" s="20"/>
      <c r="E15" s="20"/>
      <c r="F15" s="20"/>
      <c r="G15" s="21"/>
      <c r="H15" s="22"/>
      <c r="I15" s="22"/>
      <c r="J15" s="23"/>
    </row>
    <row r="16" spans="1:10" ht="26.25" thickBot="1" x14ac:dyDescent="0.25">
      <c r="A16" s="13" t="s">
        <v>56</v>
      </c>
      <c r="B16" s="14" t="s">
        <v>63</v>
      </c>
      <c r="C16" s="14" t="s">
        <v>56</v>
      </c>
      <c r="D16" s="15" t="s">
        <v>58</v>
      </c>
      <c r="E16" s="15" t="s">
        <v>59</v>
      </c>
      <c r="F16" s="15" t="s">
        <v>60</v>
      </c>
      <c r="G16" s="15" t="s">
        <v>61</v>
      </c>
      <c r="H16" s="16" t="s">
        <v>62</v>
      </c>
      <c r="I16" s="17"/>
      <c r="J16" s="23"/>
    </row>
    <row r="17" spans="1:12" ht="13.5" x14ac:dyDescent="0.25">
      <c r="A17" s="18">
        <v>40000</v>
      </c>
      <c r="B17" s="6" t="s">
        <v>41</v>
      </c>
      <c r="C17" s="19">
        <f>+A17</f>
        <v>40000</v>
      </c>
      <c r="D17" s="19" t="s">
        <v>124</v>
      </c>
      <c r="E17" s="20">
        <f>+'COSTEO BATIDO'!E62</f>
        <v>2.2299239309117649</v>
      </c>
      <c r="F17" s="20">
        <f>IFERROR(E17*C17,"")</f>
        <v>89196.957236470596</v>
      </c>
      <c r="G17" s="21">
        <f>IFERROR(F17/$F$59,"")</f>
        <v>0.93835276655708122</v>
      </c>
      <c r="H17" s="22" t="s">
        <v>44</v>
      </c>
      <c r="I17" s="22"/>
      <c r="J17" s="23"/>
    </row>
    <row r="18" spans="1:12" ht="13.5" x14ac:dyDescent="0.25">
      <c r="A18" s="18">
        <v>1651</v>
      </c>
      <c r="B18" s="6" t="str">
        <f>IFERROR(VLOOKUP($H18,[3]SEMIELABORADOS!$A$1:$J$999,2,0),"")</f>
        <v>MEZCLA ENGRASE MOLDES (29800g)</v>
      </c>
      <c r="C18" s="19">
        <f>+A18</f>
        <v>1651</v>
      </c>
      <c r="D18" s="19" t="str">
        <f>IFERROR(VLOOKUP($H18,[3]SEMIELABORADOS!$A$1:$J$999,4,0),"")</f>
        <v>GRAMO</v>
      </c>
      <c r="E18" s="20">
        <f>IFERROR(VLOOKUP($H18,[3]SEMIELABORADOS!$A$1:$J$999,6,0),"")</f>
        <v>0.83127516778523491</v>
      </c>
      <c r="F18" s="20">
        <f>IFERROR(E18*C18,"")</f>
        <v>1372.4353020134229</v>
      </c>
      <c r="G18" s="21">
        <f>IFERROR(F18/$F$59,"")</f>
        <v>1.4438031323767343E-2</v>
      </c>
      <c r="H18" s="22" t="s">
        <v>42</v>
      </c>
      <c r="I18" s="22"/>
      <c r="J18" s="23"/>
    </row>
    <row r="19" spans="1:12" ht="13.5" hidden="1" x14ac:dyDescent="0.25">
      <c r="A19" s="18"/>
      <c r="B19" s="6" t="str">
        <f>IFERROR(VLOOKUP($H19,[3]SEMIELABORADOS!$A$1:$J$999,2,0),"")</f>
        <v/>
      </c>
      <c r="C19" s="19">
        <f>+A19</f>
        <v>0</v>
      </c>
      <c r="D19" s="19" t="str">
        <f>IFERROR(VLOOKUP($H19,[3]SEMIELABORADOS!$A$1:$J$999,4,0),"")</f>
        <v/>
      </c>
      <c r="E19" s="20" t="str">
        <f>IFERROR(VLOOKUP($H19,[3]SEMIELABORADOS!$A$1:$J$999,6,0),"")</f>
        <v/>
      </c>
      <c r="F19" s="20" t="str">
        <f>IFERROR(E19*C19,"")</f>
        <v/>
      </c>
      <c r="G19" s="21" t="str">
        <f>IFERROR(F19/$F$59,"")</f>
        <v/>
      </c>
      <c r="H19" s="22"/>
      <c r="I19" s="22"/>
      <c r="J19" s="23"/>
    </row>
    <row r="20" spans="1:12" ht="13.5" hidden="1" x14ac:dyDescent="0.25">
      <c r="A20" s="18"/>
      <c r="B20" s="6" t="str">
        <f>IFERROR(VLOOKUP($H20,[3]SEMIELABORADOS!$A$1:$J$999,2,0),"")</f>
        <v/>
      </c>
      <c r="C20" s="19">
        <f>+A20</f>
        <v>0</v>
      </c>
      <c r="D20" s="19" t="str">
        <f>IFERROR(VLOOKUP($H20,[3]SEMIELABORADOS!$A$1:$J$999,4,0),"")</f>
        <v/>
      </c>
      <c r="E20" s="20" t="str">
        <f>IFERROR(VLOOKUP($H20,[3]SEMIELABORADOS!$A$1:$J$999,6,0),"")</f>
        <v/>
      </c>
      <c r="F20" s="20" t="str">
        <f>IFERROR(E20*C20,"")</f>
        <v/>
      </c>
      <c r="G20" s="21" t="str">
        <f>IFERROR(F20/$F$59,"")</f>
        <v/>
      </c>
      <c r="H20" s="22"/>
      <c r="I20" s="22"/>
      <c r="J20" s="23"/>
    </row>
    <row r="21" spans="1:12" ht="13.5" hidden="1" x14ac:dyDescent="0.25">
      <c r="A21" s="18"/>
      <c r="B21" s="6" t="str">
        <f>IFERROR(VLOOKUP($H21,[3]SEMIELABORADOS!$A$1:$J$999,2,0),"")</f>
        <v/>
      </c>
      <c r="C21" s="19">
        <f>+A21</f>
        <v>0</v>
      </c>
      <c r="D21" s="19" t="str">
        <f>IFERROR(VLOOKUP($H21,[3]SEMIELABORADOS!$A$1:$J$999,4,0),"")</f>
        <v/>
      </c>
      <c r="E21" s="20" t="str">
        <f>IFERROR(VLOOKUP($H21,[3]SEMIELABORADOS!$A$1:$J$999,6,0),"")</f>
        <v/>
      </c>
      <c r="F21" s="20" t="str">
        <f>IFERROR(E21*C21,"")</f>
        <v/>
      </c>
      <c r="G21" s="21" t="str">
        <f>IFERROR(F21/$F$59,"")</f>
        <v/>
      </c>
      <c r="H21" s="22"/>
      <c r="I21" s="22"/>
      <c r="J21" s="23"/>
    </row>
    <row r="22" spans="1:12" ht="14.25" thickBot="1" x14ac:dyDescent="0.3">
      <c r="A22" s="18"/>
      <c r="C22" s="19"/>
      <c r="D22" s="19"/>
      <c r="E22" s="20"/>
      <c r="F22" s="20"/>
      <c r="G22" s="21"/>
      <c r="H22" s="22"/>
      <c r="I22" s="22"/>
      <c r="J22" s="23"/>
    </row>
    <row r="23" spans="1:12" ht="26.25" thickBot="1" x14ac:dyDescent="0.25">
      <c r="A23" s="13" t="s">
        <v>56</v>
      </c>
      <c r="B23" s="14" t="s">
        <v>35</v>
      </c>
      <c r="C23" s="14" t="s">
        <v>56</v>
      </c>
      <c r="D23" s="15" t="s">
        <v>58</v>
      </c>
      <c r="E23" s="15" t="s">
        <v>59</v>
      </c>
      <c r="F23" s="15" t="s">
        <v>60</v>
      </c>
      <c r="G23" s="15" t="s">
        <v>61</v>
      </c>
      <c r="H23" s="16" t="s">
        <v>62</v>
      </c>
      <c r="I23" s="17"/>
    </row>
    <row r="24" spans="1:12" ht="13.5" x14ac:dyDescent="0.25">
      <c r="A24" s="18">
        <v>9</v>
      </c>
      <c r="B24" s="24" t="str">
        <f>IFERROR(VLOOKUP($H24,'[3]EMP PLANTA'!$A$2:$F$500,2,0),"")</f>
        <v>BOLSA TRANSPARENTE 56X96X1.80</v>
      </c>
      <c r="C24" s="19">
        <f t="shared" ref="C24:C29" si="3">+A24</f>
        <v>9</v>
      </c>
      <c r="D24" s="20" t="str">
        <f>IFERROR(VLOOKUP($H24,'[3]EMP PLANTA'!$A$2:$F$500,5,0),"")</f>
        <v>UND</v>
      </c>
      <c r="E24" s="20">
        <f>IFERROR(VLOOKUP($H24,'[3]EMP PLANTA'!$A$2:$F$500,6,0),"")</f>
        <v>50</v>
      </c>
      <c r="F24" s="20">
        <f t="shared" ref="F24:F29" si="4">IFERROR(E24*C24,"")</f>
        <v>450</v>
      </c>
      <c r="G24" s="21">
        <f t="shared" ref="G24:G29" si="5">IFERROR(F24/$F$59,"")</f>
        <v>4.7340039170981341E-3</v>
      </c>
      <c r="H24" s="25" t="s">
        <v>43</v>
      </c>
      <c r="I24" s="25"/>
      <c r="J24" s="23"/>
      <c r="K24" s="242"/>
      <c r="L24" s="242"/>
    </row>
    <row r="25" spans="1:12" ht="13.5" x14ac:dyDescent="0.25">
      <c r="A25" s="18">
        <v>9</v>
      </c>
      <c r="B25" s="24" t="str">
        <f>IFERROR(VLOOKUP($H25,'[3]EMP PLANTA'!$A$2:$F$500,2,0),"")</f>
        <v>ETIQ.BLANCA 1 1/4 * 3/4</v>
      </c>
      <c r="C25" s="19">
        <f t="shared" si="3"/>
        <v>9</v>
      </c>
      <c r="D25" s="20" t="str">
        <f>IFERROR(VLOOKUP($H25,'[3]EMP PLANTA'!$A$2:$F$500,5,0),"")</f>
        <v>UND</v>
      </c>
      <c r="E25" s="20">
        <f>IFERROR(VLOOKUP($H25,'[3]EMP PLANTA'!$A$2:$F$500,6,0),"")</f>
        <v>0.61599999999999999</v>
      </c>
      <c r="F25" s="20">
        <f t="shared" si="4"/>
        <v>5.5439999999999996</v>
      </c>
      <c r="G25" s="21">
        <f t="shared" si="5"/>
        <v>5.8322928258649005E-5</v>
      </c>
      <c r="H25" s="25" t="s">
        <v>25</v>
      </c>
      <c r="I25" s="25"/>
      <c r="J25" s="23"/>
      <c r="K25" s="242"/>
      <c r="L25" s="242"/>
    </row>
    <row r="26" spans="1:12" ht="13.5" x14ac:dyDescent="0.25">
      <c r="A26" s="18">
        <v>9</v>
      </c>
      <c r="B26" s="24" t="str">
        <f>IFERROR(VLOOKUP($H26,'[3]EMP PLANTA'!$A$2:$F$500,2,0),"")</f>
        <v>ETIQ.FECHA VENCIMIENTO VERDE</v>
      </c>
      <c r="C26" s="19">
        <f t="shared" si="3"/>
        <v>9</v>
      </c>
      <c r="D26" s="20" t="str">
        <f>IFERROR(VLOOKUP($H26,'[3]EMP PLANTA'!$A$2:$F$500,5,0),"")</f>
        <v>UND</v>
      </c>
      <c r="E26" s="20">
        <f>IFERROR(VLOOKUP($H26,'[3]EMP PLANTA'!$A$2:$F$500,6,0),"")</f>
        <v>0.21185444444444446</v>
      </c>
      <c r="F26" s="20">
        <f t="shared" si="4"/>
        <v>1.9066900000000002</v>
      </c>
      <c r="G26" s="21">
        <f t="shared" si="5"/>
        <v>2.0058395397092983E-5</v>
      </c>
      <c r="H26" s="25" t="s">
        <v>10</v>
      </c>
      <c r="I26" s="25"/>
      <c r="J26" s="23"/>
      <c r="K26" s="242"/>
      <c r="L26" s="242"/>
    </row>
    <row r="27" spans="1:12" ht="13.5" hidden="1" x14ac:dyDescent="0.25">
      <c r="A27" s="18"/>
      <c r="B27" s="24" t="str">
        <f>IFERROR(VLOOKUP($H27,'[3]EMP PLANTA'!$A$2:$F$500,2,0),"")</f>
        <v/>
      </c>
      <c r="C27" s="19">
        <f t="shared" si="3"/>
        <v>0</v>
      </c>
      <c r="D27" s="20" t="str">
        <f>IFERROR(VLOOKUP($H27,'[3]EMP PLANTA'!$A$2:$F$500,5,0),"")</f>
        <v/>
      </c>
      <c r="E27" s="20" t="str">
        <f>IFERROR(VLOOKUP($H27,'[3]EMP PLANTA'!$A$2:$F$500,6,0),"")</f>
        <v/>
      </c>
      <c r="F27" s="20" t="str">
        <f t="shared" si="4"/>
        <v/>
      </c>
      <c r="G27" s="21" t="str">
        <f t="shared" si="5"/>
        <v/>
      </c>
      <c r="H27" s="25"/>
      <c r="I27" s="25"/>
      <c r="J27" s="23"/>
      <c r="K27" s="242"/>
      <c r="L27" s="242"/>
    </row>
    <row r="28" spans="1:12" ht="13.5" hidden="1" x14ac:dyDescent="0.25">
      <c r="A28" s="18"/>
      <c r="B28" s="24" t="str">
        <f>IFERROR(VLOOKUP($H28,'[3]EMP PLANTA'!$A$2:$F$500,2,0),"")</f>
        <v/>
      </c>
      <c r="C28" s="19">
        <f t="shared" si="3"/>
        <v>0</v>
      </c>
      <c r="D28" s="20" t="str">
        <f>IFERROR(VLOOKUP($H28,'[3]EMP PLANTA'!$A$2:$F$500,5,0),"")</f>
        <v/>
      </c>
      <c r="E28" s="20" t="str">
        <f>IFERROR(VLOOKUP($H28,'[3]EMP PLANTA'!$A$2:$F$500,6,0),"")</f>
        <v/>
      </c>
      <c r="F28" s="20" t="str">
        <f t="shared" si="4"/>
        <v/>
      </c>
      <c r="G28" s="21" t="str">
        <f t="shared" si="5"/>
        <v/>
      </c>
      <c r="H28" s="25"/>
      <c r="I28" s="25"/>
      <c r="J28" s="23"/>
      <c r="K28" s="26"/>
      <c r="L28" s="27"/>
    </row>
    <row r="29" spans="1:12" ht="13.5" hidden="1" x14ac:dyDescent="0.25">
      <c r="A29" s="18"/>
      <c r="B29" s="24" t="str">
        <f>IFERROR(VLOOKUP($H29,'[3]EMP PLANTA'!$A$2:$F$500,2,0),"")</f>
        <v/>
      </c>
      <c r="C29" s="19">
        <f t="shared" si="3"/>
        <v>0</v>
      </c>
      <c r="D29" s="20" t="str">
        <f>IFERROR(VLOOKUP($H29,'[3]EMP PLANTA'!$A$2:$F$500,5,0),"")</f>
        <v/>
      </c>
      <c r="E29" s="20" t="str">
        <f>IFERROR(VLOOKUP($H29,'[3]EMP PLANTA'!$A$2:$F$500,6,0),"")</f>
        <v/>
      </c>
      <c r="F29" s="20" t="str">
        <f t="shared" si="4"/>
        <v/>
      </c>
      <c r="G29" s="21" t="str">
        <f t="shared" si="5"/>
        <v/>
      </c>
      <c r="H29" s="25"/>
      <c r="I29" s="25"/>
      <c r="J29" s="23"/>
    </row>
    <row r="30" spans="1:12" ht="14.25" thickBot="1" x14ac:dyDescent="0.3">
      <c r="A30" s="18"/>
      <c r="B30" s="24"/>
      <c r="C30" s="19"/>
      <c r="D30" s="20"/>
      <c r="E30" s="20"/>
      <c r="F30" s="20"/>
      <c r="G30" s="21"/>
      <c r="H30" s="25"/>
      <c r="I30" s="25"/>
      <c r="J30" s="23"/>
    </row>
    <row r="31" spans="1:12" ht="26.25" thickBot="1" x14ac:dyDescent="0.25">
      <c r="A31" s="13" t="s">
        <v>56</v>
      </c>
      <c r="B31" s="14" t="s">
        <v>64</v>
      </c>
      <c r="C31" s="14" t="s">
        <v>56</v>
      </c>
      <c r="D31" s="15" t="s">
        <v>58</v>
      </c>
      <c r="E31" s="15" t="s">
        <v>59</v>
      </c>
      <c r="F31" s="15" t="s">
        <v>60</v>
      </c>
      <c r="G31" s="15" t="s">
        <v>61</v>
      </c>
      <c r="H31" s="16" t="s">
        <v>62</v>
      </c>
      <c r="I31" s="17"/>
      <c r="J31" s="23"/>
    </row>
    <row r="32" spans="1:12" ht="13.5" x14ac:dyDescent="0.25">
      <c r="A32" s="18">
        <f>+A17</f>
        <v>40000</v>
      </c>
      <c r="B32" s="24" t="s">
        <v>41</v>
      </c>
      <c r="C32" s="19">
        <f>+A32</f>
        <v>40000</v>
      </c>
      <c r="D32" s="20" t="s">
        <v>65</v>
      </c>
      <c r="E32" s="20">
        <f>+'[4]COSTEO ROSQUETE'!$E$32</f>
        <v>0</v>
      </c>
      <c r="F32" s="20">
        <f>IFERROR(E32*C32,"")</f>
        <v>0</v>
      </c>
      <c r="G32" s="21">
        <f>IFERROR(F32/$F$58,"")</f>
        <v>0</v>
      </c>
      <c r="H32" s="25" t="s">
        <v>40</v>
      </c>
      <c r="I32" s="25"/>
      <c r="J32" s="23"/>
    </row>
    <row r="33" spans="1:17" ht="13.5" x14ac:dyDescent="0.25">
      <c r="A33" s="18">
        <f>+A18</f>
        <v>1651</v>
      </c>
      <c r="B33" s="24" t="s">
        <v>125</v>
      </c>
      <c r="C33" s="19">
        <f>+A33</f>
        <v>1651</v>
      </c>
      <c r="D33" s="20" t="s">
        <v>65</v>
      </c>
      <c r="E33" s="20">
        <f>IFERROR(VLOOKUP($H33,[3]SEMIELABORADOS!$A$1:$J$999,8,0),"")</f>
        <v>1.1341300671140942E-2</v>
      </c>
      <c r="F33" s="20">
        <f>IFERROR(E33*C33,"")</f>
        <v>18.724487408053694</v>
      </c>
      <c r="G33" s="21">
        <f>IFERROR(F33/$F$58,"")</f>
        <v>8.5111306400244054E-3</v>
      </c>
      <c r="H33" s="25" t="s">
        <v>42</v>
      </c>
      <c r="I33" s="25"/>
      <c r="J33" s="23"/>
    </row>
    <row r="34" spans="1:17" ht="13.5" hidden="1" x14ac:dyDescent="0.25">
      <c r="A34" s="18">
        <f>+A19</f>
        <v>0</v>
      </c>
      <c r="B34" s="24"/>
      <c r="C34" s="19">
        <f>+A34</f>
        <v>0</v>
      </c>
      <c r="D34" s="20" t="s">
        <v>65</v>
      </c>
      <c r="E34" s="20" t="str">
        <f>IFERROR(VLOOKUP($H34,[3]SEMIELABORADOS!$A$1:$J$999,8,0),"")</f>
        <v/>
      </c>
      <c r="F34" s="20" t="str">
        <f>IFERROR(E34*C34,"")</f>
        <v/>
      </c>
      <c r="G34" s="21" t="str">
        <f>IFERROR(F34/$F$58,"")</f>
        <v/>
      </c>
      <c r="H34" s="25"/>
      <c r="I34" s="25"/>
      <c r="J34" s="23"/>
    </row>
    <row r="35" spans="1:17" ht="13.5" hidden="1" x14ac:dyDescent="0.25">
      <c r="A35" s="18">
        <f>+A20</f>
        <v>0</v>
      </c>
      <c r="B35" s="24"/>
      <c r="C35" s="19">
        <f>+A35</f>
        <v>0</v>
      </c>
      <c r="D35" s="20" t="s">
        <v>65</v>
      </c>
      <c r="E35" s="20" t="str">
        <f>IFERROR(VLOOKUP($H35,[3]SEMIELABORADOS!$A$1:$J$999,8,0),"")</f>
        <v/>
      </c>
      <c r="F35" s="20" t="str">
        <f>IFERROR(E35*C35,"")</f>
        <v/>
      </c>
      <c r="G35" s="21" t="str">
        <f>IFERROR(F35/$F$58,"")</f>
        <v/>
      </c>
      <c r="H35" s="25"/>
      <c r="I35" s="25"/>
      <c r="J35" s="23"/>
    </row>
    <row r="36" spans="1:17" ht="13.5" hidden="1" x14ac:dyDescent="0.25">
      <c r="A36" s="18">
        <f>+A21</f>
        <v>0</v>
      </c>
      <c r="B36" s="24"/>
      <c r="C36" s="19">
        <f>+A36</f>
        <v>0</v>
      </c>
      <c r="D36" s="20" t="s">
        <v>65</v>
      </c>
      <c r="E36" s="20" t="str">
        <f>IFERROR(VLOOKUP($H36,[3]SEMIELABORADOS!$A$1:$J$999,8,0),"")</f>
        <v/>
      </c>
      <c r="F36" s="20" t="str">
        <f>IFERROR(E36*C36,"")</f>
        <v/>
      </c>
      <c r="G36" s="21" t="str">
        <f>IFERROR(F36/$F$58,"")</f>
        <v/>
      </c>
      <c r="H36" s="25"/>
      <c r="I36" s="25"/>
      <c r="J36" s="23"/>
    </row>
    <row r="37" spans="1:17" ht="14.25" thickBot="1" x14ac:dyDescent="0.3">
      <c r="A37" s="18"/>
      <c r="B37" s="24"/>
      <c r="C37" s="19"/>
      <c r="D37" s="20"/>
      <c r="E37" s="20"/>
      <c r="F37" s="20"/>
      <c r="G37" s="21"/>
      <c r="H37" s="25"/>
      <c r="I37" s="25"/>
      <c r="J37" s="23"/>
    </row>
    <row r="38" spans="1:17" ht="26.25" thickBot="1" x14ac:dyDescent="0.25">
      <c r="A38" s="13" t="s">
        <v>56</v>
      </c>
      <c r="B38" s="14" t="s">
        <v>66</v>
      </c>
      <c r="C38" s="14" t="s">
        <v>56</v>
      </c>
      <c r="D38" s="14"/>
      <c r="E38" s="15" t="s">
        <v>59</v>
      </c>
      <c r="F38" s="15" t="s">
        <v>60</v>
      </c>
      <c r="G38" s="15" t="s">
        <v>61</v>
      </c>
      <c r="H38" s="16" t="s">
        <v>62</v>
      </c>
      <c r="I38" s="17"/>
      <c r="J38" s="23"/>
    </row>
    <row r="39" spans="1:17" ht="13.5" x14ac:dyDescent="0.25">
      <c r="A39" s="18">
        <f>+A17</f>
        <v>40000</v>
      </c>
      <c r="B39" s="28" t="s">
        <v>41</v>
      </c>
      <c r="C39" s="19">
        <f t="shared" ref="C39:C44" si="6">+A39</f>
        <v>40000</v>
      </c>
      <c r="D39" s="19" t="s">
        <v>65</v>
      </c>
      <c r="E39" s="20">
        <f>+'[4]COSTEO ROSQUETE'!$E$39</f>
        <v>0.02</v>
      </c>
      <c r="F39" s="20">
        <f t="shared" ref="F39:F44" si="7">IFERROR(C39*E39,"")</f>
        <v>800</v>
      </c>
      <c r="G39" s="21">
        <f t="shared" ref="G39:G44" si="8">IFERROR(F39/$F$59,"")</f>
        <v>8.4160069637300161E-3</v>
      </c>
      <c r="H39" s="29" t="s">
        <v>40</v>
      </c>
      <c r="I39" s="29"/>
      <c r="J39" s="23"/>
    </row>
    <row r="40" spans="1:17" ht="13.5" x14ac:dyDescent="0.25">
      <c r="A40" s="18">
        <f>+A18</f>
        <v>1651</v>
      </c>
      <c r="B40" s="28" t="s">
        <v>125</v>
      </c>
      <c r="C40" s="19">
        <f t="shared" si="6"/>
        <v>1651</v>
      </c>
      <c r="D40" s="19" t="s">
        <v>65</v>
      </c>
      <c r="E40" s="20">
        <f>IFERROR(VLOOKUP($H40,[3]SEMIELABORADOS!$A$1:$J$999,10,0),"")</f>
        <v>5.5369127516778527E-2</v>
      </c>
      <c r="F40" s="20">
        <f t="shared" si="7"/>
        <v>91.414429530201346</v>
      </c>
      <c r="G40" s="21">
        <f t="shared" si="8"/>
        <v>9.6168059438947668E-4</v>
      </c>
      <c r="H40" s="29" t="s">
        <v>42</v>
      </c>
      <c r="I40" s="29"/>
      <c r="J40" s="23"/>
    </row>
    <row r="41" spans="1:17" ht="13.5" hidden="1" x14ac:dyDescent="0.25">
      <c r="A41" s="18">
        <f>+A19</f>
        <v>0</v>
      </c>
      <c r="B41" s="28"/>
      <c r="C41" s="19">
        <f t="shared" si="6"/>
        <v>0</v>
      </c>
      <c r="D41" s="19" t="s">
        <v>65</v>
      </c>
      <c r="E41" s="20" t="str">
        <f>IFERROR(VLOOKUP($H41,[3]SEMIELABORADOS!$A$1:$J$999,10,0),"")</f>
        <v/>
      </c>
      <c r="F41" s="20" t="str">
        <f t="shared" si="7"/>
        <v/>
      </c>
      <c r="G41" s="21" t="str">
        <f t="shared" si="8"/>
        <v/>
      </c>
      <c r="H41" s="29"/>
      <c r="I41" s="29"/>
      <c r="J41" s="23"/>
    </row>
    <row r="42" spans="1:17" ht="13.5" hidden="1" x14ac:dyDescent="0.25">
      <c r="A42" s="18">
        <f>+A20</f>
        <v>0</v>
      </c>
      <c r="B42" s="28"/>
      <c r="C42" s="19">
        <f t="shared" si="6"/>
        <v>0</v>
      </c>
      <c r="D42" s="19" t="s">
        <v>65</v>
      </c>
      <c r="E42" s="20" t="str">
        <f>IFERROR(VLOOKUP($H42,[3]SEMIELABORADOS!$A$1:$J$999,10,0),"")</f>
        <v/>
      </c>
      <c r="F42" s="20" t="str">
        <f t="shared" si="7"/>
        <v/>
      </c>
      <c r="G42" s="21" t="str">
        <f t="shared" si="8"/>
        <v/>
      </c>
      <c r="H42" s="29"/>
      <c r="I42" s="29"/>
      <c r="J42" s="23"/>
    </row>
    <row r="43" spans="1:17" ht="13.5" hidden="1" x14ac:dyDescent="0.25">
      <c r="A43" s="18">
        <f>+A21</f>
        <v>0</v>
      </c>
      <c r="B43" s="28"/>
      <c r="C43" s="19">
        <f t="shared" si="6"/>
        <v>0</v>
      </c>
      <c r="D43" s="19" t="s">
        <v>65</v>
      </c>
      <c r="E43" s="20" t="str">
        <f>IFERROR(VLOOKUP($H43,[3]SEMIELABORADOS!$A$1:$J$999,10,0),"")</f>
        <v/>
      </c>
      <c r="F43" s="20" t="str">
        <f t="shared" si="7"/>
        <v/>
      </c>
      <c r="G43" s="21" t="str">
        <f t="shared" si="8"/>
        <v/>
      </c>
      <c r="H43" s="29"/>
      <c r="I43" s="29"/>
      <c r="J43" s="23"/>
    </row>
    <row r="44" spans="1:17" ht="13.5" x14ac:dyDescent="0.25">
      <c r="A44" s="18">
        <v>1</v>
      </c>
      <c r="B44" s="24" t="s">
        <v>67</v>
      </c>
      <c r="C44" s="19">
        <f t="shared" si="6"/>
        <v>1</v>
      </c>
      <c r="D44" s="19" t="s">
        <v>65</v>
      </c>
      <c r="E44" s="20">
        <f>+F58</f>
        <v>2200</v>
      </c>
      <c r="F44" s="20">
        <f t="shared" si="7"/>
        <v>2200</v>
      </c>
      <c r="G44" s="21">
        <f t="shared" si="8"/>
        <v>2.3144019150257544E-2</v>
      </c>
      <c r="H44" s="29"/>
      <c r="I44" s="29"/>
      <c r="J44" s="23"/>
    </row>
    <row r="45" spans="1:17" ht="14.25" thickBot="1" x14ac:dyDescent="0.3">
      <c r="A45" s="18"/>
      <c r="B45" s="24"/>
      <c r="C45" s="19"/>
      <c r="D45" s="19"/>
      <c r="E45" s="20"/>
      <c r="F45" s="20"/>
      <c r="G45" s="21"/>
      <c r="H45" s="29"/>
      <c r="I45" s="29"/>
      <c r="J45" s="23"/>
    </row>
    <row r="46" spans="1:17" ht="13.5" thickBot="1" x14ac:dyDescent="0.25">
      <c r="A46" s="30"/>
      <c r="B46" s="231" t="s">
        <v>68</v>
      </c>
      <c r="C46" s="231"/>
      <c r="D46" s="231"/>
      <c r="E46" s="231"/>
      <c r="F46" s="32">
        <f>SUM(F8:F14,F17:F21)</f>
        <v>90569.392538484026</v>
      </c>
      <c r="G46" s="21">
        <f>+F46/$F$59</f>
        <v>0.95279079788084864</v>
      </c>
      <c r="H46" s="33">
        <f>+F46/$D$53</f>
        <v>879.31449066489347</v>
      </c>
      <c r="I46" s="33"/>
      <c r="J46" s="34"/>
      <c r="K46" s="35"/>
      <c r="L46" s="35"/>
      <c r="M46" s="35"/>
      <c r="N46" s="35"/>
      <c r="O46" s="35"/>
      <c r="P46" s="35"/>
      <c r="Q46" s="36"/>
    </row>
    <row r="47" spans="1:17" x14ac:dyDescent="0.2">
      <c r="A47" s="30"/>
      <c r="B47" s="231" t="s">
        <v>69</v>
      </c>
      <c r="C47" s="231"/>
      <c r="D47" s="231"/>
      <c r="E47" s="231"/>
      <c r="F47" s="32">
        <f>SUM(F24:F29,F32:F36)</f>
        <v>476.17517740805368</v>
      </c>
      <c r="G47" s="21">
        <f>+F47/$F$59</f>
        <v>5.0093670112769445E-3</v>
      </c>
      <c r="H47" s="33">
        <f>+F47/$D$53</f>
        <v>4.6230599748354724</v>
      </c>
      <c r="I47" s="33"/>
      <c r="J47" s="37"/>
      <c r="K47" s="243" t="s">
        <v>70</v>
      </c>
      <c r="L47" s="244"/>
      <c r="M47" s="244"/>
      <c r="N47" s="244"/>
      <c r="O47" s="38">
        <f>+F48</f>
        <v>91045.567715892073</v>
      </c>
      <c r="P47" s="38"/>
      <c r="Q47" s="39"/>
    </row>
    <row r="48" spans="1:17" x14ac:dyDescent="0.2">
      <c r="A48" s="30"/>
      <c r="B48" s="231" t="s">
        <v>71</v>
      </c>
      <c r="C48" s="231"/>
      <c r="D48" s="231"/>
      <c r="E48" s="231"/>
      <c r="F48" s="32">
        <f>+F46+F47</f>
        <v>91045.567715892073</v>
      </c>
      <c r="G48" s="21">
        <f>+F48/$F$59</f>
        <v>0.95780016489212549</v>
      </c>
      <c r="H48" s="33">
        <f>+F48/$D$53</f>
        <v>883.9375506397289</v>
      </c>
      <c r="I48" s="33"/>
      <c r="J48" s="40"/>
      <c r="K48" s="41"/>
      <c r="L48" s="233" t="s">
        <v>72</v>
      </c>
      <c r="M48" s="233"/>
      <c r="N48" s="233"/>
      <c r="O48" s="38">
        <f>+F49</f>
        <v>3091.4144295302012</v>
      </c>
      <c r="P48" s="38"/>
      <c r="Q48" s="39"/>
    </row>
    <row r="49" spans="1:17" ht="13.5" thickBot="1" x14ac:dyDescent="0.25">
      <c r="A49" s="30"/>
      <c r="B49" s="31"/>
      <c r="C49" s="231" t="s">
        <v>73</v>
      </c>
      <c r="D49" s="231"/>
      <c r="E49" s="231"/>
      <c r="F49" s="32">
        <f>SUM(F39:F44)</f>
        <v>3091.4144295302012</v>
      </c>
      <c r="G49" s="21">
        <f>+F49/$F$59</f>
        <v>3.2521706708377035E-2</v>
      </c>
      <c r="H49" s="33">
        <f>+F49/$D$53</f>
        <v>30.013732325535933</v>
      </c>
      <c r="I49" s="33"/>
      <c r="J49" s="40"/>
      <c r="K49" s="41"/>
      <c r="L49" s="41"/>
      <c r="M49" s="41" t="s">
        <v>74</v>
      </c>
      <c r="N49" s="42">
        <v>0.01</v>
      </c>
      <c r="O49" s="38">
        <f>O47*N49</f>
        <v>910.45567715892071</v>
      </c>
      <c r="P49" s="38"/>
      <c r="Q49" s="39"/>
    </row>
    <row r="50" spans="1:17" ht="13.5" thickBot="1" x14ac:dyDescent="0.25">
      <c r="A50" s="30"/>
      <c r="B50" s="43"/>
      <c r="C50" s="43"/>
      <c r="D50" s="43"/>
      <c r="E50" s="43"/>
      <c r="F50" s="44"/>
      <c r="G50" s="21"/>
      <c r="H50" s="45"/>
      <c r="I50" s="33"/>
      <c r="J50" s="40"/>
      <c r="K50" s="46"/>
      <c r="M50" s="47" t="s">
        <v>75</v>
      </c>
      <c r="N50" s="48"/>
      <c r="O50" s="49">
        <f>SUM(O47:O49)</f>
        <v>95047.437822581196</v>
      </c>
      <c r="P50" s="50"/>
      <c r="Q50" s="39"/>
    </row>
    <row r="51" spans="1:17" x14ac:dyDescent="0.2">
      <c r="B51" s="232" t="s">
        <v>76</v>
      </c>
      <c r="C51" s="232"/>
      <c r="D51" s="51">
        <v>39140</v>
      </c>
      <c r="E51" s="52"/>
      <c r="G51" s="21"/>
      <c r="H51" s="45"/>
      <c r="I51" s="53"/>
      <c r="J51" s="40"/>
      <c r="K51" s="46"/>
      <c r="L51" s="41"/>
      <c r="M51" s="41" t="s">
        <v>77</v>
      </c>
      <c r="N51" s="54">
        <v>0.25</v>
      </c>
      <c r="O51" s="38">
        <f>+O50*N51</f>
        <v>23761.859455645299</v>
      </c>
      <c r="P51" s="38"/>
      <c r="Q51" s="39"/>
    </row>
    <row r="52" spans="1:17" x14ac:dyDescent="0.2">
      <c r="B52" s="232" t="s">
        <v>78</v>
      </c>
      <c r="C52" s="232"/>
      <c r="D52" s="55">
        <v>380</v>
      </c>
      <c r="E52" s="52"/>
      <c r="G52" s="21"/>
      <c r="H52" s="45"/>
      <c r="I52" s="53"/>
      <c r="J52" s="40"/>
      <c r="K52" s="46"/>
      <c r="L52" s="41"/>
      <c r="M52" s="233" t="s">
        <v>75</v>
      </c>
      <c r="N52" s="233"/>
      <c r="O52" s="38">
        <f>SUM(O50:O51)</f>
        <v>118809.2972782265</v>
      </c>
      <c r="P52" s="38"/>
      <c r="Q52" s="39"/>
    </row>
    <row r="53" spans="1:17" ht="13.5" thickBot="1" x14ac:dyDescent="0.25">
      <c r="B53" s="234" t="s">
        <v>79</v>
      </c>
      <c r="C53" s="234"/>
      <c r="D53" s="51">
        <f>+D51/D52</f>
        <v>103</v>
      </c>
      <c r="E53" s="52"/>
      <c r="F53" s="56"/>
      <c r="G53" s="21"/>
      <c r="H53" s="45"/>
      <c r="I53" s="53"/>
      <c r="J53" s="40"/>
      <c r="K53" s="46"/>
      <c r="L53" s="233" t="s">
        <v>80</v>
      </c>
      <c r="M53" s="233"/>
      <c r="N53" s="54">
        <v>0.05</v>
      </c>
      <c r="O53" s="38">
        <f>+O52*N53</f>
        <v>5940.4648639113257</v>
      </c>
      <c r="P53" s="38"/>
      <c r="Q53" s="39"/>
    </row>
    <row r="54" spans="1:17" ht="13.5" thickBot="1" x14ac:dyDescent="0.25">
      <c r="B54" s="234" t="s">
        <v>81</v>
      </c>
      <c r="C54" s="234"/>
      <c r="D54" s="57" t="s">
        <v>126</v>
      </c>
      <c r="E54" s="52"/>
      <c r="F54" s="56"/>
      <c r="G54" s="21"/>
      <c r="H54" s="45"/>
      <c r="I54" s="53"/>
      <c r="J54" s="40"/>
      <c r="K54" s="235" t="s">
        <v>82</v>
      </c>
      <c r="L54" s="236"/>
      <c r="M54" s="236"/>
      <c r="N54" s="237"/>
      <c r="O54" s="49">
        <f>SUM(O52:O53)</f>
        <v>124749.76214213783</v>
      </c>
      <c r="P54" s="58" t="s">
        <v>83</v>
      </c>
      <c r="Q54" s="39"/>
    </row>
    <row r="55" spans="1:17" ht="13.5" thickBot="1" x14ac:dyDescent="0.25">
      <c r="C55" s="30" t="s">
        <v>84</v>
      </c>
      <c r="D55" s="59"/>
      <c r="E55" s="4" t="s">
        <v>85</v>
      </c>
      <c r="F55" s="60" t="s">
        <v>86</v>
      </c>
      <c r="G55" s="21"/>
      <c r="H55" s="45"/>
      <c r="I55" s="53"/>
      <c r="J55" s="61"/>
      <c r="K55" s="62"/>
      <c r="L55" s="238" t="s">
        <v>87</v>
      </c>
      <c r="M55" s="238"/>
      <c r="N55" s="238"/>
      <c r="O55" s="63">
        <f>+O54/D53</f>
        <v>1211.1627392440566</v>
      </c>
      <c r="P55" s="64">
        <f>+O55/D52</f>
        <v>3.1872703664317279</v>
      </c>
      <c r="Q55" s="65"/>
    </row>
    <row r="56" spans="1:17" ht="13.5" thickBot="1" x14ac:dyDescent="0.25">
      <c r="B56" s="239" t="s">
        <v>71</v>
      </c>
      <c r="C56" s="239"/>
      <c r="D56" s="239"/>
      <c r="E56" s="66">
        <f>+F56/F56</f>
        <v>1</v>
      </c>
      <c r="F56" s="67">
        <f>SUM(F48)</f>
        <v>91045.567715892073</v>
      </c>
      <c r="G56" s="21">
        <f>+F56/$F$59</f>
        <v>0.95780016489212549</v>
      </c>
      <c r="H56" s="45"/>
      <c r="I56" s="53"/>
      <c r="K56" s="240"/>
      <c r="L56" s="241"/>
      <c r="M56" s="241"/>
      <c r="N56" s="241"/>
      <c r="O56" s="68"/>
      <c r="P56" s="69"/>
    </row>
    <row r="57" spans="1:17" ht="13.5" thickBot="1" x14ac:dyDescent="0.25">
      <c r="B57" s="230" t="s">
        <v>88</v>
      </c>
      <c r="C57" s="230"/>
      <c r="D57" s="230"/>
      <c r="E57" s="70">
        <v>0.02</v>
      </c>
      <c r="F57" s="67">
        <f>+F46*E57</f>
        <v>1811.3878507696807</v>
      </c>
      <c r="G57" s="21">
        <f>+F57/$F$59</f>
        <v>1.9055815957616972E-2</v>
      </c>
      <c r="H57" s="33"/>
      <c r="I57" s="53"/>
      <c r="J57" s="71"/>
      <c r="O57" s="72"/>
      <c r="P57" s="31"/>
    </row>
    <row r="58" spans="1:17" ht="13.5" thickBot="1" x14ac:dyDescent="0.25">
      <c r="B58" s="220" t="s">
        <v>89</v>
      </c>
      <c r="C58" s="221"/>
      <c r="D58" s="73">
        <v>40</v>
      </c>
      <c r="E58" s="74">
        <v>55</v>
      </c>
      <c r="F58" s="67">
        <f>+E58*D58</f>
        <v>2200</v>
      </c>
      <c r="G58" s="21">
        <f>+F58/$F$59</f>
        <v>2.3144019150257544E-2</v>
      </c>
      <c r="H58" s="33"/>
      <c r="I58" s="33"/>
      <c r="J58" s="23"/>
    </row>
    <row r="59" spans="1:17" ht="13.5" thickBot="1" x14ac:dyDescent="0.25">
      <c r="B59" s="222" t="s">
        <v>90</v>
      </c>
      <c r="C59" s="223"/>
      <c r="D59" s="223"/>
      <c r="E59" s="224"/>
      <c r="F59" s="44">
        <f>SUM(F56:F58)</f>
        <v>95056.955566661753</v>
      </c>
      <c r="G59" s="21">
        <f>+F59/$F$59</f>
        <v>1</v>
      </c>
      <c r="H59" s="225"/>
      <c r="I59" s="33"/>
      <c r="J59" s="23"/>
    </row>
    <row r="60" spans="1:17" x14ac:dyDescent="0.2">
      <c r="C60" s="76"/>
      <c r="D60" s="76"/>
      <c r="E60" s="77"/>
      <c r="F60" s="67"/>
      <c r="G60" s="21"/>
      <c r="H60" s="225"/>
      <c r="I60" s="75"/>
      <c r="J60" s="6"/>
    </row>
    <row r="61" spans="1:17" ht="13.5" thickBot="1" x14ac:dyDescent="0.25">
      <c r="B61" s="226" t="s">
        <v>91</v>
      </c>
      <c r="C61" s="226"/>
      <c r="D61" s="226"/>
      <c r="E61" s="226"/>
      <c r="F61" s="226"/>
      <c r="G61" s="21"/>
      <c r="H61" s="79"/>
      <c r="I61" s="75"/>
      <c r="J61" s="6"/>
    </row>
    <row r="62" spans="1:17" ht="13.5" thickBot="1" x14ac:dyDescent="0.25">
      <c r="B62" s="80" t="s">
        <v>92</v>
      </c>
      <c r="C62" s="81">
        <f>+F46</f>
        <v>90569.392538484026</v>
      </c>
      <c r="D62" s="81">
        <f>+D51</f>
        <v>39140</v>
      </c>
      <c r="E62" s="82">
        <f>+C62/D62</f>
        <v>2.3139855017497197</v>
      </c>
      <c r="F62" s="21"/>
      <c r="G62" s="79"/>
      <c r="H62" s="23"/>
      <c r="I62" s="79"/>
      <c r="J62" s="6"/>
    </row>
    <row r="63" spans="1:17" x14ac:dyDescent="0.2">
      <c r="B63" s="83"/>
      <c r="C63" s="84"/>
      <c r="D63" s="85"/>
      <c r="E63" s="67"/>
      <c r="F63" s="21"/>
      <c r="G63" s="79"/>
      <c r="H63" s="23"/>
      <c r="I63" s="23"/>
      <c r="J63" s="6"/>
    </row>
    <row r="64" spans="1:17" x14ac:dyDescent="0.2">
      <c r="B64" s="80" t="s">
        <v>93</v>
      </c>
      <c r="C64" s="81">
        <f>SUM(F56:F57)</f>
        <v>92856.955566661753</v>
      </c>
      <c r="D64" s="81">
        <f>+D51</f>
        <v>39140</v>
      </c>
      <c r="E64" s="86">
        <f>+C64/D64</f>
        <v>2.3724311590869123</v>
      </c>
      <c r="F64" s="21"/>
      <c r="G64" s="79"/>
      <c r="H64" s="23"/>
      <c r="I64" s="23"/>
      <c r="J64" s="6"/>
    </row>
    <row r="65" spans="2:10" x14ac:dyDescent="0.2">
      <c r="B65" s="80"/>
      <c r="C65" s="81"/>
      <c r="D65" s="81"/>
      <c r="E65" s="86"/>
      <c r="F65" s="21"/>
      <c r="G65" s="79"/>
      <c r="H65" s="23"/>
      <c r="I65" s="23"/>
      <c r="J65" s="6"/>
    </row>
    <row r="66" spans="2:10" ht="13.5" thickBot="1" x14ac:dyDescent="0.25">
      <c r="B66" s="80" t="s">
        <v>94</v>
      </c>
      <c r="C66" s="81">
        <f>+F58</f>
        <v>2200</v>
      </c>
      <c r="D66" s="81">
        <f>+D51</f>
        <v>39140</v>
      </c>
      <c r="E66" s="86">
        <f>+C66/D66</f>
        <v>5.6208482370975983E-2</v>
      </c>
      <c r="F66" s="21"/>
      <c r="G66" s="79"/>
      <c r="H66" s="23"/>
      <c r="I66" s="23"/>
      <c r="J66" s="6"/>
    </row>
    <row r="67" spans="2:10" ht="13.5" thickBot="1" x14ac:dyDescent="0.25">
      <c r="B67" s="80" t="s">
        <v>95</v>
      </c>
      <c r="C67" s="81">
        <f>+F49</f>
        <v>3091.4144295302012</v>
      </c>
      <c r="D67" s="81">
        <f>+D66</f>
        <v>39140</v>
      </c>
      <c r="E67" s="82">
        <f>+C67/D67</f>
        <v>7.8983506119831404E-2</v>
      </c>
      <c r="F67" s="21"/>
      <c r="G67" s="79"/>
      <c r="H67" s="23"/>
      <c r="I67" s="23"/>
      <c r="J67" s="6"/>
    </row>
    <row r="68" spans="2:10" ht="13.5" thickBot="1" x14ac:dyDescent="0.25">
      <c r="B68" s="43"/>
      <c r="C68" s="44"/>
      <c r="D68" s="44"/>
      <c r="E68" s="86"/>
      <c r="F68" s="21"/>
      <c r="G68" s="79"/>
      <c r="H68" s="23"/>
      <c r="I68" s="23"/>
      <c r="J68" s="6"/>
    </row>
    <row r="69" spans="2:10" ht="13.5" thickBot="1" x14ac:dyDescent="0.25">
      <c r="B69" s="80" t="s">
        <v>96</v>
      </c>
      <c r="C69" s="81">
        <f>+F47</f>
        <v>476.17517740805368</v>
      </c>
      <c r="D69" s="81">
        <f>+D67</f>
        <v>39140</v>
      </c>
      <c r="E69" s="82">
        <f>+C69/D69</f>
        <v>1.2165947302198611E-2</v>
      </c>
      <c r="F69" s="21"/>
      <c r="G69" s="79"/>
      <c r="H69" s="23"/>
      <c r="I69" s="23"/>
      <c r="J69" s="23"/>
    </row>
    <row r="70" spans="2:10" ht="13.5" thickBot="1" x14ac:dyDescent="0.25">
      <c r="B70" s="43"/>
      <c r="C70" s="44"/>
      <c r="D70" s="44"/>
      <c r="E70" s="86"/>
      <c r="F70" s="21"/>
      <c r="G70" s="79"/>
      <c r="H70" s="23"/>
      <c r="I70" s="23"/>
    </row>
    <row r="71" spans="2:10" ht="13.5" thickBot="1" x14ac:dyDescent="0.25">
      <c r="B71" s="227" t="s">
        <v>97</v>
      </c>
      <c r="C71" s="228"/>
      <c r="D71" s="229"/>
      <c r="E71" s="82">
        <f>+E62+E67</f>
        <v>2.3929690078695511</v>
      </c>
      <c r="G71" s="21"/>
      <c r="H71" s="79"/>
      <c r="I71" s="23"/>
      <c r="J71" s="86"/>
    </row>
    <row r="72" spans="2:10" x14ac:dyDescent="0.2">
      <c r="I72" s="79"/>
      <c r="J72" s="6"/>
    </row>
    <row r="73" spans="2:10" ht="13.5" thickBot="1" x14ac:dyDescent="0.25">
      <c r="B73" s="226" t="s">
        <v>98</v>
      </c>
      <c r="C73" s="226"/>
      <c r="D73" s="226"/>
      <c r="E73" s="226"/>
      <c r="F73" s="226"/>
      <c r="G73" s="21"/>
      <c r="H73" s="79"/>
      <c r="J73" s="6"/>
    </row>
    <row r="74" spans="2:10" ht="13.5" thickBot="1" x14ac:dyDescent="0.25">
      <c r="B74" s="80" t="s">
        <v>92</v>
      </c>
      <c r="C74" s="81">
        <f>+C62</f>
        <v>90569.392538484026</v>
      </c>
      <c r="D74" s="81">
        <f>+D53</f>
        <v>103</v>
      </c>
      <c r="E74" s="82">
        <f>+C74/D74</f>
        <v>879.31449066489347</v>
      </c>
      <c r="F74" s="21"/>
      <c r="G74" s="79"/>
      <c r="H74" s="23"/>
      <c r="I74" s="79"/>
      <c r="J74" s="6"/>
    </row>
    <row r="75" spans="2:10" x14ac:dyDescent="0.2">
      <c r="B75" s="83"/>
      <c r="C75" s="84"/>
      <c r="D75" s="85"/>
      <c r="E75" s="67"/>
      <c r="F75" s="21"/>
      <c r="G75" s="79"/>
      <c r="H75" s="23"/>
      <c r="I75" s="23"/>
      <c r="J75" s="6"/>
    </row>
    <row r="76" spans="2:10" x14ac:dyDescent="0.2">
      <c r="B76" s="80" t="s">
        <v>93</v>
      </c>
      <c r="C76" s="81">
        <f>+C64</f>
        <v>92856.955566661753</v>
      </c>
      <c r="D76" s="81">
        <f>+D53</f>
        <v>103</v>
      </c>
      <c r="E76" s="86">
        <f>+C76/D76</f>
        <v>901.52384045302676</v>
      </c>
      <c r="F76" s="21"/>
      <c r="G76" s="79"/>
      <c r="H76" s="23"/>
      <c r="I76" s="23"/>
      <c r="J76" s="6"/>
    </row>
    <row r="77" spans="2:10" x14ac:dyDescent="0.2">
      <c r="B77" s="80"/>
      <c r="C77" s="81"/>
      <c r="D77" s="81"/>
      <c r="E77" s="86"/>
      <c r="F77" s="21"/>
      <c r="G77" s="79"/>
      <c r="H77" s="23"/>
      <c r="I77" s="23"/>
      <c r="J77" s="6"/>
    </row>
    <row r="78" spans="2:10" ht="13.5" thickBot="1" x14ac:dyDescent="0.25">
      <c r="B78" s="80" t="s">
        <v>95</v>
      </c>
      <c r="C78" s="81">
        <f>+C66</f>
        <v>2200</v>
      </c>
      <c r="D78" s="81">
        <f>+D53</f>
        <v>103</v>
      </c>
      <c r="E78" s="86">
        <f>+C78/D78</f>
        <v>21.359223300970875</v>
      </c>
      <c r="F78" s="88"/>
      <c r="G78" s="78"/>
      <c r="H78" s="5"/>
      <c r="I78" s="23"/>
    </row>
    <row r="79" spans="2:10" ht="13.5" thickBot="1" x14ac:dyDescent="0.25">
      <c r="B79" s="80" t="s">
        <v>95</v>
      </c>
      <c r="C79" s="81">
        <f>+C67</f>
        <v>3091.4144295302012</v>
      </c>
      <c r="D79" s="81">
        <f>+D78</f>
        <v>103</v>
      </c>
      <c r="E79" s="82">
        <f>+C79/D79</f>
        <v>30.013732325535933</v>
      </c>
      <c r="F79" s="87"/>
      <c r="G79" s="78"/>
      <c r="H79" s="5"/>
      <c r="I79" s="5"/>
    </row>
    <row r="80" spans="2:10" x14ac:dyDescent="0.2">
      <c r="I80" s="5"/>
    </row>
    <row r="81" spans="1:7" x14ac:dyDescent="0.2">
      <c r="A81" s="219"/>
      <c r="B81" s="219"/>
      <c r="C81" s="89"/>
      <c r="D81" s="89"/>
      <c r="E81" s="90"/>
      <c r="G81" s="91"/>
    </row>
    <row r="82" spans="1:7" x14ac:dyDescent="0.2">
      <c r="A82" s="24"/>
      <c r="B82" s="92"/>
      <c r="C82" s="93"/>
      <c r="D82" s="93"/>
      <c r="E82" s="94"/>
      <c r="G82" s="91"/>
    </row>
    <row r="83" spans="1:7" x14ac:dyDescent="0.2">
      <c r="A83" s="24"/>
      <c r="B83" s="92"/>
      <c r="C83" s="95"/>
      <c r="D83" s="95"/>
      <c r="E83" s="24"/>
      <c r="G83" s="91"/>
    </row>
    <row r="84" spans="1:7" x14ac:dyDescent="0.2">
      <c r="A84" s="24"/>
      <c r="B84" s="92"/>
      <c r="C84" s="96"/>
      <c r="D84" s="96"/>
      <c r="E84" s="24"/>
      <c r="G84" s="91"/>
    </row>
  </sheetData>
  <mergeCells count="31">
    <mergeCell ref="K26:L26"/>
    <mergeCell ref="A4:H4"/>
    <mergeCell ref="A5:H5"/>
    <mergeCell ref="F6:G6"/>
    <mergeCell ref="K24:L24"/>
    <mergeCell ref="K25:L25"/>
    <mergeCell ref="K27:L27"/>
    <mergeCell ref="B46:E46"/>
    <mergeCell ref="B47:E47"/>
    <mergeCell ref="K47:N47"/>
    <mergeCell ref="B48:E48"/>
    <mergeCell ref="L48:N48"/>
    <mergeCell ref="B57:D57"/>
    <mergeCell ref="C49:E49"/>
    <mergeCell ref="B51:C51"/>
    <mergeCell ref="B52:C52"/>
    <mergeCell ref="M52:N52"/>
    <mergeCell ref="B53:C53"/>
    <mergeCell ref="L53:M53"/>
    <mergeCell ref="B54:C54"/>
    <mergeCell ref="K54:N54"/>
    <mergeCell ref="L55:N55"/>
    <mergeCell ref="B56:D56"/>
    <mergeCell ref="K56:N56"/>
    <mergeCell ref="A81:B81"/>
    <mergeCell ref="B58:C58"/>
    <mergeCell ref="B59:E59"/>
    <mergeCell ref="H59:H60"/>
    <mergeCell ref="B61:F61"/>
    <mergeCell ref="B71:D71"/>
    <mergeCell ref="B73:F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4CBB-6A0C-41C0-A892-8764C2E01E8D}">
  <sheetPr>
    <pageSetUpPr fitToPage="1"/>
  </sheetPr>
  <dimension ref="A1:I38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5.85546875" customWidth="1"/>
    <col min="2" max="2" width="17.28515625" customWidth="1"/>
    <col min="3" max="3" width="67.85546875" bestFit="1" customWidth="1"/>
    <col min="4" max="4" width="17.5703125" customWidth="1"/>
    <col min="5" max="5" width="18.28515625" customWidth="1"/>
    <col min="7" max="7" width="21.5703125" customWidth="1"/>
    <col min="8" max="8" width="18.7109375" customWidth="1"/>
    <col min="9" max="9" width="22.28515625" bestFit="1" customWidth="1"/>
  </cols>
  <sheetData>
    <row r="1" spans="1:9" ht="17.25" x14ac:dyDescent="0.3">
      <c r="A1" s="268"/>
      <c r="B1" s="269"/>
      <c r="C1" s="274" t="s">
        <v>14</v>
      </c>
      <c r="D1" s="274"/>
      <c r="E1" s="274"/>
      <c r="F1" s="274"/>
      <c r="G1" s="274"/>
      <c r="H1" s="208" t="s">
        <v>15</v>
      </c>
      <c r="I1" s="209" t="s">
        <v>181</v>
      </c>
    </row>
    <row r="2" spans="1:9" ht="18" customHeight="1" thickBot="1" x14ac:dyDescent="0.35">
      <c r="A2" s="270"/>
      <c r="B2" s="271"/>
      <c r="C2" s="275" t="s">
        <v>0</v>
      </c>
      <c r="D2" s="276"/>
      <c r="E2" s="276"/>
      <c r="F2" s="276"/>
      <c r="G2" s="277"/>
      <c r="H2" s="210" t="s">
        <v>16</v>
      </c>
      <c r="I2" s="211" t="s">
        <v>186</v>
      </c>
    </row>
    <row r="3" spans="1:9" ht="28.5" customHeight="1" thickBot="1" x14ac:dyDescent="0.25">
      <c r="A3" s="270"/>
      <c r="B3" s="271"/>
      <c r="C3" s="416" t="s">
        <v>187</v>
      </c>
      <c r="D3" s="417"/>
      <c r="E3" s="417"/>
      <c r="F3" s="417"/>
      <c r="G3" s="418"/>
      <c r="H3" s="278" t="s">
        <v>17</v>
      </c>
      <c r="I3" s="262">
        <v>45613</v>
      </c>
    </row>
    <row r="4" spans="1:9" ht="18" customHeight="1" x14ac:dyDescent="0.3">
      <c r="A4" s="270"/>
      <c r="B4" s="271"/>
      <c r="C4" s="212" t="s">
        <v>18</v>
      </c>
      <c r="D4" s="265" t="s">
        <v>174</v>
      </c>
      <c r="E4" s="266"/>
      <c r="F4" s="266"/>
      <c r="G4" s="267"/>
      <c r="H4" s="279"/>
      <c r="I4" s="263"/>
    </row>
    <row r="5" spans="1:9" ht="18" thickBot="1" x14ac:dyDescent="0.35">
      <c r="A5" s="272"/>
      <c r="B5" s="273"/>
      <c r="C5" s="213" t="s">
        <v>19</v>
      </c>
      <c r="D5" s="250" t="s">
        <v>168</v>
      </c>
      <c r="E5" s="251"/>
      <c r="F5" s="251"/>
      <c r="G5" s="252"/>
      <c r="H5" s="280"/>
      <c r="I5" s="264"/>
    </row>
    <row r="6" spans="1:9" ht="20.25" customHeight="1" thickBot="1" x14ac:dyDescent="0.3">
      <c r="A6" s="253" t="s">
        <v>160</v>
      </c>
      <c r="B6" s="253"/>
      <c r="C6" s="253"/>
      <c r="D6" s="254" t="s">
        <v>23</v>
      </c>
      <c r="E6" s="254"/>
      <c r="F6" s="254"/>
      <c r="G6" s="255" t="s">
        <v>159</v>
      </c>
      <c r="H6" s="255"/>
      <c r="I6" s="214" t="s">
        <v>175</v>
      </c>
    </row>
    <row r="7" spans="1:9" ht="15" x14ac:dyDescent="0.2">
      <c r="A7" s="256" t="s">
        <v>1</v>
      </c>
      <c r="B7" s="258" t="s">
        <v>172</v>
      </c>
      <c r="C7" s="260" t="s">
        <v>20</v>
      </c>
      <c r="D7" s="260" t="s">
        <v>2</v>
      </c>
      <c r="E7" s="260" t="s">
        <v>3</v>
      </c>
      <c r="F7" s="260"/>
      <c r="G7" s="260" t="s">
        <v>21</v>
      </c>
      <c r="H7" s="260"/>
      <c r="I7" s="215" t="s">
        <v>4</v>
      </c>
    </row>
    <row r="8" spans="1:9" ht="30.75" thickBot="1" x14ac:dyDescent="0.25">
      <c r="A8" s="257"/>
      <c r="B8" s="259"/>
      <c r="C8" s="261"/>
      <c r="D8" s="261"/>
      <c r="E8" s="216" t="s">
        <v>5</v>
      </c>
      <c r="F8" s="217" t="s">
        <v>6</v>
      </c>
      <c r="G8" s="216" t="s">
        <v>5</v>
      </c>
      <c r="H8" s="217" t="s">
        <v>6</v>
      </c>
      <c r="I8" s="218" t="s">
        <v>7</v>
      </c>
    </row>
    <row r="9" spans="1:9" ht="20.25" x14ac:dyDescent="0.3">
      <c r="A9" s="312"/>
      <c r="B9" s="313"/>
      <c r="C9" s="314" t="s">
        <v>176</v>
      </c>
      <c r="D9" s="315"/>
      <c r="E9" s="316"/>
      <c r="F9" s="317"/>
      <c r="G9" s="316"/>
      <c r="H9" s="317"/>
      <c r="I9" s="318"/>
    </row>
    <row r="10" spans="1:9" ht="20.25" x14ac:dyDescent="0.3">
      <c r="A10" s="319">
        <v>95717</v>
      </c>
      <c r="B10" s="320" t="s">
        <v>170</v>
      </c>
      <c r="C10" s="321" t="s">
        <v>169</v>
      </c>
      <c r="D10" s="322" t="s">
        <v>162</v>
      </c>
      <c r="E10" s="323">
        <v>16580</v>
      </c>
      <c r="F10" s="324" t="s">
        <v>13</v>
      </c>
      <c r="G10" s="325"/>
      <c r="H10" s="326"/>
      <c r="I10" s="318"/>
    </row>
    <row r="11" spans="1:9" ht="20.25" x14ac:dyDescent="0.3">
      <c r="A11" s="319">
        <v>512316</v>
      </c>
      <c r="B11" s="327" t="s">
        <v>171</v>
      </c>
      <c r="C11" s="328" t="s">
        <v>167</v>
      </c>
      <c r="D11" s="322" t="s">
        <v>177</v>
      </c>
      <c r="E11" s="329">
        <v>110</v>
      </c>
      <c r="F11" s="330" t="s">
        <v>13</v>
      </c>
      <c r="G11" s="325"/>
      <c r="H11" s="326"/>
      <c r="I11" s="318"/>
    </row>
    <row r="12" spans="1:9" ht="20.25" x14ac:dyDescent="0.3">
      <c r="A12" s="333"/>
      <c r="B12" s="333"/>
      <c r="C12" s="336"/>
      <c r="D12" s="331"/>
      <c r="E12" s="331"/>
      <c r="F12" s="335"/>
      <c r="G12" s="331"/>
      <c r="H12" s="326"/>
      <c r="I12" s="318"/>
    </row>
    <row r="13" spans="1:9" ht="20.25" x14ac:dyDescent="0.3">
      <c r="A13" s="332"/>
      <c r="B13" s="333"/>
      <c r="C13" s="334"/>
      <c r="D13" s="331"/>
      <c r="E13" s="331"/>
      <c r="F13" s="335"/>
      <c r="G13" s="331"/>
      <c r="H13" s="326"/>
      <c r="I13" s="318"/>
    </row>
    <row r="14" spans="1:9" ht="20.25" x14ac:dyDescent="0.3">
      <c r="A14" s="331"/>
      <c r="B14" s="331"/>
      <c r="C14" s="337"/>
      <c r="D14" s="338"/>
      <c r="E14" s="339"/>
      <c r="F14" s="340"/>
      <c r="G14" s="316"/>
      <c r="H14" s="326"/>
      <c r="I14" s="318"/>
    </row>
    <row r="15" spans="1:9" ht="20.25" x14ac:dyDescent="0.3">
      <c r="A15" s="341"/>
      <c r="B15" s="342"/>
      <c r="C15" s="343" t="s">
        <v>23</v>
      </c>
      <c r="D15" s="344"/>
      <c r="E15" s="345"/>
      <c r="F15" s="346"/>
      <c r="G15" s="316"/>
      <c r="H15" s="317"/>
      <c r="I15" s="318"/>
    </row>
    <row r="16" spans="1:9" ht="20.25" x14ac:dyDescent="0.3">
      <c r="A16" s="331"/>
      <c r="B16" s="331"/>
      <c r="C16" s="337"/>
      <c r="D16" s="348"/>
      <c r="E16" s="349"/>
      <c r="F16" s="350"/>
      <c r="G16" s="316"/>
      <c r="H16" s="317"/>
      <c r="I16" s="318"/>
    </row>
    <row r="17" spans="1:9" ht="20.25" x14ac:dyDescent="0.3">
      <c r="A17" s="331"/>
      <c r="B17" s="331"/>
      <c r="C17" s="337"/>
      <c r="D17" s="351"/>
      <c r="E17" s="352"/>
      <c r="F17" s="350"/>
      <c r="G17" s="316"/>
      <c r="H17" s="317"/>
      <c r="I17" s="318"/>
    </row>
    <row r="18" spans="1:9" ht="20.25" x14ac:dyDescent="0.3">
      <c r="A18" s="331"/>
      <c r="B18" s="331"/>
      <c r="C18" s="337"/>
      <c r="D18" s="351"/>
      <c r="E18" s="339"/>
      <c r="F18" s="340"/>
      <c r="G18" s="316"/>
      <c r="H18" s="317"/>
      <c r="I18" s="318"/>
    </row>
    <row r="19" spans="1:9" ht="20.25" x14ac:dyDescent="0.3">
      <c r="A19" s="412"/>
      <c r="B19" s="412"/>
      <c r="C19" s="353" t="s">
        <v>178</v>
      </c>
      <c r="D19" s="354"/>
      <c r="E19" s="355"/>
      <c r="F19" s="317"/>
      <c r="G19" s="316"/>
      <c r="H19" s="347"/>
      <c r="I19" s="318"/>
    </row>
    <row r="20" spans="1:9" ht="20.25" x14ac:dyDescent="0.3">
      <c r="A20" s="341" t="s">
        <v>165</v>
      </c>
      <c r="B20" s="342" t="s">
        <v>173</v>
      </c>
      <c r="C20" s="356" t="s">
        <v>166</v>
      </c>
      <c r="D20" s="357" t="s">
        <v>179</v>
      </c>
      <c r="E20" s="358">
        <v>1</v>
      </c>
      <c r="F20" s="357" t="s">
        <v>38</v>
      </c>
      <c r="G20" s="359"/>
      <c r="H20" s="317"/>
      <c r="I20" s="318"/>
    </row>
    <row r="21" spans="1:9" ht="20.25" x14ac:dyDescent="0.3">
      <c r="A21" s="360"/>
      <c r="B21" s="361"/>
      <c r="C21" s="362"/>
      <c r="D21" s="363"/>
      <c r="E21" s="363"/>
      <c r="F21" s="364"/>
      <c r="G21" s="358"/>
      <c r="H21" s="317"/>
      <c r="I21" s="318"/>
    </row>
    <row r="22" spans="1:9" ht="20.25" x14ac:dyDescent="0.3">
      <c r="A22" s="341"/>
      <c r="B22" s="342"/>
      <c r="C22" s="356"/>
      <c r="D22" s="331"/>
      <c r="E22" s="358"/>
      <c r="F22" s="346"/>
      <c r="G22" s="358"/>
      <c r="H22" s="317"/>
      <c r="I22" s="318"/>
    </row>
    <row r="23" spans="1:9" ht="20.25" x14ac:dyDescent="0.3">
      <c r="A23" s="341"/>
      <c r="B23" s="342"/>
      <c r="C23" s="356"/>
      <c r="D23" s="344"/>
      <c r="E23" s="344"/>
      <c r="F23" s="346"/>
      <c r="G23" s="344"/>
      <c r="H23" s="344"/>
      <c r="I23" s="318"/>
    </row>
    <row r="24" spans="1:9" ht="21" thickBot="1" x14ac:dyDescent="0.35">
      <c r="A24" s="365"/>
      <c r="B24" s="366"/>
      <c r="C24" s="367"/>
      <c r="D24" s="367"/>
      <c r="E24" s="368"/>
      <c r="F24" s="369"/>
      <c r="G24" s="367"/>
      <c r="H24" s="367"/>
      <c r="I24" s="370"/>
    </row>
    <row r="25" spans="1:9" ht="21" thickBot="1" x14ac:dyDescent="0.35">
      <c r="A25" s="371"/>
      <c r="B25" s="372"/>
      <c r="C25" s="373"/>
      <c r="D25" s="374" t="s">
        <v>5</v>
      </c>
      <c r="E25" s="375" t="s">
        <v>24</v>
      </c>
      <c r="F25" s="376"/>
      <c r="G25" s="373"/>
      <c r="H25" s="373"/>
      <c r="I25" s="377"/>
    </row>
    <row r="26" spans="1:9" ht="20.25" x14ac:dyDescent="0.3">
      <c r="A26" s="378" t="s">
        <v>11</v>
      </c>
      <c r="B26" s="379"/>
      <c r="C26" s="380"/>
      <c r="D26" s="352">
        <v>16580</v>
      </c>
      <c r="E26" s="381" t="s">
        <v>13</v>
      </c>
      <c r="F26" s="382" t="s">
        <v>26</v>
      </c>
      <c r="G26" s="382"/>
      <c r="H26" s="383"/>
      <c r="I26" s="384"/>
    </row>
    <row r="27" spans="1:9" ht="20.25" x14ac:dyDescent="0.3">
      <c r="A27" s="385" t="s">
        <v>27</v>
      </c>
      <c r="B27" s="386"/>
      <c r="C27" s="387"/>
      <c r="D27" s="331">
        <v>3</v>
      </c>
      <c r="E27" s="331" t="s">
        <v>163</v>
      </c>
      <c r="F27" s="388" t="s">
        <v>28</v>
      </c>
      <c r="G27" s="388"/>
      <c r="H27" s="389"/>
      <c r="I27" s="390"/>
    </row>
    <row r="28" spans="1:9" ht="20.25" x14ac:dyDescent="0.3">
      <c r="A28" s="385" t="s">
        <v>29</v>
      </c>
      <c r="B28" s="386"/>
      <c r="C28" s="387"/>
      <c r="D28" s="331">
        <v>1</v>
      </c>
      <c r="E28" s="331" t="s">
        <v>36</v>
      </c>
      <c r="F28" s="388" t="s">
        <v>30</v>
      </c>
      <c r="G28" s="388"/>
      <c r="H28" s="389"/>
      <c r="I28" s="390"/>
    </row>
    <row r="29" spans="1:9" ht="20.25" x14ac:dyDescent="0.3">
      <c r="A29" s="385" t="s">
        <v>37</v>
      </c>
      <c r="B29" s="386"/>
      <c r="C29" s="387"/>
      <c r="D29" s="339">
        <v>16580</v>
      </c>
      <c r="E29" s="331" t="s">
        <v>13</v>
      </c>
      <c r="F29" s="391" t="s">
        <v>31</v>
      </c>
      <c r="G29" s="392"/>
      <c r="H29" s="393"/>
      <c r="I29" s="394"/>
    </row>
    <row r="30" spans="1:9" ht="21" thickBot="1" x14ac:dyDescent="0.35">
      <c r="A30" s="395" t="s">
        <v>12</v>
      </c>
      <c r="B30" s="396"/>
      <c r="C30" s="397"/>
      <c r="D30" s="398">
        <f>SUM(E10:E11)-D26</f>
        <v>110</v>
      </c>
      <c r="E30" s="399" t="s">
        <v>13</v>
      </c>
      <c r="F30" s="400"/>
      <c r="G30" s="400"/>
      <c r="H30" s="389"/>
      <c r="I30" s="390"/>
    </row>
    <row r="31" spans="1:9" ht="21" thickBot="1" x14ac:dyDescent="0.35">
      <c r="A31" s="413" t="s">
        <v>32</v>
      </c>
      <c r="B31" s="414"/>
      <c r="C31" s="414"/>
      <c r="D31" s="414"/>
      <c r="E31" s="414"/>
      <c r="F31" s="414"/>
      <c r="G31" s="414"/>
      <c r="H31" s="414"/>
      <c r="I31" s="415"/>
    </row>
    <row r="32" spans="1:9" ht="20.25" x14ac:dyDescent="0.3">
      <c r="A32" s="401" t="s">
        <v>182</v>
      </c>
      <c r="B32" s="402"/>
      <c r="C32" s="402"/>
      <c r="D32" s="402"/>
      <c r="E32" s="402"/>
      <c r="F32" s="402"/>
      <c r="G32" s="402"/>
      <c r="H32" s="402"/>
      <c r="I32" s="403"/>
    </row>
    <row r="33" spans="1:9" ht="20.25" x14ac:dyDescent="0.3">
      <c r="A33" s="401" t="s">
        <v>183</v>
      </c>
      <c r="B33" s="402"/>
      <c r="C33" s="402"/>
      <c r="D33" s="402"/>
      <c r="E33" s="402"/>
      <c r="F33" s="402"/>
      <c r="G33" s="402"/>
      <c r="H33" s="402"/>
      <c r="I33" s="403"/>
    </row>
    <row r="34" spans="1:9" ht="21" thickBot="1" x14ac:dyDescent="0.35">
      <c r="A34" s="404"/>
      <c r="B34" s="405"/>
      <c r="C34" s="405"/>
      <c r="D34" s="405"/>
      <c r="E34" s="405"/>
      <c r="F34" s="405"/>
      <c r="G34" s="405"/>
      <c r="H34" s="405"/>
      <c r="I34" s="406"/>
    </row>
    <row r="35" spans="1:9" ht="20.25" x14ac:dyDescent="0.3">
      <c r="A35" s="407" t="s">
        <v>180</v>
      </c>
      <c r="B35" s="408"/>
      <c r="C35" s="408"/>
      <c r="D35" s="408"/>
      <c r="E35" s="408"/>
      <c r="F35" s="408"/>
      <c r="G35" s="408"/>
      <c r="H35" s="408"/>
      <c r="I35" s="408"/>
    </row>
    <row r="36" spans="1:9" ht="20.25" x14ac:dyDescent="0.3">
      <c r="A36" s="409" t="s">
        <v>184</v>
      </c>
      <c r="B36" s="410"/>
      <c r="C36" s="410"/>
      <c r="D36" s="410"/>
      <c r="E36" s="410"/>
      <c r="F36" s="410"/>
      <c r="G36" s="410"/>
      <c r="H36" s="410"/>
      <c r="I36" s="411"/>
    </row>
    <row r="37" spans="1:9" ht="20.25" x14ac:dyDescent="0.3">
      <c r="A37" s="409" t="s">
        <v>185</v>
      </c>
      <c r="B37" s="410"/>
      <c r="C37" s="410"/>
      <c r="D37" s="410"/>
      <c r="E37" s="410"/>
      <c r="F37" s="410"/>
      <c r="G37" s="410"/>
      <c r="H37" s="410"/>
      <c r="I37" s="411"/>
    </row>
    <row r="38" spans="1:9" ht="20.25" x14ac:dyDescent="0.3">
      <c r="A38" s="347"/>
      <c r="B38" s="347"/>
      <c r="C38" s="347"/>
      <c r="D38" s="347"/>
      <c r="E38" s="347"/>
      <c r="F38" s="347"/>
      <c r="G38" s="347"/>
      <c r="H38" s="347"/>
      <c r="I38" s="347"/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6:C26"/>
    <mergeCell ref="F26:G26"/>
    <mergeCell ref="H26:I26"/>
    <mergeCell ref="A27:C27"/>
    <mergeCell ref="F27:G27"/>
    <mergeCell ref="H27:I27"/>
    <mergeCell ref="A33:I33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1:I31"/>
    <mergeCell ref="A32:I32"/>
    <mergeCell ref="A35:I35"/>
    <mergeCell ref="A36:I36"/>
    <mergeCell ref="A37:I37"/>
    <mergeCell ref="A34:I34"/>
  </mergeCells>
  <pageMargins left="0.25" right="0.25" top="0.75" bottom="0.75" header="0.3" footer="0.3"/>
  <pageSetup scale="4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0E738-1D14-4B96-A7C7-2088625743B4}">
  <dimension ref="A1:Q92"/>
  <sheetViews>
    <sheetView topLeftCell="A4" workbookViewId="0">
      <selection activeCell="B18" sqref="B18"/>
    </sheetView>
  </sheetViews>
  <sheetFormatPr baseColWidth="10" defaultColWidth="8.42578125" defaultRowHeight="12.75" x14ac:dyDescent="0.2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9.7109375" style="6" bestFit="1" customWidth="1"/>
    <col min="6" max="6" width="9.5703125" style="6" bestFit="1" customWidth="1"/>
    <col min="7" max="7" width="9.5703125" style="87" bestFit="1" customWidth="1"/>
    <col min="8" max="8" width="10.42578125" style="78" bestFit="1" customWidth="1"/>
    <col min="9" max="9" width="4.5703125" style="78" customWidth="1"/>
    <col min="10" max="10" width="1.71093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16384" width="8.42578125" style="6"/>
  </cols>
  <sheetData>
    <row r="1" spans="1:13" ht="27.75" customHeight="1" x14ac:dyDescent="0.2">
      <c r="A1" s="1"/>
      <c r="B1" s="1"/>
      <c r="C1" s="1"/>
      <c r="D1" s="1"/>
      <c r="E1" s="2" t="s">
        <v>50</v>
      </c>
      <c r="F1" s="3" t="s">
        <v>51</v>
      </c>
      <c r="G1" s="3" t="s">
        <v>52</v>
      </c>
      <c r="H1" s="3" t="s">
        <v>53</v>
      </c>
      <c r="I1" s="4"/>
    </row>
    <row r="2" spans="1:13" ht="30.75" customHeight="1" x14ac:dyDescent="0.2">
      <c r="A2" s="1"/>
      <c r="B2" s="1"/>
      <c r="C2" s="1"/>
      <c r="D2" s="1"/>
      <c r="E2" s="7">
        <f>IFERROR(O63,"")</f>
        <v>6392.043938932723</v>
      </c>
      <c r="F2" s="7">
        <f>IFERROR(H54,"")</f>
        <v>3882.9116491926065</v>
      </c>
      <c r="G2" s="7">
        <f>IFERROR(H55,"")</f>
        <v>484.756407718189</v>
      </c>
      <c r="H2" s="7">
        <f>IFERROR(H57,"")</f>
        <v>458.78397789740973</v>
      </c>
      <c r="I2" s="8"/>
    </row>
    <row r="3" spans="1:13" ht="15" customHeight="1" x14ac:dyDescent="0.2">
      <c r="A3" s="1"/>
      <c r="B3" s="1"/>
      <c r="C3" s="1"/>
      <c r="D3" s="1"/>
      <c r="E3" s="1"/>
      <c r="F3" s="9"/>
      <c r="G3" s="9"/>
      <c r="H3" s="9"/>
      <c r="I3" s="9"/>
    </row>
    <row r="4" spans="1:13" ht="24.75" customHeight="1" thickBot="1" x14ac:dyDescent="0.25">
      <c r="A4" s="245"/>
      <c r="B4" s="245"/>
      <c r="C4" s="245"/>
      <c r="D4" s="245"/>
      <c r="E4" s="245"/>
      <c r="F4" s="245"/>
      <c r="G4" s="245"/>
      <c r="H4" s="245"/>
      <c r="I4" s="10"/>
    </row>
    <row r="5" spans="1:13" ht="19.5" customHeight="1" thickBot="1" x14ac:dyDescent="0.25">
      <c r="A5" s="246" t="s">
        <v>54</v>
      </c>
      <c r="B5" s="247"/>
      <c r="C5" s="247"/>
      <c r="D5" s="247"/>
      <c r="E5" s="247"/>
      <c r="F5" s="247"/>
      <c r="G5" s="247"/>
      <c r="H5" s="248"/>
      <c r="I5" s="11"/>
    </row>
    <row r="6" spans="1:13" ht="19.5" thickBot="1" x14ac:dyDescent="0.25">
      <c r="A6" s="11"/>
      <c r="B6" s="11"/>
      <c r="C6" s="11"/>
      <c r="D6" s="11"/>
      <c r="E6" s="11"/>
      <c r="F6" s="249" t="s">
        <v>55</v>
      </c>
      <c r="G6" s="249"/>
      <c r="H6" s="12">
        <f ca="1">TODAY()</f>
        <v>46058</v>
      </c>
      <c r="I6" s="12"/>
    </row>
    <row r="7" spans="1:13" ht="26.25" thickBot="1" x14ac:dyDescent="0.25">
      <c r="A7" s="13" t="s">
        <v>56</v>
      </c>
      <c r="B7" s="14" t="s">
        <v>57</v>
      </c>
      <c r="C7" s="14" t="s">
        <v>56</v>
      </c>
      <c r="D7" s="15" t="s">
        <v>58</v>
      </c>
      <c r="E7" s="15" t="s">
        <v>59</v>
      </c>
      <c r="F7" s="15" t="s">
        <v>60</v>
      </c>
      <c r="G7" s="15" t="s">
        <v>61</v>
      </c>
      <c r="H7" s="16" t="s">
        <v>62</v>
      </c>
      <c r="I7" s="17"/>
      <c r="M7" s="6" t="s">
        <v>164</v>
      </c>
    </row>
    <row r="8" spans="1:13" ht="13.5" x14ac:dyDescent="0.25">
      <c r="A8" s="207">
        <v>425</v>
      </c>
      <c r="B8" s="6" t="str">
        <f>IFERROR(VLOOKUP(H8,'[1]ARTICULOS MP PLANTA'!$A$2:$G$589,2,0),"")</f>
        <v>MANJAR LECHE CONDENSADA (PAQ: 4.5 K)</v>
      </c>
      <c r="C8" s="19">
        <f t="shared" ref="C8:C13" si="0">+A8</f>
        <v>425</v>
      </c>
      <c r="D8" s="20" t="str">
        <f>IFERROR(VLOOKUP(H8,'[1]ARTICULOS MP PLANTA'!$A$2:$G$589,6,0),"")</f>
        <v>Gramo</v>
      </c>
      <c r="E8" s="20">
        <f>IFERROR(VLOOKUP(H8,'[1]ARTICULOS MP PLANTA'!$A$2:$G$589,7,0),"")</f>
        <v>2.5188888888888887</v>
      </c>
      <c r="F8" s="20">
        <f t="shared" ref="F8:F13" si="1">IFERROR(C8*E8,"")</f>
        <v>1070.5277777777776</v>
      </c>
      <c r="G8" s="21">
        <f t="shared" ref="G8:G13" si="2">IFERROR(F8/$F$67,"")</f>
        <v>0.22162638992264153</v>
      </c>
      <c r="H8" s="22" t="s">
        <v>8</v>
      </c>
      <c r="I8" s="22"/>
      <c r="J8" s="23"/>
    </row>
    <row r="9" spans="1:13" ht="13.5" x14ac:dyDescent="0.25">
      <c r="A9" s="207">
        <v>2</v>
      </c>
      <c r="B9" s="6" t="str">
        <f>IFERROR(VLOOKUP(H9,'[1]ARTICULOS MP PLANTA'!$A$2:$G$589,2,0),"")</f>
        <v>CHOCOLATE TRIAN OLEAJE GRD (CAJA:200 UN)</v>
      </c>
      <c r="C9" s="19">
        <f t="shared" si="0"/>
        <v>2</v>
      </c>
      <c r="D9" s="20" t="str">
        <f>IFERROR(VLOOKUP(H9,'[1]ARTICULOS MP PLANTA'!$A$2:$G$589,6,0),"")</f>
        <v>und</v>
      </c>
      <c r="E9" s="20">
        <f>IFERROR(VLOOKUP(H9,'[1]ARTICULOS MP PLANTA'!$A$2:$G$589,7,0),"")</f>
        <v>115</v>
      </c>
      <c r="F9" s="20">
        <f t="shared" si="1"/>
        <v>230</v>
      </c>
      <c r="G9" s="21">
        <f t="shared" si="2"/>
        <v>4.7615830939035063E-2</v>
      </c>
      <c r="H9" s="22" t="s">
        <v>158</v>
      </c>
      <c r="I9" s="22"/>
      <c r="J9" s="23"/>
      <c r="M9" s="6">
        <v>83.07</v>
      </c>
    </row>
    <row r="10" spans="1:13" ht="13.5" hidden="1" x14ac:dyDescent="0.25">
      <c r="A10" s="18"/>
      <c r="B10" s="6" t="s">
        <v>49</v>
      </c>
      <c r="C10" s="19">
        <f t="shared" si="0"/>
        <v>0</v>
      </c>
      <c r="D10" s="20" t="s">
        <v>126</v>
      </c>
      <c r="E10" s="20">
        <v>58.38</v>
      </c>
      <c r="F10" s="20">
        <f t="shared" si="1"/>
        <v>0</v>
      </c>
      <c r="G10" s="21">
        <f t="shared" si="2"/>
        <v>0</v>
      </c>
      <c r="H10" s="22" t="s">
        <v>48</v>
      </c>
      <c r="I10" s="22"/>
      <c r="J10" s="23"/>
    </row>
    <row r="11" spans="1:13" ht="13.5" hidden="1" x14ac:dyDescent="0.25">
      <c r="A11" s="18"/>
      <c r="B11" s="6" t="str">
        <f>IFERROR(VLOOKUP($H11,'[3]MP PLANTA'!$A$2:$F$500,2,0),"")</f>
        <v/>
      </c>
      <c r="C11" s="19">
        <f t="shared" si="0"/>
        <v>0</v>
      </c>
      <c r="D11" s="20" t="str">
        <f>IFERROR(VLOOKUP($H11,'[3]MP PLANTA'!$A$2:$F$500,5,0),"")</f>
        <v/>
      </c>
      <c r="E11" s="20" t="str">
        <f>IFERROR(VLOOKUP($H11,'[3]MP PLANTA'!$A$2:$F$500,6,0),"")</f>
        <v/>
      </c>
      <c r="F11" s="20" t="str">
        <f t="shared" si="1"/>
        <v/>
      </c>
      <c r="G11" s="21" t="str">
        <f t="shared" si="2"/>
        <v/>
      </c>
      <c r="H11" s="22"/>
      <c r="I11" s="22"/>
      <c r="J11" s="23"/>
    </row>
    <row r="12" spans="1:13" ht="13.5" hidden="1" x14ac:dyDescent="0.25">
      <c r="A12" s="18"/>
      <c r="B12" s="6" t="str">
        <f>IFERROR(VLOOKUP($H12,'[3]MP PLANTA'!$A$2:$F$500,2,0),"")</f>
        <v/>
      </c>
      <c r="C12" s="19">
        <f t="shared" si="0"/>
        <v>0</v>
      </c>
      <c r="D12" s="20" t="str">
        <f>IFERROR(VLOOKUP($H12,'[3]MP PLANTA'!$A$2:$F$500,5,0),"")</f>
        <v/>
      </c>
      <c r="E12" s="20" t="str">
        <f>IFERROR(VLOOKUP($H12,'[3]MP PLANTA'!$A$2:$F$500,6,0),"")</f>
        <v/>
      </c>
      <c r="F12" s="20" t="str">
        <f t="shared" si="1"/>
        <v/>
      </c>
      <c r="G12" s="21" t="str">
        <f t="shared" si="2"/>
        <v/>
      </c>
      <c r="H12" s="22"/>
      <c r="I12" s="22"/>
      <c r="J12" s="23"/>
    </row>
    <row r="13" spans="1:13" ht="13.5" hidden="1" x14ac:dyDescent="0.25">
      <c r="A13" s="18"/>
      <c r="B13" s="6" t="str">
        <f>IFERROR(VLOOKUP($H13,'[3]MP PLANTA'!$A$2:$F$500,2,0),"")</f>
        <v/>
      </c>
      <c r="C13" s="19">
        <f t="shared" si="0"/>
        <v>0</v>
      </c>
      <c r="D13" s="20" t="str">
        <f>IFERROR(VLOOKUP($H13,'[3]MP PLANTA'!$A$2:$F$500,5,0),"")</f>
        <v/>
      </c>
      <c r="E13" s="20" t="str">
        <f>IFERROR(VLOOKUP($H13,'[3]MP PLANTA'!$A$2:$F$500,6,0),"")</f>
        <v/>
      </c>
      <c r="F13" s="20" t="str">
        <f t="shared" si="1"/>
        <v/>
      </c>
      <c r="G13" s="21" t="str">
        <f t="shared" si="2"/>
        <v/>
      </c>
      <c r="H13" s="22"/>
      <c r="I13" s="22"/>
      <c r="J13" s="23"/>
    </row>
    <row r="14" spans="1:13" ht="14.25" thickBot="1" x14ac:dyDescent="0.3">
      <c r="A14" s="18"/>
      <c r="C14" s="19"/>
      <c r="D14" s="20"/>
      <c r="E14" s="20"/>
      <c r="F14" s="20"/>
      <c r="G14" s="21"/>
      <c r="H14" s="22"/>
      <c r="I14" s="22"/>
      <c r="J14" s="23"/>
      <c r="M14" s="6">
        <f>+M9*3</f>
        <v>249.20999999999998</v>
      </c>
    </row>
    <row r="15" spans="1:13" ht="26.25" thickBot="1" x14ac:dyDescent="0.25">
      <c r="A15" s="13" t="s">
        <v>56</v>
      </c>
      <c r="B15" s="14" t="s">
        <v>63</v>
      </c>
      <c r="C15" s="14" t="s">
        <v>56</v>
      </c>
      <c r="D15" s="15" t="s">
        <v>58</v>
      </c>
      <c r="E15" s="15" t="s">
        <v>59</v>
      </c>
      <c r="F15" s="15" t="s">
        <v>60</v>
      </c>
      <c r="G15" s="15" t="s">
        <v>61</v>
      </c>
      <c r="H15" s="16" t="s">
        <v>62</v>
      </c>
      <c r="I15" s="17"/>
      <c r="J15" s="23"/>
    </row>
    <row r="16" spans="1:13" ht="13.5" x14ac:dyDescent="0.25">
      <c r="A16" s="207">
        <v>1.5</v>
      </c>
      <c r="B16" s="6" t="s">
        <v>45</v>
      </c>
      <c r="C16" s="19">
        <f>+A16</f>
        <v>1.5</v>
      </c>
      <c r="D16" s="19" t="s">
        <v>126</v>
      </c>
      <c r="E16" s="20">
        <f>+'Costo Rosquete'!H46</f>
        <v>879.31449066489347</v>
      </c>
      <c r="F16" s="20">
        <f>IFERROR(E16*C16,"")</f>
        <v>1318.9717359973401</v>
      </c>
      <c r="G16" s="21">
        <f t="shared" ref="G16:G23" si="3">IFERROR(F16/$F$67,"")</f>
        <v>0.27306058780267362</v>
      </c>
      <c r="H16" s="22"/>
      <c r="I16" s="22"/>
      <c r="J16" s="23"/>
    </row>
    <row r="17" spans="1:12" ht="13.5" x14ac:dyDescent="0.25">
      <c r="A17" s="207">
        <v>180</v>
      </c>
      <c r="B17" s="6" t="str">
        <f>IFERROR(VLOOKUP($H17,[3]SEMIELABORADOS!$A$1:$J$999,2,0),"")</f>
        <v>ALMIBAR CON LICOR DE CAFE (3000g)</v>
      </c>
      <c r="C17" s="19">
        <f t="shared" ref="C17:C23" si="4">+A17</f>
        <v>180</v>
      </c>
      <c r="D17" s="19" t="str">
        <f>IFERROR(VLOOKUP($H17,[3]SEMIELABORADOS!$A$1:$J$999,4,0),"")</f>
        <v>GRAMO</v>
      </c>
      <c r="E17" s="20">
        <f>IFERROR(VLOOKUP($H17,[3]SEMIELABORADOS!$A$1:$J$999,6,0),"")</f>
        <v>3.1518525914372737</v>
      </c>
      <c r="F17" s="20">
        <f t="shared" ref="F17:F23" si="5">IFERROR(E17*C17,"")</f>
        <v>567.33346645870927</v>
      </c>
      <c r="G17" s="21">
        <f t="shared" si="3"/>
        <v>0.11745241054328094</v>
      </c>
      <c r="H17" s="22" t="s">
        <v>33</v>
      </c>
      <c r="I17" s="22"/>
      <c r="J17" s="23"/>
    </row>
    <row r="18" spans="1:12" ht="13.5" x14ac:dyDescent="0.25">
      <c r="A18" s="207">
        <v>240</v>
      </c>
      <c r="B18" s="6" t="str">
        <f>IFERROR(VLOOKUP($H18,[3]SEMIELABORADOS!$A$1:$J$999,2,0),"")</f>
        <v>CREMA CHANTILLY CAFE (21 Kg)</v>
      </c>
      <c r="C18" s="19">
        <f t="shared" si="4"/>
        <v>240</v>
      </c>
      <c r="D18" s="19" t="str">
        <f>IFERROR(VLOOKUP($H18,[3]SEMIELABORADOS!$A$1:$J$999,4,0),"")</f>
        <v>GRAMO</v>
      </c>
      <c r="E18" s="20">
        <f>IFERROR(VLOOKUP($H18,[3]SEMIELABORADOS!$A$1:$J$999,6,0),"")</f>
        <v>1.7820268520738431</v>
      </c>
      <c r="F18" s="20">
        <f t="shared" si="5"/>
        <v>427.68644449772233</v>
      </c>
      <c r="G18" s="21">
        <f t="shared" si="3"/>
        <v>8.8541936678784988E-2</v>
      </c>
      <c r="H18" s="22" t="s">
        <v>22</v>
      </c>
      <c r="I18" s="22"/>
      <c r="J18" s="23"/>
    </row>
    <row r="19" spans="1:12" ht="13.5" x14ac:dyDescent="0.25">
      <c r="A19" s="207">
        <v>80</v>
      </c>
      <c r="B19" s="6" t="s">
        <v>47</v>
      </c>
      <c r="C19" s="19">
        <f t="shared" si="4"/>
        <v>80</v>
      </c>
      <c r="D19" s="19" t="s">
        <v>129</v>
      </c>
      <c r="E19" s="20">
        <f>+[5]Hoja1!$E$62</f>
        <v>2.6615006000000001</v>
      </c>
      <c r="F19" s="20">
        <f t="shared" si="5"/>
        <v>212.92004800000001</v>
      </c>
      <c r="G19" s="21">
        <f t="shared" si="3"/>
        <v>4.4079847865648829E-2</v>
      </c>
      <c r="H19" s="22" t="s">
        <v>46</v>
      </c>
      <c r="I19" s="22"/>
      <c r="J19" s="23"/>
    </row>
    <row r="20" spans="1:12" ht="13.5" x14ac:dyDescent="0.25">
      <c r="A20" s="207">
        <v>15</v>
      </c>
      <c r="B20" s="6" t="str">
        <f>IFERROR(VLOOKUP($H20,[3]SEMIELABORADOS!$A$1:$J$999,2,0),"")</f>
        <v>CREMA CHANTILLY BLANCA SPOON-IND (20800g)</v>
      </c>
      <c r="C20" s="19">
        <f t="shared" si="4"/>
        <v>15</v>
      </c>
      <c r="D20" s="19" t="str">
        <f>IFERROR(VLOOKUP($H20,[3]SEMIELABORADOS!$A$1:$J$999,4,0),"")</f>
        <v>GRAMO</v>
      </c>
      <c r="E20" s="20">
        <f>IFERROR(VLOOKUP($H20,[3]SEMIELABORADOS!$A$1:$J$999,6,0),"")</f>
        <v>1.7037164574038461</v>
      </c>
      <c r="F20" s="20">
        <f t="shared" si="5"/>
        <v>25.555746861057692</v>
      </c>
      <c r="G20" s="21">
        <f t="shared" si="3"/>
        <v>5.2906874872039088E-3</v>
      </c>
      <c r="H20" s="22" t="s">
        <v>130</v>
      </c>
      <c r="I20" s="22"/>
      <c r="J20" s="23"/>
    </row>
    <row r="21" spans="1:12" ht="13.5" x14ac:dyDescent="0.25">
      <c r="A21" s="18">
        <v>20</v>
      </c>
      <c r="B21" s="6" t="str">
        <f>IFERROR(VLOOKUP($H21,[3]SEMIELABORADOS!$A$1:$J$999,2,0),"")</f>
        <v>MEZCLA DULCE LECHE CON AGUA</v>
      </c>
      <c r="C21" s="19">
        <f t="shared" si="4"/>
        <v>20</v>
      </c>
      <c r="D21" s="19" t="str">
        <f>IFERROR(VLOOKUP($H21,[3]SEMIELABORADOS!$A$1:$J$999,4,0),"")</f>
        <v>GRAMO</v>
      </c>
      <c r="E21" s="20">
        <f>IFERROR(VLOOKUP($H21,[3]SEMIELABORADOS!$A$1:$J$999,6,0),"")</f>
        <v>1.49582148</v>
      </c>
      <c r="F21" s="20">
        <f t="shared" si="5"/>
        <v>29.916429600000001</v>
      </c>
      <c r="G21" s="21">
        <f t="shared" si="3"/>
        <v>6.1934593657962797E-3</v>
      </c>
      <c r="H21" s="22" t="s">
        <v>157</v>
      </c>
      <c r="I21" s="22"/>
      <c r="J21" s="23"/>
    </row>
    <row r="22" spans="1:12" ht="13.5" hidden="1" x14ac:dyDescent="0.25">
      <c r="A22" s="18"/>
      <c r="B22" s="6" t="str">
        <f>IFERROR(VLOOKUP($H22,[3]SEMIELABORADOS!$A$1:$J$999,2,0),"")</f>
        <v/>
      </c>
      <c r="C22" s="19">
        <f t="shared" si="4"/>
        <v>0</v>
      </c>
      <c r="D22" s="19" t="str">
        <f>IFERROR(VLOOKUP($H22,[3]SEMIELABORADOS!$A$1:$J$999,4,0),"")</f>
        <v/>
      </c>
      <c r="E22" s="20" t="str">
        <f>IFERROR(VLOOKUP($H22,[3]SEMIELABORADOS!$A$1:$J$999,6,0),"")</f>
        <v/>
      </c>
      <c r="F22" s="20" t="str">
        <f t="shared" si="5"/>
        <v/>
      </c>
      <c r="G22" s="21" t="str">
        <f t="shared" si="3"/>
        <v/>
      </c>
      <c r="H22" s="22"/>
      <c r="I22" s="22"/>
      <c r="J22" s="23"/>
    </row>
    <row r="23" spans="1:12" ht="13.5" hidden="1" x14ac:dyDescent="0.25">
      <c r="A23" s="18"/>
      <c r="B23" s="6" t="str">
        <f>IFERROR(VLOOKUP($H23,[3]SEMIELABORADOS!$A$1:$J$999,2,0),"")</f>
        <v/>
      </c>
      <c r="C23" s="19">
        <f t="shared" si="4"/>
        <v>0</v>
      </c>
      <c r="D23" s="19" t="str">
        <f>IFERROR(VLOOKUP($H23,[3]SEMIELABORADOS!$A$1:$J$999,4,0),"")</f>
        <v/>
      </c>
      <c r="E23" s="20" t="str">
        <f>IFERROR(VLOOKUP($H23,[3]SEMIELABORADOS!$A$1:$J$999,6,0),"")</f>
        <v/>
      </c>
      <c r="F23" s="20" t="str">
        <f t="shared" si="5"/>
        <v/>
      </c>
      <c r="G23" s="21" t="str">
        <f t="shared" si="3"/>
        <v/>
      </c>
      <c r="H23" s="22"/>
      <c r="I23" s="22"/>
      <c r="J23" s="23"/>
    </row>
    <row r="24" spans="1:12" ht="14.25" thickBot="1" x14ac:dyDescent="0.3">
      <c r="A24" s="18"/>
      <c r="C24" s="19"/>
      <c r="D24" s="19"/>
      <c r="E24" s="20"/>
      <c r="F24" s="20"/>
      <c r="G24" s="21"/>
      <c r="H24" s="22"/>
      <c r="I24" s="22"/>
      <c r="J24" s="23"/>
    </row>
    <row r="25" spans="1:12" ht="26.25" thickBot="1" x14ac:dyDescent="0.25">
      <c r="A25" s="13" t="s">
        <v>56</v>
      </c>
      <c r="B25" s="14" t="s">
        <v>35</v>
      </c>
      <c r="C25" s="14" t="s">
        <v>56</v>
      </c>
      <c r="D25" s="15" t="s">
        <v>58</v>
      </c>
      <c r="E25" s="15" t="s">
        <v>59</v>
      </c>
      <c r="F25" s="15" t="s">
        <v>60</v>
      </c>
      <c r="G25" s="15" t="s">
        <v>61</v>
      </c>
      <c r="H25" s="16" t="s">
        <v>62</v>
      </c>
      <c r="I25" s="17"/>
    </row>
    <row r="26" spans="1:12" ht="13.5" x14ac:dyDescent="0.25">
      <c r="A26" s="18">
        <v>1</v>
      </c>
      <c r="B26" s="24" t="str">
        <f>IFERROR(VLOOKUP(H26,'[1]EMPAQUE PLANTA'!$A$2:$H$176,2,0),"")</f>
        <v>ORLA CARTON 10" DORADA UND</v>
      </c>
      <c r="C26" s="19">
        <f t="shared" ref="C26:C31" si="6">+A26</f>
        <v>1</v>
      </c>
      <c r="D26" s="20" t="str">
        <f>IFERROR(VLOOKUP(H26,'[1]EMPAQUE PLANTA'!$A$2:$H$176,7,0),"")</f>
        <v>UND</v>
      </c>
      <c r="E26" s="20">
        <f>IFERROR(VLOOKUP(H26,'[1]EMPAQUE PLANTA'!$A$2:$H$176,8,0),"")</f>
        <v>111</v>
      </c>
      <c r="F26" s="20">
        <f t="shared" ref="F26:F31" si="7">IFERROR(E26*C26,"")</f>
        <v>111</v>
      </c>
      <c r="G26" s="21">
        <f t="shared" ref="G26:G31" si="8">IFERROR(F26/$F$67,"")</f>
        <v>2.2979814061882136E-2</v>
      </c>
      <c r="H26" s="25" t="s">
        <v>9</v>
      </c>
      <c r="I26" s="25"/>
      <c r="J26" s="23"/>
      <c r="K26" s="242"/>
      <c r="L26" s="242"/>
    </row>
    <row r="27" spans="1:12" ht="13.5" x14ac:dyDescent="0.25">
      <c r="A27" s="18">
        <v>1</v>
      </c>
      <c r="B27" s="24" t="str">
        <f>IFERROR(VLOOKUP(H27,'[1]EMPAQUE PLANTA'!$A$2:$H$176,2,0),"")</f>
        <v>QUEQUERA 10" MEDIA (CAJA:66 UND)</v>
      </c>
      <c r="C27" s="19">
        <f t="shared" si="6"/>
        <v>1</v>
      </c>
      <c r="D27" s="20" t="str">
        <f>IFERROR(VLOOKUP(H27,'[1]EMPAQUE PLANTA'!$A$2:$H$176,7,0),"")</f>
        <v>UND</v>
      </c>
      <c r="E27" s="20">
        <f>IFERROR(VLOOKUP(H27,'[1]EMPAQUE PLANTA'!$A$2:$H$176,8,0),"")</f>
        <v>313.41000000000003</v>
      </c>
      <c r="F27" s="20">
        <f t="shared" si="7"/>
        <v>313.41000000000003</v>
      </c>
      <c r="G27" s="21">
        <f t="shared" si="8"/>
        <v>6.4883815541752085E-2</v>
      </c>
      <c r="H27" s="25" t="s">
        <v>156</v>
      </c>
      <c r="I27" s="25"/>
      <c r="J27" s="23"/>
      <c r="K27" s="242"/>
      <c r="L27" s="242"/>
    </row>
    <row r="28" spans="1:12" ht="13.5" x14ac:dyDescent="0.25">
      <c r="A28" s="18">
        <v>1</v>
      </c>
      <c r="B28" s="24" t="str">
        <f>IFERROR(VLOOKUP($H28,'[3]EMP PLANTA'!$A$2:$F$500,2,0),"")</f>
        <v>ETIQ.FECHA VENCIMIENTO VERDE</v>
      </c>
      <c r="C28" s="19">
        <f t="shared" si="6"/>
        <v>1</v>
      </c>
      <c r="D28" s="20" t="str">
        <f>IFERROR(VLOOKUP($H28,'[3]EMP PLANTA'!$A$2:$F$500,5,0),"")</f>
        <v>UND</v>
      </c>
      <c r="E28" s="20">
        <f>IFERROR(VLOOKUP($H28,'[3]EMP PLANTA'!$A$2:$F$500,6,0),"")</f>
        <v>0.21185444444444446</v>
      </c>
      <c r="F28" s="20">
        <f t="shared" si="7"/>
        <v>0.21185444444444446</v>
      </c>
      <c r="G28" s="21">
        <f t="shared" si="8"/>
        <v>4.3859240914564619E-5</v>
      </c>
      <c r="H28" s="25" t="s">
        <v>10</v>
      </c>
      <c r="I28" s="25"/>
      <c r="J28" s="23"/>
      <c r="K28" s="242"/>
      <c r="L28" s="242"/>
    </row>
    <row r="29" spans="1:12" ht="13.5" x14ac:dyDescent="0.25">
      <c r="A29" s="18">
        <v>1</v>
      </c>
      <c r="B29" s="24" t="str">
        <f>IFERROR(VLOOKUP($H29,'[3]EMP PLANTA'!$A$2:$F$500,2,0),"")</f>
        <v>ETIQUETA IMP. SPOON GRANDE V-272</v>
      </c>
      <c r="C29" s="19">
        <f t="shared" si="6"/>
        <v>1</v>
      </c>
      <c r="D29" s="20" t="str">
        <f>IFERROR(VLOOKUP($H29,'[3]EMP PLANTA'!$A$2:$F$500,5,0),"")</f>
        <v>UND</v>
      </c>
      <c r="E29" s="20">
        <f>IFERROR(VLOOKUP($H29,'[3]EMP PLANTA'!$A$2:$F$500,6,0),"")</f>
        <v>49.741999999999997</v>
      </c>
      <c r="F29" s="20">
        <f t="shared" si="7"/>
        <v>49.741999999999997</v>
      </c>
      <c r="G29" s="21">
        <f t="shared" si="8"/>
        <v>1.0297855054649922E-2</v>
      </c>
      <c r="H29" s="25" t="s">
        <v>34</v>
      </c>
      <c r="I29" s="25"/>
      <c r="J29" s="23"/>
      <c r="K29" s="242"/>
      <c r="L29" s="242"/>
    </row>
    <row r="30" spans="1:12" ht="13.5" x14ac:dyDescent="0.25">
      <c r="A30" s="18">
        <v>1</v>
      </c>
      <c r="B30" s="24" t="str">
        <f>IFERROR(VLOOKUP($H30,'[3]EMP PLANTA'!$A$2:$F$500,2,0),"")</f>
        <v>ETIQ.BLANCA 1 1/4 * 3/4</v>
      </c>
      <c r="C30" s="19">
        <f t="shared" si="6"/>
        <v>1</v>
      </c>
      <c r="D30" s="20" t="str">
        <f>IFERROR(VLOOKUP($H30,'[3]EMP PLANTA'!$A$2:$F$500,5,0),"")</f>
        <v>UND</v>
      </c>
      <c r="E30" s="20">
        <f>IFERROR(VLOOKUP($H30,'[3]EMP PLANTA'!$A$2:$F$500,6,0),"")</f>
        <v>0.61599999999999999</v>
      </c>
      <c r="F30" s="20">
        <f t="shared" si="7"/>
        <v>0.61599999999999999</v>
      </c>
      <c r="G30" s="21">
        <f t="shared" si="8"/>
        <v>1.2752761677585042E-4</v>
      </c>
      <c r="H30" s="25" t="s">
        <v>25</v>
      </c>
      <c r="I30" s="25"/>
      <c r="J30" s="23"/>
      <c r="K30" s="26"/>
      <c r="L30" s="27"/>
    </row>
    <row r="31" spans="1:12" ht="13.5" hidden="1" x14ac:dyDescent="0.25">
      <c r="A31" s="18"/>
      <c r="B31" s="24" t="str">
        <f>IFERROR(VLOOKUP($H31,'[3]EMP PLANTA'!$A$2:$F$500,2,0),"")</f>
        <v/>
      </c>
      <c r="C31" s="19">
        <f t="shared" si="6"/>
        <v>0</v>
      </c>
      <c r="D31" s="20" t="str">
        <f>IFERROR(VLOOKUP($H31,'[3]EMP PLANTA'!$A$2:$F$500,5,0),"")</f>
        <v/>
      </c>
      <c r="E31" s="20" t="str">
        <f>IFERROR(VLOOKUP($H31,'[3]EMP PLANTA'!$A$2:$F$500,6,0),"")</f>
        <v/>
      </c>
      <c r="F31" s="20" t="str">
        <f t="shared" si="7"/>
        <v/>
      </c>
      <c r="G31" s="21" t="str">
        <f t="shared" si="8"/>
        <v/>
      </c>
      <c r="H31" s="25"/>
      <c r="I31" s="25"/>
      <c r="J31" s="23"/>
    </row>
    <row r="32" spans="1:12" ht="14.25" thickBot="1" x14ac:dyDescent="0.3">
      <c r="A32" s="18"/>
      <c r="B32" s="24"/>
      <c r="C32" s="19"/>
      <c r="D32" s="20"/>
      <c r="E32" s="20"/>
      <c r="F32" s="20"/>
      <c r="G32" s="21"/>
      <c r="H32" s="25"/>
      <c r="I32" s="25"/>
      <c r="J32" s="23"/>
    </row>
    <row r="33" spans="1:10" ht="26.25" thickBot="1" x14ac:dyDescent="0.25">
      <c r="A33" s="13" t="s">
        <v>56</v>
      </c>
      <c r="B33" s="14" t="s">
        <v>64</v>
      </c>
      <c r="C33" s="14" t="s">
        <v>56</v>
      </c>
      <c r="D33" s="15" t="s">
        <v>58</v>
      </c>
      <c r="E33" s="15" t="s">
        <v>59</v>
      </c>
      <c r="F33" s="15" t="s">
        <v>60</v>
      </c>
      <c r="G33" s="15" t="s">
        <v>61</v>
      </c>
      <c r="H33" s="16" t="s">
        <v>62</v>
      </c>
      <c r="I33" s="17"/>
      <c r="J33" s="23"/>
    </row>
    <row r="34" spans="1:10" ht="13.5" x14ac:dyDescent="0.25">
      <c r="A34" s="18">
        <f t="shared" ref="A34:A41" si="9">+A16</f>
        <v>1.5</v>
      </c>
      <c r="B34" s="24" t="s">
        <v>45</v>
      </c>
      <c r="C34" s="19">
        <f>+A34</f>
        <v>1.5</v>
      </c>
      <c r="D34" s="20" t="s">
        <v>65</v>
      </c>
      <c r="E34" s="20">
        <f>+'Costo Rosquete'!H47</f>
        <v>4.6230599748354724</v>
      </c>
      <c r="F34" s="20">
        <f>IFERROR(E34*C34,"")</f>
        <v>6.9345899622532086</v>
      </c>
      <c r="G34" s="21">
        <f>IFERROR(F34/$F$66,"")</f>
        <v>1.8011921979878463E-2</v>
      </c>
      <c r="H34" s="25"/>
      <c r="I34" s="25"/>
      <c r="J34" s="23"/>
    </row>
    <row r="35" spans="1:10" ht="13.5" x14ac:dyDescent="0.25">
      <c r="A35" s="18">
        <f t="shared" si="9"/>
        <v>180</v>
      </c>
      <c r="B35" s="24" t="s">
        <v>127</v>
      </c>
      <c r="C35" s="19">
        <f t="shared" ref="C35:C41" si="10">+A35</f>
        <v>180</v>
      </c>
      <c r="D35" s="20" t="s">
        <v>65</v>
      </c>
      <c r="E35" s="20">
        <f>IFERROR(VLOOKUP($H35,[3]SEMIELABORADOS!$A$1:$J$999,8,0),"")</f>
        <v>6.5836961927582538E-3</v>
      </c>
      <c r="F35" s="20">
        <f t="shared" ref="F35:F41" si="11">IFERROR(E35*C35,"")</f>
        <v>1.1850653146964856</v>
      </c>
      <c r="G35" s="21">
        <f t="shared" ref="G35:G41" si="12">IFERROR(F35/$F$66,"")</f>
        <v>3.0780917264843781E-3</v>
      </c>
      <c r="H35" s="25" t="s">
        <v>33</v>
      </c>
      <c r="I35" s="25"/>
      <c r="J35" s="23"/>
    </row>
    <row r="36" spans="1:10" ht="13.5" x14ac:dyDescent="0.25">
      <c r="A36" s="18">
        <f t="shared" si="9"/>
        <v>240</v>
      </c>
      <c r="B36" s="24" t="s">
        <v>128</v>
      </c>
      <c r="C36" s="19">
        <f t="shared" si="10"/>
        <v>240</v>
      </c>
      <c r="D36" s="20" t="s">
        <v>65</v>
      </c>
      <c r="E36" s="20">
        <f>IFERROR(VLOOKUP($H36,[3]SEMIELABORADOS!$A$1:$J$999,8,0),"")</f>
        <v>0</v>
      </c>
      <c r="F36" s="20">
        <f t="shared" si="11"/>
        <v>0</v>
      </c>
      <c r="G36" s="21">
        <f t="shared" si="12"/>
        <v>0</v>
      </c>
      <c r="H36" s="25" t="s">
        <v>22</v>
      </c>
      <c r="I36" s="25"/>
      <c r="J36" s="23"/>
    </row>
    <row r="37" spans="1:10" ht="13.5" x14ac:dyDescent="0.25">
      <c r="A37" s="18">
        <f t="shared" si="9"/>
        <v>80</v>
      </c>
      <c r="B37" s="24" t="s">
        <v>47</v>
      </c>
      <c r="C37" s="19">
        <f t="shared" si="10"/>
        <v>80</v>
      </c>
      <c r="D37" s="20" t="s">
        <v>65</v>
      </c>
      <c r="E37" s="20">
        <f>+[5]Hoja1!$E$69</f>
        <v>0</v>
      </c>
      <c r="F37" s="20">
        <f t="shared" si="11"/>
        <v>0</v>
      </c>
      <c r="G37" s="21">
        <f t="shared" si="12"/>
        <v>0</v>
      </c>
      <c r="H37" s="25" t="s">
        <v>46</v>
      </c>
      <c r="I37" s="25"/>
      <c r="J37" s="23"/>
    </row>
    <row r="38" spans="1:10" ht="13.5" x14ac:dyDescent="0.25">
      <c r="A38" s="18">
        <f t="shared" si="9"/>
        <v>15</v>
      </c>
      <c r="B38" s="24" t="s">
        <v>131</v>
      </c>
      <c r="C38" s="19">
        <f t="shared" si="10"/>
        <v>15</v>
      </c>
      <c r="D38" s="20" t="s">
        <v>65</v>
      </c>
      <c r="E38" s="20">
        <f>IFERROR(VLOOKUP($H38,[3]SEMIELABORADOS!$A$1:$J$999,8,0),"")</f>
        <v>5.764423076923077E-5</v>
      </c>
      <c r="F38" s="20">
        <f t="shared" si="11"/>
        <v>8.6466346153846153E-4</v>
      </c>
      <c r="G38" s="21">
        <f t="shared" si="12"/>
        <v>2.2458791208791207E-6</v>
      </c>
      <c r="H38" s="25" t="s">
        <v>130</v>
      </c>
      <c r="I38" s="25"/>
      <c r="J38" s="23"/>
    </row>
    <row r="39" spans="1:10" ht="13.5" x14ac:dyDescent="0.25">
      <c r="A39" s="18">
        <f t="shared" si="9"/>
        <v>20</v>
      </c>
      <c r="B39" s="24" t="s">
        <v>161</v>
      </c>
      <c r="C39" s="19">
        <f t="shared" si="10"/>
        <v>20</v>
      </c>
      <c r="D39" s="20" t="s">
        <v>65</v>
      </c>
      <c r="E39" s="20">
        <f>IFERROR(VLOOKUP($H39,[3]SEMIELABORADOS!$A$1:$J$999,8,0),"")</f>
        <v>8.2801666666666676E-2</v>
      </c>
      <c r="F39" s="20">
        <f t="shared" si="11"/>
        <v>1.6560333333333335</v>
      </c>
      <c r="G39" s="21">
        <f t="shared" si="12"/>
        <v>4.3013852813852818E-3</v>
      </c>
      <c r="H39" s="25" t="s">
        <v>157</v>
      </c>
      <c r="I39" s="25"/>
      <c r="J39" s="23"/>
    </row>
    <row r="40" spans="1:10" ht="13.5" hidden="1" x14ac:dyDescent="0.25">
      <c r="A40" s="18">
        <f t="shared" si="9"/>
        <v>0</v>
      </c>
      <c r="B40" s="24"/>
      <c r="C40" s="19">
        <f t="shared" si="10"/>
        <v>0</v>
      </c>
      <c r="D40" s="20" t="s">
        <v>65</v>
      </c>
      <c r="E40" s="20" t="str">
        <f>IFERROR(VLOOKUP($H40,[3]SEMIELABORADOS!$A$1:$J$999,8,0),"")</f>
        <v/>
      </c>
      <c r="F40" s="20" t="str">
        <f t="shared" si="11"/>
        <v/>
      </c>
      <c r="G40" s="21" t="str">
        <f t="shared" si="12"/>
        <v/>
      </c>
      <c r="H40" s="25"/>
      <c r="I40" s="25"/>
      <c r="J40" s="23"/>
    </row>
    <row r="41" spans="1:10" ht="13.5" hidden="1" x14ac:dyDescent="0.25">
      <c r="A41" s="18">
        <f t="shared" si="9"/>
        <v>0</v>
      </c>
      <c r="B41" s="24"/>
      <c r="C41" s="19">
        <f t="shared" si="10"/>
        <v>0</v>
      </c>
      <c r="D41" s="20" t="s">
        <v>65</v>
      </c>
      <c r="E41" s="20" t="str">
        <f>IFERROR(VLOOKUP($H41,[3]SEMIELABORADOS!$A$1:$J$999,8,0),"")</f>
        <v/>
      </c>
      <c r="F41" s="20" t="str">
        <f t="shared" si="11"/>
        <v/>
      </c>
      <c r="G41" s="21" t="str">
        <f t="shared" si="12"/>
        <v/>
      </c>
      <c r="H41" s="25"/>
      <c r="I41" s="25"/>
      <c r="J41" s="23"/>
    </row>
    <row r="42" spans="1:10" ht="14.25" thickBot="1" x14ac:dyDescent="0.3">
      <c r="A42" s="18"/>
      <c r="B42" s="24"/>
      <c r="C42" s="19"/>
      <c r="D42" s="20"/>
      <c r="E42" s="20"/>
      <c r="F42" s="20"/>
      <c r="G42" s="21"/>
      <c r="H42" s="25"/>
      <c r="I42" s="25"/>
      <c r="J42" s="23"/>
    </row>
    <row r="43" spans="1:10" ht="26.25" thickBot="1" x14ac:dyDescent="0.25">
      <c r="A43" s="13" t="s">
        <v>56</v>
      </c>
      <c r="B43" s="14" t="s">
        <v>66</v>
      </c>
      <c r="C43" s="14" t="s">
        <v>56</v>
      </c>
      <c r="D43" s="14"/>
      <c r="E43" s="15" t="s">
        <v>59</v>
      </c>
      <c r="F43" s="15" t="s">
        <v>60</v>
      </c>
      <c r="G43" s="15" t="s">
        <v>61</v>
      </c>
      <c r="H43" s="16" t="s">
        <v>62</v>
      </c>
      <c r="I43" s="17"/>
      <c r="J43" s="23"/>
    </row>
    <row r="44" spans="1:10" ht="13.5" x14ac:dyDescent="0.25">
      <c r="A44" s="18">
        <f t="shared" ref="A44:A51" si="13">+A16</f>
        <v>1.5</v>
      </c>
      <c r="B44" s="28" t="s">
        <v>45</v>
      </c>
      <c r="C44" s="19">
        <f>+A44</f>
        <v>1.5</v>
      </c>
      <c r="D44" s="19" t="s">
        <v>65</v>
      </c>
      <c r="E44" s="20">
        <f>+'Costo Rosquete'!H49</f>
        <v>30.013732325535933</v>
      </c>
      <c r="F44" s="20">
        <f>IFERROR(C44*E44,"")</f>
        <v>45.020598488303904</v>
      </c>
      <c r="G44" s="21">
        <f>IFERROR(F44/$F$67,"")</f>
        <v>9.3204052451880699E-3</v>
      </c>
      <c r="H44" s="29"/>
      <c r="I44" s="29"/>
      <c r="J44" s="23"/>
    </row>
    <row r="45" spans="1:10" ht="13.5" x14ac:dyDescent="0.25">
      <c r="A45" s="18">
        <f t="shared" si="13"/>
        <v>180</v>
      </c>
      <c r="B45" s="28" t="s">
        <v>127</v>
      </c>
      <c r="C45" s="19">
        <f t="shared" ref="C45:C51" si="14">+A45</f>
        <v>180</v>
      </c>
      <c r="D45" s="19" t="s">
        <v>65</v>
      </c>
      <c r="E45" s="20">
        <f>+'[6]COSTEO ALMIBAR'!$E$45</f>
        <v>3.5216187433439836E-2</v>
      </c>
      <c r="F45" s="20">
        <f t="shared" ref="F45:F51" si="15">IFERROR(C45*E45,"")</f>
        <v>6.33891373801917</v>
      </c>
      <c r="G45" s="21">
        <f t="shared" ref="G45:G51" si="16">IFERROR(F45/$F$67,"")</f>
        <v>1.3123158473332503E-3</v>
      </c>
      <c r="H45" s="29" t="s">
        <v>33</v>
      </c>
      <c r="I45" s="29"/>
      <c r="J45" s="23"/>
    </row>
    <row r="46" spans="1:10" ht="13.5" x14ac:dyDescent="0.25">
      <c r="A46" s="18">
        <f t="shared" si="13"/>
        <v>240</v>
      </c>
      <c r="B46" s="28" t="s">
        <v>128</v>
      </c>
      <c r="C46" s="19">
        <f t="shared" si="14"/>
        <v>240</v>
      </c>
      <c r="D46" s="19" t="s">
        <v>65</v>
      </c>
      <c r="E46" s="20">
        <f>IFERROR(VLOOKUP($H46,[3]SEMIELABORADOS!$A$1:$J$999,10,0),"")</f>
        <v>2.685207384320307E-2</v>
      </c>
      <c r="F46" s="20">
        <f t="shared" si="15"/>
        <v>6.4444977223687365</v>
      </c>
      <c r="G46" s="21">
        <f t="shared" si="16"/>
        <v>1.3341744088491577E-3</v>
      </c>
      <c r="H46" s="29" t="s">
        <v>22</v>
      </c>
      <c r="I46" s="29"/>
      <c r="J46" s="23"/>
    </row>
    <row r="47" spans="1:10" ht="13.5" x14ac:dyDescent="0.25">
      <c r="A47" s="18">
        <f t="shared" si="13"/>
        <v>80</v>
      </c>
      <c r="B47" s="28" t="s">
        <v>47</v>
      </c>
      <c r="C47" s="19">
        <f t="shared" si="14"/>
        <v>80</v>
      </c>
      <c r="D47" s="19" t="s">
        <v>65</v>
      </c>
      <c r="E47" s="20">
        <f>+[5]Hoja1!$E$67</f>
        <v>0.171875</v>
      </c>
      <c r="F47" s="20">
        <f t="shared" si="15"/>
        <v>13.75</v>
      </c>
      <c r="G47" s="21">
        <f t="shared" si="16"/>
        <v>2.8465985887466613E-3</v>
      </c>
      <c r="H47" s="29" t="s">
        <v>46</v>
      </c>
      <c r="I47" s="29"/>
      <c r="J47" s="23"/>
    </row>
    <row r="48" spans="1:10" ht="13.5" x14ac:dyDescent="0.25">
      <c r="A48" s="18">
        <f t="shared" si="13"/>
        <v>15</v>
      </c>
      <c r="B48" s="28" t="s">
        <v>131</v>
      </c>
      <c r="C48" s="19">
        <f t="shared" si="14"/>
        <v>15</v>
      </c>
      <c r="D48" s="19" t="s">
        <v>65</v>
      </c>
      <c r="E48" s="20">
        <f>IFERROR(VLOOKUP($H48,[3]SEMIELABORADOS!$A$1:$J$999,10,0),"")</f>
        <v>2.6442307692307692E-2</v>
      </c>
      <c r="F48" s="20">
        <f t="shared" si="15"/>
        <v>0.39663461538461536</v>
      </c>
      <c r="G48" s="21">
        <f t="shared" si="16"/>
        <v>8.2113420829230612E-5</v>
      </c>
      <c r="H48" s="29" t="s">
        <v>130</v>
      </c>
      <c r="I48" s="29"/>
      <c r="J48" s="23"/>
    </row>
    <row r="49" spans="1:17" ht="13.5" x14ac:dyDescent="0.25">
      <c r="A49" s="18">
        <f t="shared" si="13"/>
        <v>20</v>
      </c>
      <c r="B49" s="28" t="s">
        <v>161</v>
      </c>
      <c r="C49" s="19">
        <f t="shared" si="14"/>
        <v>20</v>
      </c>
      <c r="D49" s="19" t="s">
        <v>65</v>
      </c>
      <c r="E49" s="20">
        <f>IFERROR(VLOOKUP($H49,[3]SEMIELABORADOS!$A$1:$J$999,10,0),"")</f>
        <v>9.166666666666666E-2</v>
      </c>
      <c r="F49" s="20">
        <f t="shared" si="15"/>
        <v>1.8333333333333333</v>
      </c>
      <c r="G49" s="21">
        <f t="shared" si="16"/>
        <v>3.7954647849955479E-4</v>
      </c>
      <c r="H49" s="29" t="s">
        <v>157</v>
      </c>
      <c r="I49" s="29"/>
      <c r="J49" s="23"/>
    </row>
    <row r="50" spans="1:17" ht="13.5" hidden="1" x14ac:dyDescent="0.25">
      <c r="A50" s="18">
        <f t="shared" si="13"/>
        <v>0</v>
      </c>
      <c r="B50" s="28"/>
      <c r="C50" s="19">
        <f t="shared" si="14"/>
        <v>0</v>
      </c>
      <c r="D50" s="19" t="s">
        <v>65</v>
      </c>
      <c r="E50" s="20" t="str">
        <f>IFERROR(VLOOKUP($H50,[3]SEMIELABORADOS!$A$1:$J$999,10,0),"")</f>
        <v/>
      </c>
      <c r="F50" s="20" t="str">
        <f t="shared" si="15"/>
        <v/>
      </c>
      <c r="G50" s="21" t="str">
        <f t="shared" si="16"/>
        <v/>
      </c>
      <c r="H50" s="29"/>
      <c r="I50" s="29"/>
      <c r="J50" s="23"/>
    </row>
    <row r="51" spans="1:17" ht="13.5" hidden="1" x14ac:dyDescent="0.25">
      <c r="A51" s="18">
        <f t="shared" si="13"/>
        <v>0</v>
      </c>
      <c r="B51" s="28"/>
      <c r="C51" s="19">
        <f t="shared" si="14"/>
        <v>0</v>
      </c>
      <c r="D51" s="19" t="s">
        <v>65</v>
      </c>
      <c r="E51" s="20" t="str">
        <f>IFERROR(VLOOKUP($H51,[3]SEMIELABORADOS!$A$1:$J$999,10,0),"")</f>
        <v/>
      </c>
      <c r="F51" s="20" t="str">
        <f t="shared" si="15"/>
        <v/>
      </c>
      <c r="G51" s="21" t="str">
        <f t="shared" si="16"/>
        <v/>
      </c>
      <c r="H51" s="29"/>
      <c r="I51" s="29"/>
      <c r="J51" s="23"/>
    </row>
    <row r="52" spans="1:17" ht="12.75" customHeight="1" x14ac:dyDescent="0.25">
      <c r="A52" s="18">
        <v>1</v>
      </c>
      <c r="B52" s="24" t="s">
        <v>67</v>
      </c>
      <c r="C52" s="19">
        <f>+A52</f>
        <v>1</v>
      </c>
      <c r="D52" s="19" t="s">
        <v>65</v>
      </c>
      <c r="E52" s="20">
        <f>+F66</f>
        <v>385</v>
      </c>
      <c r="F52" s="20">
        <f>IFERROR(C52*E52,"")</f>
        <v>385</v>
      </c>
      <c r="G52" s="21">
        <f>IFERROR(F52/$F$67,"")</f>
        <v>7.9704760484906517E-2</v>
      </c>
      <c r="H52" s="29"/>
      <c r="I52" s="29"/>
      <c r="J52" s="23"/>
    </row>
    <row r="53" spans="1:17" ht="14.25" thickBot="1" x14ac:dyDescent="0.3">
      <c r="A53" s="18"/>
      <c r="B53" s="24"/>
      <c r="C53" s="19"/>
      <c r="D53" s="19"/>
      <c r="E53" s="20"/>
      <c r="F53" s="20"/>
      <c r="G53" s="21"/>
      <c r="H53" s="29"/>
      <c r="I53" s="29"/>
      <c r="J53" s="23"/>
    </row>
    <row r="54" spans="1:17" ht="13.5" thickBot="1" x14ac:dyDescent="0.25">
      <c r="A54" s="30"/>
      <c r="B54" s="231" t="s">
        <v>68</v>
      </c>
      <c r="C54" s="231"/>
      <c r="D54" s="231"/>
      <c r="E54" s="231"/>
      <c r="F54" s="32">
        <f>SUM(F8:F13,F16:F23)</f>
        <v>3882.9116491926065</v>
      </c>
      <c r="G54" s="21">
        <f>+F54/$F$67</f>
        <v>0.80386115060506502</v>
      </c>
      <c r="H54" s="33">
        <f>+F54/$D$61</f>
        <v>3882.9116491926065</v>
      </c>
      <c r="I54" s="33"/>
      <c r="J54" s="34"/>
      <c r="K54" s="35"/>
      <c r="L54" s="35"/>
      <c r="M54" s="35"/>
      <c r="N54" s="35"/>
      <c r="O54" s="35"/>
      <c r="P54" s="35"/>
      <c r="Q54" s="36"/>
    </row>
    <row r="55" spans="1:17" x14ac:dyDescent="0.2">
      <c r="A55" s="30"/>
      <c r="B55" s="231" t="s">
        <v>69</v>
      </c>
      <c r="C55" s="231"/>
      <c r="D55" s="231"/>
      <c r="E55" s="231"/>
      <c r="F55" s="32">
        <f>SUM(F26:F31,F34:F41)</f>
        <v>484.756407718189</v>
      </c>
      <c r="G55" s="21">
        <f>+F55/$F$67</f>
        <v>0.10035686589792712</v>
      </c>
      <c r="H55" s="33">
        <f>+F55/$D$61</f>
        <v>484.756407718189</v>
      </c>
      <c r="I55" s="33"/>
      <c r="J55" s="37"/>
      <c r="K55" s="243" t="s">
        <v>70</v>
      </c>
      <c r="L55" s="244"/>
      <c r="M55" s="244"/>
      <c r="N55" s="244"/>
      <c r="O55" s="38">
        <f>+F56</f>
        <v>4367.6680569107957</v>
      </c>
      <c r="P55" s="38"/>
      <c r="Q55" s="39"/>
    </row>
    <row r="56" spans="1:17" x14ac:dyDescent="0.2">
      <c r="A56" s="30"/>
      <c r="B56" s="231" t="s">
        <v>71</v>
      </c>
      <c r="C56" s="231"/>
      <c r="D56" s="231"/>
      <c r="E56" s="231"/>
      <c r="F56" s="32">
        <f>+F54+F55</f>
        <v>4367.6680569107957</v>
      </c>
      <c r="G56" s="21">
        <f>+F56/$F$67</f>
        <v>0.90421801650299216</v>
      </c>
      <c r="H56" s="33">
        <f>+F56/$D$61</f>
        <v>4367.6680569107957</v>
      </c>
      <c r="I56" s="33"/>
      <c r="J56" s="40"/>
      <c r="K56" s="41"/>
      <c r="L56" s="233" t="s">
        <v>72</v>
      </c>
      <c r="M56" s="233"/>
      <c r="N56" s="233"/>
      <c r="O56" s="38">
        <f>+F57</f>
        <v>458.78397789740973</v>
      </c>
      <c r="P56" s="38"/>
      <c r="Q56" s="39"/>
    </row>
    <row r="57" spans="1:17" ht="13.5" thickBot="1" x14ac:dyDescent="0.25">
      <c r="A57" s="30"/>
      <c r="B57" s="31"/>
      <c r="C57" s="231" t="s">
        <v>73</v>
      </c>
      <c r="D57" s="231"/>
      <c r="E57" s="231"/>
      <c r="F57" s="32">
        <f>SUM(F44:F52)</f>
        <v>458.78397789740973</v>
      </c>
      <c r="G57" s="21">
        <f>+F57/$F$67</f>
        <v>9.4979914474352431E-2</v>
      </c>
      <c r="H57" s="33">
        <f>+F57/$D$61</f>
        <v>458.78397789740973</v>
      </c>
      <c r="I57" s="33"/>
      <c r="J57" s="40"/>
      <c r="K57" s="41"/>
      <c r="L57" s="41"/>
      <c r="M57" s="41" t="s">
        <v>74</v>
      </c>
      <c r="N57" s="42">
        <v>0.01</v>
      </c>
      <c r="O57" s="38">
        <f>O55*N57</f>
        <v>43.676680569107958</v>
      </c>
      <c r="P57" s="38"/>
      <c r="Q57" s="39"/>
    </row>
    <row r="58" spans="1:17" ht="13.5" thickBot="1" x14ac:dyDescent="0.25">
      <c r="A58" s="30"/>
      <c r="B58" s="43"/>
      <c r="C58" s="43"/>
      <c r="D58" s="43"/>
      <c r="E58" s="43"/>
      <c r="F58" s="44"/>
      <c r="G58" s="21"/>
      <c r="H58" s="45"/>
      <c r="I58" s="33"/>
      <c r="J58" s="40"/>
      <c r="K58" s="46"/>
      <c r="M58" s="47" t="s">
        <v>75</v>
      </c>
      <c r="N58" s="48"/>
      <c r="O58" s="49">
        <f>SUM(O55:O57)</f>
        <v>4870.1287153773128</v>
      </c>
      <c r="P58" s="50"/>
      <c r="Q58" s="39"/>
    </row>
    <row r="59" spans="1:17" x14ac:dyDescent="0.2">
      <c r="B59" s="232" t="s">
        <v>76</v>
      </c>
      <c r="C59" s="232"/>
      <c r="D59" s="51">
        <v>1340</v>
      </c>
      <c r="E59" s="52"/>
      <c r="G59" s="21"/>
      <c r="H59" s="45"/>
      <c r="I59" s="53"/>
      <c r="J59" s="40"/>
      <c r="K59" s="46"/>
      <c r="L59" s="41"/>
      <c r="M59" s="41" t="s">
        <v>77</v>
      </c>
      <c r="N59" s="54">
        <v>0.25</v>
      </c>
      <c r="O59" s="38">
        <f>+O58*N59</f>
        <v>1217.5321788443282</v>
      </c>
      <c r="P59" s="38"/>
      <c r="Q59" s="39"/>
    </row>
    <row r="60" spans="1:17" x14ac:dyDescent="0.2">
      <c r="B60" s="232" t="s">
        <v>78</v>
      </c>
      <c r="C60" s="232"/>
      <c r="D60" s="55">
        <v>1340</v>
      </c>
      <c r="E60" s="52"/>
      <c r="G60" s="21"/>
      <c r="H60" s="45"/>
      <c r="I60" s="53"/>
      <c r="J60" s="40"/>
      <c r="K60" s="46"/>
      <c r="L60" s="41"/>
      <c r="M60" s="233" t="s">
        <v>75</v>
      </c>
      <c r="N60" s="233"/>
      <c r="O60" s="38">
        <f>SUM(O58:O59)</f>
        <v>6087.6608942216408</v>
      </c>
      <c r="P60" s="38"/>
      <c r="Q60" s="39"/>
    </row>
    <row r="61" spans="1:17" ht="13.5" thickBot="1" x14ac:dyDescent="0.25">
      <c r="B61" s="234" t="s">
        <v>79</v>
      </c>
      <c r="C61" s="234"/>
      <c r="D61" s="51">
        <f>+D59/D60</f>
        <v>1</v>
      </c>
      <c r="E61" s="52"/>
      <c r="F61" s="56"/>
      <c r="G61" s="21"/>
      <c r="H61" s="45"/>
      <c r="I61" s="53"/>
      <c r="J61" s="40"/>
      <c r="K61" s="46"/>
      <c r="L61" s="233" t="s">
        <v>80</v>
      </c>
      <c r="M61" s="233"/>
      <c r="N61" s="54">
        <v>0.05</v>
      </c>
      <c r="O61" s="38">
        <f>+O60*N61</f>
        <v>304.38304471108205</v>
      </c>
      <c r="P61" s="38"/>
      <c r="Q61" s="39"/>
    </row>
    <row r="62" spans="1:17" ht="13.5" thickBot="1" x14ac:dyDescent="0.25">
      <c r="B62" s="234" t="s">
        <v>81</v>
      </c>
      <c r="C62" s="234"/>
      <c r="D62" s="57" t="s">
        <v>126</v>
      </c>
      <c r="E62" s="52"/>
      <c r="F62" s="56"/>
      <c r="G62" s="21"/>
      <c r="H62" s="45"/>
      <c r="I62" s="53"/>
      <c r="J62" s="40"/>
      <c r="K62" s="235" t="s">
        <v>82</v>
      </c>
      <c r="L62" s="236"/>
      <c r="M62" s="236"/>
      <c r="N62" s="237"/>
      <c r="O62" s="49">
        <f>SUM(O60:O61)</f>
        <v>6392.043938932723</v>
      </c>
      <c r="P62" s="58" t="s">
        <v>83</v>
      </c>
      <c r="Q62" s="39"/>
    </row>
    <row r="63" spans="1:17" ht="13.5" thickBot="1" x14ac:dyDescent="0.25">
      <c r="C63" s="30" t="s">
        <v>84</v>
      </c>
      <c r="D63" s="59"/>
      <c r="E63" s="4" t="s">
        <v>85</v>
      </c>
      <c r="F63" s="60" t="s">
        <v>86</v>
      </c>
      <c r="G63" s="21"/>
      <c r="H63" s="45"/>
      <c r="I63" s="53"/>
      <c r="J63" s="61"/>
      <c r="K63" s="62"/>
      <c r="L63" s="238" t="s">
        <v>87</v>
      </c>
      <c r="M63" s="238"/>
      <c r="N63" s="238"/>
      <c r="O63" s="63">
        <f>+O62/D61</f>
        <v>6392.043938932723</v>
      </c>
      <c r="P63" s="64">
        <f>+O63/D60</f>
        <v>4.7701820439796441</v>
      </c>
      <c r="Q63" s="65"/>
    </row>
    <row r="64" spans="1:17" ht="13.5" thickBot="1" x14ac:dyDescent="0.25">
      <c r="B64" s="239" t="s">
        <v>71</v>
      </c>
      <c r="C64" s="239"/>
      <c r="D64" s="239"/>
      <c r="E64" s="66">
        <f>+F64/F64</f>
        <v>1</v>
      </c>
      <c r="F64" s="67">
        <f>SUM(F56)</f>
        <v>4367.6680569107957</v>
      </c>
      <c r="G64" s="21">
        <f>+F64/$F$67</f>
        <v>0.90421801650299216</v>
      </c>
      <c r="H64" s="45"/>
      <c r="I64" s="53"/>
      <c r="K64" s="240"/>
      <c r="L64" s="241"/>
      <c r="M64" s="241"/>
      <c r="N64" s="241"/>
      <c r="O64" s="68"/>
      <c r="P64" s="69"/>
    </row>
    <row r="65" spans="2:16" ht="13.5" thickBot="1" x14ac:dyDescent="0.25">
      <c r="B65" s="230" t="s">
        <v>88</v>
      </c>
      <c r="C65" s="230"/>
      <c r="D65" s="230"/>
      <c r="E65" s="70">
        <v>0.02</v>
      </c>
      <c r="F65" s="67">
        <f>+F54*E65</f>
        <v>77.65823298385213</v>
      </c>
      <c r="G65" s="21">
        <f>+F65/$F$67</f>
        <v>1.6077223012101301E-2</v>
      </c>
      <c r="H65" s="33"/>
      <c r="I65" s="53"/>
      <c r="J65" s="71"/>
      <c r="O65" s="72"/>
      <c r="P65" s="31"/>
    </row>
    <row r="66" spans="2:16" ht="13.5" thickBot="1" x14ac:dyDescent="0.25">
      <c r="B66" s="220" t="s">
        <v>89</v>
      </c>
      <c r="C66" s="221"/>
      <c r="D66" s="73">
        <v>7</v>
      </c>
      <c r="E66" s="74">
        <v>55</v>
      </c>
      <c r="F66" s="67">
        <f>+E66*D66</f>
        <v>385</v>
      </c>
      <c r="G66" s="21">
        <f>+F66/$F$67</f>
        <v>7.9704760484906517E-2</v>
      </c>
      <c r="H66" s="33"/>
      <c r="I66" s="33"/>
      <c r="J66" s="23"/>
    </row>
    <row r="67" spans="2:16" ht="13.5" thickBot="1" x14ac:dyDescent="0.25">
      <c r="B67" s="222" t="s">
        <v>90</v>
      </c>
      <c r="C67" s="223"/>
      <c r="D67" s="223"/>
      <c r="E67" s="224"/>
      <c r="F67" s="44">
        <f>SUM(F64:F66)</f>
        <v>4830.3262898946477</v>
      </c>
      <c r="G67" s="21">
        <f>+F67/$F$67</f>
        <v>1</v>
      </c>
      <c r="H67" s="225"/>
      <c r="I67" s="33"/>
      <c r="J67" s="23"/>
    </row>
    <row r="68" spans="2:16" x14ac:dyDescent="0.2">
      <c r="C68" s="76"/>
      <c r="D68" s="76"/>
      <c r="E68" s="77"/>
      <c r="F68" s="67"/>
      <c r="G68" s="21"/>
      <c r="H68" s="225"/>
      <c r="I68" s="75"/>
      <c r="J68" s="6"/>
    </row>
    <row r="69" spans="2:16" ht="13.5" thickBot="1" x14ac:dyDescent="0.25">
      <c r="B69" s="226" t="s">
        <v>91</v>
      </c>
      <c r="C69" s="226"/>
      <c r="D69" s="226"/>
      <c r="E69" s="226"/>
      <c r="F69" s="226"/>
      <c r="G69" s="21"/>
      <c r="H69" s="79"/>
      <c r="I69" s="75"/>
      <c r="J69" s="6"/>
    </row>
    <row r="70" spans="2:16" ht="13.5" thickBot="1" x14ac:dyDescent="0.25">
      <c r="B70" s="80" t="s">
        <v>92</v>
      </c>
      <c r="C70" s="81">
        <f>+F54</f>
        <v>3882.9116491926065</v>
      </c>
      <c r="D70" s="81">
        <f>+D59</f>
        <v>1340</v>
      </c>
      <c r="E70" s="82">
        <f>+C70/D70</f>
        <v>2.8976952605914974</v>
      </c>
      <c r="F70" s="21"/>
      <c r="G70" s="79"/>
      <c r="H70" s="23"/>
      <c r="I70" s="79"/>
      <c r="J70" s="6"/>
    </row>
    <row r="71" spans="2:16" x14ac:dyDescent="0.2">
      <c r="B71" s="83"/>
      <c r="C71" s="84"/>
      <c r="D71" s="85"/>
      <c r="E71" s="67"/>
      <c r="F71" s="21"/>
      <c r="G71" s="79"/>
      <c r="H71" s="23"/>
      <c r="I71" s="23"/>
      <c r="J71" s="6"/>
    </row>
    <row r="72" spans="2:16" x14ac:dyDescent="0.2">
      <c r="B72" s="80" t="s">
        <v>93</v>
      </c>
      <c r="C72" s="81">
        <f>SUM(F64:F65)</f>
        <v>4445.3262898946477</v>
      </c>
      <c r="D72" s="81">
        <f>+D59</f>
        <v>1340</v>
      </c>
      <c r="E72" s="86">
        <f>+C72/D72</f>
        <v>3.3174076790258566</v>
      </c>
      <c r="F72" s="21"/>
      <c r="G72" s="79"/>
      <c r="H72" s="23"/>
      <c r="I72" s="23"/>
      <c r="J72" s="6"/>
    </row>
    <row r="73" spans="2:16" x14ac:dyDescent="0.2">
      <c r="B73" s="80"/>
      <c r="C73" s="81"/>
      <c r="D73" s="81"/>
      <c r="E73" s="86"/>
      <c r="F73" s="21"/>
      <c r="G73" s="79"/>
      <c r="H73" s="23"/>
      <c r="I73" s="23"/>
      <c r="J73" s="6"/>
    </row>
    <row r="74" spans="2:16" ht="13.5" thickBot="1" x14ac:dyDescent="0.25">
      <c r="B74" s="80" t="s">
        <v>94</v>
      </c>
      <c r="C74" s="81">
        <f>+F66</f>
        <v>385</v>
      </c>
      <c r="D74" s="81">
        <f>+D59</f>
        <v>1340</v>
      </c>
      <c r="E74" s="86">
        <f>+C74/D74</f>
        <v>0.28731343283582089</v>
      </c>
      <c r="F74" s="21"/>
      <c r="G74" s="79"/>
      <c r="H74" s="23"/>
      <c r="I74" s="23"/>
      <c r="J74" s="6"/>
    </row>
    <row r="75" spans="2:16" ht="13.5" thickBot="1" x14ac:dyDescent="0.25">
      <c r="B75" s="80" t="s">
        <v>95</v>
      </c>
      <c r="C75" s="81">
        <f>+F57</f>
        <v>458.78397789740973</v>
      </c>
      <c r="D75" s="81">
        <f>+D74</f>
        <v>1340</v>
      </c>
      <c r="E75" s="82">
        <f>+C75/D75</f>
        <v>0.34237610290851472</v>
      </c>
      <c r="F75" s="21"/>
      <c r="G75" s="79"/>
      <c r="H75" s="23"/>
      <c r="I75" s="23"/>
      <c r="J75" s="6"/>
    </row>
    <row r="76" spans="2:16" ht="13.5" thickBot="1" x14ac:dyDescent="0.25">
      <c r="B76" s="43"/>
      <c r="C76" s="44"/>
      <c r="D76" s="44"/>
      <c r="E76" s="86"/>
      <c r="F76" s="21"/>
      <c r="G76" s="79"/>
      <c r="H76" s="23"/>
      <c r="I76" s="23"/>
      <c r="J76" s="6"/>
    </row>
    <row r="77" spans="2:16" ht="13.5" thickBot="1" x14ac:dyDescent="0.25">
      <c r="B77" s="80" t="s">
        <v>96</v>
      </c>
      <c r="C77" s="81">
        <f>+F55</f>
        <v>484.756407718189</v>
      </c>
      <c r="D77" s="81">
        <f>+D75</f>
        <v>1340</v>
      </c>
      <c r="E77" s="82">
        <f>+C77/D77</f>
        <v>0.36175851322252911</v>
      </c>
      <c r="F77" s="21"/>
      <c r="G77" s="79"/>
      <c r="H77" s="23"/>
      <c r="I77" s="23"/>
      <c r="J77" s="23"/>
    </row>
    <row r="78" spans="2:16" ht="13.5" thickBot="1" x14ac:dyDescent="0.25">
      <c r="B78" s="43"/>
      <c r="C78" s="44"/>
      <c r="D78" s="44"/>
      <c r="E78" s="86"/>
      <c r="F78" s="21"/>
      <c r="G78" s="79"/>
      <c r="H78" s="23"/>
      <c r="I78" s="23"/>
    </row>
    <row r="79" spans="2:16" ht="13.5" thickBot="1" x14ac:dyDescent="0.25">
      <c r="B79" s="227" t="s">
        <v>97</v>
      </c>
      <c r="C79" s="228"/>
      <c r="D79" s="229"/>
      <c r="E79" s="82">
        <f>+E70+E75</f>
        <v>3.2400713635000122</v>
      </c>
      <c r="G79" s="21"/>
      <c r="H79" s="79"/>
      <c r="I79" s="23"/>
      <c r="J79" s="86"/>
    </row>
    <row r="80" spans="2:16" x14ac:dyDescent="0.2">
      <c r="I80" s="79"/>
      <c r="J80" s="6"/>
    </row>
    <row r="81" spans="1:10" ht="13.5" thickBot="1" x14ac:dyDescent="0.25">
      <c r="B81" s="226" t="s">
        <v>98</v>
      </c>
      <c r="C81" s="226"/>
      <c r="D81" s="226"/>
      <c r="E81" s="226"/>
      <c r="F81" s="226"/>
      <c r="G81" s="21"/>
      <c r="H81" s="79"/>
      <c r="J81" s="6"/>
    </row>
    <row r="82" spans="1:10" ht="13.5" thickBot="1" x14ac:dyDescent="0.25">
      <c r="B82" s="80" t="s">
        <v>92</v>
      </c>
      <c r="C82" s="81">
        <f>+C70</f>
        <v>3882.9116491926065</v>
      </c>
      <c r="D82" s="81">
        <f>+D61</f>
        <v>1</v>
      </c>
      <c r="E82" s="82">
        <f>+C82/D82</f>
        <v>3882.9116491926065</v>
      </c>
      <c r="F82" s="21"/>
      <c r="G82" s="79"/>
      <c r="H82" s="23"/>
      <c r="I82" s="79"/>
      <c r="J82" s="6"/>
    </row>
    <row r="83" spans="1:10" x14ac:dyDescent="0.2">
      <c r="B83" s="83"/>
      <c r="C83" s="84"/>
      <c r="D83" s="85"/>
      <c r="E83" s="67"/>
      <c r="F83" s="21"/>
      <c r="G83" s="79"/>
      <c r="H83" s="23"/>
      <c r="I83" s="23"/>
      <c r="J83" s="6"/>
    </row>
    <row r="84" spans="1:10" x14ac:dyDescent="0.2">
      <c r="B84" s="80" t="s">
        <v>93</v>
      </c>
      <c r="C84" s="81">
        <f>+C72</f>
        <v>4445.3262898946477</v>
      </c>
      <c r="D84" s="81">
        <f>+D61</f>
        <v>1</v>
      </c>
      <c r="E84" s="86">
        <f>+C84/D84</f>
        <v>4445.3262898946477</v>
      </c>
      <c r="F84" s="21"/>
      <c r="G84" s="79"/>
      <c r="H84" s="23"/>
      <c r="I84" s="23"/>
      <c r="J84" s="6"/>
    </row>
    <row r="85" spans="1:10" x14ac:dyDescent="0.2">
      <c r="B85" s="80"/>
      <c r="C85" s="81"/>
      <c r="D85" s="81"/>
      <c r="E85" s="86"/>
      <c r="F85" s="21"/>
      <c r="G85" s="79"/>
      <c r="H85" s="23"/>
      <c r="I85" s="23"/>
      <c r="J85" s="6"/>
    </row>
    <row r="86" spans="1:10" ht="13.5" thickBot="1" x14ac:dyDescent="0.25">
      <c r="B86" s="80" t="s">
        <v>95</v>
      </c>
      <c r="C86" s="81">
        <f>+C74</f>
        <v>385</v>
      </c>
      <c r="D86" s="81">
        <f>+D61</f>
        <v>1</v>
      </c>
      <c r="E86" s="86">
        <f>+C86/D86</f>
        <v>385</v>
      </c>
      <c r="F86" s="88"/>
      <c r="G86" s="78"/>
      <c r="H86" s="5"/>
      <c r="I86" s="23"/>
    </row>
    <row r="87" spans="1:10" ht="13.5" thickBot="1" x14ac:dyDescent="0.25">
      <c r="B87" s="80" t="s">
        <v>95</v>
      </c>
      <c r="C87" s="81">
        <f>+C75</f>
        <v>458.78397789740973</v>
      </c>
      <c r="D87" s="81">
        <f>+D86</f>
        <v>1</v>
      </c>
      <c r="E87" s="82">
        <f>+C87/D87</f>
        <v>458.78397789740973</v>
      </c>
      <c r="F87" s="87"/>
      <c r="G87" s="78"/>
      <c r="H87" s="5"/>
      <c r="I87" s="5"/>
    </row>
    <row r="88" spans="1:10" x14ac:dyDescent="0.2">
      <c r="I88" s="5"/>
    </row>
    <row r="89" spans="1:10" x14ac:dyDescent="0.2">
      <c r="A89" s="219"/>
      <c r="B89" s="219"/>
      <c r="C89" s="89"/>
      <c r="D89" s="89"/>
      <c r="E89" s="90"/>
      <c r="G89" s="91"/>
    </row>
    <row r="90" spans="1:10" x14ac:dyDescent="0.2">
      <c r="A90" s="24"/>
      <c r="B90" s="92"/>
      <c r="C90" s="93"/>
      <c r="D90" s="93"/>
      <c r="E90" s="94"/>
      <c r="G90" s="91"/>
    </row>
    <row r="91" spans="1:10" x14ac:dyDescent="0.2">
      <c r="A91" s="24"/>
      <c r="B91" s="92"/>
      <c r="C91" s="95"/>
      <c r="D91" s="95"/>
      <c r="E91" s="24"/>
      <c r="G91" s="91"/>
    </row>
    <row r="92" spans="1:10" x14ac:dyDescent="0.2">
      <c r="A92" s="24"/>
      <c r="B92" s="92"/>
      <c r="C92" s="96"/>
      <c r="D92" s="96"/>
      <c r="E92" s="24"/>
      <c r="G92" s="91"/>
    </row>
  </sheetData>
  <mergeCells count="31">
    <mergeCell ref="K28:L28"/>
    <mergeCell ref="A4:H4"/>
    <mergeCell ref="A5:H5"/>
    <mergeCell ref="F6:G6"/>
    <mergeCell ref="K26:L26"/>
    <mergeCell ref="K27:L27"/>
    <mergeCell ref="K29:L29"/>
    <mergeCell ref="B54:E54"/>
    <mergeCell ref="B55:E55"/>
    <mergeCell ref="K55:N55"/>
    <mergeCell ref="B56:E56"/>
    <mergeCell ref="L56:N56"/>
    <mergeCell ref="B65:D65"/>
    <mergeCell ref="C57:E57"/>
    <mergeCell ref="B59:C59"/>
    <mergeCell ref="B60:C60"/>
    <mergeCell ref="M60:N60"/>
    <mergeCell ref="B61:C61"/>
    <mergeCell ref="L61:M61"/>
    <mergeCell ref="B62:C62"/>
    <mergeCell ref="K62:N62"/>
    <mergeCell ref="L63:N63"/>
    <mergeCell ref="B64:D64"/>
    <mergeCell ref="K64:N64"/>
    <mergeCell ref="A89:B89"/>
    <mergeCell ref="B66:C66"/>
    <mergeCell ref="B67:E67"/>
    <mergeCell ref="H67:H68"/>
    <mergeCell ref="B69:F69"/>
    <mergeCell ref="B79:D79"/>
    <mergeCell ref="B81:F8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A7760-68D1-4CE7-942B-82E8B6F6348A}">
  <dimension ref="A1:AL65"/>
  <sheetViews>
    <sheetView topLeftCell="A39" workbookViewId="0">
      <selection activeCell="L52" sqref="L52"/>
    </sheetView>
  </sheetViews>
  <sheetFormatPr baseColWidth="10" defaultColWidth="8.42578125" defaultRowHeight="11.25" x14ac:dyDescent="0.2"/>
  <cols>
    <col min="1" max="1" width="5" style="97" customWidth="1"/>
    <col min="2" max="2" width="10" style="97" bestFit="1" customWidth="1"/>
    <col min="3" max="3" width="39.28515625" style="97" customWidth="1"/>
    <col min="4" max="4" width="10" style="97" bestFit="1" customWidth="1"/>
    <col min="5" max="5" width="10" style="97" customWidth="1"/>
    <col min="6" max="6" width="10.28515625" style="97" bestFit="1" customWidth="1"/>
    <col min="7" max="7" width="11.5703125" style="143" customWidth="1"/>
    <col min="8" max="8" width="10.42578125" style="141" bestFit="1" customWidth="1"/>
    <col min="9" max="9" width="11.5703125" style="142" bestFit="1" customWidth="1"/>
    <col min="10" max="10" width="6.7109375" style="144" bestFit="1" customWidth="1"/>
    <col min="11" max="11" width="9" style="97" bestFit="1" customWidth="1"/>
    <col min="12" max="16384" width="8.42578125" style="97"/>
  </cols>
  <sheetData>
    <row r="1" spans="2:9" x14ac:dyDescent="0.2">
      <c r="H1" s="288" t="s">
        <v>134</v>
      </c>
      <c r="I1" s="290">
        <f>+G51</f>
        <v>6551.8450374060412</v>
      </c>
    </row>
    <row r="2" spans="2:9" ht="19.5" customHeight="1" thickBot="1" x14ac:dyDescent="0.25">
      <c r="H2" s="289"/>
      <c r="I2" s="291"/>
    </row>
    <row r="3" spans="2:9" ht="12" thickBot="1" x14ac:dyDescent="0.25"/>
    <row r="4" spans="2:9" ht="36" customHeight="1" thickBot="1" x14ac:dyDescent="0.35">
      <c r="B4" s="292"/>
      <c r="C4" s="293"/>
      <c r="D4" s="293"/>
      <c r="E4" s="293"/>
      <c r="F4" s="293"/>
      <c r="G4" s="293"/>
      <c r="H4" s="293"/>
      <c r="I4" s="294"/>
    </row>
    <row r="5" spans="2:9" ht="19.5" customHeight="1" thickBot="1" x14ac:dyDescent="0.25">
      <c r="B5" s="295" t="s">
        <v>99</v>
      </c>
      <c r="C5" s="295"/>
      <c r="D5" s="295"/>
      <c r="E5" s="295"/>
      <c r="F5" s="295"/>
      <c r="G5" s="295"/>
      <c r="H5" s="295"/>
      <c r="I5" s="295"/>
    </row>
    <row r="6" spans="2:9" ht="19.5" customHeight="1" thickTop="1" x14ac:dyDescent="0.2">
      <c r="B6" s="296" t="s">
        <v>135</v>
      </c>
      <c r="C6" s="296"/>
      <c r="D6" s="296"/>
      <c r="E6" s="296"/>
      <c r="F6" s="296"/>
      <c r="G6" s="296"/>
      <c r="H6" s="296"/>
      <c r="I6" s="296"/>
    </row>
    <row r="7" spans="2:9" ht="19.5" customHeight="1" thickBot="1" x14ac:dyDescent="0.25">
      <c r="B7" s="145"/>
      <c r="C7" s="145"/>
      <c r="D7" s="145"/>
      <c r="E7" s="145"/>
      <c r="F7" s="145"/>
      <c r="G7" s="297" t="s">
        <v>55</v>
      </c>
      <c r="H7" s="297"/>
      <c r="I7" s="12">
        <f ca="1">TODAY()</f>
        <v>46058</v>
      </c>
    </row>
    <row r="8" spans="2:9" ht="26.25" thickBot="1" x14ac:dyDescent="0.25">
      <c r="B8" s="13" t="s">
        <v>56</v>
      </c>
      <c r="C8" s="14" t="s">
        <v>136</v>
      </c>
      <c r="D8" s="14" t="s">
        <v>56</v>
      </c>
      <c r="E8" s="15" t="s">
        <v>58</v>
      </c>
      <c r="F8" s="15" t="s">
        <v>59</v>
      </c>
      <c r="G8" s="15" t="s">
        <v>60</v>
      </c>
      <c r="H8" s="15" t="s">
        <v>61</v>
      </c>
      <c r="I8" s="16" t="s">
        <v>62</v>
      </c>
    </row>
    <row r="9" spans="2:9" s="146" customFormat="1" ht="13.5" x14ac:dyDescent="0.25">
      <c r="B9" s="18">
        <v>1</v>
      </c>
      <c r="C9" s="24" t="s">
        <v>147</v>
      </c>
      <c r="D9" s="19">
        <f t="shared" ref="D9:D14" si="0">+B9</f>
        <v>1</v>
      </c>
      <c r="E9" s="147" t="s">
        <v>148</v>
      </c>
      <c r="F9" s="20">
        <f>+'Costo ensamble'!O63</f>
        <v>6392.043938932723</v>
      </c>
      <c r="G9" s="20">
        <f t="shared" ref="G9:G14" si="1">IFERROR(D9*F9,"")</f>
        <v>6392.043938932723</v>
      </c>
      <c r="H9" s="148">
        <f t="shared" ref="H9:H14" si="2">IFERROR(G9/$G$53,"")</f>
        <v>0.51778460678142502</v>
      </c>
      <c r="I9" s="25"/>
    </row>
    <row r="10" spans="2:9" s="146" customFormat="1" ht="13.5" hidden="1" x14ac:dyDescent="0.25">
      <c r="B10" s="18"/>
      <c r="C10" s="24" t="str">
        <f>IFERROR(VLOOKUP($I10,'[3]PROD PLANTA LOCALES'!$A$1:$I$494,2,0),"")</f>
        <v/>
      </c>
      <c r="D10" s="19">
        <f t="shared" si="0"/>
        <v>0</v>
      </c>
      <c r="E10" s="147" t="str">
        <f>IFERROR(VLOOKUP($I10,'[3]PROD PLANTA LOCALES'!$A$1:$I$494,9,0),"")</f>
        <v/>
      </c>
      <c r="F10" s="20" t="str">
        <f>IFERROR(VLOOKUP($I10,'[3]PROD PLANTA LOCALES'!$A$1:$I$494,8,0),"")</f>
        <v/>
      </c>
      <c r="G10" s="20" t="str">
        <f t="shared" si="1"/>
        <v/>
      </c>
      <c r="H10" s="148" t="str">
        <f t="shared" si="2"/>
        <v/>
      </c>
      <c r="I10" s="25"/>
    </row>
    <row r="11" spans="2:9" s="146" customFormat="1" ht="13.5" hidden="1" x14ac:dyDescent="0.25">
      <c r="B11" s="18"/>
      <c r="C11" s="24" t="str">
        <f>IFERROR(VLOOKUP($I11,'[3]PROD PLANTA LOCALES'!$A$1:$I$494,2,0),"")</f>
        <v/>
      </c>
      <c r="D11" s="19">
        <f t="shared" si="0"/>
        <v>0</v>
      </c>
      <c r="E11" s="147" t="str">
        <f>IFERROR(VLOOKUP($I11,'[3]PROD PLANTA LOCALES'!$A$1:$I$494,9,0),"")</f>
        <v/>
      </c>
      <c r="F11" s="20" t="str">
        <f>IFERROR(VLOOKUP($I11,'[3]PROD PLANTA LOCALES'!$A$1:$I$494,8,0),"")</f>
        <v/>
      </c>
      <c r="G11" s="20" t="str">
        <f t="shared" si="1"/>
        <v/>
      </c>
      <c r="H11" s="148" t="str">
        <f t="shared" si="2"/>
        <v/>
      </c>
      <c r="I11" s="25"/>
    </row>
    <row r="12" spans="2:9" s="146" customFormat="1" ht="13.5" hidden="1" x14ac:dyDescent="0.25">
      <c r="B12" s="18"/>
      <c r="C12" s="24" t="str">
        <f>IFERROR(VLOOKUP($I12,'[3]PROD PLANTA LOCALES'!$A$1:$I$494,2,0),"")</f>
        <v/>
      </c>
      <c r="D12" s="19">
        <f t="shared" si="0"/>
        <v>0</v>
      </c>
      <c r="E12" s="147" t="str">
        <f>IFERROR(VLOOKUP($I12,'[3]PROD PLANTA LOCALES'!$A$1:$I$494,9,0),"")</f>
        <v/>
      </c>
      <c r="F12" s="20" t="str">
        <f>IFERROR(VLOOKUP($I12,'[3]PROD PLANTA LOCALES'!$A$1:$I$494,8,0),"")</f>
        <v/>
      </c>
      <c r="G12" s="20" t="str">
        <f t="shared" si="1"/>
        <v/>
      </c>
      <c r="H12" s="148" t="str">
        <f t="shared" si="2"/>
        <v/>
      </c>
      <c r="I12" s="25"/>
    </row>
    <row r="13" spans="2:9" s="146" customFormat="1" ht="13.5" hidden="1" x14ac:dyDescent="0.25">
      <c r="B13" s="18"/>
      <c r="C13" s="24" t="str">
        <f>IFERROR(VLOOKUP($I13,'[3]PROD PLANTA LOCALES'!$A$1:$I$494,2,0),"")</f>
        <v/>
      </c>
      <c r="D13" s="19">
        <f t="shared" si="0"/>
        <v>0</v>
      </c>
      <c r="E13" s="147" t="str">
        <f>IFERROR(VLOOKUP($I13,'[3]PROD PLANTA LOCALES'!$A$1:$I$494,9,0),"")</f>
        <v/>
      </c>
      <c r="F13" s="20" t="str">
        <f>IFERROR(VLOOKUP($I13,'[3]PROD PLANTA LOCALES'!$A$1:$I$494,8,0),"")</f>
        <v/>
      </c>
      <c r="G13" s="20" t="str">
        <f t="shared" si="1"/>
        <v/>
      </c>
      <c r="H13" s="148" t="str">
        <f t="shared" si="2"/>
        <v/>
      </c>
      <c r="I13" s="25"/>
    </row>
    <row r="14" spans="2:9" s="146" customFormat="1" ht="13.5" hidden="1" x14ac:dyDescent="0.25">
      <c r="B14" s="18"/>
      <c r="C14" s="24" t="str">
        <f>IFERROR(VLOOKUP($I14,'[3]PROD PLANTA LOCALES'!$A$1:$I$494,2,0),"")</f>
        <v/>
      </c>
      <c r="D14" s="19">
        <f t="shared" si="0"/>
        <v>0</v>
      </c>
      <c r="E14" s="147" t="str">
        <f>IFERROR(VLOOKUP($I14,'[3]PROD PLANTA LOCALES'!$A$1:$I$494,9,0),"")</f>
        <v/>
      </c>
      <c r="F14" s="20" t="str">
        <f>IFERROR(VLOOKUP($I14,'[3]PROD PLANTA LOCALES'!$A$1:$I$494,8,0),"")</f>
        <v/>
      </c>
      <c r="G14" s="20" t="str">
        <f t="shared" si="1"/>
        <v/>
      </c>
      <c r="H14" s="148" t="str">
        <f t="shared" si="2"/>
        <v/>
      </c>
      <c r="I14" s="25"/>
    </row>
    <row r="15" spans="2:9" s="146" customFormat="1" ht="14.25" hidden="1" thickBot="1" x14ac:dyDescent="0.3">
      <c r="B15" s="18"/>
      <c r="C15" s="28"/>
      <c r="D15" s="19"/>
      <c r="E15" s="19"/>
      <c r="F15" s="20"/>
      <c r="G15" s="20"/>
      <c r="H15" s="148"/>
      <c r="I15" s="25"/>
    </row>
    <row r="16" spans="2:9" s="146" customFormat="1" ht="24" hidden="1" customHeight="1" thickBot="1" x14ac:dyDescent="0.25">
      <c r="B16" s="13" t="s">
        <v>56</v>
      </c>
      <c r="C16" s="14" t="s">
        <v>137</v>
      </c>
      <c r="D16" s="14" t="s">
        <v>56</v>
      </c>
      <c r="E16" s="15" t="s">
        <v>58</v>
      </c>
      <c r="F16" s="15" t="s">
        <v>59</v>
      </c>
      <c r="G16" s="15" t="s">
        <v>60</v>
      </c>
      <c r="H16" s="15" t="s">
        <v>61</v>
      </c>
      <c r="I16" s="16" t="s">
        <v>62</v>
      </c>
    </row>
    <row r="17" spans="2:9" s="146" customFormat="1" ht="13.5" hidden="1" x14ac:dyDescent="0.25">
      <c r="B17" s="18"/>
      <c r="C17" s="24" t="str">
        <f>IFERROR(VLOOKUP($I17,'[3]MP LOCALES'!$A$2:$F$503,2,0),"")</f>
        <v/>
      </c>
      <c r="D17" s="149">
        <f>+B17</f>
        <v>0</v>
      </c>
      <c r="E17" s="149" t="str">
        <f>IFERROR(VLOOKUP($I17,'[3]MP LOCALES'!$A$2:$F$503,5,0),"")</f>
        <v/>
      </c>
      <c r="F17" s="150" t="str">
        <f>IFERROR(VLOOKUP($I17,'[3]MP LOCALES'!$A$2:$F$503,6,0),"")</f>
        <v/>
      </c>
      <c r="G17" s="150" t="str">
        <f>IFERROR(D17*F17,"")</f>
        <v/>
      </c>
      <c r="H17" s="148" t="str">
        <f>IFERROR(G17/$G$53,"")</f>
        <v/>
      </c>
      <c r="I17" s="25"/>
    </row>
    <row r="18" spans="2:9" s="146" customFormat="1" ht="13.5" hidden="1" x14ac:dyDescent="0.25">
      <c r="B18" s="18"/>
      <c r="C18" s="24" t="str">
        <f>IFERROR(VLOOKUP($I18,'[3]MP LOCALES'!$A$2:$F$503,2,0),"")</f>
        <v/>
      </c>
      <c r="D18" s="149">
        <f>+B18</f>
        <v>0</v>
      </c>
      <c r="E18" s="149" t="str">
        <f>IFERROR(VLOOKUP($I18,'[3]MP LOCALES'!$A$2:$F$503,5,0),"")</f>
        <v/>
      </c>
      <c r="F18" s="150" t="str">
        <f>IFERROR(VLOOKUP($I18,'[3]MP LOCALES'!$A$2:$F$503,6,0),"")</f>
        <v/>
      </c>
      <c r="G18" s="150" t="str">
        <f>IFERROR(D18*F18,"")</f>
        <v/>
      </c>
      <c r="H18" s="148" t="str">
        <f>IFERROR(G18/$G$53,"")</f>
        <v/>
      </c>
      <c r="I18" s="25"/>
    </row>
    <row r="19" spans="2:9" s="146" customFormat="1" ht="13.5" hidden="1" x14ac:dyDescent="0.25">
      <c r="B19" s="18"/>
      <c r="C19" s="24" t="str">
        <f>IFERROR(VLOOKUP($I19,'[3]MP LOCALES'!$A$2:$F$503,2,0),"")</f>
        <v/>
      </c>
      <c r="D19" s="149">
        <f>+B19</f>
        <v>0</v>
      </c>
      <c r="E19" s="149" t="str">
        <f>IFERROR(VLOOKUP($I19,'[3]MP LOCALES'!$A$2:$F$503,5,0),"")</f>
        <v/>
      </c>
      <c r="F19" s="150" t="str">
        <f>IFERROR(VLOOKUP($I19,'[3]MP LOCALES'!$A$2:$F$503,6,0),"")</f>
        <v/>
      </c>
      <c r="G19" s="150" t="str">
        <f>IFERROR(D19*F19,"")</f>
        <v/>
      </c>
      <c r="H19" s="148" t="str">
        <f>IFERROR(G19/$G$53,"")</f>
        <v/>
      </c>
      <c r="I19" s="25"/>
    </row>
    <row r="20" spans="2:9" s="146" customFormat="1" ht="13.5" hidden="1" x14ac:dyDescent="0.25">
      <c r="B20" s="18"/>
      <c r="C20" s="24" t="str">
        <f>IFERROR(VLOOKUP($I20,'[3]MP LOCALES'!$A$2:$F$503,2,0),"")</f>
        <v/>
      </c>
      <c r="D20" s="149">
        <f>+B20</f>
        <v>0</v>
      </c>
      <c r="E20" s="149" t="str">
        <f>IFERROR(VLOOKUP($I20,'[3]MP LOCALES'!$A$2:$F$503,5,0),"")</f>
        <v/>
      </c>
      <c r="F20" s="150" t="str">
        <f>IFERROR(VLOOKUP($I20,'[3]MP LOCALES'!$A$2:$F$503,6,0),"")</f>
        <v/>
      </c>
      <c r="G20" s="150" t="str">
        <f>IFERROR(D20*F20,"")</f>
        <v/>
      </c>
      <c r="H20" s="148" t="str">
        <f>IFERROR(G20/$G$53,"")</f>
        <v/>
      </c>
      <c r="I20" s="25"/>
    </row>
    <row r="21" spans="2:9" s="146" customFormat="1" ht="13.5" hidden="1" thickBot="1" x14ac:dyDescent="0.25">
      <c r="B21" s="151"/>
      <c r="C21" s="152"/>
      <c r="D21" s="153"/>
      <c r="E21" s="153"/>
      <c r="F21" s="153"/>
      <c r="G21" s="154"/>
      <c r="H21" s="155"/>
      <c r="I21" s="156"/>
    </row>
    <row r="22" spans="2:9" s="146" customFormat="1" ht="26.25" hidden="1" thickBot="1" x14ac:dyDescent="0.25">
      <c r="B22" s="13" t="s">
        <v>87</v>
      </c>
      <c r="C22" s="14" t="s">
        <v>35</v>
      </c>
      <c r="D22" s="14" t="s">
        <v>87</v>
      </c>
      <c r="E22" s="15" t="s">
        <v>58</v>
      </c>
      <c r="F22" s="15" t="s">
        <v>101</v>
      </c>
      <c r="G22" s="15" t="s">
        <v>102</v>
      </c>
      <c r="H22" s="15" t="s">
        <v>103</v>
      </c>
      <c r="I22" s="16" t="s">
        <v>104</v>
      </c>
    </row>
    <row r="23" spans="2:9" s="146" customFormat="1" ht="14.25" hidden="1" thickBot="1" x14ac:dyDescent="0.3">
      <c r="B23" s="18"/>
      <c r="C23" s="157" t="s">
        <v>138</v>
      </c>
      <c r="D23" s="19"/>
      <c r="E23" s="19"/>
      <c r="F23" s="20"/>
      <c r="G23" s="20"/>
      <c r="H23" s="148"/>
      <c r="I23" s="25"/>
    </row>
    <row r="24" spans="2:9" s="146" customFormat="1" ht="13.5" hidden="1" x14ac:dyDescent="0.25">
      <c r="B24" s="18">
        <v>0.3</v>
      </c>
      <c r="C24" s="24" t="str">
        <f>IFERROR(VLOOKUP($I24,'[3]EMP LOCALES'!$A$2:$F$500,2,0),"")</f>
        <v/>
      </c>
      <c r="D24" s="19">
        <f>+B24</f>
        <v>0.3</v>
      </c>
      <c r="E24" s="19" t="str">
        <f>IFERROR(VLOOKUP($I24,'[3]EMP LOCALES'!$A$2:$F$500,5,0),"")</f>
        <v/>
      </c>
      <c r="F24" s="20" t="str">
        <f>IFERROR(VLOOKUP($I24,'[3]EMP LOCALES'!$A$2:$F$500,6,0),"")</f>
        <v/>
      </c>
      <c r="G24" s="20" t="str">
        <f>IFERROR(F24*D24,"")</f>
        <v/>
      </c>
      <c r="H24" s="158" t="str">
        <f>IFERROR(G24/$G$53,"")</f>
        <v/>
      </c>
      <c r="I24" s="25"/>
    </row>
    <row r="25" spans="2:9" s="146" customFormat="1" ht="13.5" hidden="1" x14ac:dyDescent="0.25">
      <c r="B25" s="18">
        <v>0.3</v>
      </c>
      <c r="C25" s="24" t="str">
        <f>IFERROR(VLOOKUP($I25,'[3]EMP LOCALES'!$A$2:$F$500,2,0),"")</f>
        <v/>
      </c>
      <c r="D25" s="19">
        <f t="shared" ref="D25:D31" si="3">+B25</f>
        <v>0.3</v>
      </c>
      <c r="E25" s="19" t="str">
        <f>IFERROR(VLOOKUP($I25,'[3]EMP LOCALES'!$A$2:$F$500,5,0),"")</f>
        <v/>
      </c>
      <c r="F25" s="20" t="str">
        <f>IFERROR(VLOOKUP($I25,'[3]EMP LOCALES'!$A$2:$F$500,6,0),"")</f>
        <v/>
      </c>
      <c r="G25" s="20" t="str">
        <f t="shared" ref="G25:G31" si="4">IFERROR(F25*D25,"")</f>
        <v/>
      </c>
      <c r="H25" s="158" t="str">
        <f t="shared" ref="H25:H38" si="5">IFERROR(G25/$G$53,"")</f>
        <v/>
      </c>
      <c r="I25" s="25"/>
    </row>
    <row r="26" spans="2:9" s="146" customFormat="1" ht="13.5" hidden="1" x14ac:dyDescent="0.25">
      <c r="B26" s="18">
        <v>0.3</v>
      </c>
      <c r="C26" s="24" t="str">
        <f>IFERROR(VLOOKUP($I26,'[3]EMP LOCALES'!$A$2:$F$500,2,0),"")</f>
        <v/>
      </c>
      <c r="D26" s="19">
        <f t="shared" si="3"/>
        <v>0.3</v>
      </c>
      <c r="E26" s="19" t="str">
        <f>IFERROR(VLOOKUP($I26,'[3]EMP LOCALES'!$A$2:$F$500,5,0),"")</f>
        <v/>
      </c>
      <c r="F26" s="20" t="str">
        <f>IFERROR(VLOOKUP($I26,'[3]EMP LOCALES'!$A$2:$F$500,6,0),"")</f>
        <v/>
      </c>
      <c r="G26" s="20" t="str">
        <f t="shared" si="4"/>
        <v/>
      </c>
      <c r="H26" s="158" t="str">
        <f t="shared" si="5"/>
        <v/>
      </c>
      <c r="I26" s="25"/>
    </row>
    <row r="27" spans="2:9" s="146" customFormat="1" ht="13.5" hidden="1" x14ac:dyDescent="0.25">
      <c r="B27" s="18">
        <v>0.3</v>
      </c>
      <c r="C27" s="24" t="str">
        <f>IFERROR(VLOOKUP($I27,'[3]EMP LOCALES'!$A$2:$F$500,2,0),"")</f>
        <v/>
      </c>
      <c r="D27" s="19">
        <f t="shared" si="3"/>
        <v>0.3</v>
      </c>
      <c r="E27" s="19" t="str">
        <f>IFERROR(VLOOKUP($I27,'[3]EMP LOCALES'!$A$2:$F$500,5,0),"")</f>
        <v/>
      </c>
      <c r="F27" s="20" t="str">
        <f>IFERROR(VLOOKUP($I27,'[3]EMP LOCALES'!$A$2:$F$500,6,0),"")</f>
        <v/>
      </c>
      <c r="G27" s="20" t="str">
        <f t="shared" si="4"/>
        <v/>
      </c>
      <c r="H27" s="158" t="str">
        <f t="shared" si="5"/>
        <v/>
      </c>
      <c r="I27" s="25"/>
    </row>
    <row r="28" spans="2:9" s="146" customFormat="1" ht="13.5" hidden="1" x14ac:dyDescent="0.25">
      <c r="B28" s="18">
        <v>0.3</v>
      </c>
      <c r="C28" s="24" t="str">
        <f>IFERROR(VLOOKUP($I28,'[3]EMP LOCALES'!$A$2:$F$500,2,0),"")</f>
        <v/>
      </c>
      <c r="D28" s="19">
        <f t="shared" si="3"/>
        <v>0.3</v>
      </c>
      <c r="E28" s="19" t="str">
        <f>IFERROR(VLOOKUP($I28,'[3]EMP LOCALES'!$A$2:$F$500,5,0),"")</f>
        <v/>
      </c>
      <c r="F28" s="20" t="str">
        <f>IFERROR(VLOOKUP($I28,'[3]EMP LOCALES'!$A$2:$F$500,6,0),"")</f>
        <v/>
      </c>
      <c r="G28" s="20" t="str">
        <f t="shared" si="4"/>
        <v/>
      </c>
      <c r="H28" s="158" t="str">
        <f t="shared" si="5"/>
        <v/>
      </c>
      <c r="I28" s="25"/>
    </row>
    <row r="29" spans="2:9" s="146" customFormat="1" ht="13.5" hidden="1" x14ac:dyDescent="0.25">
      <c r="B29" s="18">
        <v>0.3</v>
      </c>
      <c r="C29" s="24" t="str">
        <f>IFERROR(VLOOKUP($I29,'[3]EMP LOCALES'!$A$2:$F$500,2,0),"")</f>
        <v/>
      </c>
      <c r="D29" s="19">
        <f t="shared" si="3"/>
        <v>0.3</v>
      </c>
      <c r="E29" s="19" t="str">
        <f>IFERROR(VLOOKUP($I29,'[3]EMP LOCALES'!$A$2:$F$500,5,0),"")</f>
        <v/>
      </c>
      <c r="F29" s="20" t="str">
        <f>IFERROR(VLOOKUP($I29,'[3]EMP LOCALES'!$A$2:$F$500,6,0),"")</f>
        <v/>
      </c>
      <c r="G29" s="20" t="str">
        <f t="shared" si="4"/>
        <v/>
      </c>
      <c r="H29" s="158" t="str">
        <f t="shared" si="5"/>
        <v/>
      </c>
      <c r="I29" s="25"/>
    </row>
    <row r="30" spans="2:9" s="146" customFormat="1" ht="13.5" hidden="1" x14ac:dyDescent="0.25">
      <c r="B30" s="18">
        <v>0.3</v>
      </c>
      <c r="C30" s="24" t="str">
        <f>IFERROR(VLOOKUP($I30,'[3]EMP LOCALES'!$A$2:$F$500,2,0),"")</f>
        <v/>
      </c>
      <c r="D30" s="19">
        <f t="shared" si="3"/>
        <v>0.3</v>
      </c>
      <c r="E30" s="19" t="str">
        <f>IFERROR(VLOOKUP($I30,'[3]EMP LOCALES'!$A$2:$F$500,5,0),"")</f>
        <v/>
      </c>
      <c r="F30" s="20" t="str">
        <f>IFERROR(VLOOKUP($I30,'[3]EMP LOCALES'!$A$2:$F$500,6,0),"")</f>
        <v/>
      </c>
      <c r="G30" s="20" t="str">
        <f t="shared" si="4"/>
        <v/>
      </c>
      <c r="H30" s="158" t="str">
        <f t="shared" si="5"/>
        <v/>
      </c>
      <c r="I30" s="159"/>
    </row>
    <row r="31" spans="2:9" s="146" customFormat="1" ht="14.25" hidden="1" thickBot="1" x14ac:dyDescent="0.3">
      <c r="B31" s="18">
        <v>0.3</v>
      </c>
      <c r="C31" s="24" t="str">
        <f>IFERROR(VLOOKUP($I31,'[3]EMP LOCALES'!$A$2:$F$500,2,0),"")</f>
        <v/>
      </c>
      <c r="D31" s="19">
        <f t="shared" si="3"/>
        <v>0.3</v>
      </c>
      <c r="E31" s="19" t="str">
        <f>IFERROR(VLOOKUP($I31,'[3]EMP LOCALES'!$A$2:$F$500,5,0),"")</f>
        <v/>
      </c>
      <c r="F31" s="20" t="str">
        <f>IFERROR(VLOOKUP($I31,'[3]EMP LOCALES'!$A$2:$F$500,6,0),"")</f>
        <v/>
      </c>
      <c r="G31" s="20" t="str">
        <f t="shared" si="4"/>
        <v/>
      </c>
      <c r="H31" s="158" t="str">
        <f t="shared" si="5"/>
        <v/>
      </c>
      <c r="I31" s="159"/>
    </row>
    <row r="32" spans="2:9" s="146" customFormat="1" ht="14.25" hidden="1" thickBot="1" x14ac:dyDescent="0.3">
      <c r="B32" s="18"/>
      <c r="C32" s="157" t="s">
        <v>139</v>
      </c>
      <c r="D32" s="19"/>
      <c r="E32" s="19"/>
      <c r="F32" s="20"/>
      <c r="G32" s="20"/>
      <c r="H32" s="158"/>
      <c r="I32" s="25"/>
    </row>
    <row r="33" spans="1:38" s="146" customFormat="1" ht="13.5" hidden="1" x14ac:dyDescent="0.25">
      <c r="B33" s="18">
        <v>0.05</v>
      </c>
      <c r="C33" s="28" t="str">
        <f>IFERROR(VLOOKUP($I33,'[3]EMP LOCALES'!$A$2:$F$500,2,0),"")</f>
        <v/>
      </c>
      <c r="D33" s="19">
        <f t="shared" ref="D33:D38" si="6">+B33</f>
        <v>0.05</v>
      </c>
      <c r="E33" s="19" t="str">
        <f>IFERROR(VLOOKUP($I33,'[3]EMP LOCALES'!$A$2:$F$500,5,0),"")</f>
        <v/>
      </c>
      <c r="F33" s="20" t="str">
        <f>IFERROR(VLOOKUP($I33,'[3]EMP LOCALES'!$A$2:$F$500,6,0),"")</f>
        <v/>
      </c>
      <c r="G33" s="20" t="str">
        <f t="shared" ref="G33:G38" si="7">IFERROR(F33*D33,"")</f>
        <v/>
      </c>
      <c r="H33" s="158" t="str">
        <f t="shared" si="5"/>
        <v/>
      </c>
      <c r="I33" s="25"/>
    </row>
    <row r="34" spans="1:38" s="146" customFormat="1" ht="13.5" hidden="1" x14ac:dyDescent="0.25">
      <c r="B34" s="18">
        <v>0.05</v>
      </c>
      <c r="C34" s="28" t="str">
        <f>IFERROR(VLOOKUP($I34,'[3]EMP LOCALES'!$A$2:$F$500,2,0),"")</f>
        <v/>
      </c>
      <c r="D34" s="19">
        <f t="shared" si="6"/>
        <v>0.05</v>
      </c>
      <c r="E34" s="19" t="str">
        <f>IFERROR(VLOOKUP($I34,'[3]EMP LOCALES'!$A$2:$F$500,5,0),"")</f>
        <v/>
      </c>
      <c r="F34" s="20" t="str">
        <f>IFERROR(VLOOKUP($I34,'[3]EMP LOCALES'!$A$2:$F$500,6,0),"")</f>
        <v/>
      </c>
      <c r="G34" s="20" t="str">
        <f t="shared" si="7"/>
        <v/>
      </c>
      <c r="H34" s="158" t="str">
        <f t="shared" si="5"/>
        <v/>
      </c>
      <c r="I34" s="25"/>
    </row>
    <row r="35" spans="1:38" s="146" customFormat="1" ht="13.5" hidden="1" x14ac:dyDescent="0.25">
      <c r="B35" s="18">
        <v>0.05</v>
      </c>
      <c r="C35" s="28" t="str">
        <f>IFERROR(VLOOKUP($I35,'[3]EMP LOCALES'!$A$2:$F$500,2,0),"")</f>
        <v/>
      </c>
      <c r="D35" s="19">
        <f t="shared" si="6"/>
        <v>0.05</v>
      </c>
      <c r="E35" s="19" t="str">
        <f>IFERROR(VLOOKUP($I35,'[3]EMP LOCALES'!$A$2:$F$500,5,0),"")</f>
        <v/>
      </c>
      <c r="F35" s="20" t="str">
        <f>IFERROR(VLOOKUP($I35,'[3]EMP LOCALES'!$A$2:$F$500,6,0),"")</f>
        <v/>
      </c>
      <c r="G35" s="20" t="str">
        <f t="shared" si="7"/>
        <v/>
      </c>
      <c r="H35" s="158" t="str">
        <f t="shared" si="5"/>
        <v/>
      </c>
      <c r="I35" s="25"/>
    </row>
    <row r="36" spans="1:38" s="146" customFormat="1" ht="13.5" hidden="1" x14ac:dyDescent="0.25">
      <c r="B36" s="18">
        <v>0.05</v>
      </c>
      <c r="C36" s="28" t="str">
        <f>IFERROR(VLOOKUP($I36,'[3]EMP LOCALES'!$A$2:$F$500,2,0),"")</f>
        <v/>
      </c>
      <c r="D36" s="19">
        <f t="shared" si="6"/>
        <v>0.05</v>
      </c>
      <c r="E36" s="19" t="str">
        <f>IFERROR(VLOOKUP($I36,'[3]EMP LOCALES'!$A$2:$F$500,5,0),"")</f>
        <v/>
      </c>
      <c r="F36" s="20" t="str">
        <f>IFERROR(VLOOKUP($I36,'[3]EMP LOCALES'!$A$2:$F$500,6,0),"")</f>
        <v/>
      </c>
      <c r="G36" s="20" t="str">
        <f t="shared" si="7"/>
        <v/>
      </c>
      <c r="H36" s="158" t="str">
        <f t="shared" si="5"/>
        <v/>
      </c>
      <c r="I36" s="25"/>
    </row>
    <row r="37" spans="1:38" s="146" customFormat="1" ht="13.5" hidden="1" x14ac:dyDescent="0.25">
      <c r="B37" s="18">
        <v>0.05</v>
      </c>
      <c r="C37" s="28" t="str">
        <f>IFERROR(VLOOKUP($I37,'[3]EMP LOCALES'!$A$2:$F$500,2,0),"")</f>
        <v/>
      </c>
      <c r="D37" s="19">
        <f t="shared" si="6"/>
        <v>0.05</v>
      </c>
      <c r="E37" s="19" t="str">
        <f>IFERROR(VLOOKUP($I37,'[3]EMP LOCALES'!$A$2:$F$500,5,0),"")</f>
        <v/>
      </c>
      <c r="F37" s="20" t="str">
        <f>IFERROR(VLOOKUP($I37,'[3]EMP LOCALES'!$A$2:$F$500,6,0),"")</f>
        <v/>
      </c>
      <c r="G37" s="20" t="str">
        <f t="shared" si="7"/>
        <v/>
      </c>
      <c r="H37" s="158" t="str">
        <f t="shared" si="5"/>
        <v/>
      </c>
      <c r="I37" s="25"/>
    </row>
    <row r="38" spans="1:38" s="146" customFormat="1" ht="13.5" hidden="1" x14ac:dyDescent="0.25">
      <c r="B38" s="18">
        <v>0.05</v>
      </c>
      <c r="C38" s="28" t="str">
        <f>IFERROR(VLOOKUP($I38,'[3]EMP LOCALES'!$A$2:$F$500,2,0),"")</f>
        <v/>
      </c>
      <c r="D38" s="19">
        <f t="shared" si="6"/>
        <v>0.05</v>
      </c>
      <c r="E38" s="19" t="str">
        <f>IFERROR(VLOOKUP($I38,'[3]EMP LOCALES'!$A$2:$F$500,5,0),"")</f>
        <v/>
      </c>
      <c r="F38" s="20" t="str">
        <f>IFERROR(VLOOKUP($I38,'[3]EMP LOCALES'!$A$2:$F$500,6,0),"")</f>
        <v/>
      </c>
      <c r="G38" s="20" t="str">
        <f t="shared" si="7"/>
        <v/>
      </c>
      <c r="H38" s="158" t="str">
        <f t="shared" si="5"/>
        <v/>
      </c>
      <c r="I38" s="25"/>
    </row>
    <row r="39" spans="1:38" ht="12.75" x14ac:dyDescent="0.2">
      <c r="A39" s="107"/>
      <c r="B39" s="160"/>
      <c r="C39" s="161"/>
      <c r="D39" s="162"/>
      <c r="E39" s="162"/>
      <c r="F39" s="162"/>
      <c r="G39" s="20"/>
      <c r="H39" s="163"/>
      <c r="I39" s="164"/>
      <c r="J39" s="165"/>
    </row>
    <row r="40" spans="1:38" ht="12.75" x14ac:dyDescent="0.2">
      <c r="A40" s="151"/>
      <c r="B40" s="298" t="s">
        <v>140</v>
      </c>
      <c r="C40" s="298"/>
      <c r="D40" s="298"/>
      <c r="E40" s="298"/>
      <c r="F40" s="298"/>
      <c r="G40" s="166">
        <f>SUM(G9:G14)</f>
        <v>6392.043938932723</v>
      </c>
      <c r="H40" s="148">
        <f>+G40/$G$53</f>
        <v>0.51778460678142502</v>
      </c>
      <c r="I40" s="97"/>
      <c r="J40" s="97"/>
    </row>
    <row r="41" spans="1:38" ht="13.5" thickBot="1" x14ac:dyDescent="0.25">
      <c r="A41" s="151"/>
      <c r="B41" s="298" t="s">
        <v>141</v>
      </c>
      <c r="C41" s="298"/>
      <c r="D41" s="298"/>
      <c r="E41" s="298"/>
      <c r="F41" s="298">
        <f>SUM(F17:F20)</f>
        <v>0</v>
      </c>
      <c r="G41" s="167">
        <f>SUM(G17:G20)</f>
        <v>0</v>
      </c>
      <c r="H41" s="148">
        <f>+G41/$G$53</f>
        <v>0</v>
      </c>
      <c r="I41" s="97"/>
      <c r="J41" s="97"/>
    </row>
    <row r="42" spans="1:38" ht="13.5" thickTop="1" x14ac:dyDescent="0.2">
      <c r="A42" s="168"/>
      <c r="B42" s="284" t="s">
        <v>142</v>
      </c>
      <c r="C42" s="284"/>
      <c r="D42" s="284"/>
      <c r="E42" s="284"/>
      <c r="F42" s="284"/>
      <c r="G42" s="170">
        <f>SUM(G40:G41)</f>
        <v>6392.043938932723</v>
      </c>
      <c r="H42" s="148">
        <f>+G42/$G$53</f>
        <v>0.51778460678142502</v>
      </c>
      <c r="I42" s="97"/>
      <c r="J42" s="97"/>
    </row>
    <row r="43" spans="1:38" ht="13.5" thickBot="1" x14ac:dyDescent="0.25">
      <c r="A43" s="151"/>
      <c r="B43" s="285" t="s">
        <v>109</v>
      </c>
      <c r="C43" s="285"/>
      <c r="D43" s="285"/>
      <c r="E43" s="285"/>
      <c r="F43" s="285"/>
      <c r="G43" s="167">
        <f>SUM(G24:G38)</f>
        <v>0</v>
      </c>
      <c r="H43" s="148">
        <f>+G43/$G$53</f>
        <v>0</v>
      </c>
      <c r="I43" s="97"/>
      <c r="J43" s="97"/>
    </row>
    <row r="44" spans="1:38" ht="13.5" thickTop="1" x14ac:dyDescent="0.2">
      <c r="A44" s="168"/>
      <c r="B44" s="284" t="s">
        <v>70</v>
      </c>
      <c r="C44" s="284"/>
      <c r="D44" s="284"/>
      <c r="E44" s="284"/>
      <c r="F44" s="284"/>
      <c r="G44" s="170">
        <f>SUM(G42:G43)</f>
        <v>6392.043938932723</v>
      </c>
      <c r="H44" s="148">
        <f>+G44/$G$53</f>
        <v>0.51778460678142502</v>
      </c>
      <c r="I44" s="97"/>
      <c r="J44" s="97"/>
    </row>
    <row r="45" spans="1:38" ht="13.5" thickBot="1" x14ac:dyDescent="0.25">
      <c r="A45" s="24"/>
      <c r="B45" s="172"/>
      <c r="C45" s="172"/>
      <c r="D45" s="173"/>
      <c r="E45" s="173"/>
      <c r="F45" s="174"/>
      <c r="G45" s="175"/>
      <c r="H45" s="24"/>
      <c r="I45" s="97"/>
      <c r="J45" s="97"/>
    </row>
    <row r="46" spans="1:38" s="126" customFormat="1" ht="19.5" customHeight="1" thickBot="1" x14ac:dyDescent="0.3">
      <c r="A46" s="282"/>
      <c r="B46" s="283"/>
      <c r="C46" s="283"/>
      <c r="D46" s="283"/>
      <c r="E46" s="283"/>
      <c r="F46" s="283"/>
      <c r="G46" s="283"/>
      <c r="H46" s="283"/>
      <c r="I46" s="283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</row>
    <row r="47" spans="1:38" ht="12.75" x14ac:dyDescent="0.2">
      <c r="A47" s="24"/>
      <c r="B47" s="176"/>
      <c r="C47" s="176"/>
      <c r="D47" s="176"/>
      <c r="E47" s="24"/>
      <c r="F47" s="151"/>
      <c r="G47" s="177"/>
      <c r="H47" s="178"/>
      <c r="I47" s="97"/>
      <c r="J47" s="97"/>
    </row>
    <row r="48" spans="1:38" ht="12.75" x14ac:dyDescent="0.2">
      <c r="A48" s="172"/>
      <c r="B48" s="284" t="s">
        <v>142</v>
      </c>
      <c r="C48" s="284"/>
      <c r="D48" s="284"/>
      <c r="E48" s="169"/>
      <c r="G48" s="93">
        <f>+G42</f>
        <v>6392.043938932723</v>
      </c>
      <c r="H48" s="148">
        <f>+G48/$G$53</f>
        <v>0.51778460678142502</v>
      </c>
      <c r="I48" s="97"/>
      <c r="J48" s="97"/>
    </row>
    <row r="49" spans="1:38" ht="12.75" x14ac:dyDescent="0.2">
      <c r="A49" s="172"/>
      <c r="B49" s="285" t="s">
        <v>35</v>
      </c>
      <c r="C49" s="285"/>
      <c r="D49" s="285"/>
      <c r="E49" s="171"/>
      <c r="F49" s="179" t="s">
        <v>143</v>
      </c>
      <c r="G49" s="93">
        <f>+G43</f>
        <v>0</v>
      </c>
      <c r="H49" s="148">
        <f>+G49/$G$53</f>
        <v>0</v>
      </c>
      <c r="I49" s="97"/>
      <c r="J49" s="97"/>
    </row>
    <row r="50" spans="1:38" ht="13.5" thickBot="1" x14ac:dyDescent="0.25">
      <c r="A50" s="24"/>
      <c r="B50" s="285" t="s">
        <v>111</v>
      </c>
      <c r="C50" s="285"/>
      <c r="D50" s="285"/>
      <c r="E50" s="171"/>
      <c r="F50" s="180">
        <v>2.5000000000000001E-2</v>
      </c>
      <c r="G50" s="93">
        <f>+(G49+G48)*F50</f>
        <v>159.80109847331809</v>
      </c>
      <c r="H50" s="148">
        <f>+G50/$G$53</f>
        <v>1.2944615169535626E-2</v>
      </c>
      <c r="I50" s="97"/>
      <c r="J50" s="97"/>
    </row>
    <row r="51" spans="1:38" ht="13.5" thickBot="1" x14ac:dyDescent="0.25">
      <c r="A51" s="172"/>
      <c r="B51" s="286" t="s">
        <v>144</v>
      </c>
      <c r="C51" s="286"/>
      <c r="D51" s="286"/>
      <c r="E51" s="286"/>
      <c r="F51" s="287"/>
      <c r="G51" s="181">
        <f>SUM(G48:G50)</f>
        <v>6551.8450374060412</v>
      </c>
      <c r="H51" s="148">
        <f>+G51/$G$53</f>
        <v>0.53072922195096062</v>
      </c>
      <c r="I51" s="97">
        <v>44.64</v>
      </c>
      <c r="J51" s="97"/>
    </row>
    <row r="52" spans="1:38" ht="17.25" customHeight="1" x14ac:dyDescent="0.2">
      <c r="A52" s="182"/>
      <c r="B52" s="281" t="s">
        <v>118</v>
      </c>
      <c r="C52" s="281"/>
      <c r="D52" s="281"/>
      <c r="E52" s="183"/>
      <c r="F52" s="184">
        <v>0.88419999999999999</v>
      </c>
      <c r="G52" s="93">
        <f>+G51*F52</f>
        <v>5793.1413820744219</v>
      </c>
      <c r="H52" s="185"/>
      <c r="I52" s="97"/>
      <c r="J52" s="97"/>
    </row>
    <row r="53" spans="1:38" ht="13.5" thickBot="1" x14ac:dyDescent="0.25">
      <c r="A53" s="182"/>
      <c r="B53" s="281" t="s">
        <v>119</v>
      </c>
      <c r="C53" s="281"/>
      <c r="D53" s="281"/>
      <c r="E53" s="183"/>
      <c r="F53" s="186"/>
      <c r="G53" s="93">
        <f>SUM(G51:G52)</f>
        <v>12344.986419480463</v>
      </c>
      <c r="H53" s="187"/>
      <c r="I53" s="188">
        <f>+I54/1.13</f>
        <v>12345.132743362832</v>
      </c>
      <c r="J53" s="206">
        <f>+(I53-G51)/G51</f>
        <v>0.88422233323308685</v>
      </c>
    </row>
    <row r="54" spans="1:38" s="191" customFormat="1" ht="13.5" thickBot="1" x14ac:dyDescent="0.25">
      <c r="A54" s="182"/>
      <c r="B54" s="281" t="s">
        <v>120</v>
      </c>
      <c r="C54" s="281"/>
      <c r="D54" s="281"/>
      <c r="E54" s="183"/>
      <c r="F54" s="189">
        <v>0.13</v>
      </c>
      <c r="G54" s="190">
        <f>+G53*(1+F54)</f>
        <v>13949.834654012922</v>
      </c>
      <c r="H54" s="187"/>
      <c r="I54" s="188">
        <v>13950</v>
      </c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</row>
    <row r="55" spans="1:38" ht="13.5" thickBot="1" x14ac:dyDescent="0.25">
      <c r="A55" s="24"/>
      <c r="B55" s="281" t="s">
        <v>145</v>
      </c>
      <c r="C55" s="281"/>
      <c r="D55" s="281"/>
      <c r="E55" s="183"/>
      <c r="F55" s="189">
        <v>0.23</v>
      </c>
      <c r="G55" s="192">
        <f>+G53*(1+F55)</f>
        <v>15184.333295960969</v>
      </c>
      <c r="H55" s="178"/>
      <c r="I55" s="188"/>
      <c r="J55" s="97"/>
    </row>
    <row r="56" spans="1:38" ht="13.5" thickBot="1" x14ac:dyDescent="0.25">
      <c r="A56" s="24"/>
      <c r="B56" s="183"/>
      <c r="C56" s="183"/>
      <c r="D56" s="183"/>
      <c r="E56" s="183"/>
      <c r="F56" s="189"/>
      <c r="G56" s="193"/>
      <c r="H56" s="178"/>
      <c r="I56" s="97"/>
      <c r="J56" s="97"/>
    </row>
    <row r="57" spans="1:38" s="126" customFormat="1" ht="19.5" customHeight="1" thickBot="1" x14ac:dyDescent="0.3">
      <c r="A57" s="282" t="s">
        <v>146</v>
      </c>
      <c r="B57" s="283"/>
      <c r="C57" s="283"/>
      <c r="D57" s="283"/>
      <c r="E57" s="283"/>
      <c r="F57" s="283"/>
      <c r="G57" s="283"/>
      <c r="H57" s="283"/>
      <c r="I57" s="283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</row>
    <row r="58" spans="1:38" ht="13.5" customHeight="1" x14ac:dyDescent="0.2"/>
    <row r="59" spans="1:38" ht="13.5" customHeight="1" x14ac:dyDescent="0.2"/>
    <row r="60" spans="1:38" ht="13.5" customHeight="1" x14ac:dyDescent="0.2"/>
    <row r="64" spans="1:38" ht="12" thickBot="1" x14ac:dyDescent="0.25"/>
    <row r="65" spans="1:37" s="191" customFormat="1" ht="19.5" customHeight="1" thickBot="1" x14ac:dyDescent="0.25">
      <c r="A65" s="97"/>
      <c r="B65" s="97"/>
      <c r="C65" s="97"/>
      <c r="D65" s="97"/>
      <c r="E65" s="97"/>
      <c r="F65" s="97"/>
      <c r="G65" s="143"/>
      <c r="H65" s="141"/>
      <c r="I65" s="142"/>
      <c r="J65" s="144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</row>
  </sheetData>
  <mergeCells count="21">
    <mergeCell ref="A46:I46"/>
    <mergeCell ref="H1:H2"/>
    <mergeCell ref="I1:I2"/>
    <mergeCell ref="B4:I4"/>
    <mergeCell ref="B5:I5"/>
    <mergeCell ref="B6:I6"/>
    <mergeCell ref="G7:H7"/>
    <mergeCell ref="B40:F40"/>
    <mergeCell ref="B41:F41"/>
    <mergeCell ref="B42:F42"/>
    <mergeCell ref="B43:F43"/>
    <mergeCell ref="B44:F44"/>
    <mergeCell ref="B54:D54"/>
    <mergeCell ref="B55:D55"/>
    <mergeCell ref="A57:I57"/>
    <mergeCell ref="B48:D48"/>
    <mergeCell ref="B49:D49"/>
    <mergeCell ref="B50:D50"/>
    <mergeCell ref="B51:F51"/>
    <mergeCell ref="B52:D52"/>
    <mergeCell ref="B53:D5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8980-0F3B-4AE8-8B19-84DE2D0ABAF1}">
  <dimension ref="A1:AK43"/>
  <sheetViews>
    <sheetView topLeftCell="A19" workbookViewId="0">
      <selection activeCell="M23" sqref="M23"/>
    </sheetView>
  </sheetViews>
  <sheetFormatPr baseColWidth="10" defaultColWidth="8.42578125" defaultRowHeight="11.25" x14ac:dyDescent="0.2"/>
  <cols>
    <col min="1" max="1" width="7.5703125" style="97" customWidth="1"/>
    <col min="2" max="2" width="7.7109375" style="97" bestFit="1" customWidth="1"/>
    <col min="3" max="3" width="39.28515625" style="97" customWidth="1"/>
    <col min="4" max="4" width="10" style="97" bestFit="1" customWidth="1"/>
    <col min="5" max="5" width="9.42578125" style="97" bestFit="1" customWidth="1"/>
    <col min="6" max="6" width="11.7109375" style="140" customWidth="1"/>
    <col min="7" max="7" width="8.7109375" style="141" bestFit="1" customWidth="1"/>
    <col min="8" max="8" width="10.28515625" style="142" bestFit="1" customWidth="1"/>
    <col min="9" max="16384" width="8.42578125" style="97"/>
  </cols>
  <sheetData>
    <row r="1" spans="2:8" ht="36" customHeight="1" thickBot="1" x14ac:dyDescent="0.35">
      <c r="B1" s="292"/>
      <c r="C1" s="293"/>
      <c r="D1" s="293"/>
      <c r="E1" s="293"/>
      <c r="F1" s="293"/>
      <c r="G1" s="293"/>
      <c r="H1" s="294"/>
    </row>
    <row r="2" spans="2:8" ht="19.5" customHeight="1" thickBot="1" x14ac:dyDescent="0.25">
      <c r="B2" s="295" t="s">
        <v>99</v>
      </c>
      <c r="C2" s="295"/>
      <c r="D2" s="295"/>
      <c r="E2" s="295"/>
      <c r="F2" s="295"/>
      <c r="G2" s="295"/>
      <c r="H2" s="295"/>
    </row>
    <row r="3" spans="2:8" ht="19.5" customHeight="1" thickTop="1" x14ac:dyDescent="0.2">
      <c r="B3" s="310" t="s">
        <v>100</v>
      </c>
      <c r="C3" s="310"/>
      <c r="D3" s="310"/>
      <c r="E3" s="310"/>
      <c r="F3" s="310"/>
      <c r="G3" s="310"/>
      <c r="H3" s="310"/>
    </row>
    <row r="4" spans="2:8" ht="19.5" customHeight="1" x14ac:dyDescent="0.2">
      <c r="B4" s="98"/>
      <c r="C4" s="98"/>
      <c r="D4" s="98"/>
      <c r="E4" s="98"/>
      <c r="F4" s="311" t="s">
        <v>55</v>
      </c>
      <c r="G4" s="311"/>
      <c r="H4" s="12"/>
    </row>
    <row r="5" spans="2:8" ht="30" customHeight="1" x14ac:dyDescent="0.2">
      <c r="B5" s="99" t="s">
        <v>87</v>
      </c>
      <c r="C5" s="99" t="s">
        <v>57</v>
      </c>
      <c r="D5" s="99" t="s">
        <v>87</v>
      </c>
      <c r="E5" s="100" t="s">
        <v>101</v>
      </c>
      <c r="F5" s="100" t="s">
        <v>102</v>
      </c>
      <c r="G5" s="100" t="s">
        <v>103</v>
      </c>
      <c r="H5" s="100" t="s">
        <v>104</v>
      </c>
    </row>
    <row r="6" spans="2:8" s="101" customFormat="1" ht="20.100000000000001" customHeight="1" x14ac:dyDescent="0.2">
      <c r="B6" s="102">
        <v>1</v>
      </c>
      <c r="C6" s="101" t="s">
        <v>133</v>
      </c>
      <c r="D6" s="103">
        <f>+B6</f>
        <v>1</v>
      </c>
      <c r="E6" s="103">
        <f>+'Costo ensamble'!H54</f>
        <v>3882.9116491926065</v>
      </c>
      <c r="F6" s="104">
        <f>+D6*E6</f>
        <v>3882.9116491926065</v>
      </c>
      <c r="G6" s="105">
        <f>+F6/$F$23</f>
        <v>0.62790744997721115</v>
      </c>
      <c r="H6" s="106" t="s">
        <v>105</v>
      </c>
    </row>
    <row r="7" spans="2:8" s="101" customFormat="1" ht="20.100000000000001" customHeight="1" x14ac:dyDescent="0.2">
      <c r="B7" s="102"/>
      <c r="D7" s="103"/>
      <c r="E7" s="103"/>
      <c r="F7" s="104"/>
      <c r="G7" s="105"/>
      <c r="H7" s="106"/>
    </row>
    <row r="8" spans="2:8" ht="30" customHeight="1" x14ac:dyDescent="0.2">
      <c r="B8" s="99" t="s">
        <v>87</v>
      </c>
      <c r="C8" s="99" t="s">
        <v>35</v>
      </c>
      <c r="D8" s="99" t="s">
        <v>87</v>
      </c>
      <c r="E8" s="100" t="s">
        <v>101</v>
      </c>
      <c r="F8" s="100" t="s">
        <v>102</v>
      </c>
      <c r="G8" s="100" t="s">
        <v>103</v>
      </c>
      <c r="H8" s="100" t="s">
        <v>104</v>
      </c>
    </row>
    <row r="9" spans="2:8" s="101" customFormat="1" ht="20.100000000000001" customHeight="1" x14ac:dyDescent="0.2">
      <c r="B9" s="102">
        <v>1</v>
      </c>
      <c r="C9" s="101" t="s">
        <v>106</v>
      </c>
      <c r="D9" s="103">
        <f>+B9</f>
        <v>1</v>
      </c>
      <c r="E9" s="103">
        <f>+'Costo ensamble'!H55</f>
        <v>484.756407718189</v>
      </c>
      <c r="F9" s="104">
        <f>+D9*E9</f>
        <v>484.756407718189</v>
      </c>
      <c r="G9" s="105">
        <f>+F9/$F$23</f>
        <v>7.8390184307627245E-2</v>
      </c>
      <c r="H9" s="106" t="s">
        <v>107</v>
      </c>
    </row>
    <row r="10" spans="2:8" s="107" customFormat="1" ht="17.25" customHeight="1" x14ac:dyDescent="0.2">
      <c r="B10" s="108"/>
      <c r="C10" s="109"/>
      <c r="D10" s="110"/>
      <c r="E10" s="110"/>
      <c r="F10" s="111"/>
      <c r="G10" s="112"/>
      <c r="H10" s="113"/>
    </row>
    <row r="11" spans="2:8" s="107" customFormat="1" ht="12" x14ac:dyDescent="0.2">
      <c r="B11" s="102"/>
      <c r="C11" s="233" t="s">
        <v>108</v>
      </c>
      <c r="D11" s="233"/>
      <c r="E11" s="103"/>
      <c r="F11" s="38">
        <f>SUM(F6)</f>
        <v>3882.9116491926065</v>
      </c>
      <c r="G11" s="114">
        <f>+F11/$F$23</f>
        <v>0.62790744997721115</v>
      </c>
      <c r="H11" s="106"/>
    </row>
    <row r="12" spans="2:8" s="107" customFormat="1" ht="12.75" thickBot="1" x14ac:dyDescent="0.25">
      <c r="B12" s="102"/>
      <c r="C12" s="233" t="s">
        <v>109</v>
      </c>
      <c r="D12" s="233"/>
      <c r="E12" s="103"/>
      <c r="F12" s="115">
        <f>SUM(F9)</f>
        <v>484.756407718189</v>
      </c>
      <c r="G12" s="114">
        <f>+F12/$F$23</f>
        <v>7.8390184307627245E-2</v>
      </c>
      <c r="H12" s="106"/>
    </row>
    <row r="13" spans="2:8" s="107" customFormat="1" ht="12.75" thickTop="1" x14ac:dyDescent="0.2">
      <c r="B13" s="102"/>
      <c r="C13" s="236" t="s">
        <v>70</v>
      </c>
      <c r="D13" s="236"/>
      <c r="E13" s="236"/>
      <c r="F13" s="50">
        <f>SUM(F11:F12)</f>
        <v>4367.6680569107957</v>
      </c>
      <c r="G13" s="114">
        <f>+F13/$F$23</f>
        <v>0.70629763428483838</v>
      </c>
      <c r="H13" s="106"/>
    </row>
    <row r="14" spans="2:8" s="107" customFormat="1" ht="12" x14ac:dyDescent="0.2">
      <c r="C14" s="46"/>
      <c r="D14" s="46"/>
      <c r="E14" s="116"/>
      <c r="F14" s="117"/>
      <c r="G14" s="114"/>
    </row>
    <row r="15" spans="2:8" s="107" customFormat="1" ht="12" x14ac:dyDescent="0.2">
      <c r="B15" s="233" t="s">
        <v>70</v>
      </c>
      <c r="C15" s="233"/>
      <c r="D15" s="233"/>
      <c r="E15" s="118" t="s">
        <v>110</v>
      </c>
      <c r="F15" s="38">
        <f>+F13</f>
        <v>4367.6680569107957</v>
      </c>
      <c r="G15" s="114">
        <f t="shared" ref="G15:G23" si="0">+F15/$F$23</f>
        <v>0.70629763428483838</v>
      </c>
      <c r="H15" s="119"/>
    </row>
    <row r="16" spans="2:8" s="107" customFormat="1" ht="12.75" customHeight="1" thickBot="1" x14ac:dyDescent="0.25">
      <c r="B16" s="41"/>
      <c r="C16" s="233" t="s">
        <v>72</v>
      </c>
      <c r="D16" s="233"/>
      <c r="E16" s="120"/>
      <c r="F16" s="38">
        <f>+'Costo ensamble'!H57</f>
        <v>458.78397789740973</v>
      </c>
      <c r="G16" s="114">
        <f t="shared" si="0"/>
        <v>7.419017059321048E-2</v>
      </c>
      <c r="H16" s="119"/>
    </row>
    <row r="17" spans="1:37" s="107" customFormat="1" ht="12.75" hidden="1" customHeight="1" x14ac:dyDescent="0.2">
      <c r="B17" s="41"/>
      <c r="C17" s="233" t="s">
        <v>111</v>
      </c>
      <c r="D17" s="233"/>
      <c r="E17" s="121">
        <v>0</v>
      </c>
      <c r="F17" s="38">
        <f>+(F15+F16)*E17</f>
        <v>0</v>
      </c>
      <c r="G17" s="114">
        <f t="shared" si="0"/>
        <v>0</v>
      </c>
      <c r="H17" s="119"/>
    </row>
    <row r="18" spans="1:37" s="107" customFormat="1" ht="12.75" hidden="1" thickBot="1" x14ac:dyDescent="0.25">
      <c r="B18" s="41"/>
      <c r="C18" s="233" t="s">
        <v>112</v>
      </c>
      <c r="D18" s="233"/>
      <c r="E18" s="121">
        <v>0</v>
      </c>
      <c r="F18" s="38">
        <f>+F16*E18</f>
        <v>0</v>
      </c>
      <c r="G18" s="114">
        <f t="shared" si="0"/>
        <v>0</v>
      </c>
      <c r="H18" s="119"/>
    </row>
    <row r="19" spans="1:37" s="107" customFormat="1" ht="12.75" thickBot="1" x14ac:dyDescent="0.25">
      <c r="B19" s="46"/>
      <c r="C19" s="308"/>
      <c r="D19" s="308"/>
      <c r="E19" s="309"/>
      <c r="F19" s="49">
        <f>SUM(F15:F18)</f>
        <v>4826.4520348082051</v>
      </c>
      <c r="G19" s="122">
        <f>+F19/$F$21</f>
        <v>0.8</v>
      </c>
      <c r="H19" s="119"/>
    </row>
    <row r="20" spans="1:37" s="107" customFormat="1" ht="12" x14ac:dyDescent="0.2">
      <c r="B20" s="46"/>
      <c r="C20" s="233" t="s">
        <v>77</v>
      </c>
      <c r="D20" s="233"/>
      <c r="E20" s="54">
        <v>0.25</v>
      </c>
      <c r="F20" s="38">
        <f>+F19*E20</f>
        <v>1206.6130087020513</v>
      </c>
      <c r="G20" s="114">
        <f t="shared" si="0"/>
        <v>0.1951219512195122</v>
      </c>
      <c r="H20" s="119"/>
    </row>
    <row r="21" spans="1:37" s="107" customFormat="1" ht="12" x14ac:dyDescent="0.2">
      <c r="B21" s="46"/>
      <c r="C21" s="233" t="s">
        <v>75</v>
      </c>
      <c r="D21" s="233"/>
      <c r="E21" s="233"/>
      <c r="F21" s="38">
        <f>SUM(F19:F20)</f>
        <v>6033.0650435102561</v>
      </c>
      <c r="G21" s="114">
        <f t="shared" si="0"/>
        <v>0.97560975609756095</v>
      </c>
      <c r="H21" s="119"/>
    </row>
    <row r="22" spans="1:37" s="107" customFormat="1" ht="12.75" thickBot="1" x14ac:dyDescent="0.25">
      <c r="B22" s="46"/>
      <c r="C22" s="233" t="s">
        <v>80</v>
      </c>
      <c r="D22" s="233"/>
      <c r="E22" s="54">
        <v>2.5000000000000001E-2</v>
      </c>
      <c r="F22" s="38">
        <f>+F21*E22</f>
        <v>150.82662608775641</v>
      </c>
      <c r="G22" s="114">
        <f t="shared" si="0"/>
        <v>2.4390243902439025E-2</v>
      </c>
      <c r="H22" s="119"/>
    </row>
    <row r="23" spans="1:37" s="107" customFormat="1" ht="12.75" thickBot="1" x14ac:dyDescent="0.25">
      <c r="B23" s="46"/>
      <c r="C23" s="236" t="s">
        <v>82</v>
      </c>
      <c r="D23" s="236"/>
      <c r="E23" s="237"/>
      <c r="F23" s="49">
        <f>SUM(F21:F22)</f>
        <v>6183.8916695980124</v>
      </c>
      <c r="G23" s="114">
        <f t="shared" si="0"/>
        <v>1</v>
      </c>
      <c r="H23" s="123"/>
    </row>
    <row r="24" spans="1:37" s="107" customFormat="1" ht="12.75" thickBot="1" x14ac:dyDescent="0.25">
      <c r="B24" s="46"/>
      <c r="C24" s="124"/>
      <c r="D24" s="124"/>
      <c r="E24" s="124"/>
      <c r="F24" s="50"/>
      <c r="G24" s="125"/>
      <c r="H24" s="123"/>
    </row>
    <row r="25" spans="1:37" s="126" customFormat="1" ht="19.5" customHeight="1" thickBot="1" x14ac:dyDescent="0.25">
      <c r="A25" s="306"/>
      <c r="B25" s="307"/>
      <c r="C25" s="307"/>
      <c r="D25" s="307"/>
      <c r="E25" s="307"/>
      <c r="F25" s="307"/>
      <c r="G25" s="307"/>
      <c r="H25" s="3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</row>
    <row r="26" spans="1:37" s="107" customFormat="1" ht="19.5" customHeight="1" thickBot="1" x14ac:dyDescent="0.25">
      <c r="F26" s="127"/>
      <c r="G26" s="128"/>
      <c r="H26" s="119"/>
    </row>
    <row r="27" spans="1:37" s="107" customFormat="1" ht="13.5" customHeight="1" thickBot="1" x14ac:dyDescent="0.25">
      <c r="B27" s="46"/>
      <c r="C27" s="236" t="s">
        <v>82</v>
      </c>
      <c r="D27" s="236"/>
      <c r="E27" s="237"/>
      <c r="F27" s="49">
        <f>+F23</f>
        <v>6183.8916695980124</v>
      </c>
      <c r="H27" s="119"/>
    </row>
    <row r="28" spans="1:37" s="107" customFormat="1" ht="13.5" customHeight="1" x14ac:dyDescent="0.2">
      <c r="B28" s="46"/>
      <c r="C28" s="300" t="s">
        <v>113</v>
      </c>
      <c r="D28" s="300" t="s">
        <v>114</v>
      </c>
      <c r="E28" s="54">
        <v>0.1</v>
      </c>
      <c r="F28" s="129">
        <f>+F27*E28</f>
        <v>618.38916695980129</v>
      </c>
      <c r="G28" s="130" t="s">
        <v>115</v>
      </c>
      <c r="H28" s="119" t="s">
        <v>116</v>
      </c>
    </row>
    <row r="29" spans="1:37" s="107" customFormat="1" ht="13.5" customHeight="1" x14ac:dyDescent="0.2">
      <c r="B29" s="46"/>
      <c r="C29" s="303" t="s">
        <v>117</v>
      </c>
      <c r="D29" s="303"/>
      <c r="E29" s="303"/>
      <c r="F29" s="129">
        <f>SUM(F27:F28)</f>
        <v>6802.2808365578139</v>
      </c>
      <c r="G29" s="130">
        <f>+F29/$F$31</f>
        <v>0.68965517241379315</v>
      </c>
      <c r="H29" s="131">
        <f>1-(F29/F31)</f>
        <v>0.31034482758620685</v>
      </c>
    </row>
    <row r="30" spans="1:37" s="107" customFormat="1" ht="12" x14ac:dyDescent="0.2">
      <c r="B30" s="109"/>
      <c r="C30" s="300" t="s">
        <v>118</v>
      </c>
      <c r="D30" s="300"/>
      <c r="E30" s="54">
        <v>0.45</v>
      </c>
      <c r="F30" s="38">
        <f>+F29*E30</f>
        <v>3061.0263764510164</v>
      </c>
      <c r="G30" s="125"/>
      <c r="H30" s="132"/>
    </row>
    <row r="31" spans="1:37" s="107" customFormat="1" ht="12.75" thickBot="1" x14ac:dyDescent="0.25">
      <c r="B31" s="109"/>
      <c r="C31" s="304" t="s">
        <v>119</v>
      </c>
      <c r="D31" s="304"/>
      <c r="E31" s="194"/>
      <c r="F31" s="195">
        <f>SUM(F29:F30)</f>
        <v>9863.3072130088294</v>
      </c>
      <c r="G31" s="125"/>
      <c r="H31" s="123"/>
    </row>
    <row r="32" spans="1:37" s="107" customFormat="1" ht="12.75" thickBot="1" x14ac:dyDescent="0.25">
      <c r="B32" s="109"/>
      <c r="C32" s="305" t="s">
        <v>120</v>
      </c>
      <c r="D32" s="305"/>
      <c r="E32" s="133">
        <v>0.13</v>
      </c>
      <c r="F32" s="134">
        <f>+F31*(1+E32)</f>
        <v>11145.537150699976</v>
      </c>
      <c r="G32" s="125"/>
      <c r="H32" s="123"/>
    </row>
    <row r="33" spans="1:37" s="107" customFormat="1" ht="12.75" thickBot="1" x14ac:dyDescent="0.25">
      <c r="A33" s="306"/>
      <c r="B33" s="307"/>
      <c r="C33" s="307"/>
      <c r="D33" s="307"/>
      <c r="E33" s="307"/>
      <c r="F33" s="307"/>
      <c r="G33" s="307"/>
      <c r="H33" s="307"/>
    </row>
    <row r="34" spans="1:37" s="107" customFormat="1" ht="12" x14ac:dyDescent="0.2">
      <c r="B34" s="109"/>
      <c r="C34" s="299" t="s">
        <v>121</v>
      </c>
      <c r="D34" s="299"/>
      <c r="E34" s="135">
        <v>0.65</v>
      </c>
      <c r="F34" s="136">
        <f>+F31/0.65</f>
        <v>15174.318789244353</v>
      </c>
      <c r="G34" s="125"/>
      <c r="H34" s="123"/>
    </row>
    <row r="35" spans="1:37" s="107" customFormat="1" ht="12" x14ac:dyDescent="0.2">
      <c r="B35" s="109"/>
      <c r="C35" s="300" t="s">
        <v>122</v>
      </c>
      <c r="D35" s="300"/>
      <c r="E35" s="135">
        <v>0.13</v>
      </c>
      <c r="F35" s="136">
        <f>+F34*1.13</f>
        <v>17146.980231846119</v>
      </c>
      <c r="G35" s="125"/>
      <c r="H35" s="123"/>
    </row>
    <row r="36" spans="1:37" s="107" customFormat="1" ht="12.75" thickBot="1" x14ac:dyDescent="0.25">
      <c r="C36" s="238"/>
      <c r="D36" s="238"/>
      <c r="F36" s="137"/>
      <c r="G36" s="138"/>
      <c r="H36" s="119"/>
    </row>
    <row r="37" spans="1:37" s="126" customFormat="1" ht="19.5" customHeight="1" thickBot="1" x14ac:dyDescent="0.3">
      <c r="A37" s="301" t="s">
        <v>123</v>
      </c>
      <c r="B37" s="302"/>
      <c r="C37" s="302"/>
      <c r="D37" s="302"/>
      <c r="E37" s="302"/>
      <c r="F37" s="302"/>
      <c r="G37" s="302"/>
      <c r="H37" s="302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</row>
    <row r="38" spans="1:37" s="107" customFormat="1" ht="12" x14ac:dyDescent="0.2">
      <c r="F38" s="139"/>
      <c r="G38" s="138"/>
      <c r="H38" s="119"/>
    </row>
    <row r="43" spans="1:37" ht="12" x14ac:dyDescent="0.2">
      <c r="H43" s="111"/>
    </row>
  </sheetData>
  <mergeCells count="28">
    <mergeCell ref="C12:D12"/>
    <mergeCell ref="B1:H1"/>
    <mergeCell ref="B2:H2"/>
    <mergeCell ref="B3:H3"/>
    <mergeCell ref="F4:G4"/>
    <mergeCell ref="C11:D11"/>
    <mergeCell ref="C27:E27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H25"/>
    <mergeCell ref="C34:D34"/>
    <mergeCell ref="C35:D35"/>
    <mergeCell ref="C36:D36"/>
    <mergeCell ref="A37:H37"/>
    <mergeCell ref="C28:D28"/>
    <mergeCell ref="C29:E29"/>
    <mergeCell ref="C30:D30"/>
    <mergeCell ref="C31:D31"/>
    <mergeCell ref="C32:D32"/>
    <mergeCell ref="A33:H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312A48-9791-4490-A209-68812C6D41C6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E38A637D-F75C-4142-9DFC-7132CE4F515A}"/>
</file>

<file path=customXml/itemProps3.xml><?xml version="1.0" encoding="utf-8"?>
<ds:datastoreItem xmlns:ds="http://schemas.openxmlformats.org/officeDocument/2006/customXml" ds:itemID="{A89C3C58-7E3A-4F2E-BA9C-7878A7EBDEA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D7E3C25A-6F45-4D9A-9D1A-17AE24CF1E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COSTEO BATIDO</vt:lpstr>
      <vt:lpstr>Costo Rosquete</vt:lpstr>
      <vt:lpstr>Hoja1</vt:lpstr>
      <vt:lpstr>Costo ensamble</vt:lpstr>
      <vt:lpstr>Precio Local</vt:lpstr>
      <vt:lpstr>Precio 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Mbeeche</dc:creator>
  <cp:lastModifiedBy>Allan Brenes</cp:lastModifiedBy>
  <cp:lastPrinted>2026-02-05T16:35:26Z</cp:lastPrinted>
  <dcterms:created xsi:type="dcterms:W3CDTF">2011-08-18T19:09:21Z</dcterms:created>
  <dcterms:modified xsi:type="dcterms:W3CDTF">2026-02-05T16:36:58Z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231400.000000000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
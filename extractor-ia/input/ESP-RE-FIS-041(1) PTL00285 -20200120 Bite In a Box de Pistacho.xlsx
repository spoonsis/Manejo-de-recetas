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FIGURAS/SPOON/"/>
    </mc:Choice>
  </mc:AlternateContent>
  <xr:revisionPtr revIDLastSave="4" documentId="8_{44C7ADFE-174A-4B7C-98C7-887542071DEB}" xr6:coauthVersionLast="47" xr6:coauthVersionMax="47" xr10:uidLastSave="{AFBBC905-69B1-46BA-B009-421BA57BF0BF}"/>
  <bookViews>
    <workbookView xWindow="-120" yWindow="-120" windowWidth="20730" windowHeight="11040" firstSheet="1" activeTab="1" xr2:uid="{86A95AF8-34C1-4DB7-AE30-E3F9DEB6557E}"/>
  </bookViews>
  <sheets>
    <sheet name="Cake Box Pistacho" sheetId="7" state="hidden" r:id="rId1"/>
    <sheet name="Bite Box Pitacho" sheetId="12" r:id="rId2"/>
    <sheet name="Costo" sheetId="11" state="hidden" r:id="rId3"/>
    <sheet name="Crema Pasionata verde" sheetId="10" state="hidden" r:id="rId4"/>
    <sheet name="Salsa Suave de Pistacho " sheetId="8" state="hidden" r:id="rId5"/>
  </sheets>
  <externalReferences>
    <externalReference r:id="rId6"/>
    <externalReference r:id="rId7"/>
    <externalReference r:id="rId8"/>
  </externalReferences>
  <definedNames>
    <definedName name="_xlnm.Print_Area" localSheetId="1">'Bite Box Pitacho'!$A$1:$I$47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5" i="11" l="1"/>
  <c r="D86" i="11" s="1"/>
  <c r="D74" i="11"/>
  <c r="D76" i="11" s="1"/>
  <c r="D73" i="11"/>
  <c r="D71" i="11"/>
  <c r="D69" i="11"/>
  <c r="F65" i="11"/>
  <c r="C73" i="11" s="1"/>
  <c r="D60" i="11"/>
  <c r="D83" i="11" s="1"/>
  <c r="C51" i="11"/>
  <c r="E50" i="11"/>
  <c r="D50" i="11"/>
  <c r="B50" i="11"/>
  <c r="A49" i="11"/>
  <c r="C49" i="11" s="1"/>
  <c r="F49" i="11" s="1"/>
  <c r="E41" i="11"/>
  <c r="D41" i="11"/>
  <c r="B41" i="11"/>
  <c r="A41" i="11"/>
  <c r="A50" i="11" s="1"/>
  <c r="C50" i="11" s="1"/>
  <c r="F40" i="11"/>
  <c r="C40" i="11"/>
  <c r="A40" i="11"/>
  <c r="A39" i="11"/>
  <c r="C39" i="11" s="1"/>
  <c r="A38" i="11"/>
  <c r="A47" i="11" s="1"/>
  <c r="C47" i="11" s="1"/>
  <c r="A37" i="11"/>
  <c r="C37" i="11" s="1"/>
  <c r="F37" i="11" s="1"/>
  <c r="A36" i="11"/>
  <c r="A45" i="11" s="1"/>
  <c r="C45" i="11" s="1"/>
  <c r="F45" i="11" s="1"/>
  <c r="A35" i="11"/>
  <c r="A44" i="11" s="1"/>
  <c r="C44" i="11" s="1"/>
  <c r="F44" i="11" s="1"/>
  <c r="E32" i="11"/>
  <c r="D32" i="11"/>
  <c r="C32" i="11"/>
  <c r="B32" i="11"/>
  <c r="C31" i="11"/>
  <c r="E30" i="11"/>
  <c r="C30" i="11"/>
  <c r="B30" i="11"/>
  <c r="E29" i="11"/>
  <c r="D29" i="11"/>
  <c r="C29" i="11"/>
  <c r="B29" i="11"/>
  <c r="E28" i="11"/>
  <c r="D28" i="11"/>
  <c r="C28" i="11"/>
  <c r="B28" i="11"/>
  <c r="F27" i="11"/>
  <c r="C27" i="11"/>
  <c r="E24" i="11"/>
  <c r="F24" i="11" s="1"/>
  <c r="D24" i="11"/>
  <c r="C24" i="11"/>
  <c r="B24" i="11"/>
  <c r="E23" i="11"/>
  <c r="F23" i="11" s="1"/>
  <c r="D23" i="11"/>
  <c r="C23" i="11"/>
  <c r="B23" i="11"/>
  <c r="F22" i="11"/>
  <c r="C22" i="11"/>
  <c r="C21" i="11"/>
  <c r="C20" i="11"/>
  <c r="C19" i="11"/>
  <c r="F19" i="11" s="1"/>
  <c r="M18" i="11"/>
  <c r="C18" i="11"/>
  <c r="F18" i="11" s="1"/>
  <c r="C17" i="11"/>
  <c r="F17" i="11" s="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H6" i="11"/>
  <c r="E12" i="8"/>
  <c r="E11" i="8"/>
  <c r="E10" i="8"/>
  <c r="J47" i="8"/>
  <c r="J47" i="10"/>
  <c r="D51" i="10"/>
  <c r="F30" i="11" l="1"/>
  <c r="F31" i="11"/>
  <c r="F28" i="11"/>
  <c r="F32" i="11"/>
  <c r="F29" i="11"/>
  <c r="F50" i="11"/>
  <c r="E51" i="11"/>
  <c r="F51" i="11" s="1"/>
  <c r="F9" i="11"/>
  <c r="F12" i="11"/>
  <c r="F10" i="11"/>
  <c r="F13" i="11"/>
  <c r="C36" i="11"/>
  <c r="F36" i="11" s="1"/>
  <c r="F8" i="11"/>
  <c r="F11" i="11"/>
  <c r="F14" i="11"/>
  <c r="F41" i="11"/>
  <c r="C85" i="11"/>
  <c r="E85" i="11" s="1"/>
  <c r="E73" i="11"/>
  <c r="C35" i="11"/>
  <c r="F35" i="11" s="1"/>
  <c r="C38" i="11"/>
  <c r="A48" i="11"/>
  <c r="C48" i="11" s="1"/>
  <c r="D81" i="11"/>
  <c r="C41" i="11"/>
  <c r="A46" i="11"/>
  <c r="C46" i="11" s="1"/>
  <c r="F46" i="11" s="1"/>
  <c r="D51" i="8"/>
  <c r="E39" i="11" l="1"/>
  <c r="F39" i="11" s="1"/>
  <c r="E21" i="11"/>
  <c r="F21" i="11" s="1"/>
  <c r="E38" i="11"/>
  <c r="F38" i="11" s="1"/>
  <c r="E20" i="11"/>
  <c r="F20" i="11" s="1"/>
  <c r="F54" i="11" l="1"/>
  <c r="F53" i="11"/>
  <c r="E48" i="11"/>
  <c r="F48" i="11" s="1"/>
  <c r="E47" i="11"/>
  <c r="F47" i="11" s="1"/>
  <c r="F56" i="11" l="1"/>
  <c r="C69" i="11"/>
  <c r="H53" i="11"/>
  <c r="F2" i="11" s="1"/>
  <c r="F64" i="11"/>
  <c r="F55" i="11"/>
  <c r="C76" i="11"/>
  <c r="E76" i="11" s="1"/>
  <c r="H54" i="11"/>
  <c r="G2" i="11" s="1"/>
  <c r="H55" i="11" l="1"/>
  <c r="O54" i="11"/>
  <c r="O56" i="11" s="1"/>
  <c r="F63" i="11"/>
  <c r="E69" i="11"/>
  <c r="C81" i="11"/>
  <c r="E81" i="11" s="1"/>
  <c r="C74" i="11"/>
  <c r="H56" i="11"/>
  <c r="H2" i="11" l="1"/>
  <c r="O55" i="11"/>
  <c r="O57" i="11" s="1"/>
  <c r="H58" i="11"/>
  <c r="H59" i="11" s="1"/>
  <c r="O58" i="11" s="1"/>
  <c r="C86" i="11"/>
  <c r="E86" i="11" s="1"/>
  <c r="E74" i="11"/>
  <c r="E78" i="11" s="1"/>
  <c r="C71" i="11"/>
  <c r="E63" i="11"/>
  <c r="F66" i="11"/>
  <c r="G63" i="11" s="1"/>
  <c r="O59" i="11" l="1"/>
  <c r="O60" i="11" s="1"/>
  <c r="O61" i="11" s="1"/>
  <c r="O62" i="11" s="1"/>
  <c r="G23" i="11"/>
  <c r="G28" i="11"/>
  <c r="G10" i="11"/>
  <c r="G65" i="11"/>
  <c r="G12" i="11"/>
  <c r="G24" i="11"/>
  <c r="G14" i="11"/>
  <c r="G27" i="11"/>
  <c r="G49" i="11"/>
  <c r="G35" i="11"/>
  <c r="G22" i="11"/>
  <c r="G11" i="11"/>
  <c r="G46" i="11"/>
  <c r="G29" i="11"/>
  <c r="G36" i="11"/>
  <c r="G66" i="11"/>
  <c r="G32" i="11"/>
  <c r="G18" i="11"/>
  <c r="G51" i="11"/>
  <c r="G9" i="11"/>
  <c r="G17" i="11"/>
  <c r="G50" i="11"/>
  <c r="G41" i="11"/>
  <c r="G37" i="11"/>
  <c r="G13" i="11"/>
  <c r="G40" i="11"/>
  <c r="G30" i="11"/>
  <c r="G31" i="11"/>
  <c r="G45" i="11"/>
  <c r="G44" i="11"/>
  <c r="G19" i="11"/>
  <c r="G8" i="11"/>
  <c r="G38" i="11"/>
  <c r="G21" i="11"/>
  <c r="G39" i="11"/>
  <c r="G20" i="11"/>
  <c r="G47" i="11"/>
  <c r="G48" i="11"/>
  <c r="G53" i="11"/>
  <c r="G54" i="11"/>
  <c r="G55" i="11"/>
  <c r="G56" i="11"/>
  <c r="G64" i="11"/>
  <c r="C83" i="11"/>
  <c r="E83" i="11" s="1"/>
  <c r="E71" i="11"/>
  <c r="P62" i="11"/>
  <c r="E2" i="11"/>
  <c r="O64" i="11"/>
</calcChain>
</file>

<file path=xl/sharedStrings.xml><?xml version="1.0" encoding="utf-8"?>
<sst xmlns="http://schemas.openxmlformats.org/spreadsheetml/2006/main" count="483" uniqueCount="174">
  <si>
    <t>PROCEDIMIENTO DE PREPARACION DE LA  RECETA</t>
  </si>
  <si>
    <t>g</t>
  </si>
  <si>
    <t>MERMA</t>
  </si>
  <si>
    <t>Otros</t>
  </si>
  <si>
    <t>PESO DE CADA PORCIÓN</t>
  </si>
  <si>
    <t>Temperatura de Horneo: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</si>
  <si>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</si>
  <si>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</si>
  <si>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</si>
  <si>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</si>
  <si>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</si>
  <si>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</si>
  <si>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</si>
  <si>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</si>
  <si>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</si>
  <si>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</si>
  <si>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</si>
  <si>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</si>
  <si>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</si>
  <si>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</si>
  <si>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</si>
  <si>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</si>
  <si>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</si>
  <si>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</si>
  <si>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</si>
  <si>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</si>
  <si>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</si>
  <si>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</si>
  <si>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</si>
  <si>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</si>
  <si>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</si>
  <si>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# Código Netsuite</t>
  </si>
  <si>
    <t>Ensamble</t>
  </si>
  <si>
    <t>CONTROL DE CAMBIOS</t>
  </si>
  <si>
    <t>EMPAQUE</t>
  </si>
  <si>
    <t>Mariela Barrantes Sánchez, Chef</t>
  </si>
  <si>
    <t>FAS</t>
  </si>
  <si>
    <t>ud</t>
  </si>
  <si>
    <t>EM10011</t>
  </si>
  <si>
    <t>ETIPLAST</t>
  </si>
  <si>
    <t>EM10124</t>
  </si>
  <si>
    <t>ETIQUETA BLANCA 2 5/8X1 15/16</t>
  </si>
  <si>
    <t>DECORACION</t>
  </si>
  <si>
    <t>ETIQUETA BLANCA R-153</t>
  </si>
  <si>
    <t>CEMUSA</t>
  </si>
  <si>
    <t>EM10004</t>
  </si>
  <si>
    <t>ETIQ.FECHA VENCIMIENTO BLANCO</t>
  </si>
  <si>
    <t>Sebastian Díaz, Gte Manufactura</t>
  </si>
  <si>
    <t>SE00005</t>
  </si>
  <si>
    <t>Almibar</t>
  </si>
  <si>
    <t>907000042</t>
  </si>
  <si>
    <t>SE00196</t>
  </si>
  <si>
    <t>ROSQUETE ARROLLADO 1000g</t>
  </si>
  <si>
    <t>SE00682</t>
  </si>
  <si>
    <t>Caramelo con Chocolate Blanco</t>
  </si>
  <si>
    <t>Nuevo</t>
  </si>
  <si>
    <t xml:space="preserve">Nuevo </t>
  </si>
  <si>
    <t xml:space="preserve">1, Cortar el rosquete arrollado en 20 porciones, (4 cuadros de manera vertical y 15 cuadros de manera horizontal) quitandole excesos de los laterales. </t>
  </si>
  <si>
    <t xml:space="preserve">5, Tapar y etiquetar. </t>
  </si>
  <si>
    <t xml:space="preserve">Postres </t>
  </si>
  <si>
    <t>Cocina</t>
  </si>
  <si>
    <t>Empaque</t>
  </si>
  <si>
    <t xml:space="preserve">Batido Crema Pasionata </t>
  </si>
  <si>
    <t xml:space="preserve">2, Utilizar inmediatamente. </t>
  </si>
  <si>
    <t>Puratos</t>
  </si>
  <si>
    <t>Tanda</t>
  </si>
  <si>
    <t>MP10152</t>
  </si>
  <si>
    <t>Colorante Gel Electric Green</t>
  </si>
  <si>
    <t>0.2</t>
  </si>
  <si>
    <t>Postres</t>
  </si>
  <si>
    <t xml:space="preserve"> Crema Pasionata Verde</t>
  </si>
  <si>
    <t xml:space="preserve">1, Una vez lista la crema pasionata, agregarle el colorante verde y revolver hasta que quede bien mezclado. </t>
  </si>
  <si>
    <t>SE00475</t>
  </si>
  <si>
    <t>Relleno Suspiro Limeño</t>
  </si>
  <si>
    <t>MP10779</t>
  </si>
  <si>
    <t>Saborizante pistacho concentrado</t>
  </si>
  <si>
    <t>MP10776</t>
  </si>
  <si>
    <t>Praline de pistacho</t>
  </si>
  <si>
    <t xml:space="preserve">1, Mezclar todos los ingredientes en una batidora con ayuda de una paleta, hasta que quede completamete incorporado. </t>
  </si>
  <si>
    <t xml:space="preserve">Salsa Sueve de Pistacho </t>
  </si>
  <si>
    <t xml:space="preserve">Salsa Suave de Pistacho </t>
  </si>
  <si>
    <t xml:space="preserve">Crema Pasionata Verde </t>
  </si>
  <si>
    <t>SE00738</t>
  </si>
  <si>
    <t>PISTACHO TOSTADO</t>
  </si>
  <si>
    <t>2 Unidades por postre</t>
  </si>
  <si>
    <t>2, En cada empaque colocar un cuadrado de rosquete, humedecer con el almibar, colocar la salsa suave de pistacho, la crema pasionata verde y el caramelo con chocolate blanco.</t>
  </si>
  <si>
    <t xml:space="preserve">3. Colocar otro rosquete, humedecer con el almibar, agregar la crema pasionata verde. </t>
  </si>
  <si>
    <t>4, Decorar con salsa suave de pistacho en toda la superficie y colocar (lado, de esquina a esquina)</t>
  </si>
  <si>
    <t>208g (13g x ud)</t>
  </si>
  <si>
    <t>7.5g x rosquete</t>
  </si>
  <si>
    <t>7.5g x postre (1 sola capa)</t>
  </si>
  <si>
    <t xml:space="preserve">20g xcapa </t>
  </si>
  <si>
    <t xml:space="preserve">15g x capa </t>
  </si>
  <si>
    <t>1.5 g x unidad</t>
  </si>
  <si>
    <t>Cake Box rectangular pequeño</t>
  </si>
  <si>
    <t xml:space="preserve">Cuchareable de Pistacho 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</si>
  <si>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</si>
  <si>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</si>
  <si>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</si>
  <si>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</si>
  <si>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</si>
  <si>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</si>
  <si>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</si>
  <si>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</si>
  <si>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</si>
  <si>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</si>
  <si>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</si>
  <si>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</si>
  <si>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</si>
  <si>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</si>
  <si>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 xml:space="preserve">UND </t>
  </si>
  <si>
    <t>Gramos</t>
  </si>
  <si>
    <t>Cake Box Cuadradro</t>
  </si>
  <si>
    <t>Und</t>
  </si>
  <si>
    <t>0702123</t>
  </si>
  <si>
    <t>701096</t>
  </si>
  <si>
    <t>0702007</t>
  </si>
  <si>
    <t>EMPAQUE SEMIELABORADOS</t>
  </si>
  <si>
    <t>UND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</si>
  <si>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</si>
  <si>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</si>
  <si>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</si>
  <si>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</si>
  <si>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</si>
  <si>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</si>
  <si>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</si>
  <si>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</si>
  <si>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</si>
  <si>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</si>
  <si>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</si>
  <si>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</si>
  <si>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GIF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</si>
  <si>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</si>
  <si>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</si>
  <si>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</si>
  <si>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</si>
  <si>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</si>
  <si>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</si>
  <si>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</si>
  <si>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</si>
  <si>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</si>
  <si>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</si>
  <si>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</si>
  <si>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</si>
  <si>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MODI 77 COLONES X MIN</t>
  </si>
  <si>
    <t xml:space="preserve">Gf 83 colones min </t>
  </si>
  <si>
    <t>COSTO POR GRAMO</t>
  </si>
  <si>
    <t>,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</si>
  <si>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</si>
  <si>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</si>
  <si>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</si>
  <si>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</si>
  <si>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</si>
  <si>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</si>
  <si>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</si>
  <si>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Etiqueta Cuchareables</t>
  </si>
  <si>
    <t xml:space="preserve">Figuras </t>
  </si>
  <si>
    <t>Figuras</t>
  </si>
  <si>
    <t>240g (15g x ud)</t>
  </si>
  <si>
    <t>10g x rosquete</t>
  </si>
  <si>
    <t>10g x capa</t>
  </si>
  <si>
    <t>3 g x unidad</t>
  </si>
  <si>
    <t>EM10499</t>
  </si>
  <si>
    <t xml:space="preserve">Empaque Cuchareable Rectangular </t>
  </si>
  <si>
    <t xml:space="preserve">ETIQUETA BITE IN A BOX PISTACHO </t>
  </si>
  <si>
    <t>1, Cortar el rosquete arrollado.</t>
  </si>
  <si>
    <t>SE00807</t>
  </si>
  <si>
    <t>SE00808</t>
  </si>
  <si>
    <t>PTL00285 -20200120 Bite In a Box de Pistacho</t>
  </si>
  <si>
    <t>01</t>
  </si>
  <si>
    <t>2 Unidades 
por postre</t>
  </si>
  <si>
    <t>10g x postre 
(1 sola capa)</t>
  </si>
  <si>
    <t xml:space="preserve">25g x capa </t>
  </si>
  <si>
    <t>ESP-RE-FIS-041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</si>
</sst>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3" formatCode="_-* #,##0.00_-;\-* #,##0.00_-;_-* &quot;-&quot;??_-;_-@_-"/>
    <numFmt numFmtId="164" formatCode="0.000"/>
    <numFmt numFmtId="165" formatCode="0.0000"/>
    <numFmt numFmtId="166" formatCode="_(* #,##0.000_);_(* \(#,##0.000\);_(* &quot;-&quot;??_);_(@_)"/>
    <numFmt numFmtId="167" formatCode="[$-409]d\-mmm\-yy;@"/>
    <numFmt numFmtId="168" formatCode="&quot;$&quot;#,##0_);[Red]\(&quot;$&quot;#,##0\)"/>
    <numFmt numFmtId="169" formatCode="_-* #,##0.0\ _€_-;\-* #,##0.0\ _€_-;_-* &quot;-&quot;??\ _€_-;_-@_-"/>
    <numFmt numFmtId="170" formatCode="_(* #,##0.00_);_(* \(#,##0.00\);_(* &quot;-&quot;??_);_(@_)"/>
  </numFmts>
  <fonts count="71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name val="Times New Roman"/>
      <family val="1"/>
    </font>
    <font>
      <sz val="12"/>
      <name val="Arial"/>
      <family val="2"/>
    </font>
    <font>
      <sz val="11"/>
      <color theme="1"/>
      <name val="Aptos Narrow"/>
      <family val="2"/>
      <scheme val="minor"/>
    </font>
    <font>
      <sz val="10"/>
      <name val="Century Gothic"/>
      <family val="2"/>
    </font>
    <font>
      <sz val="12"/>
      <name val="Times New Roman"/>
      <family val="1"/>
    </font>
    <font>
      <b/>
      <sz val="12"/>
      <name val="Century Gothic"/>
      <family val="2"/>
    </font>
    <font>
      <b/>
      <sz val="12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color rgb="FFFF0000"/>
      <name val="Arial"/>
      <family val="2"/>
    </font>
    <font>
      <sz val="12"/>
      <color theme="1"/>
      <name val="Aptos Narrow"/>
      <family val="2"/>
      <scheme val="minor"/>
    </font>
    <font>
      <sz val="12"/>
      <color indexed="8"/>
      <name val="Century Gothic"/>
      <family val="2"/>
    </font>
    <font>
      <sz val="11"/>
      <name val="Arial"/>
      <family val="2"/>
    </font>
    <font>
      <sz val="8"/>
      <name val="Aptos Narrow"/>
      <family val="2"/>
      <scheme val="minor"/>
    </font>
    <font>
      <b/>
      <sz val="14"/>
      <name val="Century Gothic"/>
      <family val="2"/>
    </font>
    <font>
      <sz val="14"/>
      <name val="Times New Roman"/>
      <family val="1"/>
    </font>
    <font>
      <b/>
      <sz val="14"/>
      <name val="Times New Roman"/>
      <family val="1"/>
    </font>
    <font>
      <sz val="14"/>
      <color theme="1"/>
      <name val="Times New Roman"/>
      <family val="1"/>
    </font>
    <font>
      <b/>
      <sz val="14"/>
      <color indexed="8"/>
      <name val="Times New Roman"/>
      <family val="1"/>
    </font>
    <font>
      <sz val="14"/>
      <name val="Century Gothic"/>
      <family val="2"/>
    </font>
    <font>
      <sz val="14"/>
      <color theme="1"/>
      <name val="Century Gothic"/>
      <family val="2"/>
    </font>
    <font>
      <sz val="14"/>
      <color rgb="FF000000"/>
      <name val="Times New Roman"/>
      <family val="1"/>
    </font>
    <font>
      <sz val="14"/>
      <color rgb="FF0070C0"/>
      <name val="Times New Roman"/>
      <family val="1"/>
    </font>
    <font>
      <sz val="16"/>
      <color theme="1"/>
      <name val="Times New Roman"/>
      <family val="1"/>
    </font>
    <font>
      <sz val="16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14"/>
      <color indexed="8"/>
      <name val="Times New Roman"/>
      <family val="1"/>
    </font>
    <font>
      <sz val="12"/>
      <name val="Aptos Narrow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rgb="FFFF0000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sz val="16"/>
      <color theme="1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color indexed="8"/>
      <name val="Arial"/>
      <family val="2"/>
    </font>
    <font>
      <b/>
      <sz val="16"/>
      <color theme="1"/>
      <name val="Arial"/>
      <family val="2"/>
    </font>
    <font>
      <sz val="16"/>
      <color rgb="FF000000"/>
      <name val="Arial"/>
      <family val="2"/>
    </font>
    <font>
      <sz val="16"/>
      <color rgb="FF0070C0"/>
      <name val="Arial"/>
      <family val="2"/>
    </font>
    <font>
      <b/>
      <sz val="18"/>
      <name val="Century Gothic"/>
      <family val="2"/>
    </font>
  </fonts>
  <fills count="1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9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0" fontId="3" fillId="0" borderId="0"/>
    <xf numFmtId="0" fontId="4" fillId="0" borderId="0"/>
    <xf numFmtId="0" fontId="1" fillId="0" borderId="0"/>
    <xf numFmtId="0" fontId="4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458">
    <xf numFmtId="0" fontId="0" fillId="0" borderId="0" xfId="0"/>
    <xf numFmtId="0" fontId="0" fillId="0" borderId="15" xfId="0" applyBorder="1"/>
    <xf numFmtId="0" fontId="6" fillId="0" borderId="15" xfId="0" applyFont="1" applyBorder="1" applyAlignment="1">
      <alignment horizontal="center"/>
    </xf>
    <xf numFmtId="0" fontId="3" fillId="0" borderId="15" xfId="1" applyFont="1" applyBorder="1" applyAlignment="1">
      <alignment horizontal="center"/>
    </xf>
    <xf numFmtId="0" fontId="6" fillId="0" borderId="15" xfId="1" applyFont="1" applyBorder="1" applyAlignment="1">
      <alignment horizontal="center"/>
    </xf>
    <xf numFmtId="1" fontId="2" fillId="0" borderId="15" xfId="0" applyNumberFormat="1" applyFont="1" applyBorder="1" applyAlignment="1">
      <alignment horizontal="center" wrapText="1"/>
    </xf>
    <xf numFmtId="0" fontId="7" fillId="3" borderId="18" xfId="2" applyFont="1" applyFill="1" applyBorder="1" applyAlignment="1">
      <alignment horizontal="right"/>
    </xf>
    <xf numFmtId="0" fontId="10" fillId="3" borderId="17" xfId="2" applyFont="1" applyFill="1" applyBorder="1" applyAlignment="1">
      <alignment horizontal="center"/>
    </xf>
    <xf numFmtId="0" fontId="7" fillId="3" borderId="15" xfId="2" applyFont="1" applyFill="1" applyBorder="1" applyAlignment="1">
      <alignment horizontal="right"/>
    </xf>
    <xf numFmtId="49" fontId="10" fillId="3" borderId="14" xfId="2" applyNumberFormat="1" applyFont="1" applyFill="1" applyBorder="1" applyAlignment="1">
      <alignment horizontal="center"/>
    </xf>
    <xf numFmtId="0" fontId="10" fillId="3" borderId="11" xfId="2" applyFont="1" applyFill="1" applyBorder="1" applyAlignment="1">
      <alignment horizontal="right"/>
    </xf>
    <xf numFmtId="0" fontId="10" fillId="3" borderId="15" xfId="2" applyFont="1" applyFill="1" applyBorder="1" applyAlignment="1">
      <alignment horizontal="right"/>
    </xf>
    <xf numFmtId="14" fontId="11" fillId="3" borderId="0" xfId="2" applyNumberFormat="1" applyFont="1" applyFill="1" applyAlignment="1">
      <alignment horizontal="center" vertical="center" wrapText="1"/>
    </xf>
    <xf numFmtId="0" fontId="7" fillId="2" borderId="17" xfId="1" applyFont="1" applyFill="1" applyBorder="1" applyAlignment="1">
      <alignment horizontal="center" vertical="center" wrapText="1"/>
    </xf>
    <xf numFmtId="1" fontId="7" fillId="2" borderId="2" xfId="1" applyNumberFormat="1" applyFont="1" applyFill="1" applyBorder="1" applyAlignment="1">
      <alignment horizontal="center"/>
    </xf>
    <xf numFmtId="1" fontId="7" fillId="2" borderId="2" xfId="1" applyNumberFormat="1" applyFont="1" applyFill="1" applyBorder="1" applyAlignment="1">
      <alignment horizontal="center" wrapText="1"/>
    </xf>
    <xf numFmtId="0" fontId="7" fillId="2" borderId="1" xfId="1" applyFont="1" applyFill="1" applyBorder="1" applyAlignment="1">
      <alignment horizontal="center"/>
    </xf>
    <xf numFmtId="0" fontId="6" fillId="0" borderId="14" xfId="1" applyFont="1" applyBorder="1" applyAlignment="1">
      <alignment horizontal="center"/>
    </xf>
    <xf numFmtId="0" fontId="2" fillId="0" borderId="15" xfId="0" applyFont="1" applyBorder="1" applyAlignment="1">
      <alignment horizontal="center" vertical="center"/>
    </xf>
    <xf numFmtId="1" fontId="6" fillId="0" borderId="15" xfId="0" applyNumberFormat="1" applyFont="1" applyBorder="1" applyAlignment="1">
      <alignment horizontal="center" wrapText="1"/>
    </xf>
    <xf numFmtId="1" fontId="6" fillId="0" borderId="15" xfId="1" applyNumberFormat="1" applyFont="1" applyBorder="1" applyAlignment="1">
      <alignment horizontal="center"/>
    </xf>
    <xf numFmtId="0" fontId="10" fillId="0" borderId="15" xfId="0" quotePrefix="1" applyFont="1" applyBorder="1" applyAlignment="1">
      <alignment horizontal="right"/>
    </xf>
    <xf numFmtId="0" fontId="12" fillId="0" borderId="15" xfId="0" applyFont="1" applyBorder="1" applyAlignment="1">
      <alignment horizontal="center"/>
    </xf>
    <xf numFmtId="0" fontId="10" fillId="0" borderId="15" xfId="0" quotePrefix="1" applyFont="1" applyBorder="1"/>
    <xf numFmtId="0" fontId="6" fillId="0" borderId="15" xfId="0" applyFont="1" applyBorder="1"/>
    <xf numFmtId="1" fontId="10" fillId="0" borderId="15" xfId="0" applyNumberFormat="1" applyFont="1" applyBorder="1" applyAlignment="1">
      <alignment horizontal="center" wrapText="1"/>
    </xf>
    <xf numFmtId="0" fontId="12" fillId="0" borderId="0" xfId="0" applyFont="1" applyAlignment="1">
      <alignment horizontal="center"/>
    </xf>
    <xf numFmtId="0" fontId="12" fillId="0" borderId="15" xfId="0" applyFont="1" applyBorder="1"/>
    <xf numFmtId="1" fontId="6" fillId="0" borderId="15" xfId="0" applyNumberFormat="1" applyFont="1" applyBorder="1" applyAlignment="1">
      <alignment horizontal="center"/>
    </xf>
    <xf numFmtId="49" fontId="6" fillId="0" borderId="16" xfId="1" applyNumberFormat="1" applyFont="1" applyBorder="1" applyAlignment="1">
      <alignment horizontal="center"/>
    </xf>
    <xf numFmtId="49" fontId="6" fillId="0" borderId="8" xfId="1" applyNumberFormat="1" applyFont="1" applyBorder="1" applyAlignment="1">
      <alignment horizontal="center"/>
    </xf>
    <xf numFmtId="49" fontId="6" fillId="0" borderId="15" xfId="1" applyNumberFormat="1" applyFont="1" applyBorder="1"/>
    <xf numFmtId="1" fontId="6" fillId="0" borderId="15" xfId="1" applyNumberFormat="1" applyFont="1" applyBorder="1" applyAlignment="1">
      <alignment horizontal="center" wrapText="1"/>
    </xf>
    <xf numFmtId="49" fontId="13" fillId="3" borderId="21" xfId="1" applyNumberFormat="1" applyFont="1" applyFill="1" applyBorder="1" applyAlignment="1">
      <alignment horizontal="center" vertical="center"/>
    </xf>
    <xf numFmtId="49" fontId="13" fillId="3" borderId="0" xfId="1" applyNumberFormat="1" applyFont="1" applyFill="1" applyAlignment="1">
      <alignment horizontal="center" vertical="center"/>
    </xf>
    <xf numFmtId="0" fontId="10" fillId="3" borderId="0" xfId="1" applyFont="1" applyFill="1"/>
    <xf numFmtId="1" fontId="10" fillId="3" borderId="0" xfId="1" applyNumberFormat="1" applyFont="1" applyFill="1" applyAlignment="1">
      <alignment horizontal="center"/>
    </xf>
    <xf numFmtId="164" fontId="10" fillId="3" borderId="0" xfId="1" applyNumberFormat="1" applyFont="1" applyFill="1" applyAlignment="1">
      <alignment horizontal="center" wrapText="1"/>
    </xf>
    <xf numFmtId="0" fontId="10" fillId="3" borderId="20" xfId="1" applyFont="1" applyFill="1" applyBorder="1" applyAlignment="1">
      <alignment horizontal="center"/>
    </xf>
    <xf numFmtId="0" fontId="10" fillId="2" borderId="42" xfId="1" applyFont="1" applyFill="1" applyBorder="1" applyAlignment="1">
      <alignment horizontal="center"/>
    </xf>
    <xf numFmtId="0" fontId="10" fillId="2" borderId="37" xfId="1" applyFont="1" applyFill="1" applyBorder="1" applyAlignment="1">
      <alignment horizontal="center"/>
    </xf>
    <xf numFmtId="0" fontId="10" fillId="2" borderId="37" xfId="1" applyFont="1" applyFill="1" applyBorder="1"/>
    <xf numFmtId="0" fontId="7" fillId="2" borderId="37" xfId="1" applyFont="1" applyFill="1" applyBorder="1" applyAlignment="1">
      <alignment horizontal="center"/>
    </xf>
    <xf numFmtId="1" fontId="7" fillId="2" borderId="37" xfId="1" applyNumberFormat="1" applyFont="1" applyFill="1" applyBorder="1" applyAlignment="1">
      <alignment horizontal="center"/>
    </xf>
    <xf numFmtId="164" fontId="10" fillId="2" borderId="37" xfId="1" applyNumberFormat="1" applyFont="1" applyFill="1" applyBorder="1" applyAlignment="1">
      <alignment horizontal="center" wrapText="1"/>
    </xf>
    <xf numFmtId="0" fontId="10" fillId="2" borderId="38" xfId="1" applyFont="1" applyFill="1" applyBorder="1" applyAlignment="1">
      <alignment horizontal="center"/>
    </xf>
    <xf numFmtId="1" fontId="3" fillId="0" borderId="11" xfId="0" applyNumberFormat="1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1" fontId="3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2" fillId="0" borderId="15" xfId="1" applyFont="1" applyBorder="1" applyAlignment="1">
      <alignment horizontal="center"/>
    </xf>
    <xf numFmtId="1" fontId="2" fillId="0" borderId="15" xfId="1" applyNumberFormat="1" applyFont="1" applyBorder="1" applyAlignment="1">
      <alignment horizontal="center"/>
    </xf>
    <xf numFmtId="49" fontId="2" fillId="4" borderId="15" xfId="0" applyNumberFormat="1" applyFont="1" applyFill="1" applyBorder="1" applyAlignment="1">
      <alignment horizontal="center" vertical="center"/>
    </xf>
    <xf numFmtId="49" fontId="2" fillId="4" borderId="15" xfId="0" applyNumberFormat="1" applyFont="1" applyFill="1" applyBorder="1" applyAlignment="1">
      <alignment vertical="center"/>
    </xf>
    <xf numFmtId="0" fontId="2" fillId="4" borderId="15" xfId="0" applyFont="1" applyFill="1" applyBorder="1" applyAlignment="1">
      <alignment horizontal="center" vertical="center"/>
    </xf>
    <xf numFmtId="49" fontId="2" fillId="0" borderId="15" xfId="1" applyNumberFormat="1" applyFont="1" applyBorder="1" applyAlignment="1">
      <alignment horizontal="center"/>
    </xf>
    <xf numFmtId="165" fontId="2" fillId="0" borderId="15" xfId="0" applyNumberFormat="1" applyFont="1" applyBorder="1" applyAlignment="1">
      <alignment horizontal="center" wrapText="1"/>
    </xf>
    <xf numFmtId="49" fontId="2" fillId="0" borderId="15" xfId="0" applyNumberFormat="1" applyFont="1" applyBorder="1" applyAlignment="1">
      <alignment horizontal="center" vertical="center"/>
    </xf>
    <xf numFmtId="49" fontId="2" fillId="0" borderId="15" xfId="0" applyNumberFormat="1" applyFont="1" applyBorder="1" applyAlignment="1">
      <alignment vertical="center"/>
    </xf>
    <xf numFmtId="0" fontId="14" fillId="0" borderId="15" xfId="1" applyFont="1" applyBorder="1" applyAlignment="1">
      <alignment horizontal="center"/>
    </xf>
    <xf numFmtId="0" fontId="12" fillId="0" borderId="0" xfId="0" applyFont="1"/>
    <xf numFmtId="1" fontId="17" fillId="0" borderId="15" xfId="0" applyNumberFormat="1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1" fontId="17" fillId="0" borderId="15" xfId="1" applyNumberFormat="1" applyFont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17" fillId="0" borderId="16" xfId="1" applyFont="1" applyBorder="1" applyAlignment="1">
      <alignment horizontal="center"/>
    </xf>
    <xf numFmtId="0" fontId="17" fillId="0" borderId="8" xfId="1" applyFont="1" applyBorder="1" applyAlignment="1">
      <alignment horizontal="center"/>
    </xf>
    <xf numFmtId="0" fontId="17" fillId="0" borderId="15" xfId="1" applyFont="1" applyBorder="1" applyAlignment="1">
      <alignment horizontal="center"/>
    </xf>
    <xf numFmtId="0" fontId="17" fillId="4" borderId="15" xfId="0" applyFont="1" applyFill="1" applyBorder="1" applyAlignment="1">
      <alignment horizontal="center"/>
    </xf>
    <xf numFmtId="0" fontId="19" fillId="4" borderId="15" xfId="0" applyFont="1" applyFill="1" applyBorder="1" applyAlignment="1">
      <alignment horizontal="center"/>
    </xf>
    <xf numFmtId="1" fontId="18" fillId="0" borderId="15" xfId="1" applyNumberFormat="1" applyFont="1" applyBorder="1" applyAlignment="1">
      <alignment horizontal="center"/>
    </xf>
    <xf numFmtId="0" fontId="20" fillId="0" borderId="15" xfId="1" applyFont="1" applyBorder="1" applyAlignment="1">
      <alignment vertical="center"/>
    </xf>
    <xf numFmtId="0" fontId="19" fillId="0" borderId="15" xfId="0" applyFont="1" applyBorder="1"/>
    <xf numFmtId="16" fontId="17" fillId="4" borderId="15" xfId="0" applyNumberFormat="1" applyFont="1" applyFill="1" applyBorder="1" applyAlignment="1">
      <alignment horizontal="center"/>
    </xf>
    <xf numFmtId="1" fontId="17" fillId="0" borderId="15" xfId="0" applyNumberFormat="1" applyFont="1" applyBorder="1" applyAlignment="1">
      <alignment horizontal="center" wrapText="1"/>
    </xf>
    <xf numFmtId="1" fontId="17" fillId="0" borderId="15" xfId="0" applyNumberFormat="1" applyFont="1" applyBorder="1" applyAlignment="1">
      <alignment horizontal="center" vertical="center" wrapText="1"/>
    </xf>
    <xf numFmtId="1" fontId="17" fillId="0" borderId="27" xfId="1" applyNumberFormat="1" applyFont="1" applyBorder="1" applyAlignment="1">
      <alignment horizontal="center"/>
    </xf>
    <xf numFmtId="1" fontId="17" fillId="0" borderId="9" xfId="1" applyNumberFormat="1" applyFont="1" applyBorder="1" applyAlignment="1">
      <alignment horizontal="center"/>
    </xf>
    <xf numFmtId="1" fontId="19" fillId="0" borderId="15" xfId="0" applyNumberFormat="1" applyFont="1" applyBorder="1" applyAlignment="1">
      <alignment horizontal="center"/>
    </xf>
    <xf numFmtId="0" fontId="17" fillId="0" borderId="15" xfId="0" applyFont="1" applyBorder="1" applyAlignment="1">
      <alignment horizontal="center" vertical="center"/>
    </xf>
    <xf numFmtId="1" fontId="17" fillId="0" borderId="15" xfId="0" applyNumberFormat="1" applyFont="1" applyBorder="1" applyAlignment="1">
      <alignment horizontal="center" vertical="center"/>
    </xf>
    <xf numFmtId="0" fontId="17" fillId="0" borderId="15" xfId="0" applyFont="1" applyBorder="1"/>
    <xf numFmtId="0" fontId="17" fillId="0" borderId="15" xfId="1" applyFont="1" applyBorder="1"/>
    <xf numFmtId="0" fontId="19" fillId="0" borderId="8" xfId="0" applyFont="1" applyBorder="1" applyAlignment="1">
      <alignment horizontal="center"/>
    </xf>
    <xf numFmtId="0" fontId="17" fillId="4" borderId="15" xfId="0" applyFont="1" applyFill="1" applyBorder="1" applyAlignment="1">
      <alignment horizontal="center" vertical="center"/>
    </xf>
    <xf numFmtId="1" fontId="17" fillId="4" borderId="15" xfId="0" applyNumberFormat="1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8" fillId="0" borderId="16" xfId="1" applyFont="1" applyBorder="1" applyAlignment="1">
      <alignment horizontal="center" vertical="center"/>
    </xf>
    <xf numFmtId="0" fontId="18" fillId="0" borderId="15" xfId="1" applyFont="1" applyBorder="1" applyAlignment="1">
      <alignment horizontal="center" vertical="center"/>
    </xf>
    <xf numFmtId="1" fontId="18" fillId="0" borderId="15" xfId="1" applyNumberFormat="1" applyFont="1" applyBorder="1" applyAlignment="1">
      <alignment horizontal="center" wrapText="1"/>
    </xf>
    <xf numFmtId="0" fontId="19" fillId="0" borderId="11" xfId="0" applyFont="1" applyBorder="1" applyAlignment="1">
      <alignment horizontal="center"/>
    </xf>
    <xf numFmtId="0" fontId="18" fillId="0" borderId="15" xfId="1" applyFont="1" applyBorder="1"/>
    <xf numFmtId="0" fontId="17" fillId="4" borderId="15" xfId="0" applyFont="1" applyFill="1" applyBorder="1"/>
    <xf numFmtId="1" fontId="17" fillId="4" borderId="15" xfId="0" applyNumberFormat="1" applyFont="1" applyFill="1" applyBorder="1" applyAlignment="1">
      <alignment horizontal="center" wrapText="1"/>
    </xf>
    <xf numFmtId="166" fontId="18" fillId="4" borderId="15" xfId="9" applyNumberFormat="1" applyFont="1" applyFill="1" applyBorder="1" applyAlignment="1">
      <alignment horizontal="center"/>
    </xf>
    <xf numFmtId="0" fontId="23" fillId="4" borderId="15" xfId="0" applyFont="1" applyFill="1" applyBorder="1" applyAlignment="1">
      <alignment horizontal="center"/>
    </xf>
    <xf numFmtId="0" fontId="17" fillId="4" borderId="15" xfId="0" applyFont="1" applyFill="1" applyBorder="1" applyAlignment="1">
      <alignment horizontal="center" wrapText="1"/>
    </xf>
    <xf numFmtId="12" fontId="24" fillId="0" borderId="15" xfId="1" applyNumberFormat="1" applyFont="1" applyBorder="1" applyAlignment="1">
      <alignment horizontal="left"/>
    </xf>
    <xf numFmtId="49" fontId="17" fillId="0" borderId="16" xfId="1" applyNumberFormat="1" applyFont="1" applyBorder="1" applyAlignment="1">
      <alignment horizontal="center"/>
    </xf>
    <xf numFmtId="49" fontId="17" fillId="0" borderId="8" xfId="1" applyNumberFormat="1" applyFont="1" applyBorder="1" applyAlignment="1">
      <alignment horizontal="center"/>
    </xf>
    <xf numFmtId="49" fontId="17" fillId="0" borderId="15" xfId="1" applyNumberFormat="1" applyFont="1" applyBorder="1"/>
    <xf numFmtId="1" fontId="17" fillId="0" borderId="15" xfId="1" applyNumberFormat="1" applyFont="1" applyBorder="1" applyAlignment="1">
      <alignment horizontal="center" wrapText="1"/>
    </xf>
    <xf numFmtId="0" fontId="17" fillId="0" borderId="15" xfId="0" applyFont="1" applyBorder="1" applyAlignment="1">
      <alignment horizontal="left" vertical="center"/>
    </xf>
    <xf numFmtId="0" fontId="19" fillId="0" borderId="27" xfId="0" applyFont="1" applyBorder="1" applyAlignment="1">
      <alignment horizontal="center"/>
    </xf>
    <xf numFmtId="0" fontId="25" fillId="0" borderId="15" xfId="0" applyFont="1" applyBorder="1" applyAlignment="1">
      <alignment horizontal="center"/>
    </xf>
    <xf numFmtId="0" fontId="26" fillId="0" borderId="15" xfId="1" applyFont="1" applyBorder="1" applyAlignment="1">
      <alignment horizontal="center"/>
    </xf>
    <xf numFmtId="0" fontId="27" fillId="0" borderId="15" xfId="0" applyFont="1" applyBorder="1" applyAlignment="1">
      <alignment horizontal="center"/>
    </xf>
    <xf numFmtId="1" fontId="0" fillId="0" borderId="0" xfId="0" applyNumberFormat="1"/>
    <xf numFmtId="0" fontId="28" fillId="0" borderId="15" xfId="0" applyFont="1" applyBorder="1" applyAlignment="1">
      <alignment horizontal="center"/>
    </xf>
    <xf numFmtId="0" fontId="28" fillId="0" borderId="15" xfId="0" applyFont="1" applyBorder="1"/>
    <xf numFmtId="16" fontId="21" fillId="0" borderId="8" xfId="0" applyNumberFormat="1" applyFont="1" applyBorder="1" applyAlignment="1">
      <alignment horizontal="center"/>
    </xf>
    <xf numFmtId="16" fontId="21" fillId="0" borderId="15" xfId="0" applyNumberFormat="1" applyFont="1" applyBorder="1" applyAlignment="1">
      <alignment horizontal="center"/>
    </xf>
    <xf numFmtId="0" fontId="29" fillId="0" borderId="15" xfId="0" applyFont="1" applyBorder="1" applyAlignment="1">
      <alignment horizontal="center"/>
    </xf>
    <xf numFmtId="0" fontId="29" fillId="0" borderId="15" xfId="0" applyFont="1" applyBorder="1"/>
    <xf numFmtId="0" fontId="30" fillId="0" borderId="15" xfId="0" applyFont="1" applyBorder="1"/>
    <xf numFmtId="49" fontId="31" fillId="4" borderId="15" xfId="1" applyNumberFormat="1" applyFont="1" applyFill="1" applyBorder="1" applyAlignment="1">
      <alignment horizontal="center"/>
    </xf>
    <xf numFmtId="16" fontId="17" fillId="0" borderId="15" xfId="1" applyNumberFormat="1" applyFont="1" applyBorder="1" applyAlignment="1">
      <alignment horizontal="center"/>
    </xf>
    <xf numFmtId="0" fontId="32" fillId="0" borderId="15" xfId="0" applyFont="1" applyBorder="1" applyAlignment="1">
      <alignment horizontal="center"/>
    </xf>
    <xf numFmtId="0" fontId="10" fillId="4" borderId="8" xfId="0" applyFont="1" applyFill="1" applyBorder="1" applyAlignment="1">
      <alignment horizontal="center"/>
    </xf>
    <xf numFmtId="0" fontId="31" fillId="0" borderId="15" xfId="1" applyFont="1" applyBorder="1" applyAlignment="1">
      <alignment horizontal="left" wrapText="1"/>
    </xf>
    <xf numFmtId="0" fontId="0" fillId="0" borderId="15" xfId="0" applyBorder="1" applyAlignment="1">
      <alignment horizontal="center"/>
    </xf>
    <xf numFmtId="0" fontId="30" fillId="0" borderId="15" xfId="0" applyFont="1" applyBorder="1" applyAlignment="1">
      <alignment horizontal="center"/>
    </xf>
    <xf numFmtId="0" fontId="30" fillId="4" borderId="8" xfId="0" applyFont="1" applyFill="1" applyBorder="1" applyAlignment="1">
      <alignment horizontal="center"/>
    </xf>
    <xf numFmtId="0" fontId="29" fillId="4" borderId="15" xfId="0" applyFont="1" applyFill="1" applyBorder="1"/>
    <xf numFmtId="0" fontId="6" fillId="4" borderId="15" xfId="1" applyFont="1" applyFill="1" applyBorder="1" applyAlignment="1">
      <alignment horizontal="center"/>
    </xf>
    <xf numFmtId="0" fontId="6" fillId="4" borderId="15" xfId="1" applyFont="1" applyFill="1" applyBorder="1"/>
    <xf numFmtId="16" fontId="10" fillId="0" borderId="15" xfId="1" applyNumberFormat="1" applyFont="1" applyBorder="1" applyAlignment="1">
      <alignment horizontal="center"/>
    </xf>
    <xf numFmtId="0" fontId="6" fillId="3" borderId="0" xfId="1" applyFont="1" applyFill="1"/>
    <xf numFmtId="0" fontId="6" fillId="3" borderId="15" xfId="1" applyFont="1" applyFill="1" applyBorder="1" applyAlignment="1">
      <alignment horizontal="center"/>
    </xf>
    <xf numFmtId="16" fontId="6" fillId="0" borderId="15" xfId="1" applyNumberFormat="1" applyFont="1" applyBorder="1" applyAlignment="1">
      <alignment horizontal="center"/>
    </xf>
    <xf numFmtId="0" fontId="30" fillId="0" borderId="15" xfId="0" applyFont="1" applyBorder="1" applyAlignment="1">
      <alignment horizontal="left"/>
    </xf>
    <xf numFmtId="0" fontId="3" fillId="4" borderId="0" xfId="0" applyFont="1" applyFill="1"/>
    <xf numFmtId="0" fontId="3" fillId="7" borderId="15" xfId="0" applyFont="1" applyFill="1" applyBorder="1" applyAlignment="1">
      <alignment horizontal="center"/>
    </xf>
    <xf numFmtId="1" fontId="3" fillId="7" borderId="15" xfId="0" applyNumberFormat="1" applyFont="1" applyFill="1" applyBorder="1" applyAlignment="1">
      <alignment horizontal="center"/>
    </xf>
    <xf numFmtId="0" fontId="3" fillId="4" borderId="15" xfId="0" applyFont="1" applyFill="1" applyBorder="1" applyAlignment="1">
      <alignment horizontal="center"/>
    </xf>
    <xf numFmtId="0" fontId="3" fillId="4" borderId="15" xfId="0" applyFont="1" applyFill="1" applyBorder="1"/>
    <xf numFmtId="0" fontId="3" fillId="7" borderId="15" xfId="0" applyFont="1" applyFill="1" applyBorder="1"/>
    <xf numFmtId="16" fontId="3" fillId="4" borderId="15" xfId="1" applyNumberFormat="1" applyFont="1" applyFill="1" applyBorder="1" applyAlignment="1">
      <alignment horizontal="center"/>
    </xf>
    <xf numFmtId="0" fontId="33" fillId="4" borderId="0" xfId="0" applyFont="1" applyFill="1" applyAlignment="1">
      <alignment vertical="center"/>
    </xf>
    <xf numFmtId="0" fontId="34" fillId="8" borderId="15" xfId="0" applyFont="1" applyFill="1" applyBorder="1" applyAlignment="1">
      <alignment horizontal="center" vertical="center" wrapText="1"/>
    </xf>
    <xf numFmtId="0" fontId="34" fillId="8" borderId="15" xfId="0" applyFont="1" applyFill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5" fillId="0" borderId="0" xfId="0" applyFont="1" applyAlignment="1">
      <alignment vertical="center"/>
    </xf>
    <xf numFmtId="0" fontId="33" fillId="0" borderId="0" xfId="0" applyFont="1" applyAlignment="1">
      <alignment vertical="center"/>
    </xf>
    <xf numFmtId="43" fontId="34" fillId="0" borderId="15" xfId="9" applyFont="1" applyFill="1" applyBorder="1" applyAlignment="1">
      <alignment horizontal="center" vertical="center"/>
    </xf>
    <xf numFmtId="43" fontId="34" fillId="0" borderId="0" xfId="9" applyFont="1" applyFill="1" applyBorder="1" applyAlignment="1">
      <alignment horizontal="center" vertical="center"/>
    </xf>
    <xf numFmtId="43" fontId="36" fillId="0" borderId="0" xfId="9" applyFont="1" applyFill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8" fillId="0" borderId="0" xfId="0" applyFont="1" applyAlignment="1">
      <alignment horizontal="center" vertical="center" wrapText="1"/>
    </xf>
    <xf numFmtId="167" fontId="39" fillId="0" borderId="0" xfId="0" applyNumberFormat="1" applyFont="1" applyAlignment="1">
      <alignment horizontal="center" vertical="center" wrapText="1"/>
    </xf>
    <xf numFmtId="0" fontId="34" fillId="9" borderId="48" xfId="0" applyFont="1" applyFill="1" applyBorder="1" applyAlignment="1">
      <alignment horizontal="center" vertical="center"/>
    </xf>
    <xf numFmtId="0" fontId="34" fillId="9" borderId="49" xfId="0" applyFont="1" applyFill="1" applyBorder="1" applyAlignment="1">
      <alignment horizontal="center" vertical="center"/>
    </xf>
    <xf numFmtId="0" fontId="34" fillId="9" borderId="49" xfId="0" applyFont="1" applyFill="1" applyBorder="1" applyAlignment="1">
      <alignment horizontal="center" vertical="center" wrapText="1"/>
    </xf>
    <xf numFmtId="0" fontId="34" fillId="9" borderId="50" xfId="0" applyFont="1" applyFill="1" applyBorder="1" applyAlignment="1">
      <alignment horizontal="center" vertical="center" wrapText="1"/>
    </xf>
    <xf numFmtId="0" fontId="34" fillId="0" borderId="0" xfId="0" applyFont="1" applyAlignment="1">
      <alignment horizontal="center" vertical="center" wrapText="1"/>
    </xf>
    <xf numFmtId="2" fontId="40" fillId="0" borderId="0" xfId="0" applyNumberFormat="1" applyFont="1" applyAlignment="1">
      <alignment horizontal="center"/>
    </xf>
    <xf numFmtId="4" fontId="40" fillId="0" borderId="0" xfId="10" applyNumberFormat="1" applyFont="1" applyFill="1" applyAlignment="1">
      <alignment horizontal="center" vertical="center"/>
    </xf>
    <xf numFmtId="4" fontId="34" fillId="0" borderId="0" xfId="10" applyNumberFormat="1" applyFont="1" applyFill="1" applyAlignment="1">
      <alignment horizontal="center" vertical="center"/>
    </xf>
    <xf numFmtId="10" fontId="34" fillId="0" borderId="0" xfId="7" applyNumberFormat="1" applyFont="1" applyFill="1" applyAlignment="1">
      <alignment vertical="center"/>
    </xf>
    <xf numFmtId="49" fontId="34" fillId="0" borderId="0" xfId="0" applyNumberFormat="1" applyFont="1" applyAlignment="1">
      <alignment horizontal="center" vertical="center"/>
    </xf>
    <xf numFmtId="10" fontId="35" fillId="0" borderId="0" xfId="7" applyNumberFormat="1" applyFont="1" applyFill="1" applyAlignment="1">
      <alignment vertical="center"/>
    </xf>
    <xf numFmtId="0" fontId="33" fillId="0" borderId="0" xfId="0" applyFont="1"/>
    <xf numFmtId="49" fontId="34" fillId="0" borderId="0" xfId="0" applyNumberFormat="1" applyFont="1" applyAlignment="1">
      <alignment horizontal="center"/>
    </xf>
    <xf numFmtId="168" fontId="33" fillId="0" borderId="0" xfId="0" applyNumberFormat="1" applyFont="1" applyAlignment="1">
      <alignment vertical="center"/>
    </xf>
    <xf numFmtId="0" fontId="33" fillId="0" borderId="0" xfId="0" applyFont="1" applyAlignment="1">
      <alignment horizontal="left" vertical="center"/>
    </xf>
    <xf numFmtId="43" fontId="33" fillId="0" borderId="0" xfId="9" applyFont="1" applyFill="1" applyAlignment="1">
      <alignment vertical="center"/>
    </xf>
    <xf numFmtId="49" fontId="41" fillId="0" borderId="0" xfId="0" applyNumberFormat="1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4" fillId="0" borderId="0" xfId="0" applyFont="1" applyAlignment="1">
      <alignment horizontal="right" vertical="center"/>
    </xf>
    <xf numFmtId="4" fontId="34" fillId="0" borderId="0" xfId="9" applyNumberFormat="1" applyFont="1" applyFill="1" applyAlignment="1">
      <alignment vertical="center"/>
    </xf>
    <xf numFmtId="43" fontId="42" fillId="0" borderId="0" xfId="9" applyFont="1" applyFill="1" applyAlignment="1">
      <alignment horizontal="center" vertical="center"/>
    </xf>
    <xf numFmtId="10" fontId="35" fillId="9" borderId="51" xfId="7" applyNumberFormat="1" applyFont="1" applyFill="1" applyBorder="1" applyAlignment="1">
      <alignment vertical="center"/>
    </xf>
    <xf numFmtId="0" fontId="33" fillId="9" borderId="37" xfId="0" applyFont="1" applyFill="1" applyBorder="1" applyAlignment="1">
      <alignment vertical="center"/>
    </xf>
    <xf numFmtId="0" fontId="33" fillId="9" borderId="51" xfId="0" applyFont="1" applyFill="1" applyBorder="1" applyAlignment="1">
      <alignment vertical="center"/>
    </xf>
    <xf numFmtId="43" fontId="42" fillId="9" borderId="52" xfId="9" applyFont="1" applyFill="1" applyBorder="1" applyAlignment="1">
      <alignment horizontal="center" vertical="center"/>
    </xf>
    <xf numFmtId="43" fontId="44" fillId="0" borderId="0" xfId="9" applyFont="1" applyFill="1" applyBorder="1" applyAlignment="1">
      <alignment horizontal="right"/>
    </xf>
    <xf numFmtId="0" fontId="33" fillId="9" borderId="52" xfId="0" applyFont="1" applyFill="1" applyBorder="1" applyAlignment="1">
      <alignment vertical="center"/>
    </xf>
    <xf numFmtId="10" fontId="35" fillId="9" borderId="52" xfId="7" applyNumberFormat="1" applyFont="1" applyFill="1" applyBorder="1" applyAlignment="1">
      <alignment vertical="center"/>
    </xf>
    <xf numFmtId="0" fontId="43" fillId="0" borderId="0" xfId="0" applyFont="1" applyAlignment="1">
      <alignment horizontal="right"/>
    </xf>
    <xf numFmtId="0" fontId="43" fillId="0" borderId="0" xfId="0" applyFont="1"/>
    <xf numFmtId="9" fontId="43" fillId="0" borderId="0" xfId="0" applyNumberFormat="1" applyFont="1"/>
    <xf numFmtId="9" fontId="45" fillId="0" borderId="0" xfId="7" applyFont="1" applyFill="1" applyAlignment="1">
      <alignment horizontal="center"/>
    </xf>
    <xf numFmtId="0" fontId="42" fillId="0" borderId="0" xfId="0" applyFont="1" applyAlignment="1">
      <alignment horizontal="right" vertical="center"/>
    </xf>
    <xf numFmtId="4" fontId="42" fillId="0" borderId="0" xfId="9" applyNumberFormat="1" applyFont="1" applyFill="1" applyAlignment="1">
      <alignment vertical="center"/>
    </xf>
    <xf numFmtId="4" fontId="42" fillId="0" borderId="0" xfId="10" applyNumberFormat="1" applyFont="1" applyAlignment="1">
      <alignment horizontal="center" vertical="center"/>
    </xf>
    <xf numFmtId="0" fontId="46" fillId="0" borderId="0" xfId="0" applyFont="1" applyAlignment="1">
      <alignment horizontal="right"/>
    </xf>
    <xf numFmtId="0" fontId="47" fillId="0" borderId="0" xfId="0" applyFont="1" applyAlignment="1">
      <alignment horizontal="right"/>
    </xf>
    <xf numFmtId="0" fontId="47" fillId="0" borderId="20" xfId="0" applyFont="1" applyBorder="1" applyAlignment="1">
      <alignment horizontal="right"/>
    </xf>
    <xf numFmtId="43" fontId="48" fillId="5" borderId="53" xfId="9" applyFont="1" applyFill="1" applyBorder="1" applyAlignment="1">
      <alignment horizontal="right"/>
    </xf>
    <xf numFmtId="43" fontId="48" fillId="0" borderId="0" xfId="9" applyFont="1" applyFill="1" applyBorder="1" applyAlignment="1">
      <alignment horizontal="right"/>
    </xf>
    <xf numFmtId="43" fontId="34" fillId="0" borderId="15" xfId="9" applyFont="1" applyFill="1" applyBorder="1" applyAlignment="1">
      <alignment vertical="center"/>
    </xf>
    <xf numFmtId="0" fontId="49" fillId="0" borderId="0" xfId="0" applyFont="1" applyAlignment="1">
      <alignment horizontal="left" vertical="center"/>
    </xf>
    <xf numFmtId="4" fontId="42" fillId="0" borderId="0" xfId="10" applyNumberFormat="1" applyFont="1" applyFill="1" applyAlignment="1">
      <alignment horizontal="center" vertical="center"/>
    </xf>
    <xf numFmtId="10" fontId="50" fillId="0" borderId="0" xfId="7" applyNumberFormat="1" applyFont="1" applyFill="1" applyAlignment="1">
      <alignment horizontal="right"/>
    </xf>
    <xf numFmtId="169" fontId="34" fillId="9" borderId="15" xfId="9" applyNumberFormat="1" applyFont="1" applyFill="1" applyBorder="1" applyAlignment="1">
      <alignment vertical="center"/>
    </xf>
    <xf numFmtId="4" fontId="33" fillId="0" borderId="0" xfId="0" applyNumberFormat="1" applyFont="1" applyAlignment="1">
      <alignment horizontal="center" vertical="center"/>
    </xf>
    <xf numFmtId="43" fontId="34" fillId="10" borderId="15" xfId="9" applyFont="1" applyFill="1" applyBorder="1" applyAlignment="1">
      <alignment vertical="center"/>
    </xf>
    <xf numFmtId="170" fontId="51" fillId="0" borderId="0" xfId="0" applyNumberFormat="1" applyFont="1" applyAlignment="1">
      <alignment horizontal="center" vertical="center"/>
    </xf>
    <xf numFmtId="0" fontId="33" fillId="4" borderId="0" xfId="0" applyFont="1" applyFill="1" applyAlignment="1">
      <alignment horizontal="center" vertical="center"/>
    </xf>
    <xf numFmtId="4" fontId="34" fillId="0" borderId="0" xfId="0" applyNumberFormat="1" applyFont="1" applyAlignment="1">
      <alignment horizontal="center" vertical="center"/>
    </xf>
    <xf numFmtId="0" fontId="35" fillId="9" borderId="54" xfId="0" applyFont="1" applyFill="1" applyBorder="1" applyAlignment="1">
      <alignment vertical="center"/>
    </xf>
    <xf numFmtId="0" fontId="53" fillId="0" borderId="0" xfId="0" applyFont="1" applyAlignment="1">
      <alignment vertical="center"/>
    </xf>
    <xf numFmtId="2" fontId="50" fillId="0" borderId="0" xfId="9" applyNumberFormat="1" applyFont="1" applyFill="1" applyBorder="1" applyAlignment="1">
      <alignment horizontal="center"/>
    </xf>
    <xf numFmtId="2" fontId="47" fillId="0" borderId="0" xfId="9" applyNumberFormat="1" applyFont="1" applyFill="1" applyBorder="1" applyAlignment="1">
      <alignment horizontal="center"/>
    </xf>
    <xf numFmtId="0" fontId="33" fillId="9" borderId="54" xfId="0" applyFont="1" applyFill="1" applyBorder="1" applyAlignment="1">
      <alignment vertical="center"/>
    </xf>
    <xf numFmtId="10" fontId="33" fillId="0" borderId="0" xfId="7" applyNumberFormat="1" applyFont="1" applyFill="1" applyAlignment="1">
      <alignment vertical="center"/>
    </xf>
    <xf numFmtId="4" fontId="33" fillId="0" borderId="0" xfId="9" applyNumberFormat="1" applyFont="1" applyFill="1" applyAlignment="1">
      <alignment vertical="center"/>
    </xf>
    <xf numFmtId="43" fontId="48" fillId="9" borderId="37" xfId="9" applyFont="1" applyFill="1" applyBorder="1" applyAlignment="1">
      <alignment horizontal="right"/>
    </xf>
    <xf numFmtId="0" fontId="34" fillId="9" borderId="38" xfId="0" applyFont="1" applyFill="1" applyBorder="1" applyAlignment="1">
      <alignment horizontal="right" vertical="center"/>
    </xf>
    <xf numFmtId="10" fontId="54" fillId="0" borderId="0" xfId="9" applyNumberFormat="1" applyFont="1" applyFill="1" applyAlignment="1">
      <alignment vertical="center"/>
    </xf>
    <xf numFmtId="10" fontId="35" fillId="0" borderId="0" xfId="7" applyNumberFormat="1" applyFont="1" applyFill="1" applyBorder="1" applyAlignment="1">
      <alignment vertical="center"/>
    </xf>
    <xf numFmtId="170" fontId="55" fillId="0" borderId="0" xfId="0" applyNumberFormat="1" applyFont="1" applyAlignment="1">
      <alignment horizontal="center" vertical="center"/>
    </xf>
    <xf numFmtId="0" fontId="33" fillId="4" borderId="53" xfId="0" applyFont="1" applyFill="1" applyBorder="1" applyAlignment="1">
      <alignment horizontal="center" vertical="center"/>
    </xf>
    <xf numFmtId="43" fontId="56" fillId="0" borderId="0" xfId="9" applyFont="1" applyFill="1" applyAlignment="1">
      <alignment vertical="center"/>
    </xf>
    <xf numFmtId="4" fontId="57" fillId="0" borderId="0" xfId="10" applyNumberFormat="1" applyFont="1" applyFill="1" applyAlignment="1">
      <alignment horizontal="center" vertical="center" wrapText="1"/>
    </xf>
    <xf numFmtId="9" fontId="33" fillId="0" borderId="0" xfId="9" applyNumberFormat="1" applyFont="1" applyFill="1" applyAlignment="1">
      <alignment vertical="center"/>
    </xf>
    <xf numFmtId="0" fontId="42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 wrapText="1"/>
    </xf>
    <xf numFmtId="0" fontId="41" fillId="0" borderId="0" xfId="0" applyFont="1" applyAlignment="1">
      <alignment horizontal="right" vertical="center"/>
    </xf>
    <xf numFmtId="4" fontId="41" fillId="0" borderId="0" xfId="9" applyNumberFormat="1" applyFont="1" applyFill="1" applyAlignment="1">
      <alignment vertical="center"/>
    </xf>
    <xf numFmtId="4" fontId="34" fillId="12" borderId="53" xfId="9" applyNumberFormat="1" applyFont="1" applyFill="1" applyBorder="1" applyAlignment="1">
      <alignment horizontal="center" vertical="center"/>
    </xf>
    <xf numFmtId="0" fontId="58" fillId="0" borderId="0" xfId="0" applyFont="1" applyAlignment="1">
      <alignment vertical="center"/>
    </xf>
    <xf numFmtId="43" fontId="58" fillId="0" borderId="0" xfId="9" applyFont="1" applyFill="1" applyAlignment="1">
      <alignment vertical="center"/>
    </xf>
    <xf numFmtId="9" fontId="58" fillId="0" borderId="0" xfId="9" applyNumberFormat="1" applyFont="1" applyFill="1" applyAlignment="1">
      <alignment vertical="center"/>
    </xf>
    <xf numFmtId="4" fontId="34" fillId="0" borderId="0" xfId="9" applyNumberFormat="1" applyFont="1" applyFill="1" applyAlignment="1">
      <alignment horizontal="center" vertical="center"/>
    </xf>
    <xf numFmtId="10" fontId="51" fillId="0" borderId="0" xfId="7" applyNumberFormat="1" applyFont="1" applyFill="1" applyAlignment="1">
      <alignment vertical="center"/>
    </xf>
    <xf numFmtId="43" fontId="51" fillId="0" borderId="0" xfId="9" applyFont="1" applyFill="1" applyBorder="1" applyAlignment="1">
      <alignment vertical="center"/>
    </xf>
    <xf numFmtId="4" fontId="33" fillId="0" borderId="0" xfId="0" applyNumberFormat="1" applyFont="1" applyAlignment="1">
      <alignment horizontal="center"/>
    </xf>
    <xf numFmtId="43" fontId="33" fillId="0" borderId="0" xfId="9" applyFont="1" applyFill="1" applyBorder="1"/>
    <xf numFmtId="10" fontId="51" fillId="0" borderId="0" xfId="7" applyNumberFormat="1" applyFont="1" applyFill="1" applyBorder="1" applyAlignment="1">
      <alignment vertical="center"/>
    </xf>
    <xf numFmtId="0" fontId="51" fillId="0" borderId="0" xfId="0" applyFont="1" applyAlignment="1">
      <alignment horizontal="right"/>
    </xf>
    <xf numFmtId="43" fontId="33" fillId="0" borderId="0" xfId="9" applyFont="1" applyFill="1" applyBorder="1" applyAlignment="1">
      <alignment horizontal="center"/>
    </xf>
    <xf numFmtId="9" fontId="61" fillId="0" borderId="0" xfId="0" applyNumberFormat="1" applyFont="1" applyAlignment="1">
      <alignment horizontal="left"/>
    </xf>
    <xf numFmtId="4" fontId="34" fillId="0" borderId="0" xfId="0" applyNumberFormat="1" applyFont="1" applyAlignment="1">
      <alignment horizontal="center"/>
    </xf>
    <xf numFmtId="170" fontId="34" fillId="0" borderId="0" xfId="0" applyNumberFormat="1" applyFont="1"/>
    <xf numFmtId="0" fontId="9" fillId="6" borderId="44" xfId="2" applyFont="1" applyFill="1" applyBorder="1" applyAlignment="1">
      <alignment horizontal="center"/>
    </xf>
    <xf numFmtId="0" fontId="9" fillId="6" borderId="35" xfId="2" applyFont="1" applyFill="1" applyBorder="1" applyAlignment="1">
      <alignment horizontal="center"/>
    </xf>
    <xf numFmtId="0" fontId="5" fillId="3" borderId="45" xfId="2" applyFont="1" applyFill="1" applyBorder="1" applyAlignment="1">
      <alignment horizontal="left"/>
    </xf>
    <xf numFmtId="0" fontId="5" fillId="3" borderId="0" xfId="2" applyFont="1" applyFill="1" applyAlignment="1">
      <alignment horizontal="left"/>
    </xf>
    <xf numFmtId="14" fontId="10" fillId="3" borderId="33" xfId="2" applyNumberFormat="1" applyFont="1" applyFill="1" applyBorder="1" applyAlignment="1">
      <alignment horizontal="center" vertical="center" wrapText="1"/>
    </xf>
    <xf numFmtId="14" fontId="10" fillId="3" borderId="31" xfId="2" applyNumberFormat="1" applyFont="1" applyFill="1" applyBorder="1" applyAlignment="1">
      <alignment horizontal="center" vertical="center" wrapText="1"/>
    </xf>
    <xf numFmtId="14" fontId="10" fillId="3" borderId="10" xfId="2" applyNumberFormat="1" applyFont="1" applyFill="1" applyBorder="1" applyAlignment="1">
      <alignment horizontal="center" vertical="center" wrapText="1"/>
    </xf>
    <xf numFmtId="0" fontId="10" fillId="3" borderId="25" xfId="2" applyFont="1" applyFill="1" applyBorder="1" applyAlignment="1">
      <alignment horizontal="left"/>
    </xf>
    <xf numFmtId="0" fontId="10" fillId="3" borderId="26" xfId="2" applyFont="1" applyFill="1" applyBorder="1" applyAlignment="1">
      <alignment horizontal="left"/>
    </xf>
    <xf numFmtId="0" fontId="10" fillId="3" borderId="19" xfId="2" applyFont="1" applyFill="1" applyBorder="1" applyAlignment="1">
      <alignment horizontal="left"/>
    </xf>
    <xf numFmtId="0" fontId="10" fillId="3" borderId="9" xfId="2" applyFont="1" applyFill="1" applyBorder="1" applyAlignment="1">
      <alignment horizontal="left"/>
    </xf>
    <xf numFmtId="0" fontId="10" fillId="3" borderId="6" xfId="2" applyFont="1" applyFill="1" applyBorder="1" applyAlignment="1">
      <alignment horizontal="left"/>
    </xf>
    <xf numFmtId="0" fontId="10" fillId="3" borderId="8" xfId="2" applyFont="1" applyFill="1" applyBorder="1" applyAlignment="1">
      <alignment horizontal="left"/>
    </xf>
    <xf numFmtId="0" fontId="7" fillId="0" borderId="7" xfId="1" applyFont="1" applyBorder="1" applyAlignment="1">
      <alignment horizontal="right"/>
    </xf>
    <xf numFmtId="0" fontId="7" fillId="0" borderId="6" xfId="1" applyFont="1" applyBorder="1" applyAlignment="1">
      <alignment horizontal="right"/>
    </xf>
    <xf numFmtId="0" fontId="7" fillId="0" borderId="8" xfId="1" applyFont="1" applyBorder="1" applyAlignment="1">
      <alignment horizontal="right"/>
    </xf>
    <xf numFmtId="0" fontId="10" fillId="0" borderId="15" xfId="1" applyFont="1" applyBorder="1" applyAlignment="1">
      <alignment horizontal="right"/>
    </xf>
    <xf numFmtId="164" fontId="10" fillId="0" borderId="9" xfId="1" applyNumberFormat="1" applyFont="1" applyBorder="1" applyAlignment="1">
      <alignment horizontal="center"/>
    </xf>
    <xf numFmtId="164" fontId="10" fillId="0" borderId="5" xfId="1" applyNumberFormat="1" applyFont="1" applyBorder="1" applyAlignment="1">
      <alignment horizontal="center"/>
    </xf>
    <xf numFmtId="0" fontId="10" fillId="3" borderId="36" xfId="2" applyFont="1" applyFill="1" applyBorder="1" applyAlignment="1">
      <alignment horizontal="center"/>
    </xf>
    <xf numFmtId="0" fontId="10" fillId="3" borderId="35" xfId="2" applyFont="1" applyFill="1" applyBorder="1" applyAlignment="1">
      <alignment horizontal="center"/>
    </xf>
    <xf numFmtId="0" fontId="10" fillId="3" borderId="21" xfId="2" applyFont="1" applyFill="1" applyBorder="1" applyAlignment="1">
      <alignment horizontal="center"/>
    </xf>
    <xf numFmtId="0" fontId="10" fillId="3" borderId="0" xfId="2" applyFont="1" applyFill="1" applyAlignment="1">
      <alignment horizontal="center"/>
    </xf>
    <xf numFmtId="0" fontId="10" fillId="3" borderId="39" xfId="2" applyFont="1" applyFill="1" applyBorder="1" applyAlignment="1">
      <alignment horizontal="center"/>
    </xf>
    <xf numFmtId="0" fontId="10" fillId="3" borderId="40" xfId="2" applyFont="1" applyFill="1" applyBorder="1" applyAlignment="1">
      <alignment horizontal="center"/>
    </xf>
    <xf numFmtId="0" fontId="7" fillId="3" borderId="18" xfId="2" applyFont="1" applyFill="1" applyBorder="1" applyAlignment="1">
      <alignment horizontal="center"/>
    </xf>
    <xf numFmtId="0" fontId="7" fillId="3" borderId="28" xfId="2" applyFont="1" applyFill="1" applyBorder="1" applyAlignment="1">
      <alignment horizontal="center"/>
    </xf>
    <xf numFmtId="0" fontId="16" fillId="5" borderId="42" xfId="2" applyFont="1" applyFill="1" applyBorder="1" applyAlignment="1">
      <alignment horizontal="center" vertical="center" wrapText="1"/>
    </xf>
    <xf numFmtId="0" fontId="16" fillId="5" borderId="37" xfId="2" applyFont="1" applyFill="1" applyBorder="1" applyAlignment="1">
      <alignment horizontal="center" vertical="center" wrapText="1"/>
    </xf>
    <xf numFmtId="0" fontId="16" fillId="5" borderId="38" xfId="2" applyFont="1" applyFill="1" applyBorder="1" applyAlignment="1">
      <alignment horizontal="center" vertical="center" wrapText="1"/>
    </xf>
    <xf numFmtId="0" fontId="7" fillId="3" borderId="34" xfId="2" applyFont="1" applyFill="1" applyBorder="1" applyAlignment="1">
      <alignment horizontal="right" vertical="top" wrapText="1"/>
    </xf>
    <xf numFmtId="0" fontId="7" fillId="3" borderId="32" xfId="2" applyFont="1" applyFill="1" applyBorder="1" applyAlignment="1">
      <alignment horizontal="right" vertical="top" wrapText="1"/>
    </xf>
    <xf numFmtId="0" fontId="7" fillId="3" borderId="29" xfId="2" applyFont="1" applyFill="1" applyBorder="1" applyAlignment="1">
      <alignment horizontal="right" vertical="top" wrapText="1"/>
    </xf>
    <xf numFmtId="0" fontId="8" fillId="3" borderId="0" xfId="2" applyFont="1" applyFill="1" applyAlignment="1">
      <alignment horizontal="right"/>
    </xf>
    <xf numFmtId="0" fontId="11" fillId="3" borderId="30" xfId="2" applyFont="1" applyFill="1" applyBorder="1" applyAlignment="1">
      <alignment horizontal="center"/>
    </xf>
    <xf numFmtId="0" fontId="8" fillId="3" borderId="0" xfId="2" applyFont="1" applyFill="1"/>
    <xf numFmtId="0" fontId="7" fillId="2" borderId="41" xfId="1" applyFont="1" applyFill="1" applyBorder="1" applyAlignment="1">
      <alignment horizontal="center" vertical="center"/>
    </xf>
    <xf numFmtId="0" fontId="7" fillId="2" borderId="4" xfId="1" applyFont="1" applyFill="1" applyBorder="1" applyAlignment="1">
      <alignment horizontal="center" vertical="center"/>
    </xf>
    <xf numFmtId="0" fontId="7" fillId="2" borderId="41" xfId="1" applyFont="1" applyFill="1" applyBorder="1" applyAlignment="1">
      <alignment horizontal="center" vertical="center" wrapText="1"/>
    </xf>
    <xf numFmtId="0" fontId="7" fillId="2" borderId="47" xfId="1" applyFont="1" applyFill="1" applyBorder="1" applyAlignment="1">
      <alignment horizontal="center" vertical="center" wrapText="1"/>
    </xf>
    <xf numFmtId="0" fontId="7" fillId="2" borderId="18" xfId="1" applyFont="1" applyFill="1" applyBorder="1" applyAlignment="1">
      <alignment horizontal="center" vertical="center"/>
    </xf>
    <xf numFmtId="0" fontId="7" fillId="2" borderId="28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center" vertical="center"/>
    </xf>
    <xf numFmtId="0" fontId="7" fillId="0" borderId="39" xfId="1" applyFont="1" applyBorder="1" applyAlignment="1">
      <alignment horizontal="right"/>
    </xf>
    <xf numFmtId="0" fontId="7" fillId="0" borderId="40" xfId="1" applyFont="1" applyBorder="1" applyAlignment="1">
      <alignment horizontal="right"/>
    </xf>
    <xf numFmtId="0" fontId="7" fillId="0" borderId="12" xfId="1" applyFont="1" applyBorder="1" applyAlignment="1">
      <alignment horizontal="right"/>
    </xf>
    <xf numFmtId="164" fontId="10" fillId="0" borderId="11" xfId="1" applyNumberFormat="1" applyFont="1" applyBorder="1" applyAlignment="1">
      <alignment horizontal="right"/>
    </xf>
    <xf numFmtId="0" fontId="10" fillId="3" borderId="27" xfId="1" applyFont="1" applyFill="1" applyBorder="1" applyAlignment="1">
      <alignment horizontal="center"/>
    </xf>
    <xf numFmtId="0" fontId="10" fillId="3" borderId="43" xfId="1" applyFont="1" applyFill="1" applyBorder="1" applyAlignment="1">
      <alignment horizontal="center"/>
    </xf>
    <xf numFmtId="164" fontId="10" fillId="0" borderId="9" xfId="1" applyNumberFormat="1" applyFont="1" applyBorder="1" applyAlignment="1">
      <alignment horizontal="right" wrapText="1"/>
    </xf>
    <xf numFmtId="164" fontId="10" fillId="0" borderId="8" xfId="1" applyNumberFormat="1" applyFont="1" applyBorder="1" applyAlignment="1">
      <alignment horizontal="right" wrapText="1"/>
    </xf>
    <xf numFmtId="0" fontId="7" fillId="0" borderId="4" xfId="1" applyFont="1" applyBorder="1" applyAlignment="1">
      <alignment horizontal="right"/>
    </xf>
    <xf numFmtId="0" fontId="7" fillId="0" borderId="3" xfId="1" applyFont="1" applyBorder="1" applyAlignment="1">
      <alignment horizontal="right"/>
    </xf>
    <xf numFmtId="0" fontId="7" fillId="0" borderId="2" xfId="1" applyFont="1" applyBorder="1" applyAlignment="1">
      <alignment horizontal="right"/>
    </xf>
    <xf numFmtId="0" fontId="10" fillId="0" borderId="2" xfId="1" applyFont="1" applyBorder="1" applyAlignment="1">
      <alignment horizontal="right"/>
    </xf>
    <xf numFmtId="164" fontId="10" fillId="0" borderId="23" xfId="1" applyNumberFormat="1" applyFont="1" applyBorder="1" applyAlignment="1">
      <alignment horizontal="center"/>
    </xf>
    <xf numFmtId="164" fontId="10" fillId="0" borderId="22" xfId="1" applyNumberFormat="1" applyFont="1" applyBorder="1" applyAlignment="1">
      <alignment horizontal="center"/>
    </xf>
    <xf numFmtId="0" fontId="10" fillId="0" borderId="46" xfId="1" applyFont="1" applyBorder="1" applyAlignment="1">
      <alignment horizontal="left"/>
    </xf>
    <xf numFmtId="0" fontId="10" fillId="0" borderId="24" xfId="1" applyFont="1" applyBorder="1" applyAlignment="1">
      <alignment horizontal="left"/>
    </xf>
    <xf numFmtId="0" fontId="10" fillId="0" borderId="22" xfId="1" applyFont="1" applyBorder="1" applyAlignment="1">
      <alignment horizontal="left"/>
    </xf>
    <xf numFmtId="0" fontId="7" fillId="2" borderId="42" xfId="1" applyFont="1" applyFill="1" applyBorder="1" applyAlignment="1">
      <alignment horizontal="left"/>
    </xf>
    <xf numFmtId="0" fontId="7" fillId="2" borderId="37" xfId="1" applyFont="1" applyFill="1" applyBorder="1" applyAlignment="1">
      <alignment horizontal="left"/>
    </xf>
    <xf numFmtId="0" fontId="7" fillId="2" borderId="38" xfId="1" applyFont="1" applyFill="1" applyBorder="1" applyAlignment="1">
      <alignment horizontal="left"/>
    </xf>
    <xf numFmtId="0" fontId="21" fillId="0" borderId="7" xfId="1" applyFont="1" applyBorder="1" applyAlignment="1">
      <alignment horizontal="left"/>
    </xf>
    <xf numFmtId="0" fontId="21" fillId="0" borderId="6" xfId="1" applyFont="1" applyBorder="1" applyAlignment="1">
      <alignment horizontal="left"/>
    </xf>
    <xf numFmtId="0" fontId="21" fillId="0" borderId="5" xfId="1" applyFont="1" applyBorder="1" applyAlignment="1">
      <alignment horizontal="left"/>
    </xf>
    <xf numFmtId="0" fontId="21" fillId="0" borderId="15" xfId="1" applyFont="1" applyBorder="1" applyAlignment="1">
      <alignment horizontal="left" wrapText="1"/>
    </xf>
    <xf numFmtId="0" fontId="22" fillId="0" borderId="15" xfId="0" applyFont="1" applyBorder="1" applyAlignment="1">
      <alignment horizontal="left"/>
    </xf>
    <xf numFmtId="0" fontId="21" fillId="0" borderId="16" xfId="0" applyFont="1" applyBorder="1" applyAlignment="1">
      <alignment horizontal="left"/>
    </xf>
    <xf numFmtId="0" fontId="21" fillId="0" borderId="8" xfId="0" applyFont="1" applyBorder="1" applyAlignment="1">
      <alignment horizontal="left"/>
    </xf>
    <xf numFmtId="0" fontId="21" fillId="0" borderId="15" xfId="0" applyFont="1" applyBorder="1" applyAlignment="1">
      <alignment horizontal="left"/>
    </xf>
    <xf numFmtId="0" fontId="21" fillId="0" borderId="14" xfId="0" applyFont="1" applyBorder="1" applyAlignment="1">
      <alignment horizontal="left"/>
    </xf>
    <xf numFmtId="0" fontId="21" fillId="0" borderId="7" xfId="0" applyFont="1" applyBorder="1" applyAlignment="1">
      <alignment horizontal="left" wrapText="1"/>
    </xf>
    <xf numFmtId="0" fontId="21" fillId="0" borderId="6" xfId="0" applyFont="1" applyBorder="1" applyAlignment="1">
      <alignment horizontal="left" wrapText="1"/>
    </xf>
    <xf numFmtId="0" fontId="21" fillId="0" borderId="8" xfId="0" applyFont="1" applyBorder="1" applyAlignment="1">
      <alignment horizontal="left" wrapText="1"/>
    </xf>
    <xf numFmtId="0" fontId="21" fillId="0" borderId="13" xfId="0" applyFont="1" applyBorder="1" applyAlignment="1">
      <alignment horizontal="left"/>
    </xf>
    <xf numFmtId="0" fontId="21" fillId="0" borderId="12" xfId="0" applyFont="1" applyBorder="1" applyAlignment="1">
      <alignment horizontal="left"/>
    </xf>
    <xf numFmtId="0" fontId="21" fillId="0" borderId="11" xfId="0" applyFont="1" applyBorder="1" applyAlignment="1">
      <alignment horizontal="left"/>
    </xf>
    <xf numFmtId="0" fontId="21" fillId="0" borderId="10" xfId="0" applyFont="1" applyBorder="1" applyAlignment="1">
      <alignment horizontal="left"/>
    </xf>
    <xf numFmtId="0" fontId="10" fillId="0" borderId="7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22" fillId="0" borderId="6" xfId="0" applyFont="1" applyBorder="1" applyAlignment="1">
      <alignment horizontal="left"/>
    </xf>
    <xf numFmtId="0" fontId="34" fillId="0" borderId="0" xfId="0" applyFont="1" applyAlignment="1">
      <alignment horizontal="center" vertical="center"/>
    </xf>
    <xf numFmtId="0" fontId="37" fillId="0" borderId="30" xfId="0" applyFont="1" applyBorder="1" applyAlignment="1">
      <alignment horizontal="center" vertical="center"/>
    </xf>
    <xf numFmtId="0" fontId="38" fillId="0" borderId="42" xfId="0" applyFont="1" applyBorder="1" applyAlignment="1">
      <alignment horizontal="center" vertical="center" wrapText="1"/>
    </xf>
    <xf numFmtId="0" fontId="38" fillId="0" borderId="37" xfId="0" applyFont="1" applyBorder="1" applyAlignment="1">
      <alignment horizontal="center" vertical="center" wrapText="1"/>
    </xf>
    <xf numFmtId="0" fontId="38" fillId="0" borderId="38" xfId="0" applyFont="1" applyBorder="1" applyAlignment="1">
      <alignment horizontal="center" vertical="center" wrapText="1"/>
    </xf>
    <xf numFmtId="0" fontId="39" fillId="0" borderId="37" xfId="0" applyFont="1" applyBorder="1" applyAlignment="1">
      <alignment horizontal="right" vertical="center" wrapText="1"/>
    </xf>
    <xf numFmtId="0" fontId="51" fillId="0" borderId="15" xfId="0" applyFont="1" applyBorder="1" applyAlignment="1">
      <alignment horizontal="right" vertical="center"/>
    </xf>
    <xf numFmtId="0" fontId="52" fillId="0" borderId="21" xfId="0" applyFont="1" applyBorder="1" applyAlignment="1">
      <alignment horizontal="right"/>
    </xf>
    <xf numFmtId="0" fontId="52" fillId="0" borderId="0" xfId="0" applyFont="1" applyAlignment="1">
      <alignment horizontal="right"/>
    </xf>
    <xf numFmtId="0" fontId="52" fillId="0" borderId="20" xfId="0" applyFont="1" applyBorder="1" applyAlignment="1">
      <alignment horizontal="right"/>
    </xf>
    <xf numFmtId="0" fontId="34" fillId="0" borderId="0" xfId="0" applyFont="1" applyAlignment="1">
      <alignment horizontal="right" vertical="center"/>
    </xf>
    <xf numFmtId="0" fontId="43" fillId="0" borderId="36" xfId="0" applyFont="1" applyBorder="1" applyAlignment="1">
      <alignment horizontal="right"/>
    </xf>
    <xf numFmtId="0" fontId="43" fillId="0" borderId="35" xfId="0" applyFont="1" applyBorder="1" applyAlignment="1">
      <alignment horizontal="right"/>
    </xf>
    <xf numFmtId="0" fontId="33" fillId="0" borderId="15" xfId="0" applyFont="1" applyBorder="1" applyAlignment="1">
      <alignment horizontal="right" vertical="center"/>
    </xf>
    <xf numFmtId="0" fontId="43" fillId="0" borderId="0" xfId="0" applyFont="1" applyAlignment="1">
      <alignment horizontal="right"/>
    </xf>
    <xf numFmtId="0" fontId="42" fillId="0" borderId="0" xfId="0" applyFont="1" applyAlignment="1">
      <alignment horizontal="center" vertical="center"/>
    </xf>
    <xf numFmtId="0" fontId="59" fillId="0" borderId="42" xfId="0" applyFont="1" applyBorder="1" applyAlignment="1">
      <alignment horizontal="right" vertical="center"/>
    </xf>
    <xf numFmtId="0" fontId="59" fillId="0" borderId="37" xfId="0" applyFont="1" applyBorder="1" applyAlignment="1">
      <alignment horizontal="right" vertical="center"/>
    </xf>
    <xf numFmtId="0" fontId="59" fillId="0" borderId="38" xfId="0" applyFont="1" applyBorder="1" applyAlignment="1">
      <alignment horizontal="right" vertical="center"/>
    </xf>
    <xf numFmtId="0" fontId="60" fillId="0" borderId="0" xfId="0" applyFont="1" applyAlignment="1">
      <alignment horizontal="right"/>
    </xf>
    <xf numFmtId="0" fontId="50" fillId="0" borderId="30" xfId="0" applyFont="1" applyBorder="1" applyAlignment="1">
      <alignment horizontal="right"/>
    </xf>
    <xf numFmtId="0" fontId="42" fillId="0" borderId="0" xfId="0" applyFont="1" applyAlignment="1">
      <alignment horizontal="right" vertical="center"/>
    </xf>
    <xf numFmtId="0" fontId="48" fillId="9" borderId="42" xfId="0" applyFont="1" applyFill="1" applyBorder="1" applyAlignment="1">
      <alignment horizontal="right"/>
    </xf>
    <xf numFmtId="0" fontId="48" fillId="9" borderId="37" xfId="0" applyFont="1" applyFill="1" applyBorder="1" applyAlignment="1">
      <alignment horizontal="right"/>
    </xf>
    <xf numFmtId="0" fontId="33" fillId="0" borderId="0" xfId="0" applyFont="1" applyAlignment="1">
      <alignment horizontal="right" vertical="center"/>
    </xf>
    <xf numFmtId="0" fontId="34" fillId="0" borderId="30" xfId="0" applyFont="1" applyBorder="1" applyAlignment="1">
      <alignment horizontal="right" vertical="center"/>
    </xf>
    <xf numFmtId="0" fontId="34" fillId="0" borderId="55" xfId="0" applyFont="1" applyBorder="1" applyAlignment="1">
      <alignment horizontal="right" vertical="center"/>
    </xf>
    <xf numFmtId="0" fontId="34" fillId="11" borderId="42" xfId="0" applyFont="1" applyFill="1" applyBorder="1" applyAlignment="1">
      <alignment horizontal="right" vertical="center"/>
    </xf>
    <xf numFmtId="0" fontId="34" fillId="11" borderId="37" xfId="0" applyFont="1" applyFill="1" applyBorder="1" applyAlignment="1">
      <alignment horizontal="right" vertical="center"/>
    </xf>
    <xf numFmtId="0" fontId="34" fillId="11" borderId="38" xfId="0" applyFont="1" applyFill="1" applyBorder="1" applyAlignment="1">
      <alignment horizontal="right" vertical="center"/>
    </xf>
    <xf numFmtId="4" fontId="57" fillId="0" borderId="0" xfId="10" applyNumberFormat="1" applyFont="1" applyFill="1" applyAlignment="1">
      <alignment horizontal="center" vertical="center" wrapText="1"/>
    </xf>
    <xf numFmtId="0" fontId="3" fillId="0" borderId="7" xfId="1" applyFont="1" applyBorder="1" applyAlignment="1">
      <alignment horizontal="left" wrapText="1"/>
    </xf>
    <xf numFmtId="0" fontId="3" fillId="0" borderId="6" xfId="1" applyFont="1" applyBorder="1" applyAlignment="1">
      <alignment horizontal="left" wrapText="1"/>
    </xf>
    <xf numFmtId="0" fontId="3" fillId="0" borderId="5" xfId="1" applyFont="1" applyBorder="1" applyAlignment="1">
      <alignment horizontal="left" wrapText="1"/>
    </xf>
    <xf numFmtId="0" fontId="3" fillId="0" borderId="6" xfId="0" applyFont="1" applyBorder="1" applyAlignment="1">
      <alignment horizontal="left"/>
    </xf>
    <xf numFmtId="0" fontId="3" fillId="0" borderId="39" xfId="1" applyFont="1" applyBorder="1" applyAlignment="1">
      <alignment horizontal="left" wrapText="1"/>
    </xf>
    <xf numFmtId="0" fontId="3" fillId="0" borderId="40" xfId="1" applyFont="1" applyBorder="1" applyAlignment="1">
      <alignment horizontal="left" wrapText="1"/>
    </xf>
    <xf numFmtId="0" fontId="3" fillId="0" borderId="43" xfId="1" applyFont="1" applyBorder="1" applyAlignment="1">
      <alignment horizontal="left" wrapText="1"/>
    </xf>
    <xf numFmtId="0" fontId="62" fillId="0" borderId="15" xfId="0" applyFont="1" applyBorder="1" applyAlignment="1">
      <alignment horizontal="center"/>
    </xf>
    <xf numFmtId="0" fontId="63" fillId="0" borderId="15" xfId="1" applyFont="1" applyBorder="1" applyAlignment="1">
      <alignment horizontal="center"/>
    </xf>
    <xf numFmtId="0" fontId="64" fillId="0" borderId="16" xfId="1" applyFont="1" applyBorder="1" applyAlignment="1">
      <alignment horizontal="center" vertical="center"/>
    </xf>
    <xf numFmtId="0" fontId="64" fillId="0" borderId="15" xfId="1" applyFont="1" applyBorder="1" applyAlignment="1">
      <alignment horizontal="center" vertical="center"/>
    </xf>
    <xf numFmtId="0" fontId="65" fillId="0" borderId="15" xfId="1" applyFont="1" applyBorder="1" applyAlignment="1">
      <alignment vertical="center"/>
    </xf>
    <xf numFmtId="1" fontId="64" fillId="0" borderId="15" xfId="1" applyNumberFormat="1" applyFont="1" applyBorder="1" applyAlignment="1">
      <alignment horizontal="center"/>
    </xf>
    <xf numFmtId="1" fontId="64" fillId="0" borderId="15" xfId="1" applyNumberFormat="1" applyFont="1" applyBorder="1" applyAlignment="1">
      <alignment horizontal="center" wrapText="1"/>
    </xf>
    <xf numFmtId="0" fontId="63" fillId="0" borderId="14" xfId="1" applyFont="1" applyBorder="1" applyAlignment="1">
      <alignment horizontal="center"/>
    </xf>
    <xf numFmtId="49" fontId="66" fillId="4" borderId="15" xfId="1" applyNumberFormat="1" applyFont="1" applyFill="1" applyBorder="1" applyAlignment="1">
      <alignment horizontal="center"/>
    </xf>
    <xf numFmtId="0" fontId="66" fillId="0" borderId="15" xfId="1" applyFont="1" applyBorder="1" applyAlignment="1">
      <alignment horizontal="left" wrapText="1"/>
    </xf>
    <xf numFmtId="16" fontId="63" fillId="0" borderId="15" xfId="1" applyNumberFormat="1" applyFont="1" applyBorder="1" applyAlignment="1">
      <alignment horizontal="center"/>
    </xf>
    <xf numFmtId="1" fontId="63" fillId="0" borderId="15" xfId="0" applyNumberFormat="1" applyFont="1" applyBorder="1" applyAlignment="1">
      <alignment horizontal="center"/>
    </xf>
    <xf numFmtId="1" fontId="63" fillId="0" borderId="15" xfId="0" applyNumberFormat="1" applyFont="1" applyBorder="1" applyAlignment="1">
      <alignment horizontal="center" vertical="center" wrapText="1"/>
    </xf>
    <xf numFmtId="1" fontId="63" fillId="0" borderId="27" xfId="1" applyNumberFormat="1" applyFont="1" applyBorder="1" applyAlignment="1">
      <alignment horizontal="center"/>
    </xf>
    <xf numFmtId="0" fontId="62" fillId="0" borderId="15" xfId="0" applyFont="1" applyBorder="1"/>
    <xf numFmtId="0" fontId="62" fillId="0" borderId="27" xfId="0" applyFont="1" applyBorder="1" applyAlignment="1">
      <alignment horizontal="center"/>
    </xf>
    <xf numFmtId="16" fontId="62" fillId="0" borderId="27" xfId="0" applyNumberFormat="1" applyFont="1" applyBorder="1" applyAlignment="1">
      <alignment horizontal="center"/>
    </xf>
    <xf numFmtId="0" fontId="63" fillId="3" borderId="15" xfId="1" applyFont="1" applyFill="1" applyBorder="1" applyAlignment="1">
      <alignment horizontal="center"/>
    </xf>
    <xf numFmtId="0" fontId="63" fillId="3" borderId="0" xfId="1" applyFont="1" applyFill="1"/>
    <xf numFmtId="0" fontId="63" fillId="0" borderId="15" xfId="0" applyFont="1" applyBorder="1" applyAlignment="1">
      <alignment horizontal="center" vertical="center"/>
    </xf>
    <xf numFmtId="1" fontId="63" fillId="0" borderId="9" xfId="1" applyNumberFormat="1" applyFont="1" applyBorder="1" applyAlignment="1">
      <alignment horizontal="center"/>
    </xf>
    <xf numFmtId="0" fontId="63" fillId="0" borderId="8" xfId="1" applyFont="1" applyBorder="1" applyAlignment="1">
      <alignment horizontal="center"/>
    </xf>
    <xf numFmtId="0" fontId="63" fillId="0" borderId="15" xfId="1" applyFont="1" applyBorder="1"/>
    <xf numFmtId="0" fontId="63" fillId="0" borderId="15" xfId="0" applyFont="1" applyBorder="1" applyAlignment="1">
      <alignment horizontal="center"/>
    </xf>
    <xf numFmtId="0" fontId="62" fillId="0" borderId="8" xfId="0" applyFont="1" applyBorder="1" applyAlignment="1">
      <alignment horizontal="center"/>
    </xf>
    <xf numFmtId="0" fontId="64" fillId="0" borderId="15" xfId="1" applyFont="1" applyBorder="1"/>
    <xf numFmtId="1" fontId="63" fillId="0" borderId="15" xfId="1" applyNumberFormat="1" applyFont="1" applyBorder="1" applyAlignment="1">
      <alignment horizontal="center"/>
    </xf>
    <xf numFmtId="0" fontId="67" fillId="0" borderId="15" xfId="0" applyFont="1" applyBorder="1" applyAlignment="1">
      <alignment horizontal="center"/>
    </xf>
    <xf numFmtId="0" fontId="63" fillId="4" borderId="15" xfId="0" applyFont="1" applyFill="1" applyBorder="1" applyAlignment="1">
      <alignment horizontal="center"/>
    </xf>
    <xf numFmtId="0" fontId="63" fillId="4" borderId="15" xfId="0" applyFont="1" applyFill="1" applyBorder="1"/>
    <xf numFmtId="16" fontId="63" fillId="4" borderId="15" xfId="1" applyNumberFormat="1" applyFont="1" applyFill="1" applyBorder="1" applyAlignment="1">
      <alignment horizontal="center"/>
    </xf>
    <xf numFmtId="0" fontId="62" fillId="4" borderId="15" xfId="0" applyFont="1" applyFill="1" applyBorder="1" applyAlignment="1">
      <alignment horizontal="center"/>
    </xf>
    <xf numFmtId="0" fontId="68" fillId="4" borderId="15" xfId="0" applyFont="1" applyFill="1" applyBorder="1" applyAlignment="1">
      <alignment horizontal="center"/>
    </xf>
    <xf numFmtId="1" fontId="63" fillId="4" borderId="15" xfId="0" applyNumberFormat="1" applyFont="1" applyFill="1" applyBorder="1" applyAlignment="1">
      <alignment horizontal="center"/>
    </xf>
    <xf numFmtId="0" fontId="63" fillId="0" borderId="15" xfId="0" applyFont="1" applyBorder="1" applyAlignment="1">
      <alignment horizontal="left" vertical="center"/>
    </xf>
    <xf numFmtId="16" fontId="63" fillId="4" borderId="15" xfId="0" applyNumberFormat="1" applyFont="1" applyFill="1" applyBorder="1" applyAlignment="1">
      <alignment horizontal="center"/>
    </xf>
    <xf numFmtId="1" fontId="63" fillId="4" borderId="15" xfId="0" applyNumberFormat="1" applyFont="1" applyFill="1" applyBorder="1" applyAlignment="1">
      <alignment horizontal="center" wrapText="1"/>
    </xf>
    <xf numFmtId="0" fontId="63" fillId="0" borderId="15" xfId="0" applyFont="1" applyBorder="1"/>
    <xf numFmtId="0" fontId="63" fillId="4" borderId="15" xfId="0" applyFont="1" applyFill="1" applyBorder="1" applyAlignment="1">
      <alignment horizontal="center" vertical="center"/>
    </xf>
    <xf numFmtId="166" fontId="64" fillId="4" borderId="15" xfId="11" applyNumberFormat="1" applyFont="1" applyFill="1" applyBorder="1" applyAlignment="1">
      <alignment horizontal="center"/>
    </xf>
    <xf numFmtId="1" fontId="63" fillId="0" borderId="15" xfId="0" applyNumberFormat="1" applyFont="1" applyBorder="1" applyAlignment="1">
      <alignment horizontal="center" wrapText="1"/>
    </xf>
    <xf numFmtId="0" fontId="63" fillId="0" borderId="0" xfId="0" applyFont="1" applyAlignment="1">
      <alignment horizontal="center"/>
    </xf>
    <xf numFmtId="12" fontId="69" fillId="0" borderId="15" xfId="1" applyNumberFormat="1" applyFont="1" applyBorder="1" applyAlignment="1">
      <alignment horizontal="left"/>
    </xf>
    <xf numFmtId="49" fontId="63" fillId="0" borderId="16" xfId="1" applyNumberFormat="1" applyFont="1" applyBorder="1" applyAlignment="1">
      <alignment horizontal="center"/>
    </xf>
    <xf numFmtId="49" fontId="63" fillId="0" borderId="8" xfId="1" applyNumberFormat="1" applyFont="1" applyBorder="1" applyAlignment="1">
      <alignment horizontal="center"/>
    </xf>
    <xf numFmtId="49" fontId="63" fillId="0" borderId="15" xfId="1" applyNumberFormat="1" applyFont="1" applyBorder="1"/>
    <xf numFmtId="1" fontId="63" fillId="0" borderId="15" xfId="1" applyNumberFormat="1" applyFont="1" applyBorder="1" applyAlignment="1">
      <alignment horizontal="center" wrapText="1"/>
    </xf>
    <xf numFmtId="0" fontId="62" fillId="0" borderId="0" xfId="0" applyFont="1" applyAlignment="1">
      <alignment horizontal="center"/>
    </xf>
    <xf numFmtId="49" fontId="66" fillId="3" borderId="21" xfId="1" applyNumberFormat="1" applyFont="1" applyFill="1" applyBorder="1" applyAlignment="1">
      <alignment horizontal="center" vertical="center"/>
    </xf>
    <xf numFmtId="49" fontId="66" fillId="3" borderId="0" xfId="1" applyNumberFormat="1" applyFont="1" applyFill="1" applyAlignment="1">
      <alignment horizontal="center" vertical="center"/>
    </xf>
    <xf numFmtId="1" fontId="63" fillId="3" borderId="0" xfId="1" applyNumberFormat="1" applyFont="1" applyFill="1" applyAlignment="1">
      <alignment horizontal="center"/>
    </xf>
    <xf numFmtId="164" fontId="63" fillId="3" borderId="0" xfId="1" applyNumberFormat="1" applyFont="1" applyFill="1" applyAlignment="1">
      <alignment horizontal="center" wrapText="1"/>
    </xf>
    <xf numFmtId="0" fontId="63" fillId="3" borderId="20" xfId="1" applyFont="1" applyFill="1" applyBorder="1" applyAlignment="1">
      <alignment horizontal="center"/>
    </xf>
    <xf numFmtId="0" fontId="63" fillId="2" borderId="42" xfId="1" applyFont="1" applyFill="1" applyBorder="1" applyAlignment="1">
      <alignment horizontal="center"/>
    </xf>
    <xf numFmtId="0" fontId="63" fillId="2" borderId="37" xfId="1" applyFont="1" applyFill="1" applyBorder="1" applyAlignment="1">
      <alignment horizontal="center"/>
    </xf>
    <xf numFmtId="0" fontId="63" fillId="2" borderId="37" xfId="1" applyFont="1" applyFill="1" applyBorder="1"/>
    <xf numFmtId="0" fontId="64" fillId="2" borderId="37" xfId="1" applyFont="1" applyFill="1" applyBorder="1" applyAlignment="1">
      <alignment horizontal="center"/>
    </xf>
    <xf numFmtId="1" fontId="64" fillId="2" borderId="37" xfId="1" applyNumberFormat="1" applyFont="1" applyFill="1" applyBorder="1" applyAlignment="1">
      <alignment horizontal="center"/>
    </xf>
    <xf numFmtId="164" fontId="63" fillId="2" borderId="37" xfId="1" applyNumberFormat="1" applyFont="1" applyFill="1" applyBorder="1" applyAlignment="1">
      <alignment horizontal="center" wrapText="1"/>
    </xf>
    <xf numFmtId="0" fontId="63" fillId="2" borderId="38" xfId="1" applyFont="1" applyFill="1" applyBorder="1" applyAlignment="1">
      <alignment horizontal="center"/>
    </xf>
    <xf numFmtId="0" fontId="64" fillId="0" borderId="39" xfId="1" applyFont="1" applyBorder="1" applyAlignment="1">
      <alignment horizontal="right"/>
    </xf>
    <xf numFmtId="0" fontId="64" fillId="0" borderId="40" xfId="1" applyFont="1" applyBorder="1" applyAlignment="1">
      <alignment horizontal="right"/>
    </xf>
    <xf numFmtId="0" fontId="64" fillId="0" borderId="12" xfId="1" applyFont="1" applyBorder="1" applyAlignment="1">
      <alignment horizontal="right"/>
    </xf>
    <xf numFmtId="1" fontId="63" fillId="0" borderId="11" xfId="0" applyNumberFormat="1" applyFont="1" applyBorder="1" applyAlignment="1">
      <alignment horizontal="center"/>
    </xf>
    <xf numFmtId="0" fontId="63" fillId="0" borderId="27" xfId="0" applyFont="1" applyBorder="1" applyAlignment="1">
      <alignment horizontal="center"/>
    </xf>
    <xf numFmtId="164" fontId="63" fillId="0" borderId="11" xfId="1" applyNumberFormat="1" applyFont="1" applyBorder="1" applyAlignment="1">
      <alignment horizontal="right"/>
    </xf>
    <xf numFmtId="0" fontId="63" fillId="3" borderId="27" xfId="1" applyFont="1" applyFill="1" applyBorder="1" applyAlignment="1">
      <alignment horizontal="center"/>
    </xf>
    <xf numFmtId="0" fontId="63" fillId="3" borderId="43" xfId="1" applyFont="1" applyFill="1" applyBorder="1" applyAlignment="1">
      <alignment horizontal="center"/>
    </xf>
    <xf numFmtId="0" fontId="64" fillId="0" borderId="7" xfId="1" applyFont="1" applyBorder="1" applyAlignment="1">
      <alignment horizontal="right"/>
    </xf>
    <xf numFmtId="0" fontId="64" fillId="0" borderId="6" xfId="1" applyFont="1" applyBorder="1" applyAlignment="1">
      <alignment horizontal="right"/>
    </xf>
    <xf numFmtId="0" fontId="64" fillId="0" borderId="8" xfId="1" applyFont="1" applyBorder="1" applyAlignment="1">
      <alignment horizontal="right"/>
    </xf>
    <xf numFmtId="0" fontId="63" fillId="0" borderId="15" xfId="1" applyFont="1" applyBorder="1" applyAlignment="1">
      <alignment horizontal="right"/>
    </xf>
    <xf numFmtId="164" fontId="63" fillId="0" borderId="9" xfId="1" applyNumberFormat="1" applyFont="1" applyBorder="1" applyAlignment="1">
      <alignment horizontal="center"/>
    </xf>
    <xf numFmtId="164" fontId="63" fillId="0" borderId="5" xfId="1" applyNumberFormat="1" applyFont="1" applyBorder="1" applyAlignment="1">
      <alignment horizontal="center"/>
    </xf>
    <xf numFmtId="164" fontId="63" fillId="0" borderId="9" xfId="1" applyNumberFormat="1" applyFont="1" applyBorder="1" applyAlignment="1">
      <alignment horizontal="right" wrapText="1"/>
    </xf>
    <xf numFmtId="164" fontId="63" fillId="0" borderId="8" xfId="1" applyNumberFormat="1" applyFont="1" applyBorder="1" applyAlignment="1">
      <alignment horizontal="right" wrapText="1"/>
    </xf>
    <xf numFmtId="0" fontId="64" fillId="0" borderId="4" xfId="1" applyFont="1" applyBorder="1" applyAlignment="1">
      <alignment horizontal="right"/>
    </xf>
    <xf numFmtId="0" fontId="64" fillId="0" borderId="3" xfId="1" applyFont="1" applyBorder="1" applyAlignment="1">
      <alignment horizontal="right"/>
    </xf>
    <xf numFmtId="0" fontId="64" fillId="0" borderId="2" xfId="1" applyFont="1" applyBorder="1" applyAlignment="1">
      <alignment horizontal="right"/>
    </xf>
    <xf numFmtId="1" fontId="63" fillId="0" borderId="2" xfId="0" applyNumberFormat="1" applyFont="1" applyBorder="1" applyAlignment="1">
      <alignment horizontal="center"/>
    </xf>
    <xf numFmtId="0" fontId="63" fillId="0" borderId="2" xfId="0" applyFont="1" applyBorder="1" applyAlignment="1">
      <alignment horizontal="center"/>
    </xf>
    <xf numFmtId="0" fontId="63" fillId="0" borderId="2" xfId="1" applyFont="1" applyBorder="1" applyAlignment="1">
      <alignment horizontal="right"/>
    </xf>
    <xf numFmtId="164" fontId="63" fillId="0" borderId="23" xfId="1" applyNumberFormat="1" applyFont="1" applyBorder="1" applyAlignment="1">
      <alignment horizontal="center"/>
    </xf>
    <xf numFmtId="164" fontId="63" fillId="0" borderId="22" xfId="1" applyNumberFormat="1" applyFont="1" applyBorder="1" applyAlignment="1">
      <alignment horizontal="center"/>
    </xf>
    <xf numFmtId="0" fontId="63" fillId="0" borderId="7" xfId="1" applyFont="1" applyBorder="1" applyAlignment="1">
      <alignment horizontal="left"/>
    </xf>
    <xf numFmtId="0" fontId="63" fillId="0" borderId="6" xfId="1" applyFont="1" applyBorder="1" applyAlignment="1">
      <alignment horizontal="left"/>
    </xf>
    <xf numFmtId="0" fontId="63" fillId="0" borderId="5" xfId="1" applyFont="1" applyBorder="1" applyAlignment="1">
      <alignment horizontal="left"/>
    </xf>
    <xf numFmtId="0" fontId="63" fillId="0" borderId="15" xfId="1" applyFont="1" applyBorder="1" applyAlignment="1">
      <alignment horizontal="left" wrapText="1"/>
    </xf>
    <xf numFmtId="0" fontId="62" fillId="0" borderId="15" xfId="0" applyFont="1" applyBorder="1" applyAlignment="1">
      <alignment horizontal="left"/>
    </xf>
    <xf numFmtId="0" fontId="62" fillId="0" borderId="6" xfId="0" applyFont="1" applyBorder="1" applyAlignment="1">
      <alignment horizontal="left"/>
    </xf>
    <xf numFmtId="0" fontId="70" fillId="5" borderId="42" xfId="2" applyFont="1" applyFill="1" applyBorder="1" applyAlignment="1">
      <alignment horizontal="center" vertical="center" wrapText="1"/>
    </xf>
    <xf numFmtId="0" fontId="70" fillId="5" borderId="37" xfId="2" applyFont="1" applyFill="1" applyBorder="1" applyAlignment="1">
      <alignment horizontal="center" vertical="center" wrapText="1"/>
    </xf>
    <xf numFmtId="0" fontId="70" fillId="5" borderId="38" xfId="2" applyFont="1" applyFill="1" applyBorder="1" applyAlignment="1">
      <alignment horizontal="center" vertical="center" wrapText="1"/>
    </xf>
    <xf numFmtId="0" fontId="62" fillId="0" borderId="11" xfId="0" applyFont="1" applyBorder="1" applyAlignment="1">
      <alignment horizontal="center" wrapText="1"/>
    </xf>
    <xf numFmtId="1" fontId="63" fillId="0" borderId="27" xfId="1" applyNumberFormat="1" applyFont="1" applyBorder="1" applyAlignment="1">
      <alignment horizontal="center" wrapText="1"/>
    </xf>
    <xf numFmtId="0" fontId="64" fillId="2" borderId="42" xfId="1" applyFont="1" applyFill="1" applyBorder="1" applyAlignment="1">
      <alignment horizontal="center"/>
    </xf>
    <xf numFmtId="0" fontId="64" fillId="2" borderId="37" xfId="1" applyFont="1" applyFill="1" applyBorder="1" applyAlignment="1">
      <alignment horizontal="center"/>
    </xf>
    <xf numFmtId="0" fontId="64" fillId="2" borderId="38" xfId="1" applyFont="1" applyFill="1" applyBorder="1" applyAlignment="1">
      <alignment horizontal="center"/>
    </xf>
    <xf numFmtId="0" fontId="62" fillId="0" borderId="56" xfId="0" applyFont="1" applyBorder="1" applyAlignment="1">
      <alignment horizontal="left"/>
    </xf>
    <xf numFmtId="0" fontId="64" fillId="6" borderId="15" xfId="2" applyFont="1" applyFill="1" applyBorder="1" applyAlignment="1">
      <alignment horizontal="center"/>
    </xf>
    <xf numFmtId="0" fontId="63" fillId="3" borderId="15" xfId="2" applyFont="1" applyFill="1" applyBorder="1" applyAlignment="1">
      <alignment horizontal="left"/>
    </xf>
  </cellXfs>
  <cellStyles count="12">
    <cellStyle name="Millares" xfId="9" builtinId="3"/>
    <cellStyle name="Millares [0]" xfId="10" builtinId="6"/>
    <cellStyle name="Millares 2" xfId="11" xr:uid="{EDDB43E6-F9F6-4FDE-B982-E66443BD88BD}"/>
    <cellStyle name="Normal" xfId="0" builtinId="0"/>
    <cellStyle name="Normal 2" xfId="1" xr:uid="{2DDBC5E7-0E7E-4491-99E3-7A5940DF1256}"/>
    <cellStyle name="Normal 2 2" xfId="6" xr:uid="{18DF5752-43FF-4BFD-89D2-0730588F24A8}"/>
    <cellStyle name="Normal 3" xfId="5" xr:uid="{75D741B7-9A8C-4961-BA15-A0EFA330802B}"/>
    <cellStyle name="Normal 3 2" xfId="4" xr:uid="{71C988F8-0287-427A-924A-7BBB9BDC240E}"/>
    <cellStyle name="Normal 4 2" xfId="8" xr:uid="{AE4E5C20-AE4F-441A-8BA1-7E71CBFF6AC0}"/>
    <cellStyle name="Normal 5" xfId="3" xr:uid="{9E162E44-7FEC-4CBF-A2D3-215B3357159E}"/>
    <cellStyle name="Normal_CRITERIOS DE EVALUACION PT DE GB 2" xfId="2" xr:uid="{91D1D7B8-FF69-4D3C-B5A7-139D9BD47895}"/>
    <cellStyle name="Porcentaje 2" xfId="7" xr:uid="{535DE1C8-4333-4DB8-BA61-0D675B7A5B2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83507</xdr:colOff>
      <xdr:row>1</xdr:row>
      <xdr:rowOff>41752</xdr:rowOff>
    </xdr:from>
    <xdr:ext cx="1701452" cy="673865"/>
    <xdr:pic>
      <xdr:nvPicPr>
        <xdr:cNvPr id="2" name="Imagen 1">
          <a:extLst>
            <a:ext uri="{FF2B5EF4-FFF2-40B4-BE49-F238E27FC236}">
              <a16:creationId xmlns:a16="http://schemas.microsoft.com/office/drawing/2014/main" id="{EBFF37AA-A9E6-4923-827A-696DBB98C6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507" y="240081"/>
          <a:ext cx="1701452" cy="6738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59532</xdr:colOff>
      <xdr:row>0</xdr:row>
      <xdr:rowOff>178595</xdr:rowOff>
    </xdr:from>
    <xdr:to>
      <xdr:col>1</xdr:col>
      <xdr:colOff>969906</xdr:colOff>
      <xdr:row>3</xdr:row>
      <xdr:rowOff>202407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FC34B4B8-3909-46FB-8A92-F46F26A393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32" y="178595"/>
          <a:ext cx="2029562" cy="9167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82627</xdr:colOff>
      <xdr:row>1</xdr:row>
      <xdr:rowOff>82627</xdr:rowOff>
    </xdr:from>
    <xdr:ext cx="1701452" cy="673865"/>
    <xdr:pic>
      <xdr:nvPicPr>
        <xdr:cNvPr id="3" name="Imagen 2">
          <a:extLst>
            <a:ext uri="{FF2B5EF4-FFF2-40B4-BE49-F238E27FC236}">
              <a16:creationId xmlns:a16="http://schemas.microsoft.com/office/drawing/2014/main" id="{944BF4FB-4E05-43EC-82C1-61C5392E1E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627" y="280747"/>
          <a:ext cx="1701452" cy="6738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82627</xdr:colOff>
      <xdr:row>1</xdr:row>
      <xdr:rowOff>82627</xdr:rowOff>
    </xdr:from>
    <xdr:ext cx="1701452" cy="673865"/>
    <xdr:pic>
      <xdr:nvPicPr>
        <xdr:cNvPr id="2" name="Imagen 1">
          <a:extLst>
            <a:ext uri="{FF2B5EF4-FFF2-40B4-BE49-F238E27FC236}">
              <a16:creationId xmlns:a16="http://schemas.microsoft.com/office/drawing/2014/main" id="{2283D09D-891E-4C63-B27C-B70E7DB369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627" y="284603"/>
          <a:ext cx="1701452" cy="6738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COSTOS%202013/LISTA%20COSTOS%20ALE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edepast-my.sharepoint.com/personal/eramirez_fascr_com/Documents/Escritorio/INDUSTRIA%202022/INDUSTRIA%202025/Cake%20Box%20Set%202025/Cake%20Box%20de%20Pistacho.xlsx" TargetMode="External"/><Relationship Id="rId1" Type="http://schemas.openxmlformats.org/officeDocument/2006/relationships/externalLinkPath" Target="https://sedepast-my.sharepoint.com/personal/eramirez_fascr_com/Documents/Escritorio/INDUSTRIA%202022/INDUSTRIA%202025/Cake%20Box%20Set%202025/Cake%20Box%20de%20Pistach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3263</v>
          </cell>
          <cell r="K2">
            <v>454</v>
          </cell>
          <cell r="L2">
            <v>7.1872246696035242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4200</v>
          </cell>
          <cell r="K4">
            <v>1000</v>
          </cell>
          <cell r="L4">
            <v>4.2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1231</v>
          </cell>
          <cell r="K8">
            <v>1000</v>
          </cell>
          <cell r="L8">
            <v>1.2310000000000001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>
            <v>150</v>
          </cell>
          <cell r="K11"/>
          <cell r="L11" t="e">
            <v>#DIV/0!</v>
          </cell>
          <cell r="M11"/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370</v>
          </cell>
          <cell r="K14">
            <v>100</v>
          </cell>
          <cell r="L14">
            <v>3.7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708.25</v>
          </cell>
          <cell r="K15">
            <v>250</v>
          </cell>
          <cell r="L15">
            <v>2.8330000000000002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1118</v>
          </cell>
          <cell r="K17">
            <v>500</v>
          </cell>
          <cell r="L17">
            <v>2.2360000000000002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970</v>
          </cell>
          <cell r="K18">
            <v>1000</v>
          </cell>
          <cell r="L18">
            <v>0.97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5021</v>
          </cell>
          <cell r="K21">
            <v>2840</v>
          </cell>
          <cell r="L21">
            <v>1.7679577464788732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1095</v>
          </cell>
          <cell r="K22">
            <v>500</v>
          </cell>
          <cell r="L22">
            <v>2.19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230</v>
          </cell>
          <cell r="K23">
            <v>1</v>
          </cell>
          <cell r="L23">
            <v>230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150000</v>
          </cell>
          <cell r="K24">
            <v>25000</v>
          </cell>
          <cell r="L24">
            <v>6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/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921.44</v>
          </cell>
          <cell r="K26">
            <v>500</v>
          </cell>
          <cell r="L26">
            <v>1.8428800000000001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1546.39</v>
          </cell>
          <cell r="K28">
            <v>1000</v>
          </cell>
          <cell r="L28">
            <v>1.5463900000000002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/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/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5370</v>
          </cell>
          <cell r="K34">
            <v>1000</v>
          </cell>
          <cell r="L34">
            <v>5.37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0</v>
          </cell>
          <cell r="K35">
            <v>200</v>
          </cell>
          <cell r="L35">
            <v>0</v>
          </cell>
          <cell r="M35"/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2300</v>
          </cell>
          <cell r="K36">
            <v>1000</v>
          </cell>
          <cell r="L36">
            <v>2.2999999999999998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37552</v>
          </cell>
          <cell r="K41">
            <v>50</v>
          </cell>
          <cell r="L41">
            <v>751.04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2412</v>
          </cell>
          <cell r="K42">
            <v>141</v>
          </cell>
          <cell r="L42">
            <v>17.106382978723403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3750</v>
          </cell>
          <cell r="K46">
            <v>1000</v>
          </cell>
          <cell r="L46">
            <v>3.75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0</v>
          </cell>
          <cell r="K47">
            <v>1000</v>
          </cell>
          <cell r="L47">
            <v>0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>
            <v>4895</v>
          </cell>
          <cell r="K50">
            <v>1000</v>
          </cell>
          <cell r="L50">
            <v>4.8949999999999996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0</v>
          </cell>
          <cell r="K55">
            <v>1000</v>
          </cell>
          <cell r="L55">
            <v>0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2495</v>
          </cell>
          <cell r="K56">
            <v>1000</v>
          </cell>
          <cell r="L56">
            <v>2.4950000000000001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87333</v>
          </cell>
          <cell r="K57">
            <v>25000</v>
          </cell>
          <cell r="L57">
            <v>3.4933200000000002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6086.335</v>
          </cell>
          <cell r="K58">
            <v>1000</v>
          </cell>
          <cell r="L58">
            <v>6.0863350000000001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19532</v>
          </cell>
          <cell r="K59">
            <v>2000</v>
          </cell>
          <cell r="L59">
            <v>9.766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11304.66085</v>
          </cell>
          <cell r="K60">
            <v>1000</v>
          </cell>
          <cell r="L60">
            <v>11.304660849999999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71364</v>
          </cell>
          <cell r="K62">
            <v>25000</v>
          </cell>
          <cell r="L62">
            <v>2.8545600000000002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9704</v>
          </cell>
          <cell r="K63">
            <v>4000</v>
          </cell>
          <cell r="L63">
            <v>2.4260000000000002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0</v>
          </cell>
          <cell r="K65">
            <v>500</v>
          </cell>
          <cell r="L65">
            <v>0</v>
          </cell>
          <cell r="M65"/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>
            <v>0</v>
          </cell>
          <cell r="K66">
            <v>10000</v>
          </cell>
          <cell r="L66">
            <v>0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>
            <v>0</v>
          </cell>
          <cell r="K67">
            <v>1000</v>
          </cell>
          <cell r="L67">
            <v>0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19697.82</v>
          </cell>
          <cell r="K68">
            <v>5000</v>
          </cell>
          <cell r="L68">
            <v>3.9395639999999998</v>
          </cell>
          <cell r="M68"/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>
            <v>0</v>
          </cell>
          <cell r="K69">
            <v>1000</v>
          </cell>
          <cell r="L69">
            <v>0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3951</v>
          </cell>
          <cell r="K71">
            <v>1000</v>
          </cell>
          <cell r="L71">
            <v>3.9510000000000001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>
            <v>0</v>
          </cell>
          <cell r="K72">
            <v>1000</v>
          </cell>
          <cell r="L72">
            <v>0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0</v>
          </cell>
          <cell r="K73">
            <v>1000</v>
          </cell>
          <cell r="L73">
            <v>0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3570</v>
          </cell>
          <cell r="K74">
            <v>1000</v>
          </cell>
          <cell r="L74">
            <v>3.57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>
            <v>0</v>
          </cell>
          <cell r="K75">
            <v>1000</v>
          </cell>
          <cell r="L75">
            <v>0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>
            <v>2200</v>
          </cell>
          <cell r="J76">
            <v>0</v>
          </cell>
          <cell r="K76">
            <v>1000</v>
          </cell>
          <cell r="L76">
            <v>0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>
            <v>0</v>
          </cell>
          <cell r="K77">
            <v>1000</v>
          </cell>
          <cell r="L77">
            <v>0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959</v>
          </cell>
          <cell r="K78">
            <v>1</v>
          </cell>
          <cell r="L78">
            <v>959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39072</v>
          </cell>
          <cell r="K79">
            <v>9520</v>
          </cell>
          <cell r="L79">
            <v>4.1042016806722685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15691.3176</v>
          </cell>
          <cell r="K81">
            <v>25000</v>
          </cell>
          <cell r="L81">
            <v>0.62765270400000006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>
            <v>0</v>
          </cell>
          <cell r="K82">
            <v>5000</v>
          </cell>
          <cell r="L82">
            <v>0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>
            <v>0</v>
          </cell>
          <cell r="K83">
            <v>1000</v>
          </cell>
          <cell r="L83">
            <v>0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113.4</v>
          </cell>
          <cell r="K85">
            <v>11340</v>
          </cell>
          <cell r="L85">
            <v>0.01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99</v>
          </cell>
          <cell r="K86">
            <v>12000</v>
          </cell>
          <cell r="L86">
            <v>8.2500000000000004E-3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19766</v>
          </cell>
          <cell r="K87">
            <v>21600</v>
          </cell>
          <cell r="L87">
            <v>0.91509259259259257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0</v>
          </cell>
          <cell r="K89">
            <v>10000</v>
          </cell>
          <cell r="L89">
            <v>0</v>
          </cell>
          <cell r="M89"/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>
            <v>0</v>
          </cell>
          <cell r="K90">
            <v>11340</v>
          </cell>
          <cell r="L90">
            <v>0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4753.3599999999997</v>
          </cell>
          <cell r="K92">
            <v>1000</v>
          </cell>
          <cell r="L92">
            <v>4.7533599999999998</v>
          </cell>
          <cell r="M92"/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>
            <v>0</v>
          </cell>
          <cell r="K93">
            <v>1000</v>
          </cell>
          <cell r="L93">
            <v>0</v>
          </cell>
          <cell r="M93"/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0</v>
          </cell>
          <cell r="K94">
            <v>10000</v>
          </cell>
          <cell r="L94">
            <v>0</v>
          </cell>
          <cell r="M94"/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16236.6016</v>
          </cell>
          <cell r="K96">
            <v>25000</v>
          </cell>
          <cell r="L96">
            <v>0.64946406400000001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11670.9</v>
          </cell>
          <cell r="K98">
            <v>800</v>
          </cell>
          <cell r="L98">
            <v>14.588625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64.599999999999994</v>
          </cell>
          <cell r="K99">
            <v>13600</v>
          </cell>
          <cell r="L99">
            <v>4.7499999999999999E-3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>
            <v>0</v>
          </cell>
          <cell r="K100">
            <v>1000</v>
          </cell>
          <cell r="L100">
            <v>0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89.75</v>
          </cell>
          <cell r="K101">
            <v>25000</v>
          </cell>
          <cell r="L101">
            <v>3.5899999999999999E-3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42636</v>
          </cell>
          <cell r="K102">
            <v>22680</v>
          </cell>
          <cell r="L102">
            <v>1.87989417989418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38955.22</v>
          </cell>
          <cell r="K103">
            <v>25000</v>
          </cell>
          <cell r="L103">
            <v>1.5582088000000001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190.4</v>
          </cell>
          <cell r="K104">
            <v>13600</v>
          </cell>
          <cell r="L104">
            <v>1.4E-2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120720</v>
          </cell>
          <cell r="K106">
            <v>20000</v>
          </cell>
          <cell r="L106">
            <v>6.0359999999999996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>
            <v>0</v>
          </cell>
          <cell r="K107">
            <v>22670</v>
          </cell>
          <cell r="L107">
            <v>0</v>
          </cell>
          <cell r="M107"/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22052.76</v>
          </cell>
          <cell r="K108">
            <v>10000</v>
          </cell>
          <cell r="L108">
            <v>2.205276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11696.15</v>
          </cell>
          <cell r="K109">
            <v>1000</v>
          </cell>
          <cell r="L109">
            <v>11.696149999999999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1386</v>
          </cell>
          <cell r="K110">
            <v>1000</v>
          </cell>
          <cell r="L110">
            <v>1.3859999999999999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2477.12</v>
          </cell>
          <cell r="K113">
            <v>1000</v>
          </cell>
          <cell r="L113">
            <v>2.4771199999999998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/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131.25</v>
          </cell>
          <cell r="K115">
            <v>25000</v>
          </cell>
          <cell r="L115">
            <v>5.2500000000000003E-3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8718.19</v>
          </cell>
          <cell r="K116">
            <v>2500</v>
          </cell>
          <cell r="L116">
            <v>3.487276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0</v>
          </cell>
          <cell r="K117">
            <v>2500</v>
          </cell>
          <cell r="L117">
            <v>0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4582</v>
          </cell>
          <cell r="J119">
            <v>0</v>
          </cell>
          <cell r="K119">
            <v>2500</v>
          </cell>
          <cell r="L119">
            <v>0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3135</v>
          </cell>
          <cell r="K121">
            <v>454</v>
          </cell>
          <cell r="L121">
            <v>6.9052863436123344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2214</v>
          </cell>
          <cell r="K122">
            <v>1000</v>
          </cell>
          <cell r="L122">
            <v>2.214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6920</v>
          </cell>
          <cell r="K123">
            <v>780</v>
          </cell>
          <cell r="L123">
            <v>8.8717948717948723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31415.599999999999</v>
          </cell>
          <cell r="K124">
            <v>5000</v>
          </cell>
          <cell r="L124">
            <v>6.2831199999999994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2946</v>
          </cell>
          <cell r="K125">
            <v>340</v>
          </cell>
          <cell r="L125">
            <v>8.6647058823529406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4061</v>
          </cell>
          <cell r="K127">
            <v>480</v>
          </cell>
          <cell r="L127">
            <v>8.4604166666666671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0</v>
          </cell>
          <cell r="K128">
            <v>5000</v>
          </cell>
          <cell r="L128">
            <v>0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43990.32</v>
          </cell>
          <cell r="K129">
            <v>3000</v>
          </cell>
          <cell r="L129">
            <v>14.66344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300</v>
          </cell>
          <cell r="K131">
            <v>900</v>
          </cell>
          <cell r="L131">
            <v>0.33333333333333331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300</v>
          </cell>
          <cell r="K132">
            <v>900</v>
          </cell>
          <cell r="L132">
            <v>0.33333333333333331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300</v>
          </cell>
          <cell r="K133">
            <v>900</v>
          </cell>
          <cell r="L133">
            <v>0.33333333333333331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300</v>
          </cell>
          <cell r="K134">
            <v>900</v>
          </cell>
          <cell r="L134">
            <v>0.33333333333333331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0</v>
          </cell>
          <cell r="K135">
            <v>900</v>
          </cell>
          <cell r="L135">
            <v>0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300</v>
          </cell>
          <cell r="K136">
            <v>900</v>
          </cell>
          <cell r="L136">
            <v>0.33333333333333331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225</v>
          </cell>
          <cell r="K137">
            <v>900</v>
          </cell>
          <cell r="L137">
            <v>0.25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0</v>
          </cell>
          <cell r="K138">
            <v>1</v>
          </cell>
          <cell r="L138">
            <v>0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0</v>
          </cell>
          <cell r="K139">
            <v>1</v>
          </cell>
          <cell r="L139">
            <v>0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>
            <v>0</v>
          </cell>
          <cell r="K140">
            <v>1</v>
          </cell>
          <cell r="L140">
            <v>0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255</v>
          </cell>
          <cell r="K141">
            <v>900</v>
          </cell>
          <cell r="L141">
            <v>0.28333333333333333</v>
          </cell>
          <cell r="M141"/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255</v>
          </cell>
          <cell r="K142">
            <v>900</v>
          </cell>
          <cell r="L142">
            <v>0.28333333333333333</v>
          </cell>
          <cell r="M142"/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/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170</v>
          </cell>
          <cell r="K144">
            <v>900</v>
          </cell>
          <cell r="L144">
            <v>0.18888888888888888</v>
          </cell>
          <cell r="M144"/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255</v>
          </cell>
          <cell r="K145">
            <v>900</v>
          </cell>
          <cell r="L145">
            <v>0.28333333333333333</v>
          </cell>
          <cell r="M145"/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>
            <v>13</v>
          </cell>
          <cell r="K148">
            <v>1</v>
          </cell>
          <cell r="L148">
            <v>13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>
            <v>0</v>
          </cell>
          <cell r="K152">
            <v>1</v>
          </cell>
          <cell r="L152">
            <v>0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>
            <v>0</v>
          </cell>
          <cell r="K153">
            <v>1</v>
          </cell>
          <cell r="L153">
            <v>0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>
            <v>125</v>
          </cell>
          <cell r="K154">
            <v>1</v>
          </cell>
          <cell r="L154">
            <v>125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>
            <v>0</v>
          </cell>
          <cell r="K155">
            <v>1</v>
          </cell>
          <cell r="L155">
            <v>0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595</v>
          </cell>
          <cell r="K156">
            <v>1000</v>
          </cell>
          <cell r="L156">
            <v>0.59499999999999997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>
            <v>37500</v>
          </cell>
          <cell r="K157">
            <v>1000</v>
          </cell>
          <cell r="L157">
            <v>37.5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0</v>
          </cell>
          <cell r="K158">
            <v>1</v>
          </cell>
          <cell r="L158">
            <v>0</v>
          </cell>
          <cell r="M158"/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35.9</v>
          </cell>
          <cell r="K161">
            <v>1</v>
          </cell>
          <cell r="L161">
            <v>35.9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>
            <v>0</v>
          </cell>
          <cell r="K163"/>
          <cell r="L163" t="e">
            <v>#DIV/0!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1091.8</v>
          </cell>
          <cell r="K164">
            <v>790</v>
          </cell>
          <cell r="L164">
            <v>1.3820253164556962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7411.74</v>
          </cell>
          <cell r="K165">
            <v>5000</v>
          </cell>
          <cell r="L165">
            <v>1.482348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2100</v>
          </cell>
          <cell r="K166">
            <v>1000</v>
          </cell>
          <cell r="L166">
            <v>2.1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0</v>
          </cell>
          <cell r="K167">
            <v>36</v>
          </cell>
          <cell r="L167">
            <v>0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0</v>
          </cell>
          <cell r="K168">
            <v>420</v>
          </cell>
          <cell r="L168">
            <v>0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>
            <v>0</v>
          </cell>
          <cell r="K169">
            <v>1000</v>
          </cell>
          <cell r="L169">
            <v>0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>
            <v>28505</v>
          </cell>
          <cell r="K170">
            <v>8.61</v>
          </cell>
          <cell r="L170">
            <v>3310.6852497096402</v>
          </cell>
          <cell r="M170"/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8659</v>
          </cell>
          <cell r="K171">
            <v>12000</v>
          </cell>
          <cell r="L171">
            <v>0.72158333333333335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>
            <v>0</v>
          </cell>
          <cell r="K172">
            <v>1</v>
          </cell>
          <cell r="L172">
            <v>0</v>
          </cell>
          <cell r="M172"/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10616.25</v>
          </cell>
          <cell r="K175">
            <v>5000</v>
          </cell>
          <cell r="L175">
            <v>2.1232500000000001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10983.2</v>
          </cell>
          <cell r="K177">
            <v>3785</v>
          </cell>
          <cell r="L177">
            <v>2.9017701453104361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7220</v>
          </cell>
          <cell r="K178">
            <v>3700</v>
          </cell>
          <cell r="L178">
            <v>1.9513513513513514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6982.3</v>
          </cell>
          <cell r="K179">
            <v>1000</v>
          </cell>
          <cell r="L179">
            <v>6.9823000000000004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27791</v>
          </cell>
          <cell r="K180">
            <v>5000</v>
          </cell>
          <cell r="L180">
            <v>5.5582000000000003</v>
          </cell>
          <cell r="M180"/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11870</v>
          </cell>
          <cell r="K181">
            <v>2900</v>
          </cell>
          <cell r="L181">
            <v>4.0931034482758619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0</v>
          </cell>
          <cell r="K183"/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0</v>
          </cell>
          <cell r="K184">
            <v>5000</v>
          </cell>
          <cell r="L184">
            <v>0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0</v>
          </cell>
          <cell r="K186">
            <v>5000</v>
          </cell>
          <cell r="L186">
            <v>0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>
            <v>0</v>
          </cell>
          <cell r="K187">
            <v>3120</v>
          </cell>
          <cell r="L187">
            <v>0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20768</v>
          </cell>
          <cell r="K188">
            <v>250</v>
          </cell>
          <cell r="L188">
            <v>83.072000000000003</v>
          </cell>
          <cell r="M188"/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7056.9</v>
          </cell>
          <cell r="K189">
            <v>944</v>
          </cell>
          <cell r="L189">
            <v>7.4755296610169486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4607</v>
          </cell>
          <cell r="K190">
            <v>2980</v>
          </cell>
          <cell r="L190">
            <v>1.545973154362416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7639.1</v>
          </cell>
          <cell r="K191">
            <v>4100</v>
          </cell>
          <cell r="L191">
            <v>1.8631951219512195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6420</v>
          </cell>
          <cell r="K192">
            <v>3785</v>
          </cell>
          <cell r="L192">
            <v>1.6961690885072656</v>
          </cell>
          <cell r="M192"/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>
            <v>18931</v>
          </cell>
          <cell r="K193">
            <v>2232</v>
          </cell>
          <cell r="L193">
            <v>8.4816308243727594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5234</v>
          </cell>
          <cell r="K194">
            <v>1600</v>
          </cell>
          <cell r="L194">
            <v>3.2712500000000002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5221</v>
          </cell>
          <cell r="K195">
            <v>1000</v>
          </cell>
          <cell r="L195">
            <v>5.2210000000000001</v>
          </cell>
          <cell r="M195"/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2525</v>
          </cell>
          <cell r="K196">
            <v>1000</v>
          </cell>
          <cell r="L196">
            <v>2.5249999999999999</v>
          </cell>
          <cell r="M196"/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2168</v>
          </cell>
          <cell r="K197">
            <v>1000</v>
          </cell>
          <cell r="L197">
            <v>2.1680000000000001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1526</v>
          </cell>
          <cell r="K198">
            <v>1000</v>
          </cell>
          <cell r="L198">
            <v>1.526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1597</v>
          </cell>
          <cell r="K199">
            <v>1000</v>
          </cell>
          <cell r="L199">
            <v>1.597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2460</v>
          </cell>
          <cell r="K200">
            <v>370</v>
          </cell>
          <cell r="L200">
            <v>6.6486486486486482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0</v>
          </cell>
          <cell r="K201">
            <v>700</v>
          </cell>
          <cell r="L201">
            <v>0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0</v>
          </cell>
          <cell r="K203">
            <v>1700</v>
          </cell>
          <cell r="L203">
            <v>0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2162</v>
          </cell>
          <cell r="K204">
            <v>2200</v>
          </cell>
          <cell r="L204">
            <v>0.98272727272727278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20796</v>
          </cell>
          <cell r="K205">
            <v>1000</v>
          </cell>
          <cell r="L205">
            <v>20.795999999999999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9705.15</v>
          </cell>
          <cell r="K206">
            <v>1000</v>
          </cell>
          <cell r="L206">
            <v>9.7051499999999997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17390</v>
          </cell>
          <cell r="K208">
            <v>4500</v>
          </cell>
          <cell r="L208">
            <v>3.8644444444444446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34911</v>
          </cell>
          <cell r="K209">
            <v>25000</v>
          </cell>
          <cell r="L209">
            <v>1.3964399999999999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9410</v>
          </cell>
          <cell r="K211">
            <v>2500</v>
          </cell>
          <cell r="L211">
            <v>3.7639999999999998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>
            <v>0</v>
          </cell>
          <cell r="K212">
            <v>1000</v>
          </cell>
          <cell r="L212">
            <v>0</v>
          </cell>
          <cell r="M212"/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0</v>
          </cell>
          <cell r="K213">
            <v>1000</v>
          </cell>
          <cell r="L213">
            <v>0</v>
          </cell>
          <cell r="M213"/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37711</v>
          </cell>
          <cell r="K214">
            <v>25000</v>
          </cell>
          <cell r="L214">
            <v>1.50844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>
            <v>0</v>
          </cell>
          <cell r="K215">
            <v>12500</v>
          </cell>
          <cell r="L215">
            <v>0</v>
          </cell>
          <cell r="M215"/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2614</v>
          </cell>
          <cell r="K216">
            <v>1000</v>
          </cell>
          <cell r="L216">
            <v>2.6139999999999999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1663.06</v>
          </cell>
          <cell r="K217">
            <v>465</v>
          </cell>
          <cell r="L217">
            <v>3.5764731182795697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1884</v>
          </cell>
          <cell r="K218">
            <v>1000</v>
          </cell>
          <cell r="L218">
            <v>1.8839999999999999</v>
          </cell>
          <cell r="M218"/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22289</v>
          </cell>
          <cell r="K219"/>
          <cell r="L219" t="e">
            <v>#DIV/0!</v>
          </cell>
          <cell r="M219"/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1937</v>
          </cell>
          <cell r="K220">
            <v>1000</v>
          </cell>
          <cell r="L220">
            <v>1.9370000000000001</v>
          </cell>
          <cell r="M220"/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0</v>
          </cell>
          <cell r="K221">
            <v>13600</v>
          </cell>
          <cell r="L221">
            <v>0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0</v>
          </cell>
          <cell r="K222">
            <v>2000</v>
          </cell>
          <cell r="L222">
            <v>0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748440.2</v>
          </cell>
          <cell r="K223">
            <v>22680</v>
          </cell>
          <cell r="L223">
            <v>33.000008818342152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>
            <v>0</v>
          </cell>
          <cell r="K224">
            <v>750</v>
          </cell>
          <cell r="L224">
            <v>0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>
            <v>0</v>
          </cell>
          <cell r="K225">
            <v>750</v>
          </cell>
          <cell r="L225">
            <v>0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>
            <v>0</v>
          </cell>
          <cell r="K229">
            <v>150</v>
          </cell>
          <cell r="L229">
            <v>0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19780</v>
          </cell>
          <cell r="K230">
            <v>10000</v>
          </cell>
          <cell r="L230">
            <v>1.978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5119.6724999999997</v>
          </cell>
          <cell r="K231">
            <v>2000</v>
          </cell>
          <cell r="L231">
            <v>2.55983625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>
            <v>0</v>
          </cell>
          <cell r="K232">
            <v>25</v>
          </cell>
          <cell r="L232">
            <v>0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>
            <v>0</v>
          </cell>
          <cell r="K234">
            <v>240</v>
          </cell>
          <cell r="L234">
            <v>0</v>
          </cell>
          <cell r="M234"/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>
            <v>0</v>
          </cell>
          <cell r="K235">
            <v>1000</v>
          </cell>
          <cell r="L235">
            <v>0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49514.96</v>
          </cell>
          <cell r="K236">
            <v>5000</v>
          </cell>
          <cell r="L236">
            <v>9.9029919999999994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58343.15</v>
          </cell>
          <cell r="K237">
            <v>5000</v>
          </cell>
          <cell r="L237">
            <v>11.66863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73610</v>
          </cell>
          <cell r="K238">
            <v>17000</v>
          </cell>
          <cell r="L238">
            <v>4.33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0</v>
          </cell>
          <cell r="K239">
            <v>25000</v>
          </cell>
          <cell r="L239">
            <v>0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0</v>
          </cell>
          <cell r="K240"/>
          <cell r="L240" t="e">
            <v>#DIV/0!</v>
          </cell>
          <cell r="M240"/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0</v>
          </cell>
          <cell r="K241">
            <v>1000</v>
          </cell>
          <cell r="L241">
            <v>0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>
            <v>0</v>
          </cell>
          <cell r="K242">
            <v>1000</v>
          </cell>
          <cell r="L242">
            <v>0</v>
          </cell>
          <cell r="M242"/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1610</v>
          </cell>
          <cell r="K246">
            <v>1000</v>
          </cell>
          <cell r="L246">
            <v>1.61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>
            <v>0</v>
          </cell>
          <cell r="K248">
            <v>1000</v>
          </cell>
          <cell r="L248">
            <v>0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0</v>
          </cell>
          <cell r="K249">
            <v>3785</v>
          </cell>
          <cell r="L249">
            <v>0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2200</v>
          </cell>
          <cell r="K252">
            <v>1000</v>
          </cell>
          <cell r="L252">
            <v>2.2000000000000002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>
            <v>195</v>
          </cell>
          <cell r="K253">
            <v>1000</v>
          </cell>
          <cell r="L253">
            <v>0.19500000000000001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>
            <v>0</v>
          </cell>
          <cell r="K254">
            <v>1000</v>
          </cell>
          <cell r="L254">
            <v>0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15381</v>
          </cell>
          <cell r="K255">
            <v>5000</v>
          </cell>
          <cell r="L255">
            <v>3.0762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0</v>
          </cell>
          <cell r="K256">
            <v>460</v>
          </cell>
          <cell r="L256">
            <v>0</v>
          </cell>
          <cell r="M256"/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/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2000</v>
          </cell>
          <cell r="K258">
            <v>150</v>
          </cell>
          <cell r="L258">
            <v>13.333333333333334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137.5</v>
          </cell>
          <cell r="K259">
            <v>25000</v>
          </cell>
          <cell r="L259">
            <v>5.4999999999999997E-3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/>
          <cell r="L260" t="e">
            <v>#DIV/0!</v>
          </cell>
          <cell r="M260"/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6900</v>
          </cell>
          <cell r="K261">
            <v>100</v>
          </cell>
          <cell r="L261">
            <v>69</v>
          </cell>
          <cell r="M261"/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60104</v>
          </cell>
          <cell r="K262">
            <v>200</v>
          </cell>
          <cell r="L262">
            <v>300.52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58524</v>
          </cell>
          <cell r="K263">
            <v>200</v>
          </cell>
          <cell r="L263">
            <v>292.62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137</v>
          </cell>
          <cell r="K264">
            <v>1</v>
          </cell>
          <cell r="L264">
            <v>137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135</v>
          </cell>
          <cell r="K265">
            <v>1</v>
          </cell>
          <cell r="L265">
            <v>135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2000</v>
          </cell>
          <cell r="K267">
            <v>125</v>
          </cell>
          <cell r="L267">
            <v>16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>
            <v>0</v>
          </cell>
          <cell r="K268"/>
          <cell r="L268" t="e">
            <v>#DIV/0!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0</v>
          </cell>
          <cell r="K269">
            <v>500</v>
          </cell>
          <cell r="L269">
            <v>0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2000</v>
          </cell>
          <cell r="K270">
            <v>200</v>
          </cell>
          <cell r="L270">
            <v>10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2000</v>
          </cell>
          <cell r="K271">
            <v>42</v>
          </cell>
          <cell r="L271">
            <v>47.61904761904762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>
            <v>0</v>
          </cell>
          <cell r="K272">
            <v>500</v>
          </cell>
          <cell r="L272">
            <v>0</v>
          </cell>
          <cell r="M272"/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35390</v>
          </cell>
          <cell r="K273">
            <v>200</v>
          </cell>
          <cell r="L273">
            <v>176.95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1950</v>
          </cell>
          <cell r="J274">
            <v>3.14</v>
          </cell>
          <cell r="K274">
            <v>1</v>
          </cell>
          <cell r="L274">
            <v>3.14</v>
          </cell>
          <cell r="M274" t="str">
            <v>Und</v>
          </cell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4975</v>
          </cell>
          <cell r="K275">
            <v>100</v>
          </cell>
          <cell r="L275">
            <v>49.75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3050</v>
          </cell>
          <cell r="K276">
            <v>100</v>
          </cell>
          <cell r="L276">
            <v>30.5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9850</v>
          </cell>
          <cell r="K277">
            <v>1000</v>
          </cell>
          <cell r="L277">
            <v>9.85</v>
          </cell>
          <cell r="M277"/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0</v>
          </cell>
          <cell r="K278">
            <v>1</v>
          </cell>
          <cell r="L278">
            <v>0</v>
          </cell>
          <cell r="M278"/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11555</v>
          </cell>
          <cell r="K280">
            <v>1000</v>
          </cell>
          <cell r="L280">
            <v>11.555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2575</v>
          </cell>
          <cell r="K281">
            <v>100</v>
          </cell>
          <cell r="L281">
            <v>25.75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314.67599999999999</v>
          </cell>
          <cell r="K282">
            <v>1</v>
          </cell>
          <cell r="L282">
            <v>314.67599999999999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>
            <v>0</v>
          </cell>
          <cell r="K283">
            <v>10000</v>
          </cell>
          <cell r="L283">
            <v>0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>
            <v>34</v>
          </cell>
          <cell r="K284">
            <v>1</v>
          </cell>
          <cell r="L284">
            <v>34</v>
          </cell>
          <cell r="M284" t="str">
            <v>Und</v>
          </cell>
        </row>
        <row r="285">
          <cell r="A285" t="str">
            <v>1950772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5321</v>
          </cell>
          <cell r="K285">
            <v>500</v>
          </cell>
          <cell r="L285">
            <v>10.641999999999999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2350</v>
          </cell>
          <cell r="K286"/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0</v>
          </cell>
          <cell r="K287">
            <v>50</v>
          </cell>
          <cell r="L287">
            <v>0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95</v>
          </cell>
          <cell r="K288">
            <v>1</v>
          </cell>
          <cell r="L288">
            <v>95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200</v>
          </cell>
          <cell r="K289">
            <v>1</v>
          </cell>
          <cell r="L289">
            <v>200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287</v>
          </cell>
          <cell r="K291">
            <v>1</v>
          </cell>
          <cell r="L291">
            <v>287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6900</v>
          </cell>
          <cell r="K292">
            <v>100</v>
          </cell>
          <cell r="L292">
            <v>69</v>
          </cell>
          <cell r="M292"/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/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/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>
            <v>0</v>
          </cell>
          <cell r="K295">
            <v>70</v>
          </cell>
          <cell r="L295">
            <v>0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58602</v>
          </cell>
          <cell r="K297">
            <v>250</v>
          </cell>
          <cell r="L297">
            <v>234.40799999999999</v>
          </cell>
          <cell r="M297"/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>
            <v>0</v>
          </cell>
          <cell r="K298">
            <v>1</v>
          </cell>
          <cell r="L298">
            <v>0</v>
          </cell>
          <cell r="M298"/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>
            <v>0</v>
          </cell>
          <cell r="K299">
            <v>1</v>
          </cell>
          <cell r="L299">
            <v>0</v>
          </cell>
          <cell r="M299"/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4874.5600000000004</v>
          </cell>
          <cell r="K300">
            <v>334</v>
          </cell>
          <cell r="L300">
            <v>14.594491017964073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>
            <v>0</v>
          </cell>
          <cell r="K301">
            <v>500</v>
          </cell>
          <cell r="L301">
            <v>0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2000</v>
          </cell>
          <cell r="K302">
            <v>334</v>
          </cell>
          <cell r="L302">
            <v>5.9880239520958085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44559</v>
          </cell>
          <cell r="K303">
            <v>200</v>
          </cell>
          <cell r="L303">
            <v>222.79499999999999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131.893333333333</v>
          </cell>
          <cell r="K304">
            <v>1</v>
          </cell>
          <cell r="L304">
            <v>131.893333333333</v>
          </cell>
          <cell r="M304"/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306.60000000000002</v>
          </cell>
          <cell r="K305">
            <v>100</v>
          </cell>
          <cell r="L305">
            <v>3.0660000000000003</v>
          </cell>
          <cell r="M305"/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2000</v>
          </cell>
          <cell r="K306">
            <v>40</v>
          </cell>
          <cell r="L306">
            <v>50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42</v>
          </cell>
          <cell r="K307">
            <v>1</v>
          </cell>
          <cell r="L307">
            <v>42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0</v>
          </cell>
          <cell r="K308">
            <v>20</v>
          </cell>
          <cell r="L308">
            <v>0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>
            <v>0</v>
          </cell>
          <cell r="K309">
            <v>480</v>
          </cell>
          <cell r="L309">
            <v>0</v>
          </cell>
          <cell r="M309"/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5227.5</v>
          </cell>
          <cell r="K310">
            <v>1000</v>
          </cell>
          <cell r="L310">
            <v>5.2275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0</v>
          </cell>
          <cell r="K311">
            <v>1</v>
          </cell>
          <cell r="L311">
            <v>0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0</v>
          </cell>
          <cell r="K312">
            <v>1</v>
          </cell>
          <cell r="L312">
            <v>0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146.084</v>
          </cell>
          <cell r="K313">
            <v>1</v>
          </cell>
          <cell r="L313">
            <v>146.084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625</v>
          </cell>
          <cell r="K314">
            <v>1</v>
          </cell>
          <cell r="L314">
            <v>625</v>
          </cell>
          <cell r="M314"/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235</v>
          </cell>
          <cell r="K315">
            <v>1</v>
          </cell>
          <cell r="L315">
            <v>235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0</v>
          </cell>
          <cell r="K316">
            <v>100</v>
          </cell>
          <cell r="L316">
            <v>0</v>
          </cell>
          <cell r="M316"/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>
            <v>0</v>
          </cell>
          <cell r="K317">
            <v>100</v>
          </cell>
          <cell r="L317">
            <v>0</v>
          </cell>
          <cell r="M317"/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>
            <v>0</v>
          </cell>
          <cell r="K318">
            <v>600</v>
          </cell>
          <cell r="L318">
            <v>0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>
            <v>0</v>
          </cell>
          <cell r="K319">
            <v>378</v>
          </cell>
          <cell r="L319">
            <v>0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576</v>
          </cell>
          <cell r="K320">
            <v>1</v>
          </cell>
          <cell r="L320">
            <v>576</v>
          </cell>
          <cell r="M320"/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>
            <v>0</v>
          </cell>
          <cell r="K321">
            <v>600</v>
          </cell>
          <cell r="L321">
            <v>0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95</v>
          </cell>
          <cell r="K322">
            <v>1</v>
          </cell>
          <cell r="L322">
            <v>95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137</v>
          </cell>
          <cell r="K323">
            <v>1</v>
          </cell>
          <cell r="L323">
            <v>137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758</v>
          </cell>
          <cell r="K324">
            <v>1</v>
          </cell>
          <cell r="L324">
            <v>758</v>
          </cell>
          <cell r="M324"/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13239</v>
          </cell>
          <cell r="K325">
            <v>200</v>
          </cell>
          <cell r="L325">
            <v>66.194999999999993</v>
          </cell>
          <cell r="M325"/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>
            <v>0</v>
          </cell>
          <cell r="K326">
            <v>1500</v>
          </cell>
          <cell r="L326">
            <v>0</v>
          </cell>
          <cell r="M326"/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410</v>
          </cell>
          <cell r="K327">
            <v>1</v>
          </cell>
          <cell r="L327">
            <v>410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144669.51999999999</v>
          </cell>
          <cell r="K329">
            <v>13600</v>
          </cell>
          <cell r="L329">
            <v>10.637464705882353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2240</v>
          </cell>
          <cell r="K331">
            <v>1000</v>
          </cell>
          <cell r="L331">
            <v>2.2400000000000002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4146</v>
          </cell>
          <cell r="K333">
            <v>1000</v>
          </cell>
          <cell r="L333">
            <v>4.1459999999999999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7812</v>
          </cell>
          <cell r="K334">
            <v>25000</v>
          </cell>
          <cell r="L334">
            <v>0.31247999999999998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24689</v>
          </cell>
          <cell r="K335">
            <v>350</v>
          </cell>
          <cell r="L335">
            <v>70.540000000000006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>
            <v>0</v>
          </cell>
          <cell r="K337">
            <v>850</v>
          </cell>
          <cell r="L337">
            <v>0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612</v>
          </cell>
          <cell r="K339">
            <v>3000</v>
          </cell>
          <cell r="L339">
            <v>0.20399999999999999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2462</v>
          </cell>
          <cell r="K341">
            <v>2500</v>
          </cell>
          <cell r="L341">
            <v>0.98480000000000001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>
            <v>0</v>
          </cell>
          <cell r="K342">
            <v>680</v>
          </cell>
          <cell r="L342">
            <v>0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12826.75</v>
          </cell>
          <cell r="K343">
            <v>3780</v>
          </cell>
          <cell r="L343">
            <v>3.3933201058201057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33857</v>
          </cell>
          <cell r="K344">
            <v>15880</v>
          </cell>
          <cell r="L344">
            <v>2.1320528967254408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26889</v>
          </cell>
          <cell r="K345">
            <v>17000</v>
          </cell>
          <cell r="L345">
            <v>1.5817058823529411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2710.0695999999998</v>
          </cell>
          <cell r="K348">
            <v>1800</v>
          </cell>
          <cell r="L348">
            <v>1.5055942222222221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/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>
            <v>0</v>
          </cell>
          <cell r="K350">
            <v>425</v>
          </cell>
          <cell r="L350">
            <v>0</v>
          </cell>
          <cell r="M350"/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2697</v>
          </cell>
          <cell r="K351">
            <v>250</v>
          </cell>
          <cell r="L351">
            <v>10.788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1563.75</v>
          </cell>
          <cell r="K352">
            <v>390</v>
          </cell>
          <cell r="L352">
            <v>4.009615384615385</v>
          </cell>
          <cell r="M352"/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200</v>
          </cell>
          <cell r="K353">
            <v>500</v>
          </cell>
          <cell r="L353">
            <v>0.4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1861.7550000000001</v>
          </cell>
          <cell r="K354">
            <v>250</v>
          </cell>
          <cell r="L354">
            <v>7.4470200000000002</v>
          </cell>
          <cell r="M354"/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>
            <v>0</v>
          </cell>
          <cell r="K355">
            <v>1</v>
          </cell>
          <cell r="L355">
            <v>0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1300</v>
          </cell>
          <cell r="K356">
            <v>50</v>
          </cell>
          <cell r="L356">
            <v>26</v>
          </cell>
          <cell r="M356"/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>
            <v>0</v>
          </cell>
          <cell r="K357">
            <v>2000</v>
          </cell>
          <cell r="L357">
            <v>0</v>
          </cell>
          <cell r="M357"/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0</v>
          </cell>
          <cell r="K358">
            <v>250</v>
          </cell>
          <cell r="L358">
            <v>0</v>
          </cell>
          <cell r="M358"/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0</v>
          </cell>
          <cell r="K359">
            <v>180</v>
          </cell>
          <cell r="L359">
            <v>0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0</v>
          </cell>
          <cell r="K360">
            <v>900</v>
          </cell>
          <cell r="L360">
            <v>0</v>
          </cell>
          <cell r="M360"/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17098</v>
          </cell>
          <cell r="K361">
            <v>1820</v>
          </cell>
          <cell r="L361">
            <v>9.3945054945054949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/>
          <cell r="L362" t="e">
            <v>#DIV/0!</v>
          </cell>
          <cell r="M362"/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4586</v>
          </cell>
          <cell r="K363">
            <v>3140</v>
          </cell>
          <cell r="L363">
            <v>1.4605095541401274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>
            <v>0</v>
          </cell>
          <cell r="K364"/>
          <cell r="L364" t="e">
            <v>#DIV/0!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>
            <v>0</v>
          </cell>
          <cell r="K365">
            <v>40</v>
          </cell>
          <cell r="L365">
            <v>0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/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>
            <v>0</v>
          </cell>
          <cell r="K368">
            <v>48</v>
          </cell>
          <cell r="L368">
            <v>0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445</v>
          </cell>
          <cell r="K369">
            <v>70</v>
          </cell>
          <cell r="L369">
            <v>6.3571428571428568</v>
          </cell>
          <cell r="M369"/>
        </row>
        <row r="370">
          <cell r="A370" t="str">
            <v>10100298</v>
          </cell>
          <cell r="B370" t="str">
            <v>13063</v>
          </cell>
          <cell r="C370" t="str">
            <v>SALSA SABOR OSTION KUM CHUN (UND: 2.2 K)</v>
          </cell>
          <cell r="D370" t="str">
            <v>10100298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7640</v>
          </cell>
          <cell r="K370">
            <v>2200</v>
          </cell>
          <cell r="L370">
            <v>3.4727272727272727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>
            <v>0</v>
          </cell>
          <cell r="K371">
            <v>50000</v>
          </cell>
          <cell r="L371">
            <v>0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0</v>
          </cell>
          <cell r="K372">
            <v>1800</v>
          </cell>
          <cell r="L372">
            <v>0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>
            <v>0</v>
          </cell>
          <cell r="K373"/>
          <cell r="L373" t="e">
            <v>#DIV/0!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11140</v>
          </cell>
          <cell r="K374">
            <v>4000</v>
          </cell>
          <cell r="L374">
            <v>2.7850000000000001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>
            <v>32081</v>
          </cell>
          <cell r="K375">
            <v>5160</v>
          </cell>
          <cell r="L375">
            <v>6.2172480620155035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7162</v>
          </cell>
          <cell r="K376">
            <v>4000</v>
          </cell>
          <cell r="L376">
            <v>1.7905</v>
          </cell>
          <cell r="M376"/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18811</v>
          </cell>
          <cell r="K377">
            <v>12000</v>
          </cell>
          <cell r="L377">
            <v>1.5675833333333333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>
            <v>0</v>
          </cell>
          <cell r="K378"/>
          <cell r="L378" t="e">
            <v>#DIV/0!</v>
          </cell>
          <cell r="M378"/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3524.0779000000002</v>
          </cell>
          <cell r="K379">
            <v>368</v>
          </cell>
          <cell r="L379">
            <v>9.5762986413043478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>
            <v>0</v>
          </cell>
          <cell r="K380">
            <v>25000</v>
          </cell>
          <cell r="L380">
            <v>0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>
            <v>0</v>
          </cell>
          <cell r="K381">
            <v>3785</v>
          </cell>
          <cell r="L381">
            <v>0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>
            <v>0</v>
          </cell>
          <cell r="K382">
            <v>25000</v>
          </cell>
          <cell r="L382">
            <v>0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>
            <v>0</v>
          </cell>
          <cell r="K383">
            <v>10000</v>
          </cell>
          <cell r="L383">
            <v>0</v>
          </cell>
          <cell r="M383"/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>
            <v>0</v>
          </cell>
          <cell r="K384">
            <v>2000</v>
          </cell>
          <cell r="L384">
            <v>0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>
            <v>0</v>
          </cell>
          <cell r="K385">
            <v>4000</v>
          </cell>
          <cell r="L385">
            <v>0</v>
          </cell>
          <cell r="M385"/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>
            <v>0</v>
          </cell>
          <cell r="K386">
            <v>5000</v>
          </cell>
          <cell r="L386">
            <v>0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>
            <v>0</v>
          </cell>
          <cell r="K387">
            <v>1000</v>
          </cell>
          <cell r="L387">
            <v>0</v>
          </cell>
          <cell r="M387"/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>
            <v>0</v>
          </cell>
          <cell r="K388">
            <v>3000</v>
          </cell>
          <cell r="L388">
            <v>0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>
            <v>0</v>
          </cell>
          <cell r="K389">
            <v>1000</v>
          </cell>
          <cell r="L389">
            <v>0</v>
          </cell>
          <cell r="M389"/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>
            <v>0</v>
          </cell>
          <cell r="K390">
            <v>3785</v>
          </cell>
          <cell r="L390">
            <v>0</v>
          </cell>
          <cell r="M390"/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>
            <v>0</v>
          </cell>
          <cell r="K391">
            <v>1000</v>
          </cell>
          <cell r="L391">
            <v>0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4254</v>
          </cell>
          <cell r="K392">
            <v>1000</v>
          </cell>
          <cell r="L392">
            <v>4.2539999999999996</v>
          </cell>
          <cell r="M392"/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>
            <v>0</v>
          </cell>
          <cell r="K393">
            <v>300</v>
          </cell>
          <cell r="L393">
            <v>0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>
            <v>0</v>
          </cell>
          <cell r="K394">
            <v>1000</v>
          </cell>
          <cell r="L394">
            <v>0</v>
          </cell>
          <cell r="M394"/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>
            <v>0</v>
          </cell>
          <cell r="K395">
            <v>18000</v>
          </cell>
          <cell r="L395">
            <v>0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>
            <v>0</v>
          </cell>
          <cell r="K396">
            <v>1000</v>
          </cell>
          <cell r="L396">
            <v>0</v>
          </cell>
          <cell r="M396"/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>
            <v>0</v>
          </cell>
          <cell r="K397">
            <v>1000</v>
          </cell>
          <cell r="L397">
            <v>0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>
            <v>0</v>
          </cell>
          <cell r="K398">
            <v>1000</v>
          </cell>
          <cell r="L398">
            <v>0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>
            <v>0</v>
          </cell>
          <cell r="K399"/>
          <cell r="L399" t="e">
            <v>#DIV/0!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>
            <v>0</v>
          </cell>
          <cell r="K400">
            <v>25000</v>
          </cell>
          <cell r="L400">
            <v>0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>
            <v>0</v>
          </cell>
          <cell r="K401">
            <v>1000</v>
          </cell>
          <cell r="L401">
            <v>0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>
            <v>0</v>
          </cell>
          <cell r="K402">
            <v>210</v>
          </cell>
          <cell r="L402">
            <v>0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>
            <v>0</v>
          </cell>
          <cell r="K403">
            <v>3785</v>
          </cell>
          <cell r="L403">
            <v>0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>
            <v>0</v>
          </cell>
          <cell r="K404">
            <v>5000</v>
          </cell>
          <cell r="L404">
            <v>0</v>
          </cell>
          <cell r="M404"/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9796</v>
          </cell>
          <cell r="K405"/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>
            <v>0</v>
          </cell>
          <cell r="K406">
            <v>1000</v>
          </cell>
          <cell r="L406">
            <v>0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>
            <v>0</v>
          </cell>
          <cell r="K407">
            <v>40</v>
          </cell>
          <cell r="L407">
            <v>0</v>
          </cell>
          <cell r="M407"/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>
            <v>0</v>
          </cell>
          <cell r="K408">
            <v>2500</v>
          </cell>
          <cell r="L408">
            <v>0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>
            <v>0</v>
          </cell>
          <cell r="K409"/>
          <cell r="L409" t="e">
            <v>#DIV/0!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>
            <v>0</v>
          </cell>
          <cell r="K410"/>
          <cell r="L410" t="e">
            <v>#DIV/0!</v>
          </cell>
          <cell r="M410"/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>
            <v>0</v>
          </cell>
          <cell r="K411">
            <v>1000</v>
          </cell>
          <cell r="L411">
            <v>0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>
            <v>0</v>
          </cell>
          <cell r="K412">
            <v>1000</v>
          </cell>
          <cell r="L412">
            <v>0</v>
          </cell>
          <cell r="M412"/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>
            <v>0</v>
          </cell>
          <cell r="K413">
            <v>1000</v>
          </cell>
          <cell r="L413">
            <v>0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>
            <v>0</v>
          </cell>
          <cell r="K414">
            <v>1000</v>
          </cell>
          <cell r="L414">
            <v>0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>
            <v>0</v>
          </cell>
          <cell r="K415"/>
          <cell r="L415" t="e">
            <v>#DIV/0!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>
            <v>0</v>
          </cell>
          <cell r="K416">
            <v>3785</v>
          </cell>
          <cell r="L416">
            <v>0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>
            <v>0</v>
          </cell>
          <cell r="K417">
            <v>2300</v>
          </cell>
          <cell r="L417">
            <v>0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>
            <v>0</v>
          </cell>
          <cell r="K418">
            <v>3780</v>
          </cell>
          <cell r="L418">
            <v>0</v>
          </cell>
          <cell r="M418"/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>
            <v>0</v>
          </cell>
          <cell r="K419">
            <v>1000</v>
          </cell>
          <cell r="L419">
            <v>0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>
            <v>0</v>
          </cell>
          <cell r="K420">
            <v>3785</v>
          </cell>
          <cell r="L420">
            <v>0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>
            <v>0</v>
          </cell>
          <cell r="K421"/>
          <cell r="L421" t="e">
            <v>#DIV/0!</v>
          </cell>
          <cell r="M421"/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>
            <v>0</v>
          </cell>
          <cell r="K422">
            <v>1000</v>
          </cell>
          <cell r="L422">
            <v>0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43470</v>
          </cell>
          <cell r="K423">
            <v>3600</v>
          </cell>
          <cell r="L423">
            <v>12.074999999999999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2470</v>
          </cell>
          <cell r="K424">
            <v>1000</v>
          </cell>
          <cell r="L424">
            <v>2.4700000000000002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>
            <v>0</v>
          </cell>
          <cell r="K425">
            <v>2000</v>
          </cell>
          <cell r="L425">
            <v>0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>
            <v>0</v>
          </cell>
          <cell r="K426"/>
          <cell r="L426" t="e">
            <v>#DIV/0!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>
            <v>0</v>
          </cell>
          <cell r="K427">
            <v>10432</v>
          </cell>
          <cell r="L427">
            <v>0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>
            <v>0</v>
          </cell>
          <cell r="K428">
            <v>1000</v>
          </cell>
          <cell r="L428">
            <v>0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>
            <v>0</v>
          </cell>
          <cell r="K429">
            <v>1000</v>
          </cell>
          <cell r="L429">
            <v>0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>
            <v>0</v>
          </cell>
          <cell r="K430">
            <v>3785</v>
          </cell>
          <cell r="L430">
            <v>0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>
            <v>0</v>
          </cell>
          <cell r="K431">
            <v>1000</v>
          </cell>
          <cell r="L431">
            <v>0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>
            <v>0</v>
          </cell>
          <cell r="K432">
            <v>25000</v>
          </cell>
          <cell r="L432">
            <v>0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>
            <v>0</v>
          </cell>
          <cell r="K433"/>
          <cell r="L433" t="e">
            <v>#DIV/0!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>
            <v>0</v>
          </cell>
          <cell r="K434">
            <v>3700</v>
          </cell>
          <cell r="L434">
            <v>0</v>
          </cell>
          <cell r="M434"/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>
            <v>0</v>
          </cell>
          <cell r="K435">
            <v>1000</v>
          </cell>
          <cell r="L435">
            <v>0</v>
          </cell>
          <cell r="M435"/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9517</v>
          </cell>
          <cell r="K436">
            <v>60</v>
          </cell>
          <cell r="L436">
            <v>158.61666666666667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/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>
            <v>0</v>
          </cell>
          <cell r="K438">
            <v>10000</v>
          </cell>
          <cell r="L438">
            <v>0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>
            <v>0</v>
          </cell>
          <cell r="K439">
            <v>4000</v>
          </cell>
          <cell r="L439">
            <v>0</v>
          </cell>
          <cell r="M439"/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>
            <v>0</v>
          </cell>
          <cell r="K440">
            <v>2000</v>
          </cell>
          <cell r="L440">
            <v>0</v>
          </cell>
          <cell r="M440"/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>
            <v>0</v>
          </cell>
          <cell r="K441">
            <v>1000</v>
          </cell>
          <cell r="L441">
            <v>0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>
            <v>612</v>
          </cell>
          <cell r="K442">
            <v>1000</v>
          </cell>
          <cell r="L442">
            <v>0.61199999999999999</v>
          </cell>
          <cell r="M442"/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>
            <v>0</v>
          </cell>
          <cell r="K443">
            <v>500</v>
          </cell>
          <cell r="L443">
            <v>0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/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>
            <v>0</v>
          </cell>
          <cell r="K445">
            <v>3785</v>
          </cell>
          <cell r="L445">
            <v>0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4391</v>
          </cell>
          <cell r="K446">
            <v>1892.5</v>
          </cell>
          <cell r="L446">
            <v>2.3202113606340817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>
            <v>0</v>
          </cell>
          <cell r="K447">
            <v>1000</v>
          </cell>
          <cell r="L447">
            <v>0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6190</v>
          </cell>
          <cell r="K448">
            <v>1</v>
          </cell>
          <cell r="L448">
            <v>6190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0</v>
          </cell>
          <cell r="K449">
            <v>1</v>
          </cell>
          <cell r="L449">
            <v>0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5709</v>
          </cell>
          <cell r="K450">
            <v>1</v>
          </cell>
          <cell r="L450">
            <v>5709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9324</v>
          </cell>
          <cell r="K451">
            <v>1</v>
          </cell>
          <cell r="L451">
            <v>9324</v>
          </cell>
          <cell r="M451"/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6191</v>
          </cell>
          <cell r="K452">
            <v>1</v>
          </cell>
          <cell r="L452">
            <v>6191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>
            <v>0</v>
          </cell>
          <cell r="K453">
            <v>20000</v>
          </cell>
          <cell r="L453">
            <v>0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>
            <v>0</v>
          </cell>
          <cell r="K454">
            <v>400</v>
          </cell>
          <cell r="L454">
            <v>0</v>
          </cell>
          <cell r="M454"/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>
            <v>0</v>
          </cell>
          <cell r="K455">
            <v>106</v>
          </cell>
          <cell r="L455">
            <v>0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2925</v>
          </cell>
          <cell r="K456">
            <v>3785</v>
          </cell>
          <cell r="L456">
            <v>0.77278731836195513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6715.12</v>
          </cell>
          <cell r="K457">
            <v>800</v>
          </cell>
          <cell r="L457">
            <v>8.3939000000000004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/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/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>
            <v>0</v>
          </cell>
          <cell r="K460"/>
          <cell r="L460" t="e">
            <v>#DIV/0!</v>
          </cell>
          <cell r="M460"/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>
            <v>0</v>
          </cell>
          <cell r="K462"/>
          <cell r="L462" t="e">
            <v>#DIV/0!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/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/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/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6366</v>
          </cell>
          <cell r="K468">
            <v>1000</v>
          </cell>
          <cell r="L468">
            <v>6.3659999999999997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>
            <v>0</v>
          </cell>
          <cell r="K469">
            <v>350</v>
          </cell>
          <cell r="L469">
            <v>0</v>
          </cell>
          <cell r="M469"/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>
            <v>0</v>
          </cell>
          <cell r="K471">
            <v>3100</v>
          </cell>
          <cell r="L471">
            <v>0</v>
          </cell>
          <cell r="M471"/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>
            <v>0</v>
          </cell>
          <cell r="K472">
            <v>500</v>
          </cell>
          <cell r="L472">
            <v>0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>
            <v>0</v>
          </cell>
          <cell r="K473">
            <v>1000</v>
          </cell>
          <cell r="L473">
            <v>0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141474</v>
          </cell>
          <cell r="K474">
            <v>13600</v>
          </cell>
          <cell r="L474">
            <v>10.4025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1400</v>
          </cell>
          <cell r="K475">
            <v>250</v>
          </cell>
          <cell r="L475">
            <v>5.6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>
            <v>0</v>
          </cell>
          <cell r="K476">
            <v>1000</v>
          </cell>
          <cell r="L476">
            <v>0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0</v>
          </cell>
          <cell r="K477">
            <v>2000</v>
          </cell>
          <cell r="L477">
            <v>0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>
            <v>0</v>
          </cell>
          <cell r="K478">
            <v>1000</v>
          </cell>
          <cell r="L478">
            <v>0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5950</v>
          </cell>
          <cell r="K479">
            <v>1000</v>
          </cell>
          <cell r="L479">
            <v>5.95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>
            <v>4290</v>
          </cell>
          <cell r="K480">
            <v>1000</v>
          </cell>
          <cell r="L480">
            <v>4.29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>
            <v>0</v>
          </cell>
          <cell r="K481">
            <v>1000</v>
          </cell>
          <cell r="L481">
            <v>0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2300</v>
          </cell>
          <cell r="K482">
            <v>1000</v>
          </cell>
          <cell r="L482">
            <v>2.2999999999999998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>
            <v>0</v>
          </cell>
          <cell r="K483">
            <v>250</v>
          </cell>
          <cell r="L483">
            <v>0</v>
          </cell>
          <cell r="M483"/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>
            <v>0</v>
          </cell>
          <cell r="K484">
            <v>1000</v>
          </cell>
          <cell r="L484">
            <v>0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1361.6234999999999</v>
          </cell>
          <cell r="K485">
            <v>250</v>
          </cell>
          <cell r="L485">
            <v>5.4464939999999995</v>
          </cell>
          <cell r="M485"/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>
            <v>0</v>
          </cell>
          <cell r="K486">
            <v>170</v>
          </cell>
          <cell r="L486">
            <v>0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6865</v>
          </cell>
          <cell r="K487">
            <v>1000</v>
          </cell>
          <cell r="L487">
            <v>6.8650000000000002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>
            <v>0</v>
          </cell>
          <cell r="K488">
            <v>1000</v>
          </cell>
          <cell r="L488">
            <v>0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0</v>
          </cell>
          <cell r="K489">
            <v>400</v>
          </cell>
          <cell r="L489">
            <v>0</v>
          </cell>
          <cell r="M489"/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>
            <v>0</v>
          </cell>
          <cell r="K490">
            <v>250</v>
          </cell>
          <cell r="L490">
            <v>0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1700</v>
          </cell>
          <cell r="K491">
            <v>1000</v>
          </cell>
          <cell r="L491">
            <v>1.7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>
            <v>0</v>
          </cell>
          <cell r="K492">
            <v>600</v>
          </cell>
          <cell r="L492">
            <v>0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>
            <v>0</v>
          </cell>
          <cell r="K497">
            <v>130</v>
          </cell>
          <cell r="L497">
            <v>0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7905.14</v>
          </cell>
          <cell r="K502">
            <v>1000</v>
          </cell>
          <cell r="L502">
            <v>7.9051400000000003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>
            <v>23155.3</v>
          </cell>
          <cell r="K503">
            <v>1000</v>
          </cell>
          <cell r="L503">
            <v>23.1553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2645</v>
          </cell>
          <cell r="K504">
            <v>43</v>
          </cell>
          <cell r="L504">
            <v>61.511627906976742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15265</v>
          </cell>
          <cell r="K507">
            <v>215</v>
          </cell>
          <cell r="L507">
            <v>71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>
            <v>0</v>
          </cell>
          <cell r="K508">
            <v>215</v>
          </cell>
          <cell r="L508">
            <v>0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735</v>
          </cell>
          <cell r="K509"/>
          <cell r="L509" t="e">
            <v>#DIV/0!</v>
          </cell>
          <cell r="M509"/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>
            <v>0</v>
          </cell>
          <cell r="K510">
            <v>200</v>
          </cell>
          <cell r="L510">
            <v>0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>
            <v>0</v>
          </cell>
          <cell r="K511">
            <v>2270</v>
          </cell>
          <cell r="L511">
            <v>0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>
            <v>0</v>
          </cell>
          <cell r="K512">
            <v>996</v>
          </cell>
          <cell r="L512">
            <v>0</v>
          </cell>
          <cell r="M512"/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>
            <v>0</v>
          </cell>
          <cell r="K513">
            <v>312</v>
          </cell>
          <cell r="L513">
            <v>0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>
            <v>0</v>
          </cell>
          <cell r="K514">
            <v>650</v>
          </cell>
          <cell r="L514">
            <v>0</v>
          </cell>
          <cell r="M514"/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>
            <v>0</v>
          </cell>
          <cell r="K515">
            <v>1500</v>
          </cell>
          <cell r="L515">
            <v>0</v>
          </cell>
          <cell r="M515"/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>
            <v>0</v>
          </cell>
          <cell r="K516"/>
          <cell r="L516" t="e">
            <v>#DIV/0!</v>
          </cell>
          <cell r="M516"/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>
            <v>0</v>
          </cell>
          <cell r="K517">
            <v>330</v>
          </cell>
          <cell r="L517">
            <v>0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>
            <v>0</v>
          </cell>
          <cell r="K518">
            <v>25</v>
          </cell>
          <cell r="L518">
            <v>0</v>
          </cell>
          <cell r="M518"/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550</v>
          </cell>
          <cell r="K520">
            <v>100</v>
          </cell>
          <cell r="L520">
            <v>5.5</v>
          </cell>
          <cell r="M520"/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/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>
            <v>0</v>
          </cell>
          <cell r="K530">
            <v>200</v>
          </cell>
          <cell r="L530">
            <v>0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535</v>
          </cell>
          <cell r="K531">
            <v>100</v>
          </cell>
          <cell r="L531">
            <v>5.35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1075</v>
          </cell>
          <cell r="K532">
            <v>500</v>
          </cell>
          <cell r="L532">
            <v>2.15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>
            <v>0</v>
          </cell>
          <cell r="K533">
            <v>200</v>
          </cell>
          <cell r="L533">
            <v>0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/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462.99</v>
          </cell>
          <cell r="K535">
            <v>250</v>
          </cell>
          <cell r="L535">
            <v>1.8519600000000001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920</v>
          </cell>
          <cell r="K536">
            <v>100</v>
          </cell>
          <cell r="L536">
            <v>9.1999999999999993</v>
          </cell>
          <cell r="M536"/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/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2792</v>
          </cell>
          <cell r="K539">
            <v>1000</v>
          </cell>
          <cell r="L539">
            <v>2.7919999999999998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/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7467</v>
          </cell>
          <cell r="K542">
            <v>3785</v>
          </cell>
          <cell r="L542">
            <v>1.9727873183619551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>
            <v>1365</v>
          </cell>
          <cell r="K544">
            <v>1000</v>
          </cell>
          <cell r="L544">
            <v>1.365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>
            <v>0</v>
          </cell>
          <cell r="K546">
            <v>0</v>
          </cell>
          <cell r="L546" t="e">
            <v>#DIV/0!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8365</v>
          </cell>
          <cell r="K547">
            <v>120</v>
          </cell>
          <cell r="L547">
            <v>69.708333333333329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2130</v>
          </cell>
          <cell r="K548">
            <v>10</v>
          </cell>
          <cell r="L548">
            <v>213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2560</v>
          </cell>
          <cell r="K549">
            <v>20</v>
          </cell>
          <cell r="L549">
            <v>128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1015</v>
          </cell>
          <cell r="K550">
            <v>5</v>
          </cell>
          <cell r="L550">
            <v>203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631.25</v>
          </cell>
          <cell r="K551">
            <v>5</v>
          </cell>
          <cell r="L551">
            <v>126.25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29949.255000000001</v>
          </cell>
          <cell r="K552">
            <v>25000</v>
          </cell>
          <cell r="L552">
            <v>1.1979702000000001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30928.272000000001</v>
          </cell>
          <cell r="K553">
            <v>20000</v>
          </cell>
          <cell r="L553">
            <v>1.5464135999999999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825</v>
          </cell>
          <cell r="K554">
            <v>5</v>
          </cell>
          <cell r="L554">
            <v>165</v>
          </cell>
          <cell r="M554"/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>
            <v>0</v>
          </cell>
          <cell r="K555">
            <v>20</v>
          </cell>
          <cell r="L555">
            <v>0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2350</v>
          </cell>
          <cell r="K556">
            <v>10</v>
          </cell>
          <cell r="L556">
            <v>235</v>
          </cell>
          <cell r="M556"/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18833</v>
          </cell>
          <cell r="K557">
            <v>25000</v>
          </cell>
          <cell r="L557">
            <v>0.75331999999999999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>
            <v>0</v>
          </cell>
          <cell r="K558"/>
          <cell r="L558" t="e">
            <v>#DIV/0!</v>
          </cell>
          <cell r="M558"/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>
            <v>0</v>
          </cell>
          <cell r="K559">
            <v>25000</v>
          </cell>
          <cell r="L559">
            <v>0</v>
          </cell>
          <cell r="M559"/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32232</v>
          </cell>
          <cell r="K560">
            <v>22600</v>
          </cell>
          <cell r="L560">
            <v>1.4261946902654867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>
            <v>0</v>
          </cell>
          <cell r="K561">
            <v>10</v>
          </cell>
          <cell r="L561">
            <v>0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>
            <v>0</v>
          </cell>
          <cell r="K562">
            <v>2267</v>
          </cell>
          <cell r="L562">
            <v>0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2700.0531999999998</v>
          </cell>
          <cell r="K563">
            <v>30</v>
          </cell>
          <cell r="L563">
            <v>90.001773333333333</v>
          </cell>
          <cell r="M563"/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11500</v>
          </cell>
          <cell r="K564">
            <v>5000</v>
          </cell>
          <cell r="L564">
            <v>2.2999999999999998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/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23978</v>
          </cell>
          <cell r="K566">
            <v>8340</v>
          </cell>
          <cell r="L566">
            <v>2.8750599520383693</v>
          </cell>
          <cell r="M566"/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>
            <v>1056</v>
          </cell>
          <cell r="K567">
            <v>500</v>
          </cell>
          <cell r="L567">
            <v>2.1120000000000001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1887.204</v>
          </cell>
          <cell r="K568">
            <v>160</v>
          </cell>
          <cell r="L568">
            <v>11.795024999999999</v>
          </cell>
          <cell r="M568"/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10111</v>
          </cell>
          <cell r="K569">
            <v>3000</v>
          </cell>
          <cell r="L569">
            <v>3.3703333333333334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11477</v>
          </cell>
          <cell r="K570">
            <v>4000</v>
          </cell>
          <cell r="L570">
            <v>2.8692500000000001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11830</v>
          </cell>
          <cell r="K571">
            <v>4000</v>
          </cell>
          <cell r="L571">
            <v>2.9575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9015</v>
          </cell>
          <cell r="K572">
            <v>4000</v>
          </cell>
          <cell r="L572">
            <v>2.2537500000000001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8077</v>
          </cell>
          <cell r="K573">
            <v>4500</v>
          </cell>
          <cell r="L573">
            <v>1.794888888888889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50496</v>
          </cell>
          <cell r="K575">
            <v>18960</v>
          </cell>
          <cell r="L575">
            <v>2.6632911392405063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7794</v>
          </cell>
          <cell r="K577">
            <v>2000</v>
          </cell>
          <cell r="L577">
            <v>3.8969999999999998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18725</v>
          </cell>
          <cell r="K578">
            <v>11000</v>
          </cell>
          <cell r="L578">
            <v>1.7022727272727274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2271</v>
          </cell>
          <cell r="K579">
            <v>3785</v>
          </cell>
          <cell r="L579">
            <v>0.6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0</v>
          </cell>
          <cell r="K582">
            <v>3030</v>
          </cell>
          <cell r="L582">
            <v>0</v>
          </cell>
          <cell r="M582"/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>
            <v>0</v>
          </cell>
          <cell r="K583">
            <v>250</v>
          </cell>
          <cell r="L583">
            <v>0</v>
          </cell>
          <cell r="M583"/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>
            <v>0</v>
          </cell>
          <cell r="K584">
            <v>25000</v>
          </cell>
          <cell r="L584">
            <v>0</v>
          </cell>
          <cell r="M584"/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>
            <v>0</v>
          </cell>
          <cell r="K585">
            <v>500</v>
          </cell>
          <cell r="L585">
            <v>0</v>
          </cell>
          <cell r="M585"/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8425</v>
          </cell>
          <cell r="K586">
            <v>5000</v>
          </cell>
          <cell r="L586">
            <v>1.6850000000000001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0</v>
          </cell>
          <cell r="K587">
            <v>1000</v>
          </cell>
          <cell r="L587">
            <v>0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>
            <v>0</v>
          </cell>
          <cell r="K589">
            <v>13600</v>
          </cell>
          <cell r="L589">
            <v>0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>
            <v>0</v>
          </cell>
          <cell r="K590">
            <v>454</v>
          </cell>
          <cell r="L590">
            <v>0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2113.34</v>
          </cell>
          <cell r="K592">
            <v>234</v>
          </cell>
          <cell r="L592">
            <v>9.0313675213675229</v>
          </cell>
          <cell r="M592" t="str">
            <v>Gramos</v>
          </cell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>
            <v>0</v>
          </cell>
          <cell r="K593"/>
          <cell r="L593" t="e">
            <v>#DIV/0!</v>
          </cell>
          <cell r="M593"/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1398.23</v>
          </cell>
          <cell r="K594">
            <v>160</v>
          </cell>
          <cell r="L594">
            <v>8.7389375000000005</v>
          </cell>
          <cell r="M594"/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>
            <v>0</v>
          </cell>
          <cell r="K595">
            <v>250</v>
          </cell>
          <cell r="L595">
            <v>0</v>
          </cell>
          <cell r="M595"/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656.25</v>
          </cell>
          <cell r="K596"/>
          <cell r="L596" t="e">
            <v>#DIV/0!</v>
          </cell>
          <cell r="M596"/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0</v>
          </cell>
          <cell r="K597">
            <v>1</v>
          </cell>
          <cell r="L597">
            <v>0</v>
          </cell>
          <cell r="M597"/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>
            <v>0</v>
          </cell>
          <cell r="K598">
            <v>20</v>
          </cell>
          <cell r="L598">
            <v>0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>
            <v>0</v>
          </cell>
          <cell r="K599"/>
          <cell r="L599" t="e">
            <v>#DIV/0!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1938</v>
          </cell>
          <cell r="K600"/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3850</v>
          </cell>
          <cell r="K601"/>
          <cell r="L601" t="e">
            <v>#DIV/0!</v>
          </cell>
          <cell r="M601"/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>
            <v>2160</v>
          </cell>
          <cell r="K602">
            <v>1000</v>
          </cell>
          <cell r="L602">
            <v>2.16</v>
          </cell>
          <cell r="M602"/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>
            <v>0</v>
          </cell>
          <cell r="K603"/>
          <cell r="L603" t="e">
            <v>#DIV/0!</v>
          </cell>
          <cell r="M603"/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>
            <v>23924</v>
          </cell>
          <cell r="K604"/>
          <cell r="L604" t="e">
            <v>#DIV/0!</v>
          </cell>
          <cell r="M604"/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>
            <v>0</v>
          </cell>
          <cell r="K605"/>
          <cell r="L605" t="e">
            <v>#DIV/0!</v>
          </cell>
          <cell r="M605"/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0</v>
          </cell>
          <cell r="K606"/>
          <cell r="L606" t="e">
            <v>#DIV/0!</v>
          </cell>
          <cell r="M606"/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6868</v>
          </cell>
          <cell r="K607"/>
          <cell r="L607" t="e">
            <v>#DIV/0!</v>
          </cell>
          <cell r="M607"/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3038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>
            <v>0</v>
          </cell>
          <cell r="K609">
            <v>24</v>
          </cell>
          <cell r="L609">
            <v>0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>
            <v>0</v>
          </cell>
          <cell r="K610">
            <v>24</v>
          </cell>
          <cell r="L610">
            <v>0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>
            <v>0</v>
          </cell>
          <cell r="K611">
            <v>24</v>
          </cell>
          <cell r="L611">
            <v>0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>
            <v>0</v>
          </cell>
          <cell r="K612">
            <v>24</v>
          </cell>
          <cell r="L612">
            <v>0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>
            <v>0</v>
          </cell>
          <cell r="K613">
            <v>100</v>
          </cell>
          <cell r="L613">
            <v>0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>
            <v>0</v>
          </cell>
          <cell r="K614">
            <v>225</v>
          </cell>
          <cell r="L614">
            <v>0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>
            <v>0</v>
          </cell>
          <cell r="K615">
            <v>500</v>
          </cell>
          <cell r="L615">
            <v>0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>
            <v>0</v>
          </cell>
          <cell r="K616">
            <v>500</v>
          </cell>
          <cell r="L616">
            <v>0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0</v>
          </cell>
          <cell r="K617">
            <v>1</v>
          </cell>
          <cell r="L617">
            <v>0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/>
          <cell r="E618" t="str">
            <v>EMPAQUES PLANTA</v>
          </cell>
          <cell r="F618" t="str">
            <v>1 CAJA</v>
          </cell>
          <cell r="G618"/>
          <cell r="H618" t="str">
            <v>15/06/2020</v>
          </cell>
          <cell r="I618">
            <v>15750</v>
          </cell>
          <cell r="J618">
            <v>0</v>
          </cell>
          <cell r="K618">
            <v>1</v>
          </cell>
          <cell r="L618">
            <v>0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>
            <v>0</v>
          </cell>
          <cell r="K619">
            <v>600</v>
          </cell>
          <cell r="L619">
            <v>0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>
            <v>0</v>
          </cell>
          <cell r="K620">
            <v>600</v>
          </cell>
          <cell r="L620">
            <v>0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239</v>
          </cell>
          <cell r="K621">
            <v>1</v>
          </cell>
          <cell r="L621">
            <v>239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60000</v>
          </cell>
          <cell r="K622">
            <v>625</v>
          </cell>
          <cell r="L622">
            <v>96</v>
          </cell>
          <cell r="M622"/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45600</v>
          </cell>
          <cell r="K623">
            <v>400</v>
          </cell>
          <cell r="L623">
            <v>114</v>
          </cell>
          <cell r="M623"/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>
            <v>0</v>
          </cell>
          <cell r="K624">
            <v>280</v>
          </cell>
          <cell r="L624">
            <v>0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80750</v>
          </cell>
          <cell r="K625">
            <v>950</v>
          </cell>
          <cell r="L625">
            <v>85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/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11555</v>
          </cell>
          <cell r="K629">
            <v>1000</v>
          </cell>
          <cell r="L629">
            <v>11.555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0</v>
          </cell>
          <cell r="K630">
            <v>1000</v>
          </cell>
          <cell r="L630">
            <v>0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0</v>
          </cell>
          <cell r="K631">
            <v>1000</v>
          </cell>
          <cell r="L631">
            <v>0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0</v>
          </cell>
          <cell r="K632">
            <v>200</v>
          </cell>
          <cell r="L632">
            <v>0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580.70000000000005</v>
          </cell>
          <cell r="K633">
            <v>250</v>
          </cell>
          <cell r="L633">
            <v>2.3228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>
            <v>0</v>
          </cell>
          <cell r="K634">
            <v>200</v>
          </cell>
          <cell r="L634">
            <v>0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>
            <v>0</v>
          </cell>
          <cell r="K635">
            <v>500</v>
          </cell>
          <cell r="L635">
            <v>0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0</v>
          </cell>
          <cell r="K636"/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>
            <v>0</v>
          </cell>
          <cell r="K637">
            <v>250</v>
          </cell>
          <cell r="L637">
            <v>0</v>
          </cell>
          <cell r="M637"/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>
            <v>0</v>
          </cell>
          <cell r="K638">
            <v>180</v>
          </cell>
          <cell r="L638">
            <v>0</v>
          </cell>
          <cell r="M638"/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>
            <v>0</v>
          </cell>
          <cell r="K639">
            <v>500</v>
          </cell>
          <cell r="L639">
            <v>0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>
            <v>0</v>
          </cell>
          <cell r="K640">
            <v>250</v>
          </cell>
          <cell r="L640">
            <v>0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0</v>
          </cell>
          <cell r="K641">
            <v>1</v>
          </cell>
          <cell r="L641">
            <v>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>
            <v>0</v>
          </cell>
          <cell r="K642">
            <v>1000</v>
          </cell>
          <cell r="L642">
            <v>0</v>
          </cell>
          <cell r="M642"/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60587</v>
          </cell>
          <cell r="K643">
            <v>35</v>
          </cell>
          <cell r="L643">
            <v>1731.0571428571429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41353</v>
          </cell>
          <cell r="K644">
            <v>50</v>
          </cell>
          <cell r="L644">
            <v>827.06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29654</v>
          </cell>
          <cell r="K645">
            <v>100</v>
          </cell>
          <cell r="L645">
            <v>296.54000000000002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32004</v>
          </cell>
          <cell r="K646">
            <v>200</v>
          </cell>
          <cell r="L646">
            <v>160.02000000000001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/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52551</v>
          </cell>
          <cell r="K648">
            <v>100</v>
          </cell>
          <cell r="L648">
            <v>525.51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22814.325000000001</v>
          </cell>
          <cell r="K649">
            <v>125</v>
          </cell>
          <cell r="L649">
            <v>182.5146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23524.2</v>
          </cell>
          <cell r="K650">
            <v>125</v>
          </cell>
          <cell r="L650">
            <v>188.1936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18589.45</v>
          </cell>
          <cell r="K651">
            <v>125</v>
          </cell>
          <cell r="L651">
            <v>148.71559999999999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9125.73</v>
          </cell>
          <cell r="K652">
            <v>50</v>
          </cell>
          <cell r="L652">
            <v>182.5146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10040.1</v>
          </cell>
          <cell r="K653">
            <v>50</v>
          </cell>
          <cell r="L653">
            <v>200.80200000000002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4169.8999999999996</v>
          </cell>
          <cell r="K654">
            <v>50</v>
          </cell>
          <cell r="L654">
            <v>83.397999999999996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8065.44</v>
          </cell>
          <cell r="K655">
            <v>50</v>
          </cell>
          <cell r="L655">
            <v>161.30879999999999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>
            <v>0</v>
          </cell>
          <cell r="K656">
            <v>125</v>
          </cell>
          <cell r="L656">
            <v>0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0</v>
          </cell>
          <cell r="K657">
            <v>50</v>
          </cell>
          <cell r="L657">
            <v>0</v>
          </cell>
          <cell r="M657"/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10633.28</v>
          </cell>
          <cell r="K658">
            <v>50</v>
          </cell>
          <cell r="L658">
            <v>212.66560000000001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6602.4049999999997</v>
          </cell>
          <cell r="K659">
            <v>50</v>
          </cell>
          <cell r="L659">
            <v>132.04810000000001</v>
          </cell>
          <cell r="M659"/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6083.82</v>
          </cell>
          <cell r="K660">
            <v>50</v>
          </cell>
          <cell r="L660">
            <v>121.6764</v>
          </cell>
          <cell r="M660"/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3474.95</v>
          </cell>
          <cell r="K661">
            <v>50</v>
          </cell>
          <cell r="L661">
            <v>69.498999999999995</v>
          </cell>
          <cell r="M661"/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>
            <v>0</v>
          </cell>
          <cell r="K662">
            <v>50</v>
          </cell>
          <cell r="L662">
            <v>0</v>
          </cell>
          <cell r="M662"/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>
            <v>0</v>
          </cell>
          <cell r="K663">
            <v>25</v>
          </cell>
          <cell r="L663">
            <v>0</v>
          </cell>
          <cell r="M663"/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/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1551.45</v>
          </cell>
          <cell r="K665">
            <v>50</v>
          </cell>
          <cell r="L665">
            <v>31.029</v>
          </cell>
          <cell r="M665"/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2018.55</v>
          </cell>
          <cell r="K666">
            <v>25</v>
          </cell>
          <cell r="L666">
            <v>80.742000000000004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1446.55</v>
          </cell>
          <cell r="K667">
            <v>50</v>
          </cell>
          <cell r="L667">
            <v>28.930999999999997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>
            <v>0</v>
          </cell>
          <cell r="K668">
            <v>100</v>
          </cell>
          <cell r="L668">
            <v>0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>
            <v>0</v>
          </cell>
          <cell r="K669"/>
          <cell r="L669" t="e">
            <v>#DIV/0!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>
            <v>0</v>
          </cell>
          <cell r="K670"/>
          <cell r="L670" t="e">
            <v>#DIV/0!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>
            <v>0</v>
          </cell>
          <cell r="K671">
            <v>100</v>
          </cell>
          <cell r="L671">
            <v>0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>
            <v>0</v>
          </cell>
          <cell r="K672"/>
          <cell r="L672" t="e">
            <v>#DIV/0!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>
            <v>0</v>
          </cell>
          <cell r="K674"/>
          <cell r="L674" t="e">
            <v>#DIV/0!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>
            <v>0</v>
          </cell>
          <cell r="K675">
            <v>45000</v>
          </cell>
          <cell r="L675">
            <v>0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>
            <v>0</v>
          </cell>
          <cell r="K676"/>
          <cell r="L676" t="e">
            <v>#DIV/0!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9801.73</v>
          </cell>
          <cell r="K678">
            <v>50</v>
          </cell>
          <cell r="L678">
            <v>196.03459999999998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13721.47</v>
          </cell>
          <cell r="K679">
            <v>50</v>
          </cell>
          <cell r="L679">
            <v>274.42939999999999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>
            <v>0</v>
          </cell>
          <cell r="K684">
            <v>1</v>
          </cell>
          <cell r="L684">
            <v>0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0</v>
          </cell>
          <cell r="K685">
            <v>1000</v>
          </cell>
          <cell r="L685">
            <v>0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0</v>
          </cell>
          <cell r="K686">
            <v>1</v>
          </cell>
          <cell r="L686">
            <v>0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12000</v>
          </cell>
          <cell r="K688">
            <v>1000</v>
          </cell>
          <cell r="L688">
            <v>12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15000</v>
          </cell>
          <cell r="K689">
            <v>1000</v>
          </cell>
          <cell r="L689">
            <v>15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>
            <v>0</v>
          </cell>
          <cell r="K690">
            <v>1</v>
          </cell>
          <cell r="L690">
            <v>0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0</v>
          </cell>
          <cell r="K691">
            <v>1</v>
          </cell>
          <cell r="L691">
            <v>0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>
            <v>0</v>
          </cell>
          <cell r="K692">
            <v>1</v>
          </cell>
          <cell r="L692">
            <v>0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>
            <v>0</v>
          </cell>
          <cell r="K693">
            <v>1</v>
          </cell>
          <cell r="L693">
            <v>0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>
            <v>0</v>
          </cell>
          <cell r="K694">
            <v>1</v>
          </cell>
          <cell r="L694">
            <v>0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>
            <v>0</v>
          </cell>
          <cell r="K695">
            <v>1</v>
          </cell>
          <cell r="L695">
            <v>0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>
            <v>0</v>
          </cell>
          <cell r="K696">
            <v>500</v>
          </cell>
          <cell r="L696">
            <v>0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>
            <v>0</v>
          </cell>
          <cell r="K697"/>
          <cell r="L697" t="e">
            <v>#DIV/0!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>
            <v>0</v>
          </cell>
          <cell r="K698">
            <v>500</v>
          </cell>
          <cell r="L698">
            <v>0</v>
          </cell>
          <cell r="M698"/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>
            <v>0</v>
          </cell>
          <cell r="K699">
            <v>500</v>
          </cell>
          <cell r="L699">
            <v>0</v>
          </cell>
          <cell r="M699"/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/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7467</v>
          </cell>
          <cell r="K702">
            <v>4000</v>
          </cell>
          <cell r="L702">
            <v>1.8667499999999999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>
            <v>0</v>
          </cell>
          <cell r="K703">
            <v>2268</v>
          </cell>
          <cell r="L703">
            <v>0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>
            <v>0</v>
          </cell>
          <cell r="K704">
            <v>2500</v>
          </cell>
          <cell r="L704">
            <v>0</v>
          </cell>
          <cell r="M704"/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>
            <v>3753</v>
          </cell>
          <cell r="K705">
            <v>946</v>
          </cell>
          <cell r="L705">
            <v>3.9672304439746302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1644.98</v>
          </cell>
          <cell r="K707">
            <v>930</v>
          </cell>
          <cell r="L707">
            <v>1.7687956989247311</v>
          </cell>
          <cell r="M707"/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11177</v>
          </cell>
          <cell r="K708"/>
          <cell r="L708" t="e">
            <v>#DIV/0!</v>
          </cell>
          <cell r="M708"/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>
            <v>0</v>
          </cell>
          <cell r="K709"/>
          <cell r="L709" t="e">
            <v>#DIV/0!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0</v>
          </cell>
          <cell r="K710">
            <v>510</v>
          </cell>
          <cell r="L710">
            <v>0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>
            <v>0</v>
          </cell>
          <cell r="K711"/>
          <cell r="L711" t="e">
            <v>#DIV/0!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0</v>
          </cell>
          <cell r="K712">
            <v>500</v>
          </cell>
          <cell r="L712">
            <v>0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2843.58</v>
          </cell>
          <cell r="K713">
            <v>300</v>
          </cell>
          <cell r="L713">
            <v>9.4786000000000001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>
            <v>0</v>
          </cell>
          <cell r="K714"/>
          <cell r="L714" t="e">
            <v>#DIV/0!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6711.3</v>
          </cell>
          <cell r="K715">
            <v>750</v>
          </cell>
          <cell r="L715">
            <v>8.9483999999999995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>
            <v>0</v>
          </cell>
          <cell r="K716"/>
          <cell r="L716" t="e">
            <v>#DIV/0!</v>
          </cell>
          <cell r="M716"/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>
            <v>0</v>
          </cell>
          <cell r="K717"/>
          <cell r="L717" t="e">
            <v>#DIV/0!</v>
          </cell>
          <cell r="M717"/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11670.81</v>
          </cell>
          <cell r="K718">
            <v>1000</v>
          </cell>
          <cell r="L718">
            <v>11.670809999999999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3295</v>
          </cell>
          <cell r="K719">
            <v>1000</v>
          </cell>
          <cell r="L719">
            <v>3.2949999999999999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0</v>
          </cell>
          <cell r="K720">
            <v>1000</v>
          </cell>
          <cell r="L720">
            <v>0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>
            <v>0</v>
          </cell>
          <cell r="K721">
            <v>1000</v>
          </cell>
          <cell r="L721">
            <v>0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>
            <v>0</v>
          </cell>
          <cell r="K722">
            <v>1000</v>
          </cell>
          <cell r="L722">
            <v>0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3263</v>
          </cell>
          <cell r="K723">
            <v>454</v>
          </cell>
          <cell r="L723">
            <v>7.1872246696035242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2201</v>
          </cell>
          <cell r="K724">
            <v>156</v>
          </cell>
          <cell r="L724">
            <v>14.108974358974359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1925</v>
          </cell>
          <cell r="K725">
            <v>57</v>
          </cell>
          <cell r="L725">
            <v>33.771929824561404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0</v>
          </cell>
          <cell r="K726">
            <v>510</v>
          </cell>
          <cell r="L726">
            <v>0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5143</v>
          </cell>
          <cell r="K727">
            <v>340</v>
          </cell>
          <cell r="L727">
            <v>15.126470588235295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7324</v>
          </cell>
          <cell r="K729">
            <v>2000</v>
          </cell>
          <cell r="L729">
            <v>3.6619999999999999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>
            <v>2412</v>
          </cell>
          <cell r="K730">
            <v>354</v>
          </cell>
          <cell r="L730">
            <v>6.8135593220338979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>
            <v>0</v>
          </cell>
          <cell r="K731">
            <v>453</v>
          </cell>
          <cell r="L731">
            <v>0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>
            <v>0</v>
          </cell>
          <cell r="K732">
            <v>1800</v>
          </cell>
          <cell r="L732">
            <v>0</v>
          </cell>
          <cell r="M732"/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>
            <v>0</v>
          </cell>
          <cell r="K733">
            <v>1000</v>
          </cell>
          <cell r="L733">
            <v>0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>
            <v>0</v>
          </cell>
          <cell r="K734">
            <v>1000</v>
          </cell>
          <cell r="L734">
            <v>0</v>
          </cell>
          <cell r="M734"/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80000</v>
          </cell>
          <cell r="K735">
            <v>23000</v>
          </cell>
          <cell r="L735">
            <v>3.4782608695652173</v>
          </cell>
          <cell r="M735"/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>
            <v>0</v>
          </cell>
          <cell r="K736">
            <v>25000</v>
          </cell>
          <cell r="L736">
            <v>0</v>
          </cell>
          <cell r="M736"/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>
            <v>0</v>
          </cell>
          <cell r="K737">
            <v>150</v>
          </cell>
          <cell r="L737">
            <v>0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>
            <v>0</v>
          </cell>
          <cell r="K738">
            <v>1000</v>
          </cell>
          <cell r="L738">
            <v>0</v>
          </cell>
          <cell r="M738"/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>
            <v>0</v>
          </cell>
          <cell r="K739">
            <v>800</v>
          </cell>
          <cell r="L739">
            <v>0</v>
          </cell>
          <cell r="M739"/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>
            <v>0</v>
          </cell>
          <cell r="K740">
            <v>1000</v>
          </cell>
          <cell r="L740">
            <v>0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>
            <v>0</v>
          </cell>
          <cell r="K741">
            <v>1000</v>
          </cell>
          <cell r="L741">
            <v>0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>
            <v>0</v>
          </cell>
          <cell r="K742">
            <v>3000</v>
          </cell>
          <cell r="L742">
            <v>0</v>
          </cell>
          <cell r="M742"/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>
            <v>0</v>
          </cell>
          <cell r="K743">
            <v>3000</v>
          </cell>
          <cell r="L743">
            <v>0</v>
          </cell>
          <cell r="M743"/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4269</v>
          </cell>
          <cell r="K744">
            <v>1800</v>
          </cell>
          <cell r="L744">
            <v>2.3716666666666666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0</v>
          </cell>
          <cell r="K745">
            <v>1656</v>
          </cell>
          <cell r="L745">
            <v>0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>
            <v>0</v>
          </cell>
          <cell r="K746">
            <v>1130</v>
          </cell>
          <cell r="L746">
            <v>0</v>
          </cell>
          <cell r="M746"/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16260.3</v>
          </cell>
          <cell r="K748">
            <v>3000</v>
          </cell>
          <cell r="L748">
            <v>5.4200999999999997</v>
          </cell>
          <cell r="M748"/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1060.5</v>
          </cell>
          <cell r="K749">
            <v>6</v>
          </cell>
          <cell r="L749">
            <v>176.75</v>
          </cell>
          <cell r="M749"/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>
            <v>0</v>
          </cell>
          <cell r="K750">
            <v>10</v>
          </cell>
          <cell r="L750">
            <v>0</v>
          </cell>
          <cell r="M750"/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9062</v>
          </cell>
          <cell r="K751">
            <v>12000</v>
          </cell>
          <cell r="L751">
            <v>0.75516666666666665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11309</v>
          </cell>
          <cell r="K752">
            <v>4000</v>
          </cell>
          <cell r="L752">
            <v>2.8272499999999998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80</v>
          </cell>
          <cell r="K753">
            <v>25000</v>
          </cell>
          <cell r="L753">
            <v>3.2000000000000002E-3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4648</v>
          </cell>
          <cell r="K754">
            <v>3780</v>
          </cell>
          <cell r="L754">
            <v>1.2296296296296296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9658.64</v>
          </cell>
          <cell r="K755">
            <v>1000</v>
          </cell>
          <cell r="L755">
            <v>9.6586400000000001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0</v>
          </cell>
          <cell r="K756">
            <v>1000</v>
          </cell>
          <cell r="L756">
            <v>0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>
            <v>0</v>
          </cell>
          <cell r="K757"/>
          <cell r="L757" t="e">
            <v>#DIV/0!</v>
          </cell>
          <cell r="M757"/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>
            <v>0</v>
          </cell>
          <cell r="K758">
            <v>1000</v>
          </cell>
          <cell r="L758">
            <v>0</v>
          </cell>
          <cell r="M758"/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5878</v>
          </cell>
          <cell r="K759">
            <v>566</v>
          </cell>
          <cell r="L759">
            <v>10.385159010600706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>
            <v>0</v>
          </cell>
          <cell r="K760">
            <v>150</v>
          </cell>
          <cell r="L760">
            <v>0</v>
          </cell>
          <cell r="M760"/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>
            <v>0</v>
          </cell>
          <cell r="K761"/>
          <cell r="L761" t="e">
            <v>#DIV/0!</v>
          </cell>
          <cell r="M761"/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>
            <v>0</v>
          </cell>
          <cell r="K762"/>
          <cell r="L762" t="e">
            <v>#DIV/0!</v>
          </cell>
          <cell r="M762"/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>
            <v>0</v>
          </cell>
          <cell r="K763"/>
          <cell r="L763" t="e">
            <v>#DIV/0!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>
            <v>0</v>
          </cell>
          <cell r="K764">
            <v>126</v>
          </cell>
          <cell r="L764">
            <v>0</v>
          </cell>
          <cell r="M764"/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>
            <v>0</v>
          </cell>
          <cell r="K765"/>
          <cell r="L765" t="e">
            <v>#DIV/0!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>
            <v>0</v>
          </cell>
          <cell r="K766"/>
          <cell r="L766" t="e">
            <v>#DIV/0!</v>
          </cell>
          <cell r="M766"/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>
            <v>0</v>
          </cell>
          <cell r="K767"/>
          <cell r="L767" t="e">
            <v>#DIV/0!</v>
          </cell>
          <cell r="M767"/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>
            <v>0</v>
          </cell>
          <cell r="K768"/>
          <cell r="L768" t="e">
            <v>#DIV/0!</v>
          </cell>
          <cell r="M768"/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>
            <v>0</v>
          </cell>
          <cell r="K769"/>
          <cell r="L769" t="e">
            <v>#DIV/0!</v>
          </cell>
          <cell r="M769"/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2000</v>
          </cell>
          <cell r="K770">
            <v>430</v>
          </cell>
          <cell r="L770">
            <v>4.6511627906976747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0</v>
          </cell>
          <cell r="K772">
            <v>250</v>
          </cell>
          <cell r="L772">
            <v>0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0</v>
          </cell>
          <cell r="K773">
            <v>196</v>
          </cell>
          <cell r="L773">
            <v>0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0</v>
          </cell>
          <cell r="K774">
            <v>126</v>
          </cell>
          <cell r="L774">
            <v>0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0</v>
          </cell>
          <cell r="K775">
            <v>2500</v>
          </cell>
          <cell r="L775">
            <v>0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>
            <v>0</v>
          </cell>
          <cell r="K776">
            <v>1</v>
          </cell>
          <cell r="L776">
            <v>0</v>
          </cell>
          <cell r="M776" t="str">
            <v>Und</v>
          </cell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>
            <v>0</v>
          </cell>
          <cell r="K777">
            <v>1</v>
          </cell>
          <cell r="L777">
            <v>0</v>
          </cell>
          <cell r="M777"/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>
            <v>0</v>
          </cell>
          <cell r="K778">
            <v>1</v>
          </cell>
          <cell r="L778">
            <v>0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>
            <v>0</v>
          </cell>
          <cell r="K779"/>
          <cell r="L779" t="e">
            <v>#DIV/0!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6900</v>
          </cell>
          <cell r="K780">
            <v>15000</v>
          </cell>
          <cell r="L780">
            <v>0.46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16042</v>
          </cell>
          <cell r="K781">
            <v>20000</v>
          </cell>
          <cell r="L781">
            <v>0.80210000000000004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>
            <v>0</v>
          </cell>
          <cell r="K782">
            <v>50</v>
          </cell>
          <cell r="L782">
            <v>0</v>
          </cell>
          <cell r="M782"/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>
            <v>0</v>
          </cell>
          <cell r="K783">
            <v>1</v>
          </cell>
          <cell r="L783">
            <v>0</v>
          </cell>
          <cell r="M783"/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40623</v>
          </cell>
          <cell r="K784">
            <v>25000</v>
          </cell>
          <cell r="L784">
            <v>1.6249199999999999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/>
          <cell r="E785" t="str">
            <v>ASEO</v>
          </cell>
          <cell r="F785" t="str">
            <v>1 CAJA</v>
          </cell>
          <cell r="G785">
            <v>500</v>
          </cell>
          <cell r="H785"/>
          <cell r="I785">
            <v>4295</v>
          </cell>
          <cell r="J785">
            <v>2975</v>
          </cell>
          <cell r="K785">
            <v>100</v>
          </cell>
          <cell r="L785">
            <v>29.75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/>
          <cell r="E786" t="str">
            <v>MATERIAS PRIMAS PLANTA</v>
          </cell>
          <cell r="F786" t="str">
            <v>LITRO</v>
          </cell>
          <cell r="G786"/>
          <cell r="H786"/>
          <cell r="I786">
            <v>100</v>
          </cell>
          <cell r="J786">
            <v>0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/>
          <cell r="E787" t="str">
            <v>MANO OBRA</v>
          </cell>
          <cell r="F787" t="str">
            <v>Minuto</v>
          </cell>
          <cell r="G787"/>
          <cell r="H787"/>
          <cell r="I787">
            <v>56</v>
          </cell>
          <cell r="J787">
            <v>0</v>
          </cell>
          <cell r="K787">
            <v>1</v>
          </cell>
          <cell r="L787">
            <v>0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/>
          <cell r="E788" t="str">
            <v>EMPAQUES PLANTA</v>
          </cell>
          <cell r="F788" t="str">
            <v>UND</v>
          </cell>
          <cell r="G788"/>
          <cell r="H788"/>
          <cell r="I788">
            <v>8990</v>
          </cell>
          <cell r="J788">
            <v>0</v>
          </cell>
          <cell r="K788">
            <v>14000</v>
          </cell>
          <cell r="L788">
            <v>0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/>
          <cell r="E789" t="str">
            <v>MATERIAS PRIMAS PLANTA</v>
          </cell>
          <cell r="F789"/>
          <cell r="G789"/>
          <cell r="H789"/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/>
          <cell r="E790" t="str">
            <v>MATERIAS PRIMAS PLANTA</v>
          </cell>
          <cell r="F790" t="str">
            <v>UND</v>
          </cell>
          <cell r="G790"/>
          <cell r="H790"/>
          <cell r="I790">
            <v>5600</v>
          </cell>
          <cell r="J790">
            <v>0</v>
          </cell>
          <cell r="K790">
            <v>750</v>
          </cell>
          <cell r="L790">
            <v>0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/>
          <cell r="E791" t="str">
            <v>MATERIAS PRIMAS PLANTA</v>
          </cell>
          <cell r="F791" t="str">
            <v>UND</v>
          </cell>
          <cell r="G791">
            <v>500</v>
          </cell>
          <cell r="H791"/>
          <cell r="I791">
            <v>2323</v>
          </cell>
          <cell r="J791">
            <v>0</v>
          </cell>
          <cell r="K791">
            <v>361</v>
          </cell>
          <cell r="L791">
            <v>0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/>
          <cell r="E792" t="str">
            <v>MATERIAS PRIMAS PLANTA</v>
          </cell>
          <cell r="F792" t="str">
            <v>PAQUETE</v>
          </cell>
          <cell r="G792"/>
          <cell r="H792"/>
          <cell r="I792">
            <v>8555</v>
          </cell>
          <cell r="J792">
            <v>9252</v>
          </cell>
          <cell r="K792">
            <v>500</v>
          </cell>
          <cell r="L792">
            <v>18.504000000000001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/>
          <cell r="E793" t="str">
            <v>EMPAQUES PLANTA</v>
          </cell>
          <cell r="F793" t="str">
            <v>rollo</v>
          </cell>
          <cell r="G793"/>
          <cell r="H793"/>
          <cell r="I793">
            <v>205</v>
          </cell>
          <cell r="J793">
            <v>300</v>
          </cell>
          <cell r="K793">
            <v>900</v>
          </cell>
          <cell r="L793">
            <v>0.33333333333333331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/>
          <cell r="F794"/>
          <cell r="G794"/>
          <cell r="H794"/>
          <cell r="I794">
            <v>2728</v>
          </cell>
          <cell r="J794">
            <v>3717</v>
          </cell>
          <cell r="K794">
            <v>2890</v>
          </cell>
          <cell r="L794">
            <v>1.2861591695501731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/>
          <cell r="F795"/>
          <cell r="G795"/>
          <cell r="H795"/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/>
          <cell r="F796"/>
          <cell r="G796"/>
          <cell r="H796"/>
          <cell r="I796">
            <v>3135</v>
          </cell>
          <cell r="J796">
            <v>3656</v>
          </cell>
          <cell r="K796">
            <v>1000</v>
          </cell>
          <cell r="L796">
            <v>3.6560000000000001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/>
          <cell r="F797"/>
          <cell r="G797"/>
          <cell r="H797"/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/>
          <cell r="F798"/>
          <cell r="G798"/>
          <cell r="H798"/>
          <cell r="I798">
            <v>98.76</v>
          </cell>
          <cell r="J798">
            <v>115.04</v>
          </cell>
          <cell r="K798">
            <v>1</v>
          </cell>
          <cell r="L798">
            <v>115.04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/>
          <cell r="F799"/>
          <cell r="G799"/>
          <cell r="H799"/>
          <cell r="I799">
            <v>1400</v>
          </cell>
          <cell r="J799">
            <v>0</v>
          </cell>
          <cell r="K799">
            <v>196</v>
          </cell>
          <cell r="L799">
            <v>0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/>
          <cell r="F800"/>
          <cell r="G800"/>
          <cell r="H800"/>
          <cell r="I800">
            <v>5720</v>
          </cell>
          <cell r="J800">
            <v>0</v>
          </cell>
          <cell r="K800">
            <v>1000</v>
          </cell>
          <cell r="L800">
            <v>0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/>
          <cell r="F801"/>
          <cell r="G801"/>
          <cell r="H801"/>
          <cell r="I801">
            <v>1345</v>
          </cell>
          <cell r="J801">
            <v>0</v>
          </cell>
          <cell r="K801">
            <v>200</v>
          </cell>
          <cell r="L801">
            <v>0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/>
          <cell r="F802"/>
          <cell r="G802"/>
          <cell r="H802"/>
          <cell r="I802">
            <v>40000</v>
          </cell>
          <cell r="J802">
            <v>42566.37</v>
          </cell>
          <cell r="K802">
            <v>22680</v>
          </cell>
          <cell r="L802">
            <v>1.8768240740740743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/>
          <cell r="F803"/>
          <cell r="G803"/>
          <cell r="H803"/>
          <cell r="I803">
            <v>10974</v>
          </cell>
          <cell r="J803">
            <v>0</v>
          </cell>
          <cell r="K803">
            <v>1000</v>
          </cell>
          <cell r="L803">
            <v>0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/>
          <cell r="F804"/>
          <cell r="G804"/>
          <cell r="H804"/>
          <cell r="I804">
            <v>9750</v>
          </cell>
          <cell r="J804">
            <v>0</v>
          </cell>
          <cell r="K804">
            <v>50</v>
          </cell>
          <cell r="L804">
            <v>0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/>
          <cell r="F805"/>
          <cell r="G805"/>
          <cell r="H805"/>
          <cell r="I805">
            <v>3456</v>
          </cell>
          <cell r="J805">
            <v>0</v>
          </cell>
          <cell r="K805">
            <v>1000</v>
          </cell>
          <cell r="L805">
            <v>0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/>
          <cell r="F806"/>
          <cell r="G806"/>
          <cell r="H806"/>
          <cell r="I806">
            <v>951</v>
          </cell>
          <cell r="J806">
            <v>0</v>
          </cell>
          <cell r="K806">
            <v>500</v>
          </cell>
          <cell r="L806">
            <v>0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/>
          <cell r="F807"/>
          <cell r="G807"/>
          <cell r="H807"/>
          <cell r="I807">
            <v>1750</v>
          </cell>
          <cell r="J807">
            <v>0</v>
          </cell>
          <cell r="K807">
            <v>1000</v>
          </cell>
          <cell r="L807">
            <v>0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/>
          <cell r="F808"/>
          <cell r="G808"/>
          <cell r="H808"/>
          <cell r="I808">
            <v>83</v>
          </cell>
          <cell r="J808">
            <v>0</v>
          </cell>
          <cell r="K808">
            <v>1</v>
          </cell>
          <cell r="L808">
            <v>0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/>
          <cell r="F809"/>
          <cell r="G809"/>
          <cell r="H809"/>
          <cell r="I809"/>
          <cell r="J809">
            <v>0</v>
          </cell>
          <cell r="K809">
            <v>4500</v>
          </cell>
          <cell r="L809">
            <v>0</v>
          </cell>
          <cell r="M809"/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/>
          <cell r="F810"/>
          <cell r="G810"/>
          <cell r="H810"/>
          <cell r="I810"/>
          <cell r="J810">
            <v>0</v>
          </cell>
          <cell r="K810"/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/>
          <cell r="F811"/>
          <cell r="G811"/>
          <cell r="H811"/>
          <cell r="I811">
            <v>140</v>
          </cell>
          <cell r="J811">
            <v>0</v>
          </cell>
          <cell r="K811">
            <v>1</v>
          </cell>
          <cell r="L811">
            <v>0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/>
          <cell r="F812"/>
          <cell r="G812"/>
          <cell r="H812"/>
          <cell r="I812">
            <v>39</v>
          </cell>
          <cell r="J812">
            <v>0</v>
          </cell>
          <cell r="K812">
            <v>1</v>
          </cell>
          <cell r="L812">
            <v>0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/>
          <cell r="F813"/>
          <cell r="G813"/>
          <cell r="H813"/>
          <cell r="I813">
            <v>57</v>
          </cell>
          <cell r="J813">
            <v>0</v>
          </cell>
          <cell r="K813">
            <v>1</v>
          </cell>
          <cell r="L813">
            <v>0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/>
          <cell r="F814"/>
          <cell r="G814"/>
          <cell r="H814"/>
          <cell r="I814">
            <v>566</v>
          </cell>
          <cell r="J814">
            <v>0</v>
          </cell>
          <cell r="K814">
            <v>1</v>
          </cell>
          <cell r="L814">
            <v>0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/>
          <cell r="F815"/>
          <cell r="G815"/>
          <cell r="H815"/>
          <cell r="I815">
            <v>5450</v>
          </cell>
          <cell r="J815">
            <v>0</v>
          </cell>
          <cell r="K815">
            <v>2900</v>
          </cell>
          <cell r="L815">
            <v>0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/>
          <cell r="F816"/>
          <cell r="G816"/>
          <cell r="H816"/>
          <cell r="I816">
            <v>7736</v>
          </cell>
          <cell r="J816">
            <v>0</v>
          </cell>
          <cell r="K816">
            <v>2270</v>
          </cell>
          <cell r="L816">
            <v>0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/>
          <cell r="F817"/>
          <cell r="G817"/>
          <cell r="I817">
            <v>3000</v>
          </cell>
          <cell r="J817">
            <v>0</v>
          </cell>
          <cell r="K817">
            <v>3000</v>
          </cell>
          <cell r="L817">
            <v>0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/>
          <cell r="F818"/>
          <cell r="I818">
            <v>24912</v>
          </cell>
          <cell r="J818">
            <v>0</v>
          </cell>
          <cell r="K818">
            <v>500</v>
          </cell>
          <cell r="L818">
            <v>0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/>
          <cell r="F819"/>
          <cell r="I819">
            <v>18041</v>
          </cell>
          <cell r="J819">
            <v>0</v>
          </cell>
          <cell r="K819">
            <v>500</v>
          </cell>
          <cell r="L819">
            <v>0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/>
          <cell r="F820"/>
          <cell r="I820">
            <v>2590</v>
          </cell>
          <cell r="J820">
            <v>0</v>
          </cell>
          <cell r="K820">
            <v>960</v>
          </cell>
          <cell r="L820">
            <v>0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/>
          <cell r="F821"/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/>
          <cell r="F822"/>
          <cell r="I822">
            <v>42.5</v>
          </cell>
          <cell r="J822">
            <v>0</v>
          </cell>
          <cell r="K822">
            <v>1</v>
          </cell>
          <cell r="L822">
            <v>0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/>
          <cell r="I823">
            <v>9000</v>
          </cell>
          <cell r="J823">
            <v>9000</v>
          </cell>
          <cell r="K823">
            <v>1000</v>
          </cell>
          <cell r="L823">
            <v>9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1949.6412355246994</v>
          </cell>
          <cell r="H2">
            <v>1.9496412355246995</v>
          </cell>
          <cell r="I2">
            <v>17.530113019260611</v>
          </cell>
          <cell r="J2">
            <v>1.753011301926061E-2</v>
          </cell>
          <cell r="K2">
            <v>354.09084273791279</v>
          </cell>
          <cell r="L2">
            <v>0.3540908427379128</v>
          </cell>
          <cell r="M2">
            <v>2321.2621912818727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1939.3541520052427</v>
          </cell>
          <cell r="H3">
            <v>1.9393541520052426</v>
          </cell>
          <cell r="I3">
            <v>17.526098393150953</v>
          </cell>
          <cell r="J3">
            <v>1.7526098393150953E-2</v>
          </cell>
          <cell r="K3">
            <v>352.23844507171083</v>
          </cell>
          <cell r="L3">
            <v>0.35223844507171082</v>
          </cell>
          <cell r="M3">
            <v>2309.1186954701043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2169.3709645769231</v>
          </cell>
          <cell r="H4">
            <v>2.169370964576923</v>
          </cell>
          <cell r="I4">
            <v>18.192522657452383</v>
          </cell>
          <cell r="J4">
            <v>1.8192522657452383E-2</v>
          </cell>
          <cell r="K4">
            <v>393.76142770218752</v>
          </cell>
          <cell r="L4">
            <v>0.39376142770218753</v>
          </cell>
          <cell r="M4">
            <v>2581.3249149365629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2172.2939650000003</v>
          </cell>
          <cell r="H5">
            <v>2.1722939650000002</v>
          </cell>
          <cell r="I5">
            <v>1.2689600000000002E-2</v>
          </cell>
          <cell r="J5">
            <v>1.2689600000000003E-5</v>
          </cell>
          <cell r="K5">
            <v>391.01519782800005</v>
          </cell>
          <cell r="L5">
            <v>0.39101519782800004</v>
          </cell>
          <cell r="M5">
            <v>2563.3218524280005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3650.4961688698349</v>
          </cell>
          <cell r="H6">
            <v>3.650496168869835</v>
          </cell>
          <cell r="I6">
            <v>3.9077118168688711</v>
          </cell>
          <cell r="J6">
            <v>3.9077118168688715E-3</v>
          </cell>
          <cell r="K6">
            <v>657.79269852360665</v>
          </cell>
          <cell r="L6">
            <v>0.65779269852360667</v>
          </cell>
          <cell r="M6">
            <v>4312.1965792103101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>
            <v>74.698656974358983</v>
          </cell>
          <cell r="H7">
            <v>7.4698656974358985E-2</v>
          </cell>
          <cell r="I7">
            <v>5.7822429714285715</v>
          </cell>
          <cell r="J7">
            <v>5.7822429714285712E-3</v>
          </cell>
          <cell r="K7">
            <v>14.486561990241759</v>
          </cell>
          <cell r="L7">
            <v>1.4486561990241759E-2</v>
          </cell>
          <cell r="M7">
            <v>94.967461936029309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2894.9318021452368</v>
          </cell>
          <cell r="H8">
            <v>2.8949318021452366</v>
          </cell>
          <cell r="I8">
            <v>2.9771595809523808</v>
          </cell>
          <cell r="J8">
            <v>2.9771595809523809E-3</v>
          </cell>
          <cell r="K8">
            <v>521.62361311071402</v>
          </cell>
          <cell r="L8">
            <v>0.52162361311071404</v>
          </cell>
          <cell r="M8">
            <v>3419.5325748369032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1357.0566029411766</v>
          </cell>
          <cell r="H9">
            <v>1.3570566029411766</v>
          </cell>
          <cell r="I9">
            <v>8.6732172909083793</v>
          </cell>
          <cell r="J9">
            <v>8.6732172909083794E-3</v>
          </cell>
          <cell r="K9">
            <v>245.83136764177527</v>
          </cell>
          <cell r="L9">
            <v>0.24583136764177527</v>
          </cell>
          <cell r="M9">
            <v>1611.56118787386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2872.2691955238897</v>
          </cell>
          <cell r="H10">
            <v>2.8722691955238897</v>
          </cell>
          <cell r="I10">
            <v>1.7966666666666666</v>
          </cell>
          <cell r="J10">
            <v>1.7966666666666667E-3</v>
          </cell>
          <cell r="K10">
            <v>517.33185519430015</v>
          </cell>
          <cell r="L10">
            <v>0.51733185519430014</v>
          </cell>
          <cell r="M10">
            <v>3391.3977173848566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650.20895657798246</v>
          </cell>
          <cell r="H11">
            <v>0.6502089565779825</v>
          </cell>
          <cell r="I11">
            <v>8.0011161209722932</v>
          </cell>
          <cell r="J11">
            <v>8.0011161209722938E-3</v>
          </cell>
          <cell r="K11">
            <v>118.47781308581185</v>
          </cell>
          <cell r="L11">
            <v>0.11847781308581185</v>
          </cell>
          <cell r="M11">
            <v>776.68788578476654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906.89651051130204</v>
          </cell>
          <cell r="H12">
            <v>0.90689651051130205</v>
          </cell>
          <cell r="I12">
            <v>2.6623333333333332</v>
          </cell>
          <cell r="J12">
            <v>2.6623333333333334E-3</v>
          </cell>
          <cell r="K12">
            <v>163.72059189203435</v>
          </cell>
          <cell r="L12">
            <v>0.16372059189203436</v>
          </cell>
          <cell r="M12">
            <v>1073.2794357366697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1139.1086497044425</v>
          </cell>
          <cell r="H13">
            <v>1.1391086497044425</v>
          </cell>
          <cell r="I13">
            <v>17.495226042137656</v>
          </cell>
          <cell r="J13">
            <v>1.7495226042137657E-2</v>
          </cell>
          <cell r="K13">
            <v>208.18869763438443</v>
          </cell>
          <cell r="L13">
            <v>0.20818869763438441</v>
          </cell>
          <cell r="M13">
            <v>1364.7925733809645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2213.1788399071929</v>
          </cell>
          <cell r="H14">
            <v>2.2131788399071928</v>
          </cell>
          <cell r="I14">
            <v>2.7068832173240529</v>
          </cell>
          <cell r="J14">
            <v>2.7068832173240531E-3</v>
          </cell>
          <cell r="K14">
            <v>398.85943016241305</v>
          </cell>
          <cell r="L14">
            <v>0.39885943016241304</v>
          </cell>
          <cell r="M14">
            <v>2614.74515328693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955.81877142103883</v>
          </cell>
          <cell r="H15">
            <v>0.95581877142103888</v>
          </cell>
          <cell r="I15">
            <v>5.2697324645650507</v>
          </cell>
          <cell r="J15">
            <v>5.2697324645650506E-3</v>
          </cell>
          <cell r="K15">
            <v>172.99593069940869</v>
          </cell>
          <cell r="L15">
            <v>0.17299593069940869</v>
          </cell>
          <cell r="M15">
            <v>1134.0844345850126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1402.4782408590308</v>
          </cell>
          <cell r="H16">
            <v>1.4024782408590308</v>
          </cell>
          <cell r="I16">
            <v>15.247467862500002</v>
          </cell>
          <cell r="J16">
            <v>1.5247467862500003E-2</v>
          </cell>
          <cell r="K16">
            <v>255.19062756987552</v>
          </cell>
          <cell r="L16">
            <v>0.25519062756987554</v>
          </cell>
          <cell r="M16">
            <v>1672.9163362914062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1743.6379999999999</v>
          </cell>
          <cell r="H17">
            <v>1.743638</v>
          </cell>
          <cell r="I17">
            <v>52.656906187624749</v>
          </cell>
          <cell r="J17">
            <v>5.2656906187624745E-2</v>
          </cell>
          <cell r="K17">
            <v>323.33308311377243</v>
          </cell>
          <cell r="L17">
            <v>0.32333308311377246</v>
          </cell>
          <cell r="M17">
            <v>2119.6279893013971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938.90079985404805</v>
          </cell>
          <cell r="H18">
            <v>0.93890079985404806</v>
          </cell>
          <cell r="I18">
            <v>6.8288356771823144</v>
          </cell>
          <cell r="J18">
            <v>6.8288356771823147E-3</v>
          </cell>
          <cell r="K18">
            <v>170.23133439562145</v>
          </cell>
          <cell r="L18">
            <v>0.17023133439562144</v>
          </cell>
          <cell r="M18">
            <v>1115.9609699268517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>
            <v>2658.0325418832772</v>
          </cell>
          <cell r="H19">
            <v>2.6580325418832773</v>
          </cell>
          <cell r="I19">
            <v>7.3431699122998655</v>
          </cell>
          <cell r="J19">
            <v>7.3431699122998651E-3</v>
          </cell>
          <cell r="K19">
            <v>479.76762812320385</v>
          </cell>
          <cell r="L19">
            <v>0.47976762812320384</v>
          </cell>
          <cell r="M19">
            <v>3145.1433399187808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1548.4602280798583</v>
          </cell>
          <cell r="H20">
            <v>1.5484602280798583</v>
          </cell>
          <cell r="I20">
            <v>5.5348829312598813</v>
          </cell>
          <cell r="J20">
            <v>5.5348829312598814E-3</v>
          </cell>
          <cell r="K20">
            <v>279.7191199820013</v>
          </cell>
          <cell r="L20">
            <v>0.27971911998200133</v>
          </cell>
          <cell r="M20">
            <v>1833.7142309931196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975.32413261801537</v>
          </cell>
          <cell r="H21">
            <v>0.97532413261801532</v>
          </cell>
          <cell r="I21">
            <v>9.2341961955505525</v>
          </cell>
          <cell r="J21">
            <v>9.2341961955505533E-3</v>
          </cell>
          <cell r="K21">
            <v>177.22049918644186</v>
          </cell>
          <cell r="L21">
            <v>0.17722049918644187</v>
          </cell>
          <cell r="M21">
            <v>1161.7788280000077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4085.5321809020488</v>
          </cell>
          <cell r="H22">
            <v>4.0855321809020486</v>
          </cell>
          <cell r="I22">
            <v>60.157862702323911</v>
          </cell>
          <cell r="J22">
            <v>6.0157862702323914E-2</v>
          </cell>
          <cell r="K22">
            <v>746.22420784878705</v>
          </cell>
          <cell r="L22">
            <v>0.74622420784878707</v>
          </cell>
          <cell r="M22">
            <v>4891.9142514531595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1920.2452025208677</v>
          </cell>
          <cell r="H23">
            <v>1.9202452025208676</v>
          </cell>
          <cell r="I23">
            <v>0</v>
          </cell>
          <cell r="J23">
            <v>0</v>
          </cell>
          <cell r="K23">
            <v>345.64413645375618</v>
          </cell>
          <cell r="L23">
            <v>0.34564413645375619</v>
          </cell>
          <cell r="M23">
            <v>2265.889338974624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1609.7571692307695</v>
          </cell>
          <cell r="H24">
            <v>1.6097571692307695</v>
          </cell>
          <cell r="I24">
            <v>7.251200000000001E-3</v>
          </cell>
          <cell r="J24">
            <v>7.251200000000001E-6</v>
          </cell>
          <cell r="K24">
            <v>289.75759567753846</v>
          </cell>
          <cell r="L24">
            <v>0.28975759567753845</v>
          </cell>
          <cell r="M24">
            <v>1899.522016108308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2273.6338869585625</v>
          </cell>
          <cell r="H25">
            <v>2.2736338869585624</v>
          </cell>
          <cell r="I25">
            <v>3.8896363817239297</v>
          </cell>
          <cell r="J25">
            <v>3.8896363817239295E-3</v>
          </cell>
          <cell r="K25">
            <v>409.95423420125155</v>
          </cell>
          <cell r="L25">
            <v>0.40995423420125154</v>
          </cell>
          <cell r="M25">
            <v>2687.4777575415378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1336.2699084964981</v>
          </cell>
          <cell r="H26">
            <v>1.3362699084964982</v>
          </cell>
          <cell r="I26">
            <v>26.261076083127865</v>
          </cell>
          <cell r="J26">
            <v>2.6261076083127863E-2</v>
          </cell>
          <cell r="K26">
            <v>245.25557722433265</v>
          </cell>
          <cell r="L26">
            <v>0.24525557722433267</v>
          </cell>
          <cell r="M26">
            <v>1607.7865618039586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2671.0632072904891</v>
          </cell>
          <cell r="H27">
            <v>2.671063207290489</v>
          </cell>
          <cell r="I27">
            <v>9.2296894379805234</v>
          </cell>
          <cell r="J27">
            <v>9.2296894379805226E-3</v>
          </cell>
          <cell r="K27">
            <v>482.45272141112451</v>
          </cell>
          <cell r="L27">
            <v>0.4824527214111245</v>
          </cell>
          <cell r="M27">
            <v>3162.7456181395942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2534.2812306425722</v>
          </cell>
          <cell r="H28">
            <v>2.5342812306425722</v>
          </cell>
          <cell r="I28">
            <v>2.3875190384061249E-2</v>
          </cell>
          <cell r="J28">
            <v>2.3875190384061249E-5</v>
          </cell>
          <cell r="K28">
            <v>456.1749190499321</v>
          </cell>
          <cell r="L28">
            <v>0.45617491904993213</v>
          </cell>
          <cell r="M28">
            <v>2990.4800248828883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5988.7116022727269</v>
          </cell>
          <cell r="H29">
            <v>5.9887116022727271</v>
          </cell>
          <cell r="I29">
            <v>35.517727272727271</v>
          </cell>
          <cell r="J29">
            <v>3.551772727272727E-2</v>
          </cell>
          <cell r="K29">
            <v>1084.3612793181817</v>
          </cell>
          <cell r="L29">
            <v>1.0843612793181816</v>
          </cell>
          <cell r="M29">
            <v>7108.5906088636357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4255.5969303797465</v>
          </cell>
          <cell r="H30">
            <v>4.2555969303797463</v>
          </cell>
          <cell r="I30">
            <v>22.189240506329114</v>
          </cell>
          <cell r="J30">
            <v>2.2189240506329113E-2</v>
          </cell>
          <cell r="K30">
            <v>770.00151075949361</v>
          </cell>
          <cell r="L30">
            <v>0.77000151075949363</v>
          </cell>
          <cell r="M30">
            <v>5047.7876816455691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15.207069488335563</v>
          </cell>
          <cell r="J31">
            <v>1.5207069488335563E-2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1408.7496497328627</v>
          </cell>
          <cell r="H33">
            <v>1.4087496497328627</v>
          </cell>
          <cell r="I33">
            <v>10.59276419047619</v>
          </cell>
          <cell r="J33">
            <v>1.059276419047619E-2</v>
          </cell>
          <cell r="K33">
            <v>255.48163450620098</v>
          </cell>
          <cell r="L33">
            <v>0.25548163450620098</v>
          </cell>
          <cell r="M33">
            <v>1674.8240484295397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1448.4863418449668</v>
          </cell>
          <cell r="H34">
            <v>1.4484863418449667</v>
          </cell>
          <cell r="I34">
            <v>2.2269327807486632</v>
          </cell>
          <cell r="J34">
            <v>2.2269327807486632E-3</v>
          </cell>
          <cell r="K34">
            <v>261.12838943262875</v>
          </cell>
          <cell r="L34">
            <v>0.26112838943262873</v>
          </cell>
          <cell r="M34">
            <v>1711.8416640583441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58.103739170086641</v>
          </cell>
          <cell r="H35">
            <v>58.103739170086641</v>
          </cell>
          <cell r="I35">
            <v>1.460407694516222E-2</v>
          </cell>
          <cell r="J35">
            <v>1.460407694516222E-2</v>
          </cell>
          <cell r="K35">
            <v>10.461301784465723</v>
          </cell>
          <cell r="L35">
            <v>10.461301784465723</v>
          </cell>
          <cell r="M35">
            <v>68.57964503149752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2929.9315313494058</v>
          </cell>
          <cell r="H36">
            <v>2.9299315313494056</v>
          </cell>
          <cell r="I36">
            <v>3.0823203156957577</v>
          </cell>
          <cell r="J36">
            <v>3.0823203156957577E-3</v>
          </cell>
          <cell r="K36">
            <v>527.94249329971819</v>
          </cell>
          <cell r="L36">
            <v>0.52794249329971821</v>
          </cell>
          <cell r="M36">
            <v>3460.9563449648194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478.85473583333334</v>
          </cell>
          <cell r="H37">
            <v>0.47885473583333332</v>
          </cell>
          <cell r="I37">
            <v>0.21686335238095236</v>
          </cell>
          <cell r="J37">
            <v>2.1686335238095235E-4</v>
          </cell>
          <cell r="K37">
            <v>86.232887853428565</v>
          </cell>
          <cell r="L37">
            <v>8.6232887853428558E-2</v>
          </cell>
          <cell r="M37">
            <v>565.30448703914283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4255.5969303797465</v>
          </cell>
          <cell r="H39">
            <v>4.2555969303797463</v>
          </cell>
          <cell r="I39">
            <v>28.171590506329114</v>
          </cell>
          <cell r="J39">
            <v>2.8171590506329114E-2</v>
          </cell>
          <cell r="K39">
            <v>771.0783337594936</v>
          </cell>
          <cell r="L39">
            <v>0.77107833375949364</v>
          </cell>
          <cell r="M39">
            <v>5054.8468546455697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1670.39</v>
          </cell>
          <cell r="H40">
            <v>1.67039</v>
          </cell>
          <cell r="I40">
            <v>2.1280000000000001</v>
          </cell>
          <cell r="J40">
            <v>2.1280000000000001E-3</v>
          </cell>
          <cell r="K40">
            <v>301.05324000000002</v>
          </cell>
          <cell r="L40">
            <v>0.30105324</v>
          </cell>
          <cell r="M40">
            <v>1973.57124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22.60429465500486</v>
          </cell>
          <cell r="J41">
            <v>2.260429465500486E-2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3479.846888235294</v>
          </cell>
          <cell r="H42">
            <v>3.479846888235294</v>
          </cell>
          <cell r="I42">
            <v>4.4333081904761906</v>
          </cell>
          <cell r="J42">
            <v>4.4333081904761908E-3</v>
          </cell>
          <cell r="K42">
            <v>627.17043535663856</v>
          </cell>
          <cell r="L42">
            <v>0.62717043535663852</v>
          </cell>
          <cell r="M42">
            <v>4111.4506317824089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1574.5329572116402</v>
          </cell>
          <cell r="H43">
            <v>1.5745329572116402</v>
          </cell>
          <cell r="I43">
            <v>4.3118252952380951</v>
          </cell>
          <cell r="J43">
            <v>4.3118252952380953E-3</v>
          </cell>
          <cell r="K43">
            <v>284.19206085123807</v>
          </cell>
          <cell r="L43">
            <v>0.28419206085123805</v>
          </cell>
          <cell r="M43">
            <v>1863.0368433581164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196.9434009044366</v>
          </cell>
          <cell r="H44">
            <v>196.9434009044366</v>
          </cell>
          <cell r="I44">
            <v>1.2219826024094682</v>
          </cell>
          <cell r="J44">
            <v>1.2219826024094682</v>
          </cell>
          <cell r="K44">
            <v>35.669769031232292</v>
          </cell>
          <cell r="L44">
            <v>35.669769031232292</v>
          </cell>
          <cell r="M44">
            <v>233.83515253807838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>
            <v>2932.3803668095452</v>
          </cell>
          <cell r="H45">
            <v>2.9323803668095452</v>
          </cell>
          <cell r="I45">
            <v>1.4186666666666667</v>
          </cell>
          <cell r="J45">
            <v>1.4186666666666668E-3</v>
          </cell>
          <cell r="K45">
            <v>528.08382602571805</v>
          </cell>
          <cell r="L45">
            <v>0.52808382602571802</v>
          </cell>
          <cell r="M45">
            <v>3461.8828595019295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1030.3747178670974</v>
          </cell>
          <cell r="H47">
            <v>1.0303747178670974</v>
          </cell>
          <cell r="I47">
            <v>5.1077566476190475</v>
          </cell>
          <cell r="J47">
            <v>5.1077566476190476E-3</v>
          </cell>
          <cell r="K47">
            <v>186.38684541264894</v>
          </cell>
          <cell r="L47">
            <v>0.18638684541264894</v>
          </cell>
          <cell r="M47">
            <v>1221.8693199273653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3349.0237349344998</v>
          </cell>
          <cell r="H48">
            <v>3.3490237349344998</v>
          </cell>
          <cell r="I48">
            <v>42.052640971118812</v>
          </cell>
          <cell r="J48">
            <v>4.2052640971118813E-2</v>
          </cell>
          <cell r="K48">
            <v>610.39374766301137</v>
          </cell>
          <cell r="L48">
            <v>0.61039374766301135</v>
          </cell>
          <cell r="M48">
            <v>4001.4701235686298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>
            <v>893.2482705882353</v>
          </cell>
          <cell r="H49">
            <v>0.8932482705882353</v>
          </cell>
          <cell r="I49">
            <v>0</v>
          </cell>
          <cell r="J49">
            <v>0</v>
          </cell>
          <cell r="K49">
            <v>160.78468870588236</v>
          </cell>
          <cell r="L49">
            <v>0.16078468870588236</v>
          </cell>
          <cell r="M49">
            <v>1054.0329592941177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>
            <v>896.43767519315611</v>
          </cell>
          <cell r="H50">
            <v>0.89643767519315609</v>
          </cell>
          <cell r="I50">
            <v>25.292380952380952</v>
          </cell>
          <cell r="J50">
            <v>2.5292380952380952E-2</v>
          </cell>
          <cell r="K50">
            <v>165.91141010619668</v>
          </cell>
          <cell r="L50">
            <v>0.16591141010619667</v>
          </cell>
          <cell r="M50">
            <v>1087.6414662517338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1890.2718194067372</v>
          </cell>
          <cell r="H51">
            <v>1.8902718194067372</v>
          </cell>
          <cell r="I51">
            <v>8.3258119658119671</v>
          </cell>
          <cell r="J51">
            <v>8.3258119658119675E-3</v>
          </cell>
          <cell r="K51">
            <v>341.74757364705886</v>
          </cell>
          <cell r="L51">
            <v>0.34174757364705888</v>
          </cell>
          <cell r="M51">
            <v>2240.3452050196079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3.59</v>
          </cell>
          <cell r="H52">
            <v>3.5899999999999999E-3</v>
          </cell>
          <cell r="I52">
            <v>9.949409523809523</v>
          </cell>
          <cell r="J52">
            <v>9.9494095238095229E-3</v>
          </cell>
          <cell r="K52">
            <v>2.4370937142857141</v>
          </cell>
          <cell r="L52">
            <v>2.4370937142857139E-3</v>
          </cell>
          <cell r="M52">
            <v>15.976503238095237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33.330521904761909</v>
          </cell>
          <cell r="J53">
            <v>3.3330521904761906E-2</v>
          </cell>
          <cell r="K53">
            <v>76.260693942857145</v>
          </cell>
          <cell r="L53">
            <v>7.6260693942857144E-2</v>
          </cell>
          <cell r="M53">
            <v>499.93121584761906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18.128</v>
          </cell>
          <cell r="J54">
            <v>1.8128000000000002E-2</v>
          </cell>
          <cell r="K54">
            <v>82.398239999999987</v>
          </cell>
          <cell r="L54">
            <v>8.2398239999999984E-2</v>
          </cell>
          <cell r="M54">
            <v>540.16624000000002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649.46406400000001</v>
          </cell>
          <cell r="H55">
            <v>0.64946406400000001</v>
          </cell>
          <cell r="I55">
            <v>9.949409523809523</v>
          </cell>
          <cell r="J55">
            <v>9.9494095238095229E-3</v>
          </cell>
          <cell r="K55">
            <v>118.69442523428572</v>
          </cell>
          <cell r="L55">
            <v>0.11869442523428572</v>
          </cell>
          <cell r="M55">
            <v>778.1078987580953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312.47999999999996</v>
          </cell>
          <cell r="H56">
            <v>0.31247999999999998</v>
          </cell>
          <cell r="I56">
            <v>3.6256000000000004</v>
          </cell>
          <cell r="J56">
            <v>3.6256000000000005E-3</v>
          </cell>
          <cell r="K56">
            <v>56.899007999999995</v>
          </cell>
          <cell r="L56">
            <v>5.6899007999999994E-2</v>
          </cell>
          <cell r="M56">
            <v>373.00460799999996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1346.5131531089617</v>
          </cell>
          <cell r="H57">
            <v>1346.5131531089617</v>
          </cell>
          <cell r="I57">
            <v>14.951508022028669</v>
          </cell>
          <cell r="J57">
            <v>14.951508022028669</v>
          </cell>
          <cell r="K57">
            <v>245.06363900357826</v>
          </cell>
          <cell r="L57">
            <v>245.06363900357826</v>
          </cell>
          <cell r="M57">
            <v>1606.5283001345688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167.95847408250557</v>
          </cell>
          <cell r="H58">
            <v>167.95847408250557</v>
          </cell>
          <cell r="I58">
            <v>2.3045042484126985</v>
          </cell>
          <cell r="J58">
            <v>2.3045042484126985</v>
          </cell>
          <cell r="K58">
            <v>30.64733609956529</v>
          </cell>
          <cell r="L58">
            <v>30.64733609956529</v>
          </cell>
          <cell r="M58">
            <v>200.91031443048357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992.90384086421352</v>
          </cell>
          <cell r="H59">
            <v>0.99290384086421357</v>
          </cell>
          <cell r="I59">
            <v>1.3208555809523808</v>
          </cell>
          <cell r="J59">
            <v>1.3208555809523807E-3</v>
          </cell>
          <cell r="K59">
            <v>178.96044536012985</v>
          </cell>
          <cell r="L59">
            <v>0.17896044536012987</v>
          </cell>
          <cell r="M59">
            <v>1173.1851418052959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>
            <v>1639.6739596065008</v>
          </cell>
          <cell r="H60">
            <v>1.6396739596065009</v>
          </cell>
          <cell r="I60">
            <v>0</v>
          </cell>
          <cell r="J60">
            <v>0</v>
          </cell>
          <cell r="K60">
            <v>295.14131272917012</v>
          </cell>
          <cell r="L60">
            <v>0.2951413127291701</v>
          </cell>
          <cell r="M60">
            <v>1934.8152723356709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>
            <v>6.0664893617021267</v>
          </cell>
          <cell r="J61">
            <v>6.066489361702127E-3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1949.6412355246994</v>
          </cell>
          <cell r="H62">
            <v>1.9496412355246995</v>
          </cell>
          <cell r="I62">
            <v>7.823636828784422</v>
          </cell>
          <cell r="J62">
            <v>7.8236368287844214E-3</v>
          </cell>
          <cell r="K62">
            <v>352.34367702362704</v>
          </cell>
          <cell r="L62">
            <v>0.35234367702362701</v>
          </cell>
          <cell r="M62">
            <v>2309.8085493771109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1939.3541520052427</v>
          </cell>
          <cell r="H63">
            <v>1.9393541520052426</v>
          </cell>
          <cell r="I63">
            <v>7.819622202674763</v>
          </cell>
          <cell r="J63">
            <v>7.8196222026747624E-3</v>
          </cell>
          <cell r="K63">
            <v>350.49127935742513</v>
          </cell>
          <cell r="L63">
            <v>0.35049127935742513</v>
          </cell>
          <cell r="M63">
            <v>2297.6650535653425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2169.3709645769231</v>
          </cell>
          <cell r="H64">
            <v>2.169370964576923</v>
          </cell>
          <cell r="I64">
            <v>9.7358559907857138</v>
          </cell>
          <cell r="J64">
            <v>9.7358559907857137E-3</v>
          </cell>
          <cell r="K64">
            <v>392.23922770218758</v>
          </cell>
          <cell r="L64">
            <v>0.39223922770218755</v>
          </cell>
          <cell r="M64">
            <v>2571.3460482698965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1369.6110610576923</v>
          </cell>
          <cell r="H65">
            <v>1.3696110610576924</v>
          </cell>
          <cell r="I65">
            <v>0</v>
          </cell>
          <cell r="J65">
            <v>0</v>
          </cell>
          <cell r="K65">
            <v>246.52999099038459</v>
          </cell>
          <cell r="L65">
            <v>0.24652999099038458</v>
          </cell>
          <cell r="M65">
            <v>1616.1410520480767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1369.6110610576923</v>
          </cell>
          <cell r="H66">
            <v>1.3696110610576924</v>
          </cell>
          <cell r="I66">
            <v>4.2283333333333326</v>
          </cell>
          <cell r="J66">
            <v>4.2283333333333322E-3</v>
          </cell>
          <cell r="K66">
            <v>247.29109099038459</v>
          </cell>
          <cell r="L66">
            <v>0.2472910909903846</v>
          </cell>
          <cell r="M66">
            <v>1621.1304853814102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1650.343695</v>
          </cell>
          <cell r="H67">
            <v>1.6503436950000001</v>
          </cell>
          <cell r="I67">
            <v>5.4251782857142858</v>
          </cell>
          <cell r="J67">
            <v>5.4251782857142857E-3</v>
          </cell>
          <cell r="K67">
            <v>298.03839719142854</v>
          </cell>
          <cell r="L67">
            <v>0.29803839719142855</v>
          </cell>
          <cell r="M67">
            <v>1953.807270477143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538.18622690903737</v>
          </cell>
          <cell r="H68">
            <v>0.53818622690903739</v>
          </cell>
          <cell r="I68">
            <v>1.3428148148148149E-2</v>
          </cell>
          <cell r="J68">
            <v>1.3428148148148149E-5</v>
          </cell>
          <cell r="K68">
            <v>96.875937910293388</v>
          </cell>
          <cell r="L68">
            <v>9.6875937910293392E-2</v>
          </cell>
          <cell r="M68">
            <v>635.07559296747888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4326.5235458860752</v>
          </cell>
          <cell r="H69">
            <v>4.3265235458860749</v>
          </cell>
          <cell r="I69">
            <v>42.392394514767929</v>
          </cell>
          <cell r="J69">
            <v>4.239239451476793E-2</v>
          </cell>
          <cell r="K69">
            <v>786.40486927215181</v>
          </cell>
          <cell r="L69">
            <v>0.78640486927215181</v>
          </cell>
          <cell r="M69">
            <v>5155.320809672995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2004.6566788783489</v>
          </cell>
          <cell r="H70">
            <v>2.0046566788783489</v>
          </cell>
          <cell r="I70">
            <v>14.096077961341537</v>
          </cell>
          <cell r="J70">
            <v>1.4096077961341538E-2</v>
          </cell>
          <cell r="K70">
            <v>363.37549623114427</v>
          </cell>
          <cell r="L70">
            <v>0.36337549623114429</v>
          </cell>
          <cell r="M70">
            <v>2382.1282530708345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6775.4711341176471</v>
          </cell>
          <cell r="H71">
            <v>6.7754711341176472</v>
          </cell>
          <cell r="I71">
            <v>2.9004800000000004E-2</v>
          </cell>
          <cell r="J71">
            <v>2.9004800000000004E-5</v>
          </cell>
          <cell r="K71">
            <v>1219.5900250051764</v>
          </cell>
          <cell r="L71">
            <v>1.2195900250051763</v>
          </cell>
          <cell r="M71">
            <v>7995.0901639228232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2164.8507346000001</v>
          </cell>
          <cell r="H72">
            <v>2.1648507346000003</v>
          </cell>
          <cell r="I72">
            <v>2.5342944000000006E-2</v>
          </cell>
          <cell r="J72">
            <v>2.5342944000000005E-5</v>
          </cell>
          <cell r="K72">
            <v>389.67769395791998</v>
          </cell>
          <cell r="L72">
            <v>0.38967769395791996</v>
          </cell>
          <cell r="M72">
            <v>2554.55377150192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1276.6642129817446</v>
          </cell>
          <cell r="H73">
            <v>1.2766642129817447</v>
          </cell>
          <cell r="I73">
            <v>0.16021371051001446</v>
          </cell>
          <cell r="J73">
            <v>1.6021371051001446E-4</v>
          </cell>
          <cell r="K73">
            <v>229.82839680460586</v>
          </cell>
          <cell r="L73">
            <v>0.22982839680460587</v>
          </cell>
          <cell r="M73">
            <v>1506.6528234968605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1070.815728995964</v>
          </cell>
          <cell r="H74">
            <v>1.0708157289959641</v>
          </cell>
          <cell r="I74">
            <v>6.9300069300069298E-3</v>
          </cell>
          <cell r="J74">
            <v>6.9300069300069297E-6</v>
          </cell>
          <cell r="K74">
            <v>192.74807862052091</v>
          </cell>
          <cell r="L74">
            <v>0.1927480786205209</v>
          </cell>
          <cell r="M74">
            <v>1263.570737623415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1463.0780198533482</v>
          </cell>
          <cell r="H75">
            <v>1.4630780198533482</v>
          </cell>
          <cell r="I75">
            <v>0.78419338608102351</v>
          </cell>
          <cell r="J75">
            <v>7.8419338608102347E-4</v>
          </cell>
          <cell r="K75">
            <v>263.49519838309726</v>
          </cell>
          <cell r="L75">
            <v>0.26349519838309726</v>
          </cell>
          <cell r="M75">
            <v>1727.3574116225263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812.17074839999987</v>
          </cell>
          <cell r="H76">
            <v>0.81217074839999992</v>
          </cell>
          <cell r="I76">
            <v>0</v>
          </cell>
          <cell r="J76">
            <v>0</v>
          </cell>
          <cell r="K76">
            <v>146.19073471199997</v>
          </cell>
          <cell r="L76">
            <v>0.14619073471199998</v>
          </cell>
          <cell r="M76">
            <v>958.36148311199986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1292.3138092010754</v>
          </cell>
          <cell r="H77">
            <v>1.2923138092010753</v>
          </cell>
          <cell r="I77">
            <v>8.1887333333333315E-3</v>
          </cell>
          <cell r="J77">
            <v>8.1887333333333318E-6</v>
          </cell>
          <cell r="K77">
            <v>232.61795962819357</v>
          </cell>
          <cell r="L77">
            <v>0.23261795962819357</v>
          </cell>
          <cell r="M77">
            <v>1524.9399575626023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543.60891898148157</v>
          </cell>
          <cell r="H78">
            <v>0.54360891898148156</v>
          </cell>
          <cell r="I78">
            <v>16.510047619047622</v>
          </cell>
          <cell r="J78">
            <v>1.6510047619047622E-2</v>
          </cell>
          <cell r="K78">
            <v>100.82141398809526</v>
          </cell>
          <cell r="L78">
            <v>0.10082141398809526</v>
          </cell>
          <cell r="M78">
            <v>660.94038058862452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>
            <v>979.73214677243163</v>
          </cell>
          <cell r="H79">
            <v>0.97973214677243159</v>
          </cell>
          <cell r="I79">
            <v>0</v>
          </cell>
          <cell r="J79">
            <v>0</v>
          </cell>
          <cell r="K79">
            <v>176.35178641903769</v>
          </cell>
          <cell r="L79">
            <v>0.1763517864190377</v>
          </cell>
          <cell r="M79">
            <v>1156.0839331914694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415.49267444808743</v>
          </cell>
          <cell r="H80">
            <v>0.41549267444808741</v>
          </cell>
          <cell r="I80">
            <v>5.4374186833203222</v>
          </cell>
          <cell r="J80">
            <v>5.4374186833203225E-3</v>
          </cell>
          <cell r="K80">
            <v>75.767416763653401</v>
          </cell>
          <cell r="L80">
            <v>7.5767416763653395E-2</v>
          </cell>
          <cell r="M80">
            <v>496.69750989506116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1572.5663220008714</v>
          </cell>
          <cell r="H81">
            <v>1.5725663220008714</v>
          </cell>
          <cell r="I81">
            <v>0</v>
          </cell>
          <cell r="J81">
            <v>0</v>
          </cell>
          <cell r="K81">
            <v>283.06193796015685</v>
          </cell>
          <cell r="L81">
            <v>0.28306193796015683</v>
          </cell>
          <cell r="M81">
            <v>1855.6282599610283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1203.0919927927928</v>
          </cell>
          <cell r="H82">
            <v>1.2030919927927928</v>
          </cell>
          <cell r="I82">
            <v>1.4714714714714716</v>
          </cell>
          <cell r="J82">
            <v>1.4714714714714717E-3</v>
          </cell>
          <cell r="K82">
            <v>216.82142356756756</v>
          </cell>
          <cell r="L82">
            <v>0.21682142356756756</v>
          </cell>
          <cell r="M82">
            <v>1421.3848878318317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1374.4402791946309</v>
          </cell>
          <cell r="H83">
            <v>1.3744402791946309</v>
          </cell>
          <cell r="I83">
            <v>21.536385000000003</v>
          </cell>
          <cell r="J83">
            <v>2.1536385000000002E-2</v>
          </cell>
          <cell r="K83">
            <v>251.27579955503356</v>
          </cell>
          <cell r="L83">
            <v>0.25127579955503354</v>
          </cell>
          <cell r="M83">
            <v>1647.2524637496645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2268.2376101280029</v>
          </cell>
          <cell r="H84">
            <v>2.2682376101280028</v>
          </cell>
          <cell r="I84">
            <v>1.4007611851851851</v>
          </cell>
          <cell r="J84">
            <v>1.400761185185185E-3</v>
          </cell>
          <cell r="K84">
            <v>408.53490683637386</v>
          </cell>
          <cell r="L84">
            <v>0.40853490683637389</v>
          </cell>
          <cell r="M84">
            <v>2678.1732781495621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2555.1829395970367</v>
          </cell>
          <cell r="H85">
            <v>2.5551829395970369</v>
          </cell>
          <cell r="I85">
            <v>2.3980769230769225E-3</v>
          </cell>
          <cell r="J85">
            <v>2.3980769230769227E-6</v>
          </cell>
          <cell r="K85">
            <v>459.93336078131273</v>
          </cell>
          <cell r="L85">
            <v>0.45993336078131275</v>
          </cell>
          <cell r="M85">
            <v>3015.1186984552724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329.30364651320235</v>
          </cell>
          <cell r="H86">
            <v>329.30364651320235</v>
          </cell>
          <cell r="I86">
            <v>2.0876286704351963</v>
          </cell>
          <cell r="J86">
            <v>2.0876286704351963</v>
          </cell>
          <cell r="K86">
            <v>59.650429533054762</v>
          </cell>
          <cell r="L86">
            <v>59.650429533054762</v>
          </cell>
          <cell r="M86">
            <v>391.04170471669232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863.91436296296297</v>
          </cell>
          <cell r="H87">
            <v>0.86391436296296298</v>
          </cell>
          <cell r="I87">
            <v>1.8446035087719299</v>
          </cell>
          <cell r="J87">
            <v>1.84460350877193E-3</v>
          </cell>
          <cell r="K87">
            <v>155.83661396491226</v>
          </cell>
          <cell r="L87">
            <v>0.15583661396491227</v>
          </cell>
          <cell r="M87">
            <v>1021.5955804366472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2413.6713177831139</v>
          </cell>
          <cell r="H88">
            <v>2.4136713177831139</v>
          </cell>
          <cell r="I88">
            <v>10.99969636895926</v>
          </cell>
          <cell r="J88">
            <v>1.099969636895926E-2</v>
          </cell>
          <cell r="K88">
            <v>436.44078254737315</v>
          </cell>
          <cell r="L88">
            <v>0.43644078254737317</v>
          </cell>
          <cell r="M88">
            <v>2861.1117966994461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1877.7522222222224</v>
          </cell>
          <cell r="H89">
            <v>1.8777522222222223</v>
          </cell>
          <cell r="I89">
            <v>3.6674500000000001</v>
          </cell>
          <cell r="J89">
            <v>3.6674500000000001E-3</v>
          </cell>
          <cell r="K89">
            <v>338.65554099999997</v>
          </cell>
          <cell r="L89">
            <v>0.33865554099999995</v>
          </cell>
          <cell r="M89">
            <v>2220.0752132222224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1764.3182408080811</v>
          </cell>
          <cell r="H90">
            <v>1.7643182408080811</v>
          </cell>
          <cell r="I90">
            <v>0</v>
          </cell>
          <cell r="J90">
            <v>0</v>
          </cell>
          <cell r="K90">
            <v>317.57728334545459</v>
          </cell>
          <cell r="L90">
            <v>0.3175772833454546</v>
          </cell>
          <cell r="M90">
            <v>2081.8955241535359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3534.4220625000003</v>
          </cell>
          <cell r="H91">
            <v>3.5344220625000005</v>
          </cell>
          <cell r="I91">
            <v>0</v>
          </cell>
          <cell r="J91">
            <v>0</v>
          </cell>
          <cell r="K91">
            <v>636.19597125000007</v>
          </cell>
          <cell r="L91">
            <v>0.63619597125000005</v>
          </cell>
          <cell r="M91">
            <v>4170.61803375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4111.1111111111104</v>
          </cell>
          <cell r="H92">
            <v>4.1111111111111107</v>
          </cell>
          <cell r="I92">
            <v>0.45276595744680853</v>
          </cell>
          <cell r="J92">
            <v>4.5276595744680851E-4</v>
          </cell>
          <cell r="K92">
            <v>740.08149787234026</v>
          </cell>
          <cell r="L92">
            <v>0.74008149787234023</v>
          </cell>
          <cell r="M92">
            <v>4851.6453749408975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1388.2350597530865</v>
          </cell>
          <cell r="H93">
            <v>1.3882350597530866</v>
          </cell>
          <cell r="I93">
            <v>0.68512739470899475</v>
          </cell>
          <cell r="J93">
            <v>6.8512739470899477E-4</v>
          </cell>
          <cell r="K93">
            <v>250.0056336866032</v>
          </cell>
          <cell r="L93">
            <v>0.25000563368660322</v>
          </cell>
          <cell r="M93">
            <v>1638.9258208343988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2357.2325039323</v>
          </cell>
          <cell r="H94">
            <v>2357.2325039323</v>
          </cell>
          <cell r="I94">
            <v>19.864579180323449</v>
          </cell>
          <cell r="J94">
            <v>19.864579180323449</v>
          </cell>
          <cell r="K94">
            <v>427.8774749602722</v>
          </cell>
          <cell r="L94">
            <v>427.8774749602722</v>
          </cell>
          <cell r="M94">
            <v>2804.9745580728954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2097.6815087034447</v>
          </cell>
          <cell r="H95">
            <v>2.0976815087034448</v>
          </cell>
          <cell r="I95">
            <v>7.4358974358974348E-3</v>
          </cell>
          <cell r="J95">
            <v>7.4358974358974352E-6</v>
          </cell>
          <cell r="K95">
            <v>377.58401002815845</v>
          </cell>
          <cell r="L95">
            <v>0.37758401002815845</v>
          </cell>
          <cell r="M95">
            <v>2475.2729546290388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>
            <v>476.18287219673095</v>
          </cell>
          <cell r="H96">
            <v>476.18287219673095</v>
          </cell>
          <cell r="I96">
            <v>0.28180393985507252</v>
          </cell>
          <cell r="J96">
            <v>0.28180393985507252</v>
          </cell>
          <cell r="K96">
            <v>85.763641704585481</v>
          </cell>
          <cell r="L96">
            <v>85.763641704585481</v>
          </cell>
          <cell r="M96">
            <v>562.22831784117147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6831.8571846037476</v>
          </cell>
          <cell r="H97">
            <v>6831.8571846037476</v>
          </cell>
          <cell r="I97">
            <v>32</v>
          </cell>
          <cell r="J97">
            <v>32</v>
          </cell>
          <cell r="K97">
            <v>1235.4942932286745</v>
          </cell>
          <cell r="L97">
            <v>1235.4942932286745</v>
          </cell>
          <cell r="M97">
            <v>8099.3514778324225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1165.8167820170022</v>
          </cell>
          <cell r="H98">
            <v>1165.8167820170022</v>
          </cell>
          <cell r="I98">
            <v>89.036214397777769</v>
          </cell>
          <cell r="J98">
            <v>89.036214397777769</v>
          </cell>
          <cell r="K98">
            <v>225.87353935466038</v>
          </cell>
          <cell r="L98">
            <v>225.87353935466038</v>
          </cell>
          <cell r="M98">
            <v>1480.7265357694403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374.1199286163814</v>
          </cell>
          <cell r="H99">
            <v>374.1199286163814</v>
          </cell>
          <cell r="I99">
            <v>0.22628643002599999</v>
          </cell>
          <cell r="J99">
            <v>0.22628643002599999</v>
          </cell>
          <cell r="K99">
            <v>67.382318708353324</v>
          </cell>
          <cell r="L99">
            <v>67.382318708353324</v>
          </cell>
          <cell r="M99">
            <v>441.72853375476075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1162.0559085511984</v>
          </cell>
          <cell r="H100">
            <v>1162.0559085511984</v>
          </cell>
          <cell r="I100">
            <v>61.976761904761908</v>
          </cell>
          <cell r="J100">
            <v>61.976761904761908</v>
          </cell>
          <cell r="K100">
            <v>220.32588068207284</v>
          </cell>
          <cell r="L100">
            <v>220.32588068207284</v>
          </cell>
          <cell r="M100">
            <v>1444.3585511380331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208.52489945055927</v>
          </cell>
          <cell r="H101">
            <v>208.52489945055927</v>
          </cell>
          <cell r="I101">
            <v>323.18450547777775</v>
          </cell>
          <cell r="J101">
            <v>323.18450547777775</v>
          </cell>
          <cell r="K101">
            <v>95.707692887100649</v>
          </cell>
          <cell r="L101">
            <v>95.707692887100649</v>
          </cell>
          <cell r="M101">
            <v>627.41709781543761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355.29749208411636</v>
          </cell>
          <cell r="H102">
            <v>355.29749208411636</v>
          </cell>
          <cell r="I102">
            <v>10.743098145079363</v>
          </cell>
          <cell r="J102">
            <v>10.743098145079363</v>
          </cell>
          <cell r="K102">
            <v>65.887306241255231</v>
          </cell>
          <cell r="L102">
            <v>65.887306241255231</v>
          </cell>
          <cell r="M102">
            <v>431.92789647045095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105.58664706191705</v>
          </cell>
          <cell r="H103">
            <v>105.58664706191705</v>
          </cell>
          <cell r="I103">
            <v>9.4914416844322336</v>
          </cell>
          <cell r="J103">
            <v>9.4914416844322336</v>
          </cell>
          <cell r="K103">
            <v>20.71405597434287</v>
          </cell>
          <cell r="L103">
            <v>20.71405597434287</v>
          </cell>
          <cell r="M103">
            <v>135.79214472069214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96.182540486578105</v>
          </cell>
          <cell r="H104">
            <v>96.182540486578105</v>
          </cell>
          <cell r="I104">
            <v>1.4336167149080459</v>
          </cell>
          <cell r="J104">
            <v>1.4336167149080459</v>
          </cell>
          <cell r="K104">
            <v>17.570908296267504</v>
          </cell>
          <cell r="L104">
            <v>17.570908296267504</v>
          </cell>
          <cell r="M104">
            <v>115.18706549775365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480.73631478935692</v>
          </cell>
          <cell r="H105">
            <v>480.73631478935692</v>
          </cell>
          <cell r="I105">
            <v>4.8216887665165169</v>
          </cell>
          <cell r="J105">
            <v>4.8216887665165169</v>
          </cell>
          <cell r="K105">
            <v>87.400440640057212</v>
          </cell>
          <cell r="L105">
            <v>87.400440640057212</v>
          </cell>
          <cell r="M105">
            <v>572.95844419593061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334.20860188164187</v>
          </cell>
          <cell r="H106">
            <v>334.20860188164187</v>
          </cell>
          <cell r="I106">
            <v>3.8948880405392599</v>
          </cell>
          <cell r="J106">
            <v>3.8948880405392599</v>
          </cell>
          <cell r="K106">
            <v>60.858628185992607</v>
          </cell>
          <cell r="L106">
            <v>60.858628185992607</v>
          </cell>
          <cell r="M106">
            <v>398.96211810817374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184.53051038511796</v>
          </cell>
          <cell r="H107">
            <v>184.53051038511796</v>
          </cell>
          <cell r="I107">
            <v>2.8672181586021503</v>
          </cell>
          <cell r="J107">
            <v>2.8672181586021503</v>
          </cell>
          <cell r="K107">
            <v>33.731591137869621</v>
          </cell>
          <cell r="L107">
            <v>33.731591137869621</v>
          </cell>
          <cell r="M107">
            <v>221.12931968158975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2001.3919189528697</v>
          </cell>
          <cell r="H108">
            <v>2001.3919189528697</v>
          </cell>
          <cell r="I108">
            <v>26.197938902913215</v>
          </cell>
          <cell r="J108">
            <v>26.197938902913215</v>
          </cell>
          <cell r="K108">
            <v>364.96617441404089</v>
          </cell>
          <cell r="L108">
            <v>364.96617441404089</v>
          </cell>
          <cell r="M108">
            <v>2392.5560322698238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1746.060123738192</v>
          </cell>
          <cell r="H109">
            <v>1746.060123738192</v>
          </cell>
          <cell r="I109">
            <v>13.344161011077844</v>
          </cell>
          <cell r="J109">
            <v>13.344161011077844</v>
          </cell>
          <cell r="K109">
            <v>316.69277125486855</v>
          </cell>
          <cell r="L109">
            <v>316.69277125486855</v>
          </cell>
          <cell r="M109">
            <v>2076.0970560041383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394.90839941198595</v>
          </cell>
          <cell r="H110">
            <v>394.90839941198595</v>
          </cell>
          <cell r="I110">
            <v>4.9127828999449372</v>
          </cell>
          <cell r="J110">
            <v>4.9127828999449372</v>
          </cell>
          <cell r="K110">
            <v>71.967812816147557</v>
          </cell>
          <cell r="L110">
            <v>71.967812816147557</v>
          </cell>
          <cell r="M110">
            <v>471.78899512807845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457.2723876180616</v>
          </cell>
          <cell r="H111">
            <v>457.2723876180616</v>
          </cell>
          <cell r="I111">
            <v>4.8474173849396944</v>
          </cell>
          <cell r="J111">
            <v>4.8474173849396944</v>
          </cell>
          <cell r="K111">
            <v>83.181564900540238</v>
          </cell>
          <cell r="L111">
            <v>83.181564900540238</v>
          </cell>
          <cell r="M111">
            <v>545.30136990354151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>
            <v>77.492132516470591</v>
          </cell>
          <cell r="H112">
            <v>77.492132516470591</v>
          </cell>
          <cell r="I112">
            <v>8.3269061876247505</v>
          </cell>
          <cell r="J112">
            <v>8.3269061876247505</v>
          </cell>
          <cell r="K112">
            <v>15.44742696673716</v>
          </cell>
          <cell r="L112">
            <v>15.44742696673716</v>
          </cell>
          <cell r="M112">
            <v>101.26646567083249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638.77549519855984</v>
          </cell>
          <cell r="H113">
            <v>638.77549519855984</v>
          </cell>
          <cell r="I113">
            <v>26.326301454088444</v>
          </cell>
          <cell r="J113">
            <v>26.326301454088444</v>
          </cell>
          <cell r="K113">
            <v>119.71832339747669</v>
          </cell>
          <cell r="L113">
            <v>119.71832339747669</v>
          </cell>
          <cell r="M113">
            <v>784.82012005012507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1127.1891653067423</v>
          </cell>
          <cell r="H114">
            <v>1.1271891653067423</v>
          </cell>
          <cell r="I114">
            <v>4.9176877279476425</v>
          </cell>
          <cell r="J114">
            <v>4.9176877279476427E-3</v>
          </cell>
          <cell r="K114">
            <v>203.77923354624417</v>
          </cell>
          <cell r="L114">
            <v>0.20377923354624417</v>
          </cell>
          <cell r="M114">
            <v>1335.886086580934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197.52128845663506</v>
          </cell>
          <cell r="H115">
            <v>197.52128845663506</v>
          </cell>
          <cell r="I115">
            <v>3.1664621213240505</v>
          </cell>
          <cell r="J115">
            <v>3.1664621213240505</v>
          </cell>
          <cell r="K115">
            <v>36.123795104032638</v>
          </cell>
          <cell r="L115">
            <v>36.123795104032638</v>
          </cell>
          <cell r="M115">
            <v>236.81154568199176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11.124917021395646</v>
          </cell>
          <cell r="H116">
            <v>11.124917021395646</v>
          </cell>
          <cell r="I116">
            <v>4.7186384627688094E-2</v>
          </cell>
          <cell r="J116">
            <v>4.7186384627688094E-2</v>
          </cell>
          <cell r="K116">
            <v>2.0109786130842</v>
          </cell>
          <cell r="L116">
            <v>2.0109786130842</v>
          </cell>
          <cell r="M116">
            <v>13.183082019107534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153.68430141795727</v>
          </cell>
          <cell r="H117">
            <v>153.68430141795727</v>
          </cell>
          <cell r="I117">
            <v>1.1027213302731091</v>
          </cell>
          <cell r="J117">
            <v>1.1027213302731091</v>
          </cell>
          <cell r="K117">
            <v>27.861664094681469</v>
          </cell>
          <cell r="L117">
            <v>27.861664094681469</v>
          </cell>
          <cell r="M117">
            <v>182.64868684291184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80.861116214986012</v>
          </cell>
          <cell r="H118">
            <v>80.861116214986012</v>
          </cell>
          <cell r="I118">
            <v>1.3088645629854605</v>
          </cell>
          <cell r="J118">
            <v>1.3088645629854605</v>
          </cell>
          <cell r="K118">
            <v>14.790596540034866</v>
          </cell>
          <cell r="L118">
            <v>14.790596540034866</v>
          </cell>
          <cell r="M118">
            <v>96.960577318006344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737.20144217212783</v>
          </cell>
          <cell r="H119">
            <v>737.20144217212783</v>
          </cell>
          <cell r="I119">
            <v>13.300281626629499</v>
          </cell>
          <cell r="J119">
            <v>13.300281626629499</v>
          </cell>
          <cell r="K119">
            <v>135.09031028377632</v>
          </cell>
          <cell r="L119">
            <v>135.09031028377632</v>
          </cell>
          <cell r="M119">
            <v>885.5920340825337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574.12395552686064</v>
          </cell>
          <cell r="H120">
            <v>574.12395552686064</v>
          </cell>
          <cell r="I120">
            <v>1.4407043113950002</v>
          </cell>
          <cell r="J120">
            <v>1.4407043113950002</v>
          </cell>
          <cell r="K120">
            <v>103.60163877088603</v>
          </cell>
          <cell r="L120">
            <v>103.60163877088603</v>
          </cell>
          <cell r="M120">
            <v>679.16629860914168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1.6902493777216936</v>
          </cell>
          <cell r="J121">
            <v>1.6902493777216936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50.414162401066655</v>
          </cell>
          <cell r="H122">
            <v>50.414162401066655</v>
          </cell>
          <cell r="I122">
            <v>0.31976190476190475</v>
          </cell>
          <cell r="J122">
            <v>0.31976190476190475</v>
          </cell>
          <cell r="K122">
            <v>9.1321063750491405</v>
          </cell>
          <cell r="L122">
            <v>9.1321063750491405</v>
          </cell>
          <cell r="M122">
            <v>59.866030680877699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>
            <v>263.23265239268454</v>
          </cell>
          <cell r="H123">
            <v>263.23265239268454</v>
          </cell>
          <cell r="I123">
            <v>2.2578016058070545</v>
          </cell>
          <cell r="J123">
            <v>2.2578016058070545</v>
          </cell>
          <cell r="K123">
            <v>47.788281719728488</v>
          </cell>
          <cell r="L123">
            <v>47.788281719728488</v>
          </cell>
          <cell r="M123">
            <v>313.2787357182201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20.164779185254904</v>
          </cell>
          <cell r="H124">
            <v>20.164779185254904</v>
          </cell>
          <cell r="I124">
            <v>0.10319654528478056</v>
          </cell>
          <cell r="J124">
            <v>0.10319654528478056</v>
          </cell>
          <cell r="K124">
            <v>3.6482356314971431</v>
          </cell>
          <cell r="L124">
            <v>3.6482356314971431</v>
          </cell>
          <cell r="M124">
            <v>23.91621136203683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31.895010763607846</v>
          </cell>
          <cell r="H125">
            <v>31.895010763607846</v>
          </cell>
          <cell r="I125">
            <v>0.16511447245564889</v>
          </cell>
          <cell r="J125">
            <v>0.16511447245564889</v>
          </cell>
          <cell r="K125">
            <v>5.7708225424914295</v>
          </cell>
          <cell r="L125">
            <v>5.7708225424914295</v>
          </cell>
          <cell r="M125">
            <v>37.830947778554929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24.019132404705886</v>
          </cell>
          <cell r="H126">
            <v>24.019132404705886</v>
          </cell>
          <cell r="I126">
            <v>0.12383585434173668</v>
          </cell>
          <cell r="J126">
            <v>0.12383585434173668</v>
          </cell>
          <cell r="K126">
            <v>4.3457342866285718</v>
          </cell>
          <cell r="L126">
            <v>4.3457342866285718</v>
          </cell>
          <cell r="M126">
            <v>28.488702545676198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25.021328441618635</v>
          </cell>
          <cell r="H127">
            <v>25.021328441618635</v>
          </cell>
          <cell r="I127">
            <v>0.13953946840423667</v>
          </cell>
          <cell r="J127">
            <v>0.13953946840423667</v>
          </cell>
          <cell r="K127">
            <v>4.5289562238041166</v>
          </cell>
          <cell r="L127">
            <v>4.5289562238041166</v>
          </cell>
          <cell r="M127">
            <v>29.689824133826988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17.996581549889061</v>
          </cell>
          <cell r="H128">
            <v>17.996581549889061</v>
          </cell>
          <cell r="I128">
            <v>0.11551570278145126</v>
          </cell>
          <cell r="J128">
            <v>0.11551570278145126</v>
          </cell>
          <cell r="K128">
            <v>3.2601775054806921</v>
          </cell>
          <cell r="L128">
            <v>3.2601775054806921</v>
          </cell>
          <cell r="M128">
            <v>21.372274758151203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33.371285131353993</v>
          </cell>
          <cell r="H129">
            <v>33.371285131353993</v>
          </cell>
          <cell r="I129">
            <v>0.21659194271522111</v>
          </cell>
          <cell r="J129">
            <v>0.21659194271522111</v>
          </cell>
          <cell r="K129">
            <v>6.0458178733324583</v>
          </cell>
          <cell r="L129">
            <v>6.0458178733324583</v>
          </cell>
          <cell r="M129">
            <v>39.633694947401672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97.770409055286677</v>
          </cell>
          <cell r="H130">
            <v>97.770409055286677</v>
          </cell>
          <cell r="I130">
            <v>0.37036100550000006</v>
          </cell>
          <cell r="J130">
            <v>0.37036100550000006</v>
          </cell>
          <cell r="K130">
            <v>17.6653386109416</v>
          </cell>
          <cell r="L130">
            <v>17.6653386109416</v>
          </cell>
          <cell r="M130">
            <v>115.80610867172828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1111.1105979254573</v>
          </cell>
          <cell r="H131">
            <v>1.1111105979254574</v>
          </cell>
          <cell r="I131">
            <v>7.0281628825932625</v>
          </cell>
          <cell r="J131">
            <v>7.0281628825932625E-3</v>
          </cell>
          <cell r="K131">
            <v>201.26497694544909</v>
          </cell>
          <cell r="L131">
            <v>0.20126497694544909</v>
          </cell>
          <cell r="M131">
            <v>1319.4037377534996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17.05858239223603</v>
          </cell>
          <cell r="H132">
            <v>17.05858239223603</v>
          </cell>
          <cell r="I132">
            <v>0.10676870748299321</v>
          </cell>
          <cell r="J132">
            <v>0.10676870748299321</v>
          </cell>
          <cell r="K132">
            <v>3.089763197949424</v>
          </cell>
          <cell r="L132">
            <v>3.089763197949424</v>
          </cell>
          <cell r="M132">
            <v>20.255114297668445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17.459846158639255</v>
          </cell>
          <cell r="H133">
            <v>17.459846158639255</v>
          </cell>
          <cell r="I133">
            <v>7.5521632964910226E-2</v>
          </cell>
          <cell r="J133">
            <v>7.5521632964910226E-2</v>
          </cell>
          <cell r="K133">
            <v>3.15636620248875</v>
          </cell>
          <cell r="L133">
            <v>3.15636620248875</v>
          </cell>
          <cell r="M133">
            <v>20.691733994092917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74.356785103247134</v>
          </cell>
          <cell r="H134">
            <v>74.356785103247134</v>
          </cell>
          <cell r="I134">
            <v>2.9973657132111082</v>
          </cell>
          <cell r="J134">
            <v>2.9973657132111082</v>
          </cell>
          <cell r="K134">
            <v>13.923747146962484</v>
          </cell>
          <cell r="L134">
            <v>13.923747146962484</v>
          </cell>
          <cell r="M134">
            <v>91.277897963420727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71.366671995027176</v>
          </cell>
          <cell r="H135">
            <v>71.366671995027176</v>
          </cell>
          <cell r="I135">
            <v>0.2743414855555556</v>
          </cell>
          <cell r="J135">
            <v>0.2743414855555556</v>
          </cell>
          <cell r="K135">
            <v>12.89538242650489</v>
          </cell>
          <cell r="L135">
            <v>12.89538242650489</v>
          </cell>
          <cell r="M135">
            <v>84.536395907087623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2065.7138590009872</v>
          </cell>
          <cell r="H136">
            <v>2.0657138590009874</v>
          </cell>
          <cell r="I136">
            <v>18.448496951582491</v>
          </cell>
          <cell r="J136">
            <v>1.8448496951582492E-2</v>
          </cell>
          <cell r="K136">
            <v>375.14922407146253</v>
          </cell>
          <cell r="L136">
            <v>0.37514922407146251</v>
          </cell>
          <cell r="M136">
            <v>2459.3115800240321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>
            <v>994.32677066597023</v>
          </cell>
          <cell r="H138">
            <v>0.99432677066597019</v>
          </cell>
          <cell r="I138">
            <v>4.7187830687830692</v>
          </cell>
          <cell r="J138">
            <v>4.7187830687830693E-3</v>
          </cell>
          <cell r="K138">
            <v>179.82819967225558</v>
          </cell>
          <cell r="L138">
            <v>0.17982819967225558</v>
          </cell>
          <cell r="M138">
            <v>1178.873753407009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>
            <v>1352.8676339899425</v>
          </cell>
          <cell r="H139">
            <v>1.3528676339899426</v>
          </cell>
          <cell r="I139">
            <v>2.2736692913385825</v>
          </cell>
          <cell r="J139">
            <v>2.2736692913385825E-3</v>
          </cell>
          <cell r="K139">
            <v>243.9254345906306</v>
          </cell>
          <cell r="L139">
            <v>0.2439254345906306</v>
          </cell>
          <cell r="M139">
            <v>1599.0667378719118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2271.1665452662724</v>
          </cell>
          <cell r="H140">
            <v>2.2711665452662722</v>
          </cell>
          <cell r="I140">
            <v>0.385625</v>
          </cell>
          <cell r="J140">
            <v>3.8562500000000001E-4</v>
          </cell>
          <cell r="K140">
            <v>408.87939064792897</v>
          </cell>
          <cell r="L140">
            <v>0.408879390647929</v>
          </cell>
          <cell r="M140">
            <v>2680.4315609142013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>
            <v>843.37340622959209</v>
          </cell>
          <cell r="H141">
            <v>0.84337340622959212</v>
          </cell>
          <cell r="I141">
            <v>21.782539682539685</v>
          </cell>
          <cell r="J141">
            <v>2.1782539682539685E-2</v>
          </cell>
          <cell r="K141">
            <v>155.72807026418371</v>
          </cell>
          <cell r="L141">
            <v>0.15572807026418373</v>
          </cell>
          <cell r="M141">
            <v>1020.8840161763155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>
            <v>2311.4156719550401</v>
          </cell>
          <cell r="H143">
            <v>2.3114156719550403</v>
          </cell>
          <cell r="I143">
            <v>0.88238993653910436</v>
          </cell>
          <cell r="J143">
            <v>8.8238993653910432E-4</v>
          </cell>
          <cell r="K143">
            <v>416.21365114048427</v>
          </cell>
          <cell r="L143">
            <v>0.41621365114048425</v>
          </cell>
          <cell r="M143">
            <v>2728.5117130320637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1852.3829062013331</v>
          </cell>
          <cell r="H146">
            <v>1.8523829062013331</v>
          </cell>
          <cell r="I146">
            <v>24.634860549783554</v>
          </cell>
          <cell r="J146">
            <v>2.4634860549783553E-2</v>
          </cell>
          <cell r="K146">
            <v>337.86319801520096</v>
          </cell>
          <cell r="L146">
            <v>0.33786319801520098</v>
          </cell>
          <cell r="M146">
            <v>2214.8809647663174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1829.1144435830888</v>
          </cell>
          <cell r="H147">
            <v>1.8291144435830888</v>
          </cell>
          <cell r="I147">
            <v>2.0263279655867694</v>
          </cell>
          <cell r="J147">
            <v>2.0263279655867695E-3</v>
          </cell>
          <cell r="K147">
            <v>329.60533887876159</v>
          </cell>
          <cell r="L147">
            <v>0.32960533887876159</v>
          </cell>
          <cell r="M147">
            <v>2160.7461104274371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3237.1169253921566</v>
          </cell>
          <cell r="H148">
            <v>3.2371169253921566</v>
          </cell>
          <cell r="I148">
            <v>2.9813000000000001</v>
          </cell>
          <cell r="J148">
            <v>2.9813000000000001E-3</v>
          </cell>
          <cell r="K148">
            <v>583.21768057058819</v>
          </cell>
          <cell r="L148">
            <v>0.5832176805705882</v>
          </cell>
          <cell r="M148">
            <v>3823.3159059627446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3118.7782368140674</v>
          </cell>
          <cell r="H149">
            <v>3.1187782368140673</v>
          </cell>
          <cell r="I149">
            <v>2.9249851632047474</v>
          </cell>
          <cell r="J149">
            <v>2.9249851632047476E-3</v>
          </cell>
          <cell r="K149">
            <v>561.90657995590902</v>
          </cell>
          <cell r="L149">
            <v>0.56190657995590898</v>
          </cell>
          <cell r="M149">
            <v>3683.6098019331812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20.63336667611064</v>
          </cell>
          <cell r="H150">
            <v>20.63336667611064</v>
          </cell>
          <cell r="I150">
            <v>0.18995501378625559</v>
          </cell>
          <cell r="J150">
            <v>0.18995501378625559</v>
          </cell>
          <cell r="K150">
            <v>3.7481979041814415</v>
          </cell>
          <cell r="L150">
            <v>3.7481979041814415</v>
          </cell>
          <cell r="M150">
            <v>24.571519594078339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146.44815496592585</v>
          </cell>
          <cell r="H151">
            <v>146.44815496592585</v>
          </cell>
          <cell r="I151">
            <v>0.30698408929244192</v>
          </cell>
          <cell r="J151">
            <v>0.30698408929244192</v>
          </cell>
          <cell r="K151">
            <v>26.415925029939295</v>
          </cell>
          <cell r="L151">
            <v>26.415925029939295</v>
          </cell>
          <cell r="M151">
            <v>173.17106408515761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>
            <v>74.698656974358983</v>
          </cell>
          <cell r="H152">
            <v>7.4698656974358985E-2</v>
          </cell>
          <cell r="I152">
            <v>0.20084297142857141</v>
          </cell>
          <cell r="J152">
            <v>2.0084297142857141E-4</v>
          </cell>
          <cell r="K152">
            <v>13.481909990241759</v>
          </cell>
          <cell r="L152">
            <v>1.3481909990241759E-2</v>
          </cell>
          <cell r="M152">
            <v>88.381409936029314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674.55631484374999</v>
          </cell>
          <cell r="H153">
            <v>0.67455631484375</v>
          </cell>
          <cell r="I153">
            <v>0.73530939285714281</v>
          </cell>
          <cell r="J153">
            <v>7.3530939285714283E-4</v>
          </cell>
          <cell r="K153">
            <v>121.55249236258929</v>
          </cell>
          <cell r="L153">
            <v>0.12155249236258929</v>
          </cell>
          <cell r="M153">
            <v>796.84411659919647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2733.832063092199</v>
          </cell>
          <cell r="H155">
            <v>2.7338320630921991</v>
          </cell>
          <cell r="I155">
            <v>9.6664680851063824</v>
          </cell>
          <cell r="J155">
            <v>9.666468085106383E-3</v>
          </cell>
          <cell r="K155">
            <v>493.82973561191494</v>
          </cell>
          <cell r="L155">
            <v>0.49382973561191496</v>
          </cell>
          <cell r="M155">
            <v>3237.3282667892204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3197.7230720946345</v>
          </cell>
          <cell r="H156">
            <v>3.1977230720946346</v>
          </cell>
          <cell r="I156">
            <v>22.073035384300038</v>
          </cell>
          <cell r="J156">
            <v>2.2073035384300038E-2</v>
          </cell>
          <cell r="K156">
            <v>579.56329934620817</v>
          </cell>
          <cell r="L156">
            <v>0.5795632993462082</v>
          </cell>
          <cell r="M156">
            <v>3799.3594068251427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345.47432507488986</v>
          </cell>
          <cell r="H157">
            <v>0.34547432507488984</v>
          </cell>
          <cell r="I157">
            <v>19.250399999999999</v>
          </cell>
          <cell r="J157">
            <v>1.9250399999999997E-2</v>
          </cell>
          <cell r="K157">
            <v>65.65045051348018</v>
          </cell>
          <cell r="L157">
            <v>6.5650450513480174E-2</v>
          </cell>
          <cell r="M157">
            <v>430.37517558837004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>
            <v>786.7699663983143</v>
          </cell>
          <cell r="H158">
            <v>0.78676996639831431</v>
          </cell>
          <cell r="I158">
            <v>0.4195121951219512</v>
          </cell>
          <cell r="J158">
            <v>4.1951219512195118E-4</v>
          </cell>
          <cell r="K158">
            <v>141.69410614681851</v>
          </cell>
          <cell r="L158">
            <v>0.14169410614681852</v>
          </cell>
          <cell r="M158">
            <v>928.88358474025472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2022.8413155242406</v>
          </cell>
          <cell r="H159">
            <v>2.0228413155242406</v>
          </cell>
          <cell r="I159">
            <v>22.635074153035958</v>
          </cell>
          <cell r="J159">
            <v>2.2635074153035957E-2</v>
          </cell>
          <cell r="K159">
            <v>368.18575014190975</v>
          </cell>
          <cell r="L159">
            <v>0.36818575014190974</v>
          </cell>
          <cell r="M159">
            <v>2413.6621398191865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3250.5430822915569</v>
          </cell>
          <cell r="H160">
            <v>3.2505430822915566</v>
          </cell>
          <cell r="I160">
            <v>10.457021041720253</v>
          </cell>
          <cell r="J160">
            <v>1.0457021041720253E-2</v>
          </cell>
          <cell r="K160">
            <v>586.98001859998988</v>
          </cell>
          <cell r="L160">
            <v>0.58698001859998983</v>
          </cell>
          <cell r="M160">
            <v>3847.9801219332667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>
            <v>3065.3532596191235</v>
          </cell>
          <cell r="H161">
            <v>3.0653532596191235</v>
          </cell>
          <cell r="I161">
            <v>33.575727587708244</v>
          </cell>
          <cell r="J161">
            <v>3.3575727587708243E-2</v>
          </cell>
          <cell r="K161">
            <v>557.8072176972297</v>
          </cell>
          <cell r="L161">
            <v>0.55780721769722974</v>
          </cell>
          <cell r="M161">
            <v>3656.7362049040612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4169.3859473000002</v>
          </cell>
          <cell r="H162">
            <v>4.1693859473000003</v>
          </cell>
          <cell r="I162">
            <v>11.123712234298731</v>
          </cell>
          <cell r="J162">
            <v>1.1123712234298731E-2</v>
          </cell>
          <cell r="K162">
            <v>752.49173871617381</v>
          </cell>
          <cell r="L162">
            <v>0.75249173871617381</v>
          </cell>
          <cell r="M162">
            <v>4933.0013982504734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1731.2694774235827</v>
          </cell>
          <cell r="H164">
            <v>1.7312694774235826</v>
          </cell>
          <cell r="I164">
            <v>6.3061469376409365</v>
          </cell>
          <cell r="J164">
            <v>6.3061469376409366E-3</v>
          </cell>
          <cell r="K164">
            <v>312.76361238502022</v>
          </cell>
          <cell r="L164">
            <v>0.31276361238502021</v>
          </cell>
          <cell r="M164">
            <v>2050.3392367462438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1700.8062727272729</v>
          </cell>
          <cell r="H165">
            <v>1.700806272727273</v>
          </cell>
          <cell r="I165">
            <v>0</v>
          </cell>
          <cell r="J165">
            <v>0</v>
          </cell>
          <cell r="K165">
            <v>306.14512909090911</v>
          </cell>
          <cell r="L165">
            <v>0.30614512909090913</v>
          </cell>
          <cell r="M165">
            <v>2006.9514018181821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2905.2996276363638</v>
          </cell>
          <cell r="H166">
            <v>2.9052996276363636</v>
          </cell>
          <cell r="I166">
            <v>0</v>
          </cell>
          <cell r="J166">
            <v>0</v>
          </cell>
          <cell r="K166">
            <v>522.95393297454541</v>
          </cell>
          <cell r="L166">
            <v>0.5229539329745454</v>
          </cell>
          <cell r="M166">
            <v>3428.2535606109091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4705.4037711398687</v>
          </cell>
          <cell r="H167">
            <v>4.7054037711398689</v>
          </cell>
          <cell r="I167">
            <v>0.61866952345679005</v>
          </cell>
          <cell r="J167">
            <v>6.1866952345679003E-4</v>
          </cell>
          <cell r="K167">
            <v>847.08403931939847</v>
          </cell>
          <cell r="L167">
            <v>0.84708403931939846</v>
          </cell>
          <cell r="M167">
            <v>5553.1064799827236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1690.1221517287279</v>
          </cell>
          <cell r="H168">
            <v>1.6901221517287279</v>
          </cell>
          <cell r="I168">
            <v>4.4023736927223727</v>
          </cell>
          <cell r="J168">
            <v>4.4023736927223727E-3</v>
          </cell>
          <cell r="K168">
            <v>305.01441457586105</v>
          </cell>
          <cell r="L168">
            <v>0.30501441457586104</v>
          </cell>
          <cell r="M168">
            <v>1999.5389399973114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2080.2293827160493</v>
          </cell>
          <cell r="H169">
            <v>2.0802293827160492</v>
          </cell>
          <cell r="I169">
            <v>0</v>
          </cell>
          <cell r="J169">
            <v>0</v>
          </cell>
          <cell r="K169">
            <v>374.44128888888883</v>
          </cell>
          <cell r="L169">
            <v>0.37444128888888883</v>
          </cell>
          <cell r="M169">
            <v>2454.670671604938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2311.5165807692306</v>
          </cell>
          <cell r="H170">
            <v>2.3115165807692306</v>
          </cell>
          <cell r="I170">
            <v>0.10230769230769231</v>
          </cell>
          <cell r="J170">
            <v>1.023076923076923E-4</v>
          </cell>
          <cell r="K170">
            <v>416.09139992307684</v>
          </cell>
          <cell r="L170">
            <v>0.41609139992307681</v>
          </cell>
          <cell r="M170">
            <v>2727.7102883846151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2548.8797543999999</v>
          </cell>
          <cell r="H171">
            <v>2.5488797543999997</v>
          </cell>
          <cell r="I171">
            <v>0</v>
          </cell>
          <cell r="J171">
            <v>0</v>
          </cell>
          <cell r="K171">
            <v>458.798355792</v>
          </cell>
          <cell r="L171">
            <v>0.45879835579200001</v>
          </cell>
          <cell r="M171">
            <v>3007.6781101920001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2570.0837697959182</v>
          </cell>
          <cell r="H172">
            <v>2.570083769795918</v>
          </cell>
          <cell r="I172">
            <v>0</v>
          </cell>
          <cell r="J172">
            <v>0</v>
          </cell>
          <cell r="K172">
            <v>462.61507856326529</v>
          </cell>
          <cell r="L172">
            <v>0.46261507856326528</v>
          </cell>
          <cell r="M172">
            <v>3032.6988483591836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2552.0617917739405</v>
          </cell>
          <cell r="H173">
            <v>2.5520617917739403</v>
          </cell>
          <cell r="I173">
            <v>0</v>
          </cell>
          <cell r="J173">
            <v>0</v>
          </cell>
          <cell r="K173">
            <v>459.37112251930927</v>
          </cell>
          <cell r="L173">
            <v>0.45937112251930928</v>
          </cell>
          <cell r="M173">
            <v>3011.4329142932497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4671.1972836666673</v>
          </cell>
          <cell r="H174">
            <v>4.6711972836666673</v>
          </cell>
          <cell r="I174">
            <v>0</v>
          </cell>
          <cell r="J174">
            <v>0</v>
          </cell>
          <cell r="K174">
            <v>840.81551106000006</v>
          </cell>
          <cell r="L174">
            <v>0.84081551106000008</v>
          </cell>
          <cell r="M174">
            <v>5512.0127947266674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3036.7236488398689</v>
          </cell>
          <cell r="H175">
            <v>3.0367236488398688</v>
          </cell>
          <cell r="I175">
            <v>2.1354365079365079</v>
          </cell>
          <cell r="J175">
            <v>2.1354365079365081E-3</v>
          </cell>
          <cell r="K175">
            <v>546.99463536260498</v>
          </cell>
          <cell r="L175">
            <v>0.54699463536260495</v>
          </cell>
          <cell r="M175">
            <v>3585.8537207104105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2500.8875739644973</v>
          </cell>
          <cell r="H176">
            <v>2.5008875739644973</v>
          </cell>
          <cell r="I176">
            <v>20.512820512820515</v>
          </cell>
          <cell r="J176">
            <v>2.0512820512820516E-2</v>
          </cell>
          <cell r="K176">
            <v>453.85207100591714</v>
          </cell>
          <cell r="L176">
            <v>0.45385207100591712</v>
          </cell>
          <cell r="M176">
            <v>2975.2524654832346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980.72025084666097</v>
          </cell>
          <cell r="H177">
            <v>980.72025084666097</v>
          </cell>
          <cell r="I177">
            <v>3.7389025408215</v>
          </cell>
          <cell r="J177">
            <v>3.7389025408215</v>
          </cell>
          <cell r="K177">
            <v>177.20264760974683</v>
          </cell>
          <cell r="L177">
            <v>177.20264760974683</v>
          </cell>
          <cell r="M177">
            <v>1161.6618009972294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1219.9338583397016</v>
          </cell>
          <cell r="H178">
            <v>1219.9338583397016</v>
          </cell>
          <cell r="I178">
            <v>5.4291053587279157</v>
          </cell>
          <cell r="J178">
            <v>5.4291053587279157</v>
          </cell>
          <cell r="K178">
            <v>220.56533346571729</v>
          </cell>
          <cell r="L178">
            <v>220.56533346571729</v>
          </cell>
          <cell r="M178">
            <v>1445.9282971641467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14.736820000000002</v>
          </cell>
          <cell r="H179">
            <v>1.4736820000000001E-2</v>
          </cell>
          <cell r="I179">
            <v>0</v>
          </cell>
          <cell r="J179">
            <v>0</v>
          </cell>
          <cell r="K179">
            <v>2.6526276000000002</v>
          </cell>
          <cell r="L179">
            <v>2.6526276000000001E-3</v>
          </cell>
          <cell r="M179">
            <v>17.3894476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8.6841975000000016</v>
          </cell>
          <cell r="H180">
            <v>8.6841975000000009E-3</v>
          </cell>
          <cell r="I180">
            <v>0</v>
          </cell>
          <cell r="J180">
            <v>0</v>
          </cell>
          <cell r="K180">
            <v>1.5631555500000003</v>
          </cell>
          <cell r="L180">
            <v>1.5631555500000003E-3</v>
          </cell>
          <cell r="M180">
            <v>10.247353050000001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2435.7769357988163</v>
          </cell>
          <cell r="H181">
            <v>2.4357769357988164</v>
          </cell>
          <cell r="I181">
            <v>0.10230769230769231</v>
          </cell>
          <cell r="J181">
            <v>1.023076923076923E-4</v>
          </cell>
          <cell r="K181">
            <v>438.45826382840227</v>
          </cell>
          <cell r="L181">
            <v>0.43845826382840225</v>
          </cell>
          <cell r="M181">
            <v>2874.3375073195261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2420.5462213289939</v>
          </cell>
          <cell r="H182">
            <v>2.4205462213289937</v>
          </cell>
          <cell r="I182">
            <v>0.10230769230769231</v>
          </cell>
          <cell r="J182">
            <v>1.023076923076923E-4</v>
          </cell>
          <cell r="K182">
            <v>435.71673522383423</v>
          </cell>
          <cell r="L182">
            <v>0.43571673522383425</v>
          </cell>
          <cell r="M182">
            <v>2856.3652642451357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151.01027803078128</v>
          </cell>
          <cell r="H183">
            <v>151.01027803078128</v>
          </cell>
          <cell r="I183">
            <v>0.61688794952619053</v>
          </cell>
          <cell r="J183">
            <v>0.61688794952619053</v>
          </cell>
          <cell r="K183">
            <v>27.292889876455344</v>
          </cell>
          <cell r="L183">
            <v>27.292889876455344</v>
          </cell>
          <cell r="M183">
            <v>178.92005585676281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116.59004176522339</v>
          </cell>
          <cell r="H184">
            <v>116.59004176522339</v>
          </cell>
          <cell r="I184">
            <v>0.45266345116666673</v>
          </cell>
          <cell r="J184">
            <v>0.45266345116666673</v>
          </cell>
          <cell r="K184">
            <v>21.06768693895021</v>
          </cell>
          <cell r="L184">
            <v>21.06768693895021</v>
          </cell>
          <cell r="M184">
            <v>138.11039215534026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>
            <v>92.427997222678115</v>
          </cell>
          <cell r="H185">
            <v>92.427997222678115</v>
          </cell>
          <cell r="I185">
            <v>1.834987631804917</v>
          </cell>
          <cell r="J185">
            <v>1.834987631804917</v>
          </cell>
          <cell r="K185">
            <v>16.967337273806947</v>
          </cell>
          <cell r="L185">
            <v>16.967337273806947</v>
          </cell>
          <cell r="M185">
            <v>111.23032212828998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32.482304723896284</v>
          </cell>
          <cell r="H186">
            <v>32.482304723896284</v>
          </cell>
          <cell r="I186">
            <v>1.2355198612274827</v>
          </cell>
          <cell r="J186">
            <v>1.2355198612274827</v>
          </cell>
          <cell r="K186">
            <v>6.0692084253222776</v>
          </cell>
          <cell r="L186">
            <v>6.0692084253222776</v>
          </cell>
          <cell r="M186">
            <v>39.787033010446045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211.86587793396512</v>
          </cell>
          <cell r="H187">
            <v>211.86587793396512</v>
          </cell>
          <cell r="I187">
            <v>1.9865808882750822</v>
          </cell>
          <cell r="J187">
            <v>1.9865808882750822</v>
          </cell>
          <cell r="K187">
            <v>38.493442588003234</v>
          </cell>
          <cell r="L187">
            <v>38.493442588003234</v>
          </cell>
          <cell r="M187">
            <v>252.34590141024344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1047.3570193317335</v>
          </cell>
          <cell r="H188">
            <v>1.0473570193317334</v>
          </cell>
          <cell r="I188">
            <v>24.830661681879363</v>
          </cell>
          <cell r="J188">
            <v>2.4830661681879362E-2</v>
          </cell>
          <cell r="K188">
            <v>192.99378258245028</v>
          </cell>
          <cell r="L188">
            <v>0.19299378258245029</v>
          </cell>
          <cell r="M188">
            <v>1265.1814635960629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18.183517746549324</v>
          </cell>
          <cell r="H189">
            <v>18.183517746549324</v>
          </cell>
          <cell r="I189">
            <v>8.6446774180772845E-2</v>
          </cell>
          <cell r="J189">
            <v>8.6446774180772845E-2</v>
          </cell>
          <cell r="K189">
            <v>3.2885936137314169</v>
          </cell>
          <cell r="L189">
            <v>3.2885936137314169</v>
          </cell>
          <cell r="M189">
            <v>21.558558134461514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855.10302868734209</v>
          </cell>
          <cell r="H190">
            <v>855.10302868734209</v>
          </cell>
          <cell r="I190">
            <v>34.469705701927744</v>
          </cell>
          <cell r="J190">
            <v>34.469705701927744</v>
          </cell>
          <cell r="K190">
            <v>160.12309219006858</v>
          </cell>
          <cell r="L190">
            <v>160.12309219006858</v>
          </cell>
          <cell r="M190">
            <v>1049.6958265793385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28.199463329978187</v>
          </cell>
          <cell r="H191">
            <v>28.199463329978187</v>
          </cell>
          <cell r="I191">
            <v>0.24066015584415587</v>
          </cell>
          <cell r="J191">
            <v>0.24066015584415587</v>
          </cell>
          <cell r="K191">
            <v>5.1192222274480219</v>
          </cell>
          <cell r="L191">
            <v>5.1192222274480219</v>
          </cell>
          <cell r="M191">
            <v>33.559345713270368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13.020592326936573</v>
          </cell>
          <cell r="H192">
            <v>13.020592326936573</v>
          </cell>
          <cell r="I192">
            <v>0.14106612087472528</v>
          </cell>
          <cell r="J192">
            <v>0.14106612087472528</v>
          </cell>
          <cell r="K192">
            <v>2.3690985206060335</v>
          </cell>
          <cell r="L192">
            <v>2.3690985206060335</v>
          </cell>
          <cell r="M192">
            <v>15.530756968417332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123.23849357252328</v>
          </cell>
          <cell r="H193">
            <v>123.23849357252328</v>
          </cell>
          <cell r="I193">
            <v>0.40817757283177664</v>
          </cell>
          <cell r="J193">
            <v>0.40817757283177664</v>
          </cell>
          <cell r="K193">
            <v>22.25640080616391</v>
          </cell>
          <cell r="L193">
            <v>22.25640080616391</v>
          </cell>
          <cell r="M193">
            <v>145.90307195151897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1119.0113017476708</v>
          </cell>
          <cell r="H194">
            <v>1.1190113017476708</v>
          </cell>
          <cell r="I194">
            <v>31.393851377074341</v>
          </cell>
          <cell r="J194">
            <v>3.1393851377074344E-2</v>
          </cell>
          <cell r="K194">
            <v>207.07292756245411</v>
          </cell>
          <cell r="L194">
            <v>0.2070729275624541</v>
          </cell>
          <cell r="M194">
            <v>1357.4780806871993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787.10724549019619</v>
          </cell>
          <cell r="H195">
            <v>0.78710724549019617</v>
          </cell>
          <cell r="I195">
            <v>4.1278618113912229</v>
          </cell>
          <cell r="J195">
            <v>4.1278618113912225E-3</v>
          </cell>
          <cell r="K195">
            <v>142.42231931428572</v>
          </cell>
          <cell r="L195">
            <v>0.14242231931428573</v>
          </cell>
          <cell r="M195">
            <v>933.65742661587308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5107.0512754004876</v>
          </cell>
          <cell r="H196">
            <v>5.1070512754004875</v>
          </cell>
          <cell r="I196">
            <v>6.0775174193548374</v>
          </cell>
          <cell r="J196">
            <v>6.0775174193548375E-3</v>
          </cell>
          <cell r="K196">
            <v>920.36318270757158</v>
          </cell>
          <cell r="L196">
            <v>0.92036318270757156</v>
          </cell>
          <cell r="M196">
            <v>6033.4919755274141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729.56181257871094</v>
          </cell>
          <cell r="H197">
            <v>0.72956181257871089</v>
          </cell>
          <cell r="I197">
            <v>4.8131542825604692</v>
          </cell>
          <cell r="J197">
            <v>4.813154282560469E-3</v>
          </cell>
          <cell r="K197">
            <v>132.18749403502886</v>
          </cell>
          <cell r="L197">
            <v>0.13218749403502886</v>
          </cell>
          <cell r="M197">
            <v>866.56246089630031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1043.0402741254074</v>
          </cell>
          <cell r="H198">
            <v>1.0430402741254075</v>
          </cell>
          <cell r="I198">
            <v>4.1151222833333341</v>
          </cell>
          <cell r="J198">
            <v>4.1151222833333339E-3</v>
          </cell>
          <cell r="K198">
            <v>188.4879713535733</v>
          </cell>
          <cell r="L198">
            <v>0.18848797135357331</v>
          </cell>
          <cell r="M198">
            <v>1235.643367762314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1808.4456904080816</v>
          </cell>
          <cell r="H199">
            <v>1.8084456904080817</v>
          </cell>
          <cell r="I199">
            <v>17.485861229722659</v>
          </cell>
          <cell r="J199">
            <v>1.7485861229722659E-2</v>
          </cell>
          <cell r="K199">
            <v>328.66767929480477</v>
          </cell>
          <cell r="L199">
            <v>0.32866767929480478</v>
          </cell>
          <cell r="M199">
            <v>2154.5992309326089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1566.6368516654547</v>
          </cell>
          <cell r="H200">
            <v>1.5666368516654547</v>
          </cell>
          <cell r="I200">
            <v>13.370008658008659</v>
          </cell>
          <cell r="J200">
            <v>1.3370008658008659E-2</v>
          </cell>
          <cell r="K200">
            <v>284.4012348582234</v>
          </cell>
          <cell r="L200">
            <v>0.28440123485822338</v>
          </cell>
          <cell r="M200">
            <v>1864.4080951816868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1245.5018045996612</v>
          </cell>
          <cell r="H201">
            <v>1.2455018045996613</v>
          </cell>
          <cell r="I201">
            <v>13.899775837776851</v>
          </cell>
          <cell r="J201">
            <v>1.3899775837776851E-2</v>
          </cell>
          <cell r="K201">
            <v>226.69228447873883</v>
          </cell>
          <cell r="L201">
            <v>0.22669228447873882</v>
          </cell>
          <cell r="M201">
            <v>1486.0938649161769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6.8179820607260249</v>
          </cell>
          <cell r="H202">
            <v>6.8179820607260249</v>
          </cell>
          <cell r="I202">
            <v>0.18995501378625559</v>
          </cell>
          <cell r="J202">
            <v>0.18995501378625559</v>
          </cell>
          <cell r="K202">
            <v>1.2614286734122104</v>
          </cell>
          <cell r="L202">
            <v>1.2614286734122104</v>
          </cell>
          <cell r="M202">
            <v>8.2693657479244909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70.858984800828509</v>
          </cell>
          <cell r="H203">
            <v>70.858984800828509</v>
          </cell>
          <cell r="I203">
            <v>0.60472549160173161</v>
          </cell>
          <cell r="J203">
            <v>0.60472549160173161</v>
          </cell>
          <cell r="K203">
            <v>12.863467852637442</v>
          </cell>
          <cell r="L203">
            <v>12.863467852637442</v>
          </cell>
          <cell r="M203">
            <v>84.327178145067677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1217.2279999043506</v>
          </cell>
          <cell r="H204">
            <v>1.2172279999043505</v>
          </cell>
          <cell r="I204">
            <v>4.8023477046500007</v>
          </cell>
          <cell r="J204">
            <v>4.8023477046500009E-3</v>
          </cell>
          <cell r="K204">
            <v>219.96546256962009</v>
          </cell>
          <cell r="L204">
            <v>0.21996546256962007</v>
          </cell>
          <cell r="M204">
            <v>1441.9958101786206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29.656299705185152</v>
          </cell>
          <cell r="H205">
            <v>29.656299705185152</v>
          </cell>
          <cell r="I205">
            <v>0.13531173214622094</v>
          </cell>
          <cell r="J205">
            <v>0.13531173214622094</v>
          </cell>
          <cell r="K205">
            <v>5.3624900587196471</v>
          </cell>
          <cell r="L205">
            <v>5.3624900587196471</v>
          </cell>
          <cell r="M205">
            <v>35.15410149605102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745.83316963709694</v>
          </cell>
          <cell r="H207">
            <v>0.74583316963709689</v>
          </cell>
          <cell r="I207">
            <v>9.6928763440860219</v>
          </cell>
          <cell r="J207">
            <v>9.6928763440860214E-3</v>
          </cell>
          <cell r="K207">
            <v>135.99468827661292</v>
          </cell>
          <cell r="L207">
            <v>0.13599468827661293</v>
          </cell>
          <cell r="M207">
            <v>891.52073425779588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1743.6379999999999</v>
          </cell>
          <cell r="H208">
            <v>1.743638</v>
          </cell>
          <cell r="I208">
            <v>52.656906187624749</v>
          </cell>
          <cell r="J208">
            <v>5.2656906187624745E-2</v>
          </cell>
          <cell r="K208">
            <v>323.33308311377243</v>
          </cell>
          <cell r="L208">
            <v>0.32333308311377246</v>
          </cell>
          <cell r="M208">
            <v>2119.6279893013971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1743.6379999999999</v>
          </cell>
          <cell r="H209">
            <v>1.743638</v>
          </cell>
          <cell r="I209">
            <v>89.341317365269461</v>
          </cell>
          <cell r="J209">
            <v>8.9341317365269457E-2</v>
          </cell>
          <cell r="K209">
            <v>329.93627712574852</v>
          </cell>
          <cell r="L209">
            <v>0.32993627712574852</v>
          </cell>
          <cell r="M209">
            <v>2162.9155944910181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9902.9920000000002</v>
          </cell>
          <cell r="H210">
            <v>9.9029919999999994</v>
          </cell>
          <cell r="I210">
            <v>7.2466666666666661</v>
          </cell>
          <cell r="J210">
            <v>7.246666666666666E-3</v>
          </cell>
          <cell r="K210">
            <v>1783.8429599999999</v>
          </cell>
          <cell r="L210">
            <v>1.7838429599999999</v>
          </cell>
          <cell r="M210">
            <v>11694.081626666666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9902.9920000000002</v>
          </cell>
          <cell r="H211">
            <v>9.9029919999999994</v>
          </cell>
          <cell r="I211">
            <v>13.333333333333332</v>
          </cell>
          <cell r="J211">
            <v>1.3333333333333332E-2</v>
          </cell>
          <cell r="K211">
            <v>1784.9385600000001</v>
          </cell>
          <cell r="L211">
            <v>1.7849385600000001</v>
          </cell>
          <cell r="M211">
            <v>11701.263893333335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1743.6379999999999</v>
          </cell>
          <cell r="H212">
            <v>1.743638</v>
          </cell>
          <cell r="I212">
            <v>112.97604790419163</v>
          </cell>
          <cell r="J212">
            <v>0.11297604790419163</v>
          </cell>
          <cell r="K212">
            <v>334.19052862275447</v>
          </cell>
          <cell r="L212">
            <v>0.33419052862275445</v>
          </cell>
          <cell r="M212">
            <v>2190.8045765269458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887.91940479805646</v>
          </cell>
          <cell r="H213">
            <v>0.88791940479805642</v>
          </cell>
          <cell r="I213">
            <v>6.0698740474021369</v>
          </cell>
          <cell r="J213">
            <v>6.0698740474021372E-3</v>
          </cell>
          <cell r="K213">
            <v>160.91807019218254</v>
          </cell>
          <cell r="L213">
            <v>0.16091807019218254</v>
          </cell>
          <cell r="M213">
            <v>1054.9073490376411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710.50830069705091</v>
          </cell>
          <cell r="H214">
            <v>0.71050830069705095</v>
          </cell>
          <cell r="I214">
            <v>4.5151946891357078</v>
          </cell>
          <cell r="J214">
            <v>4.5151946891357079E-3</v>
          </cell>
          <cell r="K214">
            <v>128.70422916951358</v>
          </cell>
          <cell r="L214">
            <v>0.12870422916951357</v>
          </cell>
          <cell r="M214">
            <v>843.72772455570021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2063.4384707287932</v>
          </cell>
          <cell r="H215">
            <v>2.0634384707287934</v>
          </cell>
          <cell r="I215">
            <v>21.189622802526028</v>
          </cell>
          <cell r="J215">
            <v>2.1189622802526027E-2</v>
          </cell>
          <cell r="K215">
            <v>375.23305683563746</v>
          </cell>
          <cell r="L215">
            <v>0.37523305683563746</v>
          </cell>
          <cell r="M215">
            <v>2459.8611503669567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457.04124051197903</v>
          </cell>
          <cell r="H216">
            <v>0.45704124051197903</v>
          </cell>
          <cell r="I216">
            <v>15.950114867082375</v>
          </cell>
          <cell r="J216">
            <v>1.5950114867082376E-2</v>
          </cell>
          <cell r="K216">
            <v>85.138443968231059</v>
          </cell>
          <cell r="L216">
            <v>8.5138443968231059E-2</v>
          </cell>
          <cell r="M216">
            <v>558.12979934729242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9902.9920000000002</v>
          </cell>
          <cell r="H217">
            <v>9.9029919999999994</v>
          </cell>
          <cell r="I217">
            <v>6.1726666666666663</v>
          </cell>
          <cell r="J217">
            <v>6.1726666666666666E-3</v>
          </cell>
          <cell r="K217">
            <v>1783.6496400000001</v>
          </cell>
          <cell r="L217">
            <v>1.7836496400000001</v>
          </cell>
          <cell r="M217">
            <v>11692.814306666667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1575.6340909284838</v>
          </cell>
          <cell r="H218">
            <v>1.5756340909284838</v>
          </cell>
          <cell r="I218">
            <v>0.78660031695238108</v>
          </cell>
          <cell r="J218">
            <v>7.8660031695238105E-4</v>
          </cell>
          <cell r="K218">
            <v>283.75572442417854</v>
          </cell>
          <cell r="L218">
            <v>0.28375572442417851</v>
          </cell>
          <cell r="M218">
            <v>1860.1764156696149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2805.1123787540432</v>
          </cell>
          <cell r="H219">
            <v>2.8051123787540431</v>
          </cell>
          <cell r="I219">
            <v>1.84845204906981</v>
          </cell>
          <cell r="J219">
            <v>1.8484520490698101E-3</v>
          </cell>
          <cell r="K219">
            <v>505.25294954456029</v>
          </cell>
          <cell r="L219">
            <v>0.50525294954456035</v>
          </cell>
          <cell r="M219">
            <v>3312.213780347673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2254.9061866666666</v>
          </cell>
          <cell r="H220">
            <v>2.2549061866666666</v>
          </cell>
          <cell r="I220">
            <v>2.726E-2</v>
          </cell>
          <cell r="J220">
            <v>2.726E-5</v>
          </cell>
          <cell r="K220">
            <v>405.88802039999996</v>
          </cell>
          <cell r="L220">
            <v>0.40588802039999994</v>
          </cell>
          <cell r="M220">
            <v>2660.8214670666666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1423.3544205714286</v>
          </cell>
          <cell r="H221">
            <v>1.4233544205714286</v>
          </cell>
          <cell r="I221">
            <v>0</v>
          </cell>
          <cell r="J221">
            <v>0</v>
          </cell>
          <cell r="K221">
            <v>256.20379570285712</v>
          </cell>
          <cell r="L221">
            <v>0.25620379570285712</v>
          </cell>
          <cell r="M221">
            <v>1679.5582162742858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1399.525113880874</v>
          </cell>
          <cell r="H222">
            <v>1.399525113880874</v>
          </cell>
          <cell r="I222">
            <v>10.132160525108107</v>
          </cell>
          <cell r="J222">
            <v>1.0132160525108107E-2</v>
          </cell>
          <cell r="K222">
            <v>253.73830939307675</v>
          </cell>
          <cell r="L222">
            <v>0.25373830939307673</v>
          </cell>
          <cell r="M222">
            <v>1663.3955837990588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2280.6412075640264</v>
          </cell>
          <cell r="H223">
            <v>2.2806412075640266</v>
          </cell>
          <cell r="I223">
            <v>15.966807853805742</v>
          </cell>
          <cell r="J223">
            <v>1.5966807853805741E-2</v>
          </cell>
          <cell r="K223">
            <v>413.38944277520977</v>
          </cell>
          <cell r="L223">
            <v>0.41338944277520978</v>
          </cell>
          <cell r="M223">
            <v>2709.9974581930419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2441.91</v>
          </cell>
          <cell r="H225">
            <v>2.44191</v>
          </cell>
          <cell r="I225">
            <v>32</v>
          </cell>
          <cell r="J225">
            <v>3.2000000000000001E-2</v>
          </cell>
          <cell r="K225">
            <v>445.30379999999997</v>
          </cell>
          <cell r="L225">
            <v>0.44530379999999997</v>
          </cell>
          <cell r="M225">
            <v>2919.2138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2589.2930639597316</v>
          </cell>
          <cell r="H226">
            <v>2.5892930639597318</v>
          </cell>
          <cell r="I226">
            <v>41.07681925</v>
          </cell>
          <cell r="J226">
            <v>4.107681925E-2</v>
          </cell>
          <cell r="K226">
            <v>473.46657897775168</v>
          </cell>
          <cell r="L226">
            <v>0.47346657897775168</v>
          </cell>
          <cell r="M226">
            <v>3103.8364621874834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1531.6634364444446</v>
          </cell>
          <cell r="H227">
            <v>1.5316634364444446</v>
          </cell>
          <cell r="I227">
            <v>0</v>
          </cell>
          <cell r="J227">
            <v>0</v>
          </cell>
          <cell r="K227">
            <v>275.69941856000003</v>
          </cell>
          <cell r="L227">
            <v>0.27569941856000002</v>
          </cell>
          <cell r="M227">
            <v>1807.3628550044446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10.666666666666668</v>
          </cell>
          <cell r="H228">
            <v>1.0666666666666668E-2</v>
          </cell>
          <cell r="I228">
            <v>21.826666666666668</v>
          </cell>
          <cell r="J228">
            <v>2.1826666666666668E-2</v>
          </cell>
          <cell r="K228">
            <v>5.8488000000000007</v>
          </cell>
          <cell r="L228">
            <v>5.8488000000000004E-3</v>
          </cell>
          <cell r="M228">
            <v>38.342133333333337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2335.1705555555554</v>
          </cell>
          <cell r="H229">
            <v>2.3351705555555555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1340.6354640908969</v>
          </cell>
          <cell r="H230">
            <v>1.3406354640908968</v>
          </cell>
          <cell r="I230">
            <v>7.3806029934814825</v>
          </cell>
          <cell r="J230">
            <v>7.3806029934814828E-3</v>
          </cell>
          <cell r="K230">
            <v>242.64289207518812</v>
          </cell>
          <cell r="L230">
            <v>0.2426428920751881</v>
          </cell>
          <cell r="M230">
            <v>1590.6589591595666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16</v>
          </cell>
          <cell r="J231">
            <v>1.6E-2</v>
          </cell>
          <cell r="K231">
            <v>147.94139999999993</v>
          </cell>
          <cell r="L231">
            <v>0.14794139999999992</v>
          </cell>
          <cell r="M231">
            <v>969.83806666666624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1713.8206818356355</v>
          </cell>
          <cell r="H232">
            <v>1.7138206818356354</v>
          </cell>
          <cell r="I232">
            <v>2.4281402852571432</v>
          </cell>
          <cell r="J232">
            <v>2.4281402852571431E-3</v>
          </cell>
          <cell r="K232">
            <v>308.92478798176063</v>
          </cell>
          <cell r="L232">
            <v>0.30892478798176065</v>
          </cell>
          <cell r="M232">
            <v>2025.1736101026531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1274.6030711111111</v>
          </cell>
          <cell r="H233">
            <v>1274.6030711111111</v>
          </cell>
          <cell r="I233">
            <v>2.5824449122807018</v>
          </cell>
          <cell r="J233">
            <v>2.5824449122807018</v>
          </cell>
          <cell r="K233">
            <v>229.8933928842105</v>
          </cell>
          <cell r="L233">
            <v>229.8933928842105</v>
          </cell>
          <cell r="M233">
            <v>1507.0789089076022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2407.3901546666671</v>
          </cell>
          <cell r="H234">
            <v>2407.3901546666671</v>
          </cell>
          <cell r="I234">
            <v>314.67599999999999</v>
          </cell>
          <cell r="J234">
            <v>314.67599999999999</v>
          </cell>
          <cell r="K234">
            <v>489.97190784000003</v>
          </cell>
          <cell r="L234">
            <v>489.97190784000003</v>
          </cell>
          <cell r="M234">
            <v>3212.0380625066668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788.18571822222225</v>
          </cell>
          <cell r="H235">
            <v>788.18571822222225</v>
          </cell>
          <cell r="I235">
            <v>0</v>
          </cell>
          <cell r="J235">
            <v>0</v>
          </cell>
          <cell r="K235">
            <v>141.87342928000001</v>
          </cell>
          <cell r="L235">
            <v>141.87342928000001</v>
          </cell>
          <cell r="M235">
            <v>930.05914750222223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1970.9132059654839</v>
          </cell>
          <cell r="H236">
            <v>1970.9132059654839</v>
          </cell>
          <cell r="I236">
            <v>0.37915448430519944</v>
          </cell>
          <cell r="J236">
            <v>0.37915448430519944</v>
          </cell>
          <cell r="K236">
            <v>354.83262488096204</v>
          </cell>
          <cell r="L236">
            <v>354.83262488096204</v>
          </cell>
          <cell r="M236">
            <v>2326.1249853307513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505.53094086401262</v>
          </cell>
          <cell r="H237">
            <v>505.53094086401262</v>
          </cell>
          <cell r="I237">
            <v>0.40217174750014539</v>
          </cell>
          <cell r="J237">
            <v>0.40217174750014539</v>
          </cell>
          <cell r="K237">
            <v>91.067960270072291</v>
          </cell>
          <cell r="L237">
            <v>91.067960270072291</v>
          </cell>
          <cell r="M237">
            <v>597.00107288158506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1276.6642129817446</v>
          </cell>
          <cell r="H238">
            <v>1.2766642129817447</v>
          </cell>
          <cell r="I238">
            <v>0.16021371051001446</v>
          </cell>
          <cell r="J238">
            <v>1.6021371051001446E-4</v>
          </cell>
          <cell r="K238">
            <v>229.82839680460586</v>
          </cell>
          <cell r="L238">
            <v>0.22982839680460587</v>
          </cell>
          <cell r="M238">
            <v>1506.6528234968605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59.547564468330542</v>
          </cell>
          <cell r="H239">
            <v>59.547564468330542</v>
          </cell>
          <cell r="I239">
            <v>1.1738770678710937</v>
          </cell>
          <cell r="J239">
            <v>1.1738770678710937</v>
          </cell>
          <cell r="K239">
            <v>10.929859476516295</v>
          </cell>
          <cell r="L239">
            <v>10.929859476516295</v>
          </cell>
          <cell r="M239">
            <v>71.651301012717937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774.89781919999996</v>
          </cell>
          <cell r="H240">
            <v>0.7748978192</v>
          </cell>
          <cell r="I240">
            <v>9.3461538461538467</v>
          </cell>
          <cell r="J240">
            <v>9.346153846153846E-3</v>
          </cell>
          <cell r="K240">
            <v>141.16391514830767</v>
          </cell>
          <cell r="L240">
            <v>0.14116391514830767</v>
          </cell>
          <cell r="M240">
            <v>925.40788819446141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292.4530276508338</v>
          </cell>
          <cell r="H241">
            <v>292.4530276508338</v>
          </cell>
          <cell r="I241">
            <v>2.7092906382728672</v>
          </cell>
          <cell r="J241">
            <v>2.7092906382728672</v>
          </cell>
          <cell r="K241">
            <v>53.129217292039201</v>
          </cell>
          <cell r="L241">
            <v>53.129217292039201</v>
          </cell>
          <cell r="M241">
            <v>348.29153558114587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916.57361040986723</v>
          </cell>
          <cell r="H242">
            <v>0.91657361040986718</v>
          </cell>
          <cell r="I242">
            <v>0.25745669950421735</v>
          </cell>
          <cell r="J242">
            <v>2.5745669950421734E-4</v>
          </cell>
          <cell r="K242">
            <v>165.02959207968686</v>
          </cell>
          <cell r="L242">
            <v>0.16502959207968687</v>
          </cell>
          <cell r="M242">
            <v>1081.8606591890584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351.19233605583895</v>
          </cell>
          <cell r="H243">
            <v>351.19233605583895</v>
          </cell>
          <cell r="I243">
            <v>19.102501806410256</v>
          </cell>
          <cell r="J243">
            <v>19.102501806410256</v>
          </cell>
          <cell r="K243">
            <v>66.653070815204856</v>
          </cell>
          <cell r="L243">
            <v>66.653070815204856</v>
          </cell>
          <cell r="M243">
            <v>436.94790867745405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866.35822793796569</v>
          </cell>
          <cell r="H244">
            <v>0.86635822793796569</v>
          </cell>
          <cell r="I244">
            <v>0.77464921114467944</v>
          </cell>
          <cell r="J244">
            <v>7.7464921114467941E-4</v>
          </cell>
          <cell r="K244">
            <v>156.08391788683986</v>
          </cell>
          <cell r="L244">
            <v>0.15608391788683987</v>
          </cell>
          <cell r="M244">
            <v>1023.2167950359503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312.25784765262273</v>
          </cell>
          <cell r="H245">
            <v>312.25784765262273</v>
          </cell>
          <cell r="I245">
            <v>2.6294533881578945</v>
          </cell>
          <cell r="J245">
            <v>2.6294533881578945</v>
          </cell>
          <cell r="K245">
            <v>56.679714187340515</v>
          </cell>
          <cell r="L245">
            <v>56.679714187340515</v>
          </cell>
          <cell r="M245">
            <v>371.56701522812114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1149.3234986666666</v>
          </cell>
          <cell r="H246">
            <v>1.1493234986666667</v>
          </cell>
          <cell r="I246">
            <v>6.7777777777777777</v>
          </cell>
          <cell r="J246">
            <v>6.7777777777777775E-3</v>
          </cell>
          <cell r="K246">
            <v>208.09822976000001</v>
          </cell>
          <cell r="L246">
            <v>0.20809822976</v>
          </cell>
          <cell r="M246">
            <v>1364.1995062044446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2050.3041099999996</v>
          </cell>
          <cell r="H247">
            <v>2.0503041099999995</v>
          </cell>
          <cell r="I247">
            <v>1.1573750000000001E-2</v>
          </cell>
          <cell r="J247">
            <v>1.1573750000000001E-5</v>
          </cell>
          <cell r="K247">
            <v>369.0568230749999</v>
          </cell>
          <cell r="L247">
            <v>0.36905682307499987</v>
          </cell>
          <cell r="M247">
            <v>2419.3725068249996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2413.6713177831139</v>
          </cell>
          <cell r="H248">
            <v>2.4136713177831139</v>
          </cell>
          <cell r="I248">
            <v>2.1910563689592588</v>
          </cell>
          <cell r="J248">
            <v>2.1910563689592588E-3</v>
          </cell>
          <cell r="K248">
            <v>434.85522734737316</v>
          </cell>
          <cell r="L248">
            <v>0.43485522734737314</v>
          </cell>
          <cell r="M248">
            <v>2850.7176014994466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1462.08031632389</v>
          </cell>
          <cell r="H249">
            <v>1462.08031632389</v>
          </cell>
          <cell r="I249">
            <v>15.553409456707275</v>
          </cell>
          <cell r="J249">
            <v>15.553409456707275</v>
          </cell>
          <cell r="K249">
            <v>265.97407064050748</v>
          </cell>
          <cell r="L249">
            <v>265.97407064050748</v>
          </cell>
          <cell r="M249">
            <v>1743.6077964211047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258.33727931520275</v>
          </cell>
          <cell r="H250">
            <v>258.33727931520275</v>
          </cell>
          <cell r="I250">
            <v>4.6020344289855064</v>
          </cell>
          <cell r="J250">
            <v>4.6020344289855064</v>
          </cell>
          <cell r="K250">
            <v>47.32907647395389</v>
          </cell>
          <cell r="L250">
            <v>47.32907647395389</v>
          </cell>
          <cell r="M250">
            <v>310.26839021814214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1083.2456032136222</v>
          </cell>
          <cell r="H251">
            <v>1.0832456032136222</v>
          </cell>
          <cell r="I251">
            <v>0.3151437125748503</v>
          </cell>
          <cell r="J251">
            <v>3.151437125748503E-4</v>
          </cell>
          <cell r="K251">
            <v>195.04093444671545</v>
          </cell>
          <cell r="L251">
            <v>0.19504093444671544</v>
          </cell>
          <cell r="M251">
            <v>1278.6016813729125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3135.7937617777779</v>
          </cell>
          <cell r="H252">
            <v>3.1357937617777778</v>
          </cell>
          <cell r="I252">
            <v>0</v>
          </cell>
          <cell r="J252">
            <v>0</v>
          </cell>
          <cell r="K252">
            <v>564.44287712000005</v>
          </cell>
          <cell r="L252">
            <v>0.56444287712000007</v>
          </cell>
          <cell r="M252">
            <v>3700.236638897778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618.44698956971695</v>
          </cell>
          <cell r="H253">
            <v>618.44698956971695</v>
          </cell>
          <cell r="I253">
            <v>57.67671428571429</v>
          </cell>
          <cell r="J253">
            <v>57.67671428571429</v>
          </cell>
          <cell r="K253">
            <v>121.70226669397762</v>
          </cell>
          <cell r="L253">
            <v>121.70226669397762</v>
          </cell>
          <cell r="M253">
            <v>797.82597054940891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3754.240751347495</v>
          </cell>
          <cell r="H254">
            <v>3754.240751347495</v>
          </cell>
          <cell r="I254">
            <v>57.67671428571429</v>
          </cell>
          <cell r="J254">
            <v>57.67671428571429</v>
          </cell>
          <cell r="K254">
            <v>686.1451438139776</v>
          </cell>
          <cell r="L254">
            <v>686.1451438139776</v>
          </cell>
          <cell r="M254">
            <v>4498.0626094471872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1439.8384839703704</v>
          </cell>
          <cell r="H255">
            <v>1.4398384839703704</v>
          </cell>
          <cell r="I255">
            <v>7.1297989417989429</v>
          </cell>
          <cell r="J255">
            <v>7.1297989417989432E-3</v>
          </cell>
          <cell r="K255">
            <v>260.45429092419045</v>
          </cell>
          <cell r="L255">
            <v>0.26045429092419042</v>
          </cell>
          <cell r="M255">
            <v>1707.4225738363598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2954.8665287250542</v>
          </cell>
          <cell r="H256">
            <v>2954.8665287250542</v>
          </cell>
          <cell r="I256">
            <v>60.000338624338625</v>
          </cell>
          <cell r="J256">
            <v>60.000338624338625</v>
          </cell>
          <cell r="K256">
            <v>542.67603612289076</v>
          </cell>
          <cell r="L256">
            <v>542.67603612289076</v>
          </cell>
          <cell r="M256">
            <v>3557.5429034722838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632.7036825161473</v>
          </cell>
          <cell r="H257">
            <v>0.63270368251614728</v>
          </cell>
          <cell r="I257">
            <v>10.811826533477756</v>
          </cell>
          <cell r="J257">
            <v>1.0811826533477757E-2</v>
          </cell>
          <cell r="K257">
            <v>115.83279162893251</v>
          </cell>
          <cell r="L257">
            <v>0.11583279162893251</v>
          </cell>
          <cell r="M257">
            <v>759.34830067855751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1101.0603619130438</v>
          </cell>
          <cell r="H258">
            <v>1.1010603619130439</v>
          </cell>
          <cell r="I258">
            <v>6.9523809523809526</v>
          </cell>
          <cell r="J258">
            <v>6.9523809523809529E-3</v>
          </cell>
          <cell r="K258">
            <v>199.44229371577646</v>
          </cell>
          <cell r="L258">
            <v>0.19944229371577646</v>
          </cell>
          <cell r="M258">
            <v>1307.4550365812013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892.79828305829699</v>
          </cell>
          <cell r="H259">
            <v>892.79828305829699</v>
          </cell>
          <cell r="I259">
            <v>13.65929851388889</v>
          </cell>
          <cell r="J259">
            <v>13.65929851388889</v>
          </cell>
          <cell r="K259">
            <v>163.16236468299346</v>
          </cell>
          <cell r="L259">
            <v>163.16236468299346</v>
          </cell>
          <cell r="M259">
            <v>1069.6199462551792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624.94482752465331</v>
          </cell>
          <cell r="H260">
            <v>624.94482752465331</v>
          </cell>
          <cell r="I260">
            <v>4.5659412041762444</v>
          </cell>
          <cell r="J260">
            <v>4.5659412041762444</v>
          </cell>
          <cell r="K260">
            <v>113.31193837118933</v>
          </cell>
          <cell r="L260">
            <v>113.31193837118933</v>
          </cell>
          <cell r="M260">
            <v>742.82270710001887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164.23964247046629</v>
          </cell>
          <cell r="H261">
            <v>164.23964247046629</v>
          </cell>
          <cell r="I261">
            <v>0.26103051666666666</v>
          </cell>
          <cell r="J261">
            <v>0.26103051666666666</v>
          </cell>
          <cell r="K261">
            <v>29.610121137683933</v>
          </cell>
          <cell r="L261">
            <v>29.610121137683933</v>
          </cell>
          <cell r="M261">
            <v>194.11079412481689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505.53094086401262</v>
          </cell>
          <cell r="H262">
            <v>505.53094086401262</v>
          </cell>
          <cell r="I262">
            <v>4.7714496115778156</v>
          </cell>
          <cell r="J262">
            <v>4.7714496115778156</v>
          </cell>
          <cell r="K262">
            <v>91.85443028560627</v>
          </cell>
          <cell r="L262">
            <v>91.85443028560627</v>
          </cell>
          <cell r="M262">
            <v>602.15682076119674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293.29014142389258</v>
          </cell>
          <cell r="H263">
            <v>293.29014142389258</v>
          </cell>
          <cell r="I263">
            <v>5.1999398212121219</v>
          </cell>
          <cell r="J263">
            <v>5.1999398212121219</v>
          </cell>
          <cell r="K263">
            <v>53.728214624118841</v>
          </cell>
          <cell r="L263">
            <v>53.728214624118841</v>
          </cell>
          <cell r="M263">
            <v>352.21829586922354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648.325073021089</v>
          </cell>
          <cell r="H264">
            <v>648.325073021089</v>
          </cell>
          <cell r="I264">
            <v>10.631959238217522</v>
          </cell>
          <cell r="J264">
            <v>10.631959238217522</v>
          </cell>
          <cell r="K264">
            <v>116.91251860667518</v>
          </cell>
          <cell r="L264">
            <v>116.91251860667518</v>
          </cell>
          <cell r="M264">
            <v>775.86955086598164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680.49477611800967</v>
          </cell>
          <cell r="H265">
            <v>680.49477611800967</v>
          </cell>
          <cell r="I265">
            <v>12.245955778642454</v>
          </cell>
          <cell r="J265">
            <v>12.245955778642454</v>
          </cell>
          <cell r="K265">
            <v>124.69333174139739</v>
          </cell>
          <cell r="L265">
            <v>124.69333174139739</v>
          </cell>
          <cell r="M265">
            <v>817.43406363804957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1399.9868107763707</v>
          </cell>
          <cell r="H266">
            <v>1.3999868107763707</v>
          </cell>
          <cell r="I266">
            <v>25.446453812199067</v>
          </cell>
          <cell r="J266">
            <v>2.5446453812199066E-2</v>
          </cell>
          <cell r="K266">
            <v>256.57798762594257</v>
          </cell>
          <cell r="L266">
            <v>0.25657798762594258</v>
          </cell>
          <cell r="M266">
            <v>1682.0112522145123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1256.396727750438</v>
          </cell>
          <cell r="H267">
            <v>1.256396727750438</v>
          </cell>
          <cell r="I267">
            <v>32.753753500000002</v>
          </cell>
          <cell r="J267">
            <v>3.2753753500000003E-2</v>
          </cell>
          <cell r="K267">
            <v>232.0470866250788</v>
          </cell>
          <cell r="L267">
            <v>0.23204708662507881</v>
          </cell>
          <cell r="M267">
            <v>1521.1975678755166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3540.6546363636357</v>
          </cell>
          <cell r="H268">
            <v>3.5406546363636355</v>
          </cell>
          <cell r="I268">
            <v>93.751948051948062</v>
          </cell>
          <cell r="J268">
            <v>9.3751948051948059E-2</v>
          </cell>
          <cell r="K268">
            <v>654.1931851948051</v>
          </cell>
          <cell r="L268">
            <v>0.65419318519480507</v>
          </cell>
          <cell r="M268">
            <v>4288.5997696103886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>
            <v>85.859340659340674</v>
          </cell>
          <cell r="H270">
            <v>8.5859340659340672E-2</v>
          </cell>
          <cell r="I270">
            <v>0</v>
          </cell>
          <cell r="J270">
            <v>0</v>
          </cell>
          <cell r="K270">
            <v>15.45468131868132</v>
          </cell>
          <cell r="L270">
            <v>1.5454681318681321E-2</v>
          </cell>
          <cell r="M270">
            <v>101.314021978022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11304.66085</v>
          </cell>
          <cell r="H271">
            <v>11.304660849999999</v>
          </cell>
          <cell r="I271">
            <v>10.847163466753445</v>
          </cell>
          <cell r="J271">
            <v>1.0847163466753445E-2</v>
          </cell>
          <cell r="K271">
            <v>2036.7914424240155</v>
          </cell>
          <cell r="L271">
            <v>2.0367914424240157</v>
          </cell>
          <cell r="M271">
            <v>13352.299455890769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3031.1271490976992</v>
          </cell>
          <cell r="H272">
            <v>3.0311271490976992</v>
          </cell>
          <cell r="I272">
            <v>37.500779220779222</v>
          </cell>
          <cell r="J272">
            <v>3.7500779220779219E-2</v>
          </cell>
          <cell r="K272">
            <v>552.35302709732616</v>
          </cell>
          <cell r="L272">
            <v>0.55235302709732614</v>
          </cell>
          <cell r="M272">
            <v>3620.9809554158046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>
            <v>1197.5227629725202</v>
          </cell>
          <cell r="H274">
            <v>1.1975227629725202</v>
          </cell>
          <cell r="I274">
            <v>0</v>
          </cell>
          <cell r="J274">
            <v>0</v>
          </cell>
          <cell r="K274">
            <v>215.55409733505363</v>
          </cell>
          <cell r="L274">
            <v>0.21555409733505362</v>
          </cell>
          <cell r="M274">
            <v>1413.076860307574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1218.2821520589678</v>
          </cell>
          <cell r="H275">
            <v>1.2182821520589677</v>
          </cell>
          <cell r="I275">
            <v>5.5795021850245803</v>
          </cell>
          <cell r="J275">
            <v>5.5795021850245799E-3</v>
          </cell>
          <cell r="K275">
            <v>220.29509776391859</v>
          </cell>
          <cell r="L275">
            <v>0.22029509776391859</v>
          </cell>
          <cell r="M275">
            <v>1444.1567520079109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325.0494770807843</v>
          </cell>
          <cell r="H276">
            <v>0.3250494770807843</v>
          </cell>
          <cell r="I276">
            <v>10.250838</v>
          </cell>
          <cell r="J276">
            <v>1.0250838E-2</v>
          </cell>
          <cell r="K276">
            <v>60.354056714541173</v>
          </cell>
          <cell r="L276">
            <v>6.0354056714541172E-2</v>
          </cell>
          <cell r="M276">
            <v>395.65437179532546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2076.0630178422784</v>
          </cell>
          <cell r="H277">
            <v>2.0760630178422783</v>
          </cell>
          <cell r="I277">
            <v>8.1006444549019623</v>
          </cell>
          <cell r="J277">
            <v>8.1006444549019622E-3</v>
          </cell>
          <cell r="K277">
            <v>375.14945921349249</v>
          </cell>
          <cell r="L277">
            <v>0.37514945921349246</v>
          </cell>
          <cell r="M277">
            <v>2459.3131215106732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1572.1220749826598</v>
          </cell>
          <cell r="H278">
            <v>1.5721220749826599</v>
          </cell>
          <cell r="I278">
            <v>0</v>
          </cell>
          <cell r="J278">
            <v>0</v>
          </cell>
          <cell r="K278">
            <v>282.98197349687877</v>
          </cell>
          <cell r="L278">
            <v>0.28298197349687876</v>
          </cell>
          <cell r="M278">
            <v>1855.1040484795385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3296.0385073529415</v>
          </cell>
          <cell r="H279">
            <v>3.2960385073529412</v>
          </cell>
          <cell r="I279">
            <v>83.552083333333343</v>
          </cell>
          <cell r="J279">
            <v>8.3552083333333346E-2</v>
          </cell>
          <cell r="K279">
            <v>608.32630632352948</v>
          </cell>
          <cell r="L279">
            <v>0.60832630632352946</v>
          </cell>
          <cell r="M279">
            <v>3987.9168970098044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8.2362661620939779</v>
          </cell>
          <cell r="J281">
            <v>8.2362661620939779E-3</v>
          </cell>
          <cell r="K281">
            <v>219.12607095553452</v>
          </cell>
          <cell r="L281">
            <v>0.21912607095553452</v>
          </cell>
          <cell r="M281">
            <v>1436.4931318196152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29.445276844915181</v>
          </cell>
          <cell r="J282">
            <v>2.9445276844915182E-2</v>
          </cell>
          <cell r="K282">
            <v>171.7593968420847</v>
          </cell>
          <cell r="L282">
            <v>0.17175939684208469</v>
          </cell>
          <cell r="M282">
            <v>1125.9782681869997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0.35671497584541068</v>
          </cell>
          <cell r="J283">
            <v>3.5671497584541066E-4</v>
          </cell>
          <cell r="K283">
            <v>332.7511652173913</v>
          </cell>
          <cell r="L283">
            <v>0.33275116521739129</v>
          </cell>
          <cell r="M283">
            <v>2181.3687497584542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3917.7710372119082</v>
          </cell>
          <cell r="H284">
            <v>3.9177710372119083</v>
          </cell>
          <cell r="I284">
            <v>37.811593022236636</v>
          </cell>
          <cell r="J284">
            <v>3.7811593022236634E-2</v>
          </cell>
          <cell r="K284">
            <v>712.00487344214605</v>
          </cell>
          <cell r="L284">
            <v>0.71200487344214602</v>
          </cell>
          <cell r="M284">
            <v>4667.5875036762909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3836.977886977887</v>
          </cell>
          <cell r="H285">
            <v>3.8369778869778872</v>
          </cell>
          <cell r="I285">
            <v>1.4250614250614248E-2</v>
          </cell>
          <cell r="J285">
            <v>1.4250614250614247E-5</v>
          </cell>
          <cell r="K285">
            <v>690.6585847665848</v>
          </cell>
          <cell r="L285">
            <v>0.69065858476658482</v>
          </cell>
          <cell r="M285">
            <v>4527.6507223587223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636.36300000000006</v>
          </cell>
          <cell r="H286">
            <v>0.63636300000000001</v>
          </cell>
          <cell r="I286">
            <v>5.5491430000000008</v>
          </cell>
          <cell r="J286">
            <v>5.5491430000000012E-3</v>
          </cell>
          <cell r="K286">
            <v>115.54418574</v>
          </cell>
          <cell r="L286">
            <v>0.11554418574</v>
          </cell>
          <cell r="M286">
            <v>757.45632874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3273.5122763212653</v>
          </cell>
          <cell r="H288">
            <v>3.2735122763212652</v>
          </cell>
          <cell r="I288">
            <v>0</v>
          </cell>
          <cell r="J288">
            <v>0</v>
          </cell>
          <cell r="K288">
            <v>589.2322097378277</v>
          </cell>
          <cell r="L288">
            <v>0.58923220973782775</v>
          </cell>
          <cell r="M288">
            <v>3862.7444860590931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5161.2001984126973</v>
          </cell>
          <cell r="H289">
            <v>5.1612001984126969</v>
          </cell>
          <cell r="I289">
            <v>22.917142857142856</v>
          </cell>
          <cell r="J289">
            <v>2.2917142857142855E-2</v>
          </cell>
          <cell r="K289">
            <v>933.14112142857118</v>
          </cell>
          <cell r="L289">
            <v>0.9331411214285712</v>
          </cell>
          <cell r="M289">
            <v>6117.2584626984108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3509.8510179566574</v>
          </cell>
          <cell r="H290">
            <v>3.5098510179566573</v>
          </cell>
          <cell r="I290">
            <v>84.431578947368436</v>
          </cell>
          <cell r="J290">
            <v>8.4431578947368441E-2</v>
          </cell>
          <cell r="K290">
            <v>646.97086744272463</v>
          </cell>
          <cell r="L290">
            <v>0.64697086744272458</v>
          </cell>
          <cell r="M290">
            <v>4241.2534643467507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11528.645971736596</v>
          </cell>
          <cell r="H291">
            <v>11.528645971736596</v>
          </cell>
          <cell r="I291">
            <v>5.6766899766899765</v>
          </cell>
          <cell r="J291">
            <v>5.6766899766899767E-3</v>
          </cell>
          <cell r="K291">
            <v>2076.1780791083916</v>
          </cell>
          <cell r="L291">
            <v>2.0761780791083915</v>
          </cell>
          <cell r="M291">
            <v>13610.500740821677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1585.9981362644039</v>
          </cell>
          <cell r="H292">
            <v>1.585998136264404</v>
          </cell>
          <cell r="I292">
            <v>2.6436666666666671E-2</v>
          </cell>
          <cell r="J292">
            <v>2.643666666666667E-5</v>
          </cell>
          <cell r="K292">
            <v>285.48442312759272</v>
          </cell>
          <cell r="L292">
            <v>0.2854844231275927</v>
          </cell>
          <cell r="M292">
            <v>1871.5089960586633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1648.6538567901234</v>
          </cell>
          <cell r="H293">
            <v>1.6486538567901234</v>
          </cell>
          <cell r="I293">
            <v>9.4160493827160501</v>
          </cell>
          <cell r="J293">
            <v>9.4160493827160508E-3</v>
          </cell>
          <cell r="K293">
            <v>298.4525831111111</v>
          </cell>
          <cell r="L293">
            <v>0.29845258311111111</v>
          </cell>
          <cell r="M293">
            <v>1956.5224892839506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>
            <v>327.40196874999998</v>
          </cell>
          <cell r="H294">
            <v>0.32740196874999999</v>
          </cell>
          <cell r="I294">
            <v>1</v>
          </cell>
          <cell r="J294">
            <v>1E-3</v>
          </cell>
          <cell r="K294">
            <v>59.112354374999995</v>
          </cell>
          <cell r="L294">
            <v>5.9112354374999995E-2</v>
          </cell>
          <cell r="M294">
            <v>387.51432312499998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4705.1119327731085</v>
          </cell>
          <cell r="H295">
            <v>4.7051119327731081</v>
          </cell>
          <cell r="I295">
            <v>0</v>
          </cell>
          <cell r="J295">
            <v>0</v>
          </cell>
          <cell r="K295">
            <v>846.92014789915947</v>
          </cell>
          <cell r="L295">
            <v>0.84692014789915948</v>
          </cell>
          <cell r="M295">
            <v>5552.0320806722684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615.72089386554626</v>
          </cell>
          <cell r="H296">
            <v>0.61572089386554629</v>
          </cell>
          <cell r="I296">
            <v>4.6614857142857152E-2</v>
          </cell>
          <cell r="J296">
            <v>4.661485714285715E-5</v>
          </cell>
          <cell r="K296">
            <v>110.83815157008405</v>
          </cell>
          <cell r="L296">
            <v>0.11083815157008405</v>
          </cell>
          <cell r="M296">
            <v>726.60566029277322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213.10144444444447</v>
          </cell>
          <cell r="H297">
            <v>0.21310144444444445</v>
          </cell>
          <cell r="I297">
            <v>26.736666666666668</v>
          </cell>
          <cell r="J297">
            <v>2.6736666666666669E-2</v>
          </cell>
          <cell r="K297">
            <v>43.170860000000005</v>
          </cell>
          <cell r="L297">
            <v>4.3170860000000005E-2</v>
          </cell>
          <cell r="M297">
            <v>283.00897111111112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3527.0930232558144</v>
          </cell>
          <cell r="H298">
            <v>3.5270930232558144</v>
          </cell>
          <cell r="I298">
            <v>1.9715503875968996</v>
          </cell>
          <cell r="J298">
            <v>1.9715503875968998E-3</v>
          </cell>
          <cell r="K298">
            <v>635.23162325581404</v>
          </cell>
          <cell r="L298">
            <v>0.63523162325581406</v>
          </cell>
          <cell r="M298">
            <v>4164.2961968992249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205.90227617021276</v>
          </cell>
          <cell r="H299">
            <v>0.20590227617021276</v>
          </cell>
          <cell r="I299">
            <v>7.2978723404255312</v>
          </cell>
          <cell r="J299">
            <v>7.297872340425531E-3</v>
          </cell>
          <cell r="K299">
            <v>38.376026731914891</v>
          </cell>
          <cell r="L299">
            <v>3.837602673191489E-2</v>
          </cell>
          <cell r="M299">
            <v>251.57617524255318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>
            <v>786.7699663983143</v>
          </cell>
          <cell r="H300">
            <v>0.78676996639831431</v>
          </cell>
          <cell r="I300">
            <v>6.567136195121952</v>
          </cell>
          <cell r="J300">
            <v>6.5671361951219519E-3</v>
          </cell>
          <cell r="K300">
            <v>142.80067846681851</v>
          </cell>
          <cell r="L300">
            <v>0.14280067846681851</v>
          </cell>
          <cell r="M300">
            <v>936.13778106025484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>
            <v>1313.328752248291</v>
          </cell>
          <cell r="H301">
            <v>1.313328752248291</v>
          </cell>
          <cell r="I301">
            <v>7.8318615967940106</v>
          </cell>
          <cell r="J301">
            <v>7.8318615967940108E-3</v>
          </cell>
          <cell r="K301">
            <v>237.80891049211527</v>
          </cell>
          <cell r="L301">
            <v>0.23780891049211528</v>
          </cell>
          <cell r="M301">
            <v>1558.9695243372003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>
            <v>1352.8676339899425</v>
          </cell>
          <cell r="H302">
            <v>1.3528676339899426</v>
          </cell>
          <cell r="I302">
            <v>13.760780402449694</v>
          </cell>
          <cell r="J302">
            <v>1.3760780402449694E-2</v>
          </cell>
          <cell r="K302">
            <v>245.9931145906306</v>
          </cell>
          <cell r="L302">
            <v>0.24599311459063058</v>
          </cell>
          <cell r="M302">
            <v>1612.6215289830227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2076.0630178422784</v>
          </cell>
          <cell r="H303">
            <v>2.0760630178422783</v>
          </cell>
          <cell r="I303">
            <v>17.164811121568626</v>
          </cell>
          <cell r="J303">
            <v>1.7164811121568625E-2</v>
          </cell>
          <cell r="K303">
            <v>376.78100921349244</v>
          </cell>
          <cell r="L303">
            <v>0.37678100921349245</v>
          </cell>
          <cell r="M303">
            <v>2470.0088381773394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615.72089386554626</v>
          </cell>
          <cell r="H304">
            <v>0.61572089386554629</v>
          </cell>
          <cell r="I304">
            <v>9.9960910476190481</v>
          </cell>
          <cell r="J304">
            <v>9.9960910476190479E-3</v>
          </cell>
          <cell r="K304">
            <v>112.62905728436975</v>
          </cell>
          <cell r="L304">
            <v>0.11262905728436975</v>
          </cell>
          <cell r="M304">
            <v>738.3460421975351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1448.4863418449668</v>
          </cell>
          <cell r="H305">
            <v>1.4484863418449667</v>
          </cell>
          <cell r="I305">
            <v>18.297377225193106</v>
          </cell>
          <cell r="J305">
            <v>1.8297377225193107E-2</v>
          </cell>
          <cell r="K305">
            <v>264.02106943262874</v>
          </cell>
          <cell r="L305">
            <v>0.26402106943262871</v>
          </cell>
          <cell r="M305">
            <v>1730.8047885027886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205.90227617021276</v>
          </cell>
          <cell r="H306">
            <v>0.20590227617021276</v>
          </cell>
          <cell r="I306">
            <v>17.313948530901719</v>
          </cell>
          <cell r="J306">
            <v>1.7313948530901718E-2</v>
          </cell>
          <cell r="K306">
            <v>40.1789204462006</v>
          </cell>
          <cell r="L306">
            <v>4.0178920446200597E-2</v>
          </cell>
          <cell r="M306">
            <v>263.39514514731508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3250.5430822915569</v>
          </cell>
          <cell r="H307">
            <v>3.2505430822915566</v>
          </cell>
          <cell r="I307">
            <v>16.610798819498029</v>
          </cell>
          <cell r="J307">
            <v>1.6610798819498028E-2</v>
          </cell>
          <cell r="K307">
            <v>588.08769859998984</v>
          </cell>
          <cell r="L307">
            <v>0.58808769859998988</v>
          </cell>
          <cell r="M307">
            <v>3855.2415797110448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4255.5969303797465</v>
          </cell>
          <cell r="H308">
            <v>4.2555969303797463</v>
          </cell>
          <cell r="I308">
            <v>38.155316696805315</v>
          </cell>
          <cell r="J308">
            <v>3.8155316696805316E-2</v>
          </cell>
          <cell r="K308">
            <v>772.87540447377921</v>
          </cell>
          <cell r="L308">
            <v>0.77287540447377923</v>
          </cell>
          <cell r="M308">
            <v>5066.6276515503305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3036.7236488398689</v>
          </cell>
          <cell r="H309">
            <v>3.0367236488398688</v>
          </cell>
          <cell r="I309">
            <v>10.550436507936507</v>
          </cell>
          <cell r="J309">
            <v>1.0550436507936507E-2</v>
          </cell>
          <cell r="K309">
            <v>548.50933536260493</v>
          </cell>
          <cell r="L309">
            <v>0.54850933536260493</v>
          </cell>
          <cell r="M309">
            <v>3595.7834207104102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2413.6713177831139</v>
          </cell>
          <cell r="H310">
            <v>2.4136713177831139</v>
          </cell>
          <cell r="I310">
            <v>10.99969636895926</v>
          </cell>
          <cell r="J310">
            <v>1.099969636895926E-2</v>
          </cell>
          <cell r="K310">
            <v>436.44078254737315</v>
          </cell>
          <cell r="L310">
            <v>0.43644078254737317</v>
          </cell>
          <cell r="M310">
            <v>2861.1117966994461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2225.7325147259262</v>
          </cell>
          <cell r="H311">
            <v>2225.7325147259262</v>
          </cell>
          <cell r="I311">
            <v>0</v>
          </cell>
          <cell r="J311">
            <v>0</v>
          </cell>
          <cell r="K311">
            <v>400.6318526506667</v>
          </cell>
          <cell r="L311">
            <v>400.6318526506667</v>
          </cell>
          <cell r="M311">
            <v>2626.3643673765928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1963.8590909090908</v>
          </cell>
          <cell r="H312">
            <v>1.9638590909090907</v>
          </cell>
          <cell r="I312">
            <v>0</v>
          </cell>
          <cell r="J312">
            <v>0</v>
          </cell>
          <cell r="K312">
            <v>353.49463636363635</v>
          </cell>
          <cell r="L312">
            <v>0.35349463636363637</v>
          </cell>
          <cell r="M312">
            <v>2317.3537272727272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475.28873760077784</v>
          </cell>
          <cell r="H313">
            <v>0.47528873760077783</v>
          </cell>
          <cell r="I313">
            <v>14.239343471074381</v>
          </cell>
          <cell r="J313">
            <v>1.4239343471074381E-2</v>
          </cell>
          <cell r="K313">
            <v>88.115054592933404</v>
          </cell>
          <cell r="L313">
            <v>8.8115054592933409E-2</v>
          </cell>
          <cell r="M313">
            <v>577.64313566478563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1147.8468556499388</v>
          </cell>
          <cell r="H314">
            <v>1.1478468556499388</v>
          </cell>
          <cell r="I314">
            <v>4.8511202218666671</v>
          </cell>
          <cell r="J314">
            <v>4.851120221866667E-3</v>
          </cell>
          <cell r="K314">
            <v>207.48563565692498</v>
          </cell>
          <cell r="L314">
            <v>0.20748563565692499</v>
          </cell>
          <cell r="M314">
            <v>1360.1836115287306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3779.80717753315</v>
          </cell>
          <cell r="H315">
            <v>3.7798071775331499</v>
          </cell>
          <cell r="I315">
            <v>11.779794544444444</v>
          </cell>
          <cell r="J315">
            <v>1.1779794544444444E-2</v>
          </cell>
          <cell r="K315">
            <v>682.48565497396703</v>
          </cell>
          <cell r="L315">
            <v>0.68248565497396707</v>
          </cell>
          <cell r="M315">
            <v>4474.0726270515615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2199.477166666667</v>
          </cell>
          <cell r="H316">
            <v>2.199477166666667</v>
          </cell>
          <cell r="I316">
            <v>2.2996333333333334</v>
          </cell>
          <cell r="J316">
            <v>2.2996333333333333E-3</v>
          </cell>
          <cell r="K316">
            <v>396.3198240000001</v>
          </cell>
          <cell r="L316">
            <v>0.3963198240000001</v>
          </cell>
          <cell r="M316">
            <v>2598.0966240000007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4.9299688473520256</v>
          </cell>
          <cell r="J317">
            <v>4.9299688473520252E-3</v>
          </cell>
          <cell r="K317">
            <v>353.74720747663554</v>
          </cell>
          <cell r="L317">
            <v>0.35374720747663552</v>
          </cell>
          <cell r="M317">
            <v>2319.0094712357218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7693.8508623313128</v>
          </cell>
          <cell r="H318">
            <v>7.6938508623313124</v>
          </cell>
          <cell r="I318">
            <v>4.9449723542857145</v>
          </cell>
          <cell r="J318">
            <v>4.9449723542857142E-3</v>
          </cell>
          <cell r="K318">
            <v>1385.7832502434076</v>
          </cell>
          <cell r="L318">
            <v>1.3857832502434075</v>
          </cell>
          <cell r="M318">
            <v>9084.5790849290061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4111.1111111111104</v>
          </cell>
          <cell r="H319">
            <v>4.1111111111111107</v>
          </cell>
          <cell r="I319">
            <v>0.12340425531914893</v>
          </cell>
          <cell r="J319">
            <v>1.2340425531914893E-4</v>
          </cell>
          <cell r="K319">
            <v>740.02221276595719</v>
          </cell>
          <cell r="L319">
            <v>0.74002221276595714</v>
          </cell>
          <cell r="M319">
            <v>4851.2567281323863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10.131712259371835</v>
          </cell>
          <cell r="J320">
            <v>1.0131712259371834E-2</v>
          </cell>
          <cell r="K320">
            <v>861.69244012158049</v>
          </cell>
          <cell r="L320">
            <v>0.86169244012158053</v>
          </cell>
          <cell r="M320">
            <v>5648.8726630192496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1304.7295591329691</v>
          </cell>
          <cell r="H322">
            <v>1.3047295591329691</v>
          </cell>
          <cell r="I322">
            <v>48.179604863108786</v>
          </cell>
          <cell r="J322">
            <v>4.8179604863108787E-2</v>
          </cell>
          <cell r="K322">
            <v>243.52364951929403</v>
          </cell>
          <cell r="L322">
            <v>0.24352364951929403</v>
          </cell>
          <cell r="M322">
            <v>1596.4328135153719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14.583240000000002</v>
          </cell>
          <cell r="H323">
            <v>1.4583240000000003E-2</v>
          </cell>
          <cell r="I323">
            <v>50.131250000000001</v>
          </cell>
          <cell r="J323">
            <v>5.0131250000000002E-2</v>
          </cell>
          <cell r="K323">
            <v>11.6486082</v>
          </cell>
          <cell r="L323">
            <v>1.16486082E-2</v>
          </cell>
          <cell r="M323">
            <v>76.363098199999996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2396.5216897626465</v>
          </cell>
          <cell r="H324">
            <v>2.3965216897626465</v>
          </cell>
          <cell r="I324">
            <v>0.10203788060417167</v>
          </cell>
          <cell r="J324">
            <v>1.0203788060417167E-4</v>
          </cell>
          <cell r="K324">
            <v>431.3922709757851</v>
          </cell>
          <cell r="L324">
            <v>0.43139227097578509</v>
          </cell>
          <cell r="M324">
            <v>2828.0159986190356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4677.4983573964491</v>
          </cell>
          <cell r="H325">
            <v>4.6774983573964493</v>
          </cell>
          <cell r="I325">
            <v>5.5769230769230758E-2</v>
          </cell>
          <cell r="J325">
            <v>5.5769230769230759E-5</v>
          </cell>
          <cell r="K325">
            <v>841.95974279289931</v>
          </cell>
          <cell r="L325">
            <v>0.84195974279289931</v>
          </cell>
          <cell r="M325">
            <v>5519.5138694201178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2291.9048555555551</v>
          </cell>
          <cell r="H326">
            <v>2.291904855555555</v>
          </cell>
          <cell r="I326">
            <v>9.8518518518518519E-2</v>
          </cell>
          <cell r="J326">
            <v>9.8518518518518521E-5</v>
          </cell>
          <cell r="K326">
            <v>412.56060733333322</v>
          </cell>
          <cell r="L326">
            <v>0.41256060733333322</v>
          </cell>
          <cell r="M326">
            <v>2704.563981407407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2534.2812306425722</v>
          </cell>
          <cell r="H327">
            <v>2.5342812306425722</v>
          </cell>
          <cell r="I327">
            <v>2.3875190384061249E-2</v>
          </cell>
          <cell r="J327">
            <v>2.3875190384061249E-5</v>
          </cell>
          <cell r="K327">
            <v>456.1749190499321</v>
          </cell>
          <cell r="L327">
            <v>0.45617491904993213</v>
          </cell>
          <cell r="M327">
            <v>2990.4800248828883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2343.8621249212474</v>
          </cell>
          <cell r="H328">
            <v>2.3438621249212472</v>
          </cell>
          <cell r="I328">
            <v>2.7884615384615379E-2</v>
          </cell>
          <cell r="J328">
            <v>2.7884615384615379E-5</v>
          </cell>
          <cell r="K328">
            <v>421.90020171659376</v>
          </cell>
          <cell r="L328">
            <v>0.42190020171659376</v>
          </cell>
          <cell r="M328">
            <v>2765.7902112532256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2942.8205128205127</v>
          </cell>
          <cell r="H329">
            <v>2.9428205128205125</v>
          </cell>
          <cell r="I329">
            <v>66.666666666666671</v>
          </cell>
          <cell r="J329">
            <v>6.6666666666666666E-2</v>
          </cell>
          <cell r="K329">
            <v>541.70769230769224</v>
          </cell>
          <cell r="L329">
            <v>0.54170769230769222</v>
          </cell>
          <cell r="M329">
            <v>3551.1948717948717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6477.7777777777774</v>
          </cell>
          <cell r="H330">
            <v>6.477777777777777</v>
          </cell>
          <cell r="I330">
            <v>5.1943750000000009</v>
          </cell>
          <cell r="J330">
            <v>5.1943750000000011E-3</v>
          </cell>
          <cell r="K330">
            <v>1166.9349874999998</v>
          </cell>
          <cell r="L330">
            <v>1.1669349874999999</v>
          </cell>
          <cell r="M330">
            <v>7649.9071402777772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3518.8611111111113</v>
          </cell>
          <cell r="H331">
            <v>3.5188611111111112</v>
          </cell>
          <cell r="I331">
            <v>0</v>
          </cell>
          <cell r="J331">
            <v>0</v>
          </cell>
          <cell r="K331">
            <v>633.39499999999998</v>
          </cell>
          <cell r="L331">
            <v>0.63339499999999993</v>
          </cell>
          <cell r="M331">
            <v>4152.2561111111117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708.62107520295524</v>
          </cell>
          <cell r="H332">
            <v>708.62107520295524</v>
          </cell>
          <cell r="I332">
            <v>4.9852033877619997</v>
          </cell>
          <cell r="J332">
            <v>4.9852033877619997</v>
          </cell>
          <cell r="K332">
            <v>128.44913014632911</v>
          </cell>
          <cell r="L332">
            <v>128.44913014632911</v>
          </cell>
          <cell r="M332">
            <v>842.05540873704638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549.93609489671178</v>
          </cell>
          <cell r="H333">
            <v>0.5499360948967118</v>
          </cell>
          <cell r="I333">
            <v>36.728777738640368</v>
          </cell>
          <cell r="J333">
            <v>3.6728777738640368E-2</v>
          </cell>
          <cell r="K333">
            <v>105.59967707436338</v>
          </cell>
          <cell r="L333">
            <v>0.10559967707436338</v>
          </cell>
          <cell r="M333">
            <v>692.26454970971554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877.30827447023205</v>
          </cell>
          <cell r="H334">
            <v>0.87730827447023207</v>
          </cell>
          <cell r="I334">
            <v>7.2844601412714427</v>
          </cell>
          <cell r="J334">
            <v>7.2844601412714429E-3</v>
          </cell>
          <cell r="K334">
            <v>159.22669223007063</v>
          </cell>
          <cell r="L334">
            <v>0.15922669223007063</v>
          </cell>
          <cell r="M334">
            <v>1043.8194268415741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1507.5943916512326</v>
          </cell>
          <cell r="H335">
            <v>1507.5943916512326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401.62933025404163</v>
          </cell>
          <cell r="H336">
            <v>0.40162933025404163</v>
          </cell>
          <cell r="I336">
            <v>16.786139187986766</v>
          </cell>
          <cell r="J336">
            <v>1.6786139187986767E-2</v>
          </cell>
          <cell r="K336">
            <v>75.314784499565107</v>
          </cell>
          <cell r="L336">
            <v>7.5314784499565107E-2</v>
          </cell>
          <cell r="M336">
            <v>493.7302539415935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560.69315077424608</v>
          </cell>
          <cell r="H337">
            <v>0.56069315077424609</v>
          </cell>
          <cell r="I337">
            <v>16.571583808747622</v>
          </cell>
          <cell r="J337">
            <v>1.6571583808747622E-2</v>
          </cell>
          <cell r="K337">
            <v>103.90765222493886</v>
          </cell>
          <cell r="L337">
            <v>0.10390765222493886</v>
          </cell>
          <cell r="M337">
            <v>681.17238680793253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515.93150087173115</v>
          </cell>
          <cell r="H338">
            <v>0.51593150087173112</v>
          </cell>
          <cell r="I338">
            <v>10.326355531834983</v>
          </cell>
          <cell r="J338">
            <v>1.0326355531834983E-2</v>
          </cell>
          <cell r="K338">
            <v>94.726414152641908</v>
          </cell>
          <cell r="L338">
            <v>9.4726414152641908E-2</v>
          </cell>
          <cell r="M338">
            <v>620.98427055620812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1347.3650545454545</v>
          </cell>
          <cell r="H339">
            <v>1.3473650545454545</v>
          </cell>
          <cell r="I339">
            <v>17.418798766104157</v>
          </cell>
          <cell r="J339">
            <v>1.7418798766104159E-2</v>
          </cell>
          <cell r="K339">
            <v>245.66109359608055</v>
          </cell>
          <cell r="L339">
            <v>0.24566109359608054</v>
          </cell>
          <cell r="M339">
            <v>1610.4449469076392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816.55123530322578</v>
          </cell>
          <cell r="H340">
            <v>0.81655123530322582</v>
          </cell>
          <cell r="I340">
            <v>8.43010752688172</v>
          </cell>
          <cell r="J340">
            <v>8.4301075268817197E-3</v>
          </cell>
          <cell r="K340">
            <v>148.49664170941932</v>
          </cell>
          <cell r="L340">
            <v>0.14849664170941931</v>
          </cell>
          <cell r="M340">
            <v>973.4779845395268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987.94150326159308</v>
          </cell>
          <cell r="H341">
            <v>0.98794150326159313</v>
          </cell>
          <cell r="I341">
            <v>17.72111107589253</v>
          </cell>
          <cell r="J341">
            <v>1.772111107589253E-2</v>
          </cell>
          <cell r="K341">
            <v>181.01927058074739</v>
          </cell>
          <cell r="L341">
            <v>0.18101927058074738</v>
          </cell>
          <cell r="M341">
            <v>1186.681884918233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1408.7496497328627</v>
          </cell>
          <cell r="H342">
            <v>1.4087496497328627</v>
          </cell>
          <cell r="I342">
            <v>0.57668800000000009</v>
          </cell>
          <cell r="J342">
            <v>5.7668800000000011E-4</v>
          </cell>
          <cell r="K342">
            <v>253.67874079191529</v>
          </cell>
          <cell r="L342">
            <v>0.25367874079191527</v>
          </cell>
          <cell r="M342">
            <v>1663.0050785247781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10687.735208333334</v>
          </cell>
          <cell r="H343">
            <v>10.687735208333333</v>
          </cell>
          <cell r="I343">
            <v>12.812619047619048</v>
          </cell>
          <cell r="J343">
            <v>1.2812619047619048E-2</v>
          </cell>
          <cell r="K343">
            <v>1926.0986089285716</v>
          </cell>
          <cell r="L343">
            <v>1.9260986089285717</v>
          </cell>
          <cell r="M343">
            <v>12626.646436309526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1033.1120671599999</v>
          </cell>
          <cell r="H344">
            <v>1.0331120671599998</v>
          </cell>
          <cell r="I344">
            <v>4.0759523809523817</v>
          </cell>
          <cell r="J344">
            <v>4.0759523809523815E-3</v>
          </cell>
          <cell r="K344">
            <v>186.69384351737142</v>
          </cell>
          <cell r="L344">
            <v>0.18669384351737142</v>
          </cell>
          <cell r="M344">
            <v>1223.8818630583237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>
            <v>1251.8050179183344</v>
          </cell>
          <cell r="H345">
            <v>1.2518050179183344</v>
          </cell>
          <cell r="I345">
            <v>0</v>
          </cell>
          <cell r="J345">
            <v>0</v>
          </cell>
          <cell r="K345">
            <v>225.3249032253002</v>
          </cell>
          <cell r="L345">
            <v>0.22532490322530022</v>
          </cell>
          <cell r="M345">
            <v>1477.1299211436346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1131.0209386000001</v>
          </cell>
          <cell r="H346">
            <v>1.1310209386000001</v>
          </cell>
          <cell r="I346">
            <v>4.9390476190476189</v>
          </cell>
          <cell r="J346">
            <v>4.939047619047619E-3</v>
          </cell>
          <cell r="K346">
            <v>204.47279751942858</v>
          </cell>
          <cell r="L346">
            <v>0.2044727975194286</v>
          </cell>
          <cell r="M346">
            <v>1340.4327837384762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884.85541719233152</v>
          </cell>
          <cell r="H347">
            <v>0.88485541719233152</v>
          </cell>
          <cell r="I347">
            <v>5.9325028712783823</v>
          </cell>
          <cell r="J347">
            <v>5.932502871278382E-3</v>
          </cell>
          <cell r="K347">
            <v>160.34182561144979</v>
          </cell>
          <cell r="L347">
            <v>0.1603418256114498</v>
          </cell>
          <cell r="M347">
            <v>1051.1297456750597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686.62027304156868</v>
          </cell>
          <cell r="H348">
            <v>0.6866202730415687</v>
          </cell>
          <cell r="I348">
            <v>15.012360000000001</v>
          </cell>
          <cell r="J348">
            <v>1.5012360000000001E-2</v>
          </cell>
          <cell r="K348">
            <v>126.29387394748235</v>
          </cell>
          <cell r="L348">
            <v>0.12629387394748234</v>
          </cell>
          <cell r="M348">
            <v>827.92650698905095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2311.5165807692306</v>
          </cell>
          <cell r="H350">
            <v>2.3115165807692306</v>
          </cell>
          <cell r="I350">
            <v>2.7884615384615379E-2</v>
          </cell>
          <cell r="J350">
            <v>2.7884615384615379E-5</v>
          </cell>
          <cell r="K350">
            <v>416.07800376923075</v>
          </cell>
          <cell r="L350">
            <v>0.41607800376923076</v>
          </cell>
          <cell r="M350">
            <v>2727.6224691538459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2713.5306756020941</v>
          </cell>
          <cell r="H351">
            <v>2.7135306756020943</v>
          </cell>
          <cell r="I351">
            <v>8.5120000000000001E-2</v>
          </cell>
          <cell r="J351">
            <v>8.5119999999999998E-5</v>
          </cell>
          <cell r="K351">
            <v>488.45084320837697</v>
          </cell>
          <cell r="L351">
            <v>0.48845084320837695</v>
          </cell>
          <cell r="M351">
            <v>3202.0666388104714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537.29821225246872</v>
          </cell>
          <cell r="H352">
            <v>537.29821225246872</v>
          </cell>
          <cell r="I352">
            <v>0.34458252542133339</v>
          </cell>
          <cell r="J352">
            <v>0.34458252542133339</v>
          </cell>
          <cell r="K352">
            <v>96.775703060020192</v>
          </cell>
          <cell r="L352">
            <v>96.775703060020192</v>
          </cell>
          <cell r="M352">
            <v>634.41849783791019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13.015453767078794</v>
          </cell>
          <cell r="H353">
            <v>13.015453767078794</v>
          </cell>
          <cell r="I353">
            <v>0.12240102860805861</v>
          </cell>
          <cell r="J353">
            <v>0.12240102860805861</v>
          </cell>
          <cell r="K353">
            <v>2.3648138632236333</v>
          </cell>
          <cell r="L353">
            <v>2.3648138632236333</v>
          </cell>
          <cell r="M353">
            <v>15.502668658910485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188.81118881118883</v>
          </cell>
          <cell r="H355">
            <v>0.18881118881118883</v>
          </cell>
          <cell r="I355">
            <v>0</v>
          </cell>
          <cell r="J355">
            <v>0</v>
          </cell>
          <cell r="K355">
            <v>33.986013986013987</v>
          </cell>
          <cell r="L355">
            <v>3.3986013986013988E-2</v>
          </cell>
          <cell r="M355">
            <v>222.79720279720283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310.6498950316593</v>
          </cell>
          <cell r="H357">
            <v>310.6498950316593</v>
          </cell>
          <cell r="I357">
            <v>4.6512023477011502</v>
          </cell>
          <cell r="J357">
            <v>4.6512023477011502</v>
          </cell>
          <cell r="K357">
            <v>56.754197528284877</v>
          </cell>
          <cell r="L357">
            <v>56.754197528284877</v>
          </cell>
          <cell r="M357">
            <v>372.0552949076453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91.319654528868796</v>
          </cell>
          <cell r="H358">
            <v>91.319654528868796</v>
          </cell>
          <cell r="I358">
            <v>1.7070609782374488</v>
          </cell>
          <cell r="J358">
            <v>1.7070609782374488</v>
          </cell>
          <cell r="K358">
            <v>16.744808791279123</v>
          </cell>
          <cell r="L358">
            <v>16.744808791279123</v>
          </cell>
          <cell r="M358">
            <v>109.77152429838537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83.979237041252787</v>
          </cell>
          <cell r="H359">
            <v>83.979237041252787</v>
          </cell>
          <cell r="I359">
            <v>2.6611410130952384</v>
          </cell>
          <cell r="J359">
            <v>2.6611410130952384</v>
          </cell>
          <cell r="K359">
            <v>15.595268049782643</v>
          </cell>
          <cell r="L359">
            <v>15.595268049782643</v>
          </cell>
          <cell r="M359">
            <v>102.23564610413067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2680.3210540408163</v>
          </cell>
          <cell r="H360">
            <v>2.6803210540408164</v>
          </cell>
          <cell r="I360">
            <v>8.5120000000000001E-2</v>
          </cell>
          <cell r="J360">
            <v>8.5119999999999998E-5</v>
          </cell>
          <cell r="K360">
            <v>482.47311132734694</v>
          </cell>
          <cell r="L360">
            <v>0.48247311132734694</v>
          </cell>
          <cell r="M360">
            <v>3162.8792853681634</v>
          </cell>
        </row>
        <row r="361">
          <cell r="A361" t="str">
            <v>904000018</v>
          </cell>
          <cell r="B361" t="str">
            <v/>
          </cell>
          <cell r="C361" t="str">
            <v/>
          </cell>
          <cell r="D361" t="str">
            <v/>
          </cell>
          <cell r="E361" t="str">
            <v>Kilo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 t="str">
            <v>907000255</v>
          </cell>
          <cell r="B362" t="str">
            <v xml:space="preserve">Rosquete Vainilla Puratos 700g </v>
          </cell>
          <cell r="C362">
            <v>0</v>
          </cell>
          <cell r="D362">
            <v>0</v>
          </cell>
          <cell r="E362" t="str">
            <v>Und</v>
          </cell>
          <cell r="F362" t="str">
            <v>Und</v>
          </cell>
          <cell r="G362">
            <v>669.49123416679333</v>
          </cell>
          <cell r="H362">
            <v>669.49123416679333</v>
          </cell>
          <cell r="I362">
            <v>10.917717961890375</v>
          </cell>
          <cell r="J362">
            <v>10.917717961890375</v>
          </cell>
          <cell r="K362">
            <v>130.5184698974488</v>
          </cell>
          <cell r="L362">
            <v>130.5184698974488</v>
          </cell>
          <cell r="M362">
            <v>810.92742202613249</v>
          </cell>
        </row>
        <row r="363">
          <cell r="A363"/>
          <cell r="B363" t="str">
            <v/>
          </cell>
          <cell r="C363" t="str">
            <v/>
          </cell>
          <cell r="D363" t="str">
            <v/>
          </cell>
          <cell r="E363"/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</row>
        <row r="364">
          <cell r="A364"/>
          <cell r="B364" t="str">
            <v/>
          </cell>
          <cell r="C364" t="str">
            <v/>
          </cell>
          <cell r="D364" t="str">
            <v/>
          </cell>
          <cell r="E364"/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 t="str">
            <v xml:space="preserve"> </v>
          </cell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2">
          <cell r="A2"/>
          <cell r="B2"/>
          <cell r="C2" t="str">
            <v>ESPECIFICACION DE RECETA</v>
          </cell>
          <cell r="D2"/>
          <cell r="E2"/>
          <cell r="F2"/>
          <cell r="G2"/>
        </row>
        <row r="3">
          <cell r="A3"/>
          <cell r="B3"/>
          <cell r="C3" t="str">
            <v>907000285(SE00434) Batido Easy queque vainilla SP</v>
          </cell>
          <cell r="D3"/>
          <cell r="E3"/>
          <cell r="F3"/>
          <cell r="G3"/>
        </row>
        <row r="4">
          <cell r="A4"/>
          <cell r="B4"/>
          <cell r="C4" t="str">
            <v>Elaborado</v>
          </cell>
          <cell r="D4" t="str">
            <v>Javier Tong, Chef</v>
          </cell>
          <cell r="E4"/>
          <cell r="F4"/>
          <cell r="G4"/>
        </row>
        <row r="5">
          <cell r="A5"/>
          <cell r="B5"/>
          <cell r="C5" t="str">
            <v>Aprobado</v>
          </cell>
          <cell r="D5" t="str">
            <v>Esteban Cartin, Gte Manufactura</v>
          </cell>
          <cell r="E5"/>
          <cell r="F5"/>
          <cell r="G5"/>
        </row>
        <row r="6">
          <cell r="A6" t="str">
            <v>AREA QUE PRODUCE:</v>
          </cell>
          <cell r="B6"/>
          <cell r="C6"/>
          <cell r="D6" t="str">
            <v>Batidos</v>
          </cell>
          <cell r="E6"/>
          <cell r="F6"/>
          <cell r="G6" t="str">
            <v xml:space="preserve">AREA QUE EMPACA: </v>
          </cell>
        </row>
        <row r="7">
          <cell r="A7" t="str">
            <v xml:space="preserve"># Código </v>
          </cell>
          <cell r="B7" t="str">
            <v># Código Netsuite</v>
          </cell>
          <cell r="C7" t="str">
            <v>Descripción del ingrediente</v>
          </cell>
          <cell r="D7" t="str">
            <v xml:space="preserve">Marca </v>
          </cell>
          <cell r="E7" t="str">
            <v>Unidad Internacional</v>
          </cell>
          <cell r="F7"/>
          <cell r="G7" t="str">
            <v>Medida alternativa</v>
          </cell>
        </row>
        <row r="8">
          <cell r="A8"/>
          <cell r="B8"/>
          <cell r="C8"/>
          <cell r="D8"/>
          <cell r="E8" t="str">
            <v>Cantidad</v>
          </cell>
          <cell r="F8" t="str">
            <v xml:space="preserve">Unidad medida </v>
          </cell>
          <cell r="G8" t="str">
            <v>Cantidad</v>
          </cell>
        </row>
        <row r="9">
          <cell r="A9"/>
          <cell r="B9"/>
          <cell r="C9" t="str">
            <v>Ensamble</v>
          </cell>
          <cell r="D9"/>
          <cell r="E9"/>
          <cell r="F9"/>
          <cell r="G9"/>
        </row>
        <row r="10">
          <cell r="A10">
            <v>906000135</v>
          </cell>
          <cell r="B10" t="str">
            <v>SE00435</v>
          </cell>
          <cell r="C10" t="str">
            <v>PREMEZCLA EASY QUEQUE VAINILLA SP</v>
          </cell>
          <cell r="D10" t="str">
            <v>FAS</v>
          </cell>
          <cell r="E10">
            <v>25050</v>
          </cell>
          <cell r="F10" t="str">
            <v>g</v>
          </cell>
          <cell r="G10"/>
        </row>
        <row r="11">
          <cell r="A11" t="str">
            <v>1210482</v>
          </cell>
          <cell r="B11" t="str">
            <v>MP10005</v>
          </cell>
          <cell r="C11" t="str">
            <v>HUEVO LIQUIDO ESPECIAL INNOV (CAJA:10 K)</v>
          </cell>
          <cell r="D11" t="str">
            <v>INNOVO</v>
          </cell>
          <cell r="E11">
            <v>8900</v>
          </cell>
          <cell r="F11" t="str">
            <v>g</v>
          </cell>
          <cell r="G11"/>
        </row>
        <row r="12">
          <cell r="A12" t="str">
            <v>10415</v>
          </cell>
          <cell r="B12"/>
          <cell r="C12" t="str">
            <v>AGUA POTABLE (PLANTA)</v>
          </cell>
          <cell r="D12" t="str">
            <v>FAS</v>
          </cell>
          <cell r="E12">
            <v>5900</v>
          </cell>
          <cell r="F12" t="str">
            <v>g</v>
          </cell>
          <cell r="G12"/>
        </row>
        <row r="13">
          <cell r="A13">
            <v>10100050</v>
          </cell>
          <cell r="B13" t="str">
            <v>MP10002</v>
          </cell>
          <cell r="C13" t="str">
            <v>ACEITE CAPULLO RBD (UND:17 L)</v>
          </cell>
          <cell r="D13" t="str">
            <v>CAPULLO</v>
          </cell>
          <cell r="E13">
            <v>8200</v>
          </cell>
          <cell r="F13" t="str">
            <v>g</v>
          </cell>
          <cell r="G13"/>
        </row>
        <row r="14">
          <cell r="A14"/>
          <cell r="B14"/>
          <cell r="C14"/>
          <cell r="D14"/>
          <cell r="E14"/>
          <cell r="F14"/>
          <cell r="G14"/>
        </row>
        <row r="15">
          <cell r="A15"/>
          <cell r="B15"/>
          <cell r="C15"/>
          <cell r="D15"/>
          <cell r="E15"/>
          <cell r="F15"/>
          <cell r="G15"/>
        </row>
        <row r="16">
          <cell r="A16"/>
          <cell r="B16"/>
          <cell r="C16"/>
          <cell r="D16"/>
          <cell r="E16"/>
          <cell r="F16"/>
          <cell r="G16"/>
        </row>
        <row r="17">
          <cell r="A17"/>
          <cell r="B17"/>
          <cell r="C17"/>
          <cell r="D17"/>
          <cell r="E17"/>
          <cell r="F17"/>
          <cell r="G17"/>
        </row>
        <row r="18">
          <cell r="A18"/>
          <cell r="B18"/>
          <cell r="C18"/>
          <cell r="D18"/>
          <cell r="E18"/>
          <cell r="F18"/>
          <cell r="G18"/>
        </row>
        <row r="19">
          <cell r="A19"/>
          <cell r="B19"/>
          <cell r="C19"/>
          <cell r="D19"/>
          <cell r="E19"/>
          <cell r="F19"/>
          <cell r="G19"/>
        </row>
        <row r="20">
          <cell r="A20"/>
          <cell r="B20"/>
          <cell r="C20"/>
          <cell r="D20"/>
          <cell r="E20"/>
          <cell r="F20"/>
          <cell r="G20"/>
        </row>
        <row r="21">
          <cell r="A21"/>
          <cell r="B21"/>
          <cell r="C21" t="str">
            <v>Decoración</v>
          </cell>
          <cell r="D21"/>
          <cell r="E21"/>
          <cell r="F21"/>
          <cell r="G21"/>
        </row>
        <row r="22">
          <cell r="A22"/>
          <cell r="B22"/>
          <cell r="C22"/>
          <cell r="D22"/>
          <cell r="E22"/>
          <cell r="F22"/>
          <cell r="G22"/>
        </row>
        <row r="23">
          <cell r="A23"/>
          <cell r="B23"/>
          <cell r="C23"/>
          <cell r="D23"/>
          <cell r="E23"/>
          <cell r="F23"/>
          <cell r="G23"/>
        </row>
        <row r="24">
          <cell r="A24"/>
          <cell r="B24"/>
          <cell r="C24"/>
          <cell r="D24"/>
          <cell r="E24"/>
          <cell r="F24"/>
          <cell r="G24"/>
        </row>
        <row r="25">
          <cell r="A25"/>
          <cell r="B25"/>
          <cell r="C25"/>
          <cell r="D25"/>
          <cell r="E25"/>
          <cell r="F25"/>
          <cell r="G25"/>
        </row>
        <row r="26">
          <cell r="A26"/>
          <cell r="B26"/>
          <cell r="C26"/>
          <cell r="D26"/>
          <cell r="E26"/>
          <cell r="F26"/>
          <cell r="G26"/>
        </row>
        <row r="27">
          <cell r="A27"/>
          <cell r="B27"/>
          <cell r="C27"/>
          <cell r="D27"/>
          <cell r="E27"/>
          <cell r="F27"/>
          <cell r="G27"/>
        </row>
        <row r="28">
          <cell r="A28"/>
          <cell r="B28"/>
          <cell r="C28" t="str">
            <v>Empaque</v>
          </cell>
          <cell r="D28"/>
          <cell r="E28"/>
          <cell r="F28"/>
          <cell r="G28"/>
        </row>
        <row r="29">
          <cell r="A29"/>
          <cell r="B29"/>
          <cell r="C29"/>
          <cell r="D29"/>
          <cell r="E29"/>
          <cell r="F29"/>
          <cell r="G29"/>
        </row>
        <row r="30">
          <cell r="A30"/>
          <cell r="B30"/>
          <cell r="C30"/>
          <cell r="D30"/>
          <cell r="E30"/>
          <cell r="F30"/>
          <cell r="G30"/>
        </row>
        <row r="31">
          <cell r="A31"/>
          <cell r="B31"/>
          <cell r="C31"/>
          <cell r="D31"/>
          <cell r="E31"/>
          <cell r="F31"/>
          <cell r="G31"/>
        </row>
        <row r="32">
          <cell r="A32"/>
          <cell r="B32"/>
          <cell r="C32"/>
          <cell r="D32"/>
          <cell r="E32"/>
          <cell r="F32"/>
          <cell r="G32"/>
        </row>
        <row r="33">
          <cell r="A33"/>
          <cell r="B33"/>
          <cell r="C33"/>
          <cell r="D33"/>
          <cell r="E33"/>
          <cell r="F33"/>
          <cell r="G33"/>
        </row>
        <row r="34">
          <cell r="A34"/>
          <cell r="B34"/>
          <cell r="C34"/>
          <cell r="D34"/>
          <cell r="E34"/>
          <cell r="F34"/>
          <cell r="G34"/>
        </row>
        <row r="35">
          <cell r="A35"/>
          <cell r="B35"/>
          <cell r="C35"/>
          <cell r="D35"/>
          <cell r="E35"/>
          <cell r="F35"/>
          <cell r="G35"/>
        </row>
        <row r="36">
          <cell r="A36"/>
          <cell r="B36"/>
          <cell r="C36"/>
          <cell r="D36"/>
          <cell r="E36"/>
          <cell r="F36"/>
          <cell r="G36"/>
        </row>
        <row r="37">
          <cell r="A37"/>
          <cell r="B37"/>
          <cell r="C37" t="str">
            <v/>
          </cell>
          <cell r="D37"/>
          <cell r="E37"/>
          <cell r="F37"/>
          <cell r="G37"/>
        </row>
        <row r="38">
          <cell r="A38"/>
          <cell r="B38"/>
          <cell r="C38" t="str">
            <v/>
          </cell>
          <cell r="D38" t="str">
            <v>Cantidad</v>
          </cell>
          <cell r="E38" t="str">
            <v>Unidad</v>
          </cell>
          <cell r="F38"/>
          <cell r="G38"/>
        </row>
        <row r="39">
          <cell r="A39" t="str">
            <v>PESO TOTAL OBTENIDO</v>
          </cell>
          <cell r="B39"/>
          <cell r="C39"/>
          <cell r="D39">
            <v>47400</v>
          </cell>
          <cell r="E39" t="str">
            <v>g</v>
          </cell>
          <cell r="F39" t="str">
            <v>Tiempo de Horneo:</v>
          </cell>
          <cell r="G39"/>
        </row>
        <row r="40">
          <cell r="A40" t="str">
            <v>TIEMPO TOTAL DE PREPARACION</v>
          </cell>
          <cell r="B40"/>
          <cell r="C40"/>
          <cell r="D40">
            <v>10</v>
          </cell>
          <cell r="E40" t="str">
            <v>min</v>
          </cell>
          <cell r="F40" t="str">
            <v>Horno:</v>
          </cell>
          <cell r="G40"/>
        </row>
        <row r="41">
          <cell r="A41" t="str">
            <v>CANTIDAD DE PORCIONES OBTENIDAS</v>
          </cell>
          <cell r="B41"/>
          <cell r="C41"/>
          <cell r="D41">
            <v>1</v>
          </cell>
          <cell r="E41" t="str">
            <v>ud</v>
          </cell>
          <cell r="F41" t="str">
            <v>Temperatura de Horneo:</v>
          </cell>
          <cell r="G41"/>
        </row>
        <row r="42">
          <cell r="A42" t="str">
            <v>PESO DE CADA PORCIÓN</v>
          </cell>
          <cell r="B42"/>
          <cell r="C42"/>
          <cell r="D42">
            <v>47400</v>
          </cell>
          <cell r="E42" t="str">
            <v>g</v>
          </cell>
          <cell r="F42" t="str">
            <v>Otros</v>
          </cell>
          <cell r="G42"/>
        </row>
        <row r="43">
          <cell r="A43" t="str">
            <v>MERMA</v>
          </cell>
          <cell r="B43"/>
          <cell r="C43"/>
          <cell r="D43">
            <v>650</v>
          </cell>
          <cell r="E43" t="str">
            <v>g</v>
          </cell>
          <cell r="F43"/>
          <cell r="G43"/>
        </row>
        <row r="44">
          <cell r="A44" t="str">
            <v>PROCEDIMIENTO DE PREPARACION DE LA  RECETA</v>
          </cell>
          <cell r="B44"/>
          <cell r="C44"/>
          <cell r="D44"/>
          <cell r="E44"/>
          <cell r="F44"/>
          <cell r="G44"/>
        </row>
        <row r="45">
          <cell r="A45" t="str">
            <v>1.- Colocar todos los ingredientes en la batidora y batir con paleta.</v>
          </cell>
          <cell r="B45"/>
          <cell r="C45"/>
          <cell r="D45"/>
          <cell r="E45"/>
          <cell r="F45"/>
          <cell r="G45"/>
        </row>
        <row r="46">
          <cell r="A46" t="str">
            <v>2.- Batir por 1 minutos en velocidad 1.</v>
          </cell>
          <cell r="B46"/>
          <cell r="C46"/>
          <cell r="D46"/>
          <cell r="E46"/>
          <cell r="F46"/>
          <cell r="G46"/>
        </row>
        <row r="47">
          <cell r="A47" t="str">
            <v>3.- Luego batir por 5 minutos a velocidad 2.</v>
          </cell>
          <cell r="B47"/>
          <cell r="C47"/>
          <cell r="D47"/>
          <cell r="E47"/>
          <cell r="F47"/>
          <cell r="G47"/>
        </row>
        <row r="48">
          <cell r="A48" t="str">
            <v>4.- Pasar a dosificar.</v>
          </cell>
          <cell r="B48"/>
          <cell r="C48"/>
          <cell r="D48"/>
          <cell r="E48"/>
          <cell r="F48"/>
          <cell r="G48"/>
        </row>
        <row r="49">
          <cell r="A49"/>
          <cell r="B49"/>
          <cell r="C49"/>
          <cell r="D49"/>
          <cell r="E49"/>
          <cell r="F49"/>
          <cell r="G49"/>
        </row>
        <row r="50">
          <cell r="A50"/>
          <cell r="B50"/>
          <cell r="C50"/>
          <cell r="D50"/>
          <cell r="E50"/>
          <cell r="F50"/>
          <cell r="G50"/>
        </row>
        <row r="51">
          <cell r="A51"/>
          <cell r="B51"/>
          <cell r="C51"/>
          <cell r="D51"/>
          <cell r="E51"/>
          <cell r="F51"/>
          <cell r="G51"/>
        </row>
        <row r="52">
          <cell r="A52"/>
          <cell r="B52"/>
          <cell r="C52"/>
          <cell r="D52"/>
          <cell r="E52"/>
          <cell r="F52"/>
          <cell r="G52"/>
        </row>
        <row r="53">
          <cell r="A53"/>
          <cell r="B53"/>
          <cell r="C53"/>
          <cell r="D53"/>
          <cell r="E53"/>
          <cell r="F53"/>
          <cell r="G53"/>
        </row>
        <row r="54">
          <cell r="A54"/>
          <cell r="B54"/>
          <cell r="C54"/>
          <cell r="D54"/>
          <cell r="E54"/>
          <cell r="F54"/>
          <cell r="G54"/>
        </row>
        <row r="55">
          <cell r="A55" t="str">
            <v>CONTROL DE CAMBIOS</v>
          </cell>
          <cell r="B55"/>
          <cell r="C55"/>
          <cell r="D55"/>
          <cell r="E55"/>
          <cell r="F55"/>
          <cell r="G55"/>
        </row>
        <row r="56">
          <cell r="A56" t="str">
            <v>2, Actualizacion de procedimeinto</v>
          </cell>
          <cell r="B56"/>
          <cell r="C56"/>
          <cell r="D56"/>
          <cell r="E56"/>
          <cell r="F56"/>
          <cell r="G56"/>
        </row>
        <row r="57">
          <cell r="A57"/>
          <cell r="B57"/>
          <cell r="C57"/>
          <cell r="D57"/>
          <cell r="E57"/>
          <cell r="F57"/>
          <cell r="G57"/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ke Box Pistacho"/>
      <sheetName val="Cake box Pistacho 2"/>
      <sheetName val="Costo Cake Box"/>
      <sheetName val="Crema Pasionata verde"/>
      <sheetName val="Costo Crema Pasionata "/>
      <sheetName val="Salsa Suave de Pistacho "/>
      <sheetName val="Salsa Suave de Pistacho 2"/>
      <sheetName val="Costo Salsa Suave "/>
    </sheetNames>
    <sheetDataSet>
      <sheetData sheetId="0"/>
      <sheetData sheetId="1"/>
      <sheetData sheetId="2"/>
      <sheetData sheetId="3"/>
      <sheetData sheetId="4">
        <row r="69">
          <cell r="E69">
            <v>4.003692</v>
          </cell>
        </row>
        <row r="74">
          <cell r="E74">
            <v>0.154</v>
          </cell>
        </row>
        <row r="76">
          <cell r="E76">
            <v>0</v>
          </cell>
        </row>
      </sheetData>
      <sheetData sheetId="5"/>
      <sheetData sheetId="6"/>
      <sheetData sheetId="7">
        <row r="69">
          <cell r="E69">
            <v>3.7943419999999999</v>
          </cell>
        </row>
        <row r="74">
          <cell r="E74">
            <v>0.10589000000000001</v>
          </cell>
        </row>
        <row r="76">
          <cell r="E76">
            <v>1.9259999999999999E-2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A54DB-43C2-4B2F-B097-D17933D1576D}">
  <dimension ref="A1:K51"/>
  <sheetViews>
    <sheetView zoomScale="73" workbookViewId="0">
      <selection activeCell="C27" sqref="C27"/>
    </sheetView>
  </sheetViews>
  <sheetFormatPr baseColWidth="10" defaultRowHeight="15" x14ac:dyDescent="0.25"/>
  <cols>
    <col min="1" max="1" width="15" customWidth="1"/>
    <col min="2" max="2" width="12.7109375" customWidth="1"/>
    <col min="3" max="3" width="51.7109375" customWidth="1"/>
    <col min="4" max="4" width="26.7109375" customWidth="1"/>
    <col min="5" max="6" width="15.7109375" customWidth="1"/>
    <col min="7" max="7" width="35.5703125" customWidth="1"/>
    <col min="8" max="8" width="39.140625" customWidth="1"/>
    <col min="9" max="9" width="23.42578125" bestFit="1" customWidth="1"/>
  </cols>
  <sheetData>
    <row r="1" spans="1:9" ht="17.25" x14ac:dyDescent="0.3">
      <c r="A1" s="255"/>
      <c r="B1" s="256"/>
      <c r="C1" s="261" t="s">
        <v>30</v>
      </c>
      <c r="D1" s="261"/>
      <c r="E1" s="261"/>
      <c r="F1" s="261"/>
      <c r="G1" s="261"/>
      <c r="H1" s="6" t="s">
        <v>29</v>
      </c>
      <c r="I1" s="7"/>
    </row>
    <row r="2" spans="1:9" ht="18" thickBot="1" x14ac:dyDescent="0.35">
      <c r="A2" s="257"/>
      <c r="B2" s="258"/>
      <c r="C2" s="262" t="s">
        <v>28</v>
      </c>
      <c r="D2" s="262"/>
      <c r="E2" s="262"/>
      <c r="F2" s="262"/>
      <c r="G2" s="262"/>
      <c r="H2" s="8" t="s">
        <v>27</v>
      </c>
      <c r="I2" s="9"/>
    </row>
    <row r="3" spans="1:9" ht="22.9" customHeight="1" thickBot="1" x14ac:dyDescent="0.3">
      <c r="A3" s="257"/>
      <c r="B3" s="258"/>
      <c r="C3" s="263" t="s">
        <v>95</v>
      </c>
      <c r="D3" s="264"/>
      <c r="E3" s="264"/>
      <c r="F3" s="264"/>
      <c r="G3" s="265"/>
      <c r="H3" s="266" t="s">
        <v>26</v>
      </c>
      <c r="I3" s="240"/>
    </row>
    <row r="4" spans="1:9" ht="17.25" x14ac:dyDescent="0.3">
      <c r="A4" s="257"/>
      <c r="B4" s="258"/>
      <c r="C4" s="10" t="s">
        <v>25</v>
      </c>
      <c r="D4" s="243" t="s">
        <v>35</v>
      </c>
      <c r="E4" s="244"/>
      <c r="F4" s="244"/>
      <c r="G4" s="245"/>
      <c r="H4" s="267"/>
      <c r="I4" s="241"/>
    </row>
    <row r="5" spans="1:9" ht="18" thickBot="1" x14ac:dyDescent="0.35">
      <c r="A5" s="259"/>
      <c r="B5" s="260"/>
      <c r="C5" s="11" t="s">
        <v>24</v>
      </c>
      <c r="D5" s="246" t="s">
        <v>47</v>
      </c>
      <c r="E5" s="247"/>
      <c r="F5" s="247"/>
      <c r="G5" s="248"/>
      <c r="H5" s="268"/>
      <c r="I5" s="242"/>
    </row>
    <row r="6" spans="1:9" ht="16.5" thickBot="1" x14ac:dyDescent="0.3">
      <c r="A6" s="269" t="s">
        <v>23</v>
      </c>
      <c r="B6" s="269"/>
      <c r="C6" s="269"/>
      <c r="D6" s="270" t="s">
        <v>59</v>
      </c>
      <c r="E6" s="270"/>
      <c r="F6" s="270"/>
      <c r="G6" s="271" t="s">
        <v>22</v>
      </c>
      <c r="H6" s="271"/>
      <c r="I6" s="12" t="s">
        <v>59</v>
      </c>
    </row>
    <row r="7" spans="1:9" x14ac:dyDescent="0.25">
      <c r="A7" s="272" t="s">
        <v>21</v>
      </c>
      <c r="B7" s="274" t="s">
        <v>31</v>
      </c>
      <c r="C7" s="276" t="s">
        <v>20</v>
      </c>
      <c r="D7" s="276" t="s">
        <v>19</v>
      </c>
      <c r="E7" s="276" t="s">
        <v>18</v>
      </c>
      <c r="F7" s="276"/>
      <c r="G7" s="276" t="s">
        <v>17</v>
      </c>
      <c r="H7" s="276"/>
      <c r="I7" s="13" t="s">
        <v>16</v>
      </c>
    </row>
    <row r="8" spans="1:9" ht="31.5" thickBot="1" x14ac:dyDescent="0.3">
      <c r="A8" s="273"/>
      <c r="B8" s="275"/>
      <c r="C8" s="277"/>
      <c r="D8" s="278"/>
      <c r="E8" s="14" t="s">
        <v>13</v>
      </c>
      <c r="F8" s="15" t="s">
        <v>15</v>
      </c>
      <c r="G8" s="14" t="s">
        <v>13</v>
      </c>
      <c r="H8" s="15" t="s">
        <v>15</v>
      </c>
      <c r="I8" s="16" t="s">
        <v>14</v>
      </c>
    </row>
    <row r="9" spans="1:9" ht="19.899999999999999" customHeight="1" x14ac:dyDescent="0.3">
      <c r="A9" s="88"/>
      <c r="B9" s="89"/>
      <c r="C9" s="72" t="s">
        <v>32</v>
      </c>
      <c r="D9" s="89"/>
      <c r="E9" s="71"/>
      <c r="F9" s="90"/>
      <c r="G9" s="71"/>
      <c r="H9" s="90"/>
      <c r="I9" s="17"/>
    </row>
    <row r="10" spans="1:9" ht="17.45" customHeight="1" x14ac:dyDescent="0.3">
      <c r="A10" s="116" t="s">
        <v>50</v>
      </c>
      <c r="B10" s="116" t="s">
        <v>51</v>
      </c>
      <c r="C10" s="120" t="s">
        <v>52</v>
      </c>
      <c r="D10" s="117" t="s">
        <v>36</v>
      </c>
      <c r="E10" s="62" t="s">
        <v>68</v>
      </c>
      <c r="F10" s="76" t="s">
        <v>37</v>
      </c>
      <c r="G10" s="77" t="s">
        <v>88</v>
      </c>
      <c r="H10" s="91" t="s">
        <v>84</v>
      </c>
      <c r="I10" s="4"/>
    </row>
    <row r="11" spans="1:9" ht="17.45" customHeight="1" x14ac:dyDescent="0.3">
      <c r="A11" s="65"/>
      <c r="B11" s="65" t="s">
        <v>48</v>
      </c>
      <c r="C11" s="73" t="s">
        <v>49</v>
      </c>
      <c r="D11" s="117" t="s">
        <v>36</v>
      </c>
      <c r="E11" s="62">
        <v>120</v>
      </c>
      <c r="F11" s="76" t="s">
        <v>1</v>
      </c>
      <c r="G11" s="77" t="s">
        <v>89</v>
      </c>
      <c r="H11" s="104"/>
      <c r="I11" s="4"/>
    </row>
    <row r="12" spans="1:9" ht="17.45" customHeight="1" x14ac:dyDescent="0.3">
      <c r="A12" s="65"/>
      <c r="B12" s="65" t="s">
        <v>53</v>
      </c>
      <c r="C12" s="73" t="s">
        <v>54</v>
      </c>
      <c r="D12" s="117" t="s">
        <v>36</v>
      </c>
      <c r="E12" s="62">
        <v>60</v>
      </c>
      <c r="F12" s="76" t="s">
        <v>1</v>
      </c>
      <c r="G12" s="77" t="s">
        <v>90</v>
      </c>
      <c r="H12" s="104"/>
      <c r="I12" s="4"/>
    </row>
    <row r="13" spans="1:9" ht="17.45" customHeight="1" x14ac:dyDescent="0.3">
      <c r="A13" s="65"/>
      <c r="B13" s="65" t="s">
        <v>55</v>
      </c>
      <c r="C13" s="73" t="s">
        <v>80</v>
      </c>
      <c r="D13" s="117" t="s">
        <v>36</v>
      </c>
      <c r="E13" s="62">
        <v>160</v>
      </c>
      <c r="F13" s="76" t="s">
        <v>1</v>
      </c>
      <c r="G13" s="77" t="s">
        <v>91</v>
      </c>
      <c r="H13" s="104"/>
      <c r="I13" s="4"/>
    </row>
    <row r="14" spans="1:9" ht="17.45" customHeight="1" x14ac:dyDescent="0.3">
      <c r="A14" s="65"/>
      <c r="B14" s="129" t="s">
        <v>55</v>
      </c>
      <c r="C14" s="128" t="s">
        <v>81</v>
      </c>
      <c r="D14" s="127" t="s">
        <v>36</v>
      </c>
      <c r="E14" s="62">
        <v>240</v>
      </c>
      <c r="F14" s="76" t="s">
        <v>1</v>
      </c>
      <c r="G14" s="77" t="s">
        <v>92</v>
      </c>
      <c r="H14" s="104"/>
      <c r="I14" s="4"/>
    </row>
    <row r="15" spans="1:9" ht="17.45" customHeight="1" x14ac:dyDescent="0.3">
      <c r="A15" s="65"/>
      <c r="B15" s="125"/>
      <c r="C15" s="126"/>
      <c r="D15" s="125"/>
      <c r="E15" s="62"/>
      <c r="F15" s="76"/>
      <c r="G15" s="77"/>
      <c r="H15" s="104"/>
      <c r="I15" s="4"/>
    </row>
    <row r="16" spans="1:9" ht="18.75" x14ac:dyDescent="0.3">
      <c r="A16" s="68"/>
      <c r="B16" s="68"/>
      <c r="C16" s="92" t="s">
        <v>42</v>
      </c>
      <c r="D16" s="65"/>
      <c r="E16" s="73"/>
      <c r="F16" s="65"/>
      <c r="G16" s="64"/>
      <c r="H16" s="65"/>
      <c r="I16" s="4"/>
    </row>
    <row r="17" spans="1:11" ht="18.75" x14ac:dyDescent="0.3">
      <c r="A17" s="68"/>
      <c r="B17" s="65" t="s">
        <v>55</v>
      </c>
      <c r="C17" s="73" t="s">
        <v>80</v>
      </c>
      <c r="D17" s="117" t="s">
        <v>36</v>
      </c>
      <c r="E17" s="62">
        <v>160</v>
      </c>
      <c r="F17" s="76" t="s">
        <v>1</v>
      </c>
      <c r="G17" s="64"/>
      <c r="H17" s="107"/>
      <c r="I17" s="4"/>
      <c r="J17" s="62"/>
    </row>
    <row r="18" spans="1:11" ht="18.75" x14ac:dyDescent="0.3">
      <c r="A18" s="68"/>
      <c r="B18" s="135" t="s">
        <v>82</v>
      </c>
      <c r="C18" s="136" t="s">
        <v>83</v>
      </c>
      <c r="D18" s="138" t="s">
        <v>36</v>
      </c>
      <c r="E18" s="70">
        <v>12</v>
      </c>
      <c r="F18" s="70" t="s">
        <v>1</v>
      </c>
      <c r="G18" s="64" t="s">
        <v>93</v>
      </c>
      <c r="H18" s="107"/>
      <c r="I18" s="4"/>
      <c r="J18" s="62"/>
    </row>
    <row r="19" spans="1:11" ht="18.75" x14ac:dyDescent="0.3">
      <c r="A19" s="68"/>
      <c r="B19" s="113"/>
      <c r="C19" s="114"/>
      <c r="D19" s="111"/>
      <c r="E19" s="70"/>
      <c r="F19" s="70"/>
      <c r="G19" s="64"/>
      <c r="H19" s="107"/>
      <c r="I19" s="4"/>
      <c r="J19" s="62"/>
    </row>
    <row r="20" spans="1:11" ht="18.75" x14ac:dyDescent="0.3">
      <c r="A20" s="73"/>
      <c r="B20" s="69"/>
      <c r="C20" s="93"/>
      <c r="D20" s="74"/>
      <c r="E20" s="69"/>
      <c r="F20" s="94"/>
      <c r="G20" s="71"/>
      <c r="H20" s="90"/>
      <c r="I20" s="17"/>
    </row>
    <row r="21" spans="1:11" ht="18.75" x14ac:dyDescent="0.3">
      <c r="A21" s="68"/>
      <c r="B21" s="68"/>
      <c r="C21" s="92" t="s">
        <v>34</v>
      </c>
      <c r="D21" s="73"/>
      <c r="E21" s="73"/>
      <c r="F21" s="65"/>
      <c r="G21" s="64"/>
      <c r="H21" s="65"/>
      <c r="I21" s="17"/>
    </row>
    <row r="22" spans="1:11" ht="18.75" x14ac:dyDescent="0.3">
      <c r="A22" s="62"/>
      <c r="B22" s="63"/>
      <c r="C22" s="82"/>
      <c r="D22" s="85"/>
      <c r="E22" s="86"/>
      <c r="F22" s="86"/>
      <c r="G22" s="64"/>
      <c r="H22" s="65"/>
      <c r="I22" s="17"/>
    </row>
    <row r="23" spans="1:11" ht="18.75" x14ac:dyDescent="0.3">
      <c r="A23" s="62"/>
      <c r="B23" s="63" t="s">
        <v>56</v>
      </c>
      <c r="C23" s="82" t="s">
        <v>94</v>
      </c>
      <c r="D23" s="85"/>
      <c r="E23" s="86">
        <v>8</v>
      </c>
      <c r="F23" s="86" t="s">
        <v>37</v>
      </c>
      <c r="G23" s="95"/>
      <c r="H23" s="65"/>
      <c r="I23" s="17"/>
    </row>
    <row r="24" spans="1:11" s="61" customFormat="1" ht="18.75" x14ac:dyDescent="0.3">
      <c r="A24" s="62">
        <v>702123</v>
      </c>
      <c r="B24" s="63" t="s">
        <v>38</v>
      </c>
      <c r="C24" s="82" t="s">
        <v>41</v>
      </c>
      <c r="D24" s="85" t="s">
        <v>44</v>
      </c>
      <c r="E24" s="86">
        <v>8</v>
      </c>
      <c r="F24" s="86" t="s">
        <v>37</v>
      </c>
      <c r="G24" s="75"/>
      <c r="H24" s="65"/>
      <c r="I24" s="17"/>
    </row>
    <row r="25" spans="1:11" ht="18.75" x14ac:dyDescent="0.3">
      <c r="A25" s="62">
        <v>701096</v>
      </c>
      <c r="B25" s="87" t="s">
        <v>40</v>
      </c>
      <c r="C25" s="82" t="s">
        <v>43</v>
      </c>
      <c r="D25" s="85" t="s">
        <v>39</v>
      </c>
      <c r="E25" s="86">
        <v>8</v>
      </c>
      <c r="F25" s="86" t="s">
        <v>37</v>
      </c>
      <c r="G25" s="95"/>
      <c r="H25" s="68"/>
      <c r="I25" s="17"/>
    </row>
    <row r="26" spans="1:11" ht="18.75" x14ac:dyDescent="0.3">
      <c r="A26" s="62">
        <v>702007</v>
      </c>
      <c r="B26" s="63" t="s">
        <v>45</v>
      </c>
      <c r="C26" s="82" t="s">
        <v>46</v>
      </c>
      <c r="D26" s="85" t="s">
        <v>39</v>
      </c>
      <c r="E26" s="86">
        <v>8</v>
      </c>
      <c r="F26" s="86" t="s">
        <v>37</v>
      </c>
      <c r="G26" s="71"/>
      <c r="H26" s="68"/>
      <c r="I26" s="17"/>
    </row>
    <row r="27" spans="1:11" ht="18.75" x14ac:dyDescent="0.3">
      <c r="A27" s="69"/>
      <c r="B27" s="96" t="s">
        <v>56</v>
      </c>
      <c r="C27" s="93" t="s">
        <v>155</v>
      </c>
      <c r="D27" s="69"/>
      <c r="E27" s="86">
        <v>8</v>
      </c>
      <c r="F27" s="97" t="s">
        <v>37</v>
      </c>
      <c r="G27" s="64"/>
      <c r="H27" s="98"/>
      <c r="I27" s="17"/>
    </row>
    <row r="28" spans="1:11" ht="18.75" x14ac:dyDescent="0.3">
      <c r="A28" s="99"/>
      <c r="B28" s="100"/>
      <c r="C28" s="101"/>
      <c r="D28" s="63"/>
      <c r="E28" s="64"/>
      <c r="F28" s="102"/>
      <c r="G28" s="64"/>
      <c r="H28" s="98"/>
      <c r="I28" s="17"/>
    </row>
    <row r="29" spans="1:11" ht="18" thickBot="1" x14ac:dyDescent="0.35">
      <c r="A29" s="33"/>
      <c r="B29" s="34"/>
      <c r="C29" s="35"/>
      <c r="D29" s="35"/>
      <c r="E29" s="36"/>
      <c r="F29" s="37"/>
      <c r="G29" s="35"/>
      <c r="H29" s="35"/>
      <c r="I29" s="38"/>
      <c r="K29" s="108"/>
    </row>
    <row r="30" spans="1:11" ht="18" thickBot="1" x14ac:dyDescent="0.35">
      <c r="A30" s="39"/>
      <c r="B30" s="40"/>
      <c r="C30" s="41"/>
      <c r="D30" s="42" t="s">
        <v>13</v>
      </c>
      <c r="E30" s="43" t="s">
        <v>12</v>
      </c>
      <c r="F30" s="44"/>
      <c r="G30" s="41"/>
      <c r="H30" s="41"/>
      <c r="I30" s="45"/>
    </row>
    <row r="31" spans="1:11" ht="17.25" x14ac:dyDescent="0.3">
      <c r="A31" s="279" t="s">
        <v>11</v>
      </c>
      <c r="B31" s="280"/>
      <c r="C31" s="281"/>
      <c r="D31" s="46">
        <v>1024</v>
      </c>
      <c r="E31" s="47" t="s">
        <v>1</v>
      </c>
      <c r="F31" s="282" t="s">
        <v>10</v>
      </c>
      <c r="G31" s="282"/>
      <c r="H31" s="283"/>
      <c r="I31" s="284"/>
    </row>
    <row r="32" spans="1:11" ht="17.25" x14ac:dyDescent="0.3">
      <c r="A32" s="249" t="s">
        <v>9</v>
      </c>
      <c r="B32" s="250"/>
      <c r="C32" s="251"/>
      <c r="D32" s="48">
        <v>4</v>
      </c>
      <c r="E32" s="48" t="s">
        <v>8</v>
      </c>
      <c r="F32" s="252" t="s">
        <v>7</v>
      </c>
      <c r="G32" s="252"/>
      <c r="H32" s="253"/>
      <c r="I32" s="254"/>
    </row>
    <row r="33" spans="1:9" ht="17.25" x14ac:dyDescent="0.3">
      <c r="A33" s="249" t="s">
        <v>6</v>
      </c>
      <c r="B33" s="250"/>
      <c r="C33" s="251"/>
      <c r="D33" s="48">
        <v>8</v>
      </c>
      <c r="E33" s="48" t="s">
        <v>12</v>
      </c>
      <c r="F33" s="252" t="s">
        <v>5</v>
      </c>
      <c r="G33" s="252"/>
      <c r="H33" s="253"/>
      <c r="I33" s="254"/>
    </row>
    <row r="34" spans="1:9" ht="17.25" x14ac:dyDescent="0.3">
      <c r="A34" s="249" t="s">
        <v>4</v>
      </c>
      <c r="B34" s="250"/>
      <c r="C34" s="251"/>
      <c r="D34" s="48">
        <v>128</v>
      </c>
      <c r="E34" s="48" t="s">
        <v>1</v>
      </c>
      <c r="F34" s="285" t="s">
        <v>3</v>
      </c>
      <c r="G34" s="286"/>
      <c r="H34" s="253"/>
      <c r="I34" s="254"/>
    </row>
    <row r="35" spans="1:9" ht="18" thickBot="1" x14ac:dyDescent="0.35">
      <c r="A35" s="287" t="s">
        <v>2</v>
      </c>
      <c r="B35" s="288"/>
      <c r="C35" s="289"/>
      <c r="D35" s="49">
        <v>16</v>
      </c>
      <c r="E35" s="50" t="s">
        <v>1</v>
      </c>
      <c r="F35" s="290"/>
      <c r="G35" s="290"/>
      <c r="H35" s="291"/>
      <c r="I35" s="292"/>
    </row>
    <row r="36" spans="1:9" ht="16.5" thickBot="1" x14ac:dyDescent="0.3">
      <c r="A36" s="296" t="s">
        <v>0</v>
      </c>
      <c r="B36" s="297"/>
      <c r="C36" s="297"/>
      <c r="D36" s="297"/>
      <c r="E36" s="297"/>
      <c r="F36" s="297"/>
      <c r="G36" s="297"/>
      <c r="H36" s="297"/>
      <c r="I36" s="298"/>
    </row>
    <row r="37" spans="1:9" ht="20.45" customHeight="1" x14ac:dyDescent="0.25">
      <c r="A37" s="299" t="s">
        <v>57</v>
      </c>
      <c r="B37" s="300"/>
      <c r="C37" s="300"/>
      <c r="D37" s="300"/>
      <c r="E37" s="300"/>
      <c r="F37" s="300"/>
      <c r="G37" s="300"/>
      <c r="H37" s="300"/>
      <c r="I37" s="301"/>
    </row>
    <row r="38" spans="1:9" ht="22.9" customHeight="1" x14ac:dyDescent="0.25">
      <c r="A38" s="302" t="s">
        <v>85</v>
      </c>
      <c r="B38" s="302"/>
      <c r="C38" s="302"/>
      <c r="D38" s="302"/>
      <c r="E38" s="302"/>
      <c r="F38" s="302"/>
      <c r="G38" s="302"/>
      <c r="H38" s="302"/>
      <c r="I38" s="302"/>
    </row>
    <row r="39" spans="1:9" ht="19.899999999999999" customHeight="1" x14ac:dyDescent="0.25">
      <c r="A39" s="303" t="s">
        <v>86</v>
      </c>
      <c r="B39" s="303"/>
      <c r="C39" s="303"/>
      <c r="D39" s="303"/>
      <c r="E39" s="303"/>
      <c r="F39" s="303"/>
      <c r="G39" s="303"/>
      <c r="H39" s="303"/>
      <c r="I39" s="303"/>
    </row>
    <row r="40" spans="1:9" ht="20.45" customHeight="1" x14ac:dyDescent="0.25">
      <c r="A40" s="303" t="s">
        <v>87</v>
      </c>
      <c r="B40" s="303"/>
      <c r="C40" s="303"/>
      <c r="D40" s="303"/>
      <c r="E40" s="303"/>
      <c r="F40" s="303"/>
      <c r="G40" s="303"/>
      <c r="H40" s="303"/>
      <c r="I40" s="303"/>
    </row>
    <row r="41" spans="1:9" ht="20.45" customHeight="1" x14ac:dyDescent="0.25">
      <c r="A41" s="318" t="s">
        <v>58</v>
      </c>
      <c r="B41" s="318"/>
      <c r="C41" s="318"/>
      <c r="D41" s="318"/>
      <c r="E41" s="318"/>
      <c r="F41" s="318"/>
      <c r="G41" s="318"/>
      <c r="H41" s="318"/>
      <c r="I41" s="318"/>
    </row>
    <row r="42" spans="1:9" ht="20.45" customHeight="1" x14ac:dyDescent="0.25">
      <c r="A42" s="318"/>
      <c r="B42" s="318"/>
      <c r="C42" s="318"/>
      <c r="D42" s="318"/>
      <c r="E42" s="318"/>
      <c r="F42" s="318"/>
      <c r="G42" s="318"/>
      <c r="H42" s="318"/>
      <c r="I42" s="318"/>
    </row>
    <row r="43" spans="1:9" ht="19.899999999999999" customHeight="1" x14ac:dyDescent="0.25">
      <c r="A43" s="304"/>
      <c r="B43" s="305"/>
      <c r="C43" s="306"/>
      <c r="D43" s="306"/>
      <c r="E43" s="306"/>
      <c r="F43" s="306"/>
      <c r="G43" s="306"/>
      <c r="H43" s="306"/>
      <c r="I43" s="307"/>
    </row>
    <row r="44" spans="1:9" ht="18" x14ac:dyDescent="0.25">
      <c r="A44" s="308"/>
      <c r="B44" s="309"/>
      <c r="C44" s="309"/>
      <c r="D44" s="309"/>
      <c r="E44" s="309"/>
      <c r="F44" s="309"/>
      <c r="G44" s="309"/>
      <c r="H44" s="309"/>
      <c r="I44" s="310"/>
    </row>
    <row r="46" spans="1:9" ht="18" customHeight="1" x14ac:dyDescent="0.25">
      <c r="A46" s="311"/>
      <c r="B46" s="312"/>
      <c r="C46" s="313"/>
      <c r="D46" s="313"/>
      <c r="E46" s="313"/>
      <c r="F46" s="313"/>
      <c r="G46" s="313"/>
      <c r="H46" s="313"/>
      <c r="I46" s="314"/>
    </row>
    <row r="47" spans="1:9" ht="17.25" x14ac:dyDescent="0.3">
      <c r="A47" s="315"/>
      <c r="B47" s="316"/>
      <c r="C47" s="316"/>
      <c r="D47" s="316"/>
      <c r="E47" s="316"/>
      <c r="F47" s="316"/>
      <c r="G47" s="316"/>
      <c r="H47" s="316"/>
      <c r="I47" s="317"/>
    </row>
    <row r="48" spans="1:9" ht="18" thickBot="1" x14ac:dyDescent="0.35">
      <c r="A48" s="293"/>
      <c r="B48" s="294"/>
      <c r="C48" s="294"/>
      <c r="D48" s="294"/>
      <c r="E48" s="294"/>
      <c r="F48" s="294"/>
      <c r="G48" s="294"/>
      <c r="H48" s="294"/>
      <c r="I48" s="295"/>
    </row>
    <row r="49" spans="1:9" x14ac:dyDescent="0.25">
      <c r="A49" s="236" t="s">
        <v>33</v>
      </c>
      <c r="B49" s="237"/>
      <c r="C49" s="237"/>
      <c r="D49" s="237"/>
      <c r="E49" s="237"/>
      <c r="F49" s="237"/>
      <c r="G49" s="237"/>
      <c r="H49" s="237"/>
      <c r="I49" s="237"/>
    </row>
    <row r="50" spans="1:9" x14ac:dyDescent="0.25">
      <c r="A50" s="238"/>
      <c r="B50" s="239"/>
      <c r="C50" s="239"/>
      <c r="D50" s="239"/>
      <c r="E50" s="239"/>
      <c r="F50" s="239"/>
      <c r="G50" s="239"/>
      <c r="H50" s="239"/>
      <c r="I50" s="239"/>
    </row>
    <row r="51" spans="1:9" x14ac:dyDescent="0.25">
      <c r="A51" s="238"/>
      <c r="B51" s="239"/>
      <c r="C51" s="239"/>
      <c r="D51" s="239"/>
      <c r="E51" s="239"/>
      <c r="F51" s="239"/>
      <c r="G51" s="239"/>
      <c r="H51" s="239"/>
      <c r="I51" s="239"/>
    </row>
  </sheetData>
  <mergeCells count="47">
    <mergeCell ref="A48:I48"/>
    <mergeCell ref="A36:I36"/>
    <mergeCell ref="A37:I37"/>
    <mergeCell ref="A38:I38"/>
    <mergeCell ref="A39:I39"/>
    <mergeCell ref="A40:I40"/>
    <mergeCell ref="A43:I43"/>
    <mergeCell ref="A44:I44"/>
    <mergeCell ref="A46:I46"/>
    <mergeCell ref="A47:I47"/>
    <mergeCell ref="A42:I42"/>
    <mergeCell ref="A41:I41"/>
    <mergeCell ref="A35:C35"/>
    <mergeCell ref="F35:G35"/>
    <mergeCell ref="H35:I35"/>
    <mergeCell ref="A32:C32"/>
    <mergeCell ref="F32:G32"/>
    <mergeCell ref="H32:I32"/>
    <mergeCell ref="A31:C31"/>
    <mergeCell ref="F31:G31"/>
    <mergeCell ref="H31:I31"/>
    <mergeCell ref="A34:C34"/>
    <mergeCell ref="F34:G34"/>
    <mergeCell ref="H34:I34"/>
    <mergeCell ref="G6:H6"/>
    <mergeCell ref="A7:A8"/>
    <mergeCell ref="B7:B8"/>
    <mergeCell ref="C7:C8"/>
    <mergeCell ref="D7:D8"/>
    <mergeCell ref="E7:F7"/>
    <mergeCell ref="G7:H7"/>
    <mergeCell ref="A49:I49"/>
    <mergeCell ref="A50:I50"/>
    <mergeCell ref="A51:I51"/>
    <mergeCell ref="I3:I5"/>
    <mergeCell ref="D4:G4"/>
    <mergeCell ref="D5:G5"/>
    <mergeCell ref="A33:C33"/>
    <mergeCell ref="F33:G33"/>
    <mergeCell ref="H33:I33"/>
    <mergeCell ref="A1:B5"/>
    <mergeCell ref="C1:G1"/>
    <mergeCell ref="C2:G2"/>
    <mergeCell ref="C3:G3"/>
    <mergeCell ref="H3:H5"/>
    <mergeCell ref="A6:C6"/>
    <mergeCell ref="D6:F6"/>
  </mergeCells>
  <phoneticPr fontId="15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7E06F-1E0E-4EDA-AB35-8314A84BC4F2}">
  <sheetPr>
    <pageSetUpPr fitToPage="1"/>
  </sheetPr>
  <dimension ref="A1:K47"/>
  <sheetViews>
    <sheetView tabSelected="1" zoomScale="80" zoomScaleNormal="80" workbookViewId="0">
      <selection activeCell="C1" sqref="C1:G1"/>
    </sheetView>
  </sheetViews>
  <sheetFormatPr baseColWidth="10" defaultRowHeight="15" x14ac:dyDescent="0.25"/>
  <cols>
    <col min="1" max="1" width="16.85546875" bestFit="1" customWidth="1"/>
    <col min="2" max="2" width="15.28515625" customWidth="1"/>
    <col min="3" max="3" width="53.7109375" customWidth="1"/>
    <col min="4" max="4" width="17.140625" customWidth="1"/>
    <col min="5" max="5" width="14.28515625" customWidth="1"/>
    <col min="6" max="6" width="14.42578125" customWidth="1"/>
    <col min="7" max="7" width="22.42578125" customWidth="1"/>
    <col min="8" max="8" width="20.28515625" customWidth="1"/>
    <col min="9" max="9" width="17.85546875" customWidth="1"/>
  </cols>
  <sheetData>
    <row r="1" spans="1:9" ht="17.25" x14ac:dyDescent="0.3">
      <c r="A1" s="255"/>
      <c r="B1" s="256"/>
      <c r="C1" s="261" t="s">
        <v>30</v>
      </c>
      <c r="D1" s="261"/>
      <c r="E1" s="261"/>
      <c r="F1" s="261"/>
      <c r="G1" s="261"/>
      <c r="H1" s="6" t="s">
        <v>29</v>
      </c>
      <c r="I1" s="7" t="s">
        <v>173</v>
      </c>
    </row>
    <row r="2" spans="1:9" ht="18" thickBot="1" x14ac:dyDescent="0.35">
      <c r="A2" s="257"/>
      <c r="B2" s="258"/>
      <c r="C2" s="262" t="s">
        <v>28</v>
      </c>
      <c r="D2" s="262"/>
      <c r="E2" s="262"/>
      <c r="F2" s="262"/>
      <c r="G2" s="262"/>
      <c r="H2" s="8" t="s">
        <v>27</v>
      </c>
      <c r="I2" s="9" t="s">
        <v>169</v>
      </c>
    </row>
    <row r="3" spans="1:9" ht="35.25" customHeight="1" thickBot="1" x14ac:dyDescent="0.3">
      <c r="A3" s="257"/>
      <c r="B3" s="258"/>
      <c r="C3" s="447" t="s">
        <v>168</v>
      </c>
      <c r="D3" s="448"/>
      <c r="E3" s="448"/>
      <c r="F3" s="448"/>
      <c r="G3" s="449"/>
      <c r="H3" s="266" t="s">
        <v>26</v>
      </c>
      <c r="I3" s="240">
        <v>46063</v>
      </c>
    </row>
    <row r="4" spans="1:9" ht="17.25" x14ac:dyDescent="0.3">
      <c r="A4" s="257"/>
      <c r="B4" s="258"/>
      <c r="C4" s="10" t="s">
        <v>25</v>
      </c>
      <c r="D4" s="243" t="s">
        <v>35</v>
      </c>
      <c r="E4" s="244"/>
      <c r="F4" s="244"/>
      <c r="G4" s="245"/>
      <c r="H4" s="267"/>
      <c r="I4" s="241"/>
    </row>
    <row r="5" spans="1:9" ht="18" thickBot="1" x14ac:dyDescent="0.35">
      <c r="A5" s="259"/>
      <c r="B5" s="260"/>
      <c r="C5" s="11" t="s">
        <v>24</v>
      </c>
      <c r="D5" s="246" t="s">
        <v>47</v>
      </c>
      <c r="E5" s="247"/>
      <c r="F5" s="247"/>
      <c r="G5" s="248"/>
      <c r="H5" s="268"/>
      <c r="I5" s="242"/>
    </row>
    <row r="6" spans="1:9" ht="16.5" thickBot="1" x14ac:dyDescent="0.3">
      <c r="A6" s="269" t="s">
        <v>23</v>
      </c>
      <c r="B6" s="269"/>
      <c r="C6" s="269"/>
      <c r="D6" s="270" t="s">
        <v>156</v>
      </c>
      <c r="E6" s="270"/>
      <c r="F6" s="270"/>
      <c r="G6" s="271" t="s">
        <v>22</v>
      </c>
      <c r="H6" s="271"/>
      <c r="I6" s="12" t="s">
        <v>157</v>
      </c>
    </row>
    <row r="7" spans="1:9" ht="45" x14ac:dyDescent="0.25">
      <c r="A7" s="272" t="s">
        <v>21</v>
      </c>
      <c r="B7" s="274" t="s">
        <v>31</v>
      </c>
      <c r="C7" s="276" t="s">
        <v>20</v>
      </c>
      <c r="D7" s="276" t="s">
        <v>19</v>
      </c>
      <c r="E7" s="276" t="s">
        <v>18</v>
      </c>
      <c r="F7" s="276"/>
      <c r="G7" s="276" t="s">
        <v>17</v>
      </c>
      <c r="H7" s="276"/>
      <c r="I7" s="13" t="s">
        <v>16</v>
      </c>
    </row>
    <row r="8" spans="1:9" ht="31.5" thickBot="1" x14ac:dyDescent="0.3">
      <c r="A8" s="273"/>
      <c r="B8" s="275"/>
      <c r="C8" s="277"/>
      <c r="D8" s="278"/>
      <c r="E8" s="14" t="s">
        <v>13</v>
      </c>
      <c r="F8" s="15" t="s">
        <v>15</v>
      </c>
      <c r="G8" s="14" t="s">
        <v>13</v>
      </c>
      <c r="H8" s="15" t="s">
        <v>15</v>
      </c>
      <c r="I8" s="16" t="s">
        <v>14</v>
      </c>
    </row>
    <row r="9" spans="1:9" ht="22.5" customHeight="1" x14ac:dyDescent="0.3">
      <c r="A9" s="359"/>
      <c r="B9" s="360"/>
      <c r="C9" s="361" t="s">
        <v>32</v>
      </c>
      <c r="D9" s="360"/>
      <c r="E9" s="362"/>
      <c r="F9" s="363"/>
      <c r="G9" s="362"/>
      <c r="H9" s="363"/>
      <c r="I9" s="364"/>
    </row>
    <row r="10" spans="1:9" ht="40.5" x14ac:dyDescent="0.3">
      <c r="A10" s="365" t="s">
        <v>50</v>
      </c>
      <c r="B10" s="365" t="s">
        <v>51</v>
      </c>
      <c r="C10" s="366" t="s">
        <v>52</v>
      </c>
      <c r="D10" s="367" t="s">
        <v>36</v>
      </c>
      <c r="E10" s="368" t="s">
        <v>68</v>
      </c>
      <c r="F10" s="369" t="s">
        <v>37</v>
      </c>
      <c r="G10" s="370" t="s">
        <v>158</v>
      </c>
      <c r="H10" s="450" t="s">
        <v>170</v>
      </c>
      <c r="I10" s="358"/>
    </row>
    <row r="11" spans="1:9" ht="22.5" customHeight="1" x14ac:dyDescent="0.3">
      <c r="A11" s="357"/>
      <c r="B11" s="357" t="s">
        <v>48</v>
      </c>
      <c r="C11" s="371" t="s">
        <v>49</v>
      </c>
      <c r="D11" s="367" t="s">
        <v>36</v>
      </c>
      <c r="E11" s="368">
        <v>160</v>
      </c>
      <c r="F11" s="369" t="s">
        <v>1</v>
      </c>
      <c r="G11" s="370" t="s">
        <v>159</v>
      </c>
      <c r="H11" s="372"/>
      <c r="I11" s="358"/>
    </row>
    <row r="12" spans="1:9" ht="40.5" x14ac:dyDescent="0.3">
      <c r="A12" s="357"/>
      <c r="B12" s="357" t="s">
        <v>53</v>
      </c>
      <c r="C12" s="371" t="s">
        <v>54</v>
      </c>
      <c r="D12" s="367" t="s">
        <v>36</v>
      </c>
      <c r="E12" s="368">
        <v>80</v>
      </c>
      <c r="F12" s="369" t="s">
        <v>1</v>
      </c>
      <c r="G12" s="451" t="s">
        <v>171</v>
      </c>
      <c r="H12" s="372"/>
      <c r="I12" s="358"/>
    </row>
    <row r="13" spans="1:9" ht="20.25" x14ac:dyDescent="0.3">
      <c r="A13" s="357"/>
      <c r="B13" s="357" t="s">
        <v>166</v>
      </c>
      <c r="C13" s="371" t="s">
        <v>80</v>
      </c>
      <c r="D13" s="367" t="s">
        <v>36</v>
      </c>
      <c r="E13" s="368">
        <v>160</v>
      </c>
      <c r="F13" s="369" t="s">
        <v>1</v>
      </c>
      <c r="G13" s="370" t="s">
        <v>172</v>
      </c>
      <c r="H13" s="373">
        <v>46235</v>
      </c>
      <c r="I13" s="358"/>
    </row>
    <row r="14" spans="1:9" ht="20.25" x14ac:dyDescent="0.3">
      <c r="A14" s="357"/>
      <c r="B14" s="374" t="s">
        <v>167</v>
      </c>
      <c r="C14" s="375" t="s">
        <v>81</v>
      </c>
      <c r="D14" s="367" t="s">
        <v>36</v>
      </c>
      <c r="E14" s="368">
        <v>240</v>
      </c>
      <c r="F14" s="369" t="s">
        <v>1</v>
      </c>
      <c r="G14" s="370" t="s">
        <v>92</v>
      </c>
      <c r="H14" s="372" t="s">
        <v>160</v>
      </c>
      <c r="I14" s="358"/>
    </row>
    <row r="15" spans="1:9" ht="20.25" x14ac:dyDescent="0.3">
      <c r="A15" s="378"/>
      <c r="B15" s="358"/>
      <c r="C15" s="379"/>
      <c r="D15" s="380"/>
      <c r="E15" s="357"/>
      <c r="F15" s="381"/>
      <c r="G15" s="377"/>
      <c r="H15" s="357"/>
      <c r="I15" s="358"/>
    </row>
    <row r="16" spans="1:9" ht="20.25" x14ac:dyDescent="0.3">
      <c r="A16" s="378"/>
      <c r="B16" s="358"/>
      <c r="C16" s="379"/>
      <c r="D16" s="380"/>
      <c r="E16" s="357"/>
      <c r="F16" s="381"/>
      <c r="G16" s="377"/>
      <c r="H16" s="357"/>
      <c r="I16" s="358"/>
    </row>
    <row r="17" spans="1:11" ht="20.25" x14ac:dyDescent="0.3">
      <c r="A17" s="358"/>
      <c r="B17" s="358"/>
      <c r="C17" s="382" t="s">
        <v>42</v>
      </c>
      <c r="D17" s="357"/>
      <c r="E17" s="371"/>
      <c r="F17" s="357"/>
      <c r="G17" s="383"/>
      <c r="H17" s="357"/>
      <c r="I17" s="358"/>
    </row>
    <row r="18" spans="1:11" ht="20.25" x14ac:dyDescent="0.3">
      <c r="A18" s="358"/>
      <c r="B18" s="357" t="s">
        <v>166</v>
      </c>
      <c r="C18" s="371" t="s">
        <v>80</v>
      </c>
      <c r="D18" s="367" t="s">
        <v>36</v>
      </c>
      <c r="E18" s="368">
        <v>160</v>
      </c>
      <c r="F18" s="369" t="s">
        <v>1</v>
      </c>
      <c r="G18" s="383"/>
      <c r="H18" s="384"/>
      <c r="I18" s="358"/>
      <c r="J18" s="62"/>
    </row>
    <row r="19" spans="1:11" ht="20.25" x14ac:dyDescent="0.3">
      <c r="A19" s="358"/>
      <c r="B19" s="385" t="s">
        <v>82</v>
      </c>
      <c r="C19" s="386" t="s">
        <v>83</v>
      </c>
      <c r="D19" s="387" t="s">
        <v>36</v>
      </c>
      <c r="E19" s="388">
        <v>24</v>
      </c>
      <c r="F19" s="388" t="s">
        <v>1</v>
      </c>
      <c r="G19" s="383" t="s">
        <v>161</v>
      </c>
      <c r="H19" s="384"/>
      <c r="I19" s="358"/>
      <c r="J19" s="62"/>
    </row>
    <row r="20" spans="1:11" ht="20.25" x14ac:dyDescent="0.3">
      <c r="A20" s="358"/>
      <c r="B20" s="357"/>
      <c r="C20" s="391"/>
      <c r="D20" s="376"/>
      <c r="E20" s="388"/>
      <c r="F20" s="388"/>
      <c r="G20" s="362"/>
      <c r="H20" s="363"/>
      <c r="I20" s="358"/>
    </row>
    <row r="21" spans="1:11" ht="20.25" x14ac:dyDescent="0.3">
      <c r="A21" s="371"/>
      <c r="B21" s="385"/>
      <c r="C21" s="386"/>
      <c r="D21" s="392"/>
      <c r="E21" s="385"/>
      <c r="F21" s="393"/>
      <c r="G21" s="362"/>
      <c r="H21" s="363"/>
      <c r="I21" s="364"/>
    </row>
    <row r="22" spans="1:11" ht="20.25" x14ac:dyDescent="0.3">
      <c r="A22" s="358"/>
      <c r="B22" s="358"/>
      <c r="C22" s="382" t="s">
        <v>34</v>
      </c>
      <c r="D22" s="371"/>
      <c r="E22" s="371"/>
      <c r="F22" s="357"/>
      <c r="G22" s="383"/>
      <c r="H22" s="357"/>
      <c r="I22" s="364"/>
    </row>
    <row r="23" spans="1:11" ht="20.25" x14ac:dyDescent="0.3">
      <c r="A23" s="368"/>
      <c r="B23" s="380"/>
      <c r="C23" s="394"/>
      <c r="D23" s="395"/>
      <c r="E23" s="390"/>
      <c r="F23" s="390"/>
      <c r="G23" s="383"/>
      <c r="H23" s="357"/>
      <c r="I23" s="364"/>
    </row>
    <row r="24" spans="1:11" ht="20.25" x14ac:dyDescent="0.3">
      <c r="A24" s="368"/>
      <c r="B24" s="380" t="s">
        <v>162</v>
      </c>
      <c r="C24" s="394" t="s">
        <v>163</v>
      </c>
      <c r="D24" s="395"/>
      <c r="E24" s="390">
        <v>8</v>
      </c>
      <c r="F24" s="390" t="s">
        <v>37</v>
      </c>
      <c r="G24" s="396"/>
      <c r="H24" s="357"/>
      <c r="I24" s="364"/>
    </row>
    <row r="25" spans="1:11" ht="20.25" x14ac:dyDescent="0.3">
      <c r="A25" s="368">
        <v>702123</v>
      </c>
      <c r="B25" s="380" t="s">
        <v>38</v>
      </c>
      <c r="C25" s="394" t="s">
        <v>41</v>
      </c>
      <c r="D25" s="395" t="s">
        <v>44</v>
      </c>
      <c r="E25" s="390">
        <v>8</v>
      </c>
      <c r="F25" s="390" t="s">
        <v>37</v>
      </c>
      <c r="G25" s="397"/>
      <c r="H25" s="357"/>
      <c r="I25" s="364"/>
      <c r="J25" s="61"/>
      <c r="K25" s="61"/>
    </row>
    <row r="26" spans="1:11" ht="20.25" x14ac:dyDescent="0.3">
      <c r="A26" s="368">
        <v>701096</v>
      </c>
      <c r="B26" s="398" t="s">
        <v>40</v>
      </c>
      <c r="C26" s="394" t="s">
        <v>43</v>
      </c>
      <c r="D26" s="395" t="s">
        <v>39</v>
      </c>
      <c r="E26" s="390">
        <v>8</v>
      </c>
      <c r="F26" s="390" t="s">
        <v>37</v>
      </c>
      <c r="G26" s="396"/>
      <c r="H26" s="358"/>
      <c r="I26" s="364"/>
    </row>
    <row r="27" spans="1:11" ht="20.25" x14ac:dyDescent="0.3">
      <c r="A27" s="368">
        <v>702007</v>
      </c>
      <c r="B27" s="380" t="s">
        <v>45</v>
      </c>
      <c r="C27" s="394" t="s">
        <v>46</v>
      </c>
      <c r="D27" s="395" t="s">
        <v>39</v>
      </c>
      <c r="E27" s="390">
        <v>8</v>
      </c>
      <c r="F27" s="390" t="s">
        <v>37</v>
      </c>
      <c r="G27" s="362"/>
      <c r="H27" s="358"/>
      <c r="I27" s="364"/>
    </row>
    <row r="28" spans="1:11" ht="20.25" x14ac:dyDescent="0.3">
      <c r="A28" s="385"/>
      <c r="B28" s="389" t="s">
        <v>56</v>
      </c>
      <c r="C28" s="386" t="s">
        <v>164</v>
      </c>
      <c r="D28" s="385"/>
      <c r="E28" s="390">
        <v>8</v>
      </c>
      <c r="F28" s="390" t="s">
        <v>37</v>
      </c>
      <c r="G28" s="383"/>
      <c r="H28" s="399"/>
      <c r="I28" s="364"/>
    </row>
    <row r="29" spans="1:11" ht="20.25" x14ac:dyDescent="0.3">
      <c r="A29" s="357"/>
      <c r="B29" s="404"/>
      <c r="C29" s="371"/>
      <c r="D29" s="380"/>
      <c r="E29" s="368"/>
      <c r="F29" s="397"/>
      <c r="G29" s="383"/>
      <c r="H29" s="358"/>
      <c r="I29" s="364"/>
    </row>
    <row r="30" spans="1:11" ht="20.25" x14ac:dyDescent="0.3">
      <c r="A30" s="400"/>
      <c r="B30" s="401"/>
      <c r="C30" s="402"/>
      <c r="D30" s="358"/>
      <c r="E30" s="358"/>
      <c r="F30" s="403"/>
      <c r="G30" s="358"/>
      <c r="H30" s="358"/>
      <c r="I30" s="364"/>
      <c r="J30" s="108"/>
    </row>
    <row r="31" spans="1:11" ht="21" thickBot="1" x14ac:dyDescent="0.35">
      <c r="A31" s="405"/>
      <c r="B31" s="406"/>
      <c r="C31" s="375"/>
      <c r="D31" s="375"/>
      <c r="E31" s="407"/>
      <c r="F31" s="408"/>
      <c r="G31" s="375"/>
      <c r="H31" s="375"/>
      <c r="I31" s="409"/>
      <c r="K31" s="108"/>
    </row>
    <row r="32" spans="1:11" ht="21" thickBot="1" x14ac:dyDescent="0.35">
      <c r="A32" s="410"/>
      <c r="B32" s="411"/>
      <c r="C32" s="412"/>
      <c r="D32" s="413" t="s">
        <v>13</v>
      </c>
      <c r="E32" s="414" t="s">
        <v>12</v>
      </c>
      <c r="F32" s="415"/>
      <c r="G32" s="412"/>
      <c r="H32" s="412"/>
      <c r="I32" s="416"/>
    </row>
    <row r="33" spans="1:10" ht="20.25" x14ac:dyDescent="0.3">
      <c r="A33" s="417" t="s">
        <v>11</v>
      </c>
      <c r="B33" s="418"/>
      <c r="C33" s="419"/>
      <c r="D33" s="420">
        <v>1080</v>
      </c>
      <c r="E33" s="421" t="s">
        <v>1</v>
      </c>
      <c r="F33" s="422" t="s">
        <v>10</v>
      </c>
      <c r="G33" s="422"/>
      <c r="H33" s="423"/>
      <c r="I33" s="424"/>
      <c r="J33">
        <v>1080</v>
      </c>
    </row>
    <row r="34" spans="1:10" ht="20.25" x14ac:dyDescent="0.3">
      <c r="A34" s="425" t="s">
        <v>9</v>
      </c>
      <c r="B34" s="426"/>
      <c r="C34" s="427"/>
      <c r="D34" s="380">
        <v>4</v>
      </c>
      <c r="E34" s="380" t="s">
        <v>8</v>
      </c>
      <c r="F34" s="428" t="s">
        <v>7</v>
      </c>
      <c r="G34" s="428"/>
      <c r="H34" s="429"/>
      <c r="I34" s="430"/>
    </row>
    <row r="35" spans="1:10" ht="20.25" x14ac:dyDescent="0.3">
      <c r="A35" s="425" t="s">
        <v>6</v>
      </c>
      <c r="B35" s="426"/>
      <c r="C35" s="427"/>
      <c r="D35" s="380">
        <v>1</v>
      </c>
      <c r="E35" s="380" t="s">
        <v>12</v>
      </c>
      <c r="F35" s="428" t="s">
        <v>5</v>
      </c>
      <c r="G35" s="428"/>
      <c r="H35" s="429"/>
      <c r="I35" s="430"/>
    </row>
    <row r="36" spans="1:10" ht="20.25" x14ac:dyDescent="0.3">
      <c r="A36" s="425" t="s">
        <v>4</v>
      </c>
      <c r="B36" s="426"/>
      <c r="C36" s="427"/>
      <c r="D36" s="380">
        <v>135</v>
      </c>
      <c r="E36" s="380" t="s">
        <v>1</v>
      </c>
      <c r="F36" s="431" t="s">
        <v>3</v>
      </c>
      <c r="G36" s="432"/>
      <c r="H36" s="429"/>
      <c r="I36" s="430"/>
    </row>
    <row r="37" spans="1:10" ht="21" thickBot="1" x14ac:dyDescent="0.35">
      <c r="A37" s="433" t="s">
        <v>2</v>
      </c>
      <c r="B37" s="434"/>
      <c r="C37" s="435"/>
      <c r="D37" s="436">
        <v>16</v>
      </c>
      <c r="E37" s="437" t="s">
        <v>1</v>
      </c>
      <c r="F37" s="438"/>
      <c r="G37" s="438"/>
      <c r="H37" s="439"/>
      <c r="I37" s="440"/>
    </row>
    <row r="38" spans="1:10" ht="21" thickBot="1" x14ac:dyDescent="0.35">
      <c r="A38" s="452" t="s">
        <v>0</v>
      </c>
      <c r="B38" s="453"/>
      <c r="C38" s="453"/>
      <c r="D38" s="453"/>
      <c r="E38" s="453"/>
      <c r="F38" s="453"/>
      <c r="G38" s="453"/>
      <c r="H38" s="453"/>
      <c r="I38" s="454"/>
    </row>
    <row r="39" spans="1:10" ht="20.25" x14ac:dyDescent="0.3">
      <c r="A39" s="441" t="s">
        <v>165</v>
      </c>
      <c r="B39" s="442"/>
      <c r="C39" s="442"/>
      <c r="D39" s="442"/>
      <c r="E39" s="442"/>
      <c r="F39" s="442"/>
      <c r="G39" s="442"/>
      <c r="H39" s="442"/>
      <c r="I39" s="443"/>
    </row>
    <row r="40" spans="1:10" ht="50.25" customHeight="1" x14ac:dyDescent="0.3">
      <c r="A40" s="444" t="s">
        <v>85</v>
      </c>
      <c r="B40" s="444"/>
      <c r="C40" s="444"/>
      <c r="D40" s="444"/>
      <c r="E40" s="444"/>
      <c r="F40" s="444"/>
      <c r="G40" s="444"/>
      <c r="H40" s="444"/>
      <c r="I40" s="444"/>
    </row>
    <row r="41" spans="1:10" ht="20.25" x14ac:dyDescent="0.3">
      <c r="A41" s="445" t="s">
        <v>86</v>
      </c>
      <c r="B41" s="445"/>
      <c r="C41" s="445"/>
      <c r="D41" s="445"/>
      <c r="E41" s="445"/>
      <c r="F41" s="445"/>
      <c r="G41" s="445"/>
      <c r="H41" s="445"/>
      <c r="I41" s="445"/>
    </row>
    <row r="42" spans="1:10" ht="20.25" x14ac:dyDescent="0.3">
      <c r="A42" s="445" t="s">
        <v>87</v>
      </c>
      <c r="B42" s="445"/>
      <c r="C42" s="445"/>
      <c r="D42" s="445"/>
      <c r="E42" s="445"/>
      <c r="F42" s="445"/>
      <c r="G42" s="445"/>
      <c r="H42" s="445"/>
      <c r="I42" s="445"/>
    </row>
    <row r="43" spans="1:10" ht="20.25" x14ac:dyDescent="0.3">
      <c r="A43" s="446" t="s">
        <v>58</v>
      </c>
      <c r="B43" s="446"/>
      <c r="C43" s="446"/>
      <c r="D43" s="446"/>
      <c r="E43" s="446"/>
      <c r="F43" s="446"/>
      <c r="G43" s="446"/>
      <c r="H43" s="446"/>
      <c r="I43" s="446"/>
    </row>
    <row r="44" spans="1:10" ht="20.25" x14ac:dyDescent="0.3">
      <c r="A44" s="455"/>
      <c r="B44" s="455"/>
      <c r="C44" s="455"/>
      <c r="D44" s="455"/>
      <c r="E44" s="455"/>
      <c r="F44" s="455"/>
      <c r="G44" s="455"/>
      <c r="H44" s="455"/>
      <c r="I44" s="455"/>
    </row>
    <row r="45" spans="1:10" ht="20.25" x14ac:dyDescent="0.3">
      <c r="A45" s="456" t="s">
        <v>33</v>
      </c>
      <c r="B45" s="456"/>
      <c r="C45" s="456"/>
      <c r="D45" s="456"/>
      <c r="E45" s="456"/>
      <c r="F45" s="456"/>
      <c r="G45" s="456"/>
      <c r="H45" s="456"/>
      <c r="I45" s="456"/>
    </row>
    <row r="46" spans="1:10" ht="20.25" x14ac:dyDescent="0.3">
      <c r="A46" s="457"/>
      <c r="B46" s="457"/>
      <c r="C46" s="457"/>
      <c r="D46" s="457"/>
      <c r="E46" s="457"/>
      <c r="F46" s="457"/>
      <c r="G46" s="457"/>
      <c r="H46" s="457"/>
      <c r="I46" s="457"/>
    </row>
    <row r="47" spans="1:10" ht="20.25" x14ac:dyDescent="0.3">
      <c r="A47" s="457"/>
      <c r="B47" s="457"/>
      <c r="C47" s="457"/>
      <c r="D47" s="457"/>
      <c r="E47" s="457"/>
      <c r="F47" s="457"/>
      <c r="G47" s="457"/>
      <c r="H47" s="457"/>
      <c r="I47" s="457"/>
    </row>
  </sheetData>
  <mergeCells count="42">
    <mergeCell ref="A44:I44"/>
    <mergeCell ref="A45:I45"/>
    <mergeCell ref="A46:I46"/>
    <mergeCell ref="A47:I47"/>
    <mergeCell ref="F36:G36"/>
    <mergeCell ref="H36:I36"/>
    <mergeCell ref="A37:C37"/>
    <mergeCell ref="F37:G37"/>
    <mergeCell ref="H37:I37"/>
    <mergeCell ref="A38:I38"/>
    <mergeCell ref="A39:I39"/>
    <mergeCell ref="A41:I41"/>
    <mergeCell ref="A43:I43"/>
    <mergeCell ref="A40:I40"/>
    <mergeCell ref="A42:I42"/>
    <mergeCell ref="A35:C35"/>
    <mergeCell ref="F35:G35"/>
    <mergeCell ref="H35:I35"/>
    <mergeCell ref="A36:C36"/>
    <mergeCell ref="C7:C8"/>
    <mergeCell ref="D7:D8"/>
    <mergeCell ref="E7:F7"/>
    <mergeCell ref="G7:H7"/>
    <mergeCell ref="A34:C34"/>
    <mergeCell ref="F34:G34"/>
    <mergeCell ref="H34:I34"/>
    <mergeCell ref="A33:C33"/>
    <mergeCell ref="F33:G33"/>
    <mergeCell ref="H33:I33"/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</mergeCells>
  <pageMargins left="0.25" right="0.25" top="0.75" bottom="0.75" header="0.3" footer="0.3"/>
  <pageSetup scale="53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FEE3D-53B4-484B-A93C-D37E84AFCA1A}">
  <dimension ref="A1:Q91"/>
  <sheetViews>
    <sheetView topLeftCell="A6" workbookViewId="0">
      <selection activeCell="K28" sqref="K28:L28"/>
    </sheetView>
  </sheetViews>
  <sheetFormatPr baseColWidth="10" defaultColWidth="8.42578125" defaultRowHeight="12.75" x14ac:dyDescent="0.25"/>
  <cols>
    <col min="1" max="1" width="10" style="144" bestFit="1" customWidth="1"/>
    <col min="2" max="2" width="44.28515625" style="144" bestFit="1" customWidth="1"/>
    <col min="3" max="3" width="10.42578125" style="144" bestFit="1" customWidth="1"/>
    <col min="4" max="4" width="10.42578125" style="144" customWidth="1"/>
    <col min="5" max="5" width="11" style="144" customWidth="1"/>
    <col min="6" max="6" width="9.5703125" style="144" bestFit="1" customWidth="1"/>
    <col min="7" max="7" width="10.85546875" style="226" customWidth="1"/>
    <col min="8" max="8" width="10.42578125" style="217" bestFit="1" customWidth="1"/>
    <col min="9" max="9" width="4.5703125" style="217" customWidth="1"/>
    <col min="10" max="10" width="1.85546875" style="143" customWidth="1"/>
    <col min="11" max="11" width="7" style="144" bestFit="1" customWidth="1"/>
    <col min="12" max="12" width="6.28515625" style="144" customWidth="1"/>
    <col min="13" max="13" width="20.42578125" style="144" customWidth="1"/>
    <col min="14" max="14" width="6.42578125" style="144" bestFit="1" customWidth="1"/>
    <col min="15" max="15" width="9.28515625" style="144" bestFit="1" customWidth="1"/>
    <col min="16" max="16" width="8.42578125" style="144"/>
    <col min="17" max="17" width="3.28515625" style="144" customWidth="1"/>
    <col min="18" max="16384" width="8.42578125" style="144"/>
  </cols>
  <sheetData>
    <row r="1" spans="1:10" ht="27.75" customHeight="1" x14ac:dyDescent="0.25">
      <c r="A1" s="139"/>
      <c r="B1" s="139"/>
      <c r="C1" s="139"/>
      <c r="D1" s="139"/>
      <c r="E1" s="140" t="s">
        <v>96</v>
      </c>
      <c r="F1" s="141" t="s">
        <v>97</v>
      </c>
      <c r="G1" s="141" t="s">
        <v>98</v>
      </c>
      <c r="H1" s="141" t="s">
        <v>99</v>
      </c>
      <c r="I1" s="142"/>
    </row>
    <row r="2" spans="1:10" ht="30.75" customHeight="1" x14ac:dyDescent="0.25">
      <c r="A2" s="139"/>
      <c r="B2" s="139"/>
      <c r="C2" s="139"/>
      <c r="D2" s="139"/>
      <c r="E2" s="145">
        <f>IFERROR(O62,"")</f>
        <v>5305.5167892640693</v>
      </c>
      <c r="F2" s="145">
        <f>IFERROR(H53,"")</f>
        <v>2756.2355199999997</v>
      </c>
      <c r="G2" s="145">
        <f>IFERROR(H54,"")</f>
        <v>1680.3798666666664</v>
      </c>
      <c r="H2" s="145">
        <f>IFERROR(H56,"")</f>
        <v>418.15879999999999</v>
      </c>
      <c r="I2" s="146"/>
    </row>
    <row r="3" spans="1:10" ht="15" customHeight="1" x14ac:dyDescent="0.25">
      <c r="A3" s="139"/>
      <c r="B3" s="139"/>
      <c r="C3" s="139"/>
      <c r="D3" s="139"/>
      <c r="E3" s="139"/>
      <c r="F3" s="147"/>
      <c r="G3" s="147"/>
      <c r="H3" s="147"/>
      <c r="I3" s="147"/>
    </row>
    <row r="4" spans="1:10" ht="24.75" customHeight="1" thickBot="1" x14ac:dyDescent="0.3">
      <c r="A4" s="320"/>
      <c r="B4" s="320"/>
      <c r="C4" s="320"/>
      <c r="D4" s="320"/>
      <c r="E4" s="320"/>
      <c r="F4" s="320"/>
      <c r="G4" s="320"/>
      <c r="H4" s="320"/>
      <c r="I4" s="148"/>
    </row>
    <row r="5" spans="1:10" ht="19.5" customHeight="1" thickBot="1" x14ac:dyDescent="0.3">
      <c r="A5" s="321" t="s">
        <v>100</v>
      </c>
      <c r="B5" s="322"/>
      <c r="C5" s="322"/>
      <c r="D5" s="322"/>
      <c r="E5" s="322"/>
      <c r="F5" s="322"/>
      <c r="G5" s="322"/>
      <c r="H5" s="323"/>
      <c r="I5" s="149"/>
    </row>
    <row r="6" spans="1:10" ht="19.5" thickBot="1" x14ac:dyDescent="0.3">
      <c r="A6" s="149"/>
      <c r="B6" s="149"/>
      <c r="C6" s="149"/>
      <c r="D6" s="149"/>
      <c r="E6" s="149"/>
      <c r="F6" s="324" t="s">
        <v>101</v>
      </c>
      <c r="G6" s="324"/>
      <c r="H6" s="150">
        <f ca="1">TODAY()</f>
        <v>46063</v>
      </c>
      <c r="I6" s="150"/>
    </row>
    <row r="7" spans="1:10" ht="26.25" hidden="1" thickBot="1" x14ac:dyDescent="0.3">
      <c r="A7" s="151" t="s">
        <v>102</v>
      </c>
      <c r="B7" s="152" t="s">
        <v>103</v>
      </c>
      <c r="C7" s="152" t="s">
        <v>102</v>
      </c>
      <c r="D7" s="153" t="s">
        <v>104</v>
      </c>
      <c r="E7" s="153" t="s">
        <v>105</v>
      </c>
      <c r="F7" s="153" t="s">
        <v>106</v>
      </c>
      <c r="G7" s="153" t="s">
        <v>107</v>
      </c>
      <c r="H7" s="154" t="s">
        <v>108</v>
      </c>
      <c r="I7" s="155"/>
    </row>
    <row r="8" spans="1:10" ht="13.5" hidden="1" x14ac:dyDescent="0.25">
      <c r="A8" s="156"/>
      <c r="B8" s="144" t="str">
        <f>IFERROR(VLOOKUP(H8,'[1]Consolidado MP Planta'!$A$2:$M$823,3,0),"")</f>
        <v/>
      </c>
      <c r="C8" s="157">
        <f>+A8</f>
        <v>0</v>
      </c>
      <c r="D8" s="158" t="str">
        <f>IFERROR(VLOOKUP(H8,'[1]Consolidado MP Planta'!$A$2:$M$823,13,0),"")</f>
        <v/>
      </c>
      <c r="E8" s="158" t="str">
        <f>IFERROR(VLOOKUP(H8,'[1]Consolidado MP Planta'!$A$2:$M$823,12,0),"")</f>
        <v/>
      </c>
      <c r="F8" s="158" t="str">
        <f>IFERROR(C8*E8,"")</f>
        <v/>
      </c>
      <c r="G8" s="159" t="str">
        <f t="shared" ref="G8:G14" si="0">IFERROR(F8/$F$66,"")</f>
        <v/>
      </c>
      <c r="H8" s="160"/>
      <c r="I8" s="160"/>
      <c r="J8" s="161"/>
    </row>
    <row r="9" spans="1:10" ht="13.5" hidden="1" x14ac:dyDescent="0.25">
      <c r="A9" s="156"/>
      <c r="B9" s="144" t="str">
        <f>IFERROR(VLOOKUP(H9,'[1]Consolidado MP Planta'!$A$2:$M$823,3,0),"")</f>
        <v/>
      </c>
      <c r="C9" s="157">
        <f t="shared" ref="C9:C14" si="1">+A9</f>
        <v>0</v>
      </c>
      <c r="D9" s="158" t="str">
        <f>IFERROR(VLOOKUP(H9,'[1]Consolidado MP Planta'!$A$2:$M$823,13,0),"")</f>
        <v/>
      </c>
      <c r="E9" s="158" t="str">
        <f>IFERROR(VLOOKUP(H9,'[1]Consolidado MP Planta'!$A$2:$M$823,12,0),"")</f>
        <v/>
      </c>
      <c r="F9" s="158" t="str">
        <f t="shared" ref="F9:F14" si="2">IFERROR(C9*E9,"")</f>
        <v/>
      </c>
      <c r="G9" s="159" t="str">
        <f t="shared" si="0"/>
        <v/>
      </c>
      <c r="H9" s="160"/>
      <c r="I9" s="160"/>
      <c r="J9" s="161"/>
    </row>
    <row r="10" spans="1:10" ht="13.5" hidden="1" x14ac:dyDescent="0.25">
      <c r="A10" s="156"/>
      <c r="B10" s="144" t="str">
        <f>IFERROR(VLOOKUP(H10,'[1]Consolidado MP Planta'!$A$2:$M$823,3,0),"")</f>
        <v/>
      </c>
      <c r="C10" s="157">
        <f t="shared" si="1"/>
        <v>0</v>
      </c>
      <c r="D10" s="158" t="str">
        <f>IFERROR(VLOOKUP(H10,'[1]Consolidado MP Planta'!$A$2:$M$823,13,0),"")</f>
        <v/>
      </c>
      <c r="E10" s="158" t="str">
        <f>IFERROR(VLOOKUP(H10,'[1]Consolidado MP Planta'!$A$2:$M$823,12,0),"")</f>
        <v/>
      </c>
      <c r="F10" s="158" t="str">
        <f t="shared" si="2"/>
        <v/>
      </c>
      <c r="G10" s="159" t="str">
        <f t="shared" si="0"/>
        <v/>
      </c>
      <c r="H10" s="160"/>
      <c r="I10" s="160"/>
      <c r="J10" s="161"/>
    </row>
    <row r="11" spans="1:10" ht="13.5" hidden="1" x14ac:dyDescent="0.25">
      <c r="A11" s="156"/>
      <c r="B11" s="144" t="str">
        <f>IFERROR(VLOOKUP(H11,'[1]Consolidado MP Planta'!$A$2:$M$823,3,0),"")</f>
        <v/>
      </c>
      <c r="C11" s="157">
        <f t="shared" si="1"/>
        <v>0</v>
      </c>
      <c r="D11" s="158" t="str">
        <f>IFERROR(VLOOKUP(H11,'[1]Consolidado MP Planta'!$A$2:$M$823,13,0),"")</f>
        <v/>
      </c>
      <c r="E11" s="158" t="str">
        <f>IFERROR(VLOOKUP(H11,'[1]Consolidado MP Planta'!$A$2:$M$823,12,0),"")</f>
        <v/>
      </c>
      <c r="F11" s="158" t="str">
        <f t="shared" si="2"/>
        <v/>
      </c>
      <c r="G11" s="159" t="str">
        <f t="shared" si="0"/>
        <v/>
      </c>
      <c r="H11" s="160"/>
      <c r="I11" s="160"/>
      <c r="J11" s="161"/>
    </row>
    <row r="12" spans="1:10" ht="13.5" hidden="1" x14ac:dyDescent="0.25">
      <c r="A12" s="156"/>
      <c r="B12" s="144" t="str">
        <f>IFERROR(VLOOKUP(H12,'[1]Consolidado MP Planta'!$A$2:$M$823,3,0),"")</f>
        <v/>
      </c>
      <c r="C12" s="157">
        <f t="shared" si="1"/>
        <v>0</v>
      </c>
      <c r="D12" s="158" t="str">
        <f>IFERROR(VLOOKUP(H12,'[1]Consolidado MP Planta'!$A$2:$M$823,13,0),"")</f>
        <v/>
      </c>
      <c r="E12" s="158" t="str">
        <f>IFERROR(VLOOKUP(H12,'[1]Consolidado MP Planta'!$A$2:$M$823,12,0),"")</f>
        <v/>
      </c>
      <c r="F12" s="158" t="str">
        <f t="shared" si="2"/>
        <v/>
      </c>
      <c r="G12" s="159" t="str">
        <f t="shared" si="0"/>
        <v/>
      </c>
      <c r="H12" s="160"/>
      <c r="I12" s="160"/>
      <c r="J12" s="161"/>
    </row>
    <row r="13" spans="1:10" ht="13.5" hidden="1" x14ac:dyDescent="0.25">
      <c r="A13" s="156"/>
      <c r="B13" s="144" t="str">
        <f>IFERROR(VLOOKUP(H13,'[1]Consolidado MP Planta'!$A$2:$M$823,3,0),"")</f>
        <v/>
      </c>
      <c r="C13" s="157">
        <f t="shared" si="1"/>
        <v>0</v>
      </c>
      <c r="D13" s="158" t="str">
        <f>IFERROR(VLOOKUP(H13,'[1]Consolidado MP Planta'!$A$2:$M$823,13,0),"")</f>
        <v/>
      </c>
      <c r="E13" s="158" t="str">
        <f>IFERROR(VLOOKUP(H13,'[1]Consolidado MP Planta'!$A$2:$M$823,12,0),"")</f>
        <v/>
      </c>
      <c r="F13" s="158" t="str">
        <f t="shared" si="2"/>
        <v/>
      </c>
      <c r="G13" s="159" t="str">
        <f t="shared" si="0"/>
        <v/>
      </c>
      <c r="H13" s="160"/>
      <c r="I13" s="160"/>
      <c r="J13" s="161"/>
    </row>
    <row r="14" spans="1:10" ht="13.5" hidden="1" x14ac:dyDescent="0.25">
      <c r="A14" s="156"/>
      <c r="B14" s="144" t="str">
        <f>IFERROR(VLOOKUP(H14,'[1]Consolidado MP Planta'!$A$2:$M$823,3,0),"")</f>
        <v/>
      </c>
      <c r="C14" s="157">
        <f t="shared" si="1"/>
        <v>0</v>
      </c>
      <c r="D14" s="158" t="str">
        <f>IFERROR(VLOOKUP(H14,'[1]Consolidado MP Planta'!$A$2:$M$823,13,0),"")</f>
        <v/>
      </c>
      <c r="E14" s="158" t="str">
        <f>IFERROR(VLOOKUP(H14,'[1]Consolidado MP Planta'!$A$2:$M$823,12,0),"")</f>
        <v/>
      </c>
      <c r="F14" s="158" t="str">
        <f t="shared" si="2"/>
        <v/>
      </c>
      <c r="G14" s="159" t="str">
        <f t="shared" si="0"/>
        <v/>
      </c>
      <c r="H14" s="160"/>
      <c r="I14" s="160"/>
      <c r="J14" s="161"/>
    </row>
    <row r="15" spans="1:10" ht="14.25" hidden="1" thickBot="1" x14ac:dyDescent="0.3">
      <c r="A15" s="156"/>
      <c r="B15" s="144" t="str">
        <f>IFERROR(VLOOKUP(H15,[2]Hoja2!$A$2:$G$589,2,0),"")</f>
        <v/>
      </c>
      <c r="C15" s="157"/>
      <c r="D15" s="158"/>
      <c r="E15" s="158"/>
      <c r="F15" s="158"/>
      <c r="G15" s="159"/>
      <c r="H15" s="160"/>
      <c r="I15" s="160"/>
      <c r="J15" s="161"/>
    </row>
    <row r="16" spans="1:10" ht="26.25" thickBot="1" x14ac:dyDescent="0.3">
      <c r="A16" s="151" t="s">
        <v>102</v>
      </c>
      <c r="B16" s="152" t="s">
        <v>109</v>
      </c>
      <c r="C16" s="152" t="s">
        <v>102</v>
      </c>
      <c r="D16" s="153" t="s">
        <v>104</v>
      </c>
      <c r="E16" s="153" t="s">
        <v>105</v>
      </c>
      <c r="F16" s="153" t="s">
        <v>106</v>
      </c>
      <c r="G16" s="153" t="s">
        <v>107</v>
      </c>
      <c r="H16" s="154" t="s">
        <v>108</v>
      </c>
      <c r="I16" s="155"/>
      <c r="J16" s="161"/>
    </row>
    <row r="17" spans="1:13" ht="13.5" x14ac:dyDescent="0.25">
      <c r="A17" s="156">
        <v>0.2</v>
      </c>
      <c r="B17" s="144" t="s">
        <v>52</v>
      </c>
      <c r="C17" s="157">
        <f>+A17</f>
        <v>0.2</v>
      </c>
      <c r="D17" s="157" t="s">
        <v>110</v>
      </c>
      <c r="E17" s="158">
        <v>1800</v>
      </c>
      <c r="F17" s="158">
        <f>IFERROR(E17*C17,"")</f>
        <v>360</v>
      </c>
      <c r="G17" s="159">
        <f t="shared" ref="G17:G24" si="3">IFERROR(F17/$F$66,"")</f>
        <v>7.5004061203233052E-2</v>
      </c>
      <c r="H17" s="160" t="s">
        <v>50</v>
      </c>
      <c r="I17" s="160"/>
      <c r="J17" s="161"/>
    </row>
    <row r="18" spans="1:13" ht="13.5" x14ac:dyDescent="0.25">
      <c r="A18" s="156">
        <v>120</v>
      </c>
      <c r="B18" s="144" t="s">
        <v>49</v>
      </c>
      <c r="C18" s="157">
        <f t="shared" ref="C18:C24" si="4">+A18</f>
        <v>120</v>
      </c>
      <c r="D18" s="157" t="s">
        <v>111</v>
      </c>
      <c r="E18" s="158">
        <v>0.2</v>
      </c>
      <c r="F18" s="158">
        <f t="shared" ref="F18:F24" si="5">IFERROR(E18*C18,"")</f>
        <v>24</v>
      </c>
      <c r="G18" s="159">
        <f t="shared" si="3"/>
        <v>5.000270746882203E-3</v>
      </c>
      <c r="H18" s="160" t="s">
        <v>48</v>
      </c>
      <c r="I18" s="160"/>
      <c r="J18" s="161"/>
      <c r="M18" s="144">
        <f>204/1000</f>
        <v>0.20399999999999999</v>
      </c>
    </row>
    <row r="19" spans="1:13" ht="13.5" x14ac:dyDescent="0.25">
      <c r="A19" s="156">
        <v>60</v>
      </c>
      <c r="B19" s="144" t="s">
        <v>54</v>
      </c>
      <c r="C19" s="157">
        <f>+A19</f>
        <v>60</v>
      </c>
      <c r="D19" s="157" t="s">
        <v>111</v>
      </c>
      <c r="E19" s="158">
        <v>2.33</v>
      </c>
      <c r="F19" s="158">
        <f>IFERROR(E19*C19,"")</f>
        <v>139.80000000000001</v>
      </c>
      <c r="G19" s="159">
        <f t="shared" si="3"/>
        <v>2.9126577100588837E-2</v>
      </c>
      <c r="H19" s="160" t="s">
        <v>53</v>
      </c>
      <c r="I19" s="160"/>
      <c r="J19" s="161"/>
    </row>
    <row r="20" spans="1:13" ht="13.5" x14ac:dyDescent="0.25">
      <c r="A20" s="156">
        <v>320</v>
      </c>
      <c r="B20" s="144" t="s">
        <v>80</v>
      </c>
      <c r="C20" s="157">
        <f>+A20</f>
        <v>320</v>
      </c>
      <c r="D20" s="157" t="s">
        <v>111</v>
      </c>
      <c r="E20" s="158">
        <f>+'[3]Costo Salsa Suave '!E69</f>
        <v>3.7943419999999999</v>
      </c>
      <c r="F20" s="158">
        <f>IFERROR(E20*C20,"")</f>
        <v>1214.1894399999999</v>
      </c>
      <c r="G20" s="159">
        <f t="shared" si="3"/>
        <v>0.25296983075022011</v>
      </c>
      <c r="H20" s="160" t="s">
        <v>55</v>
      </c>
      <c r="I20" s="160"/>
      <c r="J20" s="161"/>
    </row>
    <row r="21" spans="1:13" ht="13.5" x14ac:dyDescent="0.25">
      <c r="A21" s="156">
        <v>240</v>
      </c>
      <c r="B21" s="144" t="s">
        <v>81</v>
      </c>
      <c r="C21" s="157">
        <f>+A21</f>
        <v>240</v>
      </c>
      <c r="D21" s="157" t="s">
        <v>111</v>
      </c>
      <c r="E21" s="158">
        <f>+'[3]Costo Crema Pasionata '!E69</f>
        <v>4.003692</v>
      </c>
      <c r="F21" s="158">
        <f>IFERROR(E21*C21,"")</f>
        <v>960.88607999999999</v>
      </c>
      <c r="G21" s="159">
        <f t="shared" si="3"/>
        <v>0.20019543987126301</v>
      </c>
      <c r="H21" s="160" t="s">
        <v>55</v>
      </c>
      <c r="I21" s="160"/>
      <c r="J21" s="161"/>
    </row>
    <row r="22" spans="1:13" ht="13.5" x14ac:dyDescent="0.25">
      <c r="A22" s="156">
        <v>24</v>
      </c>
      <c r="B22" s="144" t="s">
        <v>83</v>
      </c>
      <c r="C22" s="157">
        <f t="shared" si="4"/>
        <v>24</v>
      </c>
      <c r="D22" s="157" t="s">
        <v>111</v>
      </c>
      <c r="E22" s="158">
        <v>2.39</v>
      </c>
      <c r="F22" s="158">
        <f t="shared" si="5"/>
        <v>57.36</v>
      </c>
      <c r="G22" s="159">
        <f t="shared" si="3"/>
        <v>1.1950647085048465E-2</v>
      </c>
      <c r="H22" s="160" t="s">
        <v>82</v>
      </c>
      <c r="I22" s="160"/>
      <c r="J22" s="161"/>
    </row>
    <row r="23" spans="1:13" ht="13.5" hidden="1" x14ac:dyDescent="0.25">
      <c r="A23" s="156"/>
      <c r="B23" s="144" t="str">
        <f>IFERROR(VLOOKUP(H23,[1]SEMIELABORADOS!$A$2:$M$6000,2,0),"")</f>
        <v/>
      </c>
      <c r="C23" s="157">
        <f t="shared" si="4"/>
        <v>0</v>
      </c>
      <c r="D23" s="157" t="str">
        <f>IFERROR(VLOOKUP(H23,[1]SEMIELABORADOS!$A$2:$M$6000,6,0),"")</f>
        <v/>
      </c>
      <c r="E23" s="158" t="str">
        <f>IFERROR(VLOOKUP(H23,[1]SEMIELABORADOS!$A$2:$H$65536,8,0),"")</f>
        <v/>
      </c>
      <c r="F23" s="158" t="str">
        <f t="shared" si="5"/>
        <v/>
      </c>
      <c r="G23" s="159" t="str">
        <f t="shared" si="3"/>
        <v/>
      </c>
      <c r="H23" s="160"/>
      <c r="I23" s="160"/>
      <c r="J23" s="161"/>
    </row>
    <row r="24" spans="1:13" ht="13.5" hidden="1" x14ac:dyDescent="0.25">
      <c r="A24" s="156"/>
      <c r="B24" s="144" t="str">
        <f>IFERROR(VLOOKUP(H24,[1]SEMIELABORADOS!$A$2:$M$6000,2,0),"")</f>
        <v/>
      </c>
      <c r="C24" s="157">
        <f t="shared" si="4"/>
        <v>0</v>
      </c>
      <c r="D24" s="157" t="str">
        <f>IFERROR(VLOOKUP(H24,[1]SEMIELABORADOS!$A$2:$M$6000,6,0),"")</f>
        <v/>
      </c>
      <c r="E24" s="158" t="str">
        <f>IFERROR(VLOOKUP(H24,[1]SEMIELABORADOS!$A$2:$H$65536,8,0),"")</f>
        <v/>
      </c>
      <c r="F24" s="158" t="str">
        <f t="shared" si="5"/>
        <v/>
      </c>
      <c r="G24" s="159" t="str">
        <f t="shared" si="3"/>
        <v/>
      </c>
      <c r="H24" s="160"/>
      <c r="I24" s="160"/>
      <c r="J24" s="161"/>
    </row>
    <row r="25" spans="1:13" ht="14.25" thickBot="1" x14ac:dyDescent="0.3">
      <c r="A25" s="156"/>
      <c r="C25" s="157"/>
      <c r="D25" s="157"/>
      <c r="E25" s="158"/>
      <c r="F25" s="158"/>
      <c r="G25" s="159"/>
      <c r="H25" s="160"/>
      <c r="I25" s="160"/>
      <c r="J25" s="161"/>
    </row>
    <row r="26" spans="1:13" ht="26.25" thickBot="1" x14ac:dyDescent="0.3">
      <c r="A26" s="151" t="s">
        <v>102</v>
      </c>
      <c r="B26" s="152" t="s">
        <v>34</v>
      </c>
      <c r="C26" s="152" t="s">
        <v>102</v>
      </c>
      <c r="D26" s="153" t="s">
        <v>104</v>
      </c>
      <c r="E26" s="153" t="s">
        <v>105</v>
      </c>
      <c r="F26" s="153" t="s">
        <v>106</v>
      </c>
      <c r="G26" s="153" t="s">
        <v>107</v>
      </c>
      <c r="H26" s="154" t="s">
        <v>108</v>
      </c>
      <c r="I26" s="155"/>
    </row>
    <row r="27" spans="1:13" ht="13.5" x14ac:dyDescent="0.25">
      <c r="A27" s="156">
        <v>8</v>
      </c>
      <c r="B27" s="162" t="s">
        <v>112</v>
      </c>
      <c r="C27" s="157">
        <f t="shared" ref="C27:C32" si="6">+A27</f>
        <v>8</v>
      </c>
      <c r="D27" s="158" t="s">
        <v>113</v>
      </c>
      <c r="E27" s="158">
        <v>144</v>
      </c>
      <c r="F27" s="158">
        <f t="shared" ref="F27:F32" si="7">IFERROR(C27*E27,"")</f>
        <v>1152</v>
      </c>
      <c r="G27" s="159">
        <f t="shared" ref="G27:G32" si="8">IFERROR(F27/$F$66,"")</f>
        <v>0.24001299585034575</v>
      </c>
      <c r="H27" s="163" t="s">
        <v>56</v>
      </c>
      <c r="I27" s="163"/>
      <c r="J27" s="161"/>
      <c r="K27" s="319"/>
      <c r="L27" s="319"/>
    </row>
    <row r="28" spans="1:13" ht="13.5" x14ac:dyDescent="0.25">
      <c r="A28" s="156">
        <v>8</v>
      </c>
      <c r="B28" s="162" t="str">
        <f>IFERROR(VLOOKUP(H28,'[1]Consolidado MP Planta'!$A$2:$M$823,3,0),"")</f>
        <v>ETIQUETA BLANCA 2 5/8X1 15/16 (UND)</v>
      </c>
      <c r="C28" s="157">
        <f t="shared" si="6"/>
        <v>8</v>
      </c>
      <c r="D28" s="158" t="str">
        <f>IFERROR(VLOOKUP(H28,'[1]Consolidado MP Planta'!$A$2:$M$823,13,0),"")</f>
        <v>Und</v>
      </c>
      <c r="E28" s="158">
        <f>IFERROR(VLOOKUP(H28,'[1]Consolidado MP Planta'!$A$2:$M$823,12,0),"")</f>
        <v>2.1280000000000001</v>
      </c>
      <c r="F28" s="158">
        <f t="shared" si="7"/>
        <v>17.024000000000001</v>
      </c>
      <c r="G28" s="159">
        <f t="shared" si="8"/>
        <v>3.5468587164551096E-3</v>
      </c>
      <c r="H28" s="163" t="s">
        <v>114</v>
      </c>
      <c r="I28" s="163"/>
      <c r="J28" s="161"/>
      <c r="K28" s="319"/>
      <c r="L28" s="319"/>
    </row>
    <row r="29" spans="1:13" ht="13.5" x14ac:dyDescent="0.25">
      <c r="A29" s="156">
        <v>8</v>
      </c>
      <c r="B29" s="162" t="str">
        <f>IFERROR(VLOOKUP(H29,'[1]Consolidado MP Planta'!$A$2:$M$823,3,0),"")</f>
        <v>ETIQUETA BLANCA R-153 (UND)</v>
      </c>
      <c r="C29" s="157">
        <f t="shared" si="6"/>
        <v>8</v>
      </c>
      <c r="D29" s="158" t="str">
        <f>IFERROR(VLOOKUP(H29,'[1]Consolidado MP Planta'!$A$2:$M$823,13,0),"")</f>
        <v>Und</v>
      </c>
      <c r="E29" s="158">
        <f>IFERROR(VLOOKUP(H29,'[1]Consolidado MP Planta'!$A$2:$M$823,12,0),"")</f>
        <v>0.39</v>
      </c>
      <c r="F29" s="158">
        <f t="shared" si="7"/>
        <v>3.12</v>
      </c>
      <c r="G29" s="159">
        <f t="shared" si="8"/>
        <v>6.5003519709468647E-4</v>
      </c>
      <c r="H29" s="163" t="s">
        <v>115</v>
      </c>
      <c r="I29" s="163"/>
      <c r="J29" s="161"/>
      <c r="K29" s="319"/>
      <c r="L29" s="319"/>
    </row>
    <row r="30" spans="1:13" ht="13.5" x14ac:dyDescent="0.25">
      <c r="A30" s="156">
        <v>8</v>
      </c>
      <c r="B30" s="162" t="str">
        <f>IFERROR(VLOOKUP(H30,'[1]Consolidado MP Planta'!$A$2:$M$823,3,0),"")</f>
        <v>ETIQ.FECHA VENCIMIENTO BLANCO (ROLLO)</v>
      </c>
      <c r="C30" s="157">
        <f t="shared" si="6"/>
        <v>8</v>
      </c>
      <c r="D30" s="158" t="s">
        <v>113</v>
      </c>
      <c r="E30" s="158">
        <f>IFERROR(VLOOKUP(H30,'[1]Consolidado MP Planta'!$A$2:$M$823,12,0),"")</f>
        <v>0.33333333333333331</v>
      </c>
      <c r="F30" s="158">
        <f t="shared" si="7"/>
        <v>2.6666666666666665</v>
      </c>
      <c r="G30" s="159">
        <f t="shared" si="8"/>
        <v>5.5558563854246699E-4</v>
      </c>
      <c r="H30" s="163" t="s">
        <v>116</v>
      </c>
      <c r="I30" s="163"/>
      <c r="J30" s="161"/>
      <c r="K30" s="319"/>
      <c r="L30" s="319"/>
    </row>
    <row r="31" spans="1:13" ht="13.5" x14ac:dyDescent="0.25">
      <c r="A31" s="156">
        <v>8</v>
      </c>
      <c r="B31" s="162" t="s">
        <v>155</v>
      </c>
      <c r="C31" s="157">
        <f t="shared" si="6"/>
        <v>8</v>
      </c>
      <c r="D31" s="158" t="s">
        <v>113</v>
      </c>
      <c r="E31" s="158">
        <v>60</v>
      </c>
      <c r="F31" s="158">
        <f t="shared" si="7"/>
        <v>480</v>
      </c>
      <c r="G31" s="159">
        <f t="shared" si="8"/>
        <v>0.10000541493764406</v>
      </c>
      <c r="H31" s="163"/>
      <c r="I31" s="163"/>
      <c r="J31" s="161"/>
      <c r="K31" s="164"/>
      <c r="L31" s="165"/>
    </row>
    <row r="32" spans="1:13" ht="13.5" x14ac:dyDescent="0.25">
      <c r="A32" s="156"/>
      <c r="B32" s="162" t="str">
        <f>IFERROR(VLOOKUP(H32,'[1]Consolidado MP Planta'!$A$2:$M$823,3,0),"")</f>
        <v/>
      </c>
      <c r="C32" s="157">
        <f t="shared" si="6"/>
        <v>0</v>
      </c>
      <c r="D32" s="158" t="str">
        <f>IFERROR(VLOOKUP(H32,'[1]Consolidado MP Planta'!$A$2:$M$823,13,0),"")</f>
        <v/>
      </c>
      <c r="E32" s="158" t="str">
        <f>IFERROR(VLOOKUP(H32,'[1]Consolidado MP Planta'!$A$2:$M$823,12,0),"")</f>
        <v/>
      </c>
      <c r="F32" s="158" t="str">
        <f t="shared" si="7"/>
        <v/>
      </c>
      <c r="G32" s="159" t="str">
        <f t="shared" si="8"/>
        <v/>
      </c>
      <c r="H32" s="163"/>
      <c r="I32" s="163"/>
      <c r="J32" s="161"/>
    </row>
    <row r="33" spans="1:13" ht="14.25" thickBot="1" x14ac:dyDescent="0.3">
      <c r="A33" s="156"/>
      <c r="B33" s="162"/>
      <c r="C33" s="157"/>
      <c r="D33" s="158"/>
      <c r="E33" s="158"/>
      <c r="F33" s="158"/>
      <c r="G33" s="159"/>
      <c r="H33" s="163"/>
      <c r="I33" s="163"/>
      <c r="J33" s="161"/>
    </row>
    <row r="34" spans="1:13" ht="26.25" thickBot="1" x14ac:dyDescent="0.25">
      <c r="A34" s="151" t="s">
        <v>102</v>
      </c>
      <c r="B34" s="152" t="s">
        <v>117</v>
      </c>
      <c r="C34" s="152" t="s">
        <v>102</v>
      </c>
      <c r="D34" s="153" t="s">
        <v>104</v>
      </c>
      <c r="E34" s="153" t="s">
        <v>105</v>
      </c>
      <c r="F34" s="153" t="s">
        <v>106</v>
      </c>
      <c r="G34" s="153" t="s">
        <v>107</v>
      </c>
      <c r="H34" s="154" t="s">
        <v>108</v>
      </c>
      <c r="I34" s="163"/>
      <c r="J34" s="161"/>
    </row>
    <row r="35" spans="1:13" ht="13.5" x14ac:dyDescent="0.25">
      <c r="A35" s="156">
        <f>+A17</f>
        <v>0.2</v>
      </c>
      <c r="B35" s="162" t="s">
        <v>52</v>
      </c>
      <c r="C35" s="157">
        <f>+A35</f>
        <v>0.2</v>
      </c>
      <c r="D35" s="158" t="s">
        <v>118</v>
      </c>
      <c r="E35" s="158">
        <v>49.63</v>
      </c>
      <c r="F35" s="158">
        <f>IFERROR(E35*C35,"")</f>
        <v>9.9260000000000019</v>
      </c>
      <c r="G35" s="159">
        <f t="shared" ref="G35:G41" si="9">IFERROR(F35/$F$66,"")</f>
        <v>2.0680286430646982E-3</v>
      </c>
      <c r="H35" s="163" t="s">
        <v>50</v>
      </c>
      <c r="I35" s="163"/>
      <c r="J35" s="161"/>
    </row>
    <row r="36" spans="1:13" ht="13.5" x14ac:dyDescent="0.25">
      <c r="A36" s="156">
        <f t="shared" ref="A36:A41" si="10">+A18</f>
        <v>120</v>
      </c>
      <c r="B36" s="162" t="s">
        <v>49</v>
      </c>
      <c r="C36" s="157">
        <f t="shared" ref="C36:C41" si="11">+A36</f>
        <v>120</v>
      </c>
      <c r="D36" s="158" t="s">
        <v>111</v>
      </c>
      <c r="E36" s="158">
        <v>0.01</v>
      </c>
      <c r="F36" s="158">
        <f t="shared" ref="F36:F41" si="12">IFERROR(E36*C36,"")</f>
        <v>1.2</v>
      </c>
      <c r="G36" s="159">
        <f t="shared" si="9"/>
        <v>2.5001353734411017E-4</v>
      </c>
      <c r="H36" s="163" t="s">
        <v>48</v>
      </c>
      <c r="I36" s="163"/>
      <c r="J36" s="161"/>
    </row>
    <row r="37" spans="1:13" ht="13.5" x14ac:dyDescent="0.25">
      <c r="A37" s="156">
        <f t="shared" si="10"/>
        <v>60</v>
      </c>
      <c r="B37" s="162" t="s">
        <v>54</v>
      </c>
      <c r="C37" s="157">
        <f t="shared" si="11"/>
        <v>60</v>
      </c>
      <c r="D37" s="158" t="s">
        <v>111</v>
      </c>
      <c r="E37" s="158">
        <v>0.01</v>
      </c>
      <c r="F37" s="158">
        <f t="shared" si="12"/>
        <v>0.6</v>
      </c>
      <c r="G37" s="159">
        <f t="shared" si="9"/>
        <v>1.2500676867205509E-4</v>
      </c>
      <c r="H37" s="163" t="s">
        <v>53</v>
      </c>
      <c r="I37" s="163"/>
      <c r="J37" s="161"/>
    </row>
    <row r="38" spans="1:13" ht="13.5" x14ac:dyDescent="0.25">
      <c r="A38" s="156">
        <f t="shared" si="10"/>
        <v>320</v>
      </c>
      <c r="B38" s="162" t="s">
        <v>80</v>
      </c>
      <c r="C38" s="157">
        <f>+A38</f>
        <v>320</v>
      </c>
      <c r="D38" s="158" t="s">
        <v>111</v>
      </c>
      <c r="E38" s="158">
        <f>+'[3]Costo Salsa Suave '!E76</f>
        <v>1.9259999999999999E-2</v>
      </c>
      <c r="F38" s="158">
        <f>IFERROR(E38*C38,"")</f>
        <v>6.1631999999999998</v>
      </c>
      <c r="G38" s="159">
        <f t="shared" si="9"/>
        <v>1.2840695277993497E-3</v>
      </c>
      <c r="H38" s="163" t="s">
        <v>55</v>
      </c>
      <c r="I38" s="163"/>
      <c r="J38" s="161"/>
    </row>
    <row r="39" spans="1:13" ht="13.5" x14ac:dyDescent="0.25">
      <c r="A39" s="156">
        <f t="shared" si="10"/>
        <v>240</v>
      </c>
      <c r="B39" s="162" t="s">
        <v>81</v>
      </c>
      <c r="C39" s="157">
        <f>+A39</f>
        <v>240</v>
      </c>
      <c r="D39" s="158" t="s">
        <v>111</v>
      </c>
      <c r="E39" s="158">
        <f>+'[3]Costo Crema Pasionata '!E76</f>
        <v>0</v>
      </c>
      <c r="F39" s="158">
        <f>IFERROR(E39*C39,"")</f>
        <v>0</v>
      </c>
      <c r="G39" s="159">
        <f t="shared" si="9"/>
        <v>0</v>
      </c>
      <c r="H39" s="163" t="s">
        <v>55</v>
      </c>
      <c r="I39" s="163"/>
      <c r="J39" s="161"/>
    </row>
    <row r="40" spans="1:13" ht="13.5" x14ac:dyDescent="0.25">
      <c r="A40" s="156">
        <f t="shared" si="10"/>
        <v>24</v>
      </c>
      <c r="B40" s="162" t="s">
        <v>83</v>
      </c>
      <c r="C40" s="157">
        <f t="shared" si="11"/>
        <v>24</v>
      </c>
      <c r="D40" s="158" t="s">
        <v>111</v>
      </c>
      <c r="E40" s="158">
        <v>0.32</v>
      </c>
      <c r="F40" s="158">
        <f t="shared" si="12"/>
        <v>7.68</v>
      </c>
      <c r="G40" s="159">
        <f t="shared" si="9"/>
        <v>1.600086639002305E-3</v>
      </c>
      <c r="H40" s="163" t="s">
        <v>82</v>
      </c>
      <c r="I40" s="163"/>
      <c r="J40" s="161"/>
    </row>
    <row r="41" spans="1:13" ht="13.5" x14ac:dyDescent="0.25">
      <c r="A41" s="156">
        <f t="shared" si="10"/>
        <v>0</v>
      </c>
      <c r="B41" s="162" t="str">
        <f>IFERROR(VLOOKUP(H41,[1]SEMIELABORADOS!$A$2:$M$6000,2,0),"")</f>
        <v/>
      </c>
      <c r="C41" s="157">
        <f t="shared" si="11"/>
        <v>0</v>
      </c>
      <c r="D41" s="158" t="str">
        <f>IFERROR(VLOOKUP(H41,[1]SEMIELABORADOS!$A$2:$M$6000,6,0),"")</f>
        <v/>
      </c>
      <c r="E41" s="158" t="str">
        <f>IFERROR(VLOOKUP(H41,[1]SEMIELABORADOS!$A$2:$M$65536,10,0),"")</f>
        <v/>
      </c>
      <c r="F41" s="158" t="str">
        <f t="shared" si="12"/>
        <v/>
      </c>
      <c r="G41" s="159" t="str">
        <f t="shared" si="9"/>
        <v/>
      </c>
      <c r="H41" s="163"/>
      <c r="I41" s="163"/>
      <c r="J41" s="161"/>
    </row>
    <row r="42" spans="1:13" ht="14.25" thickBot="1" x14ac:dyDescent="0.3">
      <c r="A42" s="156"/>
      <c r="B42" s="162"/>
      <c r="C42" s="157"/>
      <c r="D42" s="158"/>
      <c r="E42" s="158"/>
      <c r="F42" s="158"/>
      <c r="G42" s="159"/>
      <c r="H42" s="163"/>
      <c r="I42" s="163"/>
      <c r="J42" s="161"/>
    </row>
    <row r="43" spans="1:13" ht="26.25" thickBot="1" x14ac:dyDescent="0.3">
      <c r="A43" s="151" t="s">
        <v>102</v>
      </c>
      <c r="B43" s="152" t="s">
        <v>119</v>
      </c>
      <c r="C43" s="152" t="s">
        <v>102</v>
      </c>
      <c r="D43" s="153" t="s">
        <v>104</v>
      </c>
      <c r="E43" s="153" t="s">
        <v>105</v>
      </c>
      <c r="F43" s="153" t="s">
        <v>106</v>
      </c>
      <c r="G43" s="153" t="s">
        <v>107</v>
      </c>
      <c r="H43" s="154" t="s">
        <v>108</v>
      </c>
      <c r="I43" s="155"/>
      <c r="J43" s="161"/>
    </row>
    <row r="44" spans="1:13" ht="13.5" x14ac:dyDescent="0.25">
      <c r="A44" s="156">
        <f>+A35</f>
        <v>0.2</v>
      </c>
      <c r="B44" s="162" t="s">
        <v>52</v>
      </c>
      <c r="C44" s="157">
        <f>+A44</f>
        <v>0.2</v>
      </c>
      <c r="D44" s="158" t="s">
        <v>110</v>
      </c>
      <c r="E44" s="158">
        <v>121.57</v>
      </c>
      <c r="F44" s="158">
        <f>IFERROR(E44*C44,"")</f>
        <v>24.314</v>
      </c>
      <c r="G44" s="159">
        <f>IFERROR(F44/$F$66,"")</f>
        <v>5.0656909558205784E-3</v>
      </c>
      <c r="H44" s="163" t="s">
        <v>50</v>
      </c>
      <c r="I44" s="155"/>
      <c r="J44" s="161"/>
    </row>
    <row r="45" spans="1:13" ht="13.5" x14ac:dyDescent="0.25">
      <c r="A45" s="156">
        <f t="shared" ref="A45:A50" si="13">+A36</f>
        <v>120</v>
      </c>
      <c r="B45" s="162" t="s">
        <v>49</v>
      </c>
      <c r="C45" s="157">
        <f t="shared" ref="C45:C50" si="14">+A45</f>
        <v>120</v>
      </c>
      <c r="D45" s="158" t="s">
        <v>111</v>
      </c>
      <c r="E45" s="158">
        <v>0.03</v>
      </c>
      <c r="F45" s="158">
        <f t="shared" ref="F45:F50" si="15">IFERROR(E45*C45,"")</f>
        <v>3.5999999999999996</v>
      </c>
      <c r="G45" s="159">
        <f t="shared" ref="G45:G50" si="16">IFERROR(F45/$F$66,"")</f>
        <v>7.5004061203233041E-4</v>
      </c>
      <c r="H45" s="163" t="s">
        <v>48</v>
      </c>
      <c r="I45" s="155"/>
      <c r="J45" s="161"/>
      <c r="M45" s="166"/>
    </row>
    <row r="46" spans="1:13" ht="13.5" x14ac:dyDescent="0.25">
      <c r="A46" s="156">
        <f t="shared" si="13"/>
        <v>60</v>
      </c>
      <c r="B46" s="162" t="s">
        <v>54</v>
      </c>
      <c r="C46" s="157">
        <f t="shared" si="14"/>
        <v>60</v>
      </c>
      <c r="D46" s="158" t="s">
        <v>111</v>
      </c>
      <c r="E46" s="158">
        <v>0.11</v>
      </c>
      <c r="F46" s="158">
        <f t="shared" si="15"/>
        <v>6.6</v>
      </c>
      <c r="G46" s="159">
        <f t="shared" si="16"/>
        <v>1.3750744553926058E-3</v>
      </c>
      <c r="H46" s="163" t="s">
        <v>53</v>
      </c>
      <c r="I46" s="155"/>
      <c r="J46" s="161"/>
    </row>
    <row r="47" spans="1:13" ht="13.5" x14ac:dyDescent="0.25">
      <c r="A47" s="156">
        <f t="shared" si="13"/>
        <v>320</v>
      </c>
      <c r="B47" s="162" t="s">
        <v>80</v>
      </c>
      <c r="C47" s="157">
        <f t="shared" si="14"/>
        <v>320</v>
      </c>
      <c r="D47" s="158" t="s">
        <v>111</v>
      </c>
      <c r="E47" s="158">
        <f>+'[3]Costo Salsa Suave '!E74</f>
        <v>0.10589000000000001</v>
      </c>
      <c r="F47" s="158">
        <f t="shared" si="15"/>
        <v>33.884800000000006</v>
      </c>
      <c r="G47" s="159">
        <f t="shared" si="16"/>
        <v>7.0597155918314209E-3</v>
      </c>
      <c r="H47" s="163" t="s">
        <v>55</v>
      </c>
      <c r="I47" s="155"/>
      <c r="J47" s="161"/>
    </row>
    <row r="48" spans="1:13" ht="13.5" x14ac:dyDescent="0.25">
      <c r="A48" s="156">
        <f t="shared" si="13"/>
        <v>240</v>
      </c>
      <c r="B48" s="162" t="s">
        <v>81</v>
      </c>
      <c r="C48" s="157">
        <f t="shared" si="14"/>
        <v>240</v>
      </c>
      <c r="D48" s="158" t="s">
        <v>111</v>
      </c>
      <c r="E48" s="158">
        <f>+'[3]Costo Crema Pasionata '!E74</f>
        <v>0.154</v>
      </c>
      <c r="F48" s="158">
        <f t="shared" si="15"/>
        <v>36.96</v>
      </c>
      <c r="G48" s="159">
        <f t="shared" si="16"/>
        <v>7.7004169501985933E-3</v>
      </c>
      <c r="H48" s="163" t="s">
        <v>55</v>
      </c>
      <c r="I48" s="155"/>
      <c r="J48" s="161"/>
    </row>
    <row r="49" spans="1:17" ht="13.5" x14ac:dyDescent="0.25">
      <c r="A49" s="156">
        <f t="shared" si="13"/>
        <v>24</v>
      </c>
      <c r="B49" s="162" t="s">
        <v>83</v>
      </c>
      <c r="C49" s="157">
        <f t="shared" si="14"/>
        <v>24</v>
      </c>
      <c r="D49" s="158" t="s">
        <v>111</v>
      </c>
      <c r="E49" s="158">
        <v>0.2</v>
      </c>
      <c r="F49" s="158">
        <f t="shared" si="15"/>
        <v>4.8000000000000007</v>
      </c>
      <c r="G49" s="159">
        <f t="shared" si="16"/>
        <v>1.0000541493764407E-3</v>
      </c>
      <c r="H49" s="163" t="s">
        <v>82</v>
      </c>
      <c r="I49" s="155"/>
      <c r="J49" s="161"/>
    </row>
    <row r="50" spans="1:17" ht="13.5" x14ac:dyDescent="0.25">
      <c r="A50" s="156">
        <f t="shared" si="13"/>
        <v>0</v>
      </c>
      <c r="B50" s="162" t="str">
        <f>IFERROR(VLOOKUP(H50,[1]SEMIELABORADOS!$A$2:$M$6000,2,0),"")</f>
        <v/>
      </c>
      <c r="C50" s="157">
        <f t="shared" si="14"/>
        <v>0</v>
      </c>
      <c r="D50" s="158" t="str">
        <f>IFERROR(VLOOKUP(H50,[1]SEMIELABORADOS!$A$2:$M$6000,6,0),"")</f>
        <v/>
      </c>
      <c r="E50" s="158" t="str">
        <f>IFERROR(VLOOKUP(H50,[1]SEMIELABORADOS!$A$2:$M$65536,12,0),"")</f>
        <v/>
      </c>
      <c r="F50" s="158" t="str">
        <f t="shared" si="15"/>
        <v/>
      </c>
      <c r="G50" s="159" t="str">
        <f t="shared" si="16"/>
        <v/>
      </c>
      <c r="H50" s="162"/>
      <c r="I50" s="155"/>
      <c r="J50" s="161"/>
    </row>
    <row r="51" spans="1:17" ht="13.5" x14ac:dyDescent="0.25">
      <c r="A51" s="156">
        <v>1</v>
      </c>
      <c r="B51" s="162" t="s">
        <v>120</v>
      </c>
      <c r="C51" s="157">
        <f>+A51</f>
        <v>1</v>
      </c>
      <c r="D51" s="157" t="s">
        <v>121</v>
      </c>
      <c r="E51" s="158">
        <f>+F65</f>
        <v>308</v>
      </c>
      <c r="F51" s="158">
        <f>IFERROR(C51*E51,"")</f>
        <v>308</v>
      </c>
      <c r="G51" s="159">
        <f>IFERROR(F51/$F$66,"")</f>
        <v>6.4170141251654947E-2</v>
      </c>
      <c r="H51" s="167"/>
      <c r="I51" s="167"/>
      <c r="J51" s="161"/>
    </row>
    <row r="52" spans="1:17" ht="14.25" thickBot="1" x14ac:dyDescent="0.3">
      <c r="A52" s="156"/>
      <c r="B52" s="162"/>
      <c r="C52" s="157"/>
      <c r="D52" s="157"/>
      <c r="E52" s="158"/>
      <c r="F52" s="158"/>
      <c r="G52" s="159"/>
      <c r="H52" s="167"/>
      <c r="I52" s="167"/>
      <c r="J52" s="161"/>
    </row>
    <row r="53" spans="1:17" ht="13.5" thickBot="1" x14ac:dyDescent="0.3">
      <c r="A53" s="168"/>
      <c r="B53" s="329" t="s">
        <v>122</v>
      </c>
      <c r="C53" s="329"/>
      <c r="D53" s="329"/>
      <c r="E53" s="329"/>
      <c r="F53" s="170">
        <f>SUM(F8:F14,F17:F24)</f>
        <v>2756.2355199999997</v>
      </c>
      <c r="G53" s="159">
        <f>+F53/$F$66</f>
        <v>0.57424682675723571</v>
      </c>
      <c r="H53" s="171">
        <f>+F53/$D$60</f>
        <v>2756.2355199999997</v>
      </c>
      <c r="I53" s="171"/>
      <c r="J53" s="172"/>
      <c r="K53" s="173"/>
      <c r="L53" s="173"/>
      <c r="M53" s="173"/>
      <c r="N53" s="173"/>
      <c r="O53" s="173"/>
      <c r="P53" s="173"/>
      <c r="Q53" s="174"/>
    </row>
    <row r="54" spans="1:17" x14ac:dyDescent="0.2">
      <c r="A54" s="168"/>
      <c r="B54" s="329" t="s">
        <v>123</v>
      </c>
      <c r="C54" s="329"/>
      <c r="D54" s="329"/>
      <c r="E54" s="329"/>
      <c r="F54" s="170">
        <f>SUM(F27:F32,F35:F41)</f>
        <v>1680.3798666666664</v>
      </c>
      <c r="G54" s="159">
        <f>+F54/$F$66</f>
        <v>0.35009809545596454</v>
      </c>
      <c r="H54" s="171">
        <f>+F54/$D$60</f>
        <v>1680.3798666666664</v>
      </c>
      <c r="I54" s="171"/>
      <c r="J54" s="175"/>
      <c r="K54" s="330" t="s">
        <v>124</v>
      </c>
      <c r="L54" s="331"/>
      <c r="M54" s="331"/>
      <c r="N54" s="331"/>
      <c r="O54" s="176">
        <f>+F55</f>
        <v>4436.6153866666664</v>
      </c>
      <c r="P54" s="176"/>
      <c r="Q54" s="177"/>
    </row>
    <row r="55" spans="1:17" x14ac:dyDescent="0.2">
      <c r="A55" s="168"/>
      <c r="B55" s="329" t="s">
        <v>125</v>
      </c>
      <c r="C55" s="329"/>
      <c r="D55" s="329"/>
      <c r="E55" s="329"/>
      <c r="F55" s="170">
        <f>+F53+F54</f>
        <v>4436.6153866666664</v>
      </c>
      <c r="G55" s="159">
        <f>+F55/$F$66</f>
        <v>0.9243449222132003</v>
      </c>
      <c r="H55" s="171">
        <f>+F55/$D$60</f>
        <v>4436.6153866666664</v>
      </c>
      <c r="I55" s="171"/>
      <c r="J55" s="178"/>
      <c r="K55" s="179"/>
      <c r="M55" s="180" t="s">
        <v>126</v>
      </c>
      <c r="N55" s="181"/>
      <c r="O55" s="176">
        <f>+H56</f>
        <v>418.15879999999999</v>
      </c>
      <c r="P55" s="176"/>
      <c r="Q55" s="177"/>
    </row>
    <row r="56" spans="1:17" ht="13.5" thickBot="1" x14ac:dyDescent="0.25">
      <c r="A56" s="168"/>
      <c r="B56" s="169"/>
      <c r="C56" s="329" t="s">
        <v>127</v>
      </c>
      <c r="D56" s="329"/>
      <c r="E56" s="329"/>
      <c r="F56" s="170">
        <f>SUM(F44:F51)</f>
        <v>418.15879999999999</v>
      </c>
      <c r="G56" s="159">
        <f>+F56/$F$66</f>
        <v>8.7121133966306899E-2</v>
      </c>
      <c r="H56" s="171">
        <f>+F56/$D$60</f>
        <v>418.15879999999999</v>
      </c>
      <c r="I56" s="171"/>
      <c r="J56" s="178"/>
      <c r="K56" s="179"/>
      <c r="L56" s="179"/>
      <c r="M56" s="179" t="s">
        <v>128</v>
      </c>
      <c r="N56" s="182"/>
      <c r="O56" s="176">
        <f>O54*N56</f>
        <v>0</v>
      </c>
      <c r="P56" s="176"/>
      <c r="Q56" s="177"/>
    </row>
    <row r="57" spans="1:17" ht="13.5" thickBot="1" x14ac:dyDescent="0.25">
      <c r="A57" s="168"/>
      <c r="B57" s="183"/>
      <c r="C57" s="183"/>
      <c r="D57" s="183"/>
      <c r="E57" s="183"/>
      <c r="F57" s="184"/>
      <c r="G57" s="159"/>
      <c r="H57" s="185"/>
      <c r="I57" s="171"/>
      <c r="J57" s="178"/>
      <c r="K57" s="186"/>
      <c r="M57" s="187" t="s">
        <v>129</v>
      </c>
      <c r="N57" s="188"/>
      <c r="O57" s="189">
        <f>SUM(O54:O56)</f>
        <v>4854.7741866666665</v>
      </c>
      <c r="P57" s="190"/>
      <c r="Q57" s="177"/>
    </row>
    <row r="58" spans="1:17" x14ac:dyDescent="0.2">
      <c r="B58" s="332" t="s">
        <v>130</v>
      </c>
      <c r="C58" s="332"/>
      <c r="D58" s="191">
        <v>2048</v>
      </c>
      <c r="E58" s="192"/>
      <c r="G58" s="159"/>
      <c r="H58" s="185">
        <f>+H56/77</f>
        <v>5.4306337662337665</v>
      </c>
      <c r="I58" s="193"/>
      <c r="J58" s="178"/>
      <c r="K58" s="186"/>
      <c r="L58" s="179"/>
      <c r="M58" s="179" t="s">
        <v>131</v>
      </c>
      <c r="N58" s="194"/>
      <c r="O58" s="176">
        <f>+H59</f>
        <v>450.74260259740259</v>
      </c>
      <c r="P58" s="176"/>
      <c r="Q58" s="177"/>
    </row>
    <row r="59" spans="1:17" x14ac:dyDescent="0.2">
      <c r="B59" s="332" t="s">
        <v>132</v>
      </c>
      <c r="C59" s="332"/>
      <c r="D59" s="195">
        <v>2048</v>
      </c>
      <c r="E59" s="192"/>
      <c r="G59" s="159"/>
      <c r="H59" s="185">
        <f>+H58*83</f>
        <v>450.74260259740259</v>
      </c>
      <c r="I59" s="193"/>
      <c r="J59" s="178"/>
      <c r="K59" s="186"/>
      <c r="L59" s="179"/>
      <c r="M59" s="333" t="s">
        <v>129</v>
      </c>
      <c r="N59" s="333"/>
      <c r="O59" s="176">
        <f>SUM(O57:O58)</f>
        <v>5305.5167892640693</v>
      </c>
      <c r="P59" s="176"/>
      <c r="Q59" s="177"/>
    </row>
    <row r="60" spans="1:17" ht="13.5" thickBot="1" x14ac:dyDescent="0.25">
      <c r="B60" s="325" t="s">
        <v>133</v>
      </c>
      <c r="C60" s="325"/>
      <c r="D60" s="191">
        <f>+D58/D59</f>
        <v>1</v>
      </c>
      <c r="E60" s="192"/>
      <c r="F60" s="196"/>
      <c r="G60" s="159"/>
      <c r="H60" s="185"/>
      <c r="I60" s="193"/>
      <c r="J60" s="178"/>
      <c r="K60" s="186"/>
      <c r="L60" s="333"/>
      <c r="M60" s="333"/>
      <c r="N60" s="194"/>
      <c r="O60" s="176">
        <f>+O59*N60</f>
        <v>0</v>
      </c>
      <c r="P60" s="176"/>
      <c r="Q60" s="177"/>
    </row>
    <row r="61" spans="1:17" ht="13.5" thickBot="1" x14ac:dyDescent="0.25">
      <c r="B61" s="325" t="s">
        <v>134</v>
      </c>
      <c r="C61" s="325"/>
      <c r="D61" s="197"/>
      <c r="E61" s="192"/>
      <c r="F61" s="196"/>
      <c r="G61" s="159"/>
      <c r="H61" s="185"/>
      <c r="I61" s="193"/>
      <c r="J61" s="178"/>
      <c r="K61" s="326" t="s">
        <v>135</v>
      </c>
      <c r="L61" s="327"/>
      <c r="M61" s="327"/>
      <c r="N61" s="328"/>
      <c r="O61" s="189">
        <f>SUM(O59:O60)</f>
        <v>5305.5167892640693</v>
      </c>
      <c r="P61" s="198" t="s">
        <v>136</v>
      </c>
      <c r="Q61" s="177"/>
    </row>
    <row r="62" spans="1:17" ht="13.5" thickBot="1" x14ac:dyDescent="0.25">
      <c r="C62" s="168" t="s">
        <v>137</v>
      </c>
      <c r="D62" s="199"/>
      <c r="E62" s="142" t="s">
        <v>138</v>
      </c>
      <c r="F62" s="200" t="s">
        <v>139</v>
      </c>
      <c r="G62" s="159"/>
      <c r="H62" s="185"/>
      <c r="I62" s="193"/>
      <c r="J62" s="201"/>
      <c r="K62" s="202"/>
      <c r="L62" s="339" t="s">
        <v>140</v>
      </c>
      <c r="M62" s="339"/>
      <c r="N62" s="339"/>
      <c r="O62" s="203">
        <f>+O61/D60</f>
        <v>5305.5167892640693</v>
      </c>
      <c r="P62" s="204">
        <f>+O62/D59</f>
        <v>2.5905843697578463</v>
      </c>
      <c r="Q62" s="205"/>
    </row>
    <row r="63" spans="1:17" ht="13.5" thickBot="1" x14ac:dyDescent="0.25">
      <c r="B63" s="340" t="s">
        <v>125</v>
      </c>
      <c r="C63" s="340"/>
      <c r="D63" s="340"/>
      <c r="E63" s="206">
        <f>+F63/F63</f>
        <v>1</v>
      </c>
      <c r="F63" s="207">
        <f>SUM(F55)</f>
        <v>4436.6153866666664</v>
      </c>
      <c r="G63" s="159">
        <f>+F63/$F$66</f>
        <v>0.9243449222132003</v>
      </c>
      <c r="H63" s="185"/>
      <c r="I63" s="193"/>
      <c r="K63" s="341"/>
      <c r="L63" s="342"/>
      <c r="M63" s="342"/>
      <c r="N63" s="342"/>
      <c r="O63" s="208"/>
      <c r="P63" s="209"/>
    </row>
    <row r="64" spans="1:17" ht="13.5" thickBot="1" x14ac:dyDescent="0.3">
      <c r="B64" s="343" t="s">
        <v>141</v>
      </c>
      <c r="C64" s="343"/>
      <c r="D64" s="343"/>
      <c r="E64" s="210">
        <v>0.02</v>
      </c>
      <c r="F64" s="207">
        <f>+F53*E64</f>
        <v>55.124710399999998</v>
      </c>
      <c r="G64" s="159">
        <f>+F64/$F$66</f>
        <v>1.1484936535144714E-2</v>
      </c>
      <c r="H64" s="171"/>
      <c r="I64" s="193"/>
      <c r="J64" s="211"/>
      <c r="O64" s="212">
        <f>+O62/8</f>
        <v>663.18959865800866</v>
      </c>
      <c r="P64" s="169"/>
    </row>
    <row r="65" spans="2:13" ht="13.5" thickBot="1" x14ac:dyDescent="0.3">
      <c r="B65" s="344" t="s">
        <v>142</v>
      </c>
      <c r="C65" s="345"/>
      <c r="D65" s="213">
        <v>4</v>
      </c>
      <c r="E65" s="214">
        <v>77</v>
      </c>
      <c r="F65" s="207">
        <f>+E65*D65</f>
        <v>308</v>
      </c>
      <c r="G65" s="159">
        <f>+F65/$F$66</f>
        <v>6.4170141251654947E-2</v>
      </c>
      <c r="H65" s="171"/>
      <c r="I65" s="171"/>
      <c r="J65" s="161"/>
    </row>
    <row r="66" spans="2:13" ht="13.5" thickBot="1" x14ac:dyDescent="0.3">
      <c r="B66" s="346" t="s">
        <v>143</v>
      </c>
      <c r="C66" s="347"/>
      <c r="D66" s="347"/>
      <c r="E66" s="348"/>
      <c r="F66" s="184">
        <f>SUM(F63:F65)</f>
        <v>4799.7400970666667</v>
      </c>
      <c r="G66" s="159">
        <f>+F66/$F$66</f>
        <v>1</v>
      </c>
      <c r="H66" s="349"/>
      <c r="I66" s="171"/>
      <c r="J66" s="161"/>
      <c r="M66" s="144" t="s">
        <v>144</v>
      </c>
    </row>
    <row r="67" spans="2:13" x14ac:dyDescent="0.25">
      <c r="C67" s="166"/>
      <c r="D67" s="166"/>
      <c r="E67" s="216"/>
      <c r="F67" s="207"/>
      <c r="G67" s="159"/>
      <c r="H67" s="349"/>
      <c r="I67" s="215"/>
      <c r="J67" s="144"/>
      <c r="M67" s="144" t="s">
        <v>145</v>
      </c>
    </row>
    <row r="68" spans="2:13" ht="13.5" thickBot="1" x14ac:dyDescent="0.3">
      <c r="B68" s="334" t="s">
        <v>146</v>
      </c>
      <c r="C68" s="334"/>
      <c r="D68" s="334"/>
      <c r="E68" s="334"/>
      <c r="F68" s="334"/>
      <c r="G68" s="159"/>
      <c r="H68" s="218"/>
      <c r="I68" s="215"/>
      <c r="J68" s="144"/>
      <c r="M68" s="144" t="s">
        <v>147</v>
      </c>
    </row>
    <row r="69" spans="2:13" ht="13.5" thickBot="1" x14ac:dyDescent="0.3">
      <c r="B69" s="219" t="s">
        <v>148</v>
      </c>
      <c r="C69" s="220">
        <f>+F53</f>
        <v>2756.2355199999997</v>
      </c>
      <c r="D69" s="220">
        <f>+D58</f>
        <v>2048</v>
      </c>
      <c r="E69" s="221">
        <f>+C69/D69</f>
        <v>1.3458181249999999</v>
      </c>
      <c r="F69" s="159"/>
      <c r="G69" s="218"/>
      <c r="H69" s="161"/>
      <c r="I69" s="218"/>
      <c r="J69" s="144"/>
    </row>
    <row r="70" spans="2:13" x14ac:dyDescent="0.25">
      <c r="B70" s="222"/>
      <c r="C70" s="223"/>
      <c r="D70" s="224"/>
      <c r="E70" s="207"/>
      <c r="F70" s="159"/>
      <c r="G70" s="218"/>
      <c r="H70" s="161"/>
      <c r="I70" s="161"/>
      <c r="J70" s="144"/>
    </row>
    <row r="71" spans="2:13" x14ac:dyDescent="0.25">
      <c r="B71" s="219" t="s">
        <v>149</v>
      </c>
      <c r="C71" s="220">
        <f>SUM(F63:F64)</f>
        <v>4491.7400970666667</v>
      </c>
      <c r="D71" s="220">
        <f>+D58</f>
        <v>2048</v>
      </c>
      <c r="E71" s="225">
        <f>+C71/D71</f>
        <v>2.1932324692708334</v>
      </c>
      <c r="F71" s="159"/>
      <c r="G71" s="218"/>
      <c r="H71" s="161"/>
      <c r="I71" s="161"/>
      <c r="J71" s="144"/>
    </row>
    <row r="72" spans="2:13" x14ac:dyDescent="0.25">
      <c r="B72" s="219"/>
      <c r="C72" s="220"/>
      <c r="D72" s="220"/>
      <c r="E72" s="225"/>
      <c r="F72" s="159"/>
      <c r="G72" s="218"/>
      <c r="H72" s="161"/>
      <c r="I72" s="161"/>
      <c r="J72" s="144"/>
    </row>
    <row r="73" spans="2:13" ht="13.5" thickBot="1" x14ac:dyDescent="0.3">
      <c r="B73" s="219" t="s">
        <v>150</v>
      </c>
      <c r="C73" s="220">
        <f>+F65</f>
        <v>308</v>
      </c>
      <c r="D73" s="220">
        <f>+D58</f>
        <v>2048</v>
      </c>
      <c r="E73" s="225">
        <f>+C73/D73</f>
        <v>0.150390625</v>
      </c>
      <c r="F73" s="159"/>
      <c r="G73" s="218"/>
      <c r="H73" s="161"/>
      <c r="I73" s="161"/>
      <c r="J73" s="144"/>
    </row>
    <row r="74" spans="2:13" ht="13.5" thickBot="1" x14ac:dyDescent="0.3">
      <c r="B74" s="219" t="s">
        <v>151</v>
      </c>
      <c r="C74" s="220">
        <f>+F56</f>
        <v>418.15879999999999</v>
      </c>
      <c r="D74" s="220">
        <f>+D73</f>
        <v>2048</v>
      </c>
      <c r="E74" s="221">
        <f>+C74/D74</f>
        <v>0.20417910156249999</v>
      </c>
      <c r="F74" s="159"/>
      <c r="G74" s="218"/>
      <c r="H74" s="161"/>
      <c r="I74" s="161"/>
      <c r="J74" s="144"/>
    </row>
    <row r="75" spans="2:13" ht="13.5" thickBot="1" x14ac:dyDescent="0.3">
      <c r="B75" s="183"/>
      <c r="C75" s="184"/>
      <c r="D75" s="184"/>
      <c r="E75" s="225"/>
      <c r="F75" s="159"/>
      <c r="G75" s="218"/>
      <c r="H75" s="161"/>
      <c r="I75" s="161"/>
      <c r="J75" s="144"/>
    </row>
    <row r="76" spans="2:13" ht="13.5" thickBot="1" x14ac:dyDescent="0.3">
      <c r="B76" s="219" t="s">
        <v>152</v>
      </c>
      <c r="C76" s="220">
        <f>+F54</f>
        <v>1680.3798666666664</v>
      </c>
      <c r="D76" s="220">
        <f>+D74</f>
        <v>2048</v>
      </c>
      <c r="E76" s="221">
        <f>+C76/D76</f>
        <v>0.82049798177083322</v>
      </c>
      <c r="F76" s="159"/>
      <c r="G76" s="218"/>
      <c r="H76" s="161"/>
      <c r="I76" s="161"/>
      <c r="J76" s="161"/>
    </row>
    <row r="77" spans="2:13" ht="13.5" thickBot="1" x14ac:dyDescent="0.3">
      <c r="B77" s="183"/>
      <c r="C77" s="184"/>
      <c r="D77" s="184"/>
      <c r="E77" s="225"/>
      <c r="F77" s="159"/>
      <c r="G77" s="218"/>
      <c r="H77" s="161"/>
      <c r="I77" s="161"/>
    </row>
    <row r="78" spans="2:13" ht="13.5" thickBot="1" x14ac:dyDescent="0.3">
      <c r="B78" s="335" t="s">
        <v>153</v>
      </c>
      <c r="C78" s="336"/>
      <c r="D78" s="337"/>
      <c r="E78" s="221">
        <f>+E69+E74</f>
        <v>1.5499972265624999</v>
      </c>
      <c r="G78" s="159"/>
      <c r="H78" s="218"/>
      <c r="I78" s="161"/>
      <c r="J78" s="225"/>
    </row>
    <row r="79" spans="2:13" x14ac:dyDescent="0.25">
      <c r="I79" s="218"/>
      <c r="J79" s="144"/>
    </row>
    <row r="80" spans="2:13" ht="13.5" thickBot="1" x14ac:dyDescent="0.3">
      <c r="B80" s="334" t="s">
        <v>154</v>
      </c>
      <c r="C80" s="334"/>
      <c r="D80" s="334"/>
      <c r="E80" s="334"/>
      <c r="F80" s="334"/>
      <c r="G80" s="159"/>
      <c r="H80" s="218"/>
      <c r="J80" s="144"/>
    </row>
    <row r="81" spans="1:10" ht="13.5" thickBot="1" x14ac:dyDescent="0.3">
      <c r="B81" s="219" t="s">
        <v>148</v>
      </c>
      <c r="C81" s="220">
        <f>+C69</f>
        <v>2756.2355199999997</v>
      </c>
      <c r="D81" s="220">
        <f>+D60</f>
        <v>1</v>
      </c>
      <c r="E81" s="221">
        <f>+C81/D81</f>
        <v>2756.2355199999997</v>
      </c>
      <c r="F81" s="159"/>
      <c r="G81" s="218"/>
      <c r="H81" s="161"/>
      <c r="I81" s="218"/>
      <c r="J81" s="144"/>
    </row>
    <row r="82" spans="1:10" x14ac:dyDescent="0.25">
      <c r="B82" s="222"/>
      <c r="C82" s="223"/>
      <c r="D82" s="224"/>
      <c r="E82" s="207"/>
      <c r="F82" s="159"/>
      <c r="G82" s="218"/>
      <c r="H82" s="161"/>
      <c r="I82" s="161"/>
      <c r="J82" s="144"/>
    </row>
    <row r="83" spans="1:10" x14ac:dyDescent="0.25">
      <c r="B83" s="219" t="s">
        <v>149</v>
      </c>
      <c r="C83" s="220">
        <f>+C71</f>
        <v>4491.7400970666667</v>
      </c>
      <c r="D83" s="220">
        <f>+D60</f>
        <v>1</v>
      </c>
      <c r="E83" s="225">
        <f>+C83/D83</f>
        <v>4491.7400970666667</v>
      </c>
      <c r="F83" s="159"/>
      <c r="G83" s="218"/>
      <c r="H83" s="161"/>
      <c r="I83" s="161"/>
      <c r="J83" s="144"/>
    </row>
    <row r="84" spans="1:10" x14ac:dyDescent="0.25">
      <c r="B84" s="219"/>
      <c r="C84" s="220"/>
      <c r="D84" s="220"/>
      <c r="E84" s="225"/>
      <c r="F84" s="159"/>
      <c r="G84" s="218"/>
      <c r="H84" s="161"/>
      <c r="I84" s="161"/>
      <c r="J84" s="144"/>
    </row>
    <row r="85" spans="1:10" ht="13.5" thickBot="1" x14ac:dyDescent="0.3">
      <c r="B85" s="219" t="s">
        <v>151</v>
      </c>
      <c r="C85" s="220">
        <f>+C73</f>
        <v>308</v>
      </c>
      <c r="D85" s="220">
        <f>+D60</f>
        <v>1</v>
      </c>
      <c r="E85" s="225">
        <f>+C85/D85</f>
        <v>308</v>
      </c>
      <c r="F85" s="227"/>
      <c r="G85" s="217"/>
      <c r="H85" s="143"/>
      <c r="I85" s="161"/>
    </row>
    <row r="86" spans="1:10" ht="13.5" thickBot="1" x14ac:dyDescent="0.3">
      <c r="B86" s="219" t="s">
        <v>151</v>
      </c>
      <c r="C86" s="220">
        <f>+C74</f>
        <v>418.15879999999999</v>
      </c>
      <c r="D86" s="220">
        <f>+D85</f>
        <v>1</v>
      </c>
      <c r="E86" s="221">
        <f>+C86/D86</f>
        <v>418.15879999999999</v>
      </c>
      <c r="F86" s="226"/>
      <c r="G86" s="217"/>
      <c r="H86" s="143"/>
      <c r="I86" s="143"/>
    </row>
    <row r="87" spans="1:10" x14ac:dyDescent="0.25">
      <c r="I87" s="143"/>
    </row>
    <row r="88" spans="1:10" x14ac:dyDescent="0.2">
      <c r="A88" s="338"/>
      <c r="B88" s="338"/>
      <c r="C88" s="228"/>
      <c r="D88" s="228"/>
      <c r="E88" s="229"/>
      <c r="G88" s="230"/>
    </row>
    <row r="89" spans="1:10" x14ac:dyDescent="0.2">
      <c r="A89" s="162"/>
      <c r="B89" s="231"/>
      <c r="C89" s="232"/>
      <c r="D89" s="232"/>
      <c r="E89" s="233"/>
      <c r="G89" s="230"/>
    </row>
    <row r="90" spans="1:10" x14ac:dyDescent="0.2">
      <c r="A90" s="162"/>
      <c r="B90" s="231"/>
      <c r="C90" s="234"/>
      <c r="D90" s="234"/>
      <c r="E90" s="162"/>
      <c r="G90" s="230"/>
    </row>
    <row r="91" spans="1:10" x14ac:dyDescent="0.2">
      <c r="A91" s="162"/>
      <c r="B91" s="231"/>
      <c r="C91" s="235"/>
      <c r="D91" s="235"/>
      <c r="E91" s="162"/>
      <c r="G91" s="230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A3909-2798-43CC-9908-DA9F9EC4F67B}">
  <dimension ref="A1:K67"/>
  <sheetViews>
    <sheetView workbookViewId="0">
      <selection activeCell="A59" sqref="A59:I59"/>
    </sheetView>
  </sheetViews>
  <sheetFormatPr baseColWidth="10" defaultRowHeight="15" x14ac:dyDescent="0.25"/>
  <cols>
    <col min="1" max="1" width="15" customWidth="1"/>
    <col min="2" max="2" width="12.7109375" customWidth="1"/>
    <col min="3" max="3" width="60.7109375" customWidth="1"/>
    <col min="4" max="4" width="42.85546875" customWidth="1"/>
    <col min="5" max="6" width="15.7109375" customWidth="1"/>
    <col min="7" max="7" width="31.28515625" customWidth="1"/>
    <col min="8" max="8" width="39.140625" customWidth="1"/>
    <col min="9" max="9" width="23.42578125" bestFit="1" customWidth="1"/>
  </cols>
  <sheetData>
    <row r="1" spans="1:9" ht="17.25" x14ac:dyDescent="0.3">
      <c r="A1" s="255"/>
      <c r="B1" s="256"/>
      <c r="C1" s="261" t="s">
        <v>30</v>
      </c>
      <c r="D1" s="261"/>
      <c r="E1" s="261"/>
      <c r="F1" s="261"/>
      <c r="G1" s="261"/>
      <c r="H1" s="6" t="s">
        <v>29</v>
      </c>
      <c r="I1" s="7"/>
    </row>
    <row r="2" spans="1:9" ht="18" thickBot="1" x14ac:dyDescent="0.35">
      <c r="A2" s="257"/>
      <c r="B2" s="258"/>
      <c r="C2" s="262" t="s">
        <v>28</v>
      </c>
      <c r="D2" s="262"/>
      <c r="E2" s="262"/>
      <c r="F2" s="262"/>
      <c r="G2" s="262"/>
      <c r="H2" s="8" t="s">
        <v>27</v>
      </c>
      <c r="I2" s="9"/>
    </row>
    <row r="3" spans="1:9" ht="22.9" customHeight="1" thickBot="1" x14ac:dyDescent="0.3">
      <c r="A3" s="257"/>
      <c r="B3" s="258"/>
      <c r="C3" s="263" t="s">
        <v>70</v>
      </c>
      <c r="D3" s="264"/>
      <c r="E3" s="264"/>
      <c r="F3" s="264"/>
      <c r="G3" s="265"/>
      <c r="H3" s="266" t="s">
        <v>26</v>
      </c>
      <c r="I3" s="240"/>
    </row>
    <row r="4" spans="1:9" ht="17.25" x14ac:dyDescent="0.3">
      <c r="A4" s="257"/>
      <c r="B4" s="258"/>
      <c r="C4" s="10" t="s">
        <v>25</v>
      </c>
      <c r="D4" s="243" t="s">
        <v>35</v>
      </c>
      <c r="E4" s="244"/>
      <c r="F4" s="244"/>
      <c r="G4" s="245"/>
      <c r="H4" s="267"/>
      <c r="I4" s="241"/>
    </row>
    <row r="5" spans="1:9" ht="18" thickBot="1" x14ac:dyDescent="0.35">
      <c r="A5" s="259"/>
      <c r="B5" s="260"/>
      <c r="C5" s="11" t="s">
        <v>24</v>
      </c>
      <c r="D5" s="246" t="s">
        <v>47</v>
      </c>
      <c r="E5" s="247"/>
      <c r="F5" s="247"/>
      <c r="G5" s="248"/>
      <c r="H5" s="268"/>
      <c r="I5" s="242"/>
    </row>
    <row r="6" spans="1:9" ht="16.5" thickBot="1" x14ac:dyDescent="0.3">
      <c r="A6" s="269" t="s">
        <v>23</v>
      </c>
      <c r="B6" s="269"/>
      <c r="C6" s="269"/>
      <c r="D6" s="270" t="s">
        <v>69</v>
      </c>
      <c r="E6" s="270"/>
      <c r="F6" s="270"/>
      <c r="G6" s="271" t="s">
        <v>22</v>
      </c>
      <c r="H6" s="271"/>
      <c r="I6" s="12" t="s">
        <v>59</v>
      </c>
    </row>
    <row r="7" spans="1:9" x14ac:dyDescent="0.25">
      <c r="A7" s="272" t="s">
        <v>21</v>
      </c>
      <c r="B7" s="274" t="s">
        <v>31</v>
      </c>
      <c r="C7" s="276" t="s">
        <v>20</v>
      </c>
      <c r="D7" s="276" t="s">
        <v>19</v>
      </c>
      <c r="E7" s="276" t="s">
        <v>18</v>
      </c>
      <c r="F7" s="276"/>
      <c r="G7" s="276" t="s">
        <v>17</v>
      </c>
      <c r="H7" s="276"/>
      <c r="I7" s="13" t="s">
        <v>16</v>
      </c>
    </row>
    <row r="8" spans="1:9" ht="31.5" thickBot="1" x14ac:dyDescent="0.3">
      <c r="A8" s="273"/>
      <c r="B8" s="275"/>
      <c r="C8" s="277"/>
      <c r="D8" s="278"/>
      <c r="E8" s="14" t="s">
        <v>13</v>
      </c>
      <c r="F8" s="15" t="s">
        <v>15</v>
      </c>
      <c r="G8" s="14" t="s">
        <v>13</v>
      </c>
      <c r="H8" s="15" t="s">
        <v>15</v>
      </c>
      <c r="I8" s="16" t="s">
        <v>14</v>
      </c>
    </row>
    <row r="9" spans="1:9" ht="19.899999999999999" customHeight="1" x14ac:dyDescent="0.3">
      <c r="A9" s="88"/>
      <c r="B9" s="89"/>
      <c r="C9" s="72" t="s">
        <v>32</v>
      </c>
      <c r="D9" s="89"/>
      <c r="E9" s="71"/>
      <c r="F9" s="90"/>
      <c r="G9" s="71"/>
      <c r="H9" s="90"/>
      <c r="I9" s="17"/>
    </row>
    <row r="10" spans="1:9" ht="17.45" customHeight="1" x14ac:dyDescent="0.3">
      <c r="A10" s="116"/>
      <c r="B10" s="122" t="s">
        <v>55</v>
      </c>
      <c r="C10" s="115" t="s">
        <v>62</v>
      </c>
      <c r="D10" s="130" t="s">
        <v>64</v>
      </c>
      <c r="E10" s="62">
        <v>1000</v>
      </c>
      <c r="F10" s="76" t="s">
        <v>1</v>
      </c>
      <c r="G10" s="77"/>
      <c r="H10" s="91"/>
      <c r="I10" s="4"/>
    </row>
    <row r="11" spans="1:9" ht="17.45" customHeight="1" x14ac:dyDescent="0.3">
      <c r="A11" s="65"/>
      <c r="B11" s="122" t="s">
        <v>66</v>
      </c>
      <c r="C11" s="131" t="s">
        <v>67</v>
      </c>
      <c r="D11" s="2"/>
      <c r="E11" s="62" t="s">
        <v>68</v>
      </c>
      <c r="F11" s="76" t="s">
        <v>1</v>
      </c>
      <c r="G11" s="77"/>
      <c r="H11" s="104"/>
      <c r="I11" s="4"/>
    </row>
    <row r="12" spans="1:9" ht="17.45" customHeight="1" x14ac:dyDescent="0.3">
      <c r="A12" s="65"/>
      <c r="B12" s="121"/>
      <c r="D12" s="118"/>
      <c r="E12" s="62"/>
      <c r="F12" s="76"/>
      <c r="G12" s="77"/>
      <c r="H12" s="104"/>
      <c r="I12" s="4"/>
    </row>
    <row r="13" spans="1:9" ht="17.45" customHeight="1" x14ac:dyDescent="0.3">
      <c r="A13" s="113"/>
      <c r="B13" s="123"/>
      <c r="C13" s="124"/>
      <c r="D13" s="119"/>
      <c r="E13" s="62"/>
      <c r="F13" s="76"/>
      <c r="G13" s="77"/>
      <c r="H13" s="104"/>
      <c r="I13" s="4"/>
    </row>
    <row r="14" spans="1:9" ht="18.75" x14ac:dyDescent="0.3">
      <c r="A14" s="66"/>
      <c r="B14" s="1"/>
      <c r="C14" s="1"/>
      <c r="D14" s="63"/>
      <c r="E14" s="62"/>
      <c r="F14" s="76"/>
      <c r="G14" s="77"/>
      <c r="H14" s="104"/>
      <c r="I14" s="4"/>
    </row>
    <row r="15" spans="1:9" ht="18.75" x14ac:dyDescent="0.3">
      <c r="A15" s="66"/>
      <c r="B15" s="113"/>
      <c r="C15" s="73"/>
      <c r="D15" s="65"/>
      <c r="E15" s="79"/>
      <c r="F15" s="76"/>
      <c r="G15" s="78"/>
      <c r="H15" s="65"/>
      <c r="I15" s="4"/>
    </row>
    <row r="16" spans="1:9" ht="18.75" x14ac:dyDescent="0.3">
      <c r="A16" s="66"/>
      <c r="B16" s="115"/>
      <c r="C16" s="115"/>
      <c r="D16" s="80"/>
      <c r="E16" s="81"/>
      <c r="F16" s="76"/>
      <c r="G16" s="78"/>
      <c r="H16" s="65"/>
      <c r="I16" s="4"/>
    </row>
    <row r="17" spans="1:9" ht="18.75" x14ac:dyDescent="0.3">
      <c r="A17" s="67"/>
      <c r="B17" s="68"/>
      <c r="C17" s="83"/>
      <c r="D17" s="63"/>
      <c r="E17" s="65"/>
      <c r="F17" s="84"/>
      <c r="G17" s="78"/>
      <c r="H17" s="65"/>
      <c r="I17" s="4"/>
    </row>
    <row r="18" spans="1:9" ht="18.75" x14ac:dyDescent="0.3">
      <c r="A18" s="67"/>
      <c r="B18" s="68"/>
      <c r="C18" s="83"/>
      <c r="D18" s="63"/>
      <c r="E18" s="65"/>
      <c r="F18" s="84"/>
      <c r="G18" s="78"/>
      <c r="H18" s="65"/>
      <c r="I18" s="4"/>
    </row>
    <row r="19" spans="1:9" ht="18.75" x14ac:dyDescent="0.3">
      <c r="A19" s="68"/>
      <c r="B19" s="68"/>
      <c r="C19" s="92" t="s">
        <v>42</v>
      </c>
      <c r="D19" s="65"/>
      <c r="E19" s="73"/>
      <c r="F19" s="65"/>
      <c r="G19" s="64"/>
      <c r="H19" s="65"/>
      <c r="I19" s="4"/>
    </row>
    <row r="20" spans="1:9" ht="18.75" x14ac:dyDescent="0.3">
      <c r="A20" s="68"/>
      <c r="B20" s="109"/>
      <c r="C20" s="110"/>
      <c r="D20" s="111"/>
      <c r="E20" s="70"/>
      <c r="F20" s="70"/>
      <c r="G20" s="64"/>
      <c r="H20" s="107"/>
      <c r="I20" s="4"/>
    </row>
    <row r="21" spans="1:9" ht="18.75" x14ac:dyDescent="0.3">
      <c r="A21" s="68"/>
      <c r="B21" s="109"/>
      <c r="C21" s="110"/>
      <c r="D21" s="111"/>
      <c r="E21" s="70"/>
      <c r="F21" s="70"/>
      <c r="G21" s="64"/>
      <c r="H21" s="107"/>
      <c r="I21" s="4"/>
    </row>
    <row r="22" spans="1:9" ht="18.75" x14ac:dyDescent="0.3">
      <c r="A22" s="68"/>
      <c r="B22" s="113"/>
      <c r="C22" s="114"/>
      <c r="D22" s="111"/>
      <c r="E22" s="70"/>
      <c r="F22" s="70"/>
      <c r="G22" s="64"/>
      <c r="H22" s="107"/>
      <c r="I22" s="4"/>
    </row>
    <row r="23" spans="1:9" ht="22.9" customHeight="1" x14ac:dyDescent="0.3">
      <c r="A23" s="105"/>
      <c r="B23" s="109"/>
      <c r="C23" s="110"/>
      <c r="D23" s="111"/>
      <c r="E23" s="70"/>
      <c r="F23" s="70"/>
      <c r="G23" s="71"/>
      <c r="H23" s="90"/>
      <c r="I23" s="4"/>
    </row>
    <row r="24" spans="1:9" ht="21.6" customHeight="1" x14ac:dyDescent="0.3">
      <c r="A24" s="106"/>
      <c r="B24" s="109"/>
      <c r="C24" s="110"/>
      <c r="D24" s="111"/>
      <c r="E24" s="70"/>
      <c r="F24" s="70"/>
      <c r="G24" s="1"/>
      <c r="H24" s="107"/>
      <c r="I24" s="1"/>
    </row>
    <row r="25" spans="1:9" ht="18" customHeight="1" x14ac:dyDescent="0.3">
      <c r="A25" s="106"/>
      <c r="B25" s="109"/>
      <c r="C25" s="110"/>
      <c r="D25" s="112"/>
      <c r="E25" s="70"/>
      <c r="F25" s="70"/>
      <c r="G25" s="71"/>
      <c r="H25" s="90"/>
      <c r="I25" s="1"/>
    </row>
    <row r="26" spans="1:9" ht="18.75" x14ac:dyDescent="0.3">
      <c r="A26" s="68"/>
      <c r="B26" s="65"/>
      <c r="C26" s="73"/>
      <c r="D26" s="70"/>
      <c r="E26" s="70"/>
      <c r="F26" s="70"/>
      <c r="G26" s="71"/>
      <c r="H26" s="90"/>
      <c r="I26" s="4"/>
    </row>
    <row r="27" spans="1:9" ht="18.75" x14ac:dyDescent="0.3">
      <c r="A27" s="68"/>
      <c r="B27" s="65"/>
      <c r="C27" s="103"/>
      <c r="D27" s="80"/>
      <c r="E27" s="70"/>
      <c r="F27" s="70"/>
      <c r="G27" s="71"/>
      <c r="H27" s="90"/>
      <c r="I27" s="4"/>
    </row>
    <row r="28" spans="1:9" ht="18.75" x14ac:dyDescent="0.3">
      <c r="A28" s="68"/>
      <c r="B28" s="65"/>
      <c r="C28" s="103"/>
      <c r="D28" s="80"/>
      <c r="E28" s="70"/>
      <c r="F28" s="70"/>
      <c r="G28" s="71"/>
      <c r="H28" s="90"/>
      <c r="I28" s="4"/>
    </row>
    <row r="29" spans="1:9" ht="18.75" x14ac:dyDescent="0.3">
      <c r="A29" s="68"/>
      <c r="B29" s="65"/>
      <c r="C29" s="103"/>
      <c r="D29" s="80"/>
      <c r="E29" s="70"/>
      <c r="F29" s="70"/>
      <c r="G29" s="71"/>
      <c r="H29" s="90"/>
      <c r="I29" s="4"/>
    </row>
    <row r="30" spans="1:9" ht="18.75" x14ac:dyDescent="0.3">
      <c r="A30" s="68"/>
      <c r="B30" s="65"/>
      <c r="C30" s="103"/>
      <c r="D30" s="80"/>
      <c r="E30" s="70"/>
      <c r="F30" s="70"/>
      <c r="G30" s="71"/>
      <c r="H30" s="90"/>
      <c r="I30" s="4"/>
    </row>
    <row r="31" spans="1:9" ht="18.75" x14ac:dyDescent="0.3">
      <c r="A31" s="73"/>
      <c r="B31" s="69"/>
      <c r="C31" s="93"/>
      <c r="D31" s="74"/>
      <c r="E31" s="69"/>
      <c r="F31" s="94"/>
      <c r="G31" s="71"/>
      <c r="H31" s="90"/>
      <c r="I31" s="17"/>
    </row>
    <row r="32" spans="1:9" ht="18.75" x14ac:dyDescent="0.3">
      <c r="A32" s="68"/>
      <c r="B32" s="68"/>
      <c r="C32" s="92" t="s">
        <v>34</v>
      </c>
      <c r="D32" s="73"/>
      <c r="E32" s="73"/>
      <c r="F32" s="65"/>
      <c r="G32" s="64"/>
      <c r="H32" s="65"/>
      <c r="I32" s="17"/>
    </row>
    <row r="33" spans="1:11" ht="18.75" x14ac:dyDescent="0.3">
      <c r="A33" s="62"/>
      <c r="B33" s="63"/>
      <c r="C33" s="82"/>
      <c r="D33" s="85"/>
      <c r="E33" s="86"/>
      <c r="F33" s="86"/>
      <c r="G33" s="64"/>
      <c r="H33" s="65"/>
      <c r="I33" s="17"/>
    </row>
    <row r="34" spans="1:11" ht="18.75" x14ac:dyDescent="0.3">
      <c r="A34" s="62"/>
      <c r="B34" s="63"/>
      <c r="C34" s="82"/>
      <c r="D34" s="85"/>
      <c r="E34" s="86"/>
      <c r="F34" s="86"/>
      <c r="G34" s="95"/>
      <c r="H34" s="65"/>
      <c r="I34" s="17"/>
    </row>
    <row r="35" spans="1:11" s="61" customFormat="1" ht="18.75" x14ac:dyDescent="0.3">
      <c r="A35" s="62"/>
      <c r="B35" s="63"/>
      <c r="C35" s="82"/>
      <c r="D35" s="85"/>
      <c r="E35" s="86"/>
      <c r="F35" s="86"/>
      <c r="G35" s="75"/>
      <c r="H35" s="65"/>
      <c r="I35" s="17"/>
    </row>
    <row r="36" spans="1:11" ht="18.75" x14ac:dyDescent="0.3">
      <c r="A36" s="62"/>
      <c r="B36" s="87"/>
      <c r="C36" s="82"/>
      <c r="D36" s="85"/>
      <c r="E36" s="86"/>
      <c r="F36" s="86"/>
      <c r="G36" s="95"/>
      <c r="H36" s="68"/>
      <c r="I36" s="17"/>
    </row>
    <row r="37" spans="1:11" ht="18.75" x14ac:dyDescent="0.3">
      <c r="A37" s="62"/>
      <c r="B37" s="63"/>
      <c r="C37" s="82"/>
      <c r="D37" s="85"/>
      <c r="E37" s="86"/>
      <c r="F37" s="86"/>
      <c r="G37" s="71"/>
      <c r="H37" s="68"/>
      <c r="I37" s="17"/>
    </row>
    <row r="38" spans="1:11" ht="18.75" x14ac:dyDescent="0.3">
      <c r="A38" s="69"/>
      <c r="B38" s="96"/>
      <c r="C38" s="93"/>
      <c r="D38" s="69"/>
      <c r="E38" s="69"/>
      <c r="F38" s="97"/>
      <c r="G38" s="64"/>
      <c r="H38" s="98"/>
      <c r="I38" s="17"/>
    </row>
    <row r="39" spans="1:11" ht="18.75" x14ac:dyDescent="0.3">
      <c r="A39" s="99"/>
      <c r="B39" s="100"/>
      <c r="C39" s="101"/>
      <c r="D39" s="63"/>
      <c r="E39" s="64"/>
      <c r="F39" s="102"/>
      <c r="G39" s="64"/>
      <c r="H39" s="98"/>
      <c r="I39" s="17"/>
    </row>
    <row r="40" spans="1:11" ht="16.149999999999999" customHeight="1" x14ac:dyDescent="0.25">
      <c r="A40" s="53"/>
      <c r="B40" s="53"/>
      <c r="C40" s="54"/>
      <c r="D40" s="55"/>
      <c r="E40" s="53"/>
      <c r="F40" s="56"/>
      <c r="G40" s="57"/>
      <c r="H40" s="51"/>
      <c r="I40" s="17"/>
    </row>
    <row r="41" spans="1:11" ht="15.75" x14ac:dyDescent="0.25">
      <c r="A41" s="58"/>
      <c r="B41" s="58"/>
      <c r="C41" s="59"/>
      <c r="D41" s="18"/>
      <c r="E41" s="58"/>
      <c r="F41" s="5"/>
      <c r="G41" s="52"/>
      <c r="H41" s="60"/>
      <c r="I41" s="17"/>
    </row>
    <row r="42" spans="1:11" ht="17.25" x14ac:dyDescent="0.3">
      <c r="A42" s="21"/>
      <c r="B42" s="22"/>
      <c r="C42" s="23"/>
      <c r="D42" s="24"/>
      <c r="E42" s="25"/>
      <c r="F42" s="25"/>
      <c r="G42" s="20"/>
      <c r="H42" s="3"/>
      <c r="I42" s="17"/>
    </row>
    <row r="43" spans="1:11" ht="15.75" x14ac:dyDescent="0.25">
      <c r="A43" s="22"/>
      <c r="B43" s="26"/>
      <c r="C43" s="27"/>
      <c r="D43" s="2"/>
      <c r="E43" s="28"/>
      <c r="F43" s="19"/>
      <c r="G43" s="20"/>
      <c r="H43" s="4"/>
      <c r="I43" s="17"/>
    </row>
    <row r="44" spans="1:11" ht="15.75" x14ac:dyDescent="0.25">
      <c r="A44" s="29"/>
      <c r="B44" s="30"/>
      <c r="C44" s="31"/>
      <c r="D44" s="4"/>
      <c r="E44" s="4"/>
      <c r="F44" s="32"/>
      <c r="G44" s="4"/>
      <c r="H44" s="4"/>
      <c r="I44" s="17"/>
    </row>
    <row r="45" spans="1:11" ht="18" thickBot="1" x14ac:dyDescent="0.35">
      <c r="A45" s="33"/>
      <c r="B45" s="34"/>
      <c r="C45" s="35"/>
      <c r="D45" s="35"/>
      <c r="E45" s="36"/>
      <c r="F45" s="37"/>
      <c r="G45" s="35"/>
      <c r="H45" s="35"/>
      <c r="I45" s="38"/>
      <c r="K45" s="108"/>
    </row>
    <row r="46" spans="1:11" ht="18" thickBot="1" x14ac:dyDescent="0.35">
      <c r="A46" s="39"/>
      <c r="B46" s="40"/>
      <c r="C46" s="41"/>
      <c r="D46" s="42" t="s">
        <v>13</v>
      </c>
      <c r="E46" s="43" t="s">
        <v>12</v>
      </c>
      <c r="F46" s="44"/>
      <c r="G46" s="41"/>
      <c r="H46" s="41"/>
      <c r="I46" s="45"/>
    </row>
    <row r="47" spans="1:11" ht="17.25" x14ac:dyDescent="0.3">
      <c r="A47" s="279" t="s">
        <v>11</v>
      </c>
      <c r="B47" s="280"/>
      <c r="C47" s="281"/>
      <c r="D47" s="46">
        <v>1000</v>
      </c>
      <c r="E47" s="47" t="s">
        <v>1</v>
      </c>
      <c r="F47" s="282" t="s">
        <v>10</v>
      </c>
      <c r="G47" s="282"/>
      <c r="H47" s="283"/>
      <c r="I47" s="284"/>
      <c r="J47">
        <f>5000/450</f>
        <v>11.111111111111111</v>
      </c>
    </row>
    <row r="48" spans="1:11" ht="17.25" x14ac:dyDescent="0.3">
      <c r="A48" s="249" t="s">
        <v>9</v>
      </c>
      <c r="B48" s="250"/>
      <c r="C48" s="251"/>
      <c r="D48" s="48">
        <v>2</v>
      </c>
      <c r="E48" s="48" t="s">
        <v>8</v>
      </c>
      <c r="F48" s="252" t="s">
        <v>7</v>
      </c>
      <c r="G48" s="252"/>
      <c r="H48" s="253"/>
      <c r="I48" s="254"/>
    </row>
    <row r="49" spans="1:9" ht="17.25" x14ac:dyDescent="0.3">
      <c r="A49" s="249" t="s">
        <v>6</v>
      </c>
      <c r="B49" s="250"/>
      <c r="C49" s="251"/>
      <c r="D49" s="48">
        <v>1</v>
      </c>
      <c r="E49" s="48" t="s">
        <v>12</v>
      </c>
      <c r="F49" s="252" t="s">
        <v>5</v>
      </c>
      <c r="G49" s="252"/>
      <c r="H49" s="253"/>
      <c r="I49" s="254"/>
    </row>
    <row r="50" spans="1:9" ht="17.25" x14ac:dyDescent="0.3">
      <c r="A50" s="249" t="s">
        <v>4</v>
      </c>
      <c r="B50" s="250"/>
      <c r="C50" s="251"/>
      <c r="D50" s="48">
        <v>1000</v>
      </c>
      <c r="E50" s="48" t="s">
        <v>65</v>
      </c>
      <c r="F50" s="285" t="s">
        <v>3</v>
      </c>
      <c r="G50" s="286"/>
      <c r="H50" s="253"/>
      <c r="I50" s="254"/>
    </row>
    <row r="51" spans="1:9" ht="18" thickBot="1" x14ac:dyDescent="0.35">
      <c r="A51" s="287" t="s">
        <v>2</v>
      </c>
      <c r="B51" s="288"/>
      <c r="C51" s="289"/>
      <c r="D51" s="49">
        <f>SUM(E10:E24)-D47</f>
        <v>0</v>
      </c>
      <c r="E51" s="50" t="s">
        <v>1</v>
      </c>
      <c r="F51" s="290"/>
      <c r="G51" s="290"/>
      <c r="H51" s="291"/>
      <c r="I51" s="292"/>
    </row>
    <row r="52" spans="1:9" ht="16.5" thickBot="1" x14ac:dyDescent="0.3">
      <c r="A52" s="296" t="s">
        <v>0</v>
      </c>
      <c r="B52" s="297"/>
      <c r="C52" s="297"/>
      <c r="D52" s="297"/>
      <c r="E52" s="297"/>
      <c r="F52" s="297"/>
      <c r="G52" s="297"/>
      <c r="H52" s="297"/>
      <c r="I52" s="298"/>
    </row>
    <row r="53" spans="1:9" ht="20.45" customHeight="1" x14ac:dyDescent="0.25">
      <c r="A53" s="299" t="s">
        <v>71</v>
      </c>
      <c r="B53" s="300"/>
      <c r="C53" s="300"/>
      <c r="D53" s="300"/>
      <c r="E53" s="300"/>
      <c r="F53" s="300"/>
      <c r="G53" s="300"/>
      <c r="H53" s="300"/>
      <c r="I53" s="301"/>
    </row>
    <row r="54" spans="1:9" ht="22.9" customHeight="1" x14ac:dyDescent="0.25">
      <c r="A54" s="302" t="s">
        <v>63</v>
      </c>
      <c r="B54" s="302"/>
      <c r="C54" s="302"/>
      <c r="D54" s="302"/>
      <c r="E54" s="302"/>
      <c r="F54" s="302"/>
      <c r="G54" s="302"/>
      <c r="H54" s="302"/>
      <c r="I54" s="302"/>
    </row>
    <row r="55" spans="1:9" ht="19.899999999999999" customHeight="1" x14ac:dyDescent="0.25">
      <c r="A55" s="303"/>
      <c r="B55" s="303"/>
      <c r="C55" s="303"/>
      <c r="D55" s="303"/>
      <c r="E55" s="303"/>
      <c r="F55" s="303"/>
      <c r="G55" s="303"/>
      <c r="H55" s="303"/>
      <c r="I55" s="303"/>
    </row>
    <row r="56" spans="1:9" ht="20.45" customHeight="1" x14ac:dyDescent="0.25">
      <c r="A56" s="303"/>
      <c r="B56" s="303"/>
      <c r="C56" s="303"/>
      <c r="D56" s="303"/>
      <c r="E56" s="303"/>
      <c r="F56" s="303"/>
      <c r="G56" s="303"/>
      <c r="H56" s="303"/>
      <c r="I56" s="303"/>
    </row>
    <row r="57" spans="1:9" ht="20.45" customHeight="1" x14ac:dyDescent="0.25">
      <c r="A57" s="318"/>
      <c r="B57" s="318"/>
      <c r="C57" s="318"/>
      <c r="D57" s="318"/>
      <c r="E57" s="318"/>
      <c r="F57" s="318"/>
      <c r="G57" s="318"/>
      <c r="H57" s="318"/>
      <c r="I57" s="318"/>
    </row>
    <row r="58" spans="1:9" ht="20.45" customHeight="1" x14ac:dyDescent="0.25">
      <c r="A58" s="318"/>
      <c r="B58" s="318"/>
      <c r="C58" s="318"/>
      <c r="D58" s="318"/>
      <c r="E58" s="318"/>
      <c r="F58" s="318"/>
      <c r="G58" s="318"/>
      <c r="H58" s="318"/>
      <c r="I58" s="318"/>
    </row>
    <row r="59" spans="1:9" ht="19.899999999999999" customHeight="1" x14ac:dyDescent="0.25">
      <c r="A59" s="304"/>
      <c r="B59" s="305"/>
      <c r="C59" s="306"/>
      <c r="D59" s="306"/>
      <c r="E59" s="306"/>
      <c r="F59" s="306"/>
      <c r="G59" s="306"/>
      <c r="H59" s="306"/>
      <c r="I59" s="307"/>
    </row>
    <row r="60" spans="1:9" ht="18" x14ac:dyDescent="0.25">
      <c r="A60" s="308"/>
      <c r="B60" s="309"/>
      <c r="C60" s="309"/>
      <c r="D60" s="309"/>
      <c r="E60" s="309"/>
      <c r="F60" s="309"/>
      <c r="G60" s="309"/>
      <c r="H60" s="309"/>
      <c r="I60" s="310"/>
    </row>
    <row r="62" spans="1:9" ht="18" customHeight="1" x14ac:dyDescent="0.25">
      <c r="A62" s="311"/>
      <c r="B62" s="312"/>
      <c r="C62" s="313"/>
      <c r="D62" s="313"/>
      <c r="E62" s="313"/>
      <c r="F62" s="313"/>
      <c r="G62" s="313"/>
      <c r="H62" s="313"/>
      <c r="I62" s="314"/>
    </row>
    <row r="63" spans="1:9" ht="17.25" x14ac:dyDescent="0.3">
      <c r="A63" s="315"/>
      <c r="B63" s="316"/>
      <c r="C63" s="316"/>
      <c r="D63" s="316"/>
      <c r="E63" s="316"/>
      <c r="F63" s="316"/>
      <c r="G63" s="316"/>
      <c r="H63" s="316"/>
      <c r="I63" s="317"/>
    </row>
    <row r="64" spans="1:9" ht="18" thickBot="1" x14ac:dyDescent="0.35">
      <c r="A64" s="293"/>
      <c r="B64" s="294"/>
      <c r="C64" s="294"/>
      <c r="D64" s="294"/>
      <c r="E64" s="294"/>
      <c r="F64" s="294"/>
      <c r="G64" s="294"/>
      <c r="H64" s="294"/>
      <c r="I64" s="295"/>
    </row>
    <row r="65" spans="1:9" x14ac:dyDescent="0.25">
      <c r="A65" s="236" t="s">
        <v>33</v>
      </c>
      <c r="B65" s="237"/>
      <c r="C65" s="237"/>
      <c r="D65" s="237"/>
      <c r="E65" s="237"/>
      <c r="F65" s="237"/>
      <c r="G65" s="237"/>
      <c r="H65" s="237"/>
      <c r="I65" s="237"/>
    </row>
    <row r="66" spans="1:9" x14ac:dyDescent="0.25">
      <c r="A66" s="238"/>
      <c r="B66" s="239"/>
      <c r="C66" s="239"/>
      <c r="D66" s="239"/>
      <c r="E66" s="239"/>
      <c r="F66" s="239"/>
      <c r="G66" s="239"/>
      <c r="H66" s="239"/>
      <c r="I66" s="239"/>
    </row>
    <row r="67" spans="1:9" x14ac:dyDescent="0.25">
      <c r="A67" s="238"/>
      <c r="B67" s="239"/>
      <c r="C67" s="239"/>
      <c r="D67" s="239"/>
      <c r="E67" s="239"/>
      <c r="F67" s="239"/>
      <c r="G67" s="239"/>
      <c r="H67" s="239"/>
      <c r="I67" s="239"/>
    </row>
  </sheetData>
  <mergeCells count="47">
    <mergeCell ref="A67:I67"/>
    <mergeCell ref="A55:I55"/>
    <mergeCell ref="A56:I56"/>
    <mergeCell ref="A57:I57"/>
    <mergeCell ref="A58:I58"/>
    <mergeCell ref="A59:I59"/>
    <mergeCell ref="A60:I60"/>
    <mergeCell ref="A62:I62"/>
    <mergeCell ref="A63:I63"/>
    <mergeCell ref="A64:I64"/>
    <mergeCell ref="A65:I65"/>
    <mergeCell ref="A66:I66"/>
    <mergeCell ref="A54:I54"/>
    <mergeCell ref="A49:C49"/>
    <mergeCell ref="F49:G49"/>
    <mergeCell ref="H49:I49"/>
    <mergeCell ref="A50:C50"/>
    <mergeCell ref="F50:G50"/>
    <mergeCell ref="H50:I50"/>
    <mergeCell ref="A51:C51"/>
    <mergeCell ref="F51:G51"/>
    <mergeCell ref="H51:I51"/>
    <mergeCell ref="A52:I52"/>
    <mergeCell ref="A53:I53"/>
    <mergeCell ref="A47:C47"/>
    <mergeCell ref="F47:G47"/>
    <mergeCell ref="H47:I47"/>
    <mergeCell ref="A48:C48"/>
    <mergeCell ref="F48:G48"/>
    <mergeCell ref="H48:I48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8D6C8-B33B-4659-ACA2-83BBF4FEA6D1}">
  <dimension ref="A1:K67"/>
  <sheetViews>
    <sheetView zoomScale="83" workbookViewId="0">
      <selection activeCell="C3" sqref="C3:G3"/>
    </sheetView>
  </sheetViews>
  <sheetFormatPr baseColWidth="10" defaultRowHeight="15" x14ac:dyDescent="0.25"/>
  <cols>
    <col min="1" max="1" width="15" customWidth="1"/>
    <col min="2" max="2" width="12.7109375" customWidth="1"/>
    <col min="3" max="3" width="60.7109375" customWidth="1"/>
    <col min="4" max="4" width="42.85546875" customWidth="1"/>
    <col min="5" max="6" width="15.7109375" customWidth="1"/>
    <col min="7" max="7" width="31.28515625" customWidth="1"/>
    <col min="8" max="8" width="39.140625" customWidth="1"/>
    <col min="9" max="9" width="23.42578125" bestFit="1" customWidth="1"/>
  </cols>
  <sheetData>
    <row r="1" spans="1:9" ht="17.25" x14ac:dyDescent="0.3">
      <c r="A1" s="255"/>
      <c r="B1" s="256"/>
      <c r="C1" s="261" t="s">
        <v>30</v>
      </c>
      <c r="D1" s="261"/>
      <c r="E1" s="261"/>
      <c r="F1" s="261"/>
      <c r="G1" s="261"/>
      <c r="H1" s="6" t="s">
        <v>29</v>
      </c>
      <c r="I1" s="7"/>
    </row>
    <row r="2" spans="1:9" ht="18" thickBot="1" x14ac:dyDescent="0.35">
      <c r="A2" s="257"/>
      <c r="B2" s="258"/>
      <c r="C2" s="262" t="s">
        <v>28</v>
      </c>
      <c r="D2" s="262"/>
      <c r="E2" s="262"/>
      <c r="F2" s="262"/>
      <c r="G2" s="262"/>
      <c r="H2" s="8" t="s">
        <v>27</v>
      </c>
      <c r="I2" s="9"/>
    </row>
    <row r="3" spans="1:9" ht="22.9" customHeight="1" thickBot="1" x14ac:dyDescent="0.3">
      <c r="A3" s="257"/>
      <c r="B3" s="258"/>
      <c r="C3" s="263" t="s">
        <v>79</v>
      </c>
      <c r="D3" s="264"/>
      <c r="E3" s="264"/>
      <c r="F3" s="264"/>
      <c r="G3" s="265"/>
      <c r="H3" s="266" t="s">
        <v>26</v>
      </c>
      <c r="I3" s="240"/>
    </row>
    <row r="4" spans="1:9" ht="17.25" x14ac:dyDescent="0.3">
      <c r="A4" s="257"/>
      <c r="B4" s="258"/>
      <c r="C4" s="10" t="s">
        <v>25</v>
      </c>
      <c r="D4" s="243" t="s">
        <v>35</v>
      </c>
      <c r="E4" s="244"/>
      <c r="F4" s="244"/>
      <c r="G4" s="245"/>
      <c r="H4" s="267"/>
      <c r="I4" s="241"/>
    </row>
    <row r="5" spans="1:9" ht="18" thickBot="1" x14ac:dyDescent="0.35">
      <c r="A5" s="259"/>
      <c r="B5" s="260"/>
      <c r="C5" s="11" t="s">
        <v>24</v>
      </c>
      <c r="D5" s="246" t="s">
        <v>47</v>
      </c>
      <c r="E5" s="247"/>
      <c r="F5" s="247"/>
      <c r="G5" s="248"/>
      <c r="H5" s="268"/>
      <c r="I5" s="242"/>
    </row>
    <row r="6" spans="1:9" ht="16.5" thickBot="1" x14ac:dyDescent="0.3">
      <c r="A6" s="269" t="s">
        <v>23</v>
      </c>
      <c r="B6" s="269"/>
      <c r="C6" s="269"/>
      <c r="D6" s="270" t="s">
        <v>60</v>
      </c>
      <c r="E6" s="270"/>
      <c r="F6" s="270"/>
      <c r="G6" s="271" t="s">
        <v>22</v>
      </c>
      <c r="H6" s="271"/>
      <c r="I6" s="12" t="s">
        <v>61</v>
      </c>
    </row>
    <row r="7" spans="1:9" x14ac:dyDescent="0.25">
      <c r="A7" s="272" t="s">
        <v>21</v>
      </c>
      <c r="B7" s="274" t="s">
        <v>31</v>
      </c>
      <c r="C7" s="276" t="s">
        <v>20</v>
      </c>
      <c r="D7" s="276" t="s">
        <v>19</v>
      </c>
      <c r="E7" s="276" t="s">
        <v>18</v>
      </c>
      <c r="F7" s="276"/>
      <c r="G7" s="276" t="s">
        <v>17</v>
      </c>
      <c r="H7" s="276"/>
      <c r="I7" s="13" t="s">
        <v>16</v>
      </c>
    </row>
    <row r="8" spans="1:9" ht="31.5" thickBot="1" x14ac:dyDescent="0.3">
      <c r="A8" s="273"/>
      <c r="B8" s="275"/>
      <c r="C8" s="277"/>
      <c r="D8" s="278"/>
      <c r="E8" s="14" t="s">
        <v>13</v>
      </c>
      <c r="F8" s="15" t="s">
        <v>15</v>
      </c>
      <c r="G8" s="14" t="s">
        <v>13</v>
      </c>
      <c r="H8" s="15" t="s">
        <v>15</v>
      </c>
      <c r="I8" s="16" t="s">
        <v>14</v>
      </c>
    </row>
    <row r="9" spans="1:9" ht="19.899999999999999" customHeight="1" x14ac:dyDescent="0.3">
      <c r="A9" s="88"/>
      <c r="B9" s="89"/>
      <c r="C9" s="72" t="s">
        <v>32</v>
      </c>
      <c r="D9" s="89"/>
      <c r="E9" s="71"/>
      <c r="F9" s="90"/>
      <c r="G9" s="71"/>
      <c r="H9" s="90"/>
      <c r="I9" s="17"/>
    </row>
    <row r="10" spans="1:9" ht="17.45" customHeight="1" x14ac:dyDescent="0.3">
      <c r="A10" s="116"/>
      <c r="B10" s="135" t="s">
        <v>72</v>
      </c>
      <c r="C10" s="132" t="s">
        <v>73</v>
      </c>
      <c r="D10" s="133" t="s">
        <v>36</v>
      </c>
      <c r="E10" s="134">
        <f>395*12.19</f>
        <v>4815.05</v>
      </c>
      <c r="F10" s="133" t="s">
        <v>1</v>
      </c>
      <c r="G10" s="77"/>
      <c r="H10" s="91"/>
      <c r="I10" s="4"/>
    </row>
    <row r="11" spans="1:9" ht="17.45" customHeight="1" x14ac:dyDescent="0.3">
      <c r="A11" s="65"/>
      <c r="B11" s="135" t="s">
        <v>74</v>
      </c>
      <c r="C11" s="136" t="s">
        <v>75</v>
      </c>
      <c r="D11" s="133"/>
      <c r="E11" s="134">
        <f>0.2*12.19</f>
        <v>2.4380000000000002</v>
      </c>
      <c r="F11" s="133" t="s">
        <v>1</v>
      </c>
      <c r="G11" s="77"/>
      <c r="H11" s="104"/>
      <c r="I11" s="4"/>
    </row>
    <row r="12" spans="1:9" ht="17.45" customHeight="1" x14ac:dyDescent="0.3">
      <c r="A12" s="65"/>
      <c r="B12" s="135" t="s">
        <v>76</v>
      </c>
      <c r="C12" s="137" t="s">
        <v>77</v>
      </c>
      <c r="D12" s="133" t="s">
        <v>64</v>
      </c>
      <c r="E12" s="134">
        <f>19*12.19</f>
        <v>231.60999999999999</v>
      </c>
      <c r="F12" s="133" t="s">
        <v>1</v>
      </c>
      <c r="G12" s="77"/>
      <c r="H12" s="104"/>
      <c r="I12" s="4"/>
    </row>
    <row r="13" spans="1:9" ht="17.45" customHeight="1" x14ac:dyDescent="0.3">
      <c r="A13" s="113"/>
      <c r="B13" s="123"/>
      <c r="C13" s="124"/>
      <c r="D13" s="119"/>
      <c r="E13" s="62"/>
      <c r="F13" s="76"/>
      <c r="G13" s="77"/>
      <c r="H13" s="104"/>
      <c r="I13" s="4"/>
    </row>
    <row r="14" spans="1:9" ht="18.75" x14ac:dyDescent="0.3">
      <c r="A14" s="66"/>
      <c r="B14" s="1"/>
      <c r="C14" s="1"/>
      <c r="D14" s="63"/>
      <c r="E14" s="62"/>
      <c r="F14" s="76"/>
      <c r="G14" s="77"/>
      <c r="H14" s="104"/>
      <c r="I14" s="4"/>
    </row>
    <row r="15" spans="1:9" ht="18.75" x14ac:dyDescent="0.3">
      <c r="A15" s="66"/>
      <c r="B15" s="113"/>
      <c r="C15" s="73"/>
      <c r="D15" s="65"/>
      <c r="E15" s="79"/>
      <c r="F15" s="76"/>
      <c r="G15" s="78"/>
      <c r="H15" s="65"/>
      <c r="I15" s="4"/>
    </row>
    <row r="16" spans="1:9" ht="18.75" x14ac:dyDescent="0.3">
      <c r="A16" s="66"/>
      <c r="B16" s="115"/>
      <c r="C16" s="115"/>
      <c r="D16" s="80"/>
      <c r="E16" s="81"/>
      <c r="F16" s="76"/>
      <c r="G16" s="78"/>
      <c r="H16" s="65"/>
      <c r="I16" s="4"/>
    </row>
    <row r="17" spans="1:9" ht="18.75" x14ac:dyDescent="0.3">
      <c r="A17" s="67"/>
      <c r="B17" s="68"/>
      <c r="C17" s="83"/>
      <c r="D17" s="63"/>
      <c r="E17" s="65"/>
      <c r="F17" s="84"/>
      <c r="G17" s="78"/>
      <c r="H17" s="65"/>
      <c r="I17" s="4"/>
    </row>
    <row r="18" spans="1:9" ht="18.75" x14ac:dyDescent="0.3">
      <c r="A18" s="67"/>
      <c r="B18" s="68"/>
      <c r="C18" s="83"/>
      <c r="D18" s="63"/>
      <c r="E18" s="65"/>
      <c r="F18" s="84"/>
      <c r="G18" s="78"/>
      <c r="H18" s="65"/>
      <c r="I18" s="4"/>
    </row>
    <row r="19" spans="1:9" ht="18.75" x14ac:dyDescent="0.3">
      <c r="A19" s="68"/>
      <c r="B19" s="68"/>
      <c r="C19" s="92" t="s">
        <v>42</v>
      </c>
      <c r="D19" s="65"/>
      <c r="E19" s="73"/>
      <c r="F19" s="65"/>
      <c r="G19" s="64"/>
      <c r="H19" s="65"/>
      <c r="I19" s="4"/>
    </row>
    <row r="20" spans="1:9" ht="18.75" x14ac:dyDescent="0.3">
      <c r="A20" s="68"/>
      <c r="B20" s="109"/>
      <c r="C20" s="110"/>
      <c r="D20" s="111"/>
      <c r="E20" s="70"/>
      <c r="F20" s="70"/>
      <c r="G20" s="64"/>
      <c r="H20" s="107"/>
      <c r="I20" s="4"/>
    </row>
    <row r="21" spans="1:9" ht="18.75" x14ac:dyDescent="0.3">
      <c r="A21" s="68"/>
      <c r="B21" s="109"/>
      <c r="C21" s="110"/>
      <c r="D21" s="111"/>
      <c r="E21" s="70"/>
      <c r="F21" s="70"/>
      <c r="G21" s="64"/>
      <c r="H21" s="107"/>
      <c r="I21" s="4"/>
    </row>
    <row r="22" spans="1:9" ht="18.75" x14ac:dyDescent="0.3">
      <c r="A22" s="68"/>
      <c r="B22" s="113"/>
      <c r="C22" s="114"/>
      <c r="D22" s="111"/>
      <c r="E22" s="70"/>
      <c r="F22" s="70"/>
      <c r="G22" s="64"/>
      <c r="H22" s="107"/>
      <c r="I22" s="4"/>
    </row>
    <row r="23" spans="1:9" ht="22.9" customHeight="1" x14ac:dyDescent="0.3">
      <c r="A23" s="105"/>
      <c r="B23" s="109"/>
      <c r="C23" s="110"/>
      <c r="D23" s="111"/>
      <c r="E23" s="70"/>
      <c r="F23" s="70"/>
      <c r="G23" s="71"/>
      <c r="H23" s="90"/>
      <c r="I23" s="4"/>
    </row>
    <row r="24" spans="1:9" ht="21.6" customHeight="1" x14ac:dyDescent="0.3">
      <c r="A24" s="106"/>
      <c r="B24" s="109"/>
      <c r="C24" s="110"/>
      <c r="D24" s="111"/>
      <c r="E24" s="70"/>
      <c r="F24" s="70"/>
      <c r="G24" s="1"/>
      <c r="H24" s="107"/>
      <c r="I24" s="1"/>
    </row>
    <row r="25" spans="1:9" ht="18" customHeight="1" x14ac:dyDescent="0.3">
      <c r="A25" s="106"/>
      <c r="B25" s="109"/>
      <c r="C25" s="110"/>
      <c r="D25" s="112"/>
      <c r="E25" s="70"/>
      <c r="F25" s="70"/>
      <c r="G25" s="71"/>
      <c r="H25" s="90"/>
      <c r="I25" s="1"/>
    </row>
    <row r="26" spans="1:9" ht="18.75" x14ac:dyDescent="0.3">
      <c r="A26" s="68"/>
      <c r="B26" s="65"/>
      <c r="C26" s="73"/>
      <c r="D26" s="70"/>
      <c r="E26" s="70"/>
      <c r="F26" s="70"/>
      <c r="G26" s="71"/>
      <c r="H26" s="90"/>
      <c r="I26" s="4"/>
    </row>
    <row r="27" spans="1:9" ht="18.75" x14ac:dyDescent="0.3">
      <c r="A27" s="68"/>
      <c r="B27" s="65"/>
      <c r="C27" s="103"/>
      <c r="D27" s="80"/>
      <c r="E27" s="70"/>
      <c r="F27" s="70"/>
      <c r="G27" s="71"/>
      <c r="H27" s="90"/>
      <c r="I27" s="4"/>
    </row>
    <row r="28" spans="1:9" ht="18.75" x14ac:dyDescent="0.3">
      <c r="A28" s="68"/>
      <c r="B28" s="65"/>
      <c r="C28" s="103"/>
      <c r="D28" s="80"/>
      <c r="E28" s="70"/>
      <c r="F28" s="70"/>
      <c r="G28" s="71"/>
      <c r="H28" s="90"/>
      <c r="I28" s="4"/>
    </row>
    <row r="29" spans="1:9" ht="18.75" x14ac:dyDescent="0.3">
      <c r="A29" s="68"/>
      <c r="B29" s="65"/>
      <c r="C29" s="103"/>
      <c r="D29" s="80"/>
      <c r="E29" s="70"/>
      <c r="F29" s="70"/>
      <c r="G29" s="71"/>
      <c r="H29" s="90"/>
      <c r="I29" s="4"/>
    </row>
    <row r="30" spans="1:9" ht="18.75" x14ac:dyDescent="0.3">
      <c r="A30" s="68"/>
      <c r="B30" s="65"/>
      <c r="C30" s="103"/>
      <c r="D30" s="80"/>
      <c r="E30" s="70"/>
      <c r="F30" s="70"/>
      <c r="G30" s="71"/>
      <c r="H30" s="90"/>
      <c r="I30" s="4"/>
    </row>
    <row r="31" spans="1:9" ht="18.75" x14ac:dyDescent="0.3">
      <c r="A31" s="73"/>
      <c r="B31" s="69"/>
      <c r="C31" s="93"/>
      <c r="D31" s="74"/>
      <c r="E31" s="69"/>
      <c r="F31" s="94"/>
      <c r="G31" s="71"/>
      <c r="H31" s="90"/>
      <c r="I31" s="17"/>
    </row>
    <row r="32" spans="1:9" ht="18.75" x14ac:dyDescent="0.3">
      <c r="A32" s="68"/>
      <c r="B32" s="68"/>
      <c r="C32" s="92" t="s">
        <v>34</v>
      </c>
      <c r="D32" s="73"/>
      <c r="E32" s="73"/>
      <c r="F32" s="65"/>
      <c r="G32" s="64"/>
      <c r="H32" s="65"/>
      <c r="I32" s="17"/>
    </row>
    <row r="33" spans="1:11" ht="18.75" x14ac:dyDescent="0.3">
      <c r="A33" s="62"/>
      <c r="B33" s="63"/>
      <c r="C33" s="82"/>
      <c r="D33" s="85"/>
      <c r="E33" s="86"/>
      <c r="F33" s="86"/>
      <c r="G33" s="64"/>
      <c r="H33" s="65"/>
      <c r="I33" s="17"/>
    </row>
    <row r="34" spans="1:11" ht="18.75" x14ac:dyDescent="0.3">
      <c r="A34" s="62"/>
      <c r="B34" s="63"/>
      <c r="C34" s="82"/>
      <c r="D34" s="85"/>
      <c r="E34" s="86"/>
      <c r="F34" s="86"/>
      <c r="G34" s="95"/>
      <c r="H34" s="65"/>
      <c r="I34" s="17"/>
    </row>
    <row r="35" spans="1:11" s="61" customFormat="1" ht="18.75" x14ac:dyDescent="0.3">
      <c r="A35" s="62"/>
      <c r="B35" s="63"/>
      <c r="C35" s="82"/>
      <c r="D35" s="85"/>
      <c r="E35" s="86"/>
      <c r="F35" s="86"/>
      <c r="G35" s="75"/>
      <c r="H35" s="65"/>
      <c r="I35" s="17"/>
    </row>
    <row r="36" spans="1:11" ht="18.75" x14ac:dyDescent="0.3">
      <c r="A36" s="62"/>
      <c r="B36" s="87"/>
      <c r="C36" s="82"/>
      <c r="D36" s="85"/>
      <c r="E36" s="86"/>
      <c r="F36" s="86"/>
      <c r="G36" s="95"/>
      <c r="H36" s="68"/>
      <c r="I36" s="17"/>
    </row>
    <row r="37" spans="1:11" ht="18.75" x14ac:dyDescent="0.3">
      <c r="A37" s="62"/>
      <c r="B37" s="63"/>
      <c r="C37" s="82"/>
      <c r="D37" s="85"/>
      <c r="E37" s="86"/>
      <c r="F37" s="86"/>
      <c r="G37" s="71"/>
      <c r="H37" s="68"/>
      <c r="I37" s="17"/>
    </row>
    <row r="38" spans="1:11" ht="18.75" x14ac:dyDescent="0.3">
      <c r="A38" s="69"/>
      <c r="B38" s="96"/>
      <c r="C38" s="93"/>
      <c r="D38" s="69"/>
      <c r="E38" s="69"/>
      <c r="F38" s="97"/>
      <c r="G38" s="64"/>
      <c r="H38" s="98"/>
      <c r="I38" s="17"/>
    </row>
    <row r="39" spans="1:11" ht="18.75" x14ac:dyDescent="0.3">
      <c r="A39" s="99"/>
      <c r="B39" s="100"/>
      <c r="C39" s="101"/>
      <c r="D39" s="63"/>
      <c r="E39" s="64"/>
      <c r="F39" s="102"/>
      <c r="G39" s="64"/>
      <c r="H39" s="98"/>
      <c r="I39" s="17"/>
    </row>
    <row r="40" spans="1:11" ht="16.149999999999999" customHeight="1" x14ac:dyDescent="0.25">
      <c r="A40" s="53"/>
      <c r="B40" s="53"/>
      <c r="C40" s="54"/>
      <c r="D40" s="55"/>
      <c r="E40" s="53"/>
      <c r="F40" s="56"/>
      <c r="G40" s="57"/>
      <c r="H40" s="51"/>
      <c r="I40" s="17"/>
    </row>
    <row r="41" spans="1:11" ht="15.75" x14ac:dyDescent="0.25">
      <c r="A41" s="58"/>
      <c r="B41" s="58"/>
      <c r="C41" s="59"/>
      <c r="D41" s="18"/>
      <c r="E41" s="58"/>
      <c r="F41" s="5"/>
      <c r="G41" s="52"/>
      <c r="H41" s="60"/>
      <c r="I41" s="17"/>
    </row>
    <row r="42" spans="1:11" ht="17.25" x14ac:dyDescent="0.3">
      <c r="A42" s="21"/>
      <c r="B42" s="22"/>
      <c r="C42" s="23"/>
      <c r="D42" s="24"/>
      <c r="E42" s="25"/>
      <c r="F42" s="25"/>
      <c r="G42" s="20"/>
      <c r="H42" s="3"/>
      <c r="I42" s="17"/>
    </row>
    <row r="43" spans="1:11" ht="15.75" x14ac:dyDescent="0.25">
      <c r="A43" s="22"/>
      <c r="B43" s="26"/>
      <c r="C43" s="27"/>
      <c r="D43" s="2"/>
      <c r="E43" s="28"/>
      <c r="F43" s="19"/>
      <c r="G43" s="20"/>
      <c r="H43" s="4"/>
      <c r="I43" s="17"/>
    </row>
    <row r="44" spans="1:11" ht="15.75" x14ac:dyDescent="0.25">
      <c r="A44" s="29"/>
      <c r="B44" s="30"/>
      <c r="C44" s="31"/>
      <c r="D44" s="4"/>
      <c r="E44" s="4"/>
      <c r="F44" s="32"/>
      <c r="G44" s="4"/>
      <c r="H44" s="4"/>
      <c r="I44" s="17"/>
    </row>
    <row r="45" spans="1:11" ht="18" thickBot="1" x14ac:dyDescent="0.35">
      <c r="A45" s="33"/>
      <c r="B45" s="34"/>
      <c r="C45" s="35"/>
      <c r="D45" s="35"/>
      <c r="E45" s="36"/>
      <c r="F45" s="37"/>
      <c r="G45" s="35"/>
      <c r="H45" s="35"/>
      <c r="I45" s="38"/>
      <c r="K45" s="108"/>
    </row>
    <row r="46" spans="1:11" ht="18" thickBot="1" x14ac:dyDescent="0.35">
      <c r="A46" s="39"/>
      <c r="B46" s="40"/>
      <c r="C46" s="41"/>
      <c r="D46" s="42" t="s">
        <v>13</v>
      </c>
      <c r="E46" s="43" t="s">
        <v>12</v>
      </c>
      <c r="F46" s="44"/>
      <c r="G46" s="41"/>
      <c r="H46" s="41"/>
      <c r="I46" s="45"/>
    </row>
    <row r="47" spans="1:11" ht="17.25" x14ac:dyDescent="0.3">
      <c r="A47" s="279" t="s">
        <v>11</v>
      </c>
      <c r="B47" s="280"/>
      <c r="C47" s="281"/>
      <c r="D47" s="46">
        <v>5000</v>
      </c>
      <c r="E47" s="47" t="s">
        <v>1</v>
      </c>
      <c r="F47" s="282" t="s">
        <v>10</v>
      </c>
      <c r="G47" s="282"/>
      <c r="H47" s="283"/>
      <c r="I47" s="284"/>
      <c r="J47">
        <f>5000/D47</f>
        <v>1</v>
      </c>
    </row>
    <row r="48" spans="1:11" ht="17.25" x14ac:dyDescent="0.3">
      <c r="A48" s="249" t="s">
        <v>9</v>
      </c>
      <c r="B48" s="250"/>
      <c r="C48" s="251"/>
      <c r="D48" s="48">
        <v>5</v>
      </c>
      <c r="E48" s="48" t="s">
        <v>8</v>
      </c>
      <c r="F48" s="252" t="s">
        <v>7</v>
      </c>
      <c r="G48" s="252"/>
      <c r="H48" s="253"/>
      <c r="I48" s="254"/>
    </row>
    <row r="49" spans="1:9" ht="17.25" x14ac:dyDescent="0.3">
      <c r="A49" s="249" t="s">
        <v>6</v>
      </c>
      <c r="B49" s="250"/>
      <c r="C49" s="251"/>
      <c r="D49" s="48">
        <v>1</v>
      </c>
      <c r="E49" s="48" t="s">
        <v>12</v>
      </c>
      <c r="F49" s="252" t="s">
        <v>5</v>
      </c>
      <c r="G49" s="252"/>
      <c r="H49" s="253"/>
      <c r="I49" s="254"/>
    </row>
    <row r="50" spans="1:9" ht="17.25" x14ac:dyDescent="0.3">
      <c r="A50" s="249" t="s">
        <v>4</v>
      </c>
      <c r="B50" s="250"/>
      <c r="C50" s="251"/>
      <c r="D50" s="48">
        <v>5000</v>
      </c>
      <c r="E50" s="48" t="s">
        <v>1</v>
      </c>
      <c r="F50" s="285" t="s">
        <v>3</v>
      </c>
      <c r="G50" s="286"/>
      <c r="H50" s="253"/>
      <c r="I50" s="254"/>
    </row>
    <row r="51" spans="1:9" ht="18" thickBot="1" x14ac:dyDescent="0.35">
      <c r="A51" s="287" t="s">
        <v>2</v>
      </c>
      <c r="B51" s="288"/>
      <c r="C51" s="289"/>
      <c r="D51" s="49">
        <f>SUM(E10:E12)-D47</f>
        <v>49.097999999999956</v>
      </c>
      <c r="E51" s="50" t="s">
        <v>1</v>
      </c>
      <c r="F51" s="290"/>
      <c r="G51" s="290"/>
      <c r="H51" s="291"/>
      <c r="I51" s="292"/>
    </row>
    <row r="52" spans="1:9" ht="16.5" thickBot="1" x14ac:dyDescent="0.3">
      <c r="A52" s="296" t="s">
        <v>0</v>
      </c>
      <c r="B52" s="297"/>
      <c r="C52" s="297"/>
      <c r="D52" s="297"/>
      <c r="E52" s="297"/>
      <c r="F52" s="297"/>
      <c r="G52" s="297"/>
      <c r="H52" s="297"/>
      <c r="I52" s="298"/>
    </row>
    <row r="53" spans="1:9" ht="20.45" customHeight="1" x14ac:dyDescent="0.25">
      <c r="A53" s="354" t="s">
        <v>78</v>
      </c>
      <c r="B53" s="355"/>
      <c r="C53" s="355"/>
      <c r="D53" s="355"/>
      <c r="E53" s="355"/>
      <c r="F53" s="355"/>
      <c r="G53" s="355"/>
      <c r="H53" s="355"/>
      <c r="I53" s="356"/>
    </row>
    <row r="54" spans="1:9" ht="22.9" customHeight="1" x14ac:dyDescent="0.25">
      <c r="A54" s="353"/>
      <c r="B54" s="353"/>
      <c r="C54" s="353"/>
      <c r="D54" s="353"/>
      <c r="E54" s="353"/>
      <c r="F54" s="353"/>
      <c r="G54" s="353"/>
      <c r="H54" s="353"/>
      <c r="I54" s="353"/>
    </row>
    <row r="55" spans="1:9" ht="19.899999999999999" customHeight="1" x14ac:dyDescent="0.25">
      <c r="A55" s="350"/>
      <c r="B55" s="351"/>
      <c r="C55" s="351"/>
      <c r="D55" s="351"/>
      <c r="E55" s="351"/>
      <c r="F55" s="351"/>
      <c r="G55" s="351"/>
      <c r="H55" s="351"/>
      <c r="I55" s="352"/>
    </row>
    <row r="56" spans="1:9" ht="20.45" customHeight="1" x14ac:dyDescent="0.25">
      <c r="A56" s="350"/>
      <c r="B56" s="351"/>
      <c r="C56" s="351"/>
      <c r="D56" s="351"/>
      <c r="E56" s="351"/>
      <c r="F56" s="351"/>
      <c r="G56" s="351"/>
      <c r="H56" s="351"/>
      <c r="I56" s="352"/>
    </row>
    <row r="57" spans="1:9" ht="20.45" customHeight="1" x14ac:dyDescent="0.25">
      <c r="A57" s="318"/>
      <c r="B57" s="318"/>
      <c r="C57" s="318"/>
      <c r="D57" s="318"/>
      <c r="E57" s="318"/>
      <c r="F57" s="318"/>
      <c r="G57" s="318"/>
      <c r="H57" s="318"/>
      <c r="I57" s="318"/>
    </row>
    <row r="58" spans="1:9" ht="20.45" customHeight="1" x14ac:dyDescent="0.25">
      <c r="A58" s="318"/>
      <c r="B58" s="318"/>
      <c r="C58" s="318"/>
      <c r="D58" s="318"/>
      <c r="E58" s="318"/>
      <c r="F58" s="318"/>
      <c r="G58" s="318"/>
      <c r="H58" s="318"/>
      <c r="I58" s="318"/>
    </row>
    <row r="59" spans="1:9" ht="19.899999999999999" customHeight="1" x14ac:dyDescent="0.25">
      <c r="A59" s="304"/>
      <c r="B59" s="305"/>
      <c r="C59" s="306"/>
      <c r="D59" s="306"/>
      <c r="E59" s="306"/>
      <c r="F59" s="306"/>
      <c r="G59" s="306"/>
      <c r="H59" s="306"/>
      <c r="I59" s="307"/>
    </row>
    <row r="60" spans="1:9" ht="18" x14ac:dyDescent="0.25">
      <c r="A60" s="308"/>
      <c r="B60" s="309"/>
      <c r="C60" s="309"/>
      <c r="D60" s="309"/>
      <c r="E60" s="309"/>
      <c r="F60" s="309"/>
      <c r="G60" s="309"/>
      <c r="H60" s="309"/>
      <c r="I60" s="310"/>
    </row>
    <row r="62" spans="1:9" ht="18" customHeight="1" x14ac:dyDescent="0.25">
      <c r="A62" s="311"/>
      <c r="B62" s="312"/>
      <c r="C62" s="313"/>
      <c r="D62" s="313"/>
      <c r="E62" s="313"/>
      <c r="F62" s="313"/>
      <c r="G62" s="313"/>
      <c r="H62" s="313"/>
      <c r="I62" s="314"/>
    </row>
    <row r="63" spans="1:9" ht="17.25" x14ac:dyDescent="0.3">
      <c r="A63" s="315"/>
      <c r="B63" s="316"/>
      <c r="C63" s="316"/>
      <c r="D63" s="316"/>
      <c r="E63" s="316"/>
      <c r="F63" s="316"/>
      <c r="G63" s="316"/>
      <c r="H63" s="316"/>
      <c r="I63" s="317"/>
    </row>
    <row r="64" spans="1:9" ht="18" thickBot="1" x14ac:dyDescent="0.35">
      <c r="A64" s="293"/>
      <c r="B64" s="294"/>
      <c r="C64" s="294"/>
      <c r="D64" s="294"/>
      <c r="E64" s="294"/>
      <c r="F64" s="294"/>
      <c r="G64" s="294"/>
      <c r="H64" s="294"/>
      <c r="I64" s="295"/>
    </row>
    <row r="65" spans="1:9" x14ac:dyDescent="0.25">
      <c r="A65" s="236" t="s">
        <v>33</v>
      </c>
      <c r="B65" s="237"/>
      <c r="C65" s="237"/>
      <c r="D65" s="237"/>
      <c r="E65" s="237"/>
      <c r="F65" s="237"/>
      <c r="G65" s="237"/>
      <c r="H65" s="237"/>
      <c r="I65" s="237"/>
    </row>
    <row r="66" spans="1:9" x14ac:dyDescent="0.25">
      <c r="A66" s="238"/>
      <c r="B66" s="239"/>
      <c r="C66" s="239"/>
      <c r="D66" s="239"/>
      <c r="E66" s="239"/>
      <c r="F66" s="239"/>
      <c r="G66" s="239"/>
      <c r="H66" s="239"/>
      <c r="I66" s="239"/>
    </row>
    <row r="67" spans="1:9" x14ac:dyDescent="0.25">
      <c r="A67" s="238"/>
      <c r="B67" s="239"/>
      <c r="C67" s="239"/>
      <c r="D67" s="239"/>
      <c r="E67" s="239"/>
      <c r="F67" s="239"/>
      <c r="G67" s="239"/>
      <c r="H67" s="239"/>
      <c r="I67" s="239"/>
    </row>
  </sheetData>
  <mergeCells count="47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7:C47"/>
    <mergeCell ref="F47:G47"/>
    <mergeCell ref="H47:I47"/>
    <mergeCell ref="A48:C48"/>
    <mergeCell ref="F48:G48"/>
    <mergeCell ref="H48:I48"/>
    <mergeCell ref="A54:I54"/>
    <mergeCell ref="A49:C49"/>
    <mergeCell ref="F49:G49"/>
    <mergeCell ref="H49:I49"/>
    <mergeCell ref="A50:C50"/>
    <mergeCell ref="F50:G50"/>
    <mergeCell ref="H50:I50"/>
    <mergeCell ref="A51:C51"/>
    <mergeCell ref="F51:G51"/>
    <mergeCell ref="H51:I51"/>
    <mergeCell ref="A52:I52"/>
    <mergeCell ref="A53:I53"/>
    <mergeCell ref="A67:I67"/>
    <mergeCell ref="A55:I55"/>
    <mergeCell ref="A56:I56"/>
    <mergeCell ref="A57:I57"/>
    <mergeCell ref="A58:I58"/>
    <mergeCell ref="A59:I59"/>
    <mergeCell ref="A60:I60"/>
    <mergeCell ref="A62:I62"/>
    <mergeCell ref="A63:I63"/>
    <mergeCell ref="A64:I64"/>
    <mergeCell ref="A65:I65"/>
    <mergeCell ref="A66:I66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576A622-181B-4CE4-9523-298C7FA28A34}"/>
</file>

<file path=customXml/itemProps2.xml><?xml version="1.0" encoding="utf-8"?>
<ds:datastoreItem xmlns:ds="http://schemas.openxmlformats.org/officeDocument/2006/customXml" ds:itemID="{17116607-CD2A-4DC6-96A6-82F70ABB59D6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7D703B1A-D239-4116-A952-4C18714F805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1</vt:i4>
      </vt:variant>
    </vt:vector>
  </HeadingPairs>
  <TitlesOfParts>
    <vt:vector size="6" baseType="lpstr">
      <vt:lpstr>Cake Box Pistacho</vt:lpstr>
      <vt:lpstr>Bite Box Pitacho</vt:lpstr>
      <vt:lpstr>Costo</vt:lpstr>
      <vt:lpstr>Crema Pasionata verde</vt:lpstr>
      <vt:lpstr>Salsa Suave de Pistacho </vt:lpstr>
      <vt:lpstr>'Bite Box Pitacho'!Área_de_impresión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Coto Consultor</dc:creator>
  <cp:lastModifiedBy>Allan Brenes</cp:lastModifiedBy>
  <cp:lastPrinted>2026-02-10T21:13:15Z</cp:lastPrinted>
  <dcterms:created xsi:type="dcterms:W3CDTF">2025-01-06T20:55:42Z</dcterms:created>
  <dcterms:modified xsi:type="dcterms:W3CDTF">2026-02-10T21:14:25Z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
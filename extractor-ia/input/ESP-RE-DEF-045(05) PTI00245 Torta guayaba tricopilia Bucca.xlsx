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85BF5FCC-B7EA-440F-AF25-0139A8404369}" xr6:coauthVersionLast="47" xr6:coauthVersionMax="47" xr10:uidLastSave="{8147CC9F-2547-413F-9B18-23FA7EC077C7}"/>
  <bookViews>
    <workbookView xWindow="-120" yWindow="-120" windowWidth="20730" windowHeight="11040" tabRatio="876" firstSheet="14" activeTab="14" xr2:uid="{7C9008EF-CE99-4269-BFBE-05FF1B87958B}"/>
  </bookViews>
  <sheets>
    <sheet name="Batido brownie dawn" sheetId="5" state="hidden" r:id="rId1"/>
    <sheet name="Costo Batido Brownie " sheetId="10" state="hidden" r:id="rId2"/>
    <sheet name="Rosquete brownie dawn" sheetId="8" state="hidden" r:id="rId3"/>
    <sheet name="Costo Rosquete" sheetId="11" state="hidden" r:id="rId4"/>
    <sheet name="Costo Relleno de Queso " sheetId="21" state="hidden" r:id="rId5"/>
    <sheet name="Crema Blanca Bucca " sheetId="22" state="hidden" r:id="rId6"/>
    <sheet name="Costo Salsa de guayaba" sheetId="12" state="hidden" r:id="rId7"/>
    <sheet name="Almibar" sheetId="23" state="hidden" r:id="rId8"/>
    <sheet name="Costo Almibar Guayaba" sheetId="13" state="hidden" r:id="rId9"/>
    <sheet name="Crema Chantilly Blanca " sheetId="18" state="hidden" r:id="rId10"/>
    <sheet name="Premezcla Easy Vainilla " sheetId="16" state="hidden" r:id="rId11"/>
    <sheet name="Batido Easy Vainilla " sheetId="17" state="hidden" r:id="rId12"/>
    <sheet name="Rosquete Vainilla " sheetId="15" state="hidden" r:id="rId13"/>
    <sheet name="Ensamble torta" sheetId="7" state="hidden" r:id="rId14"/>
    <sheet name="Ensamble 2" sheetId="19" r:id="rId15"/>
    <sheet name="Costo Ensamble " sheetId="14" state="hidden" r:id="rId16"/>
  </sheets>
  <externalReferences>
    <externalReference r:id="rId17"/>
    <externalReference r:id="rId18"/>
  </externalReferences>
  <definedNames>
    <definedName name="_xlnm.Print_Area" localSheetId="0">'Batido brownie dawn'!$A$1:$H$33</definedName>
    <definedName name="_xlnm.Print_Area" localSheetId="14">'Ensamble 2'!$A$1:$H$53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9" l="1"/>
  <c r="E29" i="18"/>
  <c r="E32" i="18" s="1"/>
  <c r="D25" i="16"/>
  <c r="J17" i="16"/>
  <c r="K17" i="16" s="1"/>
  <c r="J16" i="16"/>
  <c r="K16" i="16" s="1"/>
  <c r="L16" i="16" s="1"/>
  <c r="M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K9" i="16"/>
  <c r="J9" i="16"/>
  <c r="J13" i="17"/>
  <c r="K13" i="17" s="1"/>
  <c r="J12" i="17"/>
  <c r="J11" i="17"/>
  <c r="K11" i="17" s="1"/>
  <c r="J10" i="17"/>
  <c r="D43" i="15"/>
  <c r="D41" i="15"/>
  <c r="K11" i="15" s="1"/>
  <c r="K19" i="15"/>
  <c r="M26" i="14"/>
  <c r="J19" i="7"/>
  <c r="K10" i="15" l="1"/>
  <c r="L10" i="15" s="1"/>
  <c r="C31" i="14"/>
  <c r="C30" i="14"/>
  <c r="F29" i="14"/>
  <c r="C29" i="14"/>
  <c r="D75" i="14"/>
  <c r="D76" i="14" s="1"/>
  <c r="D78" i="14" s="1"/>
  <c r="D73" i="14"/>
  <c r="D71" i="14"/>
  <c r="F67" i="14"/>
  <c r="E53" i="14" s="1"/>
  <c r="D62" i="14"/>
  <c r="D87" i="14" s="1"/>
  <c r="D88" i="14" s="1"/>
  <c r="C53" i="14"/>
  <c r="E52" i="14"/>
  <c r="D52" i="14"/>
  <c r="B52" i="14"/>
  <c r="E51" i="14"/>
  <c r="D51" i="14"/>
  <c r="B51" i="14"/>
  <c r="E43" i="14"/>
  <c r="D43" i="14"/>
  <c r="B43" i="14"/>
  <c r="A43" i="14"/>
  <c r="A52" i="14" s="1"/>
  <c r="C52" i="14" s="1"/>
  <c r="E42" i="14"/>
  <c r="D42" i="14"/>
  <c r="B42" i="14"/>
  <c r="A42" i="14"/>
  <c r="A51" i="14" s="1"/>
  <c r="C51" i="14" s="1"/>
  <c r="A41" i="14"/>
  <c r="C41" i="14" s="1"/>
  <c r="A40" i="14"/>
  <c r="C40" i="14" s="1"/>
  <c r="A39" i="14"/>
  <c r="A48" i="14" s="1"/>
  <c r="C48" i="14" s="1"/>
  <c r="A38" i="14"/>
  <c r="A47" i="14" s="1"/>
  <c r="C47" i="14" s="1"/>
  <c r="A37" i="14"/>
  <c r="C37" i="14" s="1"/>
  <c r="F37" i="14" s="1"/>
  <c r="E34" i="14"/>
  <c r="D34" i="14"/>
  <c r="C34" i="14"/>
  <c r="B34" i="14"/>
  <c r="C33" i="14"/>
  <c r="C32" i="14"/>
  <c r="C28" i="14"/>
  <c r="C27" i="14"/>
  <c r="E24" i="14"/>
  <c r="D24" i="14"/>
  <c r="C24" i="14"/>
  <c r="B24" i="14"/>
  <c r="E23" i="14"/>
  <c r="D23" i="14"/>
  <c r="C23" i="14"/>
  <c r="B23" i="14"/>
  <c r="E22" i="14"/>
  <c r="D22" i="14"/>
  <c r="C22" i="14"/>
  <c r="B22" i="14"/>
  <c r="C21" i="14"/>
  <c r="C20" i="14"/>
  <c r="F20" i="14" s="1"/>
  <c r="C19" i="14"/>
  <c r="C18" i="14"/>
  <c r="C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C10" i="14"/>
  <c r="C9" i="14"/>
  <c r="C8" i="14"/>
  <c r="H6" i="14"/>
  <c r="D73" i="13"/>
  <c r="D74" i="13" s="1"/>
  <c r="D76" i="13" s="1"/>
  <c r="D71" i="13"/>
  <c r="D69" i="13"/>
  <c r="F65" i="13"/>
  <c r="E51" i="13" s="1"/>
  <c r="F51" i="13" s="1"/>
  <c r="D60" i="13"/>
  <c r="D81" i="13" s="1"/>
  <c r="C51" i="13"/>
  <c r="E50" i="13"/>
  <c r="D50" i="13"/>
  <c r="B50" i="13"/>
  <c r="E49" i="13"/>
  <c r="D49" i="13"/>
  <c r="B49" i="13"/>
  <c r="E48" i="13"/>
  <c r="D48" i="13"/>
  <c r="B48" i="13"/>
  <c r="E47" i="13"/>
  <c r="D47" i="13"/>
  <c r="B47" i="13"/>
  <c r="A47" i="13"/>
  <c r="C47" i="13" s="1"/>
  <c r="E46" i="13"/>
  <c r="D46" i="13"/>
  <c r="B46" i="13"/>
  <c r="A46" i="13"/>
  <c r="C46" i="13" s="1"/>
  <c r="E45" i="13"/>
  <c r="D45" i="13"/>
  <c r="B45" i="13"/>
  <c r="E41" i="13"/>
  <c r="D41" i="13"/>
  <c r="B41" i="13"/>
  <c r="A41" i="13"/>
  <c r="A50" i="13" s="1"/>
  <c r="C50" i="13" s="1"/>
  <c r="E40" i="13"/>
  <c r="F40" i="13" s="1"/>
  <c r="D40" i="13"/>
  <c r="B40" i="13"/>
  <c r="A40" i="13"/>
  <c r="C40" i="13" s="1"/>
  <c r="E39" i="13"/>
  <c r="D39" i="13"/>
  <c r="B39" i="13"/>
  <c r="A39" i="13"/>
  <c r="A48" i="13" s="1"/>
  <c r="C48" i="13" s="1"/>
  <c r="E38" i="13"/>
  <c r="D38" i="13"/>
  <c r="C38" i="13"/>
  <c r="B38" i="13"/>
  <c r="A38" i="13"/>
  <c r="E37" i="13"/>
  <c r="D37" i="13"/>
  <c r="B37" i="13"/>
  <c r="A37" i="13"/>
  <c r="C37" i="13" s="1"/>
  <c r="E36" i="13"/>
  <c r="D36" i="13"/>
  <c r="B36" i="13"/>
  <c r="A36" i="13"/>
  <c r="C36" i="13" s="1"/>
  <c r="A35" i="13"/>
  <c r="A44" i="13" s="1"/>
  <c r="C44" i="13" s="1"/>
  <c r="E32" i="13"/>
  <c r="D32" i="13"/>
  <c r="C32" i="13"/>
  <c r="B32" i="13"/>
  <c r="E31" i="13"/>
  <c r="D31" i="13"/>
  <c r="C31" i="13"/>
  <c r="B31" i="13"/>
  <c r="E30" i="13"/>
  <c r="D30" i="13"/>
  <c r="C30" i="13"/>
  <c r="B30" i="13"/>
  <c r="E29" i="13"/>
  <c r="D29" i="13"/>
  <c r="C29" i="13"/>
  <c r="B29" i="13"/>
  <c r="E28" i="13"/>
  <c r="D28" i="13"/>
  <c r="C28" i="13"/>
  <c r="B28" i="13"/>
  <c r="E27" i="13"/>
  <c r="D27" i="13"/>
  <c r="C27" i="13"/>
  <c r="B27" i="13"/>
  <c r="E24" i="13"/>
  <c r="D24" i="13"/>
  <c r="C24" i="13"/>
  <c r="B24" i="13"/>
  <c r="E23" i="13"/>
  <c r="F23" i="13" s="1"/>
  <c r="D23" i="13"/>
  <c r="C23" i="13"/>
  <c r="B23" i="13"/>
  <c r="E22" i="13"/>
  <c r="D22" i="13"/>
  <c r="C22" i="13"/>
  <c r="B22" i="13"/>
  <c r="E21" i="13"/>
  <c r="F21" i="13" s="1"/>
  <c r="D21" i="13"/>
  <c r="C21" i="13"/>
  <c r="B21" i="13"/>
  <c r="E20" i="13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C17" i="13"/>
  <c r="B15" i="13"/>
  <c r="E14" i="13"/>
  <c r="D14" i="13"/>
  <c r="C14" i="13"/>
  <c r="B14" i="13"/>
  <c r="E13" i="13"/>
  <c r="F13" i="13" s="1"/>
  <c r="D13" i="13"/>
  <c r="C13" i="13"/>
  <c r="B13" i="13"/>
  <c r="E12" i="13"/>
  <c r="D12" i="13"/>
  <c r="C12" i="13"/>
  <c r="B12" i="13"/>
  <c r="E11" i="13"/>
  <c r="F11" i="13" s="1"/>
  <c r="D11" i="13"/>
  <c r="C11" i="13"/>
  <c r="B11" i="13"/>
  <c r="E10" i="13"/>
  <c r="D10" i="13"/>
  <c r="C10" i="13"/>
  <c r="B10" i="13"/>
  <c r="E9" i="13"/>
  <c r="F9" i="13" s="1"/>
  <c r="D9" i="13"/>
  <c r="C9" i="13"/>
  <c r="B9" i="13"/>
  <c r="C8" i="13"/>
  <c r="F8" i="13" s="1"/>
  <c r="H6" i="13"/>
  <c r="D73" i="12"/>
  <c r="D74" i="12" s="1"/>
  <c r="D76" i="12" s="1"/>
  <c r="D71" i="12"/>
  <c r="D69" i="12"/>
  <c r="F65" i="12"/>
  <c r="E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A48" i="12" s="1"/>
  <c r="C48" i="12" s="1"/>
  <c r="E38" i="12"/>
  <c r="D38" i="12"/>
  <c r="B38" i="12"/>
  <c r="A38" i="12"/>
  <c r="C38" i="12" s="1"/>
  <c r="E37" i="12"/>
  <c r="D37" i="12"/>
  <c r="B37" i="12"/>
  <c r="A37" i="12"/>
  <c r="A46" i="12" s="1"/>
  <c r="C46" i="12" s="1"/>
  <c r="E36" i="12"/>
  <c r="D36" i="12"/>
  <c r="C36" i="12"/>
  <c r="B36" i="12"/>
  <c r="A36" i="12"/>
  <c r="A45" i="12" s="1"/>
  <c r="C45" i="12" s="1"/>
  <c r="A35" i="12"/>
  <c r="A44" i="12" s="1"/>
  <c r="C44" i="12" s="1"/>
  <c r="E32" i="12"/>
  <c r="F32" i="12" s="1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D19" i="12"/>
  <c r="C19" i="12"/>
  <c r="B19" i="12"/>
  <c r="E18" i="12"/>
  <c r="F18" i="12" s="1"/>
  <c r="D18" i="12"/>
  <c r="C18" i="12"/>
  <c r="B18" i="12"/>
  <c r="C17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C11" i="12"/>
  <c r="C10" i="12"/>
  <c r="C9" i="12"/>
  <c r="C8" i="12"/>
  <c r="H6" i="12"/>
  <c r="R12" i="10"/>
  <c r="D73" i="11"/>
  <c r="D74" i="11" s="1"/>
  <c r="D76" i="11" s="1"/>
  <c r="D71" i="11"/>
  <c r="D69" i="11"/>
  <c r="F65" i="11"/>
  <c r="E51" i="11" s="1"/>
  <c r="F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A45" i="11"/>
  <c r="C45" i="11" s="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C37" i="11"/>
  <c r="B37" i="11"/>
  <c r="A37" i="11"/>
  <c r="A46" i="11" s="1"/>
  <c r="C46" i="11" s="1"/>
  <c r="E36" i="11"/>
  <c r="D36" i="11"/>
  <c r="B36" i="11"/>
  <c r="A36" i="11"/>
  <c r="C36" i="11" s="1"/>
  <c r="A35" i="11"/>
  <c r="C35" i="11" s="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F29" i="11" s="1"/>
  <c r="D29" i="11"/>
  <c r="C29" i="11"/>
  <c r="B29" i="11"/>
  <c r="E28" i="11"/>
  <c r="D28" i="11"/>
  <c r="C28" i="11"/>
  <c r="B28" i="11"/>
  <c r="C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D18" i="11"/>
  <c r="C18" i="11"/>
  <c r="F18" i="11" s="1"/>
  <c r="B18" i="11"/>
  <c r="C17" i="11"/>
  <c r="B15" i="11"/>
  <c r="E14" i="11"/>
  <c r="F14" i="11" s="1"/>
  <c r="D14" i="11"/>
  <c r="C14" i="11"/>
  <c r="B14" i="11"/>
  <c r="E13" i="11"/>
  <c r="F13" i="11" s="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F8" i="11" s="1"/>
  <c r="D8" i="11"/>
  <c r="C8" i="11"/>
  <c r="B8" i="11"/>
  <c r="H6" i="11"/>
  <c r="D73" i="10"/>
  <c r="D74" i="10" s="1"/>
  <c r="D76" i="10" s="1"/>
  <c r="D71" i="10"/>
  <c r="D69" i="10"/>
  <c r="F65" i="10"/>
  <c r="E51" i="10" s="1"/>
  <c r="F51" i="10" s="1"/>
  <c r="D60" i="10"/>
  <c r="D81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C38" i="10"/>
  <c r="B38" i="10"/>
  <c r="A38" i="10"/>
  <c r="A47" i="10" s="1"/>
  <c r="C47" i="10" s="1"/>
  <c r="E37" i="10"/>
  <c r="D37" i="10"/>
  <c r="B37" i="10"/>
  <c r="A37" i="10"/>
  <c r="C37" i="10" s="1"/>
  <c r="E36" i="10"/>
  <c r="D36" i="10"/>
  <c r="B36" i="10"/>
  <c r="A36" i="10"/>
  <c r="C36" i="10" s="1"/>
  <c r="A35" i="10"/>
  <c r="C35" i="10" s="1"/>
  <c r="E32" i="10"/>
  <c r="D32" i="10"/>
  <c r="C32" i="10"/>
  <c r="B32" i="10"/>
  <c r="E31" i="10"/>
  <c r="D31" i="10"/>
  <c r="C31" i="10"/>
  <c r="B31" i="10"/>
  <c r="E30" i="10"/>
  <c r="F30" i="10" s="1"/>
  <c r="D30" i="10"/>
  <c r="C30" i="10"/>
  <c r="B30" i="10"/>
  <c r="E29" i="10"/>
  <c r="D29" i="10"/>
  <c r="C29" i="10"/>
  <c r="B29" i="10"/>
  <c r="E28" i="10"/>
  <c r="F28" i="10" s="1"/>
  <c r="D28" i="10"/>
  <c r="C28" i="10"/>
  <c r="B28" i="10"/>
  <c r="E27" i="10"/>
  <c r="F27" i="10" s="1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F14" i="10" s="1"/>
  <c r="D14" i="10"/>
  <c r="C14" i="10"/>
  <c r="B14" i="10"/>
  <c r="E13" i="10"/>
  <c r="D13" i="10"/>
  <c r="C13" i="10"/>
  <c r="B13" i="10"/>
  <c r="E12" i="10"/>
  <c r="D12" i="10"/>
  <c r="C12" i="10"/>
  <c r="B12" i="10"/>
  <c r="F11" i="10"/>
  <c r="C11" i="10"/>
  <c r="C10" i="10"/>
  <c r="C9" i="10"/>
  <c r="C8" i="10"/>
  <c r="F8" i="10" s="1"/>
  <c r="H6" i="10"/>
  <c r="F37" i="13" l="1"/>
  <c r="F31" i="11"/>
  <c r="F32" i="11"/>
  <c r="F46" i="11"/>
  <c r="F9" i="11"/>
  <c r="F36" i="11"/>
  <c r="F29" i="10"/>
  <c r="F11" i="11"/>
  <c r="F29" i="12"/>
  <c r="F30" i="12"/>
  <c r="F31" i="12"/>
  <c r="F31" i="10"/>
  <c r="F37" i="10"/>
  <c r="F48" i="12"/>
  <c r="F12" i="10"/>
  <c r="F13" i="10"/>
  <c r="F19" i="12"/>
  <c r="F28" i="13"/>
  <c r="F30" i="13"/>
  <c r="F32" i="13"/>
  <c r="F31" i="14"/>
  <c r="F30" i="14"/>
  <c r="F27" i="14"/>
  <c r="F34" i="14"/>
  <c r="F32" i="14"/>
  <c r="F33" i="14"/>
  <c r="D83" i="14"/>
  <c r="F12" i="14"/>
  <c r="F14" i="14"/>
  <c r="C42" i="14"/>
  <c r="F42" i="14" s="1"/>
  <c r="F28" i="14"/>
  <c r="D85" i="14"/>
  <c r="F22" i="14"/>
  <c r="F23" i="14"/>
  <c r="F24" i="14"/>
  <c r="C39" i="14"/>
  <c r="F53" i="14"/>
  <c r="F52" i="14"/>
  <c r="F51" i="14"/>
  <c r="C43" i="14"/>
  <c r="F43" i="14" s="1"/>
  <c r="F11" i="14"/>
  <c r="F13" i="14"/>
  <c r="F10" i="14"/>
  <c r="F9" i="14"/>
  <c r="F8" i="14"/>
  <c r="C38" i="14"/>
  <c r="F17" i="14"/>
  <c r="D85" i="13"/>
  <c r="D86" i="13" s="1"/>
  <c r="F50" i="13"/>
  <c r="F38" i="13"/>
  <c r="F27" i="13"/>
  <c r="F29" i="13"/>
  <c r="F31" i="13"/>
  <c r="C39" i="13"/>
  <c r="F39" i="13" s="1"/>
  <c r="F20" i="13"/>
  <c r="F22" i="13"/>
  <c r="F24" i="13"/>
  <c r="F10" i="13"/>
  <c r="F12" i="13"/>
  <c r="F14" i="13"/>
  <c r="F44" i="13"/>
  <c r="F17" i="13"/>
  <c r="C35" i="13"/>
  <c r="F35" i="13"/>
  <c r="F40" i="14"/>
  <c r="A46" i="14"/>
  <c r="C46" i="14" s="1"/>
  <c r="F46" i="14" s="1"/>
  <c r="A50" i="14"/>
  <c r="C50" i="14" s="1"/>
  <c r="A49" i="14"/>
  <c r="C49" i="14" s="1"/>
  <c r="F49" i="14" s="1"/>
  <c r="C75" i="14"/>
  <c r="F48" i="13"/>
  <c r="F36" i="13"/>
  <c r="F46" i="13"/>
  <c r="F47" i="13"/>
  <c r="C41" i="13"/>
  <c r="F41" i="13" s="1"/>
  <c r="A45" i="13"/>
  <c r="C45" i="13" s="1"/>
  <c r="F45" i="13" s="1"/>
  <c r="A49" i="13"/>
  <c r="C49" i="13" s="1"/>
  <c r="F49" i="13" s="1"/>
  <c r="D83" i="13"/>
  <c r="C73" i="13"/>
  <c r="F27" i="12"/>
  <c r="F38" i="12"/>
  <c r="F36" i="12"/>
  <c r="F45" i="12"/>
  <c r="A47" i="12"/>
  <c r="C47" i="12" s="1"/>
  <c r="F47" i="12" s="1"/>
  <c r="F39" i="12"/>
  <c r="C39" i="12"/>
  <c r="F46" i="12"/>
  <c r="F12" i="12"/>
  <c r="F13" i="12"/>
  <c r="F14" i="12"/>
  <c r="F44" i="12"/>
  <c r="C35" i="12"/>
  <c r="F35" i="12" s="1"/>
  <c r="F17" i="12"/>
  <c r="F8" i="12"/>
  <c r="F9" i="12"/>
  <c r="F10" i="12"/>
  <c r="F11" i="12"/>
  <c r="F50" i="12"/>
  <c r="F51" i="12"/>
  <c r="F40" i="12"/>
  <c r="C37" i="12"/>
  <c r="F37" i="12" s="1"/>
  <c r="C41" i="12"/>
  <c r="F41" i="12" s="1"/>
  <c r="A49" i="12"/>
  <c r="C49" i="12" s="1"/>
  <c r="F49" i="12" s="1"/>
  <c r="D83" i="12"/>
  <c r="D81" i="12"/>
  <c r="C73" i="12"/>
  <c r="D81" i="11"/>
  <c r="D83" i="11"/>
  <c r="F40" i="11"/>
  <c r="F28" i="11"/>
  <c r="F30" i="11"/>
  <c r="C41" i="11"/>
  <c r="F41" i="11" s="1"/>
  <c r="A49" i="11"/>
  <c r="C49" i="11" s="1"/>
  <c r="F49" i="11" s="1"/>
  <c r="F37" i="11"/>
  <c r="F10" i="11"/>
  <c r="F12" i="11"/>
  <c r="F27" i="11"/>
  <c r="F47" i="10"/>
  <c r="F32" i="10"/>
  <c r="A46" i="10"/>
  <c r="C46" i="10" s="1"/>
  <c r="F46" i="10" s="1"/>
  <c r="C41" i="10"/>
  <c r="F41" i="10" s="1"/>
  <c r="F38" i="10"/>
  <c r="F39" i="10"/>
  <c r="F40" i="10"/>
  <c r="D83" i="10"/>
  <c r="D85" i="10"/>
  <c r="D86" i="10" s="1"/>
  <c r="F10" i="10"/>
  <c r="F9" i="10"/>
  <c r="F17" i="10"/>
  <c r="F38" i="11"/>
  <c r="F39" i="11"/>
  <c r="F45" i="11"/>
  <c r="F50" i="11"/>
  <c r="A44" i="11"/>
  <c r="C44" i="11" s="1"/>
  <c r="A48" i="11"/>
  <c r="C48" i="11" s="1"/>
  <c r="F48" i="11" s="1"/>
  <c r="A47" i="11"/>
  <c r="C47" i="11" s="1"/>
  <c r="F47" i="11" s="1"/>
  <c r="C73" i="11"/>
  <c r="F35" i="10"/>
  <c r="F36" i="10"/>
  <c r="F50" i="10"/>
  <c r="A45" i="10"/>
  <c r="C45" i="10" s="1"/>
  <c r="F45" i="10" s="1"/>
  <c r="A49" i="10"/>
  <c r="C49" i="10" s="1"/>
  <c r="F49" i="10" s="1"/>
  <c r="A44" i="10"/>
  <c r="C44" i="10" s="1"/>
  <c r="F44" i="10" s="1"/>
  <c r="A48" i="10"/>
  <c r="C48" i="10" s="1"/>
  <c r="F48" i="10" s="1"/>
  <c r="C73" i="10"/>
  <c r="F53" i="12" l="1"/>
  <c r="F64" i="12" s="1"/>
  <c r="F53" i="13"/>
  <c r="F64" i="13" s="1"/>
  <c r="C87" i="14"/>
  <c r="E87" i="14" s="1"/>
  <c r="E75" i="14"/>
  <c r="F56" i="13"/>
  <c r="C85" i="13"/>
  <c r="E85" i="13" s="1"/>
  <c r="E73" i="13"/>
  <c r="F54" i="13"/>
  <c r="F54" i="12"/>
  <c r="C85" i="12"/>
  <c r="E85" i="12" s="1"/>
  <c r="E73" i="12"/>
  <c r="F56" i="12"/>
  <c r="F53" i="10"/>
  <c r="H53" i="10" s="1"/>
  <c r="F2" i="10" s="1"/>
  <c r="C85" i="11"/>
  <c r="E85" i="11" s="1"/>
  <c r="E73" i="11"/>
  <c r="F56" i="10"/>
  <c r="F54" i="10"/>
  <c r="C85" i="10"/>
  <c r="E85" i="10" s="1"/>
  <c r="E73" i="10"/>
  <c r="C69" i="12" l="1"/>
  <c r="C81" i="12" s="1"/>
  <c r="E81" i="12" s="1"/>
  <c r="C69" i="13"/>
  <c r="E69" i="13" s="1"/>
  <c r="E18" i="14" s="1"/>
  <c r="F18" i="14" s="1"/>
  <c r="F55" i="12"/>
  <c r="F63" i="12" s="1"/>
  <c r="H53" i="12"/>
  <c r="F2" i="12" s="1"/>
  <c r="H53" i="13"/>
  <c r="F2" i="13" s="1"/>
  <c r="C69" i="10"/>
  <c r="E69" i="10" s="1"/>
  <c r="E17" i="11" s="1"/>
  <c r="F17" i="11" s="1"/>
  <c r="F53" i="11" s="1"/>
  <c r="F64" i="10"/>
  <c r="H54" i="13"/>
  <c r="G2" i="13" s="1"/>
  <c r="C76" i="13"/>
  <c r="E76" i="13" s="1"/>
  <c r="E38" i="14" s="1"/>
  <c r="F38" i="14" s="1"/>
  <c r="H56" i="13"/>
  <c r="C74" i="13"/>
  <c r="F55" i="13"/>
  <c r="H56" i="12"/>
  <c r="C74" i="12"/>
  <c r="H54" i="12"/>
  <c r="G2" i="12" s="1"/>
  <c r="C76" i="12"/>
  <c r="E76" i="12" s="1"/>
  <c r="E41" i="14" s="1"/>
  <c r="F41" i="14" s="1"/>
  <c r="H54" i="10"/>
  <c r="G2" i="10" s="1"/>
  <c r="C76" i="10"/>
  <c r="E76" i="10" s="1"/>
  <c r="E35" i="11" s="1"/>
  <c r="F35" i="11" s="1"/>
  <c r="F54" i="11" s="1"/>
  <c r="C76" i="11" s="1"/>
  <c r="E76" i="11" s="1"/>
  <c r="H56" i="10"/>
  <c r="C74" i="10"/>
  <c r="F55" i="10"/>
  <c r="O54" i="12" l="1"/>
  <c r="O56" i="12" s="1"/>
  <c r="H55" i="12"/>
  <c r="C81" i="13"/>
  <c r="E81" i="13" s="1"/>
  <c r="E69" i="12"/>
  <c r="E21" i="14" s="1"/>
  <c r="F21" i="14" s="1"/>
  <c r="C81" i="10"/>
  <c r="E81" i="10" s="1"/>
  <c r="H54" i="11"/>
  <c r="F64" i="11"/>
  <c r="C69" i="11"/>
  <c r="H53" i="11"/>
  <c r="F55" i="11"/>
  <c r="F63" i="11" s="1"/>
  <c r="H2" i="13"/>
  <c r="H58" i="13"/>
  <c r="H59" i="13" s="1"/>
  <c r="O58" i="13" s="1"/>
  <c r="O55" i="13"/>
  <c r="H55" i="13"/>
  <c r="F63" i="13"/>
  <c r="O54" i="13"/>
  <c r="E74" i="13"/>
  <c r="C86" i="13"/>
  <c r="E86" i="13" s="1"/>
  <c r="C71" i="12"/>
  <c r="E63" i="12"/>
  <c r="F66" i="12"/>
  <c r="G63" i="12" s="1"/>
  <c r="E74" i="12"/>
  <c r="C86" i="12"/>
  <c r="E86" i="12" s="1"/>
  <c r="H2" i="12"/>
  <c r="H58" i="12"/>
  <c r="H59" i="12" s="1"/>
  <c r="O58" i="12" s="1"/>
  <c r="O55" i="12"/>
  <c r="H55" i="10"/>
  <c r="F63" i="10"/>
  <c r="O54" i="10"/>
  <c r="H58" i="10"/>
  <c r="H59" i="10" s="1"/>
  <c r="O58" i="10" s="1"/>
  <c r="H2" i="10"/>
  <c r="O55" i="10"/>
  <c r="E74" i="10"/>
  <c r="C86" i="10"/>
  <c r="E86" i="10" s="1"/>
  <c r="H55" i="11" l="1"/>
  <c r="O54" i="11"/>
  <c r="O56" i="11" s="1"/>
  <c r="O57" i="12"/>
  <c r="O59" i="12" s="1"/>
  <c r="O60" i="12" s="1"/>
  <c r="O61" i="12" s="1"/>
  <c r="O62" i="12" s="1"/>
  <c r="F2" i="11"/>
  <c r="E19" i="14"/>
  <c r="F19" i="14" s="1"/>
  <c r="F55" i="14" s="1"/>
  <c r="E78" i="12"/>
  <c r="E50" i="14"/>
  <c r="F50" i="14" s="1"/>
  <c r="C81" i="11"/>
  <c r="E81" i="11" s="1"/>
  <c r="E69" i="11"/>
  <c r="E78" i="10"/>
  <c r="E44" i="11"/>
  <c r="F44" i="11" s="1"/>
  <c r="F56" i="11" s="1"/>
  <c r="E78" i="13"/>
  <c r="E47" i="14"/>
  <c r="F47" i="14" s="1"/>
  <c r="G2" i="11"/>
  <c r="E39" i="14"/>
  <c r="F39" i="14" s="1"/>
  <c r="F56" i="14" s="1"/>
  <c r="C71" i="13"/>
  <c r="E63" i="13"/>
  <c r="F66" i="13"/>
  <c r="G63" i="13" s="1"/>
  <c r="O56" i="13"/>
  <c r="O57" i="13" s="1"/>
  <c r="O59" i="13" s="1"/>
  <c r="C83" i="12"/>
  <c r="E83" i="12" s="1"/>
  <c r="E71" i="12"/>
  <c r="G66" i="12"/>
  <c r="G9" i="12"/>
  <c r="G29" i="12"/>
  <c r="G36" i="12"/>
  <c r="G13" i="12"/>
  <c r="G47" i="12"/>
  <c r="G20" i="12"/>
  <c r="G30" i="12"/>
  <c r="G39" i="12"/>
  <c r="G21" i="12"/>
  <c r="G14" i="12"/>
  <c r="G24" i="12"/>
  <c r="G19" i="12"/>
  <c r="G38" i="12"/>
  <c r="G22" i="12"/>
  <c r="G44" i="12"/>
  <c r="G45" i="12"/>
  <c r="G48" i="12"/>
  <c r="G11" i="12"/>
  <c r="G46" i="12"/>
  <c r="G8" i="12"/>
  <c r="G17" i="12"/>
  <c r="G18" i="12"/>
  <c r="G35" i="12"/>
  <c r="G10" i="12"/>
  <c r="G23" i="12"/>
  <c r="G31" i="12"/>
  <c r="G28" i="12"/>
  <c r="G12" i="12"/>
  <c r="G32" i="12"/>
  <c r="G27" i="12"/>
  <c r="G65" i="12"/>
  <c r="G37" i="12"/>
  <c r="G50" i="12"/>
  <c r="G51" i="12"/>
  <c r="G53" i="12"/>
  <c r="G41" i="12"/>
  <c r="G49" i="12"/>
  <c r="G40" i="12"/>
  <c r="G64" i="12"/>
  <c r="G55" i="12"/>
  <c r="G56" i="12"/>
  <c r="G54" i="12"/>
  <c r="C71" i="11"/>
  <c r="E63" i="11"/>
  <c r="F66" i="11"/>
  <c r="G63" i="11" s="1"/>
  <c r="O56" i="10"/>
  <c r="O57" i="10" s="1"/>
  <c r="O59" i="10" s="1"/>
  <c r="C71" i="10"/>
  <c r="E63" i="10"/>
  <c r="F66" i="10"/>
  <c r="G63" i="10" s="1"/>
  <c r="H56" i="14" l="1"/>
  <c r="G2" i="14" s="1"/>
  <c r="C78" i="14"/>
  <c r="E78" i="14" s="1"/>
  <c r="H56" i="11"/>
  <c r="C74" i="11"/>
  <c r="F66" i="14"/>
  <c r="H55" i="14"/>
  <c r="F2" i="14" s="1"/>
  <c r="C71" i="14"/>
  <c r="F57" i="14"/>
  <c r="G66" i="13"/>
  <c r="G13" i="13"/>
  <c r="G39" i="13"/>
  <c r="G18" i="13"/>
  <c r="G38" i="13"/>
  <c r="G24" i="13"/>
  <c r="G50" i="13"/>
  <c r="G35" i="13"/>
  <c r="G22" i="13"/>
  <c r="G40" i="13"/>
  <c r="G10" i="13"/>
  <c r="G19" i="13"/>
  <c r="G27" i="13"/>
  <c r="G28" i="13"/>
  <c r="G17" i="13"/>
  <c r="G51" i="13"/>
  <c r="G20" i="13"/>
  <c r="G37" i="13"/>
  <c r="G12" i="13"/>
  <c r="G21" i="13"/>
  <c r="G29" i="13"/>
  <c r="G9" i="13"/>
  <c r="G30" i="13"/>
  <c r="G44" i="13"/>
  <c r="G65" i="13"/>
  <c r="G11" i="13"/>
  <c r="G8" i="13"/>
  <c r="G14" i="13"/>
  <c r="G23" i="13"/>
  <c r="G31" i="13"/>
  <c r="G32" i="13"/>
  <c r="G49" i="13"/>
  <c r="G41" i="13"/>
  <c r="G48" i="13"/>
  <c r="G36" i="13"/>
  <c r="G45" i="13"/>
  <c r="G47" i="13"/>
  <c r="G46" i="13"/>
  <c r="G53" i="13"/>
  <c r="G56" i="13"/>
  <c r="G54" i="13"/>
  <c r="G64" i="13"/>
  <c r="G55" i="13"/>
  <c r="O60" i="13"/>
  <c r="O61" i="13" s="1"/>
  <c r="O62" i="13" s="1"/>
  <c r="C83" i="13"/>
  <c r="E83" i="13" s="1"/>
  <c r="E71" i="13"/>
  <c r="P62" i="12"/>
  <c r="E2" i="12"/>
  <c r="C83" i="11"/>
  <c r="E83" i="11" s="1"/>
  <c r="E71" i="11"/>
  <c r="G66" i="11"/>
  <c r="G13" i="11"/>
  <c r="G41" i="11"/>
  <c r="G8" i="11"/>
  <c r="G20" i="11"/>
  <c r="G24" i="11"/>
  <c r="G35" i="11"/>
  <c r="G28" i="11"/>
  <c r="G37" i="11"/>
  <c r="G65" i="11"/>
  <c r="G14" i="11"/>
  <c r="G17" i="11"/>
  <c r="G21" i="11"/>
  <c r="G9" i="11"/>
  <c r="G51" i="11"/>
  <c r="G30" i="11"/>
  <c r="G32" i="11"/>
  <c r="G49" i="11"/>
  <c r="G18" i="11"/>
  <c r="G22" i="11"/>
  <c r="G27" i="11"/>
  <c r="G10" i="11"/>
  <c r="G11" i="11"/>
  <c r="G36" i="11"/>
  <c r="G40" i="11"/>
  <c r="G19" i="11"/>
  <c r="G23" i="11"/>
  <c r="G29" i="11"/>
  <c r="G31" i="11"/>
  <c r="G12" i="11"/>
  <c r="G46" i="11"/>
  <c r="G48" i="11"/>
  <c r="G53" i="11"/>
  <c r="G50" i="11"/>
  <c r="G47" i="11"/>
  <c r="G38" i="11"/>
  <c r="G44" i="11"/>
  <c r="G39" i="11"/>
  <c r="G45" i="11"/>
  <c r="G64" i="11"/>
  <c r="G54" i="11"/>
  <c r="G56" i="11"/>
  <c r="G55" i="11"/>
  <c r="G66" i="10"/>
  <c r="G19" i="10"/>
  <c r="G28" i="10"/>
  <c r="G14" i="10"/>
  <c r="G11" i="10"/>
  <c r="G30" i="10"/>
  <c r="G51" i="10"/>
  <c r="G47" i="10"/>
  <c r="G12" i="10"/>
  <c r="G65" i="10"/>
  <c r="G46" i="10"/>
  <c r="G24" i="10"/>
  <c r="G41" i="10"/>
  <c r="G29" i="10"/>
  <c r="G18" i="10"/>
  <c r="G38" i="10"/>
  <c r="G17" i="10"/>
  <c r="G40" i="10"/>
  <c r="G9" i="10"/>
  <c r="G32" i="10"/>
  <c r="G21" i="10"/>
  <c r="G39" i="10"/>
  <c r="G20" i="10"/>
  <c r="G31" i="10"/>
  <c r="G27" i="10"/>
  <c r="G8" i="10"/>
  <c r="G13" i="10"/>
  <c r="G10" i="10"/>
  <c r="G37" i="10"/>
  <c r="G23" i="10"/>
  <c r="G22" i="10"/>
  <c r="G48" i="10"/>
  <c r="G45" i="10"/>
  <c r="G44" i="10"/>
  <c r="G35" i="10"/>
  <c r="G50" i="10"/>
  <c r="G53" i="10"/>
  <c r="G49" i="10"/>
  <c r="G36" i="10"/>
  <c r="G54" i="10"/>
  <c r="G64" i="10"/>
  <c r="G56" i="10"/>
  <c r="G55" i="10"/>
  <c r="O60" i="10"/>
  <c r="O61" i="10" s="1"/>
  <c r="O62" i="10" s="1"/>
  <c r="C83" i="10"/>
  <c r="E83" i="10" s="1"/>
  <c r="E71" i="10"/>
  <c r="E48" i="14" l="1"/>
  <c r="F48" i="14" s="1"/>
  <c r="H2" i="11"/>
  <c r="O55" i="11"/>
  <c r="O57" i="11" s="1"/>
  <c r="H58" i="11"/>
  <c r="H59" i="11" s="1"/>
  <c r="O58" i="11" s="1"/>
  <c r="F65" i="14"/>
  <c r="H57" i="14"/>
  <c r="O56" i="14"/>
  <c r="C83" i="14"/>
  <c r="E83" i="14" s="1"/>
  <c r="E71" i="14"/>
  <c r="C86" i="11"/>
  <c r="E86" i="11" s="1"/>
  <c r="E74" i="11"/>
  <c r="E78" i="11" s="1"/>
  <c r="P62" i="13"/>
  <c r="E2" i="13"/>
  <c r="P62" i="10"/>
  <c r="E2" i="10"/>
  <c r="O59" i="11" l="1"/>
  <c r="O60" i="11" s="1"/>
  <c r="O61" i="11" s="1"/>
  <c r="O62" i="11" s="1"/>
  <c r="C73" i="14"/>
  <c r="E65" i="14"/>
  <c r="F68" i="14"/>
  <c r="G65" i="14" s="1"/>
  <c r="F58" i="14"/>
  <c r="O58" i="14"/>
  <c r="C40" i="7"/>
  <c r="C21" i="8"/>
  <c r="C19" i="8"/>
  <c r="C23" i="5"/>
  <c r="G48" i="14" l="1"/>
  <c r="P62" i="11"/>
  <c r="E2" i="11"/>
  <c r="C76" i="14"/>
  <c r="H58" i="14"/>
  <c r="G58" i="14"/>
  <c r="E73" i="14"/>
  <c r="C85" i="14"/>
  <c r="E85" i="14" s="1"/>
  <c r="G29" i="14"/>
  <c r="G23" i="14"/>
  <c r="G67" i="14"/>
  <c r="G24" i="14"/>
  <c r="G43" i="14"/>
  <c r="G19" i="14"/>
  <c r="G20" i="14"/>
  <c r="G49" i="14"/>
  <c r="G68" i="14"/>
  <c r="G42" i="14"/>
  <c r="G8" i="14"/>
  <c r="G13" i="14"/>
  <c r="G27" i="14"/>
  <c r="G47" i="14"/>
  <c r="G12" i="14"/>
  <c r="G9" i="14"/>
  <c r="G46" i="14"/>
  <c r="G31" i="14"/>
  <c r="G14" i="14"/>
  <c r="G11" i="14"/>
  <c r="G21" i="14"/>
  <c r="G34" i="14"/>
  <c r="G10" i="14"/>
  <c r="G17" i="14"/>
  <c r="G28" i="14"/>
  <c r="G18" i="14"/>
  <c r="G41" i="14"/>
  <c r="G40" i="14"/>
  <c r="G30" i="14"/>
  <c r="G33" i="14"/>
  <c r="G32" i="14"/>
  <c r="G37" i="14"/>
  <c r="G51" i="14"/>
  <c r="G22" i="14"/>
  <c r="G38" i="14"/>
  <c r="G53" i="14"/>
  <c r="G52" i="14"/>
  <c r="G55" i="14"/>
  <c r="G50" i="14"/>
  <c r="G56" i="14"/>
  <c r="G39" i="14"/>
  <c r="G66" i="14"/>
  <c r="G57" i="14"/>
  <c r="E76" i="14" l="1"/>
  <c r="E80" i="14" s="1"/>
  <c r="C88" i="14"/>
  <c r="E88" i="14" s="1"/>
  <c r="H60" i="14"/>
  <c r="H61" i="14" s="1"/>
  <c r="O60" i="14" s="1"/>
  <c r="O57" i="14"/>
  <c r="O59" i="14" s="1"/>
  <c r="H2" i="14"/>
  <c r="O61" i="14" l="1"/>
  <c r="O62" i="14" s="1"/>
  <c r="O63" i="14" s="1"/>
  <c r="O64" i="14" s="1"/>
  <c r="P64" i="14" l="1"/>
  <c r="E2" i="14"/>
</calcChain>
</file>

<file path=xl/sharedStrings.xml><?xml version="1.0" encoding="utf-8"?>
<sst xmlns="http://schemas.openxmlformats.org/spreadsheetml/2006/main" count="1405" uniqueCount="336">
  <si>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</si>
  <si>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</si>
  <si>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</si>
  <si>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</si>
  <si>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</si>
  <si>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</si>
  <si>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</si>
  <si>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</si>
  <si>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</si>
  <si>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</si>
  <si>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</si>
  <si>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</si>
  <si>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</si>
  <si>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</si>
  <si>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</si>
  <si>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</si>
  <si>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</si>
  <si>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</si>
  <si>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</si>
  <si>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</si>
  <si>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</si>
  <si>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</si>
  <si>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</si>
  <si>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</si>
  <si>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</si>
  <si>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Jeffry Rodriguez, Gerente de Manufactura</t>
  </si>
  <si>
    <t>Juan Pablo Brenes,chef</t>
  </si>
  <si>
    <t>g</t>
  </si>
  <si>
    <t>min</t>
  </si>
  <si>
    <t xml:space="preserve">ud </t>
  </si>
  <si>
    <t>Batidos</t>
  </si>
  <si>
    <t>Batido brownie Dawn</t>
  </si>
  <si>
    <t>Torta brownie y guayaba tricopilia Bucca</t>
  </si>
  <si>
    <t>Esteban Cartin, Gerente de Manufactura</t>
  </si>
  <si>
    <t>Decoracion</t>
  </si>
  <si>
    <t>Cocina</t>
  </si>
  <si>
    <t>SE00341</t>
  </si>
  <si>
    <t>Premezcla Batido Nucleo Chocolate Dawn</t>
  </si>
  <si>
    <t>FAS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</si>
  <si>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</si>
  <si>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</si>
  <si>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</si>
  <si>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</si>
  <si>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</si>
  <si>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</si>
  <si>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AGUA POTABLE (PLANTA)</t>
  </si>
  <si>
    <t>MP10022</t>
  </si>
  <si>
    <t>Lactocrema Granel</t>
  </si>
  <si>
    <t>NUEVO</t>
  </si>
  <si>
    <t>Nuevo</t>
  </si>
  <si>
    <t>BATIDO BROWNIE DAWN</t>
  </si>
  <si>
    <t>1, Disolver el preservante y el polvo de hornear con el agua y ayuda de un batidor de mano.</t>
  </si>
  <si>
    <t>3, Batir por 1 min en velocidad 1. Con paleta</t>
  </si>
  <si>
    <t>4, Batir 5 min en velocidad 2. con Paleta</t>
  </si>
  <si>
    <t>2, Colocar los liquidos, lactocrema derretida y el icing en la batidora, posterior agregar los ingredientes secos</t>
  </si>
  <si>
    <t>MEZCLA ENGRASE MOLDES (29800g)</t>
  </si>
  <si>
    <t>EM10090</t>
  </si>
  <si>
    <t>PAPEL ENCERADO 10X10 (PAQ * 500)</t>
  </si>
  <si>
    <t>Spoon</t>
  </si>
  <si>
    <t>Mayca</t>
  </si>
  <si>
    <t>Unids</t>
  </si>
  <si>
    <t>1.- Dosificar 300g de batido en el molde engrasado con papel y llevar al horno a 180ºC por 30 minutos.</t>
  </si>
  <si>
    <t>MP10074</t>
  </si>
  <si>
    <t>Azucar Blanco Industrial</t>
  </si>
  <si>
    <t>RELLENO GUAYABA TRICOPILIA</t>
  </si>
  <si>
    <t>TRICOPILIA</t>
  </si>
  <si>
    <t>SE00014</t>
  </si>
  <si>
    <t>Empaque Almidon Modificado</t>
  </si>
  <si>
    <t>1 ud</t>
  </si>
  <si>
    <t>SE00005</t>
  </si>
  <si>
    <t>Almibar</t>
  </si>
  <si>
    <t>3/4 TAZA POR CAPA</t>
  </si>
  <si>
    <t>ROSQUETE BROWNIE DAWN 300</t>
  </si>
  <si>
    <t>1 UD</t>
  </si>
  <si>
    <t>DECORACION</t>
  </si>
  <si>
    <t>SE00010</t>
  </si>
  <si>
    <t>Crema Chantilly Blanca (Spoon-Ind)</t>
  </si>
  <si>
    <t>SALSA DE GUAYABA</t>
  </si>
  <si>
    <t>TRICOPILIA GUAYABA</t>
  </si>
  <si>
    <t>2 UD</t>
  </si>
  <si>
    <t>EMPAQUE</t>
  </si>
  <si>
    <t>EM10009</t>
  </si>
  <si>
    <t xml:space="preserve">Quequera Red  Base/Domo 10 </t>
  </si>
  <si>
    <t>Export pmt</t>
  </si>
  <si>
    <t>ud</t>
  </si>
  <si>
    <t>EM10084</t>
  </si>
  <si>
    <t xml:space="preserve">Orla # 10 Bucca </t>
  </si>
  <si>
    <t>EM10112</t>
  </si>
  <si>
    <t>ET. TORTA BUCCA GENERICA</t>
  </si>
  <si>
    <t>Litografia CR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</si>
  <si>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</si>
  <si>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</si>
  <si>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</si>
  <si>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</si>
  <si>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</si>
  <si>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</si>
  <si>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EM10011</t>
  </si>
  <si>
    <t>ETIQUETA BLANCA 2 5/8X1 15/16 PRE BLANCA</t>
  </si>
  <si>
    <t>EM10248</t>
  </si>
  <si>
    <t>CINTA ADHESIVA TRANSPARENTE 2*100</t>
  </si>
  <si>
    <t>cm</t>
  </si>
  <si>
    <t>ETIQUETA TEMPORADA  BUCCA</t>
  </si>
  <si>
    <t>2.- Colocar 3/4 de taza de relleno de guayaba, luego colocar el brownie y luego 3/4 de taza de relleno de guayaba, y colocar en la orla.</t>
  </si>
  <si>
    <t>6.- Tapar y etiquetar.</t>
  </si>
  <si>
    <t>SE00454</t>
  </si>
  <si>
    <t>Rosquete Vainilla BC 350g</t>
  </si>
  <si>
    <t>60 c/u</t>
  </si>
  <si>
    <t>Rosquete brownie dawn 400g</t>
  </si>
  <si>
    <t>ROSQUETE BROWNIE DAWN 400</t>
  </si>
  <si>
    <t>1/3 TAZA</t>
  </si>
  <si>
    <t>1.- Partir el rosquete por la mitad y bañarlos con 60g de almibar cada uno.</t>
  </si>
  <si>
    <t>4.- Hacer un hueco al centro con la crema para colocar el 1/3 taza de salsa de guayaba</t>
  </si>
  <si>
    <t>MP10157</t>
  </si>
  <si>
    <t>Colorante Gel Super Red</t>
  </si>
  <si>
    <t>SABORIZANTE GUAYABA MADURA</t>
  </si>
  <si>
    <t>ALMIBAR GUAYABA</t>
  </si>
  <si>
    <t>marmoleado</t>
  </si>
  <si>
    <t>0.1 UD</t>
  </si>
  <si>
    <t>MP10089</t>
  </si>
  <si>
    <t>Brillo Glit</t>
  </si>
  <si>
    <t>boquilla 4ft</t>
  </si>
  <si>
    <t>sobre las guayabitas</t>
  </si>
  <si>
    <t>3.- Encremar con crema blanca y marmolear con la salsa de guayaba.</t>
  </si>
  <si>
    <t>5.- En un borde de la salsa colocar los brownie y junto a ellos las guayabitas y taparlas con el brillo.</t>
  </si>
  <si>
    <t>DAWN</t>
  </si>
  <si>
    <t>FLAT ICING COBERTURA DONA LISA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</si>
  <si>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</si>
  <si>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</si>
  <si>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</si>
  <si>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</si>
  <si>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</si>
  <si>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</si>
  <si>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</si>
  <si>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</si>
  <si>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</si>
  <si>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</si>
  <si>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</si>
  <si>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</si>
  <si>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</si>
  <si>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</si>
  <si>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</si>
  <si>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</si>
  <si>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</si>
  <si>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</si>
  <si>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</si>
  <si>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</si>
  <si>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</si>
  <si>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</si>
  <si>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</si>
  <si>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</si>
  <si>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</si>
  <si>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</si>
  <si>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</si>
  <si>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</si>
  <si>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</si>
  <si>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</si>
  <si>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</si>
  <si>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</si>
  <si>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</si>
  <si>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</si>
  <si>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</si>
  <si>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</si>
  <si>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</si>
  <si>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</si>
  <si>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</si>
  <si>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</si>
  <si>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</si>
  <si>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</si>
  <si>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</si>
  <si>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</si>
  <si>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</si>
  <si>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</si>
  <si>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</si>
  <si>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</si>
  <si>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</si>
  <si>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</si>
  <si>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</si>
  <si>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</si>
  <si>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</si>
  <si>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>902000019</t>
  </si>
  <si>
    <t xml:space="preserve">UND </t>
  </si>
  <si>
    <t>UND</t>
  </si>
  <si>
    <t xml:space="preserve">und </t>
  </si>
  <si>
    <t>1800/6</t>
  </si>
  <si>
    <t>ESP-RE-BAF-013</t>
  </si>
  <si>
    <t>01</t>
  </si>
  <si>
    <t>907000287(SE00454) Rosquete easy vainilla BC 310g</t>
  </si>
  <si>
    <t>Javier Tong, Chef</t>
  </si>
  <si>
    <t>Esteban Cartin, Gte Manufactura</t>
  </si>
  <si>
    <t># Código Netsuite</t>
  </si>
  <si>
    <t>Ensamble</t>
  </si>
  <si>
    <t>907000286</t>
  </si>
  <si>
    <t>SE00437</t>
  </si>
  <si>
    <t>BATIDO EASY VAINILLA BC</t>
  </si>
  <si>
    <t>MEZCLA P/ENGRASE MOLDES KILO</t>
  </si>
  <si>
    <t>Decoración</t>
  </si>
  <si>
    <t>Empaque</t>
  </si>
  <si>
    <t>EM10004</t>
  </si>
  <si>
    <t>ETIQ.FECHA VENCIMIENTO BLANCO (ROLLO)</t>
  </si>
  <si>
    <t>ETIPLAST</t>
  </si>
  <si>
    <t>ETIQUETA BLANCA 2 5/8X1 15/16 (UND)</t>
  </si>
  <si>
    <t>EM10259</t>
  </si>
  <si>
    <t>Plastico Autoaderible 1/ 18*2000</t>
  </si>
  <si>
    <t>metros</t>
  </si>
  <si>
    <t/>
  </si>
  <si>
    <t>Tiempo de Horneo:</t>
  </si>
  <si>
    <t>Horno:</t>
  </si>
  <si>
    <t>Temperatura de Horneo:</t>
  </si>
  <si>
    <t>Otros</t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</si>
  <si>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</si>
  <si>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</si>
  <si>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desmoldar, colocar las bandejas en el coche y rapearlo con el plastico, dejando solamente la bandeja superior en bolsa plastica.</t>
  </si>
  <si>
    <t xml:space="preserve">4, Etiquetar </t>
  </si>
  <si>
    <t>CONTROL DE CAMBIOS</t>
  </si>
  <si>
    <t>2, Se actualizan pesos, datos receta y procedimiento.</t>
  </si>
  <si>
    <t>ESP-RE-BAF-016</t>
  </si>
  <si>
    <t>02</t>
  </si>
  <si>
    <t>907000285(SE00434) Batido Easy queque vainilla SP</t>
  </si>
  <si>
    <t>SE00435</t>
  </si>
  <si>
    <t>PREMEZCLA EASY QUEQUE VAINILLA SP</t>
  </si>
  <si>
    <t>1210482</t>
  </si>
  <si>
    <t>HUEVO LIQUIDO ESPECIAL INNOV (CAJA:10 K)</t>
  </si>
  <si>
    <t>10415</t>
  </si>
  <si>
    <t>1.- Colocar todos los ingredientes en la batidora y batir con paleta.</t>
  </si>
  <si>
    <t>2.- Batir por 1 minutos en velocidad 1.</t>
  </si>
  <si>
    <t>3.- Luego batir por 5 minutos a velocidad 2.</t>
  </si>
  <si>
    <t>4.- Pasar a dosificar.</t>
  </si>
  <si>
    <t>2, Actualizacion de procedimeinto</t>
  </si>
  <si>
    <t>ESP-RE-PRES-130</t>
  </si>
  <si>
    <t>SE00435 Premezcla Easy Queque Vainilla SP</t>
  </si>
  <si>
    <t>Premezclas</t>
  </si>
  <si>
    <t>11200082</t>
  </si>
  <si>
    <t>MP10490</t>
  </si>
  <si>
    <t>Núcleo Vainilla Easy Sp 20%</t>
  </si>
  <si>
    <t>Puratos</t>
  </si>
  <si>
    <t>Layca</t>
  </si>
  <si>
    <t>MP10478</t>
  </si>
  <si>
    <t>Harina Silver Cake</t>
  </si>
  <si>
    <t>Silvercake</t>
  </si>
  <si>
    <t>MP10008</t>
  </si>
  <si>
    <t>Preservante 1047S</t>
  </si>
  <si>
    <t>MP10517</t>
  </si>
  <si>
    <t>Acti Egg</t>
  </si>
  <si>
    <t>MP10142</t>
  </si>
  <si>
    <t>Clara De Huevo Deshidratada</t>
  </si>
  <si>
    <t>Quimica Masias</t>
  </si>
  <si>
    <t>EM10013</t>
  </si>
  <si>
    <t>Bolsa 17X25 Transparente</t>
  </si>
  <si>
    <t>Etiqueta Blanca 2 5/8X1 15/16</t>
  </si>
  <si>
    <t>TANDA</t>
  </si>
  <si>
    <t>1.- En una bolsa 17x25 empacar el nucleo easy queque vainilla sp con el azucar, y etiquetar.</t>
  </si>
  <si>
    <t>2.- En la otra bolsa 17x25 empacar el harina silver cake con el preservante, actiegg, clara y etiquetar.</t>
  </si>
  <si>
    <t>Control de cambios</t>
  </si>
  <si>
    <t>Revision #2: Se agrega clara en polvo</t>
  </si>
  <si>
    <t xml:space="preserve">ESP-RE-DES-036 </t>
  </si>
  <si>
    <t>11</t>
  </si>
  <si>
    <t>Crema Blanca Spoon (20800g)  SE00010</t>
  </si>
  <si>
    <t># Codigo Netsuite</t>
  </si>
  <si>
    <t>ICG</t>
  </si>
  <si>
    <t>MP10047</t>
  </si>
  <si>
    <t>BETTERCREME SUPREMO (UND:4 K)</t>
  </si>
  <si>
    <t>Richs</t>
  </si>
  <si>
    <t>MP10048</t>
  </si>
  <si>
    <t>CREMA PRESTIGE GRAND (UND:4 K)</t>
  </si>
  <si>
    <t>AyA</t>
  </si>
  <si>
    <t>PRESERVANTE 1047S (PAQ=5 KILO)</t>
  </si>
  <si>
    <t>Aseal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</si>
  <si>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</si>
  <si>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</si>
  <si>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</si>
  <si>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</si>
  <si>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</si>
  <si>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</si>
  <si>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</si>
  <si>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</si>
  <si>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</si>
  <si>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</si>
  <si>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11,Cambio de Pesos </t>
  </si>
  <si>
    <t>1 1/2 ud</t>
  </si>
  <si>
    <t>50 c/u</t>
  </si>
  <si>
    <t>RELLENO QUESO BUCCA</t>
  </si>
  <si>
    <t>1.- Partir el rosquete por la mitad y bañarlos con 50g de almibar cada uno.</t>
  </si>
  <si>
    <t>4.- Hacer colochos con la boquilla 4ft del borde al centro en doble fila, al centro colocar la salsa de guayaba</t>
  </si>
  <si>
    <t>5.- Colocar las guayabas en un borde y bañarlas con el brillo glit.</t>
  </si>
  <si>
    <t>ESP-RE-DEF-026</t>
  </si>
  <si>
    <t xml:space="preserve"> SE00634 Crema blanca Bucca</t>
  </si>
  <si>
    <t>RICHS</t>
  </si>
  <si>
    <t>2 GALON</t>
  </si>
  <si>
    <t>3 GALON</t>
  </si>
  <si>
    <t>AYA</t>
  </si>
  <si>
    <t>ASEAL</t>
  </si>
  <si>
    <t>1.- Abrir los galones de crema y verter dentro de la top cream (5° en liquido )</t>
  </si>
  <si>
    <t>3.- Batir por 12 a 15 minutos. Colocar en una tina plastica, tapar. (Temperatura de 18°)</t>
  </si>
  <si>
    <t xml:space="preserve">Revisión#2, Se actualizan tiempos de preparación y se agrega temperaturas adecuadas. </t>
  </si>
  <si>
    <t>ESP-RE-COCS-017</t>
  </si>
  <si>
    <t>SE00005 - ALMIBAR</t>
  </si>
  <si>
    <t>SE00016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</si>
  <si>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</si>
  <si>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</si>
  <si>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</si>
  <si>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</si>
  <si>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</si>
  <si>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</si>
  <si>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</si>
  <si>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</si>
  <si>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DOS PINOS</t>
  </si>
  <si>
    <t>1212410</t>
  </si>
  <si>
    <t>PLAST. AUTOAD 18 * 2000</t>
  </si>
  <si>
    <t>90</t>
  </si>
  <si>
    <t>Cm</t>
  </si>
  <si>
    <t>0702123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</si>
  <si>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</si>
  <si>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</si>
  <si>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</si>
  <si>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</si>
  <si>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>PTI00245 Torta guayaba tricopilia Bucca</t>
  </si>
  <si>
    <t>SE00717</t>
  </si>
  <si>
    <t>MP10763</t>
  </si>
  <si>
    <t>SE00718</t>
  </si>
  <si>
    <t>SE00719</t>
  </si>
  <si>
    <t>MP10762</t>
  </si>
  <si>
    <t>BOCADITOS TRICOPILIA GUAYABA</t>
  </si>
  <si>
    <t>ESP-RE-DEF-045</t>
  </si>
  <si>
    <t>1/4 TAZA</t>
  </si>
  <si>
    <t>1/3 TAZA POR CAPA</t>
  </si>
  <si>
    <t>3/4 taza por capa</t>
  </si>
  <si>
    <t>2.- Colocar 1/3 taza de relleno de guayaba y 3/4 de taza de relleno de queso en ambas capas y colocar en la orla</t>
  </si>
  <si>
    <t>Revision #3: Modificacion de procedimiento postcorrida.</t>
  </si>
  <si>
    <t>EM10448</t>
  </si>
  <si>
    <t>Etiqueta Torta Tricopilia Guayaba</t>
  </si>
  <si>
    <t>Revision #4: Actualización de peso y se agrega código de etiqueta</t>
  </si>
  <si>
    <t>EM10443</t>
  </si>
  <si>
    <t>Etiqueta Blanca Lisa Bopp Brillante</t>
  </si>
  <si>
    <t>Revision #5: Se actualiza etiqueta de ingredientes</t>
  </si>
  <si>
    <t>Revision #2: Se cambia el peso y taza de medida del relleno de guayaba, peso de la crema para el encremado, y peso y
 taza de la salsa de guayaba.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</si>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</sst>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8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0"/>
      <name val="Century Gothic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8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9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  <font>
      <b/>
      <i/>
      <sz val="14"/>
      <name val="Century Gothic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i/>
      <sz val="1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52">
    <xf numFmtId="0" fontId="0" fillId="0" borderId="0" xfId="0"/>
    <xf numFmtId="0" fontId="3" fillId="2" borderId="1" xfId="2" applyFont="1" applyFill="1" applyBorder="1" applyAlignment="1">
      <alignment horizontal="right"/>
    </xf>
    <xf numFmtId="0" fontId="1" fillId="2" borderId="2" xfId="2" applyFont="1" applyFill="1" applyBorder="1" applyAlignment="1">
      <alignment horizontal="center"/>
    </xf>
    <xf numFmtId="0" fontId="1" fillId="2" borderId="0" xfId="0" applyFont="1" applyFill="1"/>
    <xf numFmtId="0" fontId="3" fillId="2" borderId="3" xfId="2" applyFont="1" applyFill="1" applyBorder="1" applyAlignment="1">
      <alignment horizontal="right"/>
    </xf>
    <xf numFmtId="49" fontId="1" fillId="2" borderId="4" xfId="2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49" fontId="6" fillId="0" borderId="6" xfId="1" applyNumberFormat="1" applyFont="1" applyBorder="1" applyAlignment="1">
      <alignment horizontal="center"/>
    </xf>
    <xf numFmtId="49" fontId="1" fillId="0" borderId="3" xfId="1" applyNumberFormat="1" applyBorder="1"/>
    <xf numFmtId="16" fontId="6" fillId="0" borderId="3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3" fillId="3" borderId="10" xfId="0" applyFont="1" applyFill="1" applyBorder="1" applyAlignment="1">
      <alignment horizontal="center"/>
    </xf>
    <xf numFmtId="1" fontId="3" fillId="3" borderId="10" xfId="0" applyNumberFormat="1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" fillId="2" borderId="0" xfId="3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0" xfId="0" applyFont="1" applyFill="1" applyAlignment="1">
      <alignment vertical="center"/>
    </xf>
    <xf numFmtId="0" fontId="1" fillId="2" borderId="0" xfId="2" applyFont="1" applyFill="1" applyAlignment="1">
      <alignment horizontal="center"/>
    </xf>
    <xf numFmtId="0" fontId="1" fillId="2" borderId="0" xfId="2" applyFont="1" applyFill="1" applyAlignment="1">
      <alignment horizontal="right"/>
    </xf>
    <xf numFmtId="0" fontId="1" fillId="2" borderId="0" xfId="2" applyFont="1" applyFill="1" applyAlignment="1">
      <alignment horizontal="left"/>
    </xf>
    <xf numFmtId="0" fontId="3" fillId="2" borderId="0" xfId="2" applyFont="1" applyFill="1" applyAlignment="1">
      <alignment horizontal="right" vertical="top" wrapText="1"/>
    </xf>
    <xf numFmtId="14" fontId="1" fillId="2" borderId="0" xfId="2" applyNumberFormat="1" applyFont="1" applyFill="1" applyAlignment="1">
      <alignment horizontal="center" vertical="center" wrapText="1"/>
    </xf>
    <xf numFmtId="0" fontId="1" fillId="2" borderId="3" xfId="2" applyFont="1" applyFill="1" applyBorder="1" applyAlignment="1">
      <alignment horizontal="right"/>
    </xf>
    <xf numFmtId="0" fontId="1" fillId="2" borderId="5" xfId="2" applyFont="1" applyFill="1" applyBorder="1" applyAlignment="1">
      <alignment horizontal="right"/>
    </xf>
    <xf numFmtId="0" fontId="5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14" fontId="16" fillId="2" borderId="0" xfId="2" applyNumberFormat="1" applyFont="1" applyFill="1" applyAlignment="1">
      <alignment horizontal="center" vertical="center" wrapText="1"/>
    </xf>
    <xf numFmtId="0" fontId="2" fillId="0" borderId="12" xfId="0" applyFont="1" applyBorder="1"/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1" fillId="0" borderId="3" xfId="0" applyFont="1" applyBorder="1"/>
    <xf numFmtId="0" fontId="0" fillId="0" borderId="0" xfId="0" applyAlignment="1">
      <alignment horizontal="center"/>
    </xf>
    <xf numFmtId="0" fontId="1" fillId="0" borderId="12" xfId="0" applyFont="1" applyBorder="1"/>
    <xf numFmtId="0" fontId="5" fillId="6" borderId="14" xfId="0" applyFont="1" applyFill="1" applyBorder="1" applyAlignment="1">
      <alignment horizontal="center" vertical="center"/>
    </xf>
    <xf numFmtId="0" fontId="1" fillId="6" borderId="12" xfId="0" applyFont="1" applyFill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 wrapText="1"/>
    </xf>
    <xf numFmtId="0" fontId="7" fillId="6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2" xfId="0" applyFont="1" applyBorder="1"/>
    <xf numFmtId="0" fontId="11" fillId="0" borderId="18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3" fillId="0" borderId="19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0" xfId="0" applyFont="1"/>
    <xf numFmtId="0" fontId="13" fillId="0" borderId="3" xfId="0" applyFont="1" applyBorder="1" applyAlignment="1">
      <alignment horizontal="center"/>
    </xf>
    <xf numFmtId="0" fontId="17" fillId="0" borderId="3" xfId="0" applyFont="1" applyBorder="1"/>
    <xf numFmtId="0" fontId="11" fillId="0" borderId="3" xfId="0" applyFont="1" applyBorder="1" applyAlignment="1">
      <alignment horizontal="center"/>
    </xf>
    <xf numFmtId="0" fontId="13" fillId="0" borderId="3" xfId="0" applyFont="1" applyBorder="1"/>
    <xf numFmtId="0" fontId="11" fillId="0" borderId="19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3" fillId="5" borderId="0" xfId="0" applyFont="1" applyFill="1" applyAlignment="1">
      <alignment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2" fillId="0" borderId="3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43" fontId="20" fillId="0" borderId="0" xfId="4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 wrapText="1"/>
    </xf>
    <xf numFmtId="0" fontId="12" fillId="8" borderId="4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5" applyNumberFormat="1" applyFont="1" applyFill="1" applyAlignment="1">
      <alignment horizontal="center" vertical="center"/>
    </xf>
    <xf numFmtId="4" fontId="12" fillId="0" borderId="0" xfId="5" applyNumberFormat="1" applyFont="1" applyFill="1" applyAlignment="1">
      <alignment horizontal="center" vertical="center"/>
    </xf>
    <xf numFmtId="10" fontId="12" fillId="0" borderId="0" xfId="3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9" fillId="0" borderId="0" xfId="3" applyNumberFormat="1" applyFont="1" applyFill="1" applyAlignment="1">
      <alignment vertical="center"/>
    </xf>
    <xf numFmtId="0" fontId="13" fillId="0" borderId="0" xfId="0" applyFont="1"/>
    <xf numFmtId="49" fontId="12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4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4" applyNumberFormat="1" applyFont="1" applyFill="1" applyAlignment="1">
      <alignment vertical="center"/>
    </xf>
    <xf numFmtId="43" fontId="26" fillId="0" borderId="0" xfId="4" applyFont="1" applyFill="1" applyAlignment="1">
      <alignment horizontal="center" vertical="center"/>
    </xf>
    <xf numFmtId="10" fontId="19" fillId="8" borderId="44" xfId="3" applyNumberFormat="1" applyFont="1" applyFill="1" applyBorder="1" applyAlignment="1">
      <alignment vertical="center"/>
    </xf>
    <xf numFmtId="0" fontId="13" fillId="8" borderId="10" xfId="0" applyFont="1" applyFill="1" applyBorder="1" applyAlignment="1">
      <alignment vertical="center"/>
    </xf>
    <xf numFmtId="0" fontId="13" fillId="8" borderId="44" xfId="0" applyFont="1" applyFill="1" applyBorder="1" applyAlignment="1">
      <alignment vertical="center"/>
    </xf>
    <xf numFmtId="43" fontId="26" fillId="8" borderId="45" xfId="4" applyFont="1" applyFill="1" applyBorder="1" applyAlignment="1">
      <alignment horizontal="center" vertical="center"/>
    </xf>
    <xf numFmtId="43" fontId="28" fillId="0" borderId="0" xfId="4" applyFont="1" applyFill="1" applyBorder="1" applyAlignment="1">
      <alignment horizontal="right"/>
    </xf>
    <xf numFmtId="0" fontId="13" fillId="8" borderId="45" xfId="0" applyFont="1" applyFill="1" applyBorder="1" applyAlignment="1">
      <alignment vertical="center"/>
    </xf>
    <xf numFmtId="10" fontId="19" fillId="8" borderId="45" xfId="3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29" fillId="0" borderId="0" xfId="3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4" applyNumberFormat="1" applyFont="1" applyFill="1" applyAlignment="1">
      <alignment vertical="center"/>
    </xf>
    <xf numFmtId="4" fontId="26" fillId="0" borderId="0" xfId="5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8" xfId="0" applyFont="1" applyBorder="1" applyAlignment="1">
      <alignment horizontal="right"/>
    </xf>
    <xf numFmtId="43" fontId="32" fillId="4" borderId="48" xfId="4" applyFont="1" applyFill="1" applyBorder="1" applyAlignment="1">
      <alignment horizontal="right"/>
    </xf>
    <xf numFmtId="43" fontId="32" fillId="0" borderId="0" xfId="4" applyFont="1" applyFill="1" applyBorder="1" applyAlignment="1">
      <alignment horizontal="right"/>
    </xf>
    <xf numFmtId="43" fontId="12" fillId="0" borderId="3" xfId="4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6" fillId="0" borderId="0" xfId="5" applyNumberFormat="1" applyFont="1" applyFill="1" applyAlignment="1">
      <alignment horizontal="center" vertical="center"/>
    </xf>
    <xf numFmtId="10" fontId="34" fillId="0" borderId="0" xfId="3" applyNumberFormat="1" applyFont="1" applyFill="1" applyAlignment="1">
      <alignment horizontal="right"/>
    </xf>
    <xf numFmtId="168" fontId="12" fillId="8" borderId="3" xfId="4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2" fillId="9" borderId="3" xfId="4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9" fillId="8" borderId="49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4" applyNumberFormat="1" applyFont="1" applyFill="1" applyBorder="1" applyAlignment="1">
      <alignment horizontal="center"/>
    </xf>
    <xf numFmtId="2" fontId="31" fillId="0" borderId="0" xfId="4" applyNumberFormat="1" applyFont="1" applyFill="1" applyBorder="1" applyAlignment="1">
      <alignment horizontal="center"/>
    </xf>
    <xf numFmtId="0" fontId="13" fillId="8" borderId="49" xfId="0" applyFont="1" applyFill="1" applyBorder="1" applyAlignment="1">
      <alignment vertical="center"/>
    </xf>
    <xf numFmtId="10" fontId="13" fillId="0" borderId="0" xfId="3" applyNumberFormat="1" applyFont="1" applyFill="1" applyAlignment="1">
      <alignment vertical="center"/>
    </xf>
    <xf numFmtId="4" fontId="13" fillId="0" borderId="0" xfId="4" applyNumberFormat="1" applyFont="1" applyFill="1" applyAlignment="1">
      <alignment vertical="center"/>
    </xf>
    <xf numFmtId="43" fontId="32" fillId="8" borderId="10" xfId="4" applyFont="1" applyFill="1" applyBorder="1" applyAlignment="1">
      <alignment horizontal="right"/>
    </xf>
    <xf numFmtId="0" fontId="12" fillId="8" borderId="11" xfId="0" applyFont="1" applyFill="1" applyBorder="1" applyAlignment="1">
      <alignment horizontal="right" vertical="center"/>
    </xf>
    <xf numFmtId="10" fontId="38" fillId="0" borderId="0" xfId="4" applyNumberFormat="1" applyFont="1" applyFill="1" applyAlignment="1">
      <alignment vertical="center"/>
    </xf>
    <xf numFmtId="10" fontId="19" fillId="0" borderId="0" xfId="3" applyNumberFormat="1" applyFont="1" applyFill="1" applyBorder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43" fontId="40" fillId="0" borderId="0" xfId="4" applyFont="1" applyFill="1" applyAlignment="1">
      <alignment vertical="center"/>
    </xf>
    <xf numFmtId="4" fontId="41" fillId="0" borderId="0" xfId="5" applyNumberFormat="1" applyFont="1" applyFill="1" applyAlignment="1">
      <alignment horizontal="center" vertical="center" wrapText="1"/>
    </xf>
    <xf numFmtId="9" fontId="13" fillId="0" borderId="0" xfId="4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4" applyNumberFormat="1" applyFont="1" applyFill="1" applyAlignment="1">
      <alignment vertical="center"/>
    </xf>
    <xf numFmtId="4" fontId="12" fillId="11" borderId="48" xfId="4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43" fontId="42" fillId="0" borderId="0" xfId="4" applyFont="1" applyFill="1" applyAlignment="1">
      <alignment vertical="center"/>
    </xf>
    <xf numFmtId="9" fontId="42" fillId="0" borderId="0" xfId="4" applyNumberFormat="1" applyFont="1" applyFill="1" applyAlignment="1">
      <alignment vertical="center"/>
    </xf>
    <xf numFmtId="4" fontId="12" fillId="0" borderId="0" xfId="4" applyNumberFormat="1" applyFont="1" applyFill="1" applyAlignment="1">
      <alignment horizontal="center" vertical="center"/>
    </xf>
    <xf numFmtId="10" fontId="35" fillId="0" borderId="0" xfId="3" applyNumberFormat="1" applyFont="1" applyFill="1" applyAlignment="1">
      <alignment vertical="center"/>
    </xf>
    <xf numFmtId="43" fontId="35" fillId="0" borderId="0" xfId="4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4" applyFont="1" applyFill="1" applyBorder="1"/>
    <xf numFmtId="10" fontId="35" fillId="0" borderId="0" xfId="3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43" fontId="13" fillId="0" borderId="0" xfId="4" applyFont="1" applyFill="1" applyBorder="1" applyAlignment="1">
      <alignment horizontal="center"/>
    </xf>
    <xf numFmtId="9" fontId="45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0" fillId="12" borderId="0" xfId="0" applyFill="1" applyAlignment="1">
      <alignment horizontal="center"/>
    </xf>
    <xf numFmtId="0" fontId="0" fillId="12" borderId="0" xfId="0" applyFill="1"/>
    <xf numFmtId="0" fontId="7" fillId="12" borderId="14" xfId="0" applyFont="1" applyFill="1" applyBorder="1" applyAlignment="1">
      <alignment horizontal="center" vertical="center"/>
    </xf>
    <xf numFmtId="0" fontId="1" fillId="12" borderId="12" xfId="0" applyFont="1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0" fontId="1" fillId="13" borderId="12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 vertical="center"/>
    </xf>
    <xf numFmtId="0" fontId="1" fillId="14" borderId="12" xfId="0" applyFont="1" applyFill="1" applyBorder="1"/>
    <xf numFmtId="0" fontId="1" fillId="14" borderId="12" xfId="0" applyFont="1" applyFill="1" applyBorder="1" applyAlignment="1">
      <alignment horizontal="center"/>
    </xf>
    <xf numFmtId="0" fontId="47" fillId="2" borderId="1" xfId="2" applyFont="1" applyFill="1" applyBorder="1" applyAlignment="1">
      <alignment horizontal="right"/>
    </xf>
    <xf numFmtId="0" fontId="47" fillId="2" borderId="3" xfId="2" applyFont="1" applyFill="1" applyBorder="1" applyAlignment="1">
      <alignment horizontal="right"/>
    </xf>
    <xf numFmtId="49" fontId="10" fillId="2" borderId="4" xfId="2" applyNumberFormat="1" applyFont="1" applyFill="1" applyBorder="1" applyAlignment="1">
      <alignment horizontal="center"/>
    </xf>
    <xf numFmtId="0" fontId="10" fillId="2" borderId="12" xfId="2" applyFont="1" applyFill="1" applyBorder="1" applyAlignment="1">
      <alignment horizontal="right"/>
    </xf>
    <xf numFmtId="0" fontId="10" fillId="2" borderId="3" xfId="2" applyFont="1" applyFill="1" applyBorder="1" applyAlignment="1">
      <alignment horizontal="right"/>
    </xf>
    <xf numFmtId="0" fontId="47" fillId="3" borderId="2" xfId="1" applyFont="1" applyFill="1" applyBorder="1" applyAlignment="1">
      <alignment horizontal="center" vertical="center" wrapText="1"/>
    </xf>
    <xf numFmtId="1" fontId="47" fillId="3" borderId="5" xfId="1" applyNumberFormat="1" applyFont="1" applyFill="1" applyBorder="1" applyAlignment="1">
      <alignment horizontal="center"/>
    </xf>
    <xf numFmtId="1" fontId="47" fillId="3" borderId="5" xfId="1" applyNumberFormat="1" applyFont="1" applyFill="1" applyBorder="1" applyAlignment="1">
      <alignment horizontal="center" wrapText="1"/>
    </xf>
    <xf numFmtId="0" fontId="47" fillId="3" borderId="16" xfId="1" applyFont="1" applyFill="1" applyBorder="1" applyAlignment="1">
      <alignment horizontal="center"/>
    </xf>
    <xf numFmtId="0" fontId="49" fillId="0" borderId="6" xfId="1" applyFont="1" applyBorder="1" applyAlignment="1">
      <alignment horizontal="center" vertical="center"/>
    </xf>
    <xf numFmtId="0" fontId="49" fillId="0" borderId="19" xfId="1" applyFont="1" applyBorder="1" applyAlignment="1">
      <alignment horizontal="center" vertical="center"/>
    </xf>
    <xf numFmtId="0" fontId="50" fillId="0" borderId="3" xfId="1" applyFont="1" applyBorder="1" applyAlignment="1">
      <alignment vertical="center"/>
    </xf>
    <xf numFmtId="0" fontId="49" fillId="0" borderId="3" xfId="1" applyFont="1" applyBorder="1" applyAlignment="1">
      <alignment horizontal="center" vertical="center"/>
    </xf>
    <xf numFmtId="1" fontId="49" fillId="0" borderId="3" xfId="1" applyNumberFormat="1" applyFont="1" applyBorder="1" applyAlignment="1">
      <alignment horizontal="center"/>
    </xf>
    <xf numFmtId="1" fontId="49" fillId="0" borderId="3" xfId="1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wrapText="1"/>
    </xf>
    <xf numFmtId="12" fontId="10" fillId="0" borderId="12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1" fontId="0" fillId="0" borderId="0" xfId="0" applyNumberFormat="1"/>
    <xf numFmtId="0" fontId="0" fillId="0" borderId="19" xfId="0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1" fillId="0" borderId="6" xfId="1" applyNumberFormat="1" applyFont="1" applyBorder="1" applyAlignment="1">
      <alignment horizontal="center"/>
    </xf>
    <xf numFmtId="49" fontId="11" fillId="0" borderId="19" xfId="1" applyNumberFormat="1" applyFont="1" applyBorder="1" applyAlignment="1">
      <alignment horizontal="center"/>
    </xf>
    <xf numFmtId="0" fontId="51" fillId="5" borderId="3" xfId="1" applyFont="1" applyFill="1" applyBorder="1" applyAlignment="1">
      <alignment horizontal="left"/>
    </xf>
    <xf numFmtId="0" fontId="10" fillId="5" borderId="3" xfId="1" applyFont="1" applyFill="1" applyBorder="1" applyAlignment="1">
      <alignment horizontal="center"/>
    </xf>
    <xf numFmtId="1" fontId="0" fillId="0" borderId="19" xfId="0" applyNumberFormat="1" applyBorder="1"/>
    <xf numFmtId="0" fontId="11" fillId="0" borderId="3" xfId="1" applyFont="1" applyBorder="1" applyAlignment="1">
      <alignment horizontal="center"/>
    </xf>
    <xf numFmtId="169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 wrapText="1"/>
    </xf>
    <xf numFmtId="0" fontId="52" fillId="5" borderId="6" xfId="0" applyFont="1" applyFill="1" applyBorder="1" applyAlignment="1">
      <alignment horizontal="center"/>
    </xf>
    <xf numFmtId="0" fontId="52" fillId="5" borderId="34" xfId="0" applyFont="1" applyFill="1" applyBorder="1" applyAlignment="1">
      <alignment horizontal="center"/>
    </xf>
    <xf numFmtId="0" fontId="52" fillId="5" borderId="12" xfId="0" applyFont="1" applyFill="1" applyBorder="1"/>
    <xf numFmtId="0" fontId="10" fillId="5" borderId="19" xfId="0" applyFont="1" applyFill="1" applyBorder="1" applyAlignment="1">
      <alignment horizontal="center"/>
    </xf>
    <xf numFmtId="1" fontId="10" fillId="5" borderId="12" xfId="0" applyNumberFormat="1" applyFont="1" applyFill="1" applyBorder="1" applyAlignment="1">
      <alignment horizontal="center"/>
    </xf>
    <xf numFmtId="1" fontId="10" fillId="5" borderId="12" xfId="0" applyNumberFormat="1" applyFont="1" applyFill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49" fillId="0" borderId="28" xfId="1" applyNumberFormat="1" applyFont="1" applyBorder="1" applyAlignment="1">
      <alignment horizontal="center"/>
    </xf>
    <xf numFmtId="49" fontId="49" fillId="0" borderId="29" xfId="1" applyNumberFormat="1" applyFont="1" applyBorder="1" applyAlignment="1">
      <alignment horizontal="center"/>
    </xf>
    <xf numFmtId="0" fontId="53" fillId="5" borderId="3" xfId="1" applyFont="1" applyFill="1" applyBorder="1" applyAlignment="1">
      <alignment vertical="center"/>
    </xf>
    <xf numFmtId="0" fontId="49" fillId="0" borderId="19" xfId="1" applyFont="1" applyBorder="1" applyAlignment="1">
      <alignment horizontal="center"/>
    </xf>
    <xf numFmtId="169" fontId="49" fillId="0" borderId="3" xfId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49" fontId="12" fillId="0" borderId="3" xfId="0" applyNumberFormat="1" applyFont="1" applyBorder="1"/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170" fontId="47" fillId="5" borderId="3" xfId="4" applyNumberFormat="1" applyFont="1" applyFill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49" fontId="55" fillId="2" borderId="7" xfId="1" applyNumberFormat="1" applyFont="1" applyFill="1" applyBorder="1" applyAlignment="1">
      <alignment horizontal="center" vertical="center"/>
    </xf>
    <xf numFmtId="49" fontId="55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8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3" borderId="10" xfId="1" applyFont="1" applyFill="1" applyBorder="1"/>
    <xf numFmtId="0" fontId="47" fillId="3" borderId="10" xfId="1" applyFont="1" applyFill="1" applyBorder="1" applyAlignment="1">
      <alignment horizontal="center"/>
    </xf>
    <xf numFmtId="1" fontId="47" fillId="3" borderId="10" xfId="1" applyNumberFormat="1" applyFont="1" applyFill="1" applyBorder="1" applyAlignment="1">
      <alignment horizontal="center"/>
    </xf>
    <xf numFmtId="164" fontId="10" fillId="3" borderId="10" xfId="1" applyNumberFormat="1" applyFont="1" applyFill="1" applyBorder="1" applyAlignment="1">
      <alignment horizontal="center" wrapText="1"/>
    </xf>
    <xf numFmtId="0" fontId="10" fillId="3" borderId="11" xfId="1" applyFont="1" applyFill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48" fillId="2" borderId="1" xfId="2" applyFont="1" applyFill="1" applyBorder="1" applyAlignment="1">
      <alignment horizontal="right"/>
    </xf>
    <xf numFmtId="0" fontId="57" fillId="2" borderId="2" xfId="2" applyFont="1" applyFill="1" applyBorder="1" applyAlignment="1">
      <alignment horizontal="center"/>
    </xf>
    <xf numFmtId="0" fontId="48" fillId="2" borderId="3" xfId="2" applyFont="1" applyFill="1" applyBorder="1" applyAlignment="1">
      <alignment horizontal="right"/>
    </xf>
    <xf numFmtId="49" fontId="56" fillId="2" borderId="4" xfId="2" applyNumberFormat="1" applyFont="1" applyFill="1" applyBorder="1" applyAlignment="1">
      <alignment horizontal="center"/>
    </xf>
    <xf numFmtId="0" fontId="56" fillId="2" borderId="12" xfId="2" applyFont="1" applyFill="1" applyBorder="1" applyAlignment="1">
      <alignment horizontal="right"/>
    </xf>
    <xf numFmtId="0" fontId="56" fillId="2" borderId="3" xfId="2" applyFont="1" applyFill="1" applyBorder="1" applyAlignment="1">
      <alignment horizontal="right"/>
    </xf>
    <xf numFmtId="14" fontId="59" fillId="2" borderId="0" xfId="2" applyNumberFormat="1" applyFont="1" applyFill="1" applyAlignment="1">
      <alignment horizontal="center" vertical="center" wrapText="1"/>
    </xf>
    <xf numFmtId="0" fontId="48" fillId="3" borderId="2" xfId="1" applyFont="1" applyFill="1" applyBorder="1" applyAlignment="1">
      <alignment horizontal="center" vertical="center" wrapText="1"/>
    </xf>
    <xf numFmtId="1" fontId="48" fillId="3" borderId="5" xfId="1" applyNumberFormat="1" applyFont="1" applyFill="1" applyBorder="1" applyAlignment="1">
      <alignment horizontal="center"/>
    </xf>
    <xf numFmtId="1" fontId="48" fillId="3" borderId="5" xfId="1" applyNumberFormat="1" applyFont="1" applyFill="1" applyBorder="1" applyAlignment="1">
      <alignment horizontal="center" wrapText="1"/>
    </xf>
    <xf numFmtId="0" fontId="48" fillId="3" borderId="16" xfId="1" applyFont="1" applyFill="1" applyBorder="1" applyAlignment="1">
      <alignment horizontal="center"/>
    </xf>
    <xf numFmtId="0" fontId="60" fillId="0" borderId="6" xfId="1" applyFont="1" applyBorder="1" applyAlignment="1">
      <alignment horizontal="center" vertical="center"/>
    </xf>
    <xf numFmtId="0" fontId="60" fillId="0" borderId="19" xfId="1" applyFont="1" applyBorder="1" applyAlignment="1">
      <alignment horizontal="center" vertical="center"/>
    </xf>
    <xf numFmtId="0" fontId="61" fillId="0" borderId="3" xfId="1" applyFont="1" applyBorder="1" applyAlignment="1">
      <alignment vertical="center"/>
    </xf>
    <xf numFmtId="0" fontId="60" fillId="0" borderId="3" xfId="1" applyFont="1" applyBorder="1" applyAlignment="1">
      <alignment horizontal="center" vertical="center"/>
    </xf>
    <xf numFmtId="1" fontId="60" fillId="0" borderId="3" xfId="1" applyNumberFormat="1" applyFont="1" applyBorder="1" applyAlignment="1">
      <alignment horizontal="center"/>
    </xf>
    <xf numFmtId="1" fontId="60" fillId="0" borderId="3" xfId="1" applyNumberFormat="1" applyFont="1" applyBorder="1" applyAlignment="1">
      <alignment horizontal="center" wrapText="1"/>
    </xf>
    <xf numFmtId="0" fontId="62" fillId="0" borderId="4" xfId="1" applyFont="1" applyBorder="1" applyAlignment="1">
      <alignment horizontal="center"/>
    </xf>
    <xf numFmtId="1" fontId="57" fillId="0" borderId="3" xfId="0" applyNumberFormat="1" applyFont="1" applyBorder="1"/>
    <xf numFmtId="0" fontId="57" fillId="0" borderId="3" xfId="0" applyFont="1" applyBorder="1" applyAlignment="1">
      <alignment horizontal="center"/>
    </xf>
    <xf numFmtId="0" fontId="57" fillId="0" borderId="3" xfId="0" applyFont="1" applyBorder="1"/>
    <xf numFmtId="0" fontId="56" fillId="0" borderId="3" xfId="0" applyFont="1" applyBorder="1" applyAlignment="1">
      <alignment horizontal="center" vertical="center"/>
    </xf>
    <xf numFmtId="1" fontId="56" fillId="0" borderId="3" xfId="0" applyNumberFormat="1" applyFont="1" applyBorder="1" applyAlignment="1">
      <alignment horizontal="center" vertical="center"/>
    </xf>
    <xf numFmtId="1" fontId="56" fillId="0" borderId="3" xfId="0" applyNumberFormat="1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wrapText="1"/>
    </xf>
    <xf numFmtId="12" fontId="56" fillId="0" borderId="12" xfId="0" applyNumberFormat="1" applyFont="1" applyBorder="1" applyAlignment="1">
      <alignment horizontal="center"/>
    </xf>
    <xf numFmtId="0" fontId="56" fillId="0" borderId="3" xfId="0" applyFont="1" applyBorder="1" applyAlignment="1">
      <alignment horizontal="left" vertical="center"/>
    </xf>
    <xf numFmtId="0" fontId="57" fillId="0" borderId="19" xfId="0" applyFont="1" applyBorder="1" applyAlignment="1">
      <alignment horizontal="center"/>
    </xf>
    <xf numFmtId="0" fontId="62" fillId="0" borderId="3" xfId="0" applyFont="1" applyBorder="1" applyAlignment="1">
      <alignment horizontal="center"/>
    </xf>
    <xf numFmtId="0" fontId="56" fillId="0" borderId="3" xfId="0" applyFont="1" applyBorder="1" applyAlignment="1">
      <alignment horizontal="center"/>
    </xf>
    <xf numFmtId="49" fontId="62" fillId="0" borderId="6" xfId="1" applyNumberFormat="1" applyFont="1" applyBorder="1" applyAlignment="1">
      <alignment horizontal="center"/>
    </xf>
    <xf numFmtId="49" fontId="62" fillId="0" borderId="19" xfId="1" applyNumberFormat="1" applyFont="1" applyBorder="1" applyAlignment="1">
      <alignment horizontal="center"/>
    </xf>
    <xf numFmtId="0" fontId="60" fillId="5" borderId="3" xfId="1" applyFont="1" applyFill="1" applyBorder="1" applyAlignment="1">
      <alignment horizontal="left"/>
    </xf>
    <xf numFmtId="0" fontId="56" fillId="5" borderId="3" xfId="1" applyFont="1" applyFill="1" applyBorder="1" applyAlignment="1">
      <alignment horizontal="center"/>
    </xf>
    <xf numFmtId="1" fontId="57" fillId="0" borderId="19" xfId="0" applyNumberFormat="1" applyFont="1" applyBorder="1"/>
    <xf numFmtId="0" fontId="62" fillId="0" borderId="3" xfId="1" applyFont="1" applyBorder="1" applyAlignment="1">
      <alignment horizontal="center"/>
    </xf>
    <xf numFmtId="169" fontId="62" fillId="0" borderId="3" xfId="1" applyNumberFormat="1" applyFont="1" applyBorder="1" applyAlignment="1">
      <alignment horizontal="center"/>
    </xf>
    <xf numFmtId="1" fontId="62" fillId="0" borderId="3" xfId="1" applyNumberFormat="1" applyFont="1" applyBorder="1" applyAlignment="1">
      <alignment horizontal="center" wrapText="1"/>
    </xf>
    <xf numFmtId="0" fontId="63" fillId="5" borderId="6" xfId="0" applyFont="1" applyFill="1" applyBorder="1" applyAlignment="1">
      <alignment horizontal="center"/>
    </xf>
    <xf numFmtId="0" fontId="63" fillId="5" borderId="34" xfId="0" applyFont="1" applyFill="1" applyBorder="1" applyAlignment="1">
      <alignment horizontal="center"/>
    </xf>
    <xf numFmtId="0" fontId="63" fillId="5" borderId="12" xfId="0" applyFont="1" applyFill="1" applyBorder="1"/>
    <xf numFmtId="0" fontId="56" fillId="5" borderId="19" xfId="0" applyFont="1" applyFill="1" applyBorder="1" applyAlignment="1">
      <alignment horizontal="center"/>
    </xf>
    <xf numFmtId="1" fontId="56" fillId="5" borderId="12" xfId="0" applyNumberFormat="1" applyFont="1" applyFill="1" applyBorder="1" applyAlignment="1">
      <alignment horizontal="center"/>
    </xf>
    <xf numFmtId="1" fontId="56" fillId="5" borderId="12" xfId="0" applyNumberFormat="1" applyFont="1" applyFill="1" applyBorder="1" applyAlignment="1">
      <alignment horizontal="center" wrapText="1"/>
    </xf>
    <xf numFmtId="16" fontId="56" fillId="0" borderId="3" xfId="0" applyNumberFormat="1" applyFont="1" applyBorder="1" applyAlignment="1">
      <alignment horizontal="center"/>
    </xf>
    <xf numFmtId="1" fontId="56" fillId="0" borderId="3" xfId="0" applyNumberFormat="1" applyFont="1" applyBorder="1" applyAlignment="1">
      <alignment horizontal="center"/>
    </xf>
    <xf numFmtId="1" fontId="56" fillId="0" borderId="3" xfId="0" applyNumberFormat="1" applyFont="1" applyBorder="1" applyAlignment="1">
      <alignment horizontal="center" wrapText="1"/>
    </xf>
    <xf numFmtId="49" fontId="60" fillId="0" borderId="28" xfId="1" applyNumberFormat="1" applyFont="1" applyBorder="1" applyAlignment="1">
      <alignment horizontal="center"/>
    </xf>
    <xf numFmtId="49" fontId="60" fillId="0" borderId="29" xfId="1" applyNumberFormat="1" applyFont="1" applyBorder="1" applyAlignment="1">
      <alignment horizontal="center"/>
    </xf>
    <xf numFmtId="0" fontId="61" fillId="5" borderId="3" xfId="1" applyFont="1" applyFill="1" applyBorder="1" applyAlignment="1">
      <alignment vertical="center"/>
    </xf>
    <xf numFmtId="0" fontId="60" fillId="0" borderId="19" xfId="1" applyFont="1" applyBorder="1" applyAlignment="1">
      <alignment horizontal="center"/>
    </xf>
    <xf numFmtId="169" fontId="60" fillId="0" borderId="3" xfId="1" applyNumberFormat="1" applyFont="1" applyBorder="1" applyAlignment="1">
      <alignment horizontal="center"/>
    </xf>
    <xf numFmtId="49" fontId="62" fillId="0" borderId="6" xfId="0" applyNumberFormat="1" applyFont="1" applyBorder="1" applyAlignment="1">
      <alignment horizontal="center"/>
    </xf>
    <xf numFmtId="49" fontId="62" fillId="0" borderId="19" xfId="0" applyNumberFormat="1" applyFont="1" applyBorder="1" applyAlignment="1">
      <alignment horizontal="center"/>
    </xf>
    <xf numFmtId="49" fontId="60" fillId="0" borderId="3" xfId="0" applyNumberFormat="1" applyFont="1" applyBorder="1"/>
    <xf numFmtId="1" fontId="62" fillId="0" borderId="3" xfId="0" applyNumberFormat="1" applyFont="1" applyBorder="1" applyAlignment="1">
      <alignment horizontal="center"/>
    </xf>
    <xf numFmtId="1" fontId="62" fillId="0" borderId="3" xfId="0" applyNumberFormat="1" applyFont="1" applyBorder="1" applyAlignment="1">
      <alignment horizontal="center" wrapText="1"/>
    </xf>
    <xf numFmtId="170" fontId="48" fillId="5" borderId="3" xfId="4" applyNumberFormat="1" applyFont="1" applyFill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64" fillId="0" borderId="19" xfId="0" applyFont="1" applyBorder="1" applyAlignment="1">
      <alignment horizontal="center"/>
    </xf>
    <xf numFmtId="0" fontId="64" fillId="0" borderId="3" xfId="0" applyFont="1" applyBorder="1"/>
    <xf numFmtId="0" fontId="57" fillId="0" borderId="3" xfId="0" applyFont="1" applyBorder="1" applyAlignment="1">
      <alignment horizontal="center" vertical="center"/>
    </xf>
    <xf numFmtId="0" fontId="57" fillId="0" borderId="3" xfId="0" applyFont="1" applyBorder="1" applyAlignment="1">
      <alignment horizontal="left" vertical="center"/>
    </xf>
    <xf numFmtId="12" fontId="62" fillId="0" borderId="3" xfId="1" applyNumberFormat="1" applyFont="1" applyBorder="1" applyAlignment="1">
      <alignment horizontal="center"/>
    </xf>
    <xf numFmtId="1" fontId="62" fillId="0" borderId="3" xfId="1" applyNumberFormat="1" applyFont="1" applyBorder="1" applyAlignment="1">
      <alignment horizontal="center"/>
    </xf>
    <xf numFmtId="0" fontId="56" fillId="0" borderId="3" xfId="0" quotePrefix="1" applyFont="1" applyBorder="1" applyAlignment="1">
      <alignment horizontal="center"/>
    </xf>
    <xf numFmtId="0" fontId="56" fillId="0" borderId="3" xfId="0" quotePrefix="1" applyFont="1" applyBorder="1"/>
    <xf numFmtId="49" fontId="65" fillId="2" borderId="7" xfId="1" applyNumberFormat="1" applyFont="1" applyFill="1" applyBorder="1" applyAlignment="1">
      <alignment horizontal="center" vertical="center"/>
    </xf>
    <xf numFmtId="49" fontId="65" fillId="2" borderId="0" xfId="1" applyNumberFormat="1" applyFont="1" applyFill="1" applyAlignment="1">
      <alignment horizontal="center" vertical="center"/>
    </xf>
    <xf numFmtId="0" fontId="56" fillId="2" borderId="0" xfId="1" applyFont="1" applyFill="1"/>
    <xf numFmtId="1" fontId="56" fillId="2" borderId="0" xfId="1" applyNumberFormat="1" applyFont="1" applyFill="1" applyAlignment="1">
      <alignment horizontal="center"/>
    </xf>
    <xf numFmtId="164" fontId="56" fillId="2" borderId="0" xfId="1" applyNumberFormat="1" applyFont="1" applyFill="1" applyAlignment="1">
      <alignment horizontal="center" wrapText="1"/>
    </xf>
    <xf numFmtId="0" fontId="56" fillId="2" borderId="8" xfId="1" applyFont="1" applyFill="1" applyBorder="1" applyAlignment="1">
      <alignment horizontal="center"/>
    </xf>
    <xf numFmtId="0" fontId="56" fillId="3" borderId="9" xfId="1" applyFont="1" applyFill="1" applyBorder="1" applyAlignment="1">
      <alignment horizontal="center"/>
    </xf>
    <xf numFmtId="0" fontId="56" fillId="3" borderId="10" xfId="1" applyFont="1" applyFill="1" applyBorder="1" applyAlignment="1">
      <alignment horizontal="center"/>
    </xf>
    <xf numFmtId="0" fontId="56" fillId="3" borderId="10" xfId="1" applyFont="1" applyFill="1" applyBorder="1"/>
    <xf numFmtId="0" fontId="48" fillId="3" borderId="10" xfId="1" applyFont="1" applyFill="1" applyBorder="1" applyAlignment="1">
      <alignment horizontal="center"/>
    </xf>
    <xf numFmtId="1" fontId="48" fillId="3" borderId="10" xfId="1" applyNumberFormat="1" applyFont="1" applyFill="1" applyBorder="1" applyAlignment="1">
      <alignment horizontal="center"/>
    </xf>
    <xf numFmtId="164" fontId="56" fillId="3" borderId="10" xfId="1" applyNumberFormat="1" applyFont="1" applyFill="1" applyBorder="1" applyAlignment="1">
      <alignment horizontal="center" wrapText="1"/>
    </xf>
    <xf numFmtId="0" fontId="56" fillId="3" borderId="11" xfId="1" applyFont="1" applyFill="1" applyBorder="1" applyAlignment="1">
      <alignment horizontal="center"/>
    </xf>
    <xf numFmtId="1" fontId="56" fillId="0" borderId="12" xfId="0" applyNumberFormat="1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1" fontId="56" fillId="0" borderId="5" xfId="0" applyNumberFormat="1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66" fillId="2" borderId="2" xfId="2" applyFont="1" applyFill="1" applyBorder="1" applyAlignment="1">
      <alignment horizontal="center"/>
    </xf>
    <xf numFmtId="14" fontId="68" fillId="2" borderId="11" xfId="2" applyNumberFormat="1" applyFont="1" applyFill="1" applyBorder="1" applyAlignment="1">
      <alignment horizontal="center" vertical="center"/>
    </xf>
    <xf numFmtId="1" fontId="47" fillId="3" borderId="5" xfId="1" applyNumberFormat="1" applyFont="1" applyFill="1" applyBorder="1" applyAlignment="1">
      <alignment horizontal="center" vertical="center"/>
    </xf>
    <xf numFmtId="1" fontId="47" fillId="3" borderId="5" xfId="1" applyNumberFormat="1" applyFont="1" applyFill="1" applyBorder="1" applyAlignment="1">
      <alignment horizontal="center" vertical="center" wrapText="1"/>
    </xf>
    <xf numFmtId="1" fontId="47" fillId="3" borderId="17" xfId="1" applyNumberFormat="1" applyFont="1" applyFill="1" applyBorder="1" applyAlignment="1">
      <alignment horizontal="center" vertical="center"/>
    </xf>
    <xf numFmtId="1" fontId="47" fillId="3" borderId="17" xfId="1" applyNumberFormat="1" applyFont="1" applyFill="1" applyBorder="1" applyAlignment="1">
      <alignment horizontal="center" vertical="center" wrapText="1"/>
    </xf>
    <xf numFmtId="0" fontId="47" fillId="3" borderId="16" xfId="1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/>
    </xf>
    <xf numFmtId="0" fontId="0" fillId="16" borderId="3" xfId="0" applyFill="1" applyBorder="1"/>
    <xf numFmtId="0" fontId="14" fillId="16" borderId="3" xfId="0" applyFont="1" applyFill="1" applyBorder="1" applyAlignment="1">
      <alignment horizontal="center"/>
    </xf>
    <xf numFmtId="0" fontId="14" fillId="16" borderId="12" xfId="0" applyFont="1" applyFill="1" applyBorder="1" applyAlignment="1">
      <alignment horizontal="center"/>
    </xf>
    <xf numFmtId="1" fontId="47" fillId="16" borderId="3" xfId="1" applyNumberFormat="1" applyFont="1" applyFill="1" applyBorder="1"/>
    <xf numFmtId="0" fontId="10" fillId="16" borderId="15" xfId="1" applyFont="1" applyFill="1" applyBorder="1" applyAlignment="1">
      <alignment horizontal="center"/>
    </xf>
    <xf numFmtId="0" fontId="10" fillId="16" borderId="0" xfId="1" applyFont="1" applyFill="1"/>
    <xf numFmtId="1" fontId="0" fillId="16" borderId="3" xfId="0" applyNumberFormat="1" applyFill="1" applyBorder="1" applyAlignment="1">
      <alignment horizontal="center"/>
    </xf>
    <xf numFmtId="0" fontId="0" fillId="16" borderId="0" xfId="0" applyFill="1"/>
    <xf numFmtId="1" fontId="11" fillId="16" borderId="3" xfId="1" applyNumberFormat="1" applyFont="1" applyFill="1" applyBorder="1" applyAlignment="1">
      <alignment horizontal="center"/>
    </xf>
    <xf numFmtId="0" fontId="10" fillId="16" borderId="12" xfId="1" applyFont="1" applyFill="1" applyBorder="1" applyAlignment="1">
      <alignment horizontal="center"/>
    </xf>
    <xf numFmtId="1" fontId="0" fillId="16" borderId="0" xfId="0" applyNumberForma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14" fillId="16" borderId="34" xfId="0" applyFont="1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49" fontId="10" fillId="0" borderId="12" xfId="1" applyNumberFormat="1" applyFont="1" applyBorder="1" applyAlignment="1">
      <alignment horizontal="right"/>
    </xf>
    <xf numFmtId="49" fontId="47" fillId="0" borderId="45" xfId="1" applyNumberFormat="1" applyFont="1" applyBorder="1" applyAlignment="1">
      <alignment horizontal="center"/>
    </xf>
    <xf numFmtId="16" fontId="11" fillId="0" borderId="19" xfId="1" applyNumberFormat="1" applyFont="1" applyBorder="1" applyAlignment="1">
      <alignment horizontal="center"/>
    </xf>
    <xf numFmtId="1" fontId="10" fillId="0" borderId="12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0" fontId="10" fillId="0" borderId="0" xfId="1" applyFont="1"/>
    <xf numFmtId="0" fontId="10" fillId="2" borderId="0" xfId="1" applyFont="1" applyFill="1" applyAlignment="1">
      <alignment horizontal="left" indent="1"/>
    </xf>
    <xf numFmtId="0" fontId="10" fillId="3" borderId="21" xfId="1" applyFont="1" applyFill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47" fillId="0" borderId="3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2" borderId="0" xfId="1" applyFont="1" applyFill="1" applyAlignment="1">
      <alignment horizontal="center"/>
    </xf>
    <xf numFmtId="9" fontId="10" fillId="2" borderId="0" xfId="3" applyFont="1" applyFill="1"/>
    <xf numFmtId="1" fontId="10" fillId="0" borderId="3" xfId="1" applyNumberFormat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55" fillId="2" borderId="18" xfId="1" applyFont="1" applyFill="1" applyBorder="1" applyAlignment="1">
      <alignment horizontal="left" vertical="center"/>
    </xf>
    <xf numFmtId="0" fontId="55" fillId="2" borderId="29" xfId="1" applyFont="1" applyFill="1" applyBorder="1" applyAlignment="1">
      <alignment horizontal="left" vertical="center"/>
    </xf>
    <xf numFmtId="0" fontId="55" fillId="2" borderId="29" xfId="1" applyFont="1" applyFill="1" applyBorder="1" applyAlignment="1">
      <alignment vertical="center"/>
    </xf>
    <xf numFmtId="0" fontId="10" fillId="2" borderId="29" xfId="1" applyFont="1" applyFill="1" applyBorder="1"/>
    <xf numFmtId="0" fontId="10" fillId="2" borderId="19" xfId="1" applyFont="1" applyFill="1" applyBorder="1"/>
    <xf numFmtId="0" fontId="10" fillId="2" borderId="18" xfId="1" applyFont="1" applyFill="1" applyBorder="1"/>
    <xf numFmtId="0" fontId="10" fillId="2" borderId="3" xfId="0" applyFont="1" applyFill="1" applyBorder="1"/>
    <xf numFmtId="0" fontId="10" fillId="2" borderId="2" xfId="2" applyFont="1" applyFill="1" applyBorder="1" applyAlignment="1">
      <alignment horizontal="center"/>
    </xf>
    <xf numFmtId="0" fontId="10" fillId="2" borderId="0" xfId="0" applyFont="1" applyFill="1"/>
    <xf numFmtId="0" fontId="47" fillId="3" borderId="2" xfId="0" applyFont="1" applyFill="1" applyBorder="1" applyAlignment="1">
      <alignment horizontal="center" vertical="center" wrapText="1"/>
    </xf>
    <xf numFmtId="1" fontId="47" fillId="3" borderId="5" xfId="0" applyNumberFormat="1" applyFont="1" applyFill="1" applyBorder="1" applyAlignment="1">
      <alignment horizontal="center"/>
    </xf>
    <xf numFmtId="1" fontId="47" fillId="3" borderId="5" xfId="0" applyNumberFormat="1" applyFont="1" applyFill="1" applyBorder="1" applyAlignment="1">
      <alignment horizontal="center" wrapText="1"/>
    </xf>
    <xf numFmtId="0" fontId="47" fillId="3" borderId="53" xfId="0" applyFont="1" applyFill="1" applyBorder="1" applyAlignment="1">
      <alignment horizontal="center"/>
    </xf>
    <xf numFmtId="0" fontId="47" fillId="7" borderId="3" xfId="0" applyFont="1" applyFill="1" applyBorder="1" applyAlignment="1">
      <alignment horizontal="center"/>
    </xf>
    <xf numFmtId="49" fontId="10" fillId="0" borderId="19" xfId="0" applyNumberFormat="1" applyFont="1" applyBorder="1" applyAlignment="1">
      <alignment horizontal="center"/>
    </xf>
    <xf numFmtId="49" fontId="47" fillId="0" borderId="3" xfId="0" applyNumberFormat="1" applyFont="1" applyBorder="1"/>
    <xf numFmtId="0" fontId="47" fillId="5" borderId="4" xfId="0" applyFont="1" applyFill="1" applyBorder="1" applyAlignment="1">
      <alignment horizontal="center"/>
    </xf>
    <xf numFmtId="16" fontId="11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49" fontId="11" fillId="0" borderId="52" xfId="0" applyNumberFormat="1" applyFont="1" applyBorder="1" applyAlignment="1">
      <alignment horizontal="center"/>
    </xf>
    <xf numFmtId="49" fontId="13" fillId="0" borderId="17" xfId="0" applyNumberFormat="1" applyFont="1" applyBorder="1"/>
    <xf numFmtId="16" fontId="11" fillId="0" borderId="17" xfId="0" applyNumberFormat="1" applyFont="1" applyBorder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17" xfId="0" applyNumberFormat="1" applyFont="1" applyBorder="1" applyAlignment="1">
      <alignment horizontal="center" wrapText="1"/>
    </xf>
    <xf numFmtId="1" fontId="10" fillId="0" borderId="38" xfId="0" applyNumberFormat="1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49" fontId="11" fillId="5" borderId="46" xfId="0" applyNumberFormat="1" applyFont="1" applyFill="1" applyBorder="1" applyAlignment="1">
      <alignment horizontal="center"/>
    </xf>
    <xf numFmtId="49" fontId="11" fillId="5" borderId="47" xfId="0" applyNumberFormat="1" applyFont="1" applyFill="1" applyBorder="1" applyAlignment="1">
      <alignment horizontal="center"/>
    </xf>
    <xf numFmtId="49" fontId="13" fillId="5" borderId="47" xfId="0" applyNumberFormat="1" applyFont="1" applyFill="1" applyBorder="1"/>
    <xf numFmtId="16" fontId="11" fillId="5" borderId="47" xfId="0" applyNumberFormat="1" applyFont="1" applyFill="1" applyBorder="1" applyAlignment="1">
      <alignment horizontal="center"/>
    </xf>
    <xf numFmtId="1" fontId="14" fillId="5" borderId="47" xfId="0" applyNumberFormat="1" applyFont="1" applyFill="1" applyBorder="1" applyAlignment="1">
      <alignment horizontal="center"/>
    </xf>
    <xf numFmtId="1" fontId="14" fillId="5" borderId="47" xfId="0" applyNumberFormat="1" applyFont="1" applyFill="1" applyBorder="1" applyAlignment="1">
      <alignment horizontal="center" wrapText="1"/>
    </xf>
    <xf numFmtId="1" fontId="10" fillId="5" borderId="47" xfId="0" applyNumberFormat="1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10" fillId="5" borderId="64" xfId="0" applyFont="1" applyFill="1" applyBorder="1" applyAlignment="1">
      <alignment horizontal="center"/>
    </xf>
    <xf numFmtId="49" fontId="11" fillId="5" borderId="7" xfId="0" applyNumberFormat="1" applyFont="1" applyFill="1" applyBorder="1" applyAlignment="1">
      <alignment horizontal="center"/>
    </xf>
    <xf numFmtId="49" fontId="11" fillId="5" borderId="0" xfId="0" applyNumberFormat="1" applyFont="1" applyFill="1" applyAlignment="1">
      <alignment horizontal="center"/>
    </xf>
    <xf numFmtId="49" fontId="13" fillId="5" borderId="0" xfId="0" applyNumberFormat="1" applyFont="1" applyFill="1"/>
    <xf numFmtId="16" fontId="11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 wrapText="1"/>
    </xf>
    <xf numFmtId="1" fontId="10" fillId="5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20" xfId="0" quotePrefix="1" applyFont="1" applyFill="1" applyBorder="1" applyAlignment="1">
      <alignment horizontal="right"/>
    </xf>
    <xf numFmtId="0" fontId="10" fillId="5" borderId="21" xfId="0" quotePrefix="1" applyFont="1" applyFill="1" applyBorder="1" applyAlignment="1">
      <alignment horizontal="right"/>
    </xf>
    <xf numFmtId="0" fontId="10" fillId="5" borderId="21" xfId="0" quotePrefix="1" applyFont="1" applyFill="1" applyBorder="1"/>
    <xf numFmtId="0" fontId="11" fillId="5" borderId="21" xfId="0" applyFont="1" applyFill="1" applyBorder="1"/>
    <xf numFmtId="1" fontId="10" fillId="5" borderId="21" xfId="0" applyNumberFormat="1" applyFont="1" applyFill="1" applyBorder="1" applyAlignment="1">
      <alignment horizontal="center" wrapText="1"/>
    </xf>
    <xf numFmtId="0" fontId="10" fillId="5" borderId="22" xfId="0" applyFont="1" applyFill="1" applyBorder="1" applyAlignment="1">
      <alignment horizontal="center"/>
    </xf>
    <xf numFmtId="49" fontId="55" fillId="2" borderId="7" xfId="0" applyNumberFormat="1" applyFont="1" applyFill="1" applyBorder="1" applyAlignment="1">
      <alignment horizontal="center" vertical="center"/>
    </xf>
    <xf numFmtId="49" fontId="55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 wrapText="1"/>
    </xf>
    <xf numFmtId="0" fontId="10" fillId="2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left" indent="1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0" xfId="0" applyFont="1" applyFill="1" applyBorder="1"/>
    <xf numFmtId="0" fontId="47" fillId="3" borderId="10" xfId="0" applyFont="1" applyFill="1" applyBorder="1" applyAlignment="1">
      <alignment horizontal="center"/>
    </xf>
    <xf numFmtId="1" fontId="47" fillId="3" borderId="10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10" fillId="2" borderId="18" xfId="0" applyFont="1" applyFill="1" applyBorder="1"/>
    <xf numFmtId="0" fontId="10" fillId="2" borderId="29" xfId="0" applyFont="1" applyFill="1" applyBorder="1"/>
    <xf numFmtId="0" fontId="10" fillId="2" borderId="19" xfId="0" applyFont="1" applyFill="1" applyBorder="1"/>
    <xf numFmtId="0" fontId="55" fillId="2" borderId="29" xfId="0" applyFont="1" applyFill="1" applyBorder="1" applyAlignment="1">
      <alignment vertical="center"/>
    </xf>
    <xf numFmtId="0" fontId="10" fillId="2" borderId="13" xfId="0" applyFont="1" applyFill="1" applyBorder="1"/>
    <xf numFmtId="0" fontId="10" fillId="2" borderId="31" xfId="0" applyFont="1" applyFill="1" applyBorder="1"/>
    <xf numFmtId="0" fontId="10" fillId="2" borderId="34" xfId="0" applyFont="1" applyFill="1" applyBorder="1"/>
    <xf numFmtId="0" fontId="1" fillId="0" borderId="0" xfId="1"/>
    <xf numFmtId="0" fontId="3" fillId="3" borderId="2" xfId="1" applyFont="1" applyFill="1" applyBorder="1" applyAlignment="1">
      <alignment horizontal="center" vertical="center" wrapText="1"/>
    </xf>
    <xf numFmtId="1" fontId="3" fillId="3" borderId="5" xfId="1" applyNumberFormat="1" applyFont="1" applyFill="1" applyBorder="1" applyAlignment="1">
      <alignment horizontal="center"/>
    </xf>
    <xf numFmtId="1" fontId="3" fillId="3" borderId="5" xfId="1" applyNumberFormat="1" applyFont="1" applyFill="1" applyBorder="1" applyAlignment="1">
      <alignment horizontal="center" wrapText="1"/>
    </xf>
    <xf numFmtId="0" fontId="1" fillId="0" borderId="3" xfId="1" applyBorder="1" applyAlignment="1">
      <alignment horizontal="center"/>
    </xf>
    <xf numFmtId="0" fontId="3" fillId="3" borderId="16" xfId="1" applyFont="1" applyFill="1" applyBorder="1" applyAlignment="1">
      <alignment horizontal="center"/>
    </xf>
    <xf numFmtId="0" fontId="69" fillId="2" borderId="2" xfId="2" applyFont="1" applyFill="1" applyBorder="1" applyAlignment="1">
      <alignment horizontal="center"/>
    </xf>
    <xf numFmtId="0" fontId="46" fillId="2" borderId="1" xfId="2" applyFont="1" applyFill="1" applyBorder="1" applyAlignment="1">
      <alignment horizontal="right"/>
    </xf>
    <xf numFmtId="0" fontId="46" fillId="2" borderId="3" xfId="2" applyFont="1" applyFill="1" applyBorder="1" applyAlignment="1">
      <alignment horizontal="right"/>
    </xf>
    <xf numFmtId="49" fontId="69" fillId="2" borderId="4" xfId="2" applyNumberFormat="1" applyFont="1" applyFill="1" applyBorder="1" applyAlignment="1">
      <alignment horizontal="center"/>
    </xf>
    <xf numFmtId="0" fontId="69" fillId="2" borderId="12" xfId="2" applyFont="1" applyFill="1" applyBorder="1" applyAlignment="1">
      <alignment horizontal="right"/>
    </xf>
    <xf numFmtId="0" fontId="69" fillId="2" borderId="3" xfId="2" applyFont="1" applyFill="1" applyBorder="1" applyAlignment="1">
      <alignment horizontal="right"/>
    </xf>
    <xf numFmtId="14" fontId="71" fillId="2" borderId="0" xfId="2" applyNumberFormat="1" applyFont="1" applyFill="1" applyAlignment="1">
      <alignment horizontal="center" vertical="center" wrapText="1"/>
    </xf>
    <xf numFmtId="0" fontId="46" fillId="3" borderId="2" xfId="1" applyFont="1" applyFill="1" applyBorder="1" applyAlignment="1">
      <alignment horizontal="center" vertical="center" wrapText="1"/>
    </xf>
    <xf numFmtId="1" fontId="46" fillId="3" borderId="5" xfId="1" applyNumberFormat="1" applyFont="1" applyFill="1" applyBorder="1" applyAlignment="1">
      <alignment horizontal="center"/>
    </xf>
    <xf numFmtId="1" fontId="46" fillId="3" borderId="5" xfId="1" applyNumberFormat="1" applyFont="1" applyFill="1" applyBorder="1" applyAlignment="1">
      <alignment horizontal="center" wrapText="1"/>
    </xf>
    <xf numFmtId="0" fontId="46" fillId="3" borderId="16" xfId="1" applyFont="1" applyFill="1" applyBorder="1" applyAlignment="1">
      <alignment horizontal="center"/>
    </xf>
    <xf numFmtId="0" fontId="51" fillId="0" borderId="6" xfId="1" applyFont="1" applyBorder="1" applyAlignment="1">
      <alignment horizontal="center" vertical="center"/>
    </xf>
    <xf numFmtId="0" fontId="51" fillId="0" borderId="19" xfId="1" applyFont="1" applyBorder="1" applyAlignment="1">
      <alignment horizontal="center" vertical="center"/>
    </xf>
    <xf numFmtId="0" fontId="53" fillId="0" borderId="3" xfId="1" applyFont="1" applyBorder="1" applyAlignment="1">
      <alignment vertical="center"/>
    </xf>
    <xf numFmtId="0" fontId="51" fillId="0" borderId="3" xfId="1" applyFont="1" applyBorder="1" applyAlignment="1">
      <alignment horizontal="center" vertical="center"/>
    </xf>
    <xf numFmtId="1" fontId="51" fillId="0" borderId="3" xfId="1" applyNumberFormat="1" applyFont="1" applyBorder="1" applyAlignment="1">
      <alignment horizontal="center"/>
    </xf>
    <xf numFmtId="1" fontId="51" fillId="0" borderId="3" xfId="1" applyNumberFormat="1" applyFont="1" applyBorder="1" applyAlignment="1">
      <alignment horizontal="center" wrapText="1"/>
    </xf>
    <xf numFmtId="0" fontId="14" fillId="0" borderId="4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6" fontId="14" fillId="0" borderId="3" xfId="0" applyNumberFormat="1" applyFont="1" applyBorder="1" applyAlignment="1">
      <alignment horizontal="center"/>
    </xf>
    <xf numFmtId="1" fontId="14" fillId="0" borderId="12" xfId="1" applyNumberFormat="1" applyFont="1" applyBorder="1" applyAlignment="1">
      <alignment horizontal="center"/>
    </xf>
    <xf numFmtId="12" fontId="69" fillId="0" borderId="12" xfId="0" applyNumberFormat="1" applyFont="1" applyBorder="1" applyAlignment="1">
      <alignment horizontal="center"/>
    </xf>
    <xf numFmtId="169" fontId="14" fillId="0" borderId="3" xfId="1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2" fontId="51" fillId="0" borderId="3" xfId="1" applyNumberFormat="1" applyFont="1" applyBorder="1" applyAlignment="1">
      <alignment horizontal="center"/>
    </xf>
    <xf numFmtId="0" fontId="72" fillId="5" borderId="3" xfId="0" applyFont="1" applyFill="1" applyBorder="1" applyAlignment="1">
      <alignment horizontal="center"/>
    </xf>
    <xf numFmtId="0" fontId="73" fillId="5" borderId="3" xfId="0" applyFont="1" applyFill="1" applyBorder="1" applyAlignment="1">
      <alignment vertical="center"/>
    </xf>
    <xf numFmtId="0" fontId="69" fillId="5" borderId="3" xfId="0" applyFont="1" applyFill="1" applyBorder="1" applyAlignment="1">
      <alignment horizontal="center"/>
    </xf>
    <xf numFmtId="1" fontId="46" fillId="5" borderId="3" xfId="0" applyNumberFormat="1" applyFont="1" applyFill="1" applyBorder="1" applyAlignment="1">
      <alignment horizontal="center"/>
    </xf>
    <xf numFmtId="1" fontId="69" fillId="5" borderId="3" xfId="0" applyNumberFormat="1" applyFont="1" applyFill="1" applyBorder="1" applyAlignment="1">
      <alignment horizontal="center" wrapText="1"/>
    </xf>
    <xf numFmtId="16" fontId="14" fillId="0" borderId="19" xfId="0" applyNumberFormat="1" applyFont="1" applyBorder="1" applyAlignment="1">
      <alignment horizontal="center"/>
    </xf>
    <xf numFmtId="49" fontId="14" fillId="0" borderId="6" xfId="1" applyNumberFormat="1" applyFont="1" applyBorder="1" applyAlignment="1">
      <alignment horizontal="center"/>
    </xf>
    <xf numFmtId="49" fontId="14" fillId="0" borderId="19" xfId="1" applyNumberFormat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/>
    <xf numFmtId="16" fontId="69" fillId="5" borderId="3" xfId="0" applyNumberFormat="1" applyFont="1" applyFill="1" applyBorder="1" applyAlignment="1">
      <alignment horizontal="center"/>
    </xf>
    <xf numFmtId="0" fontId="74" fillId="5" borderId="3" xfId="0" applyFont="1" applyFill="1" applyBorder="1" applyAlignment="1">
      <alignment horizontal="center" vertical="center"/>
    </xf>
    <xf numFmtId="0" fontId="74" fillId="17" borderId="3" xfId="0" applyFont="1" applyFill="1" applyBorder="1"/>
    <xf numFmtId="0" fontId="69" fillId="5" borderId="19" xfId="0" applyFont="1" applyFill="1" applyBorder="1" applyAlignment="1">
      <alignment horizontal="center"/>
    </xf>
    <xf numFmtId="1" fontId="69" fillId="5" borderId="12" xfId="0" applyNumberFormat="1" applyFont="1" applyFill="1" applyBorder="1" applyAlignment="1">
      <alignment horizontal="center"/>
    </xf>
    <xf numFmtId="1" fontId="69" fillId="5" borderId="12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69" fillId="0" borderId="3" xfId="0" applyNumberFormat="1" applyFont="1" applyBorder="1" applyAlignment="1">
      <alignment horizontal="center"/>
    </xf>
    <xf numFmtId="1" fontId="69" fillId="0" borderId="12" xfId="0" applyNumberFormat="1" applyFont="1" applyBorder="1" applyAlignment="1">
      <alignment horizontal="center"/>
    </xf>
    <xf numFmtId="1" fontId="69" fillId="0" borderId="12" xfId="0" applyNumberFormat="1" applyFont="1" applyBorder="1" applyAlignment="1">
      <alignment horizontal="center" wrapText="1"/>
    </xf>
    <xf numFmtId="1" fontId="69" fillId="0" borderId="3" xfId="0" applyNumberFormat="1" applyFont="1" applyBorder="1" applyAlignment="1">
      <alignment horizontal="center"/>
    </xf>
    <xf numFmtId="1" fontId="69" fillId="0" borderId="3" xfId="0" applyNumberFormat="1" applyFont="1" applyBorder="1" applyAlignment="1">
      <alignment horizontal="center" wrapText="1"/>
    </xf>
    <xf numFmtId="49" fontId="51" fillId="0" borderId="28" xfId="1" applyNumberFormat="1" applyFont="1" applyBorder="1" applyAlignment="1">
      <alignment horizontal="center"/>
    </xf>
    <xf numFmtId="49" fontId="51" fillId="0" borderId="29" xfId="1" applyNumberFormat="1" applyFont="1" applyBorder="1" applyAlignment="1">
      <alignment horizontal="center"/>
    </xf>
    <xf numFmtId="0" fontId="51" fillId="0" borderId="19" xfId="1" applyFont="1" applyBorder="1" applyAlignment="1">
      <alignment horizontal="center"/>
    </xf>
    <xf numFmtId="169" fontId="51" fillId="0" borderId="3" xfId="1" applyNumberFormat="1" applyFont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3" xfId="0" applyFont="1" applyFill="1" applyBorder="1"/>
    <xf numFmtId="0" fontId="14" fillId="5" borderId="12" xfId="0" applyFont="1" applyFill="1" applyBorder="1" applyAlignment="1">
      <alignment horizontal="center"/>
    </xf>
    <xf numFmtId="0" fontId="69" fillId="5" borderId="12" xfId="0" applyFont="1" applyFill="1" applyBorder="1" applyAlignment="1">
      <alignment horizontal="center"/>
    </xf>
    <xf numFmtId="170" fontId="46" fillId="5" borderId="3" xfId="4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wrapText="1"/>
    </xf>
    <xf numFmtId="12" fontId="14" fillId="0" borderId="3" xfId="1" applyNumberFormat="1" applyFont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75" fillId="5" borderId="0" xfId="0" applyFont="1" applyFill="1" applyAlignment="1">
      <alignment horizontal="center"/>
    </xf>
    <xf numFmtId="1" fontId="14" fillId="0" borderId="3" xfId="1" applyNumberFormat="1" applyFont="1" applyBorder="1" applyAlignment="1">
      <alignment horizontal="center"/>
    </xf>
    <xf numFmtId="49" fontId="14" fillId="0" borderId="3" xfId="1" applyNumberFormat="1" applyFont="1" applyBorder="1"/>
    <xf numFmtId="49" fontId="76" fillId="2" borderId="7" xfId="1" applyNumberFormat="1" applyFont="1" applyFill="1" applyBorder="1" applyAlignment="1">
      <alignment horizontal="center" vertical="center"/>
    </xf>
    <xf numFmtId="49" fontId="76" fillId="2" borderId="0" xfId="1" applyNumberFormat="1" applyFont="1" applyFill="1" applyAlignment="1">
      <alignment horizontal="center" vertical="center"/>
    </xf>
    <xf numFmtId="0" fontId="69" fillId="2" borderId="0" xfId="1" applyFont="1" applyFill="1"/>
    <xf numFmtId="1" fontId="69" fillId="2" borderId="0" xfId="1" applyNumberFormat="1" applyFont="1" applyFill="1" applyAlignment="1">
      <alignment horizontal="center"/>
    </xf>
    <xf numFmtId="164" fontId="69" fillId="2" borderId="0" xfId="1" applyNumberFormat="1" applyFont="1" applyFill="1" applyAlignment="1">
      <alignment horizontal="center" wrapText="1"/>
    </xf>
    <xf numFmtId="0" fontId="69" fillId="2" borderId="8" xfId="1" applyFont="1" applyFill="1" applyBorder="1" applyAlignment="1">
      <alignment horizontal="center"/>
    </xf>
    <xf numFmtId="0" fontId="69" fillId="3" borderId="9" xfId="1" applyFont="1" applyFill="1" applyBorder="1" applyAlignment="1">
      <alignment horizontal="center"/>
    </xf>
    <xf numFmtId="0" fontId="69" fillId="3" borderId="10" xfId="1" applyFont="1" applyFill="1" applyBorder="1" applyAlignment="1">
      <alignment horizontal="center"/>
    </xf>
    <xf numFmtId="0" fontId="69" fillId="3" borderId="10" xfId="1" applyFont="1" applyFill="1" applyBorder="1"/>
    <xf numFmtId="0" fontId="46" fillId="3" borderId="10" xfId="1" applyFont="1" applyFill="1" applyBorder="1" applyAlignment="1">
      <alignment horizontal="center"/>
    </xf>
    <xf numFmtId="1" fontId="46" fillId="3" borderId="10" xfId="1" applyNumberFormat="1" applyFont="1" applyFill="1" applyBorder="1" applyAlignment="1">
      <alignment horizontal="center"/>
    </xf>
    <xf numFmtId="164" fontId="69" fillId="3" borderId="10" xfId="1" applyNumberFormat="1" applyFont="1" applyFill="1" applyBorder="1" applyAlignment="1">
      <alignment horizontal="center" wrapText="1"/>
    </xf>
    <xf numFmtId="0" fontId="69" fillId="3" borderId="11" xfId="1" applyFont="1" applyFill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1" fontId="69" fillId="0" borderId="5" xfId="0" applyNumberFormat="1" applyFont="1" applyBorder="1" applyAlignment="1">
      <alignment horizontal="center"/>
    </xf>
    <xf numFmtId="0" fontId="69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6" fontId="11" fillId="5" borderId="12" xfId="0" applyNumberFormat="1" applyFont="1" applyFill="1" applyBorder="1" applyAlignment="1">
      <alignment horizontal="center"/>
    </xf>
    <xf numFmtId="1" fontId="11" fillId="5" borderId="12" xfId="0" applyNumberFormat="1" applyFont="1" applyFill="1" applyBorder="1" applyAlignment="1">
      <alignment horizontal="center"/>
    </xf>
    <xf numFmtId="1" fontId="11" fillId="0" borderId="12" xfId="0" applyNumberFormat="1" applyFont="1" applyBorder="1" applyAlignment="1">
      <alignment horizontal="center" wrapText="1"/>
    </xf>
    <xf numFmtId="2" fontId="49" fillId="0" borderId="3" xfId="1" applyNumberFormat="1" applyFont="1" applyBorder="1" applyAlignment="1">
      <alignment horizontal="center"/>
    </xf>
    <xf numFmtId="16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164" fontId="11" fillId="0" borderId="3" xfId="0" applyNumberFormat="1" applyFont="1" applyBorder="1" applyAlignment="1">
      <alignment horizontal="center" wrapText="1"/>
    </xf>
    <xf numFmtId="0" fontId="0" fillId="5" borderId="3" xfId="0" applyFill="1" applyBorder="1"/>
    <xf numFmtId="0" fontId="1" fillId="0" borderId="6" xfId="7" applyBorder="1" applyAlignment="1">
      <alignment horizontal="center"/>
    </xf>
    <xf numFmtId="0" fontId="1" fillId="5" borderId="3" xfId="7" applyFill="1" applyBorder="1"/>
    <xf numFmtId="16" fontId="11" fillId="0" borderId="3" xfId="7" applyNumberFormat="1" applyFont="1" applyBorder="1" applyAlignment="1">
      <alignment horizontal="center"/>
    </xf>
    <xf numFmtId="0" fontId="1" fillId="0" borderId="3" xfId="7" applyBorder="1" applyAlignment="1">
      <alignment horizontal="center"/>
    </xf>
    <xf numFmtId="1" fontId="11" fillId="0" borderId="3" xfId="7" applyNumberFormat="1" applyFont="1" applyBorder="1" applyAlignment="1">
      <alignment horizontal="center"/>
    </xf>
    <xf numFmtId="1" fontId="11" fillId="0" borderId="3" xfId="7" applyNumberFormat="1" applyFont="1" applyBorder="1" applyAlignment="1">
      <alignment horizontal="center" wrapText="1"/>
    </xf>
    <xf numFmtId="1" fontId="0" fillId="0" borderId="3" xfId="0" applyNumberForma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5" borderId="6" xfId="1" applyNumberFormat="1" applyFont="1" applyFill="1" applyBorder="1" applyAlignment="1">
      <alignment horizontal="center"/>
    </xf>
    <xf numFmtId="49" fontId="11" fillId="5" borderId="19" xfId="1" applyNumberFormat="1" applyFont="1" applyFill="1" applyBorder="1" applyAlignment="1">
      <alignment horizontal="center"/>
    </xf>
    <xf numFmtId="49" fontId="13" fillId="5" borderId="3" xfId="1" applyNumberFormat="1" applyFont="1" applyFill="1" applyBorder="1"/>
    <xf numFmtId="0" fontId="0" fillId="5" borderId="3" xfId="0" applyFill="1" applyBorder="1" applyAlignment="1">
      <alignment horizontal="center"/>
    </xf>
    <xf numFmtId="49" fontId="13" fillId="0" borderId="3" xfId="1" applyNumberFormat="1" applyFont="1" applyBorder="1"/>
    <xf numFmtId="9" fontId="10" fillId="2" borderId="0" xfId="8" applyFont="1" applyFill="1"/>
    <xf numFmtId="0" fontId="4" fillId="2" borderId="0" xfId="2" applyFont="1" applyFill="1"/>
    <xf numFmtId="0" fontId="3" fillId="2" borderId="3" xfId="2" applyFont="1" applyFill="1" applyBorder="1" applyAlignment="1">
      <alignment horizontal="right" vertical="top" wrapText="1"/>
    </xf>
    <xf numFmtId="0" fontId="3" fillId="2" borderId="5" xfId="2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20" xfId="1" applyFont="1" applyBorder="1" applyAlignment="1">
      <alignment horizontal="left"/>
    </xf>
    <xf numFmtId="0" fontId="6" fillId="0" borderId="21" xfId="1" applyFont="1" applyBorder="1" applyAlignment="1">
      <alignment horizontal="left"/>
    </xf>
    <xf numFmtId="0" fontId="6" fillId="0" borderId="22" xfId="1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9" fillId="0" borderId="28" xfId="0" applyFont="1" applyBorder="1" applyAlignment="1">
      <alignment horizontal="left" wrapText="1"/>
    </xf>
    <xf numFmtId="0" fontId="9" fillId="0" borderId="29" xfId="0" applyFont="1" applyBorder="1" applyAlignment="1">
      <alignment horizontal="left" wrapText="1"/>
    </xf>
    <xf numFmtId="0" fontId="6" fillId="0" borderId="30" xfId="1" applyFont="1" applyBorder="1" applyAlignment="1">
      <alignment horizontal="left" wrapText="1"/>
    </xf>
    <xf numFmtId="0" fontId="6" fillId="0" borderId="31" xfId="1" applyFont="1" applyBorder="1" applyAlignment="1">
      <alignment horizontal="left" wrapText="1"/>
    </xf>
    <xf numFmtId="0" fontId="6" fillId="0" borderId="32" xfId="1" applyFont="1" applyBorder="1" applyAlignment="1">
      <alignment horizontal="left" wrapText="1"/>
    </xf>
    <xf numFmtId="164" fontId="1" fillId="0" borderId="18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0" fontId="3" fillId="0" borderId="2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8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0" fontId="3" fillId="0" borderId="30" xfId="0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1" fillId="2" borderId="6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left"/>
    </xf>
    <xf numFmtId="14" fontId="1" fillId="2" borderId="4" xfId="2" applyNumberFormat="1" applyFont="1" applyFill="1" applyBorder="1" applyAlignment="1">
      <alignment horizontal="center" vertical="center" wrapText="1"/>
    </xf>
    <xf numFmtId="14" fontId="1" fillId="2" borderId="16" xfId="2" applyNumberFormat="1" applyFont="1" applyFill="1" applyBorder="1" applyAlignment="1">
      <alignment horizontal="center" vertical="center" wrapText="1"/>
    </xf>
    <xf numFmtId="0" fontId="1" fillId="2" borderId="5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right"/>
    </xf>
    <xf numFmtId="0" fontId="16" fillId="2" borderId="21" xfId="2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right" vertical="center" wrapText="1"/>
    </xf>
    <xf numFmtId="0" fontId="35" fillId="0" borderId="3" xfId="0" applyFont="1" applyBorder="1" applyAlignment="1">
      <alignment horizontal="right" vertical="center"/>
    </xf>
    <xf numFmtId="0" fontId="36" fillId="0" borderId="7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8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7" fillId="0" borderId="46" xfId="0" applyFont="1" applyBorder="1" applyAlignment="1">
      <alignment horizontal="right"/>
    </xf>
    <xf numFmtId="0" fontId="27" fillId="0" borderId="47" xfId="0" applyFont="1" applyBorder="1" applyAlignment="1">
      <alignment horizontal="right"/>
    </xf>
    <xf numFmtId="0" fontId="13" fillId="0" borderId="3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43" fillId="0" borderId="9" xfId="0" applyFont="1" applyBorder="1" applyAlignment="1">
      <alignment horizontal="right" vertical="center"/>
    </xf>
    <xf numFmtId="0" fontId="43" fillId="0" borderId="10" xfId="0" applyFont="1" applyBorder="1" applyAlignment="1">
      <alignment horizontal="right" vertical="center"/>
    </xf>
    <xf numFmtId="0" fontId="43" fillId="0" borderId="11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4" fillId="0" borderId="21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2" fillId="8" borderId="9" xfId="0" applyFont="1" applyFill="1" applyBorder="1" applyAlignment="1">
      <alignment horizontal="right"/>
    </xf>
    <xf numFmtId="0" fontId="32" fillId="8" borderId="10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2" fillId="0" borderId="21" xfId="0" applyFont="1" applyBorder="1" applyAlignment="1">
      <alignment horizontal="right" vertical="center"/>
    </xf>
    <xf numFmtId="0" fontId="12" fillId="0" borderId="22" xfId="0" applyFont="1" applyBorder="1" applyAlignment="1">
      <alignment horizontal="right" vertical="center"/>
    </xf>
    <xf numFmtId="0" fontId="12" fillId="10" borderId="9" xfId="0" applyFont="1" applyFill="1" applyBorder="1" applyAlignment="1">
      <alignment horizontal="right" vertical="center"/>
    </xf>
    <xf numFmtId="0" fontId="12" fillId="10" borderId="10" xfId="0" applyFont="1" applyFill="1" applyBorder="1" applyAlignment="1">
      <alignment horizontal="right" vertical="center"/>
    </xf>
    <xf numFmtId="0" fontId="12" fillId="10" borderId="11" xfId="0" applyFont="1" applyFill="1" applyBorder="1" applyAlignment="1">
      <alignment horizontal="right" vertical="center"/>
    </xf>
    <xf numFmtId="4" fontId="41" fillId="0" borderId="0" xfId="5" applyNumberFormat="1" applyFont="1" applyFill="1" applyAlignment="1">
      <alignment horizontal="center" vertical="center" wrapText="1"/>
    </xf>
    <xf numFmtId="0" fontId="6" fillId="0" borderId="30" xfId="1" applyFont="1" applyBorder="1" applyAlignment="1">
      <alignment horizontal="left"/>
    </xf>
    <xf numFmtId="0" fontId="6" fillId="0" borderId="31" xfId="1" applyFont="1" applyBorder="1" applyAlignment="1">
      <alignment horizontal="left"/>
    </xf>
    <xf numFmtId="0" fontId="6" fillId="0" borderId="32" xfId="1" applyFont="1" applyBorder="1" applyAlignment="1">
      <alignment horizontal="left"/>
    </xf>
    <xf numFmtId="14" fontId="69" fillId="2" borderId="53" xfId="2" applyNumberFormat="1" applyFont="1" applyFill="1" applyBorder="1" applyAlignment="1">
      <alignment horizontal="center" vertical="center" wrapText="1"/>
    </xf>
    <xf numFmtId="14" fontId="69" fillId="2" borderId="54" xfId="2" applyNumberFormat="1" applyFont="1" applyFill="1" applyBorder="1" applyAlignment="1">
      <alignment horizontal="center" vertical="center" wrapText="1"/>
    </xf>
    <xf numFmtId="14" fontId="69" fillId="2" borderId="15" xfId="2" applyNumberFormat="1" applyFont="1" applyFill="1" applyBorder="1" applyAlignment="1">
      <alignment horizontal="center" vertical="center" wrapText="1"/>
    </xf>
    <xf numFmtId="0" fontId="69" fillId="2" borderId="36" xfId="2" applyFont="1" applyFill="1" applyBorder="1" applyAlignment="1">
      <alignment horizontal="left"/>
    </xf>
    <xf numFmtId="0" fontId="69" fillId="2" borderId="27" xfId="2" applyFont="1" applyFill="1" applyBorder="1" applyAlignment="1">
      <alignment horizontal="left"/>
    </xf>
    <xf numFmtId="0" fontId="69" fillId="2" borderId="37" xfId="2" applyFont="1" applyFill="1" applyBorder="1" applyAlignment="1">
      <alignment horizontal="left"/>
    </xf>
    <xf numFmtId="0" fontId="69" fillId="2" borderId="18" xfId="2" applyFont="1" applyFill="1" applyBorder="1" applyAlignment="1">
      <alignment horizontal="left"/>
    </xf>
    <xf numFmtId="0" fontId="69" fillId="2" borderId="29" xfId="2" applyFont="1" applyFill="1" applyBorder="1" applyAlignment="1">
      <alignment horizontal="left"/>
    </xf>
    <xf numFmtId="0" fontId="69" fillId="2" borderId="19" xfId="2" applyFont="1" applyFill="1" applyBorder="1" applyAlignment="1">
      <alignment horizontal="left"/>
    </xf>
    <xf numFmtId="0" fontId="69" fillId="2" borderId="46" xfId="2" applyFont="1" applyFill="1" applyBorder="1" applyAlignment="1">
      <alignment horizontal="center"/>
    </xf>
    <xf numFmtId="0" fontId="69" fillId="2" borderId="47" xfId="2" applyFont="1" applyFill="1" applyBorder="1" applyAlignment="1">
      <alignment horizontal="center"/>
    </xf>
    <xf numFmtId="0" fontId="69" fillId="2" borderId="7" xfId="2" applyFont="1" applyFill="1" applyBorder="1" applyAlignment="1">
      <alignment horizontal="center"/>
    </xf>
    <xf numFmtId="0" fontId="69" fillId="2" borderId="0" xfId="2" applyFont="1" applyFill="1" applyAlignment="1">
      <alignment horizontal="center"/>
    </xf>
    <xf numFmtId="0" fontId="69" fillId="2" borderId="30" xfId="2" applyFont="1" applyFill="1" applyBorder="1" applyAlignment="1">
      <alignment horizontal="center"/>
    </xf>
    <xf numFmtId="0" fontId="69" fillId="2" borderId="31" xfId="2" applyFont="1" applyFill="1" applyBorder="1" applyAlignment="1">
      <alignment horizontal="center"/>
    </xf>
    <xf numFmtId="0" fontId="46" fillId="2" borderId="1" xfId="2" applyFont="1" applyFill="1" applyBorder="1" applyAlignment="1">
      <alignment horizontal="center"/>
    </xf>
    <xf numFmtId="0" fontId="46" fillId="2" borderId="24" xfId="2" applyFont="1" applyFill="1" applyBorder="1" applyAlignment="1">
      <alignment horizontal="center"/>
    </xf>
    <xf numFmtId="0" fontId="46" fillId="2" borderId="50" xfId="2" applyFont="1" applyFill="1" applyBorder="1" applyAlignment="1">
      <alignment horizontal="center"/>
    </xf>
    <xf numFmtId="0" fontId="46" fillId="2" borderId="51" xfId="2" applyFont="1" applyFill="1" applyBorder="1" applyAlignment="1">
      <alignment horizontal="center"/>
    </xf>
    <xf numFmtId="0" fontId="46" fillId="4" borderId="41" xfId="2" applyFont="1" applyFill="1" applyBorder="1" applyAlignment="1">
      <alignment horizontal="center"/>
    </xf>
    <xf numFmtId="0" fontId="46" fillId="4" borderId="42" xfId="2" applyFont="1" applyFill="1" applyBorder="1" applyAlignment="1">
      <alignment horizontal="center"/>
    </xf>
    <xf numFmtId="0" fontId="46" fillId="4" borderId="43" xfId="2" applyFont="1" applyFill="1" applyBorder="1" applyAlignment="1">
      <alignment horizontal="center"/>
    </xf>
    <xf numFmtId="0" fontId="46" fillId="2" borderId="52" xfId="2" applyFont="1" applyFill="1" applyBorder="1" applyAlignment="1">
      <alignment horizontal="right" vertical="top" wrapText="1"/>
    </xf>
    <xf numFmtId="0" fontId="46" fillId="2" borderId="39" xfId="2" applyFont="1" applyFill="1" applyBorder="1" applyAlignment="1">
      <alignment horizontal="right" vertical="top" wrapText="1"/>
    </xf>
    <xf numFmtId="0" fontId="46" fillId="2" borderId="55" xfId="2" applyFont="1" applyFill="1" applyBorder="1" applyAlignment="1">
      <alignment horizontal="right" vertical="top" wrapText="1"/>
    </xf>
    <xf numFmtId="0" fontId="70" fillId="2" borderId="0" xfId="2" applyFont="1" applyFill="1" applyAlignment="1">
      <alignment horizontal="right"/>
    </xf>
    <xf numFmtId="0" fontId="71" fillId="2" borderId="21" xfId="2" applyFont="1" applyFill="1" applyBorder="1" applyAlignment="1">
      <alignment horizontal="center"/>
    </xf>
    <xf numFmtId="0" fontId="70" fillId="2" borderId="0" xfId="2" applyFont="1" applyFill="1"/>
    <xf numFmtId="0" fontId="46" fillId="3" borderId="35" xfId="1" applyFont="1" applyFill="1" applyBorder="1" applyAlignment="1">
      <alignment horizontal="center" vertical="center"/>
    </xf>
    <xf numFmtId="0" fontId="46" fillId="3" borderId="23" xfId="1" applyFont="1" applyFill="1" applyBorder="1" applyAlignment="1">
      <alignment horizontal="center" vertical="center"/>
    </xf>
    <xf numFmtId="0" fontId="46" fillId="3" borderId="35" xfId="1" applyFont="1" applyFill="1" applyBorder="1" applyAlignment="1">
      <alignment horizontal="center" vertical="center" wrapText="1"/>
    </xf>
    <xf numFmtId="0" fontId="46" fillId="3" borderId="23" xfId="1" applyFont="1" applyFill="1" applyBorder="1" applyAlignment="1">
      <alignment horizontal="center" vertical="center" wrapText="1"/>
    </xf>
    <xf numFmtId="0" fontId="46" fillId="3" borderId="1" xfId="1" applyFont="1" applyFill="1" applyBorder="1" applyAlignment="1">
      <alignment horizontal="center" vertical="center"/>
    </xf>
    <xf numFmtId="0" fontId="46" fillId="3" borderId="5" xfId="1" applyFont="1" applyFill="1" applyBorder="1" applyAlignment="1">
      <alignment horizontal="center" vertical="center"/>
    </xf>
    <xf numFmtId="0" fontId="46" fillId="0" borderId="30" xfId="1" applyFont="1" applyBorder="1" applyAlignment="1">
      <alignment horizontal="right"/>
    </xf>
    <xf numFmtId="0" fontId="46" fillId="0" borderId="31" xfId="1" applyFont="1" applyBorder="1" applyAlignment="1">
      <alignment horizontal="right"/>
    </xf>
    <xf numFmtId="0" fontId="46" fillId="0" borderId="34" xfId="1" applyFont="1" applyBorder="1" applyAlignment="1">
      <alignment horizontal="right"/>
    </xf>
    <xf numFmtId="164" fontId="69" fillId="0" borderId="12" xfId="1" applyNumberFormat="1" applyFont="1" applyBorder="1" applyAlignment="1">
      <alignment horizontal="right"/>
    </xf>
    <xf numFmtId="0" fontId="69" fillId="2" borderId="13" xfId="1" applyFont="1" applyFill="1" applyBorder="1" applyAlignment="1">
      <alignment horizontal="center"/>
    </xf>
    <xf numFmtId="0" fontId="69" fillId="2" borderId="32" xfId="1" applyFont="1" applyFill="1" applyBorder="1" applyAlignment="1">
      <alignment horizontal="center"/>
    </xf>
    <xf numFmtId="0" fontId="46" fillId="0" borderId="28" xfId="1" applyFont="1" applyBorder="1" applyAlignment="1">
      <alignment horizontal="right"/>
    </xf>
    <xf numFmtId="0" fontId="46" fillId="0" borderId="29" xfId="1" applyFont="1" applyBorder="1" applyAlignment="1">
      <alignment horizontal="right"/>
    </xf>
    <xf numFmtId="0" fontId="46" fillId="0" borderId="19" xfId="1" applyFont="1" applyBorder="1" applyAlignment="1">
      <alignment horizontal="right"/>
    </xf>
    <xf numFmtId="0" fontId="69" fillId="0" borderId="3" xfId="1" applyFont="1" applyBorder="1" applyAlignment="1">
      <alignment horizontal="right"/>
    </xf>
    <xf numFmtId="164" fontId="69" fillId="0" borderId="18" xfId="1" applyNumberFormat="1" applyFont="1" applyBorder="1" applyAlignment="1">
      <alignment horizontal="center"/>
    </xf>
    <xf numFmtId="164" fontId="69" fillId="0" borderId="33" xfId="1" applyNumberFormat="1" applyFont="1" applyBorder="1" applyAlignment="1">
      <alignment horizontal="center"/>
    </xf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164" fontId="69" fillId="0" borderId="18" xfId="1" applyNumberFormat="1" applyFont="1" applyBorder="1" applyAlignment="1">
      <alignment horizontal="right" wrapText="1"/>
    </xf>
    <xf numFmtId="164" fontId="69" fillId="0" borderId="19" xfId="1" applyNumberFormat="1" applyFont="1" applyBorder="1" applyAlignment="1">
      <alignment horizontal="right" wrapText="1"/>
    </xf>
    <xf numFmtId="164" fontId="69" fillId="0" borderId="18" xfId="0" applyNumberFormat="1" applyFont="1" applyBorder="1" applyAlignment="1">
      <alignment horizontal="center" wrapText="1"/>
    </xf>
    <xf numFmtId="164" fontId="69" fillId="0" borderId="33" xfId="0" applyNumberFormat="1" applyFont="1" applyBorder="1" applyAlignment="1">
      <alignment horizontal="center" wrapText="1"/>
    </xf>
    <xf numFmtId="0" fontId="46" fillId="0" borderId="23" xfId="1" applyFont="1" applyBorder="1" applyAlignment="1">
      <alignment horizontal="right"/>
    </xf>
    <xf numFmtId="0" fontId="46" fillId="0" borderId="51" xfId="1" applyFont="1" applyBorder="1" applyAlignment="1">
      <alignment horizontal="right"/>
    </xf>
    <xf numFmtId="0" fontId="46" fillId="0" borderId="5" xfId="1" applyFont="1" applyBorder="1" applyAlignment="1">
      <alignment horizontal="right"/>
    </xf>
    <xf numFmtId="0" fontId="69" fillId="0" borderId="5" xfId="1" applyFont="1" applyBorder="1" applyAlignment="1">
      <alignment horizontal="right"/>
    </xf>
    <xf numFmtId="0" fontId="46" fillId="3" borderId="9" xfId="1" applyFont="1" applyFill="1" applyBorder="1" applyAlignment="1">
      <alignment horizontal="left"/>
    </xf>
    <xf numFmtId="0" fontId="46" fillId="3" borderId="10" xfId="1" applyFont="1" applyFill="1" applyBorder="1" applyAlignment="1">
      <alignment horizontal="left"/>
    </xf>
    <xf numFmtId="0" fontId="46" fillId="3" borderId="11" xfId="1" applyFont="1" applyFill="1" applyBorder="1" applyAlignment="1">
      <alignment horizontal="left"/>
    </xf>
    <xf numFmtId="0" fontId="51" fillId="0" borderId="28" xfId="0" applyFont="1" applyBorder="1" applyAlignment="1">
      <alignment horizontal="left"/>
    </xf>
    <xf numFmtId="0" fontId="51" fillId="0" borderId="29" xfId="0" applyFont="1" applyBorder="1" applyAlignment="1">
      <alignment horizontal="left"/>
    </xf>
    <xf numFmtId="0" fontId="51" fillId="0" borderId="33" xfId="0" applyFont="1" applyBorder="1" applyAlignment="1">
      <alignment horizontal="left"/>
    </xf>
    <xf numFmtId="0" fontId="46" fillId="15" borderId="58" xfId="2" applyFont="1" applyFill="1" applyBorder="1" applyAlignment="1">
      <alignment horizontal="center"/>
    </xf>
    <xf numFmtId="0" fontId="46" fillId="15" borderId="47" xfId="2" applyFont="1" applyFill="1" applyBorder="1" applyAlignment="1">
      <alignment horizontal="center"/>
    </xf>
    <xf numFmtId="0" fontId="69" fillId="2" borderId="59" xfId="2" applyFont="1" applyFill="1" applyBorder="1" applyAlignment="1">
      <alignment horizontal="left"/>
    </xf>
    <xf numFmtId="0" fontId="69" fillId="2" borderId="0" xfId="2" applyFont="1" applyFill="1" applyAlignment="1">
      <alignment horizontal="left"/>
    </xf>
    <xf numFmtId="0" fontId="69" fillId="0" borderId="23" xfId="0" applyFont="1" applyBorder="1" applyAlignment="1">
      <alignment horizontal="left"/>
    </xf>
    <xf numFmtId="0" fontId="69" fillId="0" borderId="51" xfId="0" applyFont="1" applyBorder="1" applyAlignment="1">
      <alignment horizontal="left"/>
    </xf>
    <xf numFmtId="0" fontId="69" fillId="0" borderId="5" xfId="0" applyFont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14" fillId="0" borderId="6" xfId="1" applyFont="1" applyBorder="1" applyAlignment="1">
      <alignment horizontal="left"/>
    </xf>
    <xf numFmtId="0" fontId="14" fillId="0" borderId="19" xfId="1" applyFont="1" applyBorder="1" applyAlignment="1">
      <alignment horizontal="left"/>
    </xf>
    <xf numFmtId="0" fontId="14" fillId="0" borderId="3" xfId="1" applyFont="1" applyBorder="1" applyAlignment="1">
      <alignment horizontal="left"/>
    </xf>
    <xf numFmtId="0" fontId="14" fillId="0" borderId="4" xfId="1" applyFont="1" applyBorder="1" applyAlignment="1">
      <alignment horizontal="left"/>
    </xf>
    <xf numFmtId="0" fontId="69" fillId="0" borderId="28" xfId="0" applyFont="1" applyBorder="1" applyAlignment="1">
      <alignment horizontal="left"/>
    </xf>
    <xf numFmtId="0" fontId="69" fillId="0" borderId="29" xfId="0" applyFont="1" applyBorder="1" applyAlignment="1">
      <alignment horizontal="left"/>
    </xf>
    <xf numFmtId="0" fontId="69" fillId="0" borderId="33" xfId="0" applyFont="1" applyBorder="1" applyAlignment="1">
      <alignment horizontal="left"/>
    </xf>
    <xf numFmtId="14" fontId="10" fillId="2" borderId="53" xfId="2" applyNumberFormat="1" applyFont="1" applyFill="1" applyBorder="1" applyAlignment="1">
      <alignment horizontal="center" vertical="center" wrapText="1"/>
    </xf>
    <xf numFmtId="14" fontId="10" fillId="2" borderId="54" xfId="2" applyNumberFormat="1" applyFont="1" applyFill="1" applyBorder="1" applyAlignment="1">
      <alignment horizontal="center" vertical="center" wrapText="1"/>
    </xf>
    <xf numFmtId="14" fontId="10" fillId="2" borderId="15" xfId="2" applyNumberFormat="1" applyFont="1" applyFill="1" applyBorder="1" applyAlignment="1">
      <alignment horizontal="center" vertical="center" wrapText="1"/>
    </xf>
    <xf numFmtId="0" fontId="10" fillId="2" borderId="36" xfId="2" applyFont="1" applyFill="1" applyBorder="1" applyAlignment="1">
      <alignment horizontal="left"/>
    </xf>
    <xf numFmtId="0" fontId="10" fillId="2" borderId="27" xfId="2" applyFont="1" applyFill="1" applyBorder="1" applyAlignment="1">
      <alignment horizontal="left"/>
    </xf>
    <xf numFmtId="0" fontId="10" fillId="2" borderId="37" xfId="2" applyFont="1" applyFill="1" applyBorder="1" applyAlignment="1">
      <alignment horizontal="left"/>
    </xf>
    <xf numFmtId="0" fontId="10" fillId="2" borderId="18" xfId="2" applyFont="1" applyFill="1" applyBorder="1" applyAlignment="1">
      <alignment horizontal="left"/>
    </xf>
    <xf numFmtId="0" fontId="10" fillId="2" borderId="29" xfId="2" applyFont="1" applyFill="1" applyBorder="1" applyAlignment="1">
      <alignment horizontal="left"/>
    </xf>
    <xf numFmtId="0" fontId="10" fillId="2" borderId="19" xfId="2" applyFont="1" applyFill="1" applyBorder="1" applyAlignment="1">
      <alignment horizontal="left"/>
    </xf>
    <xf numFmtId="0" fontId="10" fillId="2" borderId="46" xfId="2" applyFont="1" applyFill="1" applyBorder="1" applyAlignment="1">
      <alignment horizontal="center"/>
    </xf>
    <xf numFmtId="0" fontId="10" fillId="2" borderId="47" xfId="2" applyFont="1" applyFill="1" applyBorder="1" applyAlignment="1">
      <alignment horizontal="center"/>
    </xf>
    <xf numFmtId="0" fontId="10" fillId="2" borderId="7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30" xfId="2" applyFont="1" applyFill="1" applyBorder="1" applyAlignment="1">
      <alignment horizontal="center"/>
    </xf>
    <xf numFmtId="0" fontId="10" fillId="2" borderId="31" xfId="2" applyFont="1" applyFill="1" applyBorder="1" applyAlignment="1">
      <alignment horizontal="center"/>
    </xf>
    <xf numFmtId="0" fontId="46" fillId="2" borderId="17" xfId="2" applyFont="1" applyFill="1" applyBorder="1" applyAlignment="1">
      <alignment horizontal="center"/>
    </xf>
    <xf numFmtId="0" fontId="77" fillId="3" borderId="9" xfId="2" applyFont="1" applyFill="1" applyBorder="1" applyAlignment="1">
      <alignment horizontal="center" vertical="center" wrapText="1"/>
    </xf>
    <xf numFmtId="0" fontId="77" fillId="3" borderId="10" xfId="2" applyFont="1" applyFill="1" applyBorder="1" applyAlignment="1">
      <alignment horizontal="center" vertical="center" wrapText="1"/>
    </xf>
    <xf numFmtId="0" fontId="77" fillId="3" borderId="11" xfId="2" applyFont="1" applyFill="1" applyBorder="1" applyAlignment="1">
      <alignment horizontal="center" vertical="center" wrapText="1"/>
    </xf>
    <xf numFmtId="0" fontId="47" fillId="2" borderId="52" xfId="2" applyFont="1" applyFill="1" applyBorder="1" applyAlignment="1">
      <alignment horizontal="right" vertical="top" wrapText="1"/>
    </xf>
    <xf numFmtId="0" fontId="47" fillId="2" borderId="39" xfId="2" applyFont="1" applyFill="1" applyBorder="1" applyAlignment="1">
      <alignment horizontal="right" vertical="top" wrapText="1"/>
    </xf>
    <xf numFmtId="0" fontId="47" fillId="2" borderId="55" xfId="2" applyFont="1" applyFill="1" applyBorder="1" applyAlignment="1">
      <alignment horizontal="right" vertical="top" wrapText="1"/>
    </xf>
    <xf numFmtId="0" fontId="47" fillId="3" borderId="35" xfId="1" applyFont="1" applyFill="1" applyBorder="1" applyAlignment="1">
      <alignment horizontal="center" vertical="center"/>
    </xf>
    <xf numFmtId="0" fontId="47" fillId="3" borderId="23" xfId="1" applyFont="1" applyFill="1" applyBorder="1" applyAlignment="1">
      <alignment horizontal="center" vertical="center"/>
    </xf>
    <xf numFmtId="0" fontId="47" fillId="3" borderId="35" xfId="1" applyFont="1" applyFill="1" applyBorder="1" applyAlignment="1">
      <alignment horizontal="center" vertical="center" wrapText="1"/>
    </xf>
    <xf numFmtId="0" fontId="47" fillId="3" borderId="23" xfId="1" applyFont="1" applyFill="1" applyBorder="1" applyAlignment="1">
      <alignment horizontal="center" vertical="center" wrapText="1"/>
    </xf>
    <xf numFmtId="0" fontId="47" fillId="3" borderId="1" xfId="1" applyFont="1" applyFill="1" applyBorder="1" applyAlignment="1">
      <alignment horizontal="center" vertical="center"/>
    </xf>
    <xf numFmtId="0" fontId="47" fillId="3" borderId="5" xfId="1" applyFont="1" applyFill="1" applyBorder="1" applyAlignment="1">
      <alignment horizontal="center" vertical="center"/>
    </xf>
    <xf numFmtId="0" fontId="47" fillId="0" borderId="30" xfId="1" applyFont="1" applyBorder="1" applyAlignment="1">
      <alignment horizontal="right"/>
    </xf>
    <xf numFmtId="0" fontId="47" fillId="0" borderId="31" xfId="1" applyFont="1" applyBorder="1" applyAlignment="1">
      <alignment horizontal="right"/>
    </xf>
    <xf numFmtId="0" fontId="47" fillId="0" borderId="34" xfId="1" applyFont="1" applyBorder="1" applyAlignment="1">
      <alignment horizontal="right"/>
    </xf>
    <xf numFmtId="164" fontId="10" fillId="0" borderId="12" xfId="1" applyNumberFormat="1" applyFont="1" applyBorder="1" applyAlignment="1">
      <alignment horizontal="right"/>
    </xf>
    <xf numFmtId="0" fontId="10" fillId="2" borderId="13" xfId="1" applyFont="1" applyFill="1" applyBorder="1" applyAlignment="1">
      <alignment horizontal="center"/>
    </xf>
    <xf numFmtId="0" fontId="10" fillId="2" borderId="32" xfId="1" applyFont="1" applyFill="1" applyBorder="1" applyAlignment="1">
      <alignment horizontal="center"/>
    </xf>
    <xf numFmtId="0" fontId="47" fillId="0" borderId="28" xfId="1" applyFont="1" applyBorder="1" applyAlignment="1">
      <alignment horizontal="right"/>
    </xf>
    <xf numFmtId="0" fontId="47" fillId="0" borderId="29" xfId="1" applyFont="1" applyBorder="1" applyAlignment="1">
      <alignment horizontal="right"/>
    </xf>
    <xf numFmtId="0" fontId="47" fillId="0" borderId="19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4" fontId="10" fillId="0" borderId="18" xfId="1" applyNumberFormat="1" applyFont="1" applyBorder="1" applyAlignment="1">
      <alignment horizontal="center"/>
    </xf>
    <xf numFmtId="164" fontId="10" fillId="0" borderId="33" xfId="1" applyNumberFormat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164" fontId="10" fillId="0" borderId="18" xfId="1" applyNumberFormat="1" applyFont="1" applyBorder="1" applyAlignment="1">
      <alignment horizontal="right" wrapText="1"/>
    </xf>
    <xf numFmtId="164" fontId="10" fillId="0" borderId="19" xfId="1" applyNumberFormat="1" applyFont="1" applyBorder="1" applyAlignment="1">
      <alignment horizontal="right" wrapText="1"/>
    </xf>
    <xf numFmtId="0" fontId="47" fillId="0" borderId="23" xfId="1" applyFont="1" applyBorder="1" applyAlignment="1">
      <alignment horizontal="right"/>
    </xf>
    <xf numFmtId="0" fontId="47" fillId="0" borderId="51" xfId="1" applyFont="1" applyBorder="1" applyAlignment="1">
      <alignment horizontal="right"/>
    </xf>
    <xf numFmtId="0" fontId="47" fillId="0" borderId="5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64" fontId="10" fillId="0" borderId="24" xfId="1" applyNumberFormat="1" applyFont="1" applyBorder="1" applyAlignment="1">
      <alignment horizontal="center"/>
    </xf>
    <xf numFmtId="164" fontId="10" fillId="0" borderId="25" xfId="1" applyNumberFormat="1" applyFont="1" applyBorder="1" applyAlignment="1">
      <alignment horizontal="center"/>
    </xf>
    <xf numFmtId="0" fontId="47" fillId="3" borderId="9" xfId="1" applyFont="1" applyFill="1" applyBorder="1" applyAlignment="1">
      <alignment horizontal="left"/>
    </xf>
    <xf numFmtId="0" fontId="47" fillId="3" borderId="10" xfId="1" applyFont="1" applyFill="1" applyBorder="1" applyAlignment="1">
      <alignment horizontal="left"/>
    </xf>
    <xf numFmtId="0" fontId="47" fillId="3" borderId="11" xfId="1" applyFont="1" applyFill="1" applyBorder="1" applyAlignment="1">
      <alignment horizontal="left"/>
    </xf>
    <xf numFmtId="0" fontId="10" fillId="0" borderId="57" xfId="1" applyFont="1" applyBorder="1" applyAlignment="1">
      <alignment horizontal="left"/>
    </xf>
    <xf numFmtId="0" fontId="10" fillId="0" borderId="50" xfId="1" applyFont="1" applyBorder="1" applyAlignment="1">
      <alignment horizontal="left"/>
    </xf>
    <xf numFmtId="0" fontId="10" fillId="0" borderId="25" xfId="1" applyFont="1" applyBorder="1" applyAlignment="1">
      <alignment horizontal="left"/>
    </xf>
    <xf numFmtId="0" fontId="47" fillId="15" borderId="58" xfId="2" applyFont="1" applyFill="1" applyBorder="1" applyAlignment="1">
      <alignment horizontal="center"/>
    </xf>
    <xf numFmtId="0" fontId="47" fillId="15" borderId="47" xfId="2" applyFont="1" applyFill="1" applyBorder="1" applyAlignment="1">
      <alignment horizontal="center"/>
    </xf>
    <xf numFmtId="0" fontId="10" fillId="2" borderId="59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11" fillId="0" borderId="3" xfId="0" applyFont="1" applyBorder="1" applyAlignment="1">
      <alignment horizontal="left" wrapText="1"/>
    </xf>
    <xf numFmtId="0" fontId="11" fillId="0" borderId="29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33" xfId="0" applyFont="1" applyBorder="1" applyAlignment="1">
      <alignment horizontal="left"/>
    </xf>
    <xf numFmtId="0" fontId="10" fillId="0" borderId="28" xfId="1" applyFont="1" applyBorder="1" applyAlignment="1">
      <alignment horizontal="left" wrapText="1"/>
    </xf>
    <xf numFmtId="0" fontId="10" fillId="0" borderId="29" xfId="1" applyFont="1" applyBorder="1" applyAlignment="1">
      <alignment horizontal="left" wrapText="1"/>
    </xf>
    <xf numFmtId="0" fontId="10" fillId="0" borderId="33" xfId="1" applyFont="1" applyBorder="1" applyAlignment="1">
      <alignment horizontal="left" wrapText="1"/>
    </xf>
    <xf numFmtId="0" fontId="10" fillId="2" borderId="58" xfId="2" applyFont="1" applyFill="1" applyBorder="1" applyAlignment="1">
      <alignment horizontal="center"/>
    </xf>
    <xf numFmtId="0" fontId="10" fillId="2" borderId="59" xfId="2" applyFont="1" applyFill="1" applyBorder="1" applyAlignment="1">
      <alignment horizontal="center"/>
    </xf>
    <xf numFmtId="0" fontId="10" fillId="2" borderId="61" xfId="2" applyFont="1" applyFill="1" applyBorder="1" applyAlignment="1">
      <alignment horizontal="center"/>
    </xf>
    <xf numFmtId="0" fontId="10" fillId="2" borderId="21" xfId="2" applyFont="1" applyFill="1" applyBorder="1" applyAlignment="1">
      <alignment horizontal="center"/>
    </xf>
    <xf numFmtId="0" fontId="48" fillId="4" borderId="9" xfId="2" applyFont="1" applyFill="1" applyBorder="1" applyAlignment="1">
      <alignment horizontal="center" vertical="center" wrapText="1"/>
    </xf>
    <xf numFmtId="0" fontId="48" fillId="4" borderId="10" xfId="2" applyFont="1" applyFill="1" applyBorder="1" applyAlignment="1">
      <alignment horizontal="center" vertical="center" wrapText="1"/>
    </xf>
    <xf numFmtId="0" fontId="48" fillId="4" borderId="11" xfId="2" applyFont="1" applyFill="1" applyBorder="1" applyAlignment="1">
      <alignment horizontal="center" vertical="center" wrapText="1"/>
    </xf>
    <xf numFmtId="0" fontId="47" fillId="3" borderId="37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/>
    </xf>
    <xf numFmtId="0" fontId="47" fillId="3" borderId="62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/>
    </xf>
    <xf numFmtId="1" fontId="14" fillId="0" borderId="19" xfId="0" applyNumberFormat="1" applyFont="1" applyBorder="1" applyAlignment="1">
      <alignment horizontal="center"/>
    </xf>
    <xf numFmtId="0" fontId="47" fillId="0" borderId="30" xfId="0" applyFont="1" applyBorder="1" applyAlignment="1">
      <alignment horizontal="right"/>
    </xf>
    <xf numFmtId="0" fontId="47" fillId="0" borderId="31" xfId="0" applyFont="1" applyBorder="1" applyAlignment="1">
      <alignment horizontal="right"/>
    </xf>
    <xf numFmtId="0" fontId="47" fillId="0" borderId="34" xfId="0" applyFont="1" applyBorder="1" applyAlignment="1">
      <alignment horizontal="right"/>
    </xf>
    <xf numFmtId="164" fontId="10" fillId="0" borderId="12" xfId="0" applyNumberFormat="1" applyFont="1" applyBorder="1" applyAlignment="1">
      <alignment horizontal="right"/>
    </xf>
    <xf numFmtId="0" fontId="10" fillId="2" borderId="13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47" fillId="0" borderId="28" xfId="0" applyFont="1" applyBorder="1" applyAlignment="1">
      <alignment horizontal="right"/>
    </xf>
    <xf numFmtId="0" fontId="47" fillId="0" borderId="29" xfId="0" applyFont="1" applyBorder="1" applyAlignment="1">
      <alignment horizontal="right"/>
    </xf>
    <xf numFmtId="0" fontId="47" fillId="0" borderId="19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164" fontId="10" fillId="0" borderId="18" xfId="0" applyNumberFormat="1" applyFont="1" applyBorder="1" applyAlignment="1">
      <alignment horizontal="center"/>
    </xf>
    <xf numFmtId="164" fontId="10" fillId="0" borderId="33" xfId="0" applyNumberFormat="1" applyFont="1" applyBorder="1" applyAlignment="1">
      <alignment horizontal="center"/>
    </xf>
    <xf numFmtId="164" fontId="10" fillId="0" borderId="18" xfId="0" applyNumberFormat="1" applyFont="1" applyBorder="1" applyAlignment="1">
      <alignment horizontal="right" wrapText="1"/>
    </xf>
    <xf numFmtId="164" fontId="10" fillId="0" borderId="19" xfId="0" applyNumberFormat="1" applyFont="1" applyBorder="1" applyAlignment="1">
      <alignment horizontal="right" wrapText="1"/>
    </xf>
    <xf numFmtId="0" fontId="47" fillId="0" borderId="23" xfId="0" applyFont="1" applyBorder="1" applyAlignment="1">
      <alignment horizontal="right"/>
    </xf>
    <xf numFmtId="0" fontId="47" fillId="0" borderId="51" xfId="0" applyFont="1" applyBorder="1" applyAlignment="1">
      <alignment horizontal="right"/>
    </xf>
    <xf numFmtId="0" fontId="47" fillId="0" borderId="5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164" fontId="10" fillId="0" borderId="24" xfId="0" applyNumberFormat="1" applyFont="1" applyBorder="1" applyAlignment="1">
      <alignment horizontal="center"/>
    </xf>
    <xf numFmtId="164" fontId="10" fillId="0" borderId="25" xfId="0" applyNumberFormat="1" applyFont="1" applyBorder="1" applyAlignment="1">
      <alignment horizontal="center"/>
    </xf>
    <xf numFmtId="0" fontId="47" fillId="3" borderId="46" xfId="0" applyFont="1" applyFill="1" applyBorder="1" applyAlignment="1">
      <alignment horizontal="left"/>
    </xf>
    <xf numFmtId="0" fontId="47" fillId="3" borderId="47" xfId="0" applyFont="1" applyFill="1" applyBorder="1" applyAlignment="1">
      <alignment horizontal="left"/>
    </xf>
    <xf numFmtId="0" fontId="47" fillId="3" borderId="64" xfId="0" applyFont="1" applyFill="1" applyBorder="1" applyAlignment="1">
      <alignment horizontal="left"/>
    </xf>
    <xf numFmtId="0" fontId="47" fillId="3" borderId="9" xfId="0" applyFont="1" applyFill="1" applyBorder="1" applyAlignment="1">
      <alignment horizontal="left"/>
    </xf>
    <xf numFmtId="0" fontId="47" fillId="3" borderId="10" xfId="0" applyFont="1" applyFill="1" applyBorder="1" applyAlignment="1">
      <alignment horizontal="left"/>
    </xf>
    <xf numFmtId="0" fontId="47" fillId="3" borderId="11" xfId="0" applyFont="1" applyFill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0" fillId="2" borderId="20" xfId="2" applyFont="1" applyFill="1" applyBorder="1" applyAlignment="1">
      <alignment horizontal="center"/>
    </xf>
    <xf numFmtId="0" fontId="48" fillId="4" borderId="41" xfId="2" applyFont="1" applyFill="1" applyBorder="1" applyAlignment="1">
      <alignment horizontal="center"/>
    </xf>
    <xf numFmtId="0" fontId="48" fillId="4" borderId="42" xfId="2" applyFont="1" applyFill="1" applyBorder="1" applyAlignment="1">
      <alignment horizontal="center"/>
    </xf>
    <xf numFmtId="0" fontId="48" fillId="4" borderId="43" xfId="2" applyFont="1" applyFill="1" applyBorder="1" applyAlignment="1">
      <alignment horizontal="center"/>
    </xf>
    <xf numFmtId="0" fontId="67" fillId="2" borderId="9" xfId="2" applyFont="1" applyFill="1" applyBorder="1" applyAlignment="1">
      <alignment horizontal="right" vertical="center"/>
    </xf>
    <xf numFmtId="0" fontId="67" fillId="2" borderId="10" xfId="2" applyFont="1" applyFill="1" applyBorder="1" applyAlignment="1">
      <alignment horizontal="right" vertical="center"/>
    </xf>
    <xf numFmtId="0" fontId="68" fillId="2" borderId="10" xfId="2" applyFont="1" applyFill="1" applyBorder="1" applyAlignment="1">
      <alignment horizontal="center" vertical="center"/>
    </xf>
    <xf numFmtId="0" fontId="67" fillId="2" borderId="10" xfId="2" applyFont="1" applyFill="1" applyBorder="1" applyAlignment="1">
      <alignment horizontal="center" vertical="center"/>
    </xf>
    <xf numFmtId="0" fontId="47" fillId="3" borderId="60" xfId="1" applyFont="1" applyFill="1" applyBorder="1" applyAlignment="1">
      <alignment horizontal="center" vertical="center"/>
    </xf>
    <xf numFmtId="0" fontId="47" fillId="3" borderId="60" xfId="1" applyFont="1" applyFill="1" applyBorder="1" applyAlignment="1">
      <alignment horizontal="center" vertical="center" wrapText="1"/>
    </xf>
    <xf numFmtId="0" fontId="47" fillId="3" borderId="17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left"/>
    </xf>
    <xf numFmtId="0" fontId="10" fillId="0" borderId="34" xfId="1" applyFont="1" applyBorder="1" applyAlignment="1">
      <alignment horizontal="left"/>
    </xf>
    <xf numFmtId="0" fontId="10" fillId="0" borderId="12" xfId="1" applyFont="1" applyBorder="1" applyAlignment="1">
      <alignment horizontal="left"/>
    </xf>
    <xf numFmtId="0" fontId="10" fillId="0" borderId="15" xfId="1" applyFont="1" applyBorder="1" applyAlignment="1">
      <alignment horizontal="left"/>
    </xf>
    <xf numFmtId="0" fontId="10" fillId="0" borderId="14" xfId="1" applyFont="1" applyBorder="1" applyAlignment="1">
      <alignment horizontal="left" wrapText="1"/>
    </xf>
    <xf numFmtId="0" fontId="10" fillId="0" borderId="34" xfId="1" applyFont="1" applyBorder="1" applyAlignment="1">
      <alignment horizontal="left" wrapText="1"/>
    </xf>
    <xf numFmtId="0" fontId="10" fillId="0" borderId="12" xfId="1" applyFont="1" applyBorder="1" applyAlignment="1">
      <alignment horizontal="left" wrapText="1"/>
    </xf>
    <xf numFmtId="0" fontId="10" fillId="0" borderId="15" xfId="1" applyFont="1" applyBorder="1" applyAlignment="1">
      <alignment horizontal="left" wrapText="1"/>
    </xf>
    <xf numFmtId="0" fontId="10" fillId="0" borderId="60" xfId="1" applyFont="1" applyBorder="1" applyAlignment="1">
      <alignment horizontal="left"/>
    </xf>
    <xf numFmtId="0" fontId="10" fillId="0" borderId="52" xfId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10" fillId="0" borderId="53" xfId="1" applyFont="1" applyBorder="1" applyAlignment="1">
      <alignment horizontal="left"/>
    </xf>
    <xf numFmtId="0" fontId="47" fillId="3" borderId="0" xfId="1" applyFont="1" applyFill="1" applyAlignment="1">
      <alignment horizontal="left"/>
    </xf>
    <xf numFmtId="14" fontId="56" fillId="2" borderId="53" xfId="2" applyNumberFormat="1" applyFont="1" applyFill="1" applyBorder="1" applyAlignment="1">
      <alignment horizontal="center" vertical="center" wrapText="1"/>
    </xf>
    <xf numFmtId="14" fontId="56" fillId="2" borderId="54" xfId="2" applyNumberFormat="1" applyFont="1" applyFill="1" applyBorder="1" applyAlignment="1">
      <alignment horizontal="center" vertical="center" wrapText="1"/>
    </xf>
    <xf numFmtId="14" fontId="56" fillId="2" borderId="15" xfId="2" applyNumberFormat="1" applyFont="1" applyFill="1" applyBorder="1" applyAlignment="1">
      <alignment horizontal="center" vertical="center" wrapText="1"/>
    </xf>
    <xf numFmtId="0" fontId="56" fillId="2" borderId="36" xfId="2" applyFont="1" applyFill="1" applyBorder="1" applyAlignment="1">
      <alignment horizontal="left"/>
    </xf>
    <xf numFmtId="0" fontId="56" fillId="2" borderId="27" xfId="2" applyFont="1" applyFill="1" applyBorder="1" applyAlignment="1">
      <alignment horizontal="left"/>
    </xf>
    <xf numFmtId="0" fontId="56" fillId="2" borderId="37" xfId="2" applyFont="1" applyFill="1" applyBorder="1" applyAlignment="1">
      <alignment horizontal="left"/>
    </xf>
    <xf numFmtId="0" fontId="56" fillId="2" borderId="18" xfId="2" applyFont="1" applyFill="1" applyBorder="1" applyAlignment="1">
      <alignment horizontal="left"/>
    </xf>
    <xf numFmtId="0" fontId="56" fillId="2" borderId="29" xfId="2" applyFont="1" applyFill="1" applyBorder="1" applyAlignment="1">
      <alignment horizontal="left"/>
    </xf>
    <xf numFmtId="0" fontId="56" fillId="2" borderId="19" xfId="2" applyFont="1" applyFill="1" applyBorder="1" applyAlignment="1">
      <alignment horizontal="left"/>
    </xf>
    <xf numFmtId="0" fontId="56" fillId="2" borderId="46" xfId="2" applyFont="1" applyFill="1" applyBorder="1" applyAlignment="1">
      <alignment horizontal="center"/>
    </xf>
    <xf numFmtId="0" fontId="56" fillId="2" borderId="47" xfId="2" applyFont="1" applyFill="1" applyBorder="1" applyAlignment="1">
      <alignment horizontal="center"/>
    </xf>
    <xf numFmtId="0" fontId="56" fillId="2" borderId="7" xfId="2" applyFont="1" applyFill="1" applyBorder="1" applyAlignment="1">
      <alignment horizontal="center"/>
    </xf>
    <xf numFmtId="0" fontId="56" fillId="2" borderId="0" xfId="2" applyFont="1" applyFill="1" applyAlignment="1">
      <alignment horizontal="center"/>
    </xf>
    <xf numFmtId="0" fontId="56" fillId="2" borderId="30" xfId="2" applyFont="1" applyFill="1" applyBorder="1" applyAlignment="1">
      <alignment horizontal="center"/>
    </xf>
    <xf numFmtId="0" fontId="56" fillId="2" borderId="31" xfId="2" applyFont="1" applyFill="1" applyBorder="1" applyAlignment="1">
      <alignment horizontal="center"/>
    </xf>
    <xf numFmtId="0" fontId="48" fillId="2" borderId="1" xfId="2" applyFont="1" applyFill="1" applyBorder="1" applyAlignment="1">
      <alignment horizontal="center"/>
    </xf>
    <xf numFmtId="0" fontId="48" fillId="2" borderId="24" xfId="2" applyFont="1" applyFill="1" applyBorder="1" applyAlignment="1">
      <alignment horizontal="center"/>
    </xf>
    <xf numFmtId="0" fontId="48" fillId="2" borderId="50" xfId="2" applyFont="1" applyFill="1" applyBorder="1" applyAlignment="1">
      <alignment horizontal="center"/>
    </xf>
    <xf numFmtId="0" fontId="48" fillId="2" borderId="51" xfId="2" applyFont="1" applyFill="1" applyBorder="1" applyAlignment="1">
      <alignment horizontal="center"/>
    </xf>
    <xf numFmtId="0" fontId="58" fillId="4" borderId="18" xfId="2" applyFont="1" applyFill="1" applyBorder="1" applyAlignment="1">
      <alignment horizontal="center" vertical="center" wrapText="1"/>
    </xf>
    <xf numFmtId="0" fontId="58" fillId="4" borderId="29" xfId="2" applyFont="1" applyFill="1" applyBorder="1" applyAlignment="1">
      <alignment horizontal="center" vertical="center" wrapText="1"/>
    </xf>
    <xf numFmtId="0" fontId="58" fillId="4" borderId="19" xfId="2" applyFont="1" applyFill="1" applyBorder="1" applyAlignment="1">
      <alignment horizontal="center" vertical="center" wrapText="1"/>
    </xf>
    <xf numFmtId="0" fontId="48" fillId="2" borderId="52" xfId="2" applyFont="1" applyFill="1" applyBorder="1" applyAlignment="1">
      <alignment horizontal="right" vertical="top" wrapText="1"/>
    </xf>
    <xf numFmtId="0" fontId="48" fillId="2" borderId="39" xfId="2" applyFont="1" applyFill="1" applyBorder="1" applyAlignment="1">
      <alignment horizontal="right" vertical="top" wrapText="1"/>
    </xf>
    <xf numFmtId="0" fontId="48" fillId="2" borderId="55" xfId="2" applyFont="1" applyFill="1" applyBorder="1" applyAlignment="1">
      <alignment horizontal="right" vertical="top" wrapText="1"/>
    </xf>
    <xf numFmtId="0" fontId="59" fillId="2" borderId="21" xfId="2" applyFont="1" applyFill="1" applyBorder="1" applyAlignment="1">
      <alignment horizontal="center"/>
    </xf>
    <xf numFmtId="0" fontId="48" fillId="3" borderId="35" xfId="1" applyFont="1" applyFill="1" applyBorder="1" applyAlignment="1">
      <alignment horizontal="center" vertical="center"/>
    </xf>
    <xf numFmtId="0" fontId="48" fillId="3" borderId="23" xfId="1" applyFont="1" applyFill="1" applyBorder="1" applyAlignment="1">
      <alignment horizontal="center" vertical="center"/>
    </xf>
    <xf numFmtId="0" fontId="48" fillId="3" borderId="35" xfId="1" applyFont="1" applyFill="1" applyBorder="1" applyAlignment="1">
      <alignment horizontal="center" vertical="center" wrapText="1"/>
    </xf>
    <xf numFmtId="0" fontId="48" fillId="3" borderId="23" xfId="1" applyFont="1" applyFill="1" applyBorder="1" applyAlignment="1">
      <alignment horizontal="center" vertical="center" wrapText="1"/>
    </xf>
    <xf numFmtId="0" fontId="48" fillId="3" borderId="1" xfId="1" applyFont="1" applyFill="1" applyBorder="1" applyAlignment="1">
      <alignment horizontal="center" vertical="center"/>
    </xf>
    <xf numFmtId="0" fontId="48" fillId="3" borderId="5" xfId="1" applyFont="1" applyFill="1" applyBorder="1" applyAlignment="1">
      <alignment horizontal="center" vertical="center"/>
    </xf>
    <xf numFmtId="0" fontId="48" fillId="0" borderId="30" xfId="1" applyFont="1" applyBorder="1" applyAlignment="1">
      <alignment horizontal="right"/>
    </xf>
    <xf numFmtId="0" fontId="48" fillId="0" borderId="31" xfId="1" applyFont="1" applyBorder="1" applyAlignment="1">
      <alignment horizontal="right"/>
    </xf>
    <xf numFmtId="0" fontId="48" fillId="0" borderId="34" xfId="1" applyFont="1" applyBorder="1" applyAlignment="1">
      <alignment horizontal="right"/>
    </xf>
    <xf numFmtId="164" fontId="56" fillId="0" borderId="12" xfId="1" applyNumberFormat="1" applyFont="1" applyBorder="1" applyAlignment="1">
      <alignment horizontal="right"/>
    </xf>
    <xf numFmtId="0" fontId="56" fillId="2" borderId="13" xfId="1" applyFont="1" applyFill="1" applyBorder="1" applyAlignment="1">
      <alignment horizontal="center"/>
    </xf>
    <xf numFmtId="0" fontId="56" fillId="2" borderId="32" xfId="1" applyFont="1" applyFill="1" applyBorder="1" applyAlignment="1">
      <alignment horizontal="center"/>
    </xf>
    <xf numFmtId="0" fontId="48" fillId="0" borderId="28" xfId="1" applyFont="1" applyBorder="1" applyAlignment="1">
      <alignment horizontal="right"/>
    </xf>
    <xf numFmtId="0" fontId="48" fillId="0" borderId="29" xfId="1" applyFont="1" applyBorder="1" applyAlignment="1">
      <alignment horizontal="right"/>
    </xf>
    <xf numFmtId="0" fontId="48" fillId="0" borderId="19" xfId="1" applyFont="1" applyBorder="1" applyAlignment="1">
      <alignment horizontal="right"/>
    </xf>
    <xf numFmtId="0" fontId="56" fillId="0" borderId="3" xfId="1" applyFont="1" applyBorder="1" applyAlignment="1">
      <alignment horizontal="right"/>
    </xf>
    <xf numFmtId="164" fontId="56" fillId="0" borderId="18" xfId="1" applyNumberFormat="1" applyFont="1" applyBorder="1" applyAlignment="1">
      <alignment horizontal="center"/>
    </xf>
    <xf numFmtId="164" fontId="56" fillId="0" borderId="33" xfId="1" applyNumberFormat="1" applyFont="1" applyBorder="1" applyAlignment="1">
      <alignment horizontal="center"/>
    </xf>
    <xf numFmtId="164" fontId="56" fillId="0" borderId="18" xfId="1" applyNumberFormat="1" applyFont="1" applyBorder="1" applyAlignment="1">
      <alignment horizontal="right" wrapText="1"/>
    </xf>
    <xf numFmtId="164" fontId="56" fillId="0" borderId="19" xfId="1" applyNumberFormat="1" applyFont="1" applyBorder="1" applyAlignment="1">
      <alignment horizontal="right" wrapText="1"/>
    </xf>
    <xf numFmtId="164" fontId="56" fillId="0" borderId="18" xfId="0" applyNumberFormat="1" applyFont="1" applyBorder="1" applyAlignment="1">
      <alignment horizontal="center" wrapText="1"/>
    </xf>
    <xf numFmtId="164" fontId="56" fillId="0" borderId="33" xfId="0" applyNumberFormat="1" applyFont="1" applyBorder="1" applyAlignment="1">
      <alignment horizontal="center" wrapText="1"/>
    </xf>
    <xf numFmtId="0" fontId="56" fillId="0" borderId="18" xfId="0" applyFont="1" applyBorder="1" applyAlignment="1">
      <alignment horizontal="left" wrapText="1"/>
    </xf>
    <xf numFmtId="0" fontId="56" fillId="0" borderId="29" xfId="0" applyFont="1" applyBorder="1" applyAlignment="1">
      <alignment horizontal="left" wrapText="1"/>
    </xf>
    <xf numFmtId="0" fontId="56" fillId="0" borderId="19" xfId="0" applyFont="1" applyBorder="1" applyAlignment="1">
      <alignment horizontal="left" wrapText="1"/>
    </xf>
    <xf numFmtId="0" fontId="48" fillId="0" borderId="23" xfId="1" applyFont="1" applyBorder="1" applyAlignment="1">
      <alignment horizontal="right"/>
    </xf>
    <xf numFmtId="0" fontId="48" fillId="0" borderId="51" xfId="1" applyFont="1" applyBorder="1" applyAlignment="1">
      <alignment horizontal="right"/>
    </xf>
    <xf numFmtId="0" fontId="48" fillId="0" borderId="5" xfId="1" applyFont="1" applyBorder="1" applyAlignment="1">
      <alignment horizontal="right"/>
    </xf>
    <xf numFmtId="0" fontId="56" fillId="0" borderId="5" xfId="1" applyFont="1" applyBorder="1" applyAlignment="1">
      <alignment horizontal="right"/>
    </xf>
    <xf numFmtId="0" fontId="48" fillId="3" borderId="9" xfId="1" applyFont="1" applyFill="1" applyBorder="1" applyAlignment="1">
      <alignment horizontal="left"/>
    </xf>
    <xf numFmtId="0" fontId="48" fillId="3" borderId="10" xfId="1" applyFont="1" applyFill="1" applyBorder="1" applyAlignment="1">
      <alignment horizontal="left"/>
    </xf>
    <xf numFmtId="0" fontId="48" fillId="3" borderId="11" xfId="1" applyFont="1" applyFill="1" applyBorder="1" applyAlignment="1">
      <alignment horizontal="left"/>
    </xf>
    <xf numFmtId="0" fontId="4" fillId="0" borderId="30" xfId="1" applyFont="1" applyBorder="1" applyAlignment="1">
      <alignment horizontal="left" wrapText="1"/>
    </xf>
    <xf numFmtId="0" fontId="4" fillId="0" borderId="31" xfId="1" applyFont="1" applyBorder="1" applyAlignment="1">
      <alignment horizontal="left" wrapText="1"/>
    </xf>
    <xf numFmtId="0" fontId="4" fillId="0" borderId="32" xfId="1" applyFont="1" applyBorder="1" applyAlignment="1">
      <alignment horizontal="left" wrapText="1"/>
    </xf>
    <xf numFmtId="0" fontId="48" fillId="15" borderId="58" xfId="2" applyFont="1" applyFill="1" applyBorder="1" applyAlignment="1">
      <alignment horizontal="center"/>
    </xf>
    <xf numFmtId="0" fontId="48" fillId="15" borderId="47" xfId="2" applyFont="1" applyFill="1" applyBorder="1" applyAlignment="1">
      <alignment horizontal="center"/>
    </xf>
    <xf numFmtId="0" fontId="56" fillId="2" borderId="59" xfId="2" applyFont="1" applyFill="1" applyBorder="1" applyAlignment="1">
      <alignment horizontal="left"/>
    </xf>
    <xf numFmtId="0" fontId="56" fillId="2" borderId="0" xfId="2" applyFont="1" applyFill="1" applyAlignment="1">
      <alignment horizontal="left"/>
    </xf>
    <xf numFmtId="164" fontId="10" fillId="0" borderId="18" xfId="0" applyNumberFormat="1" applyFont="1" applyBorder="1" applyAlignment="1">
      <alignment horizontal="center" wrapText="1"/>
    </xf>
    <xf numFmtId="164" fontId="10" fillId="0" borderId="33" xfId="0" applyNumberFormat="1" applyFont="1" applyBorder="1" applyAlignment="1">
      <alignment horizontal="center" wrapText="1"/>
    </xf>
    <xf numFmtId="0" fontId="10" fillId="0" borderId="18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26" xfId="6" applyFont="1" applyBorder="1" applyAlignment="1">
      <alignment horizontal="left"/>
    </xf>
    <xf numFmtId="0" fontId="10" fillId="0" borderId="27" xfId="6" applyFont="1" applyBorder="1" applyAlignment="1">
      <alignment horizontal="left"/>
    </xf>
    <xf numFmtId="0" fontId="10" fillId="0" borderId="56" xfId="6" applyFont="1" applyBorder="1" applyAlignment="1">
      <alignment horizontal="left"/>
    </xf>
    <xf numFmtId="0" fontId="10" fillId="0" borderId="28" xfId="6" applyFont="1" applyBorder="1" applyAlignment="1">
      <alignment horizontal="left"/>
    </xf>
    <xf numFmtId="0" fontId="10" fillId="0" borderId="29" xfId="6" applyFont="1" applyBorder="1" applyAlignment="1">
      <alignment horizontal="left"/>
    </xf>
    <xf numFmtId="0" fontId="10" fillId="0" borderId="33" xfId="6" applyFont="1" applyBorder="1" applyAlignment="1">
      <alignment horizontal="left"/>
    </xf>
    <xf numFmtId="0" fontId="10" fillId="0" borderId="57" xfId="6" applyFont="1" applyBorder="1" applyAlignment="1">
      <alignment horizontal="left"/>
    </xf>
    <xf numFmtId="0" fontId="10" fillId="0" borderId="50" xfId="6" applyFont="1" applyBorder="1" applyAlignment="1">
      <alignment horizontal="left"/>
    </xf>
    <xf numFmtId="0" fontId="10" fillId="0" borderId="25" xfId="6" applyFont="1" applyBorder="1" applyAlignment="1">
      <alignment horizontal="left"/>
    </xf>
    <xf numFmtId="0" fontId="6" fillId="0" borderId="36" xfId="1" applyFont="1" applyBorder="1" applyAlignment="1">
      <alignment horizontal="left" wrapText="1"/>
    </xf>
    <xf numFmtId="0" fontId="9" fillId="0" borderId="27" xfId="1" applyFont="1" applyBorder="1" applyAlignment="1">
      <alignment horizontal="left" wrapText="1"/>
    </xf>
    <xf numFmtId="0" fontId="9" fillId="0" borderId="37" xfId="1" applyFont="1" applyBorder="1" applyAlignment="1">
      <alignment horizontal="left" wrapText="1"/>
    </xf>
    <xf numFmtId="0" fontId="10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8" xfId="0" applyFont="1" applyBorder="1" applyAlignment="1">
      <alignment horizontal="left" wrapText="1"/>
    </xf>
    <xf numFmtId="0" fontId="10" fillId="0" borderId="33" xfId="0" applyFont="1" applyBorder="1" applyAlignment="1">
      <alignment horizontal="left" wrapText="1"/>
    </xf>
    <xf numFmtId="1" fontId="1" fillId="0" borderId="18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1" fillId="6" borderId="18" xfId="0" applyNumberFormat="1" applyFont="1" applyFill="1" applyBorder="1" applyAlignment="1">
      <alignment horizontal="center"/>
    </xf>
    <xf numFmtId="1" fontId="1" fillId="6" borderId="19" xfId="0" applyNumberFormat="1" applyFont="1" applyFill="1" applyBorder="1" applyAlignment="1">
      <alignment horizontal="center"/>
    </xf>
    <xf numFmtId="1" fontId="1" fillId="6" borderId="36" xfId="0" applyNumberFormat="1" applyFont="1" applyFill="1" applyBorder="1" applyAlignment="1">
      <alignment horizontal="center"/>
    </xf>
    <xf numFmtId="1" fontId="1" fillId="6" borderId="37" xfId="0" applyNumberFormat="1" applyFont="1" applyFill="1" applyBorder="1" applyAlignment="1">
      <alignment horizontal="center"/>
    </xf>
    <xf numFmtId="0" fontId="3" fillId="3" borderId="35" xfId="1" applyFont="1" applyFill="1" applyBorder="1" applyAlignment="1">
      <alignment horizontal="center" vertical="center"/>
    </xf>
    <xf numFmtId="0" fontId="3" fillId="3" borderId="6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78" fillId="0" borderId="3" xfId="1" applyFont="1" applyBorder="1" applyAlignment="1">
      <alignment horizontal="center"/>
    </xf>
    <xf numFmtId="0" fontId="78" fillId="0" borderId="3" xfId="1" applyFont="1" applyBorder="1"/>
    <xf numFmtId="0" fontId="78" fillId="0" borderId="12" xfId="1" applyFont="1" applyBorder="1" applyAlignment="1">
      <alignment horizontal="center"/>
    </xf>
    <xf numFmtId="1" fontId="78" fillId="6" borderId="36" xfId="1" applyNumberFormat="1" applyFont="1" applyFill="1" applyBorder="1" applyAlignment="1">
      <alignment horizontal="center"/>
    </xf>
    <xf numFmtId="1" fontId="78" fillId="6" borderId="37" xfId="1" applyNumberFormat="1" applyFont="1" applyFill="1" applyBorder="1" applyAlignment="1">
      <alignment horizontal="center"/>
    </xf>
    <xf numFmtId="0" fontId="67" fillId="5" borderId="15" xfId="1" applyFont="1" applyFill="1" applyBorder="1" applyAlignment="1">
      <alignment horizontal="center"/>
    </xf>
    <xf numFmtId="0" fontId="78" fillId="6" borderId="3" xfId="1" applyFont="1" applyFill="1" applyBorder="1" applyAlignment="1">
      <alignment horizontal="center"/>
    </xf>
    <xf numFmtId="0" fontId="78" fillId="6" borderId="3" xfId="1" applyFont="1" applyFill="1" applyBorder="1"/>
    <xf numFmtId="1" fontId="78" fillId="0" borderId="18" xfId="1" applyNumberFormat="1" applyFont="1" applyBorder="1" applyAlignment="1">
      <alignment horizontal="center"/>
    </xf>
    <xf numFmtId="1" fontId="78" fillId="0" borderId="19" xfId="1" applyNumberFormat="1" applyFont="1" applyBorder="1" applyAlignment="1">
      <alignment horizontal="center"/>
    </xf>
    <xf numFmtId="0" fontId="79" fillId="6" borderId="3" xfId="1" applyFont="1" applyFill="1" applyBorder="1" applyAlignment="1">
      <alignment horizontal="center" vertical="center"/>
    </xf>
    <xf numFmtId="1" fontId="78" fillId="6" borderId="18" xfId="1" applyNumberFormat="1" applyFont="1" applyFill="1" applyBorder="1" applyAlignment="1">
      <alignment horizontal="center"/>
    </xf>
    <xf numFmtId="1" fontId="78" fillId="6" borderId="19" xfId="1" applyNumberFormat="1" applyFont="1" applyFill="1" applyBorder="1" applyAlignment="1">
      <alignment horizontal="center"/>
    </xf>
    <xf numFmtId="0" fontId="79" fillId="0" borderId="14" xfId="1" applyFont="1" applyBorder="1" applyAlignment="1">
      <alignment horizontal="center" vertical="center"/>
    </xf>
    <xf numFmtId="0" fontId="78" fillId="0" borderId="12" xfId="1" applyFont="1" applyBorder="1"/>
    <xf numFmtId="1" fontId="78" fillId="0" borderId="12" xfId="1" applyNumberFormat="1" applyFont="1" applyBorder="1" applyAlignment="1">
      <alignment horizontal="center"/>
    </xf>
    <xf numFmtId="0" fontId="79" fillId="0" borderId="3" xfId="1" applyFont="1" applyBorder="1" applyAlignment="1">
      <alignment horizontal="center" vertical="center"/>
    </xf>
    <xf numFmtId="0" fontId="67" fillId="0" borderId="3" xfId="1" applyFont="1" applyBorder="1"/>
    <xf numFmtId="0" fontId="78" fillId="0" borderId="18" xfId="1" applyFont="1" applyBorder="1" applyAlignment="1">
      <alignment horizontal="center"/>
    </xf>
    <xf numFmtId="0" fontId="67" fillId="0" borderId="3" xfId="1" applyFont="1" applyBorder="1" applyAlignment="1">
      <alignment horizontal="left"/>
    </xf>
    <xf numFmtId="0" fontId="78" fillId="0" borderId="19" xfId="1" applyFont="1" applyBorder="1" applyAlignment="1">
      <alignment horizontal="center"/>
    </xf>
    <xf numFmtId="0" fontId="80" fillId="0" borderId="3" xfId="1" applyFont="1" applyBorder="1" applyAlignment="1">
      <alignment horizontal="center"/>
    </xf>
    <xf numFmtId="0" fontId="80" fillId="0" borderId="0" xfId="1" applyFont="1"/>
    <xf numFmtId="0" fontId="80" fillId="0" borderId="3" xfId="1" applyFont="1" applyBorder="1"/>
    <xf numFmtId="1" fontId="78" fillId="0" borderId="3" xfId="1" applyNumberFormat="1" applyFont="1" applyBorder="1" applyAlignment="1">
      <alignment horizontal="center"/>
    </xf>
    <xf numFmtId="0" fontId="67" fillId="5" borderId="4" xfId="1" applyFont="1" applyFill="1" applyBorder="1" applyAlignment="1">
      <alignment horizontal="center"/>
    </xf>
    <xf numFmtId="0" fontId="78" fillId="0" borderId="3" xfId="0" applyFont="1" applyBorder="1" applyAlignment="1">
      <alignment horizontal="center"/>
    </xf>
    <xf numFmtId="0" fontId="78" fillId="0" borderId="3" xfId="0" applyFont="1" applyBorder="1"/>
    <xf numFmtId="0" fontId="78" fillId="0" borderId="3" xfId="1" applyFont="1" applyBorder="1" applyAlignment="1">
      <alignment horizontal="center" wrapText="1"/>
    </xf>
    <xf numFmtId="49" fontId="79" fillId="2" borderId="7" xfId="1" applyNumberFormat="1" applyFont="1" applyFill="1" applyBorder="1" applyAlignment="1">
      <alignment horizontal="center" vertical="center"/>
    </xf>
    <xf numFmtId="0" fontId="78" fillId="2" borderId="0" xfId="1" applyFont="1" applyFill="1"/>
    <xf numFmtId="1" fontId="78" fillId="2" borderId="0" xfId="1" applyNumberFormat="1" applyFont="1" applyFill="1" applyAlignment="1">
      <alignment horizontal="center"/>
    </xf>
    <xf numFmtId="164" fontId="78" fillId="2" borderId="0" xfId="1" applyNumberFormat="1" applyFont="1" applyFill="1" applyAlignment="1">
      <alignment horizontal="center" wrapText="1"/>
    </xf>
    <xf numFmtId="0" fontId="78" fillId="2" borderId="8" xfId="1" applyFont="1" applyFill="1" applyBorder="1" applyAlignment="1">
      <alignment horizontal="center"/>
    </xf>
    <xf numFmtId="0" fontId="78" fillId="3" borderId="9" xfId="1" applyFont="1" applyFill="1" applyBorder="1" applyAlignment="1">
      <alignment horizontal="center"/>
    </xf>
    <xf numFmtId="0" fontId="78" fillId="3" borderId="10" xfId="1" applyFont="1" applyFill="1" applyBorder="1"/>
    <xf numFmtId="0" fontId="67" fillId="3" borderId="10" xfId="1" applyFont="1" applyFill="1" applyBorder="1" applyAlignment="1">
      <alignment horizontal="center"/>
    </xf>
    <xf numFmtId="1" fontId="67" fillId="3" borderId="10" xfId="1" applyNumberFormat="1" applyFont="1" applyFill="1" applyBorder="1" applyAlignment="1">
      <alignment horizontal="center"/>
    </xf>
    <xf numFmtId="164" fontId="78" fillId="3" borderId="10" xfId="1" applyNumberFormat="1" applyFont="1" applyFill="1" applyBorder="1" applyAlignment="1">
      <alignment horizontal="center" wrapText="1"/>
    </xf>
    <xf numFmtId="0" fontId="78" fillId="3" borderId="11" xfId="1" applyFont="1" applyFill="1" applyBorder="1" applyAlignment="1">
      <alignment horizontal="center"/>
    </xf>
    <xf numFmtId="0" fontId="67" fillId="0" borderId="30" xfId="1" applyFont="1" applyBorder="1" applyAlignment="1">
      <alignment horizontal="right"/>
    </xf>
    <xf numFmtId="0" fontId="67" fillId="0" borderId="34" xfId="1" applyFont="1" applyBorder="1" applyAlignment="1">
      <alignment horizontal="right"/>
    </xf>
    <xf numFmtId="0" fontId="78" fillId="0" borderId="13" xfId="1" applyFont="1" applyBorder="1" applyAlignment="1">
      <alignment horizontal="center"/>
    </xf>
    <xf numFmtId="164" fontId="78" fillId="0" borderId="12" xfId="1" applyNumberFormat="1" applyFont="1" applyBorder="1" applyAlignment="1">
      <alignment horizontal="right"/>
    </xf>
    <xf numFmtId="0" fontId="78" fillId="2" borderId="13" xfId="1" applyFont="1" applyFill="1" applyBorder="1" applyAlignment="1">
      <alignment horizontal="center"/>
    </xf>
    <xf numFmtId="0" fontId="78" fillId="2" borderId="32" xfId="1" applyFont="1" applyFill="1" applyBorder="1" applyAlignment="1">
      <alignment horizontal="center"/>
    </xf>
    <xf numFmtId="0" fontId="67" fillId="0" borderId="28" xfId="1" applyFont="1" applyBorder="1" applyAlignment="1">
      <alignment horizontal="right"/>
    </xf>
    <xf numFmtId="0" fontId="67" fillId="0" borderId="19" xfId="1" applyFont="1" applyBorder="1" applyAlignment="1">
      <alignment horizontal="right"/>
    </xf>
    <xf numFmtId="0" fontId="67" fillId="0" borderId="3" xfId="1" applyFont="1" applyBorder="1" applyAlignment="1">
      <alignment horizontal="center"/>
    </xf>
    <xf numFmtId="0" fontId="78" fillId="0" borderId="3" xfId="1" applyFont="1" applyBorder="1" applyAlignment="1">
      <alignment horizontal="right"/>
    </xf>
    <xf numFmtId="164" fontId="78" fillId="0" borderId="18" xfId="1" applyNumberFormat="1" applyFont="1" applyBorder="1" applyAlignment="1">
      <alignment horizontal="center"/>
    </xf>
    <xf numFmtId="164" fontId="78" fillId="0" borderId="33" xfId="1" applyNumberFormat="1" applyFont="1" applyBorder="1" applyAlignment="1">
      <alignment horizontal="center"/>
    </xf>
    <xf numFmtId="164" fontId="78" fillId="0" borderId="18" xfId="1" applyNumberFormat="1" applyFont="1" applyBorder="1" applyAlignment="1">
      <alignment horizontal="right" wrapText="1"/>
    </xf>
    <xf numFmtId="164" fontId="78" fillId="0" borderId="19" xfId="1" applyNumberFormat="1" applyFont="1" applyBorder="1" applyAlignment="1">
      <alignment horizontal="right" wrapText="1"/>
    </xf>
    <xf numFmtId="0" fontId="67" fillId="0" borderId="23" xfId="1" applyFont="1" applyBorder="1" applyAlignment="1">
      <alignment horizontal="right"/>
    </xf>
    <xf numFmtId="0" fontId="67" fillId="0" borderId="5" xfId="1" applyFont="1" applyBorder="1" applyAlignment="1">
      <alignment horizontal="right"/>
    </xf>
    <xf numFmtId="1" fontId="78" fillId="0" borderId="5" xfId="1" applyNumberFormat="1" applyFont="1" applyBorder="1" applyAlignment="1">
      <alignment horizontal="center"/>
    </xf>
    <xf numFmtId="0" fontId="78" fillId="0" borderId="5" xfId="1" applyFont="1" applyBorder="1" applyAlignment="1">
      <alignment horizontal="center"/>
    </xf>
    <xf numFmtId="0" fontId="78" fillId="0" borderId="5" xfId="1" applyFont="1" applyBorder="1" applyAlignment="1">
      <alignment horizontal="right"/>
    </xf>
    <xf numFmtId="164" fontId="78" fillId="0" borderId="24" xfId="1" applyNumberFormat="1" applyFont="1" applyBorder="1" applyAlignment="1">
      <alignment horizontal="center"/>
    </xf>
    <xf numFmtId="164" fontId="78" fillId="0" borderId="25" xfId="1" applyNumberFormat="1" applyFont="1" applyBorder="1" applyAlignment="1">
      <alignment horizontal="center"/>
    </xf>
    <xf numFmtId="0" fontId="78" fillId="0" borderId="30" xfId="1" applyFont="1" applyBorder="1" applyAlignment="1">
      <alignment horizontal="left" wrapText="1"/>
    </xf>
    <xf numFmtId="0" fontId="78" fillId="0" borderId="31" xfId="1" applyFont="1" applyBorder="1" applyAlignment="1">
      <alignment horizontal="left" wrapText="1"/>
    </xf>
    <xf numFmtId="0" fontId="78" fillId="0" borderId="32" xfId="1" applyFont="1" applyBorder="1" applyAlignment="1">
      <alignment horizontal="left" wrapText="1"/>
    </xf>
    <xf numFmtId="0" fontId="78" fillId="0" borderId="30" xfId="1" applyFont="1" applyBorder="1" applyAlignment="1">
      <alignment horizontal="left"/>
    </xf>
    <xf numFmtId="0" fontId="78" fillId="0" borderId="31" xfId="1" applyFont="1" applyBorder="1" applyAlignment="1">
      <alignment horizontal="left"/>
    </xf>
    <xf numFmtId="0" fontId="78" fillId="0" borderId="32" xfId="1" applyFont="1" applyBorder="1" applyAlignment="1">
      <alignment horizontal="left"/>
    </xf>
    <xf numFmtId="0" fontId="78" fillId="0" borderId="18" xfId="0" applyFont="1" applyBorder="1" applyAlignment="1">
      <alignment horizontal="left"/>
    </xf>
    <xf numFmtId="0" fontId="78" fillId="0" borderId="29" xfId="0" applyFont="1" applyBorder="1" applyAlignment="1">
      <alignment horizontal="left"/>
    </xf>
    <xf numFmtId="0" fontId="78" fillId="0" borderId="19" xfId="0" applyFont="1" applyBorder="1" applyAlignment="1">
      <alignment horizontal="left"/>
    </xf>
    <xf numFmtId="0" fontId="81" fillId="4" borderId="3" xfId="2" applyFont="1" applyFill="1" applyBorder="1" applyAlignment="1">
      <alignment horizontal="center" vertical="center" wrapText="1"/>
    </xf>
    <xf numFmtId="0" fontId="78" fillId="0" borderId="18" xfId="0" applyFont="1" applyBorder="1" applyAlignment="1">
      <alignment horizontal="left" wrapText="1"/>
    </xf>
    <xf numFmtId="0" fontId="67" fillId="18" borderId="3" xfId="1" applyFont="1" applyFill="1" applyBorder="1" applyAlignment="1">
      <alignment horizontal="center"/>
    </xf>
    <xf numFmtId="0" fontId="67" fillId="3" borderId="9" xfId="1" applyFont="1" applyFill="1" applyBorder="1" applyAlignment="1">
      <alignment horizontal="center"/>
    </xf>
    <xf numFmtId="0" fontId="67" fillId="3" borderId="10" xfId="1" applyFont="1" applyFill="1" applyBorder="1" applyAlignment="1">
      <alignment horizontal="center"/>
    </xf>
    <xf numFmtId="0" fontId="67" fillId="3" borderId="11" xfId="1" applyFont="1" applyFill="1" applyBorder="1" applyAlignment="1">
      <alignment horizontal="center"/>
    </xf>
  </cellXfs>
  <cellStyles count="9">
    <cellStyle name="Millares" xfId="4" builtinId="3"/>
    <cellStyle name="Millares [0]" xfId="5" builtinId="6"/>
    <cellStyle name="Normal" xfId="0" builtinId="0"/>
    <cellStyle name="Normal 2" xfId="1" xr:uid="{8B54B854-0E9A-49CC-9F49-0A26C4CE4850}"/>
    <cellStyle name="Normal 2 2" xfId="6" xr:uid="{E025A7E0-A7BD-42C7-A943-5730C9DC3A6E}"/>
    <cellStyle name="Normal 3 2" xfId="7" xr:uid="{2DDB0388-B3D7-4BF1-8620-6E7976DD0C43}"/>
    <cellStyle name="Normal_CRITERIOS DE EVALUACION PT DE GB 2" xfId="2" xr:uid="{1D585B8E-ADE0-4670-BCB4-188728B7A145}"/>
    <cellStyle name="Porcentaje 2" xfId="3" xr:uid="{92FF02E4-01E9-4925-9181-5EF1977DAE28}"/>
    <cellStyle name="Porcentaje 2 2" xfId="8" xr:uid="{62794C1D-1357-427A-AF4B-C45DAB5DF62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gif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68" name="Picture 2">
          <a:extLst>
            <a:ext uri="{FF2B5EF4-FFF2-40B4-BE49-F238E27FC236}">
              <a16:creationId xmlns:a16="http://schemas.microsoft.com/office/drawing/2014/main" id="{D473DEF0-9753-3E77-15E3-C1E1B9E99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69" name="Picture 3">
          <a:extLst>
            <a:ext uri="{FF2B5EF4-FFF2-40B4-BE49-F238E27FC236}">
              <a16:creationId xmlns:a16="http://schemas.microsoft.com/office/drawing/2014/main" id="{68AD3F8D-7AD5-5217-CEDF-8A4BC958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0" name="Picture 5">
          <a:extLst>
            <a:ext uri="{FF2B5EF4-FFF2-40B4-BE49-F238E27FC236}">
              <a16:creationId xmlns:a16="http://schemas.microsoft.com/office/drawing/2014/main" id="{6A0D6BCE-028D-F448-C0B1-5959543B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1" name="Picture 6">
          <a:extLst>
            <a:ext uri="{FF2B5EF4-FFF2-40B4-BE49-F238E27FC236}">
              <a16:creationId xmlns:a16="http://schemas.microsoft.com/office/drawing/2014/main" id="{0F9C08DF-33F3-B82A-8134-9044679A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2" name="Picture 7">
          <a:extLst>
            <a:ext uri="{FF2B5EF4-FFF2-40B4-BE49-F238E27FC236}">
              <a16:creationId xmlns:a16="http://schemas.microsoft.com/office/drawing/2014/main" id="{62B3F9A4-46B3-B545-5588-B43E680A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3" name="Picture 8">
          <a:extLst>
            <a:ext uri="{FF2B5EF4-FFF2-40B4-BE49-F238E27FC236}">
              <a16:creationId xmlns:a16="http://schemas.microsoft.com/office/drawing/2014/main" id="{EBF9D182-5993-F7EC-84D6-AB9E0EA0E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4" name="Picture 9">
          <a:extLst>
            <a:ext uri="{FF2B5EF4-FFF2-40B4-BE49-F238E27FC236}">
              <a16:creationId xmlns:a16="http://schemas.microsoft.com/office/drawing/2014/main" id="{4B50F414-21A1-FB8C-4115-D12F16C1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5" name="Picture 10">
          <a:extLst>
            <a:ext uri="{FF2B5EF4-FFF2-40B4-BE49-F238E27FC236}">
              <a16:creationId xmlns:a16="http://schemas.microsoft.com/office/drawing/2014/main" id="{1196E814-32EE-3D7A-53E2-F4928C100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6" name="Picture 11">
          <a:extLst>
            <a:ext uri="{FF2B5EF4-FFF2-40B4-BE49-F238E27FC236}">
              <a16:creationId xmlns:a16="http://schemas.microsoft.com/office/drawing/2014/main" id="{E7310CDC-0419-28C2-61E1-19338F1EA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7" name="Picture 12">
          <a:extLst>
            <a:ext uri="{FF2B5EF4-FFF2-40B4-BE49-F238E27FC236}">
              <a16:creationId xmlns:a16="http://schemas.microsoft.com/office/drawing/2014/main" id="{16C9C1CA-38D0-F890-18E3-949BF7D9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8" name="Picture 14">
          <a:extLst>
            <a:ext uri="{FF2B5EF4-FFF2-40B4-BE49-F238E27FC236}">
              <a16:creationId xmlns:a16="http://schemas.microsoft.com/office/drawing/2014/main" id="{9F4DC7CB-6CC7-9ED6-2786-A47CF119E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79" name="Picture 15">
          <a:extLst>
            <a:ext uri="{FF2B5EF4-FFF2-40B4-BE49-F238E27FC236}">
              <a16:creationId xmlns:a16="http://schemas.microsoft.com/office/drawing/2014/main" id="{3E27ECFD-17B9-F951-BA5F-8E7D675B0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0" name="Picture 16">
          <a:extLst>
            <a:ext uri="{FF2B5EF4-FFF2-40B4-BE49-F238E27FC236}">
              <a16:creationId xmlns:a16="http://schemas.microsoft.com/office/drawing/2014/main" id="{F943C955-5F9A-CCE4-0DD9-D9531D2A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1" name="Picture 17">
          <a:extLst>
            <a:ext uri="{FF2B5EF4-FFF2-40B4-BE49-F238E27FC236}">
              <a16:creationId xmlns:a16="http://schemas.microsoft.com/office/drawing/2014/main" id="{FCF513A2-C3C9-9078-BD11-38FE15D4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2" name="Picture 18">
          <a:extLst>
            <a:ext uri="{FF2B5EF4-FFF2-40B4-BE49-F238E27FC236}">
              <a16:creationId xmlns:a16="http://schemas.microsoft.com/office/drawing/2014/main" id="{E449A073-738A-9092-3DF6-CDA51EF0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3" name="Picture 19">
          <a:extLst>
            <a:ext uri="{FF2B5EF4-FFF2-40B4-BE49-F238E27FC236}">
              <a16:creationId xmlns:a16="http://schemas.microsoft.com/office/drawing/2014/main" id="{25FCB9C2-D71C-0498-512C-4835B278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4" name="Picture 20">
          <a:extLst>
            <a:ext uri="{FF2B5EF4-FFF2-40B4-BE49-F238E27FC236}">
              <a16:creationId xmlns:a16="http://schemas.microsoft.com/office/drawing/2014/main" id="{8E63DA4D-CF8A-94CC-B28B-3DF695C7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5" name="Picture 21">
          <a:extLst>
            <a:ext uri="{FF2B5EF4-FFF2-40B4-BE49-F238E27FC236}">
              <a16:creationId xmlns:a16="http://schemas.microsoft.com/office/drawing/2014/main" id="{9092EF54-7889-EDF1-B93E-EF9BBE19D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6" name="Picture 22">
          <a:extLst>
            <a:ext uri="{FF2B5EF4-FFF2-40B4-BE49-F238E27FC236}">
              <a16:creationId xmlns:a16="http://schemas.microsoft.com/office/drawing/2014/main" id="{23485112-C78C-CDAA-AC46-15541A49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7" name="Picture 23">
          <a:extLst>
            <a:ext uri="{FF2B5EF4-FFF2-40B4-BE49-F238E27FC236}">
              <a16:creationId xmlns:a16="http://schemas.microsoft.com/office/drawing/2014/main" id="{1005A8D6-3B1B-13A0-F426-6243F31F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8" name="Picture 24">
          <a:extLst>
            <a:ext uri="{FF2B5EF4-FFF2-40B4-BE49-F238E27FC236}">
              <a16:creationId xmlns:a16="http://schemas.microsoft.com/office/drawing/2014/main" id="{5E110F60-4927-3EAC-3042-094D66F4B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89" name="Picture 25">
          <a:extLst>
            <a:ext uri="{FF2B5EF4-FFF2-40B4-BE49-F238E27FC236}">
              <a16:creationId xmlns:a16="http://schemas.microsoft.com/office/drawing/2014/main" id="{63E99ECE-06C9-F5A5-8A2C-08D01BA1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90" name="Picture 27">
          <a:extLst>
            <a:ext uri="{FF2B5EF4-FFF2-40B4-BE49-F238E27FC236}">
              <a16:creationId xmlns:a16="http://schemas.microsoft.com/office/drawing/2014/main" id="{54FB8440-DEFA-8050-4325-005FD894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91" name="Picture 28">
          <a:extLst>
            <a:ext uri="{FF2B5EF4-FFF2-40B4-BE49-F238E27FC236}">
              <a16:creationId xmlns:a16="http://schemas.microsoft.com/office/drawing/2014/main" id="{CDDCCF52-B085-A311-0DCA-CEAA25C4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92" name="Picture 29">
          <a:extLst>
            <a:ext uri="{FF2B5EF4-FFF2-40B4-BE49-F238E27FC236}">
              <a16:creationId xmlns:a16="http://schemas.microsoft.com/office/drawing/2014/main" id="{E3744904-E0CB-0E20-4F63-9FF59978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293" name="Picture 30">
          <a:extLst>
            <a:ext uri="{FF2B5EF4-FFF2-40B4-BE49-F238E27FC236}">
              <a16:creationId xmlns:a16="http://schemas.microsoft.com/office/drawing/2014/main" id="{010B1962-FE9C-BEB4-9CEC-D02AF5697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</xdr:row>
      <xdr:rowOff>38100</xdr:rowOff>
    </xdr:from>
    <xdr:to>
      <xdr:col>0</xdr:col>
      <xdr:colOff>1009650</xdr:colOff>
      <xdr:row>3</xdr:row>
      <xdr:rowOff>9525</xdr:rowOff>
    </xdr:to>
    <xdr:pic>
      <xdr:nvPicPr>
        <xdr:cNvPr id="1294" name="Imagen 8">
          <a:extLst>
            <a:ext uri="{FF2B5EF4-FFF2-40B4-BE49-F238E27FC236}">
              <a16:creationId xmlns:a16="http://schemas.microsoft.com/office/drawing/2014/main" id="{8A0406B6-18C0-0007-CC8A-A565EEFA7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0"/>
          <a:ext cx="9715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20</xdr:col>
      <xdr:colOff>515094</xdr:colOff>
      <xdr:row>11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EA781F-DB98-5630-50C4-D9EF1011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2247900"/>
          <a:ext cx="5334744" cy="514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38100</xdr:rowOff>
    </xdr:from>
    <xdr:to>
      <xdr:col>0</xdr:col>
      <xdr:colOff>1009650</xdr:colOff>
      <xdr:row>4</xdr:row>
      <xdr:rowOff>0</xdr:rowOff>
    </xdr:to>
    <xdr:pic>
      <xdr:nvPicPr>
        <xdr:cNvPr id="4101" name="Imagen 8">
          <a:extLst>
            <a:ext uri="{FF2B5EF4-FFF2-40B4-BE49-F238E27FC236}">
              <a16:creationId xmlns:a16="http://schemas.microsoft.com/office/drawing/2014/main" id="{C65679A0-9A0B-51D4-DB6A-31E9ADE2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0"/>
          <a:ext cx="9715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14</xdr:row>
      <xdr:rowOff>30480</xdr:rowOff>
    </xdr:from>
    <xdr:to>
      <xdr:col>6</xdr:col>
      <xdr:colOff>441960</xdr:colOff>
      <xdr:row>25</xdr:row>
      <xdr:rowOff>45720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F427FB2B-6491-445F-A05B-CCD116421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6940" y="3429000"/>
          <a:ext cx="1874520" cy="2194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548640</xdr:colOff>
      <xdr:row>0</xdr:row>
      <xdr:rowOff>0</xdr:rowOff>
    </xdr:from>
    <xdr:to>
      <xdr:col>2</xdr:col>
      <xdr:colOff>518160</xdr:colOff>
      <xdr:row>4</xdr:row>
      <xdr:rowOff>130399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E6B3033E-CC30-4CF0-B29B-65580929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0"/>
          <a:ext cx="1082040" cy="915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548640</xdr:colOff>
      <xdr:row>14</xdr:row>
      <xdr:rowOff>106680</xdr:rowOff>
    </xdr:from>
    <xdr:to>
      <xdr:col>6</xdr:col>
      <xdr:colOff>495300</xdr:colOff>
      <xdr:row>27</xdr:row>
      <xdr:rowOff>38100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8BC703F-4924-4054-B830-751C6C13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345180" y="3505200"/>
          <a:ext cx="2324100" cy="2110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171030</xdr:colOff>
      <xdr:row>0</xdr:row>
      <xdr:rowOff>141967</xdr:rowOff>
    </xdr:from>
    <xdr:to>
      <xdr:col>1</xdr:col>
      <xdr:colOff>441258</xdr:colOff>
      <xdr:row>4</xdr:row>
      <xdr:rowOff>64260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23D1F130-247C-465F-9DB7-62A4A14DB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30" y="141967"/>
          <a:ext cx="1131288" cy="585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38100</xdr:rowOff>
    </xdr:from>
    <xdr:to>
      <xdr:col>1</xdr:col>
      <xdr:colOff>19050</xdr:colOff>
      <xdr:row>4</xdr:row>
      <xdr:rowOff>0</xdr:rowOff>
    </xdr:to>
    <xdr:pic>
      <xdr:nvPicPr>
        <xdr:cNvPr id="6149" name="Imagen 8">
          <a:extLst>
            <a:ext uri="{FF2B5EF4-FFF2-40B4-BE49-F238E27FC236}">
              <a16:creationId xmlns:a16="http://schemas.microsoft.com/office/drawing/2014/main" id="{AFB2FA49-9917-52A6-5FC5-D9B41AEA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0"/>
          <a:ext cx="9715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43656</xdr:colOff>
      <xdr:row>1</xdr:row>
      <xdr:rowOff>44450</xdr:rowOff>
    </xdr:from>
    <xdr:to>
      <xdr:col>0</xdr:col>
      <xdr:colOff>1190625</xdr:colOff>
      <xdr:row>3</xdr:row>
      <xdr:rowOff>29050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58E16F5-59EA-47B5-9722-58E51EB8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" y="270669"/>
          <a:ext cx="1146969" cy="591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20</xdr:col>
      <xdr:colOff>536057</xdr:colOff>
      <xdr:row>20</xdr:row>
      <xdr:rowOff>95549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74E160-2087-3452-F23F-11751570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1743075"/>
          <a:ext cx="5391902" cy="21434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77FE-1E72-4020-8385-9AB257DF26AF}">
  <dimension ref="A1:L32"/>
  <sheetViews>
    <sheetView zoomScaleNormal="100" workbookViewId="0">
      <selection activeCell="J9" sqref="J9"/>
    </sheetView>
  </sheetViews>
  <sheetFormatPr baseColWidth="10" defaultColWidth="11.42578125" defaultRowHeight="12.75" x14ac:dyDescent="0.2"/>
  <cols>
    <col min="1" max="1" width="16.140625" style="3" customWidth="1"/>
    <col min="2" max="2" width="48.85546875" style="3" customWidth="1"/>
    <col min="3" max="3" width="15.5703125" style="3" customWidth="1"/>
    <col min="4" max="4" width="11.42578125" style="3"/>
    <col min="5" max="5" width="13.140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616"/>
      <c r="B1" s="626" t="s">
        <v>22</v>
      </c>
      <c r="C1" s="626"/>
      <c r="D1" s="626"/>
      <c r="E1" s="626"/>
      <c r="F1" s="626"/>
      <c r="G1" s="1" t="s">
        <v>21</v>
      </c>
      <c r="H1" s="2"/>
    </row>
    <row r="2" spans="1:8" ht="18" x14ac:dyDescent="0.25">
      <c r="A2" s="617"/>
      <c r="B2" s="627" t="s">
        <v>0</v>
      </c>
      <c r="C2" s="627"/>
      <c r="D2" s="627"/>
      <c r="E2" s="627"/>
      <c r="F2" s="627"/>
      <c r="G2" s="4" t="s">
        <v>20</v>
      </c>
      <c r="H2" s="5"/>
    </row>
    <row r="3" spans="1:8" ht="19.5" customHeight="1" x14ac:dyDescent="0.2">
      <c r="A3" s="617"/>
      <c r="B3" s="628" t="s">
        <v>31</v>
      </c>
      <c r="C3" s="628"/>
      <c r="D3" s="628"/>
      <c r="E3" s="628"/>
      <c r="F3" s="628"/>
      <c r="G3" s="583" t="s">
        <v>19</v>
      </c>
      <c r="H3" s="623"/>
    </row>
    <row r="4" spans="1:8" x14ac:dyDescent="0.2">
      <c r="A4" s="617"/>
      <c r="B4" s="40" t="s">
        <v>18</v>
      </c>
      <c r="C4" s="622" t="s">
        <v>26</v>
      </c>
      <c r="D4" s="622"/>
      <c r="E4" s="622"/>
      <c r="F4" s="622"/>
      <c r="G4" s="583"/>
      <c r="H4" s="623"/>
    </row>
    <row r="5" spans="1:8" ht="15" customHeight="1" thickBot="1" x14ac:dyDescent="0.25">
      <c r="A5" s="618"/>
      <c r="B5" s="41" t="s">
        <v>17</v>
      </c>
      <c r="C5" s="625" t="s">
        <v>25</v>
      </c>
      <c r="D5" s="625"/>
      <c r="E5" s="625"/>
      <c r="F5" s="625"/>
      <c r="G5" s="584"/>
      <c r="H5" s="624"/>
    </row>
    <row r="6" spans="1:8" ht="15" customHeight="1" x14ac:dyDescent="0.2">
      <c r="A6" s="35"/>
      <c r="B6" s="36"/>
      <c r="C6" s="37"/>
      <c r="D6" s="37"/>
      <c r="E6" s="37"/>
      <c r="F6" s="37"/>
      <c r="G6" s="38"/>
      <c r="H6" s="39"/>
    </row>
    <row r="7" spans="1:8" ht="21" customHeight="1" thickBot="1" x14ac:dyDescent="0.3">
      <c r="A7" s="629" t="s">
        <v>23</v>
      </c>
      <c r="B7" s="629"/>
      <c r="C7" s="630" t="s">
        <v>30</v>
      </c>
      <c r="D7" s="630"/>
      <c r="E7" s="630"/>
      <c r="F7" s="582" t="s">
        <v>24</v>
      </c>
      <c r="G7" s="582"/>
      <c r="H7" s="47" t="s">
        <v>30</v>
      </c>
    </row>
    <row r="8" spans="1:8" ht="25.5" x14ac:dyDescent="0.2">
      <c r="A8" s="619" t="s">
        <v>1</v>
      </c>
      <c r="B8" s="585" t="s">
        <v>2</v>
      </c>
      <c r="C8" s="585" t="s">
        <v>3</v>
      </c>
      <c r="D8" s="585" t="s">
        <v>4</v>
      </c>
      <c r="E8" s="585"/>
      <c r="F8" s="585" t="s">
        <v>16</v>
      </c>
      <c r="G8" s="585"/>
      <c r="H8" s="6" t="s">
        <v>5</v>
      </c>
    </row>
    <row r="9" spans="1:8" ht="26.25" thickBot="1" x14ac:dyDescent="0.25">
      <c r="A9" s="620"/>
      <c r="B9" s="621"/>
      <c r="C9" s="621"/>
      <c r="D9" s="7" t="s">
        <v>6</v>
      </c>
      <c r="E9" s="8" t="s">
        <v>7</v>
      </c>
      <c r="F9" s="7" t="s">
        <v>6</v>
      </c>
      <c r="G9" s="8" t="s">
        <v>7</v>
      </c>
      <c r="H9" s="46" t="s">
        <v>8</v>
      </c>
    </row>
    <row r="10" spans="1:8" ht="15" x14ac:dyDescent="0.2">
      <c r="A10" s="49" t="s">
        <v>36</v>
      </c>
      <c r="B10" s="50" t="s">
        <v>37</v>
      </c>
      <c r="C10" s="10" t="s">
        <v>38</v>
      </c>
      <c r="D10" s="44">
        <v>21971</v>
      </c>
      <c r="E10" s="43" t="s">
        <v>27</v>
      </c>
      <c r="F10" s="28"/>
      <c r="G10" s="44"/>
      <c r="H10" s="45"/>
    </row>
    <row r="11" spans="1:8" ht="15" x14ac:dyDescent="0.2">
      <c r="A11" s="51" t="s">
        <v>39</v>
      </c>
      <c r="B11" s="52" t="s">
        <v>40</v>
      </c>
      <c r="C11" s="44" t="s">
        <v>41</v>
      </c>
      <c r="D11" s="43">
        <v>6687</v>
      </c>
      <c r="E11" s="43" t="s">
        <v>27</v>
      </c>
      <c r="F11" s="28"/>
      <c r="G11" s="44"/>
      <c r="H11" s="45"/>
    </row>
    <row r="12" spans="1:8" ht="15" x14ac:dyDescent="0.2">
      <c r="A12" s="51" t="s">
        <v>42</v>
      </c>
      <c r="B12" s="52" t="s">
        <v>43</v>
      </c>
      <c r="C12" s="44" t="s">
        <v>44</v>
      </c>
      <c r="D12" s="43">
        <v>5732</v>
      </c>
      <c r="E12" s="43" t="s">
        <v>27</v>
      </c>
      <c r="F12" s="28"/>
      <c r="G12" s="44"/>
      <c r="H12" s="45"/>
    </row>
    <row r="13" spans="1:8" ht="15" x14ac:dyDescent="0.2">
      <c r="A13" s="10"/>
      <c r="B13" s="54" t="s">
        <v>45</v>
      </c>
      <c r="C13" s="10" t="s">
        <v>38</v>
      </c>
      <c r="D13" s="43">
        <v>5350</v>
      </c>
      <c r="E13" s="43" t="s">
        <v>27</v>
      </c>
      <c r="F13" s="28"/>
      <c r="G13" s="44"/>
      <c r="H13" s="45"/>
    </row>
    <row r="14" spans="1:8" ht="15" x14ac:dyDescent="0.2">
      <c r="A14" s="55" t="s">
        <v>46</v>
      </c>
      <c r="B14" t="s">
        <v>47</v>
      </c>
      <c r="C14" s="44" t="s">
        <v>38</v>
      </c>
      <c r="D14" s="43">
        <v>5850</v>
      </c>
      <c r="E14" s="43" t="s">
        <v>27</v>
      </c>
      <c r="F14" s="28"/>
      <c r="G14" s="44"/>
      <c r="H14" s="45"/>
    </row>
    <row r="15" spans="1:8" ht="15" x14ac:dyDescent="0.2">
      <c r="A15" s="57" t="s">
        <v>48</v>
      </c>
      <c r="B15" s="58" t="s">
        <v>125</v>
      </c>
      <c r="C15" s="44" t="s">
        <v>124</v>
      </c>
      <c r="D15" s="43">
        <v>9750</v>
      </c>
      <c r="E15" s="43" t="s">
        <v>27</v>
      </c>
      <c r="F15" s="28"/>
      <c r="G15" s="44"/>
      <c r="H15" s="45"/>
    </row>
    <row r="16" spans="1:8" ht="15" x14ac:dyDescent="0.2">
      <c r="A16" s="42"/>
      <c r="B16" s="48"/>
      <c r="C16" s="43"/>
      <c r="D16" s="43"/>
      <c r="E16" s="43"/>
      <c r="F16" s="28"/>
      <c r="G16" s="44"/>
      <c r="H16" s="45"/>
    </row>
    <row r="17" spans="1:12" ht="13.5" thickBot="1" x14ac:dyDescent="0.25">
      <c r="A17" s="17"/>
      <c r="D17" s="18"/>
      <c r="E17" s="19"/>
      <c r="H17" s="20"/>
      <c r="K17" s="21"/>
    </row>
    <row r="18" spans="1:12" ht="13.5" thickBot="1" x14ac:dyDescent="0.25">
      <c r="A18" s="22"/>
      <c r="B18" s="23"/>
      <c r="C18" s="24" t="s">
        <v>6</v>
      </c>
      <c r="D18" s="25" t="s">
        <v>15</v>
      </c>
      <c r="E18" s="26"/>
      <c r="F18" s="23"/>
      <c r="G18" s="23"/>
      <c r="H18" s="27"/>
      <c r="K18" s="21"/>
    </row>
    <row r="19" spans="1:12" x14ac:dyDescent="0.2">
      <c r="A19" s="611" t="s">
        <v>10</v>
      </c>
      <c r="B19" s="612"/>
      <c r="C19" s="28">
        <v>54600</v>
      </c>
      <c r="D19" s="29" t="s">
        <v>27</v>
      </c>
      <c r="E19" s="613"/>
      <c r="F19" s="613"/>
      <c r="G19" s="614"/>
      <c r="H19" s="615"/>
      <c r="K19" s="21"/>
    </row>
    <row r="20" spans="1:12" x14ac:dyDescent="0.2">
      <c r="A20" s="606" t="s">
        <v>9</v>
      </c>
      <c r="B20" s="607"/>
      <c r="C20" s="30">
        <v>10</v>
      </c>
      <c r="D20" s="10" t="s">
        <v>28</v>
      </c>
      <c r="E20" s="608"/>
      <c r="F20" s="608"/>
      <c r="G20" s="604"/>
      <c r="H20" s="605"/>
      <c r="K20" s="21"/>
    </row>
    <row r="21" spans="1:12" x14ac:dyDescent="0.2">
      <c r="A21" s="606" t="s">
        <v>14</v>
      </c>
      <c r="B21" s="607"/>
      <c r="C21" s="10">
        <v>1</v>
      </c>
      <c r="D21" s="10" t="s">
        <v>29</v>
      </c>
      <c r="E21" s="608"/>
      <c r="F21" s="608"/>
      <c r="G21" s="604"/>
      <c r="H21" s="605"/>
      <c r="K21" s="21"/>
    </row>
    <row r="22" spans="1:12" x14ac:dyDescent="0.2">
      <c r="A22" s="606" t="s">
        <v>13</v>
      </c>
      <c r="B22" s="607"/>
      <c r="C22" s="9">
        <v>54600</v>
      </c>
      <c r="D22" s="10" t="s">
        <v>27</v>
      </c>
      <c r="E22" s="609"/>
      <c r="F22" s="610"/>
      <c r="G22" s="604"/>
      <c r="H22" s="605"/>
      <c r="K22" s="21"/>
      <c r="L22" s="31"/>
    </row>
    <row r="23" spans="1:12" ht="13.5" thickBot="1" x14ac:dyDescent="0.25">
      <c r="A23" s="589" t="s">
        <v>12</v>
      </c>
      <c r="B23" s="590"/>
      <c r="C23" s="32">
        <f>SUM(D10:D15)-C19</f>
        <v>740</v>
      </c>
      <c r="D23" s="33" t="s">
        <v>27</v>
      </c>
      <c r="E23" s="591"/>
      <c r="F23" s="591"/>
      <c r="G23" s="592"/>
      <c r="H23" s="593"/>
      <c r="K23" s="21"/>
    </row>
    <row r="24" spans="1:12" ht="13.5" thickBot="1" x14ac:dyDescent="0.25">
      <c r="A24" s="596" t="s">
        <v>11</v>
      </c>
      <c r="B24" s="597"/>
      <c r="C24" s="597"/>
      <c r="D24" s="597"/>
      <c r="E24" s="597"/>
      <c r="F24" s="597"/>
      <c r="G24" s="597"/>
      <c r="H24" s="598"/>
    </row>
    <row r="25" spans="1:12" ht="15" customHeight="1" x14ac:dyDescent="0.25">
      <c r="A25" s="594" t="s">
        <v>51</v>
      </c>
      <c r="B25" s="595"/>
      <c r="C25" s="595"/>
      <c r="D25" s="595"/>
      <c r="E25" s="595"/>
      <c r="F25" s="595"/>
      <c r="G25" s="595"/>
      <c r="H25" s="595"/>
    </row>
    <row r="26" spans="1:12" ht="15" customHeight="1" x14ac:dyDescent="0.25">
      <c r="A26" s="599" t="s">
        <v>54</v>
      </c>
      <c r="B26" s="600"/>
      <c r="C26" s="600"/>
      <c r="D26" s="600"/>
      <c r="E26" s="600"/>
      <c r="F26" s="600"/>
      <c r="G26" s="600"/>
      <c r="H26" s="600"/>
    </row>
    <row r="27" spans="1:12" ht="15" customHeight="1" x14ac:dyDescent="0.25">
      <c r="A27" s="599" t="s">
        <v>52</v>
      </c>
      <c r="B27" s="600"/>
      <c r="C27" s="600"/>
      <c r="D27" s="600"/>
      <c r="E27" s="600"/>
      <c r="F27" s="600"/>
      <c r="G27" s="600"/>
      <c r="H27" s="600"/>
    </row>
    <row r="28" spans="1:12" ht="15" customHeight="1" x14ac:dyDescent="0.25">
      <c r="A28" s="599" t="s">
        <v>53</v>
      </c>
      <c r="B28" s="600"/>
      <c r="C28" s="600"/>
      <c r="D28" s="600"/>
      <c r="E28" s="600"/>
      <c r="F28" s="600"/>
      <c r="G28" s="600"/>
      <c r="H28" s="600"/>
    </row>
    <row r="29" spans="1:12" ht="14.25" x14ac:dyDescent="0.2">
      <c r="A29" s="601"/>
      <c r="B29" s="602"/>
      <c r="C29" s="602"/>
      <c r="D29" s="602"/>
      <c r="E29" s="602"/>
      <c r="F29" s="602"/>
      <c r="G29" s="602"/>
      <c r="H29" s="603"/>
    </row>
    <row r="30" spans="1:12" ht="16.5" customHeight="1" thickBot="1" x14ac:dyDescent="0.25">
      <c r="A30" s="586"/>
      <c r="B30" s="587"/>
      <c r="C30" s="587"/>
      <c r="D30" s="587"/>
      <c r="E30" s="587"/>
      <c r="F30" s="587"/>
      <c r="G30" s="587"/>
      <c r="H30" s="588"/>
    </row>
    <row r="32" spans="1:12" x14ac:dyDescent="0.2">
      <c r="A32" s="34"/>
      <c r="B32" s="34"/>
    </row>
  </sheetData>
  <mergeCells count="38">
    <mergeCell ref="A19:B19"/>
    <mergeCell ref="E19:F19"/>
    <mergeCell ref="G19:H19"/>
    <mergeCell ref="A1:A5"/>
    <mergeCell ref="A8:A9"/>
    <mergeCell ref="B8:B9"/>
    <mergeCell ref="C8:C9"/>
    <mergeCell ref="D8:E8"/>
    <mergeCell ref="C4:F4"/>
    <mergeCell ref="H3:H5"/>
    <mergeCell ref="C5:F5"/>
    <mergeCell ref="B1:F1"/>
    <mergeCell ref="B2:F2"/>
    <mergeCell ref="B3:F3"/>
    <mergeCell ref="A7:B7"/>
    <mergeCell ref="C7:E7"/>
    <mergeCell ref="A21:B21"/>
    <mergeCell ref="E21:F21"/>
    <mergeCell ref="G21:H21"/>
    <mergeCell ref="E22:F22"/>
    <mergeCell ref="A20:B20"/>
    <mergeCell ref="E20:F20"/>
    <mergeCell ref="F7:G7"/>
    <mergeCell ref="G3:G5"/>
    <mergeCell ref="F8:G8"/>
    <mergeCell ref="A30:H30"/>
    <mergeCell ref="A23:B23"/>
    <mergeCell ref="E23:F23"/>
    <mergeCell ref="G23:H23"/>
    <mergeCell ref="A25:H25"/>
    <mergeCell ref="A24:H24"/>
    <mergeCell ref="A26:H26"/>
    <mergeCell ref="A27:H27"/>
    <mergeCell ref="A28:H28"/>
    <mergeCell ref="A29:H29"/>
    <mergeCell ref="G22:H22"/>
    <mergeCell ref="A22:B22"/>
    <mergeCell ref="G20:H20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26DB-3EEF-403D-BF5B-6F4D2991D6A0}">
  <dimension ref="A1:R91"/>
  <sheetViews>
    <sheetView topLeftCell="A5" workbookViewId="0">
      <selection activeCell="A45" sqref="A45:XFD50"/>
    </sheetView>
  </sheetViews>
  <sheetFormatPr baseColWidth="10" defaultColWidth="8.42578125" defaultRowHeight="12.75" x14ac:dyDescent="0.2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8" ht="27.75" customHeight="1" x14ac:dyDescent="0.2">
      <c r="A1" s="82"/>
      <c r="B1" s="82"/>
      <c r="C1" s="82"/>
      <c r="D1" s="82"/>
      <c r="E1" s="83" t="s">
        <v>126</v>
      </c>
      <c r="F1" s="84" t="s">
        <v>127</v>
      </c>
      <c r="G1" s="84" t="s">
        <v>128</v>
      </c>
      <c r="H1" s="84" t="s">
        <v>129</v>
      </c>
      <c r="I1" s="85"/>
    </row>
    <row r="2" spans="1:18" ht="30.75" customHeight="1" x14ac:dyDescent="0.2">
      <c r="A2" s="82"/>
      <c r="B2" s="82"/>
      <c r="C2" s="82"/>
      <c r="D2" s="82"/>
      <c r="E2" s="88">
        <f>IFERROR(O62,"")</f>
        <v>93273.366103896115</v>
      </c>
      <c r="F2" s="88">
        <f>IFERROR(H53,"")</f>
        <v>91461.040000000008</v>
      </c>
      <c r="G2" s="88">
        <f>IFERROR(H54,"")</f>
        <v>0</v>
      </c>
      <c r="H2" s="88">
        <f>IFERROR(H56,"")</f>
        <v>989.71</v>
      </c>
      <c r="I2" s="89"/>
    </row>
    <row r="3" spans="1:18" ht="15" customHeight="1" x14ac:dyDescent="0.2">
      <c r="A3" s="82"/>
      <c r="B3" s="82"/>
      <c r="C3" s="82"/>
      <c r="D3" s="82"/>
      <c r="E3" s="82"/>
      <c r="F3" s="90"/>
      <c r="G3" s="90"/>
      <c r="H3" s="90"/>
      <c r="I3" s="90"/>
    </row>
    <row r="4" spans="1:18" ht="24.75" customHeight="1" thickBot="1" x14ac:dyDescent="0.25">
      <c r="A4" s="632"/>
      <c r="B4" s="632"/>
      <c r="C4" s="632"/>
      <c r="D4" s="632"/>
      <c r="E4" s="632"/>
      <c r="F4" s="632"/>
      <c r="G4" s="632"/>
      <c r="H4" s="632"/>
      <c r="I4" s="91"/>
    </row>
    <row r="5" spans="1:18" ht="19.5" customHeight="1" thickBot="1" x14ac:dyDescent="0.25">
      <c r="A5" s="633" t="s">
        <v>130</v>
      </c>
      <c r="B5" s="634"/>
      <c r="C5" s="634"/>
      <c r="D5" s="634"/>
      <c r="E5" s="634"/>
      <c r="F5" s="634"/>
      <c r="G5" s="634"/>
      <c r="H5" s="635"/>
      <c r="I5" s="92"/>
    </row>
    <row r="6" spans="1:18" ht="19.5" thickBot="1" x14ac:dyDescent="0.25">
      <c r="A6" s="92"/>
      <c r="B6" s="92"/>
      <c r="C6" s="92"/>
      <c r="D6" s="92"/>
      <c r="E6" s="92"/>
      <c r="F6" s="636" t="s">
        <v>131</v>
      </c>
      <c r="G6" s="636"/>
      <c r="H6" s="93">
        <f ca="1">TODAY()</f>
        <v>45901</v>
      </c>
      <c r="I6" s="93"/>
    </row>
    <row r="7" spans="1:18" ht="26.25" thickBot="1" x14ac:dyDescent="0.25">
      <c r="A7" s="94" t="s">
        <v>132</v>
      </c>
      <c r="B7" s="95" t="s">
        <v>133</v>
      </c>
      <c r="C7" s="95" t="s">
        <v>132</v>
      </c>
      <c r="D7" s="96" t="s">
        <v>134</v>
      </c>
      <c r="E7" s="96" t="s">
        <v>135</v>
      </c>
      <c r="F7" s="96" t="s">
        <v>136</v>
      </c>
      <c r="G7" s="96" t="s">
        <v>137</v>
      </c>
      <c r="H7" s="97" t="s">
        <v>138</v>
      </c>
      <c r="I7" s="98"/>
    </row>
    <row r="8" spans="1:18" ht="13.5" x14ac:dyDescent="0.25">
      <c r="A8" s="99">
        <v>6687</v>
      </c>
      <c r="B8" s="87" t="s">
        <v>40</v>
      </c>
      <c r="C8" s="100">
        <f>+A8</f>
        <v>6687</v>
      </c>
      <c r="D8" s="101" t="s">
        <v>177</v>
      </c>
      <c r="E8" s="101">
        <v>2.27</v>
      </c>
      <c r="F8" s="101">
        <f>IFERROR(C8*E8,"")</f>
        <v>15179.49</v>
      </c>
      <c r="G8" s="102">
        <f t="shared" ref="G8:G14" si="0">IFERROR(F8/$F$66,"")</f>
        <v>0.16138047960845117</v>
      </c>
      <c r="H8" s="103" t="s">
        <v>39</v>
      </c>
      <c r="I8" s="103"/>
      <c r="J8" s="104"/>
    </row>
    <row r="9" spans="1:18" ht="13.5" x14ac:dyDescent="0.25">
      <c r="A9" s="99">
        <v>5732</v>
      </c>
      <c r="B9" s="87" t="s">
        <v>43</v>
      </c>
      <c r="C9" s="100">
        <f t="shared" ref="C9:C14" si="1">+A9</f>
        <v>5732</v>
      </c>
      <c r="D9" s="101" t="s">
        <v>177</v>
      </c>
      <c r="E9" s="101">
        <v>0.89</v>
      </c>
      <c r="F9" s="101">
        <f t="shared" ref="F9:F14" si="2">IFERROR(C9*E9,"")</f>
        <v>5101.4800000000005</v>
      </c>
      <c r="G9" s="102">
        <f t="shared" si="0"/>
        <v>5.4236294441573567E-2</v>
      </c>
      <c r="H9" s="103" t="s">
        <v>42</v>
      </c>
      <c r="I9" s="103"/>
      <c r="J9" s="104"/>
    </row>
    <row r="10" spans="1:18" ht="13.5" x14ac:dyDescent="0.25">
      <c r="A10" s="99">
        <v>5850</v>
      </c>
      <c r="B10" s="87" t="s">
        <v>47</v>
      </c>
      <c r="C10" s="100">
        <f t="shared" si="1"/>
        <v>5850</v>
      </c>
      <c r="D10" s="101" t="s">
        <v>177</v>
      </c>
      <c r="E10" s="101">
        <v>3.49</v>
      </c>
      <c r="F10" s="101">
        <f t="shared" si="2"/>
        <v>20416.5</v>
      </c>
      <c r="G10" s="102">
        <f t="shared" si="0"/>
        <v>0.2170576588492725</v>
      </c>
      <c r="H10" s="103" t="s">
        <v>46</v>
      </c>
      <c r="I10" s="103"/>
      <c r="J10" s="104"/>
    </row>
    <row r="11" spans="1:18" ht="13.5" x14ac:dyDescent="0.25">
      <c r="A11" s="99">
        <v>9750</v>
      </c>
      <c r="B11" s="87" t="s">
        <v>125</v>
      </c>
      <c r="C11" s="100">
        <f t="shared" si="1"/>
        <v>9750</v>
      </c>
      <c r="D11" s="101" t="s">
        <v>177</v>
      </c>
      <c r="E11" s="101">
        <v>2.57</v>
      </c>
      <c r="F11" s="101">
        <f t="shared" si="2"/>
        <v>25057.5</v>
      </c>
      <c r="G11" s="102">
        <f t="shared" si="0"/>
        <v>0.26639836831071173</v>
      </c>
      <c r="H11" s="103"/>
      <c r="I11" s="103"/>
      <c r="J11" s="104"/>
    </row>
    <row r="12" spans="1:18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  <c r="R12" s="87">
        <f>25628/9980</f>
        <v>2.567935871743487</v>
      </c>
    </row>
    <row r="13" spans="1:18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8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8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8" ht="26.25" thickBot="1" x14ac:dyDescent="0.25">
      <c r="A16" s="94" t="s">
        <v>132</v>
      </c>
      <c r="B16" s="95" t="s">
        <v>139</v>
      </c>
      <c r="C16" s="95" t="s">
        <v>132</v>
      </c>
      <c r="D16" s="96" t="s">
        <v>134</v>
      </c>
      <c r="E16" s="96" t="s">
        <v>135</v>
      </c>
      <c r="F16" s="96" t="s">
        <v>136</v>
      </c>
      <c r="G16" s="96" t="s">
        <v>137</v>
      </c>
      <c r="H16" s="97" t="s">
        <v>138</v>
      </c>
      <c r="I16" s="98"/>
      <c r="J16" s="104"/>
    </row>
    <row r="17" spans="1:12" ht="13.5" x14ac:dyDescent="0.25">
      <c r="A17" s="99">
        <v>21971</v>
      </c>
      <c r="B17" s="87" t="s">
        <v>37</v>
      </c>
      <c r="C17" s="100">
        <f>+A17</f>
        <v>21971</v>
      </c>
      <c r="D17" s="100" t="s">
        <v>177</v>
      </c>
      <c r="E17" s="101">
        <v>1.17</v>
      </c>
      <c r="F17" s="101">
        <f>IFERROR(E17*C17,"")</f>
        <v>25706.07</v>
      </c>
      <c r="G17" s="102">
        <f t="shared" ref="G17:G24" si="3">IFERROR(F17/$F$66,"")</f>
        <v>0.27329362880099517</v>
      </c>
      <c r="H17" s="103" t="s">
        <v>36</v>
      </c>
      <c r="I17" s="103"/>
      <c r="J17" s="104"/>
    </row>
    <row r="18" spans="1:12" ht="13.5" hidden="1" x14ac:dyDescent="0.25">
      <c r="A18" s="99"/>
      <c r="B18" s="87" t="str">
        <f>IFERROR(VLOOKUP(H18,[1]SEMIELABORADOS!$A$2:$M$6000,2,0),"")</f>
        <v/>
      </c>
      <c r="C18" s="100">
        <f t="shared" ref="C18:C24" si="4">+A18</f>
        <v>0</v>
      </c>
      <c r="D18" s="100" t="str">
        <f>IFERROR(VLOOKUP(H18,[1]SEMIELABORADOS!$A$2:$M$6000,6,0),"")</f>
        <v/>
      </c>
      <c r="E18" s="101" t="str">
        <f>IFERROR(VLOOKUP(H18,[1]SEMIELABORADOS!$A$2:$H$65536,8,0),"")</f>
        <v/>
      </c>
      <c r="F18" s="101" t="str">
        <f t="shared" ref="F18:F24" si="5">IFERROR(E18*C18,"")</f>
        <v/>
      </c>
      <c r="G18" s="102" t="str">
        <f t="shared" si="3"/>
        <v/>
      </c>
      <c r="H18" s="103"/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hidden="1" thickBot="1" x14ac:dyDescent="0.25">
      <c r="A26" s="94" t="s">
        <v>132</v>
      </c>
      <c r="B26" s="95" t="s">
        <v>80</v>
      </c>
      <c r="C26" s="95" t="s">
        <v>132</v>
      </c>
      <c r="D26" s="96" t="s">
        <v>134</v>
      </c>
      <c r="E26" s="96" t="s">
        <v>135</v>
      </c>
      <c r="F26" s="96" t="s">
        <v>136</v>
      </c>
      <c r="G26" s="96" t="s">
        <v>137</v>
      </c>
      <c r="H26" s="97" t="s">
        <v>138</v>
      </c>
      <c r="I26" s="98"/>
    </row>
    <row r="27" spans="1:12" ht="13.5" hidden="1" x14ac:dyDescent="0.25">
      <c r="A27" s="99">
        <v>0</v>
      </c>
      <c r="B27" s="105" t="str">
        <f>IFERROR(VLOOKUP(H27,'[1]Consolidado MP Planta'!$A$2:$M$823,3,0),"")</f>
        <v/>
      </c>
      <c r="C27" s="100">
        <f t="shared" ref="C27:C32" si="6">+A27</f>
        <v>0</v>
      </c>
      <c r="D27" s="101" t="str">
        <f>IFERROR(VLOOKUP(H27,'[1]Consolidado MP Planta'!$A$2:$M$823,13,0),"")</f>
        <v/>
      </c>
      <c r="E27" s="101" t="str">
        <f>IFERROR(VLOOKUP(H27,'[1]Consolidado MP Planta'!$A$2:$M$823,12,0),"")</f>
        <v/>
      </c>
      <c r="F27" s="101" t="str">
        <f t="shared" ref="F27:F32" si="7">IFERROR(C27*E27,"")</f>
        <v/>
      </c>
      <c r="G27" s="102" t="str">
        <f t="shared" ref="G27:G32" si="8">IFERROR(F27/$F$66,"")</f>
        <v/>
      </c>
      <c r="H27" s="106"/>
      <c r="I27" s="106"/>
      <c r="J27" s="104"/>
      <c r="K27" s="631"/>
      <c r="L27" s="631"/>
    </row>
    <row r="28" spans="1:12" ht="13.5" hidden="1" x14ac:dyDescent="0.25">
      <c r="A28" s="99"/>
      <c r="B28" s="105" t="str">
        <f>IFERROR(VLOOKUP(H28,'[1]Consolidado MP Planta'!$A$2:$M$823,3,0),"")</f>
        <v/>
      </c>
      <c r="C28" s="100">
        <f t="shared" si="6"/>
        <v>0</v>
      </c>
      <c r="D28" s="101" t="str">
        <f>IFERROR(VLOOKUP(H28,'[1]Consolidado MP Planta'!$A$2:$M$823,13,0),"")</f>
        <v/>
      </c>
      <c r="E28" s="101" t="str">
        <f>IFERROR(VLOOKUP(H28,'[1]Consolidado MP Planta'!$A$2:$M$823,12,0),"")</f>
        <v/>
      </c>
      <c r="F28" s="101" t="str">
        <f t="shared" si="7"/>
        <v/>
      </c>
      <c r="G28" s="102" t="str">
        <f t="shared" si="8"/>
        <v/>
      </c>
      <c r="H28" s="106"/>
      <c r="I28" s="106"/>
      <c r="J28" s="104"/>
      <c r="K28" s="631"/>
      <c r="L28" s="631"/>
    </row>
    <row r="29" spans="1:12" ht="13.5" hidden="1" x14ac:dyDescent="0.25">
      <c r="A29" s="99"/>
      <c r="B29" s="105" t="str">
        <f>IFERROR(VLOOKUP(H29,'[1]Consolidado MP Planta'!$A$2:$M$823,3,0),"")</f>
        <v/>
      </c>
      <c r="C29" s="100">
        <f t="shared" si="6"/>
        <v>0</v>
      </c>
      <c r="D29" s="101" t="str">
        <f>IFERROR(VLOOKUP(H29,'[1]Consolidado MP Planta'!$A$2:$M$823,13,0),"")</f>
        <v/>
      </c>
      <c r="E29" s="101" t="str">
        <f>IFERROR(VLOOKUP(H29,'[1]Consolidado MP Planta'!$A$2:$M$823,12,0),"")</f>
        <v/>
      </c>
      <c r="F29" s="101" t="str">
        <f t="shared" si="7"/>
        <v/>
      </c>
      <c r="G29" s="102" t="str">
        <f t="shared" si="8"/>
        <v/>
      </c>
      <c r="H29" s="106"/>
      <c r="I29" s="106"/>
      <c r="J29" s="104"/>
      <c r="K29" s="631"/>
      <c r="L29" s="631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631"/>
      <c r="L30" s="631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hidden="1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132</v>
      </c>
      <c r="B34" s="95" t="s">
        <v>140</v>
      </c>
      <c r="C34" s="95" t="s">
        <v>132</v>
      </c>
      <c r="D34" s="96" t="s">
        <v>134</v>
      </c>
      <c r="E34" s="96" t="s">
        <v>135</v>
      </c>
      <c r="F34" s="96" t="s">
        <v>136</v>
      </c>
      <c r="G34" s="96" t="s">
        <v>137</v>
      </c>
      <c r="H34" s="97" t="s">
        <v>138</v>
      </c>
      <c r="I34" s="106"/>
      <c r="J34" s="104"/>
    </row>
    <row r="35" spans="1:13" ht="13.5" x14ac:dyDescent="0.25">
      <c r="A35" s="99">
        <f>+A17</f>
        <v>21971</v>
      </c>
      <c r="B35" s="105" t="s">
        <v>37</v>
      </c>
      <c r="C35" s="100">
        <f>+A35</f>
        <v>21971</v>
      </c>
      <c r="D35" s="101" t="s">
        <v>177</v>
      </c>
      <c r="E35" s="101">
        <v>0</v>
      </c>
      <c r="F35" s="101">
        <f>IFERROR(E35*C35,"")</f>
        <v>0</v>
      </c>
      <c r="G35" s="102">
        <f t="shared" ref="G35:G41" si="9">IFERROR(F35/$F$66,"")</f>
        <v>0</v>
      </c>
      <c r="H35" s="106"/>
      <c r="I35" s="106"/>
      <c r="J35" s="104"/>
    </row>
    <row r="36" spans="1:13" ht="13.5" hidden="1" x14ac:dyDescent="0.25">
      <c r="A36" s="99">
        <f t="shared" ref="A36:A41" si="10">+A18</f>
        <v>0</v>
      </c>
      <c r="B36" s="105" t="str">
        <f>IFERROR(VLOOKUP(H36,[1]SEMIELABORADOS!$A$2:$M$6000,2,0),"")</f>
        <v/>
      </c>
      <c r="C36" s="100">
        <f t="shared" ref="C36:C41" si="11">+A36</f>
        <v>0</v>
      </c>
      <c r="D36" s="101" t="str">
        <f>IFERROR(VLOOKUP(H36,[1]SEMIELABORADOS!$A$2:$M$6000,6,0),"")</f>
        <v/>
      </c>
      <c r="E36" s="101" t="str">
        <f>IFERROR(VLOOKUP(H36,[1]SEMIELABORADOS!$A$2:$M$65536,10,0),"")</f>
        <v/>
      </c>
      <c r="F36" s="101" t="str">
        <f t="shared" ref="F36:F41" si="12">IFERROR(E36*C36,"")</f>
        <v/>
      </c>
      <c r="G36" s="102" t="str">
        <f t="shared" si="9"/>
        <v/>
      </c>
      <c r="H36" s="106"/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25">
      <c r="A43" s="94" t="s">
        <v>132</v>
      </c>
      <c r="B43" s="95" t="s">
        <v>141</v>
      </c>
      <c r="C43" s="95" t="s">
        <v>132</v>
      </c>
      <c r="D43" s="96" t="s">
        <v>134</v>
      </c>
      <c r="E43" s="96" t="s">
        <v>135</v>
      </c>
      <c r="F43" s="96" t="s">
        <v>136</v>
      </c>
      <c r="G43" s="96" t="s">
        <v>137</v>
      </c>
      <c r="H43" s="97" t="s">
        <v>138</v>
      </c>
      <c r="I43" s="98"/>
      <c r="J43" s="104"/>
    </row>
    <row r="44" spans="1:13" ht="13.5" x14ac:dyDescent="0.25">
      <c r="A44" s="99">
        <f>+A35</f>
        <v>21971</v>
      </c>
      <c r="B44" s="105" t="s">
        <v>37</v>
      </c>
      <c r="C44" s="100">
        <f>+A44</f>
        <v>21971</v>
      </c>
      <c r="D44" s="101" t="s">
        <v>177</v>
      </c>
      <c r="E44" s="101">
        <v>0.01</v>
      </c>
      <c r="F44" s="101">
        <f>IFERROR(E44*C44,"")</f>
        <v>219.71</v>
      </c>
      <c r="G44" s="102">
        <f>IFERROR(F44/$F$66,"")</f>
        <v>2.3358429812050871E-3</v>
      </c>
      <c r="H44" s="106"/>
      <c r="I44" s="98"/>
      <c r="J44" s="104"/>
    </row>
    <row r="45" spans="1:13" ht="13.5" hidden="1" x14ac:dyDescent="0.25">
      <c r="A45" s="99">
        <f t="shared" ref="A45:A50" si="13">+A36</f>
        <v>0</v>
      </c>
      <c r="B45" s="105" t="str">
        <f>IFERROR(VLOOKUP(H45,[1]SEMIELABORADOS!$A$2:$M$6000,2,0),"")</f>
        <v/>
      </c>
      <c r="C45" s="100">
        <f t="shared" ref="C45:C50" si="14">+A45</f>
        <v>0</v>
      </c>
      <c r="D45" s="101" t="str">
        <f>IFERROR(VLOOKUP(H45,[1]SEMIELABORADOS!$A$2:$M$6000,6,0),"")</f>
        <v/>
      </c>
      <c r="E45" s="101" t="str">
        <f>IFERROR(VLOOKUP(H45,[1]SEMIELABORADOS!$A$2:$M$65536,12,0),"")</f>
        <v/>
      </c>
      <c r="F45" s="101" t="str">
        <f t="shared" ref="F45:F50" si="15">IFERROR(E45*C45,"")</f>
        <v/>
      </c>
      <c r="G45" s="102" t="str">
        <f t="shared" ref="G45:G50" si="16">IFERROR(F45/$F$66,"")</f>
        <v/>
      </c>
      <c r="H45" s="106"/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142</v>
      </c>
      <c r="C51" s="100">
        <f>+A51</f>
        <v>1</v>
      </c>
      <c r="D51" s="100" t="s">
        <v>143</v>
      </c>
      <c r="E51" s="101">
        <f>+F65</f>
        <v>770</v>
      </c>
      <c r="F51" s="101">
        <f>IFERROR(C51*E51,"")</f>
        <v>770</v>
      </c>
      <c r="G51" s="102">
        <f>IFERROR(F51/$F$66,"")</f>
        <v>8.1862413887757359E-3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25">
      <c r="A53" s="111"/>
      <c r="B53" s="641" t="s">
        <v>144</v>
      </c>
      <c r="C53" s="641"/>
      <c r="D53" s="641"/>
      <c r="E53" s="641"/>
      <c r="F53" s="113">
        <f>SUM(F8:F14,F17:F24)</f>
        <v>91461.040000000008</v>
      </c>
      <c r="G53" s="102">
        <f>+F53/$F$66</f>
        <v>0.9723664300110042</v>
      </c>
      <c r="H53" s="114">
        <f>+F53/$D$60</f>
        <v>91461.040000000008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641" t="s">
        <v>145</v>
      </c>
      <c r="C54" s="641"/>
      <c r="D54" s="641"/>
      <c r="E54" s="641"/>
      <c r="F54" s="113">
        <f>SUM(F27:F32,F35:F41)</f>
        <v>0</v>
      </c>
      <c r="G54" s="102">
        <f>+F54/$F$66</f>
        <v>0</v>
      </c>
      <c r="H54" s="114">
        <f>+F54/$D$60</f>
        <v>0</v>
      </c>
      <c r="I54" s="114"/>
      <c r="J54" s="118"/>
      <c r="K54" s="642" t="s">
        <v>146</v>
      </c>
      <c r="L54" s="643"/>
      <c r="M54" s="643"/>
      <c r="N54" s="643"/>
      <c r="O54" s="119">
        <f>+F55</f>
        <v>91461.040000000008</v>
      </c>
      <c r="P54" s="119"/>
      <c r="Q54" s="120"/>
    </row>
    <row r="55" spans="1:17" x14ac:dyDescent="0.2">
      <c r="A55" s="111"/>
      <c r="B55" s="641" t="s">
        <v>147</v>
      </c>
      <c r="C55" s="641"/>
      <c r="D55" s="641"/>
      <c r="E55" s="641"/>
      <c r="F55" s="113">
        <f>+F53+F54</f>
        <v>91461.040000000008</v>
      </c>
      <c r="G55" s="102">
        <f>+F55/$F$66</f>
        <v>0.9723664300110042</v>
      </c>
      <c r="H55" s="114">
        <f>+F55/$D$60</f>
        <v>91461.040000000008</v>
      </c>
      <c r="I55" s="114"/>
      <c r="J55" s="121"/>
      <c r="K55" s="122"/>
      <c r="M55" s="123" t="s">
        <v>148</v>
      </c>
      <c r="N55" s="124"/>
      <c r="O55" s="119">
        <f>+H56</f>
        <v>989.71</v>
      </c>
      <c r="P55" s="119"/>
      <c r="Q55" s="120"/>
    </row>
    <row r="56" spans="1:17" ht="13.5" thickBot="1" x14ac:dyDescent="0.25">
      <c r="A56" s="111"/>
      <c r="B56" s="112"/>
      <c r="C56" s="641" t="s">
        <v>149</v>
      </c>
      <c r="D56" s="641"/>
      <c r="E56" s="641"/>
      <c r="F56" s="113">
        <f>SUM(F44:F51)</f>
        <v>989.71</v>
      </c>
      <c r="G56" s="102">
        <f>+F56/$F$66</f>
        <v>1.0522084369980825E-2</v>
      </c>
      <c r="H56" s="114">
        <f>+F56/$D$60</f>
        <v>989.71</v>
      </c>
      <c r="I56" s="114"/>
      <c r="J56" s="121"/>
      <c r="K56" s="122"/>
      <c r="L56" s="122"/>
      <c r="M56" s="122" t="s">
        <v>150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151</v>
      </c>
      <c r="N57" s="131"/>
      <c r="O57" s="132">
        <f>SUM(O54:O56)</f>
        <v>92450.750000000015</v>
      </c>
      <c r="P57" s="133"/>
      <c r="Q57" s="120"/>
    </row>
    <row r="58" spans="1:17" x14ac:dyDescent="0.2">
      <c r="B58" s="644" t="s">
        <v>152</v>
      </c>
      <c r="C58" s="644"/>
      <c r="D58" s="134">
        <v>54600</v>
      </c>
      <c r="E58" s="135"/>
      <c r="G58" s="102"/>
      <c r="H58" s="128">
        <f>+H56/77</f>
        <v>12.853376623376624</v>
      </c>
      <c r="I58" s="136"/>
      <c r="J58" s="121"/>
      <c r="K58" s="129"/>
      <c r="L58" s="122"/>
      <c r="M58" s="122" t="s">
        <v>153</v>
      </c>
      <c r="N58" s="137"/>
      <c r="O58" s="119">
        <f>+H59</f>
        <v>822.61610389610394</v>
      </c>
      <c r="P58" s="119"/>
      <c r="Q58" s="120"/>
    </row>
    <row r="59" spans="1:17" x14ac:dyDescent="0.2">
      <c r="B59" s="644" t="s">
        <v>154</v>
      </c>
      <c r="C59" s="644"/>
      <c r="D59" s="138">
        <v>54600</v>
      </c>
      <c r="E59" s="135"/>
      <c r="G59" s="102"/>
      <c r="H59" s="128">
        <f>+H58*64</f>
        <v>822.61610389610394</v>
      </c>
      <c r="I59" s="136"/>
      <c r="J59" s="121"/>
      <c r="K59" s="129"/>
      <c r="L59" s="122"/>
      <c r="M59" s="645" t="s">
        <v>151</v>
      </c>
      <c r="N59" s="645"/>
      <c r="O59" s="119">
        <f>SUM(O57:O58)</f>
        <v>93273.366103896115</v>
      </c>
      <c r="P59" s="119"/>
      <c r="Q59" s="120"/>
    </row>
    <row r="60" spans="1:17" ht="13.5" thickBot="1" x14ac:dyDescent="0.25">
      <c r="B60" s="637" t="s">
        <v>155</v>
      </c>
      <c r="C60" s="637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645"/>
      <c r="M60" s="645"/>
      <c r="N60" s="137"/>
      <c r="O60" s="119">
        <f>+O59*N60</f>
        <v>0</v>
      </c>
      <c r="P60" s="119"/>
      <c r="Q60" s="120"/>
    </row>
    <row r="61" spans="1:17" ht="13.5" thickBot="1" x14ac:dyDescent="0.25">
      <c r="B61" s="637" t="s">
        <v>156</v>
      </c>
      <c r="C61" s="637"/>
      <c r="D61" s="140"/>
      <c r="E61" s="135"/>
      <c r="F61" s="139"/>
      <c r="G61" s="102"/>
      <c r="H61" s="128"/>
      <c r="I61" s="136"/>
      <c r="J61" s="121"/>
      <c r="K61" s="638" t="s">
        <v>157</v>
      </c>
      <c r="L61" s="639"/>
      <c r="M61" s="639"/>
      <c r="N61" s="640"/>
      <c r="O61" s="132">
        <f>SUM(O59:O60)</f>
        <v>93273.366103896115</v>
      </c>
      <c r="P61" s="141" t="s">
        <v>158</v>
      </c>
      <c r="Q61" s="120"/>
    </row>
    <row r="62" spans="1:17" ht="13.5" thickBot="1" x14ac:dyDescent="0.25">
      <c r="C62" s="111" t="s">
        <v>159</v>
      </c>
      <c r="D62" s="142"/>
      <c r="E62" s="85" t="s">
        <v>160</v>
      </c>
      <c r="F62" s="143" t="s">
        <v>161</v>
      </c>
      <c r="G62" s="102"/>
      <c r="H62" s="128"/>
      <c r="I62" s="136"/>
      <c r="J62" s="144"/>
      <c r="K62" s="145"/>
      <c r="L62" s="651" t="s">
        <v>162</v>
      </c>
      <c r="M62" s="651"/>
      <c r="N62" s="651"/>
      <c r="O62" s="146">
        <f>+O61/D60</f>
        <v>93273.366103896115</v>
      </c>
      <c r="P62" s="147">
        <f>+O62/D59</f>
        <v>1.7083034084962658</v>
      </c>
      <c r="Q62" s="148"/>
    </row>
    <row r="63" spans="1:17" ht="13.5" thickBot="1" x14ac:dyDescent="0.25">
      <c r="B63" s="652" t="s">
        <v>147</v>
      </c>
      <c r="C63" s="652"/>
      <c r="D63" s="652"/>
      <c r="E63" s="149">
        <f>+F63/F63</f>
        <v>1</v>
      </c>
      <c r="F63" s="150">
        <f>SUM(F55)</f>
        <v>91461.040000000008</v>
      </c>
      <c r="G63" s="102">
        <f>+F63/$F$66</f>
        <v>0.9723664300110042</v>
      </c>
      <c r="H63" s="128"/>
      <c r="I63" s="136"/>
      <c r="K63" s="653"/>
      <c r="L63" s="654"/>
      <c r="M63" s="654"/>
      <c r="N63" s="654"/>
      <c r="O63" s="151"/>
      <c r="P63" s="152"/>
    </row>
    <row r="64" spans="1:17" ht="13.5" thickBot="1" x14ac:dyDescent="0.25">
      <c r="B64" s="655" t="s">
        <v>163</v>
      </c>
      <c r="C64" s="655"/>
      <c r="D64" s="655"/>
      <c r="E64" s="153">
        <v>0.02</v>
      </c>
      <c r="F64" s="150">
        <f>+F53*E64</f>
        <v>1829.2208000000003</v>
      </c>
      <c r="G64" s="102">
        <f>+F64/$F$66</f>
        <v>1.9447328600220085E-2</v>
      </c>
      <c r="H64" s="114"/>
      <c r="I64" s="136"/>
      <c r="J64" s="154"/>
      <c r="O64" s="155"/>
      <c r="P64" s="112"/>
    </row>
    <row r="65" spans="2:13" ht="13.5" thickBot="1" x14ac:dyDescent="0.25">
      <c r="B65" s="656" t="s">
        <v>164</v>
      </c>
      <c r="C65" s="657"/>
      <c r="D65" s="156">
        <v>10</v>
      </c>
      <c r="E65" s="157">
        <v>77</v>
      </c>
      <c r="F65" s="150">
        <f>+E65*D65</f>
        <v>770</v>
      </c>
      <c r="G65" s="102">
        <f>+F65/$F$66</f>
        <v>8.1862413887757359E-3</v>
      </c>
      <c r="H65" s="114"/>
      <c r="I65" s="114"/>
      <c r="J65" s="104"/>
    </row>
    <row r="66" spans="2:13" ht="13.5" thickBot="1" x14ac:dyDescent="0.25">
      <c r="B66" s="658" t="s">
        <v>165</v>
      </c>
      <c r="C66" s="659"/>
      <c r="D66" s="659"/>
      <c r="E66" s="660"/>
      <c r="F66" s="127">
        <f>SUM(F63:F65)</f>
        <v>94060.260800000004</v>
      </c>
      <c r="G66" s="102">
        <f>+F66/$F$66</f>
        <v>1</v>
      </c>
      <c r="H66" s="661"/>
      <c r="I66" s="114"/>
      <c r="J66" s="104"/>
      <c r="M66" s="87" t="s">
        <v>166</v>
      </c>
    </row>
    <row r="67" spans="2:13" x14ac:dyDescent="0.2">
      <c r="C67" s="109"/>
      <c r="D67" s="109"/>
      <c r="E67" s="159"/>
      <c r="F67" s="150"/>
      <c r="G67" s="102"/>
      <c r="H67" s="661"/>
      <c r="I67" s="158"/>
      <c r="J67" s="87"/>
      <c r="M67" s="87" t="s">
        <v>167</v>
      </c>
    </row>
    <row r="68" spans="2:13" ht="13.5" thickBot="1" x14ac:dyDescent="0.25">
      <c r="B68" s="646" t="s">
        <v>168</v>
      </c>
      <c r="C68" s="646"/>
      <c r="D68" s="646"/>
      <c r="E68" s="646"/>
      <c r="F68" s="646"/>
      <c r="G68" s="102"/>
      <c r="H68" s="161"/>
      <c r="I68" s="158"/>
      <c r="J68" s="87"/>
      <c r="M68" s="87" t="s">
        <v>169</v>
      </c>
    </row>
    <row r="69" spans="2:13" ht="13.5" thickBot="1" x14ac:dyDescent="0.25">
      <c r="B69" s="162" t="s">
        <v>170</v>
      </c>
      <c r="C69" s="163">
        <f>+F53</f>
        <v>91461.040000000008</v>
      </c>
      <c r="D69" s="163">
        <f>+D58</f>
        <v>54600</v>
      </c>
      <c r="E69" s="164">
        <f>+C69/D69</f>
        <v>1.6751106227106229</v>
      </c>
      <c r="F69" s="102"/>
      <c r="G69" s="161"/>
      <c r="H69" s="104"/>
      <c r="I69" s="161"/>
      <c r="J69" s="87"/>
    </row>
    <row r="70" spans="2:13" x14ac:dyDescent="0.2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">
      <c r="B71" s="162" t="s">
        <v>171</v>
      </c>
      <c r="C71" s="163">
        <f>SUM(F63:F64)</f>
        <v>93290.260800000004</v>
      </c>
      <c r="D71" s="163">
        <f>+D58</f>
        <v>54600</v>
      </c>
      <c r="E71" s="168">
        <f>+C71/D71</f>
        <v>1.7086128351648353</v>
      </c>
      <c r="F71" s="102"/>
      <c r="G71" s="161"/>
      <c r="H71" s="104"/>
      <c r="I71" s="104"/>
      <c r="J71" s="87"/>
    </row>
    <row r="72" spans="2:13" x14ac:dyDescent="0.2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25">
      <c r="B73" s="162" t="s">
        <v>172</v>
      </c>
      <c r="C73" s="163">
        <f>+F65</f>
        <v>770</v>
      </c>
      <c r="D73" s="163">
        <f>+D58</f>
        <v>54600</v>
      </c>
      <c r="E73" s="168">
        <f>+C73/D73</f>
        <v>1.4102564102564103E-2</v>
      </c>
      <c r="F73" s="102"/>
      <c r="G73" s="161"/>
      <c r="H73" s="104"/>
      <c r="I73" s="104"/>
      <c r="J73" s="87"/>
    </row>
    <row r="74" spans="2:13" ht="13.5" thickBot="1" x14ac:dyDescent="0.25">
      <c r="B74" s="162" t="s">
        <v>173</v>
      </c>
      <c r="C74" s="163">
        <f>+F56</f>
        <v>989.71</v>
      </c>
      <c r="D74" s="163">
        <f>+D73</f>
        <v>54600</v>
      </c>
      <c r="E74" s="164">
        <f>+C74/D74</f>
        <v>1.8126556776556776E-2</v>
      </c>
      <c r="F74" s="102"/>
      <c r="G74" s="161"/>
      <c r="H74" s="104"/>
      <c r="I74" s="104"/>
      <c r="J74" s="87"/>
    </row>
    <row r="75" spans="2:13" ht="13.5" thickBot="1" x14ac:dyDescent="0.25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25">
      <c r="B76" s="162" t="s">
        <v>174</v>
      </c>
      <c r="C76" s="163">
        <f>+F54</f>
        <v>0</v>
      </c>
      <c r="D76" s="163">
        <f>+D74</f>
        <v>54600</v>
      </c>
      <c r="E76" s="164">
        <f>+C76/D76</f>
        <v>0</v>
      </c>
      <c r="F76" s="102"/>
      <c r="G76" s="161"/>
      <c r="H76" s="104"/>
      <c r="I76" s="104"/>
      <c r="J76" s="104"/>
    </row>
    <row r="77" spans="2:13" ht="13.5" thickBot="1" x14ac:dyDescent="0.25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25">
      <c r="B78" s="647" t="s">
        <v>175</v>
      </c>
      <c r="C78" s="648"/>
      <c r="D78" s="649"/>
      <c r="E78" s="164">
        <f>+E69+E74</f>
        <v>1.6932371794871797</v>
      </c>
      <c r="G78" s="102"/>
      <c r="H78" s="161"/>
      <c r="I78" s="104"/>
      <c r="J78" s="168"/>
    </row>
    <row r="79" spans="2:13" x14ac:dyDescent="0.2">
      <c r="I79" s="161"/>
      <c r="J79" s="87"/>
    </row>
    <row r="80" spans="2:13" ht="13.5" thickBot="1" x14ac:dyDescent="0.25">
      <c r="B80" s="646" t="s">
        <v>176</v>
      </c>
      <c r="C80" s="646"/>
      <c r="D80" s="646"/>
      <c r="E80" s="646"/>
      <c r="F80" s="646"/>
      <c r="G80" s="102"/>
      <c r="H80" s="161"/>
      <c r="J80" s="87"/>
    </row>
    <row r="81" spans="1:10" ht="13.5" thickBot="1" x14ac:dyDescent="0.25">
      <c r="B81" s="162" t="s">
        <v>170</v>
      </c>
      <c r="C81" s="163">
        <f>+C69</f>
        <v>91461.040000000008</v>
      </c>
      <c r="D81" s="163">
        <f>+D60</f>
        <v>1</v>
      </c>
      <c r="E81" s="164">
        <f>+C81/D81</f>
        <v>91461.040000000008</v>
      </c>
      <c r="F81" s="102"/>
      <c r="G81" s="161"/>
      <c r="H81" s="104"/>
      <c r="I81" s="161"/>
      <c r="J81" s="87"/>
    </row>
    <row r="82" spans="1:10" x14ac:dyDescent="0.2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">
      <c r="B83" s="162" t="s">
        <v>171</v>
      </c>
      <c r="C83" s="163">
        <f>+C71</f>
        <v>93290.260800000004</v>
      </c>
      <c r="D83" s="163">
        <f>+D60</f>
        <v>1</v>
      </c>
      <c r="E83" s="168">
        <f>+C83/D83</f>
        <v>93290.260800000004</v>
      </c>
      <c r="F83" s="102"/>
      <c r="G83" s="161"/>
      <c r="H83" s="104"/>
      <c r="I83" s="104"/>
      <c r="J83" s="87"/>
    </row>
    <row r="84" spans="1:10" x14ac:dyDescent="0.2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25">
      <c r="B85" s="162" t="s">
        <v>173</v>
      </c>
      <c r="C85" s="163">
        <f>+C73</f>
        <v>770</v>
      </c>
      <c r="D85" s="163">
        <f>+D60</f>
        <v>1</v>
      </c>
      <c r="E85" s="168">
        <f>+C85/D85</f>
        <v>770</v>
      </c>
      <c r="F85" s="170"/>
      <c r="G85" s="160"/>
      <c r="H85" s="86"/>
      <c r="I85" s="104"/>
    </row>
    <row r="86" spans="1:10" ht="13.5" thickBot="1" x14ac:dyDescent="0.25">
      <c r="B86" s="162" t="s">
        <v>173</v>
      </c>
      <c r="C86" s="163">
        <f>+C74</f>
        <v>989.71</v>
      </c>
      <c r="D86" s="163">
        <f>+D85</f>
        <v>1</v>
      </c>
      <c r="E86" s="164">
        <f>+C86/D86</f>
        <v>989.71</v>
      </c>
      <c r="F86" s="169"/>
      <c r="G86" s="160"/>
      <c r="H86" s="86"/>
      <c r="I86" s="86"/>
    </row>
    <row r="87" spans="1:10" x14ac:dyDescent="0.2">
      <c r="I87" s="86"/>
    </row>
    <row r="88" spans="1:10" x14ac:dyDescent="0.2">
      <c r="A88" s="650"/>
      <c r="B88" s="65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EDBE-9138-42A7-8562-A756189DCF8C}">
  <dimension ref="A1:H31"/>
  <sheetViews>
    <sheetView workbookViewId="0">
      <selection activeCell="B13" sqref="B13"/>
    </sheetView>
  </sheetViews>
  <sheetFormatPr baseColWidth="10" defaultRowHeight="12.75" x14ac:dyDescent="0.2"/>
  <cols>
    <col min="1" max="1" width="19.140625" customWidth="1"/>
    <col min="2" max="2" width="35.140625" customWidth="1"/>
    <col min="7" max="7" width="15.85546875" customWidth="1"/>
    <col min="8" max="8" width="15.28515625" customWidth="1"/>
  </cols>
  <sheetData>
    <row r="1" spans="1:8" ht="18" x14ac:dyDescent="0.25">
      <c r="A1" s="616"/>
      <c r="B1" s="626" t="s">
        <v>22</v>
      </c>
      <c r="C1" s="626"/>
      <c r="D1" s="626"/>
      <c r="E1" s="626"/>
      <c r="F1" s="626"/>
      <c r="G1" s="1" t="s">
        <v>21</v>
      </c>
      <c r="H1" s="2"/>
    </row>
    <row r="2" spans="1:8" ht="18" x14ac:dyDescent="0.25">
      <c r="A2" s="617"/>
      <c r="B2" s="627" t="s">
        <v>0</v>
      </c>
      <c r="C2" s="627"/>
      <c r="D2" s="627"/>
      <c r="E2" s="627"/>
      <c r="F2" s="627"/>
      <c r="G2" s="4" t="s">
        <v>20</v>
      </c>
      <c r="H2" s="5"/>
    </row>
    <row r="3" spans="1:8" ht="15" x14ac:dyDescent="0.2">
      <c r="A3" s="617"/>
      <c r="B3" s="628" t="s">
        <v>107</v>
      </c>
      <c r="C3" s="628"/>
      <c r="D3" s="628"/>
      <c r="E3" s="628"/>
      <c r="F3" s="628"/>
      <c r="G3" s="583" t="s">
        <v>19</v>
      </c>
      <c r="H3" s="623"/>
    </row>
    <row r="4" spans="1:8" x14ac:dyDescent="0.2">
      <c r="A4" s="617"/>
      <c r="B4" s="40" t="s">
        <v>18</v>
      </c>
      <c r="C4" s="622" t="s">
        <v>26</v>
      </c>
      <c r="D4" s="622"/>
      <c r="E4" s="622"/>
      <c r="F4" s="622"/>
      <c r="G4" s="583"/>
      <c r="H4" s="623"/>
    </row>
    <row r="5" spans="1:8" ht="13.5" thickBot="1" x14ac:dyDescent="0.25">
      <c r="A5" s="618"/>
      <c r="B5" s="41" t="s">
        <v>17</v>
      </c>
      <c r="C5" s="625" t="s">
        <v>25</v>
      </c>
      <c r="D5" s="625"/>
      <c r="E5" s="625"/>
      <c r="F5" s="625"/>
      <c r="G5" s="584"/>
      <c r="H5" s="624"/>
    </row>
    <row r="6" spans="1:8" x14ac:dyDescent="0.2">
      <c r="A6" s="35"/>
      <c r="B6" s="36"/>
      <c r="C6" s="37"/>
      <c r="D6" s="37"/>
      <c r="E6" s="37"/>
      <c r="F6" s="37"/>
      <c r="G6" s="38"/>
      <c r="H6" s="39"/>
    </row>
    <row r="7" spans="1:8" ht="18.75" thickBot="1" x14ac:dyDescent="0.3">
      <c r="A7" s="629" t="s">
        <v>23</v>
      </c>
      <c r="B7" s="629"/>
      <c r="C7" s="630" t="s">
        <v>30</v>
      </c>
      <c r="D7" s="630"/>
      <c r="E7" s="630"/>
      <c r="F7" s="582" t="s">
        <v>24</v>
      </c>
      <c r="G7" s="582"/>
      <c r="H7" s="47" t="s">
        <v>30</v>
      </c>
    </row>
    <row r="8" spans="1:8" ht="25.5" x14ac:dyDescent="0.2">
      <c r="A8" s="619" t="s">
        <v>1</v>
      </c>
      <c r="B8" s="585" t="s">
        <v>2</v>
      </c>
      <c r="C8" s="585" t="s">
        <v>3</v>
      </c>
      <c r="D8" s="585" t="s">
        <v>4</v>
      </c>
      <c r="E8" s="585"/>
      <c r="F8" s="585" t="s">
        <v>16</v>
      </c>
      <c r="G8" s="585"/>
      <c r="H8" s="6" t="s">
        <v>5</v>
      </c>
    </row>
    <row r="9" spans="1:8" ht="26.25" thickBot="1" x14ac:dyDescent="0.25">
      <c r="A9" s="620"/>
      <c r="B9" s="621"/>
      <c r="C9" s="621"/>
      <c r="D9" s="7" t="s">
        <v>6</v>
      </c>
      <c r="E9" s="8" t="s">
        <v>7</v>
      </c>
      <c r="F9" s="7" t="s">
        <v>6</v>
      </c>
      <c r="G9" s="8" t="s">
        <v>7</v>
      </c>
      <c r="H9" s="46" t="s">
        <v>8</v>
      </c>
    </row>
    <row r="10" spans="1:8" ht="15" x14ac:dyDescent="0.2">
      <c r="A10" s="57" t="s">
        <v>49</v>
      </c>
      <c r="B10" s="58" t="s">
        <v>50</v>
      </c>
      <c r="C10" s="43"/>
      <c r="D10" s="43">
        <v>54600</v>
      </c>
      <c r="E10" s="43" t="s">
        <v>27</v>
      </c>
      <c r="F10" s="28"/>
      <c r="G10" s="44"/>
      <c r="H10" s="45"/>
    </row>
    <row r="11" spans="1:8" ht="15" x14ac:dyDescent="0.2">
      <c r="A11" s="42"/>
      <c r="B11" s="48"/>
      <c r="C11" s="43"/>
      <c r="D11" s="43"/>
      <c r="E11" s="43"/>
      <c r="F11" s="28"/>
      <c r="G11" s="44"/>
      <c r="H11" s="45"/>
    </row>
    <row r="12" spans="1:8" ht="13.5" x14ac:dyDescent="0.25">
      <c r="A12" s="59">
        <v>902000019</v>
      </c>
      <c r="B12" s="60" t="s">
        <v>55</v>
      </c>
      <c r="C12" s="61" t="s">
        <v>58</v>
      </c>
      <c r="D12" s="61">
        <v>1560</v>
      </c>
      <c r="E12" s="62" t="s">
        <v>27</v>
      </c>
      <c r="F12" s="28"/>
      <c r="G12" s="44"/>
      <c r="H12" s="45"/>
    </row>
    <row r="13" spans="1:8" ht="13.5" x14ac:dyDescent="0.25">
      <c r="A13" s="59" t="s">
        <v>56</v>
      </c>
      <c r="B13" s="60" t="s">
        <v>57</v>
      </c>
      <c r="C13" s="59" t="s">
        <v>59</v>
      </c>
      <c r="D13" s="59">
        <v>195</v>
      </c>
      <c r="E13" s="62" t="s">
        <v>60</v>
      </c>
      <c r="F13" s="28"/>
      <c r="G13" s="44"/>
      <c r="H13" s="45"/>
    </row>
    <row r="14" spans="1:8" ht="14.25" x14ac:dyDescent="0.2">
      <c r="A14" s="12"/>
      <c r="B14" s="13"/>
      <c r="C14" s="14"/>
      <c r="D14" s="15"/>
      <c r="E14" s="16"/>
      <c r="F14" s="9"/>
      <c r="G14" s="10"/>
      <c r="H14" s="11"/>
    </row>
    <row r="15" spans="1:8" ht="13.5" thickBot="1" x14ac:dyDescent="0.25">
      <c r="A15" s="17"/>
      <c r="B15" s="3"/>
      <c r="C15" s="3"/>
      <c r="D15" s="18"/>
      <c r="E15" s="19"/>
      <c r="F15" s="3"/>
      <c r="G15" s="3"/>
      <c r="H15" s="20"/>
    </row>
    <row r="16" spans="1:8" ht="13.5" thickBot="1" x14ac:dyDescent="0.25">
      <c r="A16" s="22"/>
      <c r="B16" s="23"/>
      <c r="C16" s="24" t="s">
        <v>6</v>
      </c>
      <c r="D16" s="25" t="s">
        <v>15</v>
      </c>
      <c r="E16" s="26"/>
      <c r="F16" s="23"/>
      <c r="G16" s="23"/>
      <c r="H16" s="27"/>
    </row>
    <row r="17" spans="1:8" x14ac:dyDescent="0.2">
      <c r="A17" s="611" t="s">
        <v>10</v>
      </c>
      <c r="B17" s="612"/>
      <c r="C17" s="28">
        <v>54600</v>
      </c>
      <c r="D17" s="29" t="s">
        <v>27</v>
      </c>
      <c r="E17" s="613"/>
      <c r="F17" s="613"/>
      <c r="G17" s="614"/>
      <c r="H17" s="615"/>
    </row>
    <row r="18" spans="1:8" x14ac:dyDescent="0.2">
      <c r="A18" s="606" t="s">
        <v>9</v>
      </c>
      <c r="B18" s="607"/>
      <c r="C18" s="30">
        <v>20</v>
      </c>
      <c r="D18" s="10" t="s">
        <v>28</v>
      </c>
      <c r="E18" s="608"/>
      <c r="F18" s="608"/>
      <c r="G18" s="604"/>
      <c r="H18" s="605"/>
    </row>
    <row r="19" spans="1:8" x14ac:dyDescent="0.2">
      <c r="A19" s="606" t="s">
        <v>14</v>
      </c>
      <c r="B19" s="607"/>
      <c r="C19" s="10">
        <f>C17/C20</f>
        <v>136.5</v>
      </c>
      <c r="D19" s="10" t="s">
        <v>29</v>
      </c>
      <c r="E19" s="608"/>
      <c r="F19" s="608"/>
      <c r="G19" s="604"/>
      <c r="H19" s="605"/>
    </row>
    <row r="20" spans="1:8" x14ac:dyDescent="0.2">
      <c r="A20" s="606" t="s">
        <v>13</v>
      </c>
      <c r="B20" s="607"/>
      <c r="C20" s="9">
        <v>400</v>
      </c>
      <c r="D20" s="10" t="s">
        <v>27</v>
      </c>
      <c r="E20" s="609"/>
      <c r="F20" s="610"/>
      <c r="G20" s="604"/>
      <c r="H20" s="605"/>
    </row>
    <row r="21" spans="1:8" ht="13.5" thickBot="1" x14ac:dyDescent="0.25">
      <c r="A21" s="589" t="s">
        <v>12</v>
      </c>
      <c r="B21" s="590"/>
      <c r="C21" s="32">
        <f>SUM(D10:D12)-C17</f>
        <v>1560</v>
      </c>
      <c r="D21" s="33" t="s">
        <v>27</v>
      </c>
      <c r="E21" s="591"/>
      <c r="F21" s="591"/>
      <c r="G21" s="592"/>
      <c r="H21" s="593"/>
    </row>
    <row r="22" spans="1:8" ht="13.5" thickBot="1" x14ac:dyDescent="0.25">
      <c r="A22" s="596" t="s">
        <v>11</v>
      </c>
      <c r="B22" s="597"/>
      <c r="C22" s="597"/>
      <c r="D22" s="597"/>
      <c r="E22" s="597"/>
      <c r="F22" s="597"/>
      <c r="G22" s="597"/>
      <c r="H22" s="598"/>
    </row>
    <row r="23" spans="1:8" ht="14.25" x14ac:dyDescent="0.2">
      <c r="A23" s="601" t="s">
        <v>61</v>
      </c>
      <c r="B23" s="602"/>
      <c r="C23" s="602"/>
      <c r="D23" s="602"/>
      <c r="E23" s="602"/>
      <c r="F23" s="602"/>
      <c r="G23" s="602"/>
      <c r="H23" s="603"/>
    </row>
    <row r="24" spans="1:8" ht="14.25" x14ac:dyDescent="0.2">
      <c r="A24" s="601"/>
      <c r="B24" s="602"/>
      <c r="C24" s="602"/>
      <c r="D24" s="602"/>
      <c r="E24" s="602"/>
      <c r="F24" s="602"/>
      <c r="G24" s="602"/>
      <c r="H24" s="603"/>
    </row>
    <row r="25" spans="1:8" ht="14.25" x14ac:dyDescent="0.2">
      <c r="A25" s="601"/>
      <c r="B25" s="602"/>
      <c r="C25" s="602"/>
      <c r="D25" s="602"/>
      <c r="E25" s="602"/>
      <c r="F25" s="602"/>
      <c r="G25" s="602"/>
      <c r="H25" s="603"/>
    </row>
    <row r="26" spans="1:8" ht="14.25" x14ac:dyDescent="0.2">
      <c r="A26" s="601"/>
      <c r="B26" s="602"/>
      <c r="C26" s="602"/>
      <c r="D26" s="602"/>
      <c r="E26" s="602"/>
      <c r="F26" s="602"/>
      <c r="G26" s="602"/>
      <c r="H26" s="603"/>
    </row>
    <row r="27" spans="1:8" ht="14.25" x14ac:dyDescent="0.2">
      <c r="A27" s="601"/>
      <c r="B27" s="602"/>
      <c r="C27" s="602"/>
      <c r="D27" s="602"/>
      <c r="E27" s="602"/>
      <c r="F27" s="602"/>
      <c r="G27" s="602"/>
      <c r="H27" s="603"/>
    </row>
    <row r="28" spans="1:8" ht="14.25" x14ac:dyDescent="0.2">
      <c r="A28" s="601"/>
      <c r="B28" s="602"/>
      <c r="C28" s="602"/>
      <c r="D28" s="602"/>
      <c r="E28" s="602"/>
      <c r="F28" s="602"/>
      <c r="G28" s="602"/>
      <c r="H28" s="603"/>
    </row>
    <row r="29" spans="1:8" ht="14.25" x14ac:dyDescent="0.2">
      <c r="A29" s="662"/>
      <c r="B29" s="663"/>
      <c r="C29" s="663"/>
      <c r="D29" s="663"/>
      <c r="E29" s="663"/>
      <c r="F29" s="663"/>
      <c r="G29" s="663"/>
      <c r="H29" s="664"/>
    </row>
    <row r="30" spans="1:8" ht="14.25" x14ac:dyDescent="0.2">
      <c r="A30" s="662"/>
      <c r="B30" s="663"/>
      <c r="C30" s="663"/>
      <c r="D30" s="663"/>
      <c r="E30" s="663"/>
      <c r="F30" s="663"/>
      <c r="G30" s="663"/>
      <c r="H30" s="664"/>
    </row>
    <row r="31" spans="1:8" ht="15" thickBot="1" x14ac:dyDescent="0.25">
      <c r="A31" s="586"/>
      <c r="B31" s="587"/>
      <c r="C31" s="587"/>
      <c r="D31" s="587"/>
      <c r="E31" s="587"/>
      <c r="F31" s="587"/>
      <c r="G31" s="587"/>
      <c r="H31" s="588"/>
    </row>
  </sheetData>
  <mergeCells count="41">
    <mergeCell ref="A24:H24"/>
    <mergeCell ref="A31:H31"/>
    <mergeCell ref="A25:H25"/>
    <mergeCell ref="A26:H26"/>
    <mergeCell ref="A27:H27"/>
    <mergeCell ref="A28:H28"/>
    <mergeCell ref="A29:H29"/>
    <mergeCell ref="A30:H30"/>
    <mergeCell ref="A21:B21"/>
    <mergeCell ref="E21:F21"/>
    <mergeCell ref="G21:H21"/>
    <mergeCell ref="A22:H22"/>
    <mergeCell ref="A23:H23"/>
    <mergeCell ref="A19:B19"/>
    <mergeCell ref="E19:F19"/>
    <mergeCell ref="G19:H19"/>
    <mergeCell ref="A20:B20"/>
    <mergeCell ref="E20:F20"/>
    <mergeCell ref="G20:H20"/>
    <mergeCell ref="A17:B17"/>
    <mergeCell ref="E17:F17"/>
    <mergeCell ref="G17:H17"/>
    <mergeCell ref="A18:B18"/>
    <mergeCell ref="E18:F18"/>
    <mergeCell ref="G18:H18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6F0F-9D2E-4CAF-9B55-64EB7C9CFCD0}">
  <dimension ref="A1:Q91"/>
  <sheetViews>
    <sheetView topLeftCell="A3" workbookViewId="0">
      <selection activeCell="B57" sqref="B57"/>
    </sheetView>
  </sheetViews>
  <sheetFormatPr baseColWidth="10" defaultColWidth="8.42578125" defaultRowHeight="12.75" x14ac:dyDescent="0.2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">
      <c r="A1" s="82"/>
      <c r="B1" s="82"/>
      <c r="C1" s="82"/>
      <c r="D1" s="82"/>
      <c r="E1" s="83" t="s">
        <v>126</v>
      </c>
      <c r="F1" s="84" t="s">
        <v>127</v>
      </c>
      <c r="G1" s="84" t="s">
        <v>128</v>
      </c>
      <c r="H1" s="84" t="s">
        <v>129</v>
      </c>
      <c r="I1" s="85"/>
    </row>
    <row r="2" spans="1:10" ht="30.75" customHeight="1" x14ac:dyDescent="0.2">
      <c r="A2" s="82"/>
      <c r="B2" s="82"/>
      <c r="C2" s="82"/>
      <c r="D2" s="82"/>
      <c r="E2" s="88">
        <f>IFERROR(O62,"")</f>
        <v>712.29286780200437</v>
      </c>
      <c r="F2" s="88">
        <f>IFERROR(H53,"")</f>
        <v>693.47282051282059</v>
      </c>
      <c r="G2" s="88">
        <f>IFERROR(H54,"")</f>
        <v>18.571428571428573</v>
      </c>
      <c r="H2" s="88">
        <f>IFERROR(H56,"")</f>
        <v>18.532673992673992</v>
      </c>
      <c r="I2" s="89"/>
    </row>
    <row r="3" spans="1:10" ht="15" customHeight="1" x14ac:dyDescent="0.2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25">
      <c r="A4" s="632"/>
      <c r="B4" s="632"/>
      <c r="C4" s="632"/>
      <c r="D4" s="632"/>
      <c r="E4" s="632"/>
      <c r="F4" s="632"/>
      <c r="G4" s="632"/>
      <c r="H4" s="632"/>
      <c r="I4" s="91"/>
    </row>
    <row r="5" spans="1:10" ht="19.5" customHeight="1" thickBot="1" x14ac:dyDescent="0.25">
      <c r="A5" s="633" t="s">
        <v>130</v>
      </c>
      <c r="B5" s="634"/>
      <c r="C5" s="634"/>
      <c r="D5" s="634"/>
      <c r="E5" s="634"/>
      <c r="F5" s="634"/>
      <c r="G5" s="634"/>
      <c r="H5" s="635"/>
      <c r="I5" s="92"/>
    </row>
    <row r="6" spans="1:10" ht="19.5" thickBot="1" x14ac:dyDescent="0.25">
      <c r="A6" s="92"/>
      <c r="B6" s="92"/>
      <c r="C6" s="92"/>
      <c r="D6" s="92"/>
      <c r="E6" s="92"/>
      <c r="F6" s="636" t="s">
        <v>131</v>
      </c>
      <c r="G6" s="636"/>
      <c r="H6" s="93">
        <f ca="1">TODAY()</f>
        <v>45901</v>
      </c>
      <c r="I6" s="93"/>
    </row>
    <row r="7" spans="1:10" ht="26.25" hidden="1" thickBot="1" x14ac:dyDescent="0.25">
      <c r="A7" s="94" t="s">
        <v>132</v>
      </c>
      <c r="B7" s="95" t="s">
        <v>133</v>
      </c>
      <c r="C7" s="95" t="s">
        <v>132</v>
      </c>
      <c r="D7" s="96" t="s">
        <v>134</v>
      </c>
      <c r="E7" s="96" t="s">
        <v>135</v>
      </c>
      <c r="F7" s="96" t="s">
        <v>136</v>
      </c>
      <c r="G7" s="96" t="s">
        <v>137</v>
      </c>
      <c r="H7" s="97" t="s">
        <v>138</v>
      </c>
      <c r="I7" s="98"/>
    </row>
    <row r="8" spans="1:10" ht="13.5" hidden="1" x14ac:dyDescent="0.25">
      <c r="A8" s="99"/>
      <c r="B8" s="87" t="str">
        <f>IFERROR(VLOOKUP(H8,'[1]Consolidado MP Planta'!$A$2:$M$823,3,0),"")</f>
        <v/>
      </c>
      <c r="C8" s="100">
        <f>+A8</f>
        <v>0</v>
      </c>
      <c r="D8" s="101" t="str">
        <f>IFERROR(VLOOKUP(H8,'[1]Consolidado MP Planta'!$A$2:$M$823,13,0),"")</f>
        <v/>
      </c>
      <c r="E8" s="101" t="str">
        <f>IFERROR(VLOOKUP(H8,'[1]Consolidado MP Planta'!$A$2:$M$823,12,0),"")</f>
        <v/>
      </c>
      <c r="F8" s="101" t="str">
        <f>IFERROR(C8*E8,"")</f>
        <v/>
      </c>
      <c r="G8" s="102" t="str">
        <f t="shared" ref="G8:G14" si="0">IFERROR(F8/$F$66,"")</f>
        <v/>
      </c>
      <c r="H8" s="103"/>
      <c r="I8" s="103"/>
      <c r="J8" s="104"/>
    </row>
    <row r="9" spans="1:10" ht="13.5" hidden="1" x14ac:dyDescent="0.25">
      <c r="A9" s="99"/>
      <c r="B9" s="87" t="str">
        <f>IFERROR(VLOOKUP(H9,'[1]Consolidado MP Planta'!$A$2:$M$823,3,0),"")</f>
        <v/>
      </c>
      <c r="C9" s="100">
        <f t="shared" ref="C9:C14" si="1">+A9</f>
        <v>0</v>
      </c>
      <c r="D9" s="101" t="str">
        <f>IFERROR(VLOOKUP(H9,'[1]Consolidado MP Planta'!$A$2:$M$823,13,0),"")</f>
        <v/>
      </c>
      <c r="E9" s="101" t="str">
        <f>IFERROR(VLOOKUP(H9,'[1]Consolidado MP Planta'!$A$2:$M$823,12,0),"")</f>
        <v/>
      </c>
      <c r="F9" s="101" t="str">
        <f t="shared" ref="F9:F14" si="2">IFERROR(C9*E9,"")</f>
        <v/>
      </c>
      <c r="G9" s="102" t="str">
        <f t="shared" si="0"/>
        <v/>
      </c>
      <c r="H9" s="103"/>
      <c r="I9" s="103"/>
      <c r="J9" s="104"/>
    </row>
    <row r="10" spans="1:10" ht="13.5" hidden="1" x14ac:dyDescent="0.25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0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hidden="1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25">
      <c r="A16" s="94" t="s">
        <v>132</v>
      </c>
      <c r="B16" s="95" t="s">
        <v>139</v>
      </c>
      <c r="C16" s="95" t="s">
        <v>132</v>
      </c>
      <c r="D16" s="96" t="s">
        <v>134</v>
      </c>
      <c r="E16" s="96" t="s">
        <v>135</v>
      </c>
      <c r="F16" s="96" t="s">
        <v>136</v>
      </c>
      <c r="G16" s="96" t="s">
        <v>137</v>
      </c>
      <c r="H16" s="97" t="s">
        <v>138</v>
      </c>
      <c r="I16" s="98"/>
      <c r="J16" s="104"/>
    </row>
    <row r="17" spans="1:12" ht="13.5" x14ac:dyDescent="0.25">
      <c r="A17" s="99">
        <v>54600</v>
      </c>
      <c r="B17" s="87" t="s">
        <v>50</v>
      </c>
      <c r="C17" s="100">
        <f>+A17</f>
        <v>54600</v>
      </c>
      <c r="D17" s="100" t="s">
        <v>177</v>
      </c>
      <c r="E17" s="101">
        <f>+'Costo Batido Brownie '!E69</f>
        <v>1.6751106227106229</v>
      </c>
      <c r="F17" s="101">
        <f>IFERROR(E17*C17,"")</f>
        <v>91461.040000000008</v>
      </c>
      <c r="G17" s="102">
        <f t="shared" ref="G17:G24" si="3">IFERROR(F17/$F$66,"")</f>
        <v>0.90890953037232247</v>
      </c>
      <c r="H17" s="103" t="s">
        <v>178</v>
      </c>
      <c r="I17" s="103"/>
      <c r="J17" s="104"/>
    </row>
    <row r="18" spans="1:12" ht="13.5" x14ac:dyDescent="0.25">
      <c r="A18" s="99">
        <v>1560</v>
      </c>
      <c r="B18" s="87" t="str">
        <f>IFERROR(VLOOKUP(H18,[1]SEMIELABORADOS!$A$2:$M$6000,2,0),"")</f>
        <v>MEZCLA P/ENGRASE MOLDES KILO</v>
      </c>
      <c r="C18" s="100">
        <f t="shared" ref="C18:C24" si="4">+A18</f>
        <v>1560</v>
      </c>
      <c r="D18" s="100" t="str">
        <f>IFERROR(VLOOKUP(H18,[1]SEMIELABORADOS!$A$2:$M$6000,6,0),"")</f>
        <v>Gramo</v>
      </c>
      <c r="E18" s="101">
        <v>2.0499999999999998</v>
      </c>
      <c r="F18" s="101">
        <f t="shared" ref="F18:F24" si="5">IFERROR(E18*C18,"")</f>
        <v>3197.9999999999995</v>
      </c>
      <c r="G18" s="102">
        <f t="shared" si="3"/>
        <v>3.1780665058375526E-2</v>
      </c>
      <c r="H18" s="103" t="s">
        <v>179</v>
      </c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thickBot="1" x14ac:dyDescent="0.25">
      <c r="A26" s="94" t="s">
        <v>132</v>
      </c>
      <c r="B26" s="95" t="s">
        <v>80</v>
      </c>
      <c r="C26" s="95" t="s">
        <v>132</v>
      </c>
      <c r="D26" s="96" t="s">
        <v>134</v>
      </c>
      <c r="E26" s="96" t="s">
        <v>135</v>
      </c>
      <c r="F26" s="96" t="s">
        <v>136</v>
      </c>
      <c r="G26" s="96" t="s">
        <v>137</v>
      </c>
      <c r="H26" s="97" t="s">
        <v>138</v>
      </c>
      <c r="I26" s="98"/>
    </row>
    <row r="27" spans="1:12" ht="13.5" x14ac:dyDescent="0.25">
      <c r="A27" s="99">
        <v>195</v>
      </c>
      <c r="B27" s="60" t="s">
        <v>57</v>
      </c>
      <c r="C27" s="100">
        <f t="shared" ref="C27:C32" si="6">+A27</f>
        <v>195</v>
      </c>
      <c r="D27" s="101" t="s">
        <v>180</v>
      </c>
      <c r="E27" s="101">
        <v>13</v>
      </c>
      <c r="F27" s="101">
        <f t="shared" ref="F27:F32" si="7">IFERROR(C27*E27,"")</f>
        <v>2535</v>
      </c>
      <c r="G27" s="102">
        <f t="shared" ref="G27:G32" si="8">IFERROR(F27/$F$66,"")</f>
        <v>2.5191990595053778E-2</v>
      </c>
      <c r="H27" s="106" t="s">
        <v>56</v>
      </c>
      <c r="I27" s="106"/>
      <c r="J27" s="104"/>
      <c r="K27" s="631"/>
      <c r="L27" s="631"/>
    </row>
    <row r="28" spans="1:12" ht="13.5" hidden="1" x14ac:dyDescent="0.25">
      <c r="A28" s="99"/>
      <c r="B28" s="105" t="str">
        <f>IFERROR(VLOOKUP(H28,'[1]Consolidado MP Planta'!$A$2:$M$823,3,0),"")</f>
        <v/>
      </c>
      <c r="C28" s="100">
        <f t="shared" si="6"/>
        <v>0</v>
      </c>
      <c r="D28" s="101" t="str">
        <f>IFERROR(VLOOKUP(H28,'[1]Consolidado MP Planta'!$A$2:$M$823,13,0),"")</f>
        <v/>
      </c>
      <c r="E28" s="101" t="str">
        <f>IFERROR(VLOOKUP(H28,'[1]Consolidado MP Planta'!$A$2:$M$823,12,0),"")</f>
        <v/>
      </c>
      <c r="F28" s="101" t="str">
        <f t="shared" si="7"/>
        <v/>
      </c>
      <c r="G28" s="102" t="str">
        <f t="shared" si="8"/>
        <v/>
      </c>
      <c r="H28" s="106"/>
      <c r="I28" s="106"/>
      <c r="J28" s="104"/>
      <c r="K28" s="631"/>
      <c r="L28" s="631"/>
    </row>
    <row r="29" spans="1:12" ht="13.5" hidden="1" x14ac:dyDescent="0.25">
      <c r="A29" s="99"/>
      <c r="B29" s="105" t="str">
        <f>IFERROR(VLOOKUP(H29,'[1]Consolidado MP Planta'!$A$2:$M$823,3,0),"")</f>
        <v/>
      </c>
      <c r="C29" s="100">
        <f t="shared" si="6"/>
        <v>0</v>
      </c>
      <c r="D29" s="101" t="str">
        <f>IFERROR(VLOOKUP(H29,'[1]Consolidado MP Planta'!$A$2:$M$823,13,0),"")</f>
        <v/>
      </c>
      <c r="E29" s="101" t="str">
        <f>IFERROR(VLOOKUP(H29,'[1]Consolidado MP Planta'!$A$2:$M$823,12,0),"")</f>
        <v/>
      </c>
      <c r="F29" s="101" t="str">
        <f t="shared" si="7"/>
        <v/>
      </c>
      <c r="G29" s="102" t="str">
        <f t="shared" si="8"/>
        <v/>
      </c>
      <c r="H29" s="106"/>
      <c r="I29" s="106"/>
      <c r="J29" s="104"/>
      <c r="K29" s="631"/>
      <c r="L29" s="631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631"/>
      <c r="L30" s="631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132</v>
      </c>
      <c r="B34" s="95" t="s">
        <v>140</v>
      </c>
      <c r="C34" s="95" t="s">
        <v>132</v>
      </c>
      <c r="D34" s="96" t="s">
        <v>134</v>
      </c>
      <c r="E34" s="96" t="s">
        <v>135</v>
      </c>
      <c r="F34" s="96" t="s">
        <v>136</v>
      </c>
      <c r="G34" s="96" t="s">
        <v>137</v>
      </c>
      <c r="H34" s="97" t="s">
        <v>138</v>
      </c>
      <c r="I34" s="106"/>
      <c r="J34" s="104"/>
    </row>
    <row r="35" spans="1:13" ht="13.5" x14ac:dyDescent="0.25">
      <c r="A35" s="99">
        <f>+A17</f>
        <v>54600</v>
      </c>
      <c r="B35" s="87" t="s">
        <v>50</v>
      </c>
      <c r="C35" s="100">
        <f>+A35</f>
        <v>54600</v>
      </c>
      <c r="D35" s="100" t="s">
        <v>177</v>
      </c>
      <c r="E35" s="101">
        <f>+'Costo Batido Brownie '!E76</f>
        <v>0</v>
      </c>
      <c r="F35" s="101">
        <f>IFERROR(E35*C35,"")</f>
        <v>0</v>
      </c>
      <c r="G35" s="102">
        <f t="shared" ref="G35:G41" si="9">IFERROR(F35/$F$66,"")</f>
        <v>0</v>
      </c>
      <c r="H35" s="106" t="s">
        <v>49</v>
      </c>
      <c r="I35" s="106"/>
      <c r="J35" s="104"/>
    </row>
    <row r="36" spans="1:13" ht="13.5" hidden="1" x14ac:dyDescent="0.25">
      <c r="A36" s="99">
        <f t="shared" ref="A36:A41" si="10">+A18</f>
        <v>1560</v>
      </c>
      <c r="B36" s="105" t="str">
        <f>IFERROR(VLOOKUP(H36,[1]SEMIELABORADOS!$A$2:$M$6000,2,0),"")</f>
        <v/>
      </c>
      <c r="C36" s="100">
        <f t="shared" ref="C36:C41" si="11">+A36</f>
        <v>1560</v>
      </c>
      <c r="D36" s="101" t="str">
        <f>IFERROR(VLOOKUP(H36,[1]SEMIELABORADOS!$A$2:$M$6000,6,0),"")</f>
        <v/>
      </c>
      <c r="E36" s="101" t="str">
        <f>IFERROR(VLOOKUP(H36,[1]SEMIELABORADOS!$A$2:$M$65536,10,0),"")</f>
        <v/>
      </c>
      <c r="F36" s="101" t="str">
        <f t="shared" ref="F36:F41" si="12">IFERROR(E36*C36,"")</f>
        <v/>
      </c>
      <c r="G36" s="102" t="str">
        <f t="shared" si="9"/>
        <v/>
      </c>
      <c r="H36" s="106"/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25">
      <c r="A43" s="94" t="s">
        <v>132</v>
      </c>
      <c r="B43" s="95" t="s">
        <v>141</v>
      </c>
      <c r="C43" s="95" t="s">
        <v>132</v>
      </c>
      <c r="D43" s="96" t="s">
        <v>134</v>
      </c>
      <c r="E43" s="96" t="s">
        <v>135</v>
      </c>
      <c r="F43" s="96" t="s">
        <v>136</v>
      </c>
      <c r="G43" s="96" t="s">
        <v>137</v>
      </c>
      <c r="H43" s="97" t="s">
        <v>138</v>
      </c>
      <c r="I43" s="98"/>
      <c r="J43" s="104"/>
    </row>
    <row r="44" spans="1:13" ht="13.5" x14ac:dyDescent="0.25">
      <c r="A44" s="99">
        <f>+A35</f>
        <v>54600</v>
      </c>
      <c r="B44" s="87" t="s">
        <v>50</v>
      </c>
      <c r="C44" s="100">
        <f>+A44</f>
        <v>54600</v>
      </c>
      <c r="D44" s="100" t="s">
        <v>177</v>
      </c>
      <c r="E44" s="101">
        <f>+'Costo Batido Brownie '!E74</f>
        <v>1.8126556776556776E-2</v>
      </c>
      <c r="F44" s="101">
        <f>IFERROR(E44*C44,"")</f>
        <v>989.70999999999992</v>
      </c>
      <c r="G44" s="102">
        <f>IFERROR(F44/$F$66,"")</f>
        <v>9.8354102610771887E-3</v>
      </c>
      <c r="H44" s="106" t="s">
        <v>49</v>
      </c>
      <c r="I44" s="98"/>
      <c r="J44" s="104"/>
    </row>
    <row r="45" spans="1:13" ht="13.5" hidden="1" x14ac:dyDescent="0.25">
      <c r="A45" s="99">
        <f t="shared" ref="A45:A50" si="13">+A36</f>
        <v>1560</v>
      </c>
      <c r="B45" s="105" t="str">
        <f>IFERROR(VLOOKUP(H45,[1]SEMIELABORADOS!$A$2:$M$6000,2,0),"")</f>
        <v/>
      </c>
      <c r="C45" s="100">
        <f t="shared" ref="C45:C50" si="14">+A45</f>
        <v>1560</v>
      </c>
      <c r="D45" s="101" t="str">
        <f>IFERROR(VLOOKUP(H45,[1]SEMIELABORADOS!$A$2:$M$6000,6,0),"")</f>
        <v/>
      </c>
      <c r="E45" s="101" t="str">
        <f>IFERROR(VLOOKUP(H45,[1]SEMIELABORADOS!$A$2:$M$65536,12,0),"")</f>
        <v/>
      </c>
      <c r="F45" s="101" t="str">
        <f t="shared" ref="F45:F50" si="15">IFERROR(E45*C45,"")</f>
        <v/>
      </c>
      <c r="G45" s="102" t="str">
        <f t="shared" ref="G45:G50" si="16">IFERROR(F45/$F$66,"")</f>
        <v/>
      </c>
      <c r="H45" s="106"/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142</v>
      </c>
      <c r="C51" s="100">
        <f>+A51</f>
        <v>1</v>
      </c>
      <c r="D51" s="100" t="s">
        <v>143</v>
      </c>
      <c r="E51" s="101">
        <f>+F65</f>
        <v>1540</v>
      </c>
      <c r="F51" s="101">
        <f>IFERROR(C51*E51,"")</f>
        <v>1540</v>
      </c>
      <c r="G51" s="102">
        <f>IFERROR(F51/$F$66,"")</f>
        <v>1.5304010065634246E-2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25">
      <c r="A53" s="111"/>
      <c r="B53" s="641" t="s">
        <v>144</v>
      </c>
      <c r="C53" s="641"/>
      <c r="D53" s="641"/>
      <c r="E53" s="641"/>
      <c r="F53" s="113">
        <f>SUM(F8:F14,F17:F24)</f>
        <v>94659.040000000008</v>
      </c>
      <c r="G53" s="102">
        <f>+F53/$F$66</f>
        <v>0.94069019543069798</v>
      </c>
      <c r="H53" s="114">
        <f>+F53/$D$60</f>
        <v>693.47282051282059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641" t="s">
        <v>145</v>
      </c>
      <c r="C54" s="641"/>
      <c r="D54" s="641"/>
      <c r="E54" s="641"/>
      <c r="F54" s="113">
        <f>SUM(F27:F32,F35:F41)</f>
        <v>2535</v>
      </c>
      <c r="G54" s="102">
        <f>+F54/$F$66</f>
        <v>2.5191990595053778E-2</v>
      </c>
      <c r="H54" s="114">
        <f>+F54/$D$60</f>
        <v>18.571428571428573</v>
      </c>
      <c r="I54" s="114"/>
      <c r="J54" s="118"/>
      <c r="K54" s="642" t="s">
        <v>146</v>
      </c>
      <c r="L54" s="643"/>
      <c r="M54" s="643"/>
      <c r="N54" s="643"/>
      <c r="O54" s="119">
        <f>+F55</f>
        <v>97194.040000000008</v>
      </c>
      <c r="P54" s="119"/>
      <c r="Q54" s="120"/>
    </row>
    <row r="55" spans="1:17" x14ac:dyDescent="0.2">
      <c r="A55" s="111"/>
      <c r="B55" s="641" t="s">
        <v>147</v>
      </c>
      <c r="C55" s="641"/>
      <c r="D55" s="641"/>
      <c r="E55" s="641"/>
      <c r="F55" s="113">
        <f>+F53+F54</f>
        <v>97194.040000000008</v>
      </c>
      <c r="G55" s="102">
        <f>+F55/$F$66</f>
        <v>0.96588218602575182</v>
      </c>
      <c r="H55" s="114">
        <f>+F55/$D$60</f>
        <v>712.04424908424915</v>
      </c>
      <c r="I55" s="114"/>
      <c r="J55" s="121"/>
      <c r="K55" s="122"/>
      <c r="M55" s="123" t="s">
        <v>148</v>
      </c>
      <c r="N55" s="124"/>
      <c r="O55" s="119">
        <f>+H56</f>
        <v>18.532673992673992</v>
      </c>
      <c r="P55" s="119"/>
      <c r="Q55" s="120"/>
    </row>
    <row r="56" spans="1:17" ht="13.5" thickBot="1" x14ac:dyDescent="0.25">
      <c r="A56" s="111"/>
      <c r="B56" s="112"/>
      <c r="C56" s="641" t="s">
        <v>149</v>
      </c>
      <c r="D56" s="641"/>
      <c r="E56" s="641"/>
      <c r="F56" s="113">
        <f>SUM(F44:F51)</f>
        <v>2529.71</v>
      </c>
      <c r="G56" s="102">
        <f>+F56/$F$66</f>
        <v>2.5139420326711435E-2</v>
      </c>
      <c r="H56" s="114">
        <f>+F56/$D$60</f>
        <v>18.532673992673992</v>
      </c>
      <c r="I56" s="114"/>
      <c r="J56" s="121"/>
      <c r="K56" s="122"/>
      <c r="L56" s="122"/>
      <c r="M56" s="122" t="s">
        <v>150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151</v>
      </c>
      <c r="N57" s="131"/>
      <c r="O57" s="132">
        <f>SUM(O54:O56)</f>
        <v>97212.572673992676</v>
      </c>
      <c r="P57" s="133"/>
      <c r="Q57" s="120"/>
    </row>
    <row r="58" spans="1:17" x14ac:dyDescent="0.2">
      <c r="B58" s="644" t="s">
        <v>152</v>
      </c>
      <c r="C58" s="644"/>
      <c r="D58" s="134">
        <v>54600</v>
      </c>
      <c r="E58" s="135"/>
      <c r="G58" s="102"/>
      <c r="H58" s="128">
        <f>+H56/77</f>
        <v>0.24068407782693496</v>
      </c>
      <c r="I58" s="136"/>
      <c r="J58" s="121"/>
      <c r="K58" s="129"/>
      <c r="L58" s="122"/>
      <c r="M58" s="122" t="s">
        <v>153</v>
      </c>
      <c r="N58" s="137"/>
      <c r="O58" s="119">
        <f>+H59</f>
        <v>15.403780980923838</v>
      </c>
      <c r="P58" s="119"/>
      <c r="Q58" s="120"/>
    </row>
    <row r="59" spans="1:17" x14ac:dyDescent="0.2">
      <c r="B59" s="644" t="s">
        <v>154</v>
      </c>
      <c r="C59" s="644"/>
      <c r="D59" s="138">
        <v>400</v>
      </c>
      <c r="E59" s="135"/>
      <c r="G59" s="102"/>
      <c r="H59" s="128">
        <f>+H58*64</f>
        <v>15.403780980923838</v>
      </c>
      <c r="I59" s="136"/>
      <c r="J59" s="121"/>
      <c r="K59" s="129"/>
      <c r="L59" s="122"/>
      <c r="M59" s="645" t="s">
        <v>151</v>
      </c>
      <c r="N59" s="645"/>
      <c r="O59" s="119">
        <f>SUM(O57:O58)</f>
        <v>97227.976454973599</v>
      </c>
      <c r="P59" s="119"/>
      <c r="Q59" s="120"/>
    </row>
    <row r="60" spans="1:17" ht="13.5" thickBot="1" x14ac:dyDescent="0.25">
      <c r="B60" s="637" t="s">
        <v>155</v>
      </c>
      <c r="C60" s="637"/>
      <c r="D60" s="134">
        <f>+D58/D59</f>
        <v>136.5</v>
      </c>
      <c r="E60" s="135"/>
      <c r="F60" s="139"/>
      <c r="G60" s="102"/>
      <c r="H60" s="128"/>
      <c r="I60" s="136"/>
      <c r="J60" s="121"/>
      <c r="K60" s="129"/>
      <c r="L60" s="645"/>
      <c r="M60" s="645"/>
      <c r="N60" s="137"/>
      <c r="O60" s="119">
        <f>+O59*N60</f>
        <v>0</v>
      </c>
      <c r="P60" s="119"/>
      <c r="Q60" s="120"/>
    </row>
    <row r="61" spans="1:17" ht="13.5" thickBot="1" x14ac:dyDescent="0.25">
      <c r="B61" s="637" t="s">
        <v>156</v>
      </c>
      <c r="C61" s="637"/>
      <c r="D61" s="140"/>
      <c r="E61" s="135"/>
      <c r="F61" s="139"/>
      <c r="G61" s="102"/>
      <c r="H61" s="128"/>
      <c r="I61" s="136"/>
      <c r="J61" s="121"/>
      <c r="K61" s="638" t="s">
        <v>157</v>
      </c>
      <c r="L61" s="639"/>
      <c r="M61" s="639"/>
      <c r="N61" s="640"/>
      <c r="O61" s="132">
        <f>SUM(O59:O60)</f>
        <v>97227.976454973599</v>
      </c>
      <c r="P61" s="141" t="s">
        <v>158</v>
      </c>
      <c r="Q61" s="120"/>
    </row>
    <row r="62" spans="1:17" ht="13.5" thickBot="1" x14ac:dyDescent="0.25">
      <c r="C62" s="111" t="s">
        <v>159</v>
      </c>
      <c r="D62" s="142"/>
      <c r="E62" s="85" t="s">
        <v>160</v>
      </c>
      <c r="F62" s="143" t="s">
        <v>161</v>
      </c>
      <c r="G62" s="102"/>
      <c r="H62" s="128"/>
      <c r="I62" s="136"/>
      <c r="J62" s="144"/>
      <c r="K62" s="145"/>
      <c r="L62" s="651" t="s">
        <v>162</v>
      </c>
      <c r="M62" s="651"/>
      <c r="N62" s="651"/>
      <c r="O62" s="146">
        <f>+O61/D60</f>
        <v>712.29286780200437</v>
      </c>
      <c r="P62" s="147">
        <f>+O62/D59</f>
        <v>1.7807321695050109</v>
      </c>
      <c r="Q62" s="148"/>
    </row>
    <row r="63" spans="1:17" ht="13.5" thickBot="1" x14ac:dyDescent="0.25">
      <c r="B63" s="652" t="s">
        <v>147</v>
      </c>
      <c r="C63" s="652"/>
      <c r="D63" s="652"/>
      <c r="E63" s="149">
        <f>+F63/F63</f>
        <v>1</v>
      </c>
      <c r="F63" s="150">
        <f>SUM(F55)</f>
        <v>97194.040000000008</v>
      </c>
      <c r="G63" s="102">
        <f>+F63/$F$66</f>
        <v>0.96588218602575182</v>
      </c>
      <c r="H63" s="128"/>
      <c r="I63" s="136"/>
      <c r="K63" s="653"/>
      <c r="L63" s="654"/>
      <c r="M63" s="654"/>
      <c r="N63" s="654"/>
      <c r="O63" s="151"/>
      <c r="P63" s="152"/>
    </row>
    <row r="64" spans="1:17" ht="13.5" thickBot="1" x14ac:dyDescent="0.25">
      <c r="B64" s="655" t="s">
        <v>163</v>
      </c>
      <c r="C64" s="655"/>
      <c r="D64" s="655"/>
      <c r="E64" s="153">
        <v>0.02</v>
      </c>
      <c r="F64" s="150">
        <f>+F53*E64</f>
        <v>1893.1808000000001</v>
      </c>
      <c r="G64" s="102">
        <f>+F64/$F$66</f>
        <v>1.8813803908613959E-2</v>
      </c>
      <c r="H64" s="114"/>
      <c r="I64" s="136"/>
      <c r="J64" s="154"/>
      <c r="O64" s="155"/>
      <c r="P64" s="112"/>
    </row>
    <row r="65" spans="2:13" ht="13.5" thickBot="1" x14ac:dyDescent="0.25">
      <c r="B65" s="656" t="s">
        <v>164</v>
      </c>
      <c r="C65" s="657"/>
      <c r="D65" s="156">
        <v>20</v>
      </c>
      <c r="E65" s="157">
        <v>77</v>
      </c>
      <c r="F65" s="150">
        <f>+E65*D65</f>
        <v>1540</v>
      </c>
      <c r="G65" s="102">
        <f>+F65/$F$66</f>
        <v>1.5304010065634246E-2</v>
      </c>
      <c r="H65" s="114"/>
      <c r="I65" s="114"/>
      <c r="J65" s="104"/>
    </row>
    <row r="66" spans="2:13" ht="13.5" thickBot="1" x14ac:dyDescent="0.25">
      <c r="B66" s="658" t="s">
        <v>165</v>
      </c>
      <c r="C66" s="659"/>
      <c r="D66" s="659"/>
      <c r="E66" s="660"/>
      <c r="F66" s="127">
        <f>SUM(F63:F65)</f>
        <v>100627.22080000001</v>
      </c>
      <c r="G66" s="102">
        <f>+F66/$F$66</f>
        <v>1</v>
      </c>
      <c r="H66" s="661"/>
      <c r="I66" s="114"/>
      <c r="J66" s="104"/>
      <c r="M66" s="87" t="s">
        <v>166</v>
      </c>
    </row>
    <row r="67" spans="2:13" x14ac:dyDescent="0.2">
      <c r="C67" s="109"/>
      <c r="D67" s="109"/>
      <c r="E67" s="159"/>
      <c r="F67" s="150"/>
      <c r="G67" s="102"/>
      <c r="H67" s="661"/>
      <c r="I67" s="158"/>
      <c r="J67" s="87"/>
      <c r="M67" s="87" t="s">
        <v>167</v>
      </c>
    </row>
    <row r="68" spans="2:13" ht="13.5" thickBot="1" x14ac:dyDescent="0.25">
      <c r="B68" s="646" t="s">
        <v>168</v>
      </c>
      <c r="C68" s="646"/>
      <c r="D68" s="646"/>
      <c r="E68" s="646"/>
      <c r="F68" s="646"/>
      <c r="G68" s="102"/>
      <c r="H68" s="161"/>
      <c r="I68" s="158"/>
      <c r="J68" s="87"/>
      <c r="M68" s="87" t="s">
        <v>169</v>
      </c>
    </row>
    <row r="69" spans="2:13" ht="13.5" thickBot="1" x14ac:dyDescent="0.25">
      <c r="B69" s="162" t="s">
        <v>170</v>
      </c>
      <c r="C69" s="163">
        <f>+F53</f>
        <v>94659.040000000008</v>
      </c>
      <c r="D69" s="163">
        <f>+D58</f>
        <v>54600</v>
      </c>
      <c r="E69" s="164">
        <f>+C69/D69</f>
        <v>1.7336820512820514</v>
      </c>
      <c r="F69" s="102"/>
      <c r="G69" s="161"/>
      <c r="H69" s="104"/>
      <c r="I69" s="161"/>
      <c r="J69" s="87"/>
    </row>
    <row r="70" spans="2:13" x14ac:dyDescent="0.2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">
      <c r="B71" s="162" t="s">
        <v>171</v>
      </c>
      <c r="C71" s="163">
        <f>SUM(F63:F64)</f>
        <v>99087.22080000001</v>
      </c>
      <c r="D71" s="163">
        <f>+D58</f>
        <v>54600</v>
      </c>
      <c r="E71" s="168">
        <f>+C71/D71</f>
        <v>1.8147842637362639</v>
      </c>
      <c r="F71" s="102"/>
      <c r="G71" s="161"/>
      <c r="H71" s="104"/>
      <c r="I71" s="104"/>
      <c r="J71" s="87"/>
    </row>
    <row r="72" spans="2:13" x14ac:dyDescent="0.2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25">
      <c r="B73" s="162" t="s">
        <v>172</v>
      </c>
      <c r="C73" s="163">
        <f>+F65</f>
        <v>1540</v>
      </c>
      <c r="D73" s="163">
        <f>+D58</f>
        <v>54600</v>
      </c>
      <c r="E73" s="168">
        <f>+C73/D73</f>
        <v>2.8205128205128206E-2</v>
      </c>
      <c r="F73" s="102"/>
      <c r="G73" s="161"/>
      <c r="H73" s="104"/>
      <c r="I73" s="104"/>
      <c r="J73" s="87"/>
    </row>
    <row r="74" spans="2:13" ht="13.5" thickBot="1" x14ac:dyDescent="0.25">
      <c r="B74" s="162" t="s">
        <v>173</v>
      </c>
      <c r="C74" s="163">
        <f>+F56</f>
        <v>2529.71</v>
      </c>
      <c r="D74" s="163">
        <f>+D73</f>
        <v>54600</v>
      </c>
      <c r="E74" s="164">
        <f>+C74/D74</f>
        <v>4.6331684981684981E-2</v>
      </c>
      <c r="F74" s="102"/>
      <c r="G74" s="161"/>
      <c r="H74" s="104"/>
      <c r="I74" s="104"/>
      <c r="J74" s="87"/>
    </row>
    <row r="75" spans="2:13" ht="13.5" thickBot="1" x14ac:dyDescent="0.25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25">
      <c r="B76" s="162" t="s">
        <v>174</v>
      </c>
      <c r="C76" s="163">
        <f>+F54</f>
        <v>2535</v>
      </c>
      <c r="D76" s="163">
        <f>+D74</f>
        <v>54600</v>
      </c>
      <c r="E76" s="164">
        <f>+C76/D76</f>
        <v>4.642857142857143E-2</v>
      </c>
      <c r="F76" s="102"/>
      <c r="G76" s="161"/>
      <c r="H76" s="104"/>
      <c r="I76" s="104"/>
      <c r="J76" s="104"/>
    </row>
    <row r="77" spans="2:13" ht="13.5" thickBot="1" x14ac:dyDescent="0.25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25">
      <c r="B78" s="647" t="s">
        <v>175</v>
      </c>
      <c r="C78" s="648"/>
      <c r="D78" s="649"/>
      <c r="E78" s="164">
        <f>+E69+E74</f>
        <v>1.7800137362637365</v>
      </c>
      <c r="G78" s="102"/>
      <c r="H78" s="161"/>
      <c r="I78" s="104"/>
      <c r="J78" s="168"/>
    </row>
    <row r="79" spans="2:13" x14ac:dyDescent="0.2">
      <c r="I79" s="161"/>
      <c r="J79" s="87"/>
    </row>
    <row r="80" spans="2:13" ht="13.5" thickBot="1" x14ac:dyDescent="0.25">
      <c r="B80" s="646" t="s">
        <v>176</v>
      </c>
      <c r="C80" s="646"/>
      <c r="D80" s="646"/>
      <c r="E80" s="646"/>
      <c r="F80" s="646"/>
      <c r="G80" s="102"/>
      <c r="H80" s="161"/>
      <c r="J80" s="87"/>
    </row>
    <row r="81" spans="1:10" ht="13.5" thickBot="1" x14ac:dyDescent="0.25">
      <c r="B81" s="162" t="s">
        <v>170</v>
      </c>
      <c r="C81" s="163">
        <f>+C69</f>
        <v>94659.040000000008</v>
      </c>
      <c r="D81" s="163">
        <f>+D60</f>
        <v>136.5</v>
      </c>
      <c r="E81" s="164">
        <f>+C81/D81</f>
        <v>693.47282051282059</v>
      </c>
      <c r="F81" s="102"/>
      <c r="G81" s="161"/>
      <c r="H81" s="104"/>
      <c r="I81" s="161"/>
      <c r="J81" s="87"/>
    </row>
    <row r="82" spans="1:10" x14ac:dyDescent="0.2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">
      <c r="B83" s="162" t="s">
        <v>171</v>
      </c>
      <c r="C83" s="163">
        <f>+C71</f>
        <v>99087.22080000001</v>
      </c>
      <c r="D83" s="163">
        <f>+D60</f>
        <v>136.5</v>
      </c>
      <c r="E83" s="168">
        <f>+C83/D83</f>
        <v>725.91370549450562</v>
      </c>
      <c r="F83" s="102"/>
      <c r="G83" s="161"/>
      <c r="H83" s="104"/>
      <c r="I83" s="104"/>
      <c r="J83" s="87"/>
    </row>
    <row r="84" spans="1:10" x14ac:dyDescent="0.2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25">
      <c r="B85" s="162" t="s">
        <v>173</v>
      </c>
      <c r="C85" s="163">
        <f>+C73</f>
        <v>1540</v>
      </c>
      <c r="D85" s="163">
        <f>+D60</f>
        <v>136.5</v>
      </c>
      <c r="E85" s="168">
        <f>+C85/D85</f>
        <v>11.282051282051283</v>
      </c>
      <c r="F85" s="170"/>
      <c r="G85" s="160"/>
      <c r="H85" s="86"/>
      <c r="I85" s="104"/>
    </row>
    <row r="86" spans="1:10" ht="13.5" thickBot="1" x14ac:dyDescent="0.25">
      <c r="B86" s="162" t="s">
        <v>173</v>
      </c>
      <c r="C86" s="163">
        <f>+C74</f>
        <v>2529.71</v>
      </c>
      <c r="D86" s="163">
        <f>+D85</f>
        <v>136.5</v>
      </c>
      <c r="E86" s="164">
        <f>+C86/D86</f>
        <v>18.532673992673992</v>
      </c>
      <c r="F86" s="169"/>
      <c r="G86" s="160"/>
      <c r="H86" s="86"/>
      <c r="I86" s="86"/>
    </row>
    <row r="87" spans="1:10" x14ac:dyDescent="0.2">
      <c r="I87" s="86"/>
    </row>
    <row r="88" spans="1:10" x14ac:dyDescent="0.2">
      <c r="A88" s="650"/>
      <c r="B88" s="65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D6DC-CAFF-432B-B47E-6C53209DAE51}">
  <dimension ref="A1"/>
  <sheetViews>
    <sheetView workbookViewId="0">
      <selection activeCell="F24" sqref="F24"/>
    </sheetView>
  </sheetViews>
  <sheetFormatPr baseColWidth="10"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1BEE-622E-4F1B-BE77-0CF99AE359F4}">
  <dimension ref="A1:I55"/>
  <sheetViews>
    <sheetView zoomScale="85" zoomScaleNormal="85" workbookViewId="0">
      <selection activeCell="C12" sqref="C12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7" max="7" width="14" bestFit="1" customWidth="1"/>
    <col min="8" max="8" width="27" customWidth="1"/>
    <col min="9" max="9" width="22" bestFit="1" customWidth="1"/>
  </cols>
  <sheetData>
    <row r="1" spans="1:9" ht="17.25" x14ac:dyDescent="0.3">
      <c r="A1" s="674"/>
      <c r="B1" s="675"/>
      <c r="C1" s="680" t="s">
        <v>22</v>
      </c>
      <c r="D1" s="680"/>
      <c r="E1" s="680"/>
      <c r="F1" s="680"/>
      <c r="G1" s="680"/>
      <c r="H1" s="474" t="s">
        <v>21</v>
      </c>
      <c r="I1" s="473" t="s">
        <v>284</v>
      </c>
    </row>
    <row r="2" spans="1:9" ht="18" customHeight="1" thickBot="1" x14ac:dyDescent="0.35">
      <c r="A2" s="676"/>
      <c r="B2" s="677"/>
      <c r="C2" s="681" t="s">
        <v>0</v>
      </c>
      <c r="D2" s="682"/>
      <c r="E2" s="682"/>
      <c r="F2" s="682"/>
      <c r="G2" s="683"/>
      <c r="H2" s="475" t="s">
        <v>20</v>
      </c>
      <c r="I2" s="476" t="s">
        <v>216</v>
      </c>
    </row>
    <row r="3" spans="1:9" ht="31.5" customHeight="1" thickBot="1" x14ac:dyDescent="0.25">
      <c r="A3" s="676"/>
      <c r="B3" s="677"/>
      <c r="C3" s="684" t="s">
        <v>285</v>
      </c>
      <c r="D3" s="685"/>
      <c r="E3" s="685"/>
      <c r="F3" s="685"/>
      <c r="G3" s="686"/>
      <c r="H3" s="687" t="s">
        <v>19</v>
      </c>
      <c r="I3" s="665">
        <v>45612</v>
      </c>
    </row>
    <row r="4" spans="1:9" ht="18" customHeight="1" x14ac:dyDescent="0.3">
      <c r="A4" s="676"/>
      <c r="B4" s="677"/>
      <c r="C4" s="477" t="s">
        <v>18</v>
      </c>
      <c r="D4" s="668" t="s">
        <v>187</v>
      </c>
      <c r="E4" s="669"/>
      <c r="F4" s="669"/>
      <c r="G4" s="670"/>
      <c r="H4" s="688"/>
      <c r="I4" s="666"/>
    </row>
    <row r="5" spans="1:9" ht="18" thickBot="1" x14ac:dyDescent="0.35">
      <c r="A5" s="678"/>
      <c r="B5" s="679"/>
      <c r="C5" s="478" t="s">
        <v>17</v>
      </c>
      <c r="D5" s="671" t="s">
        <v>188</v>
      </c>
      <c r="E5" s="672"/>
      <c r="F5" s="672"/>
      <c r="G5" s="673"/>
      <c r="H5" s="689"/>
      <c r="I5" s="667"/>
    </row>
    <row r="6" spans="1:9" ht="16.5" thickBot="1" x14ac:dyDescent="0.3">
      <c r="A6" s="690" t="s">
        <v>23</v>
      </c>
      <c r="B6" s="690"/>
      <c r="C6" s="690"/>
      <c r="D6" s="691" t="s">
        <v>195</v>
      </c>
      <c r="E6" s="691"/>
      <c r="F6" s="691"/>
      <c r="G6" s="692" t="s">
        <v>24</v>
      </c>
      <c r="H6" s="692"/>
      <c r="I6" s="479" t="s">
        <v>34</v>
      </c>
    </row>
    <row r="7" spans="1:9" ht="15" x14ac:dyDescent="0.2">
      <c r="A7" s="693" t="s">
        <v>1</v>
      </c>
      <c r="B7" s="695" t="s">
        <v>189</v>
      </c>
      <c r="C7" s="697" t="s">
        <v>2</v>
      </c>
      <c r="D7" s="697" t="s">
        <v>3</v>
      </c>
      <c r="E7" s="697" t="s">
        <v>4</v>
      </c>
      <c r="F7" s="697"/>
      <c r="G7" s="697" t="s">
        <v>16</v>
      </c>
      <c r="H7" s="697"/>
      <c r="I7" s="480" t="s">
        <v>5</v>
      </c>
    </row>
    <row r="8" spans="1:9" ht="30.75" thickBot="1" x14ac:dyDescent="0.25">
      <c r="A8" s="694"/>
      <c r="B8" s="696"/>
      <c r="C8" s="698"/>
      <c r="D8" s="698"/>
      <c r="E8" s="481" t="s">
        <v>6</v>
      </c>
      <c r="F8" s="482" t="s">
        <v>7</v>
      </c>
      <c r="G8" s="481" t="s">
        <v>6</v>
      </c>
      <c r="H8" s="482" t="s">
        <v>7</v>
      </c>
      <c r="I8" s="483" t="s">
        <v>8</v>
      </c>
    </row>
    <row r="9" spans="1:9" ht="15.75" x14ac:dyDescent="0.25">
      <c r="A9" s="484"/>
      <c r="B9" s="485"/>
      <c r="C9" s="486" t="s">
        <v>190</v>
      </c>
      <c r="D9" s="487"/>
      <c r="E9" s="488"/>
      <c r="F9" s="489"/>
      <c r="G9" s="488"/>
      <c r="H9" s="489"/>
      <c r="I9" s="490"/>
    </row>
    <row r="10" spans="1:9" ht="18" customHeight="1" x14ac:dyDescent="0.3">
      <c r="A10" s="491">
        <v>310148</v>
      </c>
      <c r="B10" s="491" t="s">
        <v>259</v>
      </c>
      <c r="C10" s="492" t="s">
        <v>260</v>
      </c>
      <c r="D10" s="493" t="s">
        <v>286</v>
      </c>
      <c r="E10" s="411">
        <v>8000</v>
      </c>
      <c r="F10" s="413" t="s">
        <v>27</v>
      </c>
      <c r="G10" s="494"/>
      <c r="H10" s="495" t="s">
        <v>287</v>
      </c>
      <c r="I10" s="490"/>
    </row>
    <row r="11" spans="1:9" ht="17.25" x14ac:dyDescent="0.3">
      <c r="A11" s="491">
        <v>11400031</v>
      </c>
      <c r="B11" s="491" t="s">
        <v>262</v>
      </c>
      <c r="C11" s="492" t="s">
        <v>263</v>
      </c>
      <c r="D11" s="493" t="s">
        <v>286</v>
      </c>
      <c r="E11" s="411">
        <v>12000</v>
      </c>
      <c r="F11" s="413" t="s">
        <v>27</v>
      </c>
      <c r="G11" s="496"/>
      <c r="H11" s="495" t="s">
        <v>288</v>
      </c>
      <c r="I11" s="490"/>
    </row>
    <row r="12" spans="1:9" ht="17.25" x14ac:dyDescent="0.3">
      <c r="A12" s="491" t="s">
        <v>222</v>
      </c>
      <c r="B12" s="491"/>
      <c r="C12" s="492" t="s">
        <v>45</v>
      </c>
      <c r="D12" s="493" t="s">
        <v>289</v>
      </c>
      <c r="E12" s="411">
        <v>50</v>
      </c>
      <c r="F12" s="413" t="s">
        <v>27</v>
      </c>
      <c r="G12" s="497"/>
      <c r="H12" s="495"/>
      <c r="I12" s="490"/>
    </row>
    <row r="13" spans="1:9" ht="17.25" x14ac:dyDescent="0.3">
      <c r="A13" s="491">
        <v>1212410</v>
      </c>
      <c r="B13" s="491" t="s">
        <v>239</v>
      </c>
      <c r="C13" s="492" t="s">
        <v>265</v>
      </c>
      <c r="D13" s="493" t="s">
        <v>290</v>
      </c>
      <c r="E13" s="411">
        <v>15</v>
      </c>
      <c r="F13" s="413" t="s">
        <v>27</v>
      </c>
      <c r="G13" s="498"/>
      <c r="H13" s="495"/>
      <c r="I13" s="490"/>
    </row>
    <row r="14" spans="1:9" ht="17.25" x14ac:dyDescent="0.3">
      <c r="A14" s="499"/>
      <c r="B14" s="499"/>
      <c r="C14" s="500"/>
      <c r="D14" s="501"/>
      <c r="E14" s="502"/>
      <c r="F14" s="503"/>
      <c r="G14" s="498"/>
      <c r="H14" s="495"/>
      <c r="I14" s="490"/>
    </row>
    <row r="15" spans="1:9" ht="17.25" x14ac:dyDescent="0.3">
      <c r="A15" s="491"/>
      <c r="B15" s="491"/>
      <c r="C15" s="492"/>
      <c r="D15" s="504"/>
      <c r="E15" s="411"/>
      <c r="F15" s="413"/>
      <c r="G15" s="498"/>
      <c r="H15" s="495"/>
      <c r="I15" s="490"/>
    </row>
    <row r="16" spans="1:9" ht="17.25" x14ac:dyDescent="0.3">
      <c r="A16" s="491"/>
      <c r="B16" s="491"/>
      <c r="C16" s="492"/>
      <c r="D16" s="504"/>
      <c r="E16" s="411"/>
      <c r="F16" s="413"/>
      <c r="G16" s="488"/>
      <c r="H16" s="495"/>
      <c r="I16" s="490"/>
    </row>
    <row r="17" spans="1:9" ht="15.75" x14ac:dyDescent="0.25">
      <c r="A17" s="505"/>
      <c r="B17" s="506"/>
      <c r="C17" s="219" t="s">
        <v>195</v>
      </c>
      <c r="D17" s="507"/>
      <c r="E17" s="496"/>
      <c r="F17" s="508"/>
      <c r="G17" s="488"/>
      <c r="H17" s="489"/>
      <c r="I17" s="490"/>
    </row>
    <row r="18" spans="1:9" ht="15.75" x14ac:dyDescent="0.25">
      <c r="A18" s="509"/>
      <c r="B18" s="509"/>
      <c r="C18" s="510"/>
      <c r="D18" s="509"/>
      <c r="E18" s="509"/>
      <c r="F18" s="509"/>
      <c r="G18" s="488"/>
      <c r="H18" s="489"/>
      <c r="I18" s="490"/>
    </row>
    <row r="19" spans="1:9" ht="15.75" x14ac:dyDescent="0.25">
      <c r="A19" s="509"/>
      <c r="B19" s="509"/>
      <c r="C19" s="510"/>
      <c r="D19" s="509"/>
      <c r="E19" s="509"/>
      <c r="F19" s="509"/>
      <c r="G19" s="488"/>
      <c r="H19" s="489"/>
      <c r="I19" s="490"/>
    </row>
    <row r="20" spans="1:9" ht="15.75" x14ac:dyDescent="0.25">
      <c r="A20" s="509"/>
      <c r="B20" s="509"/>
      <c r="C20" s="510"/>
      <c r="D20" s="509"/>
      <c r="E20" s="509"/>
      <c r="F20" s="509"/>
      <c r="G20" s="488"/>
      <c r="H20" s="489"/>
      <c r="I20" s="490"/>
    </row>
    <row r="21" spans="1:9" ht="17.25" x14ac:dyDescent="0.3">
      <c r="A21" s="509"/>
      <c r="B21" s="509"/>
      <c r="C21" s="510"/>
      <c r="D21" s="511"/>
      <c r="E21" s="501"/>
      <c r="F21" s="503"/>
      <c r="G21" s="488"/>
      <c r="H21" s="489"/>
      <c r="I21" s="490"/>
    </row>
    <row r="22" spans="1:9" ht="17.25" x14ac:dyDescent="0.3">
      <c r="A22" s="497"/>
      <c r="B22" s="512"/>
      <c r="C22" s="513"/>
      <c r="D22" s="514"/>
      <c r="E22" s="515"/>
      <c r="F22" s="516"/>
      <c r="G22" s="488"/>
      <c r="H22" s="489"/>
      <c r="I22" s="490"/>
    </row>
    <row r="23" spans="1:9" ht="17.25" x14ac:dyDescent="0.3">
      <c r="A23" s="517"/>
      <c r="B23" s="517"/>
      <c r="C23" s="518"/>
      <c r="D23" s="514"/>
      <c r="E23" s="515"/>
      <c r="F23" s="516"/>
      <c r="G23" s="488"/>
      <c r="H23" s="489"/>
      <c r="I23" s="490"/>
    </row>
    <row r="24" spans="1:9" ht="17.25" x14ac:dyDescent="0.3">
      <c r="A24" s="491"/>
      <c r="B24" s="491"/>
      <c r="C24" s="492"/>
      <c r="D24" s="519"/>
      <c r="E24" s="520"/>
      <c r="F24" s="521"/>
      <c r="G24" s="488"/>
      <c r="H24" s="489"/>
      <c r="I24" s="490"/>
    </row>
    <row r="25" spans="1:9" ht="17.25" x14ac:dyDescent="0.3">
      <c r="A25" s="491"/>
      <c r="B25" s="491"/>
      <c r="C25" s="492"/>
      <c r="D25" s="519"/>
      <c r="E25" s="522"/>
      <c r="F25" s="523"/>
      <c r="G25" s="488"/>
      <c r="H25" s="489"/>
      <c r="I25" s="490"/>
    </row>
    <row r="26" spans="1:9" ht="15.75" x14ac:dyDescent="0.25">
      <c r="A26" s="524"/>
      <c r="B26" s="525"/>
      <c r="C26" s="236" t="s">
        <v>196</v>
      </c>
      <c r="D26" s="526"/>
      <c r="E26" s="527"/>
      <c r="F26" s="489"/>
      <c r="G26" s="488"/>
      <c r="H26" s="518"/>
      <c r="I26" s="490"/>
    </row>
    <row r="27" spans="1:9" ht="17.25" x14ac:dyDescent="0.3">
      <c r="A27" s="528">
        <v>702123</v>
      </c>
      <c r="B27" s="528" t="s">
        <v>96</v>
      </c>
      <c r="C27" s="529" t="s">
        <v>200</v>
      </c>
      <c r="D27" s="528" t="s">
        <v>199</v>
      </c>
      <c r="E27" s="530">
        <v>1</v>
      </c>
      <c r="F27" s="531" t="s">
        <v>84</v>
      </c>
      <c r="G27" s="532"/>
      <c r="H27" s="489"/>
      <c r="I27" s="490"/>
    </row>
    <row r="28" spans="1:9" ht="17.25" x14ac:dyDescent="0.3">
      <c r="A28" s="528"/>
      <c r="B28" s="528"/>
      <c r="C28" s="529"/>
      <c r="D28" s="528"/>
      <c r="E28" s="530"/>
      <c r="F28" s="531"/>
      <c r="G28" s="532"/>
      <c r="H28" s="489"/>
      <c r="I28" s="490"/>
    </row>
    <row r="29" spans="1:9" ht="17.25" x14ac:dyDescent="0.3">
      <c r="A29" s="528"/>
      <c r="B29" s="528"/>
      <c r="C29" s="529"/>
      <c r="D29" s="528"/>
      <c r="E29" s="530"/>
      <c r="F29" s="531"/>
      <c r="G29" s="532"/>
      <c r="H29" s="489"/>
      <c r="I29" s="490"/>
    </row>
    <row r="30" spans="1:9" ht="17.25" x14ac:dyDescent="0.3">
      <c r="A30" s="528"/>
      <c r="B30" s="528"/>
      <c r="C30" s="529"/>
      <c r="D30" s="528"/>
      <c r="E30" s="530"/>
      <c r="F30" s="531"/>
      <c r="G30" s="488"/>
      <c r="H30" s="489"/>
      <c r="I30" s="490"/>
    </row>
    <row r="31" spans="1:9" ht="17.25" x14ac:dyDescent="0.3">
      <c r="A31" s="528"/>
      <c r="B31" s="528"/>
      <c r="C31" s="529"/>
      <c r="D31" s="528"/>
      <c r="E31" s="530"/>
      <c r="F31" s="531"/>
      <c r="G31" s="488"/>
      <c r="H31" s="489"/>
      <c r="I31" s="490"/>
    </row>
    <row r="32" spans="1:9" ht="15.75" x14ac:dyDescent="0.25">
      <c r="A32" s="528"/>
      <c r="B32" s="528"/>
      <c r="C32" s="529"/>
      <c r="D32" s="528"/>
      <c r="E32" s="528"/>
      <c r="F32" s="533"/>
      <c r="G32" s="534"/>
      <c r="H32" s="489"/>
      <c r="I32" s="490"/>
    </row>
    <row r="33" spans="1:9" ht="15.75" x14ac:dyDescent="0.25">
      <c r="A33" s="535"/>
      <c r="B33" s="536"/>
      <c r="C33" s="529"/>
      <c r="D33" s="528"/>
      <c r="E33" s="528"/>
      <c r="F33" s="533"/>
      <c r="G33" s="537"/>
      <c r="H33" s="489"/>
      <c r="I33" s="490"/>
    </row>
    <row r="34" spans="1:9" ht="15.75" x14ac:dyDescent="0.25">
      <c r="A34" s="505"/>
      <c r="B34" s="506"/>
      <c r="C34" s="538"/>
      <c r="D34" s="216"/>
      <c r="E34" s="537"/>
      <c r="F34" s="508"/>
      <c r="G34" s="537"/>
      <c r="H34" s="489"/>
      <c r="I34" s="490"/>
    </row>
    <row r="35" spans="1:9" ht="15.75" x14ac:dyDescent="0.25">
      <c r="A35" s="505"/>
      <c r="B35" s="506"/>
      <c r="C35" s="538"/>
      <c r="D35" s="507"/>
      <c r="E35" s="507"/>
      <c r="F35" s="508"/>
      <c r="G35" s="507"/>
      <c r="H35" s="507"/>
      <c r="I35" s="490"/>
    </row>
    <row r="36" spans="1:9" ht="18" thickBot="1" x14ac:dyDescent="0.35">
      <c r="A36" s="539"/>
      <c r="B36" s="540"/>
      <c r="C36" s="541"/>
      <c r="D36" s="541"/>
      <c r="E36" s="542"/>
      <c r="F36" s="543"/>
      <c r="G36" s="541"/>
      <c r="H36" s="541"/>
      <c r="I36" s="544"/>
    </row>
    <row r="37" spans="1:9" ht="18" thickBot="1" x14ac:dyDescent="0.35">
      <c r="A37" s="545"/>
      <c r="B37" s="546"/>
      <c r="C37" s="547"/>
      <c r="D37" s="548" t="s">
        <v>6</v>
      </c>
      <c r="E37" s="549" t="s">
        <v>15</v>
      </c>
      <c r="F37" s="550"/>
      <c r="G37" s="547"/>
      <c r="H37" s="547"/>
      <c r="I37" s="551"/>
    </row>
    <row r="38" spans="1:9" ht="17.25" x14ac:dyDescent="0.3">
      <c r="A38" s="699" t="s">
        <v>10</v>
      </c>
      <c r="B38" s="700"/>
      <c r="C38" s="701"/>
      <c r="D38" s="520">
        <v>20000</v>
      </c>
      <c r="E38" s="552" t="s">
        <v>27</v>
      </c>
      <c r="F38" s="702" t="s">
        <v>205</v>
      </c>
      <c r="G38" s="702"/>
      <c r="H38" s="703"/>
      <c r="I38" s="704"/>
    </row>
    <row r="39" spans="1:9" ht="17.25" x14ac:dyDescent="0.3">
      <c r="A39" s="705" t="s">
        <v>9</v>
      </c>
      <c r="B39" s="706"/>
      <c r="C39" s="707"/>
      <c r="D39" s="553">
        <v>17</v>
      </c>
      <c r="E39" s="554" t="s">
        <v>28</v>
      </c>
      <c r="F39" s="708" t="s">
        <v>206</v>
      </c>
      <c r="G39" s="708"/>
      <c r="H39" s="709"/>
      <c r="I39" s="710"/>
    </row>
    <row r="40" spans="1:9" ht="17.25" x14ac:dyDescent="0.3">
      <c r="A40" s="705" t="s">
        <v>14</v>
      </c>
      <c r="B40" s="706"/>
      <c r="C40" s="707"/>
      <c r="D40" s="554">
        <v>1</v>
      </c>
      <c r="E40" s="554" t="s">
        <v>268</v>
      </c>
      <c r="F40" s="708" t="s">
        <v>207</v>
      </c>
      <c r="G40" s="708"/>
      <c r="H40" s="709"/>
      <c r="I40" s="710"/>
    </row>
    <row r="41" spans="1:9" ht="17.25" x14ac:dyDescent="0.3">
      <c r="A41" s="705" t="s">
        <v>13</v>
      </c>
      <c r="B41" s="706"/>
      <c r="C41" s="707"/>
      <c r="D41" s="522">
        <v>20000</v>
      </c>
      <c r="E41" s="554" t="s">
        <v>27</v>
      </c>
      <c r="F41" s="714" t="s">
        <v>208</v>
      </c>
      <c r="G41" s="715"/>
      <c r="H41" s="716"/>
      <c r="I41" s="717"/>
    </row>
    <row r="42" spans="1:9" ht="18" thickBot="1" x14ac:dyDescent="0.35">
      <c r="A42" s="718" t="s">
        <v>12</v>
      </c>
      <c r="B42" s="719"/>
      <c r="C42" s="720"/>
      <c r="D42" s="555">
        <v>66</v>
      </c>
      <c r="E42" s="556" t="s">
        <v>27</v>
      </c>
      <c r="F42" s="721"/>
      <c r="G42" s="721"/>
      <c r="H42" s="709"/>
      <c r="I42" s="710"/>
    </row>
    <row r="43" spans="1:9" ht="15.75" thickBot="1" x14ac:dyDescent="0.25">
      <c r="A43" s="722" t="s">
        <v>11</v>
      </c>
      <c r="B43" s="723"/>
      <c r="C43" s="723"/>
      <c r="D43" s="723"/>
      <c r="E43" s="723"/>
      <c r="F43" s="723"/>
      <c r="G43" s="723"/>
      <c r="H43" s="723"/>
      <c r="I43" s="724"/>
    </row>
    <row r="44" spans="1:9" ht="18.399999999999999" customHeight="1" x14ac:dyDescent="0.25">
      <c r="A44" s="711" t="s">
        <v>291</v>
      </c>
      <c r="B44" s="712"/>
      <c r="C44" s="712"/>
      <c r="D44" s="712"/>
      <c r="E44" s="712"/>
      <c r="F44" s="712"/>
      <c r="G44" s="712"/>
      <c r="H44" s="712"/>
      <c r="I44" s="713"/>
    </row>
    <row r="45" spans="1:9" ht="14.65" customHeight="1" x14ac:dyDescent="0.25">
      <c r="A45" s="711" t="s">
        <v>270</v>
      </c>
      <c r="B45" s="712"/>
      <c r="C45" s="712"/>
      <c r="D45" s="712"/>
      <c r="E45" s="712"/>
      <c r="F45" s="712"/>
      <c r="G45" s="712"/>
      <c r="H45" s="712"/>
      <c r="I45" s="713"/>
    </row>
    <row r="46" spans="1:9" ht="14.65" customHeight="1" x14ac:dyDescent="0.25">
      <c r="A46" s="711" t="s">
        <v>292</v>
      </c>
      <c r="B46" s="712"/>
      <c r="C46" s="712"/>
      <c r="D46" s="712"/>
      <c r="E46" s="712"/>
      <c r="F46" s="712"/>
      <c r="G46" s="712"/>
      <c r="H46" s="712"/>
      <c r="I46" s="713"/>
    </row>
    <row r="47" spans="1:9" ht="14.65" customHeight="1" x14ac:dyDescent="0.25">
      <c r="A47" s="711" t="s">
        <v>272</v>
      </c>
      <c r="B47" s="712"/>
      <c r="C47" s="712"/>
      <c r="D47" s="712"/>
      <c r="E47" s="712"/>
      <c r="F47" s="712"/>
      <c r="G47" s="712"/>
      <c r="H47" s="712"/>
      <c r="I47" s="713"/>
    </row>
    <row r="48" spans="1:9" ht="14.65" customHeight="1" x14ac:dyDescent="0.25">
      <c r="A48" s="711" t="s">
        <v>273</v>
      </c>
      <c r="B48" s="712"/>
      <c r="C48" s="712"/>
      <c r="D48" s="712"/>
      <c r="E48" s="712"/>
      <c r="F48" s="712"/>
      <c r="G48" s="712"/>
      <c r="H48" s="712"/>
      <c r="I48" s="713"/>
    </row>
    <row r="49" spans="1:9" ht="14.65" customHeight="1" thickBot="1" x14ac:dyDescent="0.35">
      <c r="A49" s="732"/>
      <c r="B49" s="733"/>
      <c r="C49" s="734"/>
      <c r="D49" s="734"/>
      <c r="E49" s="734"/>
      <c r="F49" s="734"/>
      <c r="G49" s="734"/>
      <c r="H49" s="734"/>
      <c r="I49" s="735"/>
    </row>
    <row r="50" spans="1:9" ht="18" customHeight="1" x14ac:dyDescent="0.25">
      <c r="A50" s="736"/>
      <c r="B50" s="737"/>
      <c r="C50" s="738"/>
      <c r="D50" s="738"/>
      <c r="E50" s="738"/>
      <c r="F50" s="738"/>
      <c r="G50" s="738"/>
      <c r="H50" s="738"/>
      <c r="I50" s="739"/>
    </row>
    <row r="51" spans="1:9" ht="17.25" x14ac:dyDescent="0.3">
      <c r="A51" s="740"/>
      <c r="B51" s="741"/>
      <c r="C51" s="741"/>
      <c r="D51" s="741"/>
      <c r="E51" s="741"/>
      <c r="F51" s="741"/>
      <c r="G51" s="741"/>
      <c r="H51" s="741"/>
      <c r="I51" s="742"/>
    </row>
    <row r="52" spans="1:9" ht="16.5" thickBot="1" x14ac:dyDescent="0.3">
      <c r="A52" s="725"/>
      <c r="B52" s="726"/>
      <c r="C52" s="726"/>
      <c r="D52" s="726"/>
      <c r="E52" s="726"/>
      <c r="F52" s="726"/>
      <c r="G52" s="726"/>
      <c r="H52" s="726"/>
      <c r="I52" s="727"/>
    </row>
    <row r="53" spans="1:9" ht="15" x14ac:dyDescent="0.2">
      <c r="A53" s="728" t="s">
        <v>213</v>
      </c>
      <c r="B53" s="729"/>
      <c r="C53" s="729"/>
      <c r="D53" s="729"/>
      <c r="E53" s="729"/>
      <c r="F53" s="729"/>
      <c r="G53" s="729"/>
      <c r="H53" s="729"/>
      <c r="I53" s="729"/>
    </row>
    <row r="54" spans="1:9" ht="17.25" x14ac:dyDescent="0.3">
      <c r="A54" s="671" t="s">
        <v>293</v>
      </c>
      <c r="B54" s="672"/>
      <c r="C54" s="672"/>
      <c r="D54" s="672"/>
      <c r="E54" s="672"/>
      <c r="F54" s="672"/>
      <c r="G54" s="672"/>
      <c r="H54" s="672"/>
      <c r="I54" s="673"/>
    </row>
    <row r="55" spans="1:9" ht="17.25" x14ac:dyDescent="0.3">
      <c r="A55" s="730"/>
      <c r="B55" s="731"/>
      <c r="C55" s="731"/>
      <c r="D55" s="731"/>
      <c r="E55" s="731"/>
      <c r="F55" s="731"/>
      <c r="G55" s="731"/>
      <c r="H55" s="731"/>
      <c r="I55" s="73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9EF5-0229-4BE9-AF98-7C5F96DA4F46}">
  <dimension ref="A1:Q91"/>
  <sheetViews>
    <sheetView topLeftCell="A58" workbookViewId="0">
      <selection activeCell="M15" sqref="M15"/>
    </sheetView>
  </sheetViews>
  <sheetFormatPr baseColWidth="10" defaultColWidth="8.42578125" defaultRowHeight="12.75" x14ac:dyDescent="0.2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">
      <c r="A1" s="82"/>
      <c r="B1" s="82"/>
      <c r="C1" s="82"/>
      <c r="D1" s="82"/>
      <c r="E1" s="83" t="s">
        <v>126</v>
      </c>
      <c r="F1" s="84" t="s">
        <v>127</v>
      </c>
      <c r="G1" s="84" t="s">
        <v>128</v>
      </c>
      <c r="H1" s="84" t="s">
        <v>129</v>
      </c>
      <c r="I1" s="85"/>
    </row>
    <row r="2" spans="1:10" ht="30.75" customHeight="1" x14ac:dyDescent="0.2">
      <c r="A2" s="82"/>
      <c r="B2" s="82"/>
      <c r="C2" s="82"/>
      <c r="D2" s="82"/>
      <c r="E2" s="88">
        <f>IFERROR(O62,"")</f>
        <v>986.72974025974031</v>
      </c>
      <c r="F2" s="88">
        <f>IFERROR(H53,"")</f>
        <v>422.39</v>
      </c>
      <c r="G2" s="88">
        <f>IFERROR(H54,"")</f>
        <v>0.12</v>
      </c>
      <c r="H2" s="88">
        <f>IFERROR(H56,"")</f>
        <v>308.12</v>
      </c>
      <c r="I2" s="89"/>
    </row>
    <row r="3" spans="1:10" ht="15" customHeight="1" x14ac:dyDescent="0.2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25">
      <c r="A4" s="632"/>
      <c r="B4" s="632"/>
      <c r="C4" s="632"/>
      <c r="D4" s="632"/>
      <c r="E4" s="632"/>
      <c r="F4" s="632"/>
      <c r="G4" s="632"/>
      <c r="H4" s="632"/>
      <c r="I4" s="91"/>
    </row>
    <row r="5" spans="1:10" ht="19.5" customHeight="1" thickBot="1" x14ac:dyDescent="0.25">
      <c r="A5" s="633" t="s">
        <v>130</v>
      </c>
      <c r="B5" s="634"/>
      <c r="C5" s="634"/>
      <c r="D5" s="634"/>
      <c r="E5" s="634"/>
      <c r="F5" s="634"/>
      <c r="G5" s="634"/>
      <c r="H5" s="635"/>
      <c r="I5" s="92"/>
    </row>
    <row r="6" spans="1:10" ht="19.5" thickBot="1" x14ac:dyDescent="0.25">
      <c r="A6" s="92"/>
      <c r="B6" s="92"/>
      <c r="C6" s="92"/>
      <c r="D6" s="92"/>
      <c r="E6" s="92"/>
      <c r="F6" s="636" t="s">
        <v>131</v>
      </c>
      <c r="G6" s="636"/>
      <c r="H6" s="93">
        <f ca="1">TODAY()</f>
        <v>45901</v>
      </c>
      <c r="I6" s="93"/>
    </row>
    <row r="7" spans="1:10" ht="26.25" thickBot="1" x14ac:dyDescent="0.25">
      <c r="A7" s="94" t="s">
        <v>132</v>
      </c>
      <c r="B7" s="95" t="s">
        <v>133</v>
      </c>
      <c r="C7" s="95" t="s">
        <v>132</v>
      </c>
      <c r="D7" s="96" t="s">
        <v>134</v>
      </c>
      <c r="E7" s="96" t="s">
        <v>135</v>
      </c>
      <c r="F7" s="96" t="s">
        <v>136</v>
      </c>
      <c r="G7" s="96" t="s">
        <v>137</v>
      </c>
      <c r="H7" s="97" t="s">
        <v>138</v>
      </c>
      <c r="I7" s="98"/>
    </row>
    <row r="8" spans="1:10" ht="13.5" x14ac:dyDescent="0.25">
      <c r="A8" s="99">
        <v>100</v>
      </c>
      <c r="B8" s="87" t="s">
        <v>63</v>
      </c>
      <c r="C8" s="100">
        <f>+A8</f>
        <v>100</v>
      </c>
      <c r="D8" s="101" t="s">
        <v>177</v>
      </c>
      <c r="E8" s="101">
        <v>0.43</v>
      </c>
      <c r="F8" s="101">
        <f>IFERROR(C8*E8,"")</f>
        <v>43</v>
      </c>
      <c r="G8" s="102">
        <f t="shared" ref="G8:G14" si="0">IFERROR(F8/$F$66,"")</f>
        <v>5.8190061732889223E-2</v>
      </c>
      <c r="H8" s="103" t="s">
        <v>62</v>
      </c>
      <c r="I8" s="103"/>
      <c r="J8" s="104"/>
    </row>
    <row r="9" spans="1:10" ht="13.5" x14ac:dyDescent="0.25">
      <c r="A9" s="99">
        <v>200</v>
      </c>
      <c r="B9" s="87" t="s">
        <v>64</v>
      </c>
      <c r="C9" s="100">
        <f t="shared" ref="C9:C14" si="1">+A9</f>
        <v>200</v>
      </c>
      <c r="D9" s="101" t="s">
        <v>177</v>
      </c>
      <c r="E9" s="101">
        <v>1.55</v>
      </c>
      <c r="F9" s="101">
        <f t="shared" ref="F9:F14" si="2">IFERROR(C9*E9,"")</f>
        <v>310</v>
      </c>
      <c r="G9" s="102">
        <f t="shared" si="0"/>
        <v>0.41950974737664321</v>
      </c>
      <c r="H9" s="103" t="s">
        <v>48</v>
      </c>
      <c r="I9" s="103"/>
      <c r="J9" s="104"/>
    </row>
    <row r="10" spans="1:10" ht="13.5" x14ac:dyDescent="0.25">
      <c r="A10" s="99">
        <v>2</v>
      </c>
      <c r="B10" s="87" t="s">
        <v>113</v>
      </c>
      <c r="C10" s="100">
        <f t="shared" si="1"/>
        <v>2</v>
      </c>
      <c r="D10" s="101" t="s">
        <v>177</v>
      </c>
      <c r="E10" s="101">
        <v>18.46</v>
      </c>
      <c r="F10" s="101">
        <f t="shared" si="2"/>
        <v>36.92</v>
      </c>
      <c r="G10" s="102">
        <f t="shared" si="0"/>
        <v>4.9962257655308609E-2</v>
      </c>
      <c r="H10" s="103" t="s">
        <v>112</v>
      </c>
      <c r="I10" s="103"/>
      <c r="J10" s="104"/>
    </row>
    <row r="11" spans="1:10" ht="13.5" x14ac:dyDescent="0.25">
      <c r="A11" s="99">
        <v>1</v>
      </c>
      <c r="B11" s="87" t="s">
        <v>114</v>
      </c>
      <c r="C11" s="100">
        <f t="shared" si="1"/>
        <v>1</v>
      </c>
      <c r="D11" s="101" t="s">
        <v>177</v>
      </c>
      <c r="E11" s="101">
        <v>7.15</v>
      </c>
      <c r="F11" s="101">
        <f t="shared" si="2"/>
        <v>7.15</v>
      </c>
      <c r="G11" s="102">
        <f t="shared" si="0"/>
        <v>9.6757893346548357E-3</v>
      </c>
      <c r="H11" s="103" t="s">
        <v>48</v>
      </c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25">
      <c r="A16" s="94" t="s">
        <v>132</v>
      </c>
      <c r="B16" s="95" t="s">
        <v>139</v>
      </c>
      <c r="C16" s="95" t="s">
        <v>132</v>
      </c>
      <c r="D16" s="96" t="s">
        <v>134</v>
      </c>
      <c r="E16" s="96" t="s">
        <v>135</v>
      </c>
      <c r="F16" s="96" t="s">
        <v>136</v>
      </c>
      <c r="G16" s="96" t="s">
        <v>137</v>
      </c>
      <c r="H16" s="97" t="s">
        <v>138</v>
      </c>
      <c r="I16" s="98"/>
      <c r="J16" s="104"/>
    </row>
    <row r="17" spans="1:12" ht="13.5" x14ac:dyDescent="0.25">
      <c r="A17" s="99">
        <v>12</v>
      </c>
      <c r="B17" s="87" t="s">
        <v>67</v>
      </c>
      <c r="C17" s="100">
        <f>+A17</f>
        <v>12</v>
      </c>
      <c r="D17" s="100" t="s">
        <v>177</v>
      </c>
      <c r="E17" s="101">
        <v>2.11</v>
      </c>
      <c r="F17" s="101">
        <f>IFERROR(E17*C17,"")</f>
        <v>25.32</v>
      </c>
      <c r="G17" s="102">
        <f t="shared" ref="G17:G24" si="3">IFERROR(F17/$F$66,"")</f>
        <v>3.4264473559924534E-2</v>
      </c>
      <c r="H17" s="103" t="s">
        <v>66</v>
      </c>
      <c r="I17" s="103"/>
      <c r="J17" s="104"/>
    </row>
    <row r="18" spans="1:12" ht="13.5" hidden="1" x14ac:dyDescent="0.25">
      <c r="A18" s="99"/>
      <c r="B18" s="87" t="str">
        <f>IFERROR(VLOOKUP(H18,[1]SEMIELABORADOS!$A$2:$M$6000,2,0),"")</f>
        <v/>
      </c>
      <c r="C18" s="100">
        <f t="shared" ref="C18:C24" si="4">+A18</f>
        <v>0</v>
      </c>
      <c r="D18" s="100" t="str">
        <f>IFERROR(VLOOKUP(H18,[1]SEMIELABORADOS!$A$2:$M$6000,6,0),"")</f>
        <v/>
      </c>
      <c r="E18" s="101" t="str">
        <f>IFERROR(VLOOKUP(H18,[1]SEMIELABORADOS!$A$2:$H$65536,8,0),"")</f>
        <v/>
      </c>
      <c r="F18" s="101" t="str">
        <f t="shared" ref="F18:F24" si="5">IFERROR(E18*C18,"")</f>
        <v/>
      </c>
      <c r="G18" s="102" t="str">
        <f t="shared" si="3"/>
        <v/>
      </c>
      <c r="H18" s="103"/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hidden="1" thickBot="1" x14ac:dyDescent="0.25">
      <c r="A26" s="94" t="s">
        <v>132</v>
      </c>
      <c r="B26" s="95" t="s">
        <v>80</v>
      </c>
      <c r="C26" s="95" t="s">
        <v>132</v>
      </c>
      <c r="D26" s="96" t="s">
        <v>134</v>
      </c>
      <c r="E26" s="96" t="s">
        <v>135</v>
      </c>
      <c r="F26" s="96" t="s">
        <v>136</v>
      </c>
      <c r="G26" s="96" t="s">
        <v>137</v>
      </c>
      <c r="H26" s="97" t="s">
        <v>138</v>
      </c>
      <c r="I26" s="98"/>
    </row>
    <row r="27" spans="1:12" ht="13.5" hidden="1" x14ac:dyDescent="0.25">
      <c r="A27" s="99">
        <v>0</v>
      </c>
      <c r="B27" s="105" t="str">
        <f>IFERROR(VLOOKUP(H27,'[1]Consolidado MP Planta'!$A$2:$M$823,3,0),"")</f>
        <v/>
      </c>
      <c r="C27" s="100">
        <f t="shared" ref="C27:C32" si="6">+A27</f>
        <v>0</v>
      </c>
      <c r="D27" s="101" t="str">
        <f>IFERROR(VLOOKUP(H27,'[1]Consolidado MP Planta'!$A$2:$M$823,13,0),"")</f>
        <v/>
      </c>
      <c r="E27" s="101" t="str">
        <f>IFERROR(VLOOKUP(H27,'[1]Consolidado MP Planta'!$A$2:$M$823,12,0),"")</f>
        <v/>
      </c>
      <c r="F27" s="101" t="str">
        <f t="shared" ref="F27:F32" si="7">IFERROR(C27*E27,"")</f>
        <v/>
      </c>
      <c r="G27" s="102" t="str">
        <f t="shared" ref="G27:G32" si="8">IFERROR(F27/$F$66,"")</f>
        <v/>
      </c>
      <c r="H27" s="106"/>
      <c r="I27" s="106"/>
      <c r="J27" s="104"/>
      <c r="K27" s="631"/>
      <c r="L27" s="631"/>
    </row>
    <row r="28" spans="1:12" ht="13.5" hidden="1" x14ac:dyDescent="0.25">
      <c r="A28" s="99"/>
      <c r="B28" s="105" t="str">
        <f>IFERROR(VLOOKUP(H28,'[1]Consolidado MP Planta'!$A$2:$M$823,3,0),"")</f>
        <v/>
      </c>
      <c r="C28" s="100">
        <f t="shared" si="6"/>
        <v>0</v>
      </c>
      <c r="D28" s="101" t="str">
        <f>IFERROR(VLOOKUP(H28,'[1]Consolidado MP Planta'!$A$2:$M$823,13,0),"")</f>
        <v/>
      </c>
      <c r="E28" s="101" t="str">
        <f>IFERROR(VLOOKUP(H28,'[1]Consolidado MP Planta'!$A$2:$M$823,12,0),"")</f>
        <v/>
      </c>
      <c r="F28" s="101" t="str">
        <f t="shared" si="7"/>
        <v/>
      </c>
      <c r="G28" s="102" t="str">
        <f t="shared" si="8"/>
        <v/>
      </c>
      <c r="H28" s="106"/>
      <c r="I28" s="106"/>
      <c r="J28" s="104"/>
      <c r="K28" s="631"/>
      <c r="L28" s="631"/>
    </row>
    <row r="29" spans="1:12" ht="13.5" hidden="1" x14ac:dyDescent="0.25">
      <c r="A29" s="99"/>
      <c r="B29" s="105" t="str">
        <f>IFERROR(VLOOKUP(H29,'[1]Consolidado MP Planta'!$A$2:$M$823,3,0),"")</f>
        <v/>
      </c>
      <c r="C29" s="100">
        <f t="shared" si="6"/>
        <v>0</v>
      </c>
      <c r="D29" s="101" t="str">
        <f>IFERROR(VLOOKUP(H29,'[1]Consolidado MP Planta'!$A$2:$M$823,13,0),"")</f>
        <v/>
      </c>
      <c r="E29" s="101" t="str">
        <f>IFERROR(VLOOKUP(H29,'[1]Consolidado MP Planta'!$A$2:$M$823,12,0),"")</f>
        <v/>
      </c>
      <c r="F29" s="101" t="str">
        <f t="shared" si="7"/>
        <v/>
      </c>
      <c r="G29" s="102" t="str">
        <f t="shared" si="8"/>
        <v/>
      </c>
      <c r="H29" s="106"/>
      <c r="I29" s="106"/>
      <c r="J29" s="104"/>
      <c r="K29" s="631"/>
      <c r="L29" s="631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631"/>
      <c r="L30" s="631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hidden="1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132</v>
      </c>
      <c r="B34" s="95" t="s">
        <v>140</v>
      </c>
      <c r="C34" s="95" t="s">
        <v>132</v>
      </c>
      <c r="D34" s="96" t="s">
        <v>134</v>
      </c>
      <c r="E34" s="96" t="s">
        <v>135</v>
      </c>
      <c r="F34" s="96" t="s">
        <v>136</v>
      </c>
      <c r="G34" s="96" t="s">
        <v>137</v>
      </c>
      <c r="H34" s="97" t="s">
        <v>138</v>
      </c>
      <c r="I34" s="106"/>
      <c r="J34" s="104"/>
    </row>
    <row r="35" spans="1:13" ht="13.5" x14ac:dyDescent="0.25">
      <c r="A35" s="99">
        <f>+A17</f>
        <v>12</v>
      </c>
      <c r="B35" s="105" t="s">
        <v>67</v>
      </c>
      <c r="C35" s="100">
        <f>+A35</f>
        <v>12</v>
      </c>
      <c r="D35" s="101" t="s">
        <v>177</v>
      </c>
      <c r="E35" s="101">
        <v>0.01</v>
      </c>
      <c r="F35" s="101">
        <f>IFERROR(E35*C35,"")</f>
        <v>0.12</v>
      </c>
      <c r="G35" s="102">
        <f t="shared" ref="G35:G41" si="9">IFERROR(F35/$F$66,"")</f>
        <v>1.6239086995224899E-4</v>
      </c>
      <c r="H35" s="106" t="s">
        <v>66</v>
      </c>
      <c r="I35" s="106"/>
      <c r="J35" s="104"/>
    </row>
    <row r="36" spans="1:13" ht="13.5" hidden="1" x14ac:dyDescent="0.25">
      <c r="A36" s="99">
        <f t="shared" ref="A36:A41" si="10">+A18</f>
        <v>0</v>
      </c>
      <c r="B36" s="105" t="str">
        <f>IFERROR(VLOOKUP(H36,[1]SEMIELABORADOS!$A$2:$M$6000,2,0),"")</f>
        <v/>
      </c>
      <c r="C36" s="100">
        <f t="shared" ref="C36:C41" si="11">+A36</f>
        <v>0</v>
      </c>
      <c r="D36" s="101" t="str">
        <f>IFERROR(VLOOKUP(H36,[1]SEMIELABORADOS!$A$2:$M$6000,6,0),"")</f>
        <v/>
      </c>
      <c r="E36" s="101" t="str">
        <f>IFERROR(VLOOKUP(H36,[1]SEMIELABORADOS!$A$2:$M$65536,10,0),"")</f>
        <v/>
      </c>
      <c r="F36" s="101" t="str">
        <f t="shared" ref="F36:F41" si="12">IFERROR(E36*C36,"")</f>
        <v/>
      </c>
      <c r="G36" s="102" t="str">
        <f t="shared" si="9"/>
        <v/>
      </c>
      <c r="H36" s="106"/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25">
      <c r="A43" s="94" t="s">
        <v>132</v>
      </c>
      <c r="B43" s="95" t="s">
        <v>141</v>
      </c>
      <c r="C43" s="95" t="s">
        <v>132</v>
      </c>
      <c r="D43" s="96" t="s">
        <v>134</v>
      </c>
      <c r="E43" s="96" t="s">
        <v>135</v>
      </c>
      <c r="F43" s="96" t="s">
        <v>136</v>
      </c>
      <c r="G43" s="96" t="s">
        <v>137</v>
      </c>
      <c r="H43" s="97" t="s">
        <v>138</v>
      </c>
      <c r="I43" s="98"/>
      <c r="J43" s="104"/>
    </row>
    <row r="44" spans="1:13" ht="13.5" x14ac:dyDescent="0.25">
      <c r="A44" s="99">
        <f>+A35</f>
        <v>12</v>
      </c>
      <c r="B44" s="105" t="s">
        <v>67</v>
      </c>
      <c r="C44" s="100">
        <f>+A44</f>
        <v>12</v>
      </c>
      <c r="D44" s="101" t="s">
        <v>177</v>
      </c>
      <c r="E44" s="101">
        <v>0.01</v>
      </c>
      <c r="F44" s="101">
        <f>IFERROR(E44*C44,"")</f>
        <v>0.12</v>
      </c>
      <c r="G44" s="102">
        <f>IFERROR(F44/$F$66,"")</f>
        <v>1.6239086995224899E-4</v>
      </c>
      <c r="H44" s="106" t="s">
        <v>66</v>
      </c>
      <c r="I44" s="98"/>
      <c r="J44" s="104"/>
    </row>
    <row r="45" spans="1:13" ht="13.5" hidden="1" x14ac:dyDescent="0.25">
      <c r="A45" s="99">
        <f t="shared" ref="A45:A50" si="13">+A36</f>
        <v>0</v>
      </c>
      <c r="B45" s="105" t="str">
        <f>IFERROR(VLOOKUP(H45,[1]SEMIELABORADOS!$A$2:$M$6000,2,0),"")</f>
        <v/>
      </c>
      <c r="C45" s="100">
        <f t="shared" ref="C45:C50" si="14">+A45</f>
        <v>0</v>
      </c>
      <c r="D45" s="101" t="str">
        <f>IFERROR(VLOOKUP(H45,[1]SEMIELABORADOS!$A$2:$M$6000,6,0),"")</f>
        <v/>
      </c>
      <c r="E45" s="101" t="str">
        <f>IFERROR(VLOOKUP(H45,[1]SEMIELABORADOS!$A$2:$M$65536,12,0),"")</f>
        <v/>
      </c>
      <c r="F45" s="101" t="str">
        <f t="shared" ref="F45:F50" si="15">IFERROR(E45*C45,"")</f>
        <v/>
      </c>
      <c r="G45" s="102" t="str">
        <f t="shared" ref="G45:G50" si="16">IFERROR(F45/$F$66,"")</f>
        <v/>
      </c>
      <c r="H45" s="106"/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142</v>
      </c>
      <c r="C51" s="100">
        <f>+A51</f>
        <v>1</v>
      </c>
      <c r="D51" s="100" t="s">
        <v>143</v>
      </c>
      <c r="E51" s="101">
        <f>+F65</f>
        <v>308</v>
      </c>
      <c r="F51" s="101">
        <f>IFERROR(C51*E51,"")</f>
        <v>308</v>
      </c>
      <c r="G51" s="102">
        <f>IFERROR(F51/$F$66,"")</f>
        <v>0.41680323287743909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25">
      <c r="A53" s="111"/>
      <c r="B53" s="641" t="s">
        <v>144</v>
      </c>
      <c r="C53" s="641"/>
      <c r="D53" s="641"/>
      <c r="E53" s="641"/>
      <c r="F53" s="113">
        <f>SUM(F8:F14,F17:F24)</f>
        <v>422.39</v>
      </c>
      <c r="G53" s="102">
        <f>+F53/$F$66</f>
        <v>0.57160232965942037</v>
      </c>
      <c r="H53" s="114">
        <f>+F53/$D$60</f>
        <v>422.39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641" t="s">
        <v>145</v>
      </c>
      <c r="C54" s="641"/>
      <c r="D54" s="641"/>
      <c r="E54" s="641"/>
      <c r="F54" s="113">
        <f>SUM(F27:F32,F35:F41)</f>
        <v>0.12</v>
      </c>
      <c r="G54" s="102">
        <f>+F54/$F$66</f>
        <v>1.6239086995224899E-4</v>
      </c>
      <c r="H54" s="114">
        <f>+F54/$D$60</f>
        <v>0.12</v>
      </c>
      <c r="I54" s="114"/>
      <c r="J54" s="118"/>
      <c r="K54" s="642" t="s">
        <v>146</v>
      </c>
      <c r="L54" s="643"/>
      <c r="M54" s="643"/>
      <c r="N54" s="643"/>
      <c r="O54" s="119">
        <f>+F55</f>
        <v>422.51</v>
      </c>
      <c r="P54" s="119"/>
      <c r="Q54" s="120"/>
    </row>
    <row r="55" spans="1:17" x14ac:dyDescent="0.2">
      <c r="A55" s="111"/>
      <c r="B55" s="641" t="s">
        <v>147</v>
      </c>
      <c r="C55" s="641"/>
      <c r="D55" s="641"/>
      <c r="E55" s="641"/>
      <c r="F55" s="113">
        <f>+F53+F54</f>
        <v>422.51</v>
      </c>
      <c r="G55" s="102">
        <f>+F55/$F$66</f>
        <v>0.57176472052937266</v>
      </c>
      <c r="H55" s="114">
        <f>+F55/$D$60</f>
        <v>422.51</v>
      </c>
      <c r="I55" s="114"/>
      <c r="J55" s="121"/>
      <c r="K55" s="122"/>
      <c r="M55" s="123" t="s">
        <v>148</v>
      </c>
      <c r="N55" s="124"/>
      <c r="O55" s="119">
        <f>+H56</f>
        <v>308.12</v>
      </c>
      <c r="P55" s="119"/>
      <c r="Q55" s="120"/>
    </row>
    <row r="56" spans="1:17" ht="13.5" thickBot="1" x14ac:dyDescent="0.25">
      <c r="A56" s="111"/>
      <c r="B56" s="112"/>
      <c r="C56" s="641" t="s">
        <v>149</v>
      </c>
      <c r="D56" s="641"/>
      <c r="E56" s="641"/>
      <c r="F56" s="113">
        <f>SUM(F44:F51)</f>
        <v>308.12</v>
      </c>
      <c r="G56" s="102">
        <f>+F56/$F$66</f>
        <v>0.41696562374739132</v>
      </c>
      <c r="H56" s="114">
        <f>+F56/$D$60</f>
        <v>308.12</v>
      </c>
      <c r="I56" s="114"/>
      <c r="J56" s="121"/>
      <c r="K56" s="122"/>
      <c r="L56" s="122"/>
      <c r="M56" s="122" t="s">
        <v>150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151</v>
      </c>
      <c r="N57" s="131"/>
      <c r="O57" s="132">
        <f>SUM(O54:O56)</f>
        <v>730.63</v>
      </c>
      <c r="P57" s="133"/>
      <c r="Q57" s="120"/>
    </row>
    <row r="58" spans="1:17" x14ac:dyDescent="0.2">
      <c r="B58" s="644" t="s">
        <v>152</v>
      </c>
      <c r="C58" s="644"/>
      <c r="D58" s="134">
        <v>600</v>
      </c>
      <c r="E58" s="135"/>
      <c r="G58" s="102"/>
      <c r="H58" s="128">
        <f>+H56/77</f>
        <v>4.0015584415584415</v>
      </c>
      <c r="I58" s="136"/>
      <c r="J58" s="121"/>
      <c r="K58" s="129"/>
      <c r="L58" s="122"/>
      <c r="M58" s="122" t="s">
        <v>153</v>
      </c>
      <c r="N58" s="137"/>
      <c r="O58" s="119">
        <f>+H59</f>
        <v>256.09974025974026</v>
      </c>
      <c r="P58" s="119"/>
      <c r="Q58" s="120"/>
    </row>
    <row r="59" spans="1:17" x14ac:dyDescent="0.2">
      <c r="B59" s="644" t="s">
        <v>154</v>
      </c>
      <c r="C59" s="644"/>
      <c r="D59" s="138">
        <v>600</v>
      </c>
      <c r="E59" s="135"/>
      <c r="G59" s="102"/>
      <c r="H59" s="128">
        <f>+H58*64</f>
        <v>256.09974025974026</v>
      </c>
      <c r="I59" s="136"/>
      <c r="J59" s="121"/>
      <c r="K59" s="129"/>
      <c r="L59" s="122"/>
      <c r="M59" s="645" t="s">
        <v>151</v>
      </c>
      <c r="N59" s="645"/>
      <c r="O59" s="119">
        <f>SUM(O57:O58)</f>
        <v>986.72974025974031</v>
      </c>
      <c r="P59" s="119"/>
      <c r="Q59" s="120"/>
    </row>
    <row r="60" spans="1:17" ht="13.5" thickBot="1" x14ac:dyDescent="0.25">
      <c r="B60" s="637" t="s">
        <v>155</v>
      </c>
      <c r="C60" s="637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645"/>
      <c r="M60" s="645"/>
      <c r="N60" s="137"/>
      <c r="O60" s="119">
        <f>+O59*N60</f>
        <v>0</v>
      </c>
      <c r="P60" s="119"/>
      <c r="Q60" s="120"/>
    </row>
    <row r="61" spans="1:17" ht="13.5" thickBot="1" x14ac:dyDescent="0.25">
      <c r="B61" s="637" t="s">
        <v>156</v>
      </c>
      <c r="C61" s="637"/>
      <c r="D61" s="140"/>
      <c r="E61" s="135"/>
      <c r="F61" s="139"/>
      <c r="G61" s="102"/>
      <c r="H61" s="128"/>
      <c r="I61" s="136"/>
      <c r="J61" s="121"/>
      <c r="K61" s="638" t="s">
        <v>157</v>
      </c>
      <c r="L61" s="639"/>
      <c r="M61" s="639"/>
      <c r="N61" s="640"/>
      <c r="O61" s="132">
        <f>SUM(O59:O60)</f>
        <v>986.72974025974031</v>
      </c>
      <c r="P61" s="141" t="s">
        <v>158</v>
      </c>
      <c r="Q61" s="120"/>
    </row>
    <row r="62" spans="1:17" ht="13.5" thickBot="1" x14ac:dyDescent="0.25">
      <c r="C62" s="111" t="s">
        <v>159</v>
      </c>
      <c r="D62" s="142"/>
      <c r="E62" s="85" t="s">
        <v>160</v>
      </c>
      <c r="F62" s="143" t="s">
        <v>161</v>
      </c>
      <c r="G62" s="102"/>
      <c r="H62" s="128"/>
      <c r="I62" s="136"/>
      <c r="J62" s="144"/>
      <c r="K62" s="145"/>
      <c r="L62" s="651" t="s">
        <v>162</v>
      </c>
      <c r="M62" s="651"/>
      <c r="N62" s="651"/>
      <c r="O62" s="146">
        <f>+O61/D60</f>
        <v>986.72974025974031</v>
      </c>
      <c r="P62" s="147">
        <f>+O62/D59</f>
        <v>1.6445495670995671</v>
      </c>
      <c r="Q62" s="148"/>
    </row>
    <row r="63" spans="1:17" ht="13.5" thickBot="1" x14ac:dyDescent="0.25">
      <c r="B63" s="652" t="s">
        <v>147</v>
      </c>
      <c r="C63" s="652"/>
      <c r="D63" s="652"/>
      <c r="E63" s="149">
        <f>+F63/F63</f>
        <v>1</v>
      </c>
      <c r="F63" s="150">
        <f>SUM(F55)</f>
        <v>422.51</v>
      </c>
      <c r="G63" s="102">
        <f>+F63/$F$66</f>
        <v>0.57176472052937266</v>
      </c>
      <c r="H63" s="128"/>
      <c r="I63" s="136"/>
      <c r="K63" s="653"/>
      <c r="L63" s="654"/>
      <c r="M63" s="654"/>
      <c r="N63" s="654"/>
      <c r="O63" s="151"/>
      <c r="P63" s="152"/>
    </row>
    <row r="64" spans="1:17" ht="13.5" thickBot="1" x14ac:dyDescent="0.25">
      <c r="B64" s="655" t="s">
        <v>163</v>
      </c>
      <c r="C64" s="655"/>
      <c r="D64" s="655"/>
      <c r="E64" s="153">
        <v>0.02</v>
      </c>
      <c r="F64" s="150">
        <f>+F53*E64</f>
        <v>8.4477999999999991</v>
      </c>
      <c r="G64" s="102">
        <f>+F64/$F$66</f>
        <v>1.1432046593188408E-2</v>
      </c>
      <c r="H64" s="114"/>
      <c r="I64" s="136"/>
      <c r="J64" s="154"/>
      <c r="O64" s="155"/>
      <c r="P64" s="112"/>
    </row>
    <row r="65" spans="2:13" ht="13.5" thickBot="1" x14ac:dyDescent="0.25">
      <c r="B65" s="656" t="s">
        <v>164</v>
      </c>
      <c r="C65" s="657"/>
      <c r="D65" s="156">
        <v>4</v>
      </c>
      <c r="E65" s="157">
        <v>77</v>
      </c>
      <c r="F65" s="150">
        <f>+E65*D65</f>
        <v>308</v>
      </c>
      <c r="G65" s="102">
        <f>+F65/$F$66</f>
        <v>0.41680323287743909</v>
      </c>
      <c r="H65" s="114"/>
      <c r="I65" s="114"/>
      <c r="J65" s="104"/>
    </row>
    <row r="66" spans="2:13" ht="13.5" thickBot="1" x14ac:dyDescent="0.25">
      <c r="B66" s="658" t="s">
        <v>165</v>
      </c>
      <c r="C66" s="659"/>
      <c r="D66" s="659"/>
      <c r="E66" s="660"/>
      <c r="F66" s="127">
        <f>SUM(F63:F65)</f>
        <v>738.95779999999991</v>
      </c>
      <c r="G66" s="102">
        <f>+F66/$F$66</f>
        <v>1</v>
      </c>
      <c r="H66" s="661"/>
      <c r="I66" s="114"/>
      <c r="J66" s="104"/>
      <c r="M66" s="87" t="s">
        <v>166</v>
      </c>
    </row>
    <row r="67" spans="2:13" x14ac:dyDescent="0.2">
      <c r="C67" s="109"/>
      <c r="D67" s="109"/>
      <c r="E67" s="159"/>
      <c r="F67" s="150"/>
      <c r="G67" s="102"/>
      <c r="H67" s="661"/>
      <c r="I67" s="158"/>
      <c r="J67" s="87"/>
      <c r="M67" s="87" t="s">
        <v>167</v>
      </c>
    </row>
    <row r="68" spans="2:13" ht="13.5" thickBot="1" x14ac:dyDescent="0.25">
      <c r="B68" s="646" t="s">
        <v>168</v>
      </c>
      <c r="C68" s="646"/>
      <c r="D68" s="646"/>
      <c r="E68" s="646"/>
      <c r="F68" s="646"/>
      <c r="G68" s="102"/>
      <c r="H68" s="161"/>
      <c r="I68" s="158"/>
      <c r="J68" s="87"/>
      <c r="M68" s="87" t="s">
        <v>169</v>
      </c>
    </row>
    <row r="69" spans="2:13" ht="13.5" thickBot="1" x14ac:dyDescent="0.25">
      <c r="B69" s="162" t="s">
        <v>170</v>
      </c>
      <c r="C69" s="163">
        <f>+F53</f>
        <v>422.39</v>
      </c>
      <c r="D69" s="163">
        <f>+D58</f>
        <v>600</v>
      </c>
      <c r="E69" s="164">
        <f>+C69/D69</f>
        <v>0.70398333333333329</v>
      </c>
      <c r="F69" s="102"/>
      <c r="G69" s="161"/>
      <c r="H69" s="104"/>
      <c r="I69" s="161"/>
      <c r="J69" s="87"/>
    </row>
    <row r="70" spans="2:13" x14ac:dyDescent="0.2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">
      <c r="B71" s="162" t="s">
        <v>171</v>
      </c>
      <c r="C71" s="163">
        <f>SUM(F63:F64)</f>
        <v>430.95779999999996</v>
      </c>
      <c r="D71" s="163">
        <f>+D58</f>
        <v>600</v>
      </c>
      <c r="E71" s="168">
        <f>+C71/D71</f>
        <v>0.71826299999999998</v>
      </c>
      <c r="F71" s="102"/>
      <c r="G71" s="161"/>
      <c r="H71" s="104"/>
      <c r="I71" s="104"/>
      <c r="J71" s="87"/>
    </row>
    <row r="72" spans="2:13" x14ac:dyDescent="0.2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25">
      <c r="B73" s="162" t="s">
        <v>172</v>
      </c>
      <c r="C73" s="163">
        <f>+F65</f>
        <v>308</v>
      </c>
      <c r="D73" s="163">
        <f>+D58</f>
        <v>600</v>
      </c>
      <c r="E73" s="168">
        <f>+C73/D73</f>
        <v>0.51333333333333331</v>
      </c>
      <c r="F73" s="102"/>
      <c r="G73" s="161"/>
      <c r="H73" s="104"/>
      <c r="I73" s="104"/>
      <c r="J73" s="87"/>
    </row>
    <row r="74" spans="2:13" ht="13.5" thickBot="1" x14ac:dyDescent="0.25">
      <c r="B74" s="162" t="s">
        <v>173</v>
      </c>
      <c r="C74" s="163">
        <f>+F56</f>
        <v>308.12</v>
      </c>
      <c r="D74" s="163">
        <f>+D73</f>
        <v>600</v>
      </c>
      <c r="E74" s="164">
        <f>+C74/D74</f>
        <v>0.51353333333333329</v>
      </c>
      <c r="F74" s="102"/>
      <c r="G74" s="161"/>
      <c r="H74" s="104"/>
      <c r="I74" s="104"/>
      <c r="J74" s="87"/>
    </row>
    <row r="75" spans="2:13" ht="13.5" thickBot="1" x14ac:dyDescent="0.25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25">
      <c r="B76" s="162" t="s">
        <v>174</v>
      </c>
      <c r="C76" s="163">
        <f>+F54</f>
        <v>0.12</v>
      </c>
      <c r="D76" s="163">
        <f>+D74</f>
        <v>600</v>
      </c>
      <c r="E76" s="164">
        <f>+C76/D76</f>
        <v>1.9999999999999998E-4</v>
      </c>
      <c r="F76" s="102"/>
      <c r="G76" s="161"/>
      <c r="H76" s="104"/>
      <c r="I76" s="104"/>
      <c r="J76" s="104"/>
    </row>
    <row r="77" spans="2:13" ht="13.5" thickBot="1" x14ac:dyDescent="0.25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25">
      <c r="B78" s="647" t="s">
        <v>175</v>
      </c>
      <c r="C78" s="648"/>
      <c r="D78" s="649"/>
      <c r="E78" s="164">
        <f>+E69+E74</f>
        <v>1.2175166666666666</v>
      </c>
      <c r="G78" s="102"/>
      <c r="H78" s="161"/>
      <c r="I78" s="104"/>
      <c r="J78" s="168"/>
    </row>
    <row r="79" spans="2:13" x14ac:dyDescent="0.2">
      <c r="I79" s="161"/>
      <c r="J79" s="87"/>
    </row>
    <row r="80" spans="2:13" ht="13.5" thickBot="1" x14ac:dyDescent="0.25">
      <c r="B80" s="646" t="s">
        <v>176</v>
      </c>
      <c r="C80" s="646"/>
      <c r="D80" s="646"/>
      <c r="E80" s="646"/>
      <c r="F80" s="646"/>
      <c r="G80" s="102"/>
      <c r="H80" s="161"/>
      <c r="J80" s="87"/>
    </row>
    <row r="81" spans="1:10" ht="13.5" thickBot="1" x14ac:dyDescent="0.25">
      <c r="B81" s="162" t="s">
        <v>170</v>
      </c>
      <c r="C81" s="163">
        <f>+C69</f>
        <v>422.39</v>
      </c>
      <c r="D81" s="163">
        <f>+D60</f>
        <v>1</v>
      </c>
      <c r="E81" s="164">
        <f>+C81/D81</f>
        <v>422.39</v>
      </c>
      <c r="F81" s="102"/>
      <c r="G81" s="161"/>
      <c r="H81" s="104"/>
      <c r="I81" s="161"/>
      <c r="J81" s="87"/>
    </row>
    <row r="82" spans="1:10" x14ac:dyDescent="0.2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">
      <c r="B83" s="162" t="s">
        <v>171</v>
      </c>
      <c r="C83" s="163">
        <f>+C71</f>
        <v>430.95779999999996</v>
      </c>
      <c r="D83" s="163">
        <f>+D60</f>
        <v>1</v>
      </c>
      <c r="E83" s="168">
        <f>+C83/D83</f>
        <v>430.95779999999996</v>
      </c>
      <c r="F83" s="102"/>
      <c r="G83" s="161"/>
      <c r="H83" s="104"/>
      <c r="I83" s="104"/>
      <c r="J83" s="87"/>
    </row>
    <row r="84" spans="1:10" x14ac:dyDescent="0.2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25">
      <c r="B85" s="162" t="s">
        <v>173</v>
      </c>
      <c r="C85" s="163">
        <f>+C73</f>
        <v>308</v>
      </c>
      <c r="D85" s="163">
        <f>+D60</f>
        <v>1</v>
      </c>
      <c r="E85" s="168">
        <f>+C85/D85</f>
        <v>308</v>
      </c>
      <c r="F85" s="170"/>
      <c r="G85" s="160"/>
      <c r="H85" s="86"/>
      <c r="I85" s="104"/>
    </row>
    <row r="86" spans="1:10" ht="13.5" thickBot="1" x14ac:dyDescent="0.25">
      <c r="B86" s="162" t="s">
        <v>173</v>
      </c>
      <c r="C86" s="163">
        <f>+C74</f>
        <v>308.12</v>
      </c>
      <c r="D86" s="163">
        <f>+D85</f>
        <v>1</v>
      </c>
      <c r="E86" s="164">
        <f>+C86/D86</f>
        <v>308.12</v>
      </c>
      <c r="F86" s="169"/>
      <c r="G86" s="160"/>
      <c r="H86" s="86"/>
      <c r="I86" s="86"/>
    </row>
    <row r="87" spans="1:10" x14ac:dyDescent="0.2">
      <c r="I87" s="86"/>
    </row>
    <row r="88" spans="1:10" x14ac:dyDescent="0.2">
      <c r="A88" s="650"/>
      <c r="B88" s="65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D712-9114-4367-B455-2F56ED698977}">
  <dimension ref="A1:M64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52"/>
      <c r="B1" s="753"/>
      <c r="C1" s="680" t="s">
        <v>22</v>
      </c>
      <c r="D1" s="680"/>
      <c r="E1" s="680"/>
      <c r="F1" s="680"/>
      <c r="G1" s="680"/>
      <c r="H1" s="189" t="s">
        <v>21</v>
      </c>
      <c r="I1" s="400" t="s">
        <v>294</v>
      </c>
    </row>
    <row r="2" spans="1:9" ht="16.5" thickBot="1" x14ac:dyDescent="0.3">
      <c r="A2" s="754"/>
      <c r="B2" s="755"/>
      <c r="C2" s="758" t="s">
        <v>0</v>
      </c>
      <c r="D2" s="758"/>
      <c r="E2" s="758"/>
      <c r="F2" s="758"/>
      <c r="G2" s="758"/>
      <c r="H2" s="190" t="s">
        <v>20</v>
      </c>
      <c r="I2" s="191" t="s">
        <v>185</v>
      </c>
    </row>
    <row r="3" spans="1:9" ht="18.75" thickBot="1" x14ac:dyDescent="0.25">
      <c r="A3" s="754"/>
      <c r="B3" s="755"/>
      <c r="C3" s="759" t="s">
        <v>295</v>
      </c>
      <c r="D3" s="760"/>
      <c r="E3" s="760"/>
      <c r="F3" s="760"/>
      <c r="G3" s="761"/>
      <c r="H3" s="762" t="s">
        <v>19</v>
      </c>
      <c r="I3" s="743">
        <v>45608</v>
      </c>
    </row>
    <row r="4" spans="1:9" ht="13.5" x14ac:dyDescent="0.25">
      <c r="A4" s="754"/>
      <c r="B4" s="755"/>
      <c r="C4" s="192" t="s">
        <v>18</v>
      </c>
      <c r="D4" s="746" t="s">
        <v>187</v>
      </c>
      <c r="E4" s="747"/>
      <c r="F4" s="747"/>
      <c r="G4" s="748"/>
      <c r="H4" s="763"/>
      <c r="I4" s="744"/>
    </row>
    <row r="5" spans="1:9" ht="14.25" thickBot="1" x14ac:dyDescent="0.3">
      <c r="A5" s="756"/>
      <c r="B5" s="757"/>
      <c r="C5" s="193" t="s">
        <v>17</v>
      </c>
      <c r="D5" s="749" t="s">
        <v>188</v>
      </c>
      <c r="E5" s="750"/>
      <c r="F5" s="750"/>
      <c r="G5" s="751"/>
      <c r="H5" s="764"/>
      <c r="I5" s="745"/>
    </row>
    <row r="6" spans="1:9" ht="18.75" thickBot="1" x14ac:dyDescent="0.3">
      <c r="A6" s="629" t="s">
        <v>23</v>
      </c>
      <c r="B6" s="629"/>
      <c r="C6" s="629"/>
      <c r="D6" s="630" t="s">
        <v>35</v>
      </c>
      <c r="E6" s="630"/>
      <c r="F6" s="630"/>
      <c r="G6" s="582" t="s">
        <v>24</v>
      </c>
      <c r="H6" s="582"/>
      <c r="I6" s="47" t="s">
        <v>35</v>
      </c>
    </row>
    <row r="7" spans="1:9" ht="25.5" x14ac:dyDescent="0.2">
      <c r="A7" s="765" t="s">
        <v>1</v>
      </c>
      <c r="B7" s="767" t="s">
        <v>189</v>
      </c>
      <c r="C7" s="769" t="s">
        <v>2</v>
      </c>
      <c r="D7" s="769" t="s">
        <v>3</v>
      </c>
      <c r="E7" s="769" t="s">
        <v>4</v>
      </c>
      <c r="F7" s="769"/>
      <c r="G7" s="769" t="s">
        <v>16</v>
      </c>
      <c r="H7" s="769"/>
      <c r="I7" s="194" t="s">
        <v>5</v>
      </c>
    </row>
    <row r="8" spans="1:9" ht="26.25" thickBot="1" x14ac:dyDescent="0.25">
      <c r="A8" s="766"/>
      <c r="B8" s="768"/>
      <c r="C8" s="770"/>
      <c r="D8" s="770"/>
      <c r="E8" s="195" t="s">
        <v>6</v>
      </c>
      <c r="F8" s="196" t="s">
        <v>7</v>
      </c>
      <c r="G8" s="195" t="s">
        <v>6</v>
      </c>
      <c r="H8" s="196" t="s">
        <v>7</v>
      </c>
      <c r="I8" s="197" t="s">
        <v>8</v>
      </c>
    </row>
    <row r="9" spans="1:9" ht="15" x14ac:dyDescent="0.25">
      <c r="A9" s="198"/>
      <c r="B9" s="199"/>
      <c r="C9" s="200" t="s">
        <v>190</v>
      </c>
      <c r="D9" s="201"/>
      <c r="E9" s="202"/>
      <c r="F9" s="203"/>
      <c r="G9" s="202"/>
      <c r="H9" s="203"/>
      <c r="I9" s="204"/>
    </row>
    <row r="10" spans="1:9" ht="15" x14ac:dyDescent="0.25">
      <c r="A10" s="557" t="s">
        <v>222</v>
      </c>
      <c r="B10" s="557"/>
      <c r="C10" s="558" t="s">
        <v>45</v>
      </c>
      <c r="D10" s="559" t="s">
        <v>38</v>
      </c>
      <c r="E10" s="560">
        <v>21400</v>
      </c>
      <c r="F10" s="561" t="s">
        <v>27</v>
      </c>
      <c r="G10" s="562"/>
      <c r="H10" s="203"/>
      <c r="I10" s="204"/>
    </row>
    <row r="11" spans="1:9" ht="15" x14ac:dyDescent="0.25">
      <c r="A11" s="246">
        <v>90100131</v>
      </c>
      <c r="B11" s="246" t="s">
        <v>296</v>
      </c>
      <c r="C11" s="247" t="s">
        <v>297</v>
      </c>
      <c r="D11" s="563" t="s">
        <v>38</v>
      </c>
      <c r="E11" s="564">
        <v>8000</v>
      </c>
      <c r="F11" s="243" t="s">
        <v>27</v>
      </c>
      <c r="G11" s="562"/>
      <c r="H11" s="203"/>
      <c r="I11" s="204"/>
    </row>
    <row r="12" spans="1:9" ht="15" x14ac:dyDescent="0.25">
      <c r="A12" s="246" t="s">
        <v>298</v>
      </c>
      <c r="B12" s="246" t="s">
        <v>299</v>
      </c>
      <c r="C12" s="247" t="s">
        <v>300</v>
      </c>
      <c r="D12" s="563" t="s">
        <v>301</v>
      </c>
      <c r="E12" s="564">
        <v>5</v>
      </c>
      <c r="F12" s="243" t="s">
        <v>27</v>
      </c>
      <c r="G12" s="562"/>
      <c r="H12" s="203"/>
      <c r="I12" s="204"/>
    </row>
    <row r="13" spans="1:9" ht="15" x14ac:dyDescent="0.25">
      <c r="A13" s="246" t="s">
        <v>302</v>
      </c>
      <c r="B13" s="246" t="s">
        <v>303</v>
      </c>
      <c r="C13" s="247" t="s">
        <v>304</v>
      </c>
      <c r="D13" s="563" t="s">
        <v>305</v>
      </c>
      <c r="E13" s="564">
        <v>2000</v>
      </c>
      <c r="F13" s="243" t="s">
        <v>27</v>
      </c>
      <c r="G13" s="562"/>
      <c r="H13" s="203"/>
      <c r="I13" s="204"/>
    </row>
    <row r="14" spans="1:9" ht="15" x14ac:dyDescent="0.25">
      <c r="A14" s="246" t="s">
        <v>306</v>
      </c>
      <c r="B14" s="246" t="s">
        <v>239</v>
      </c>
      <c r="C14" s="247" t="s">
        <v>265</v>
      </c>
      <c r="D14" s="563" t="s">
        <v>290</v>
      </c>
      <c r="E14" s="564">
        <v>66</v>
      </c>
      <c r="F14" s="243" t="s">
        <v>27</v>
      </c>
      <c r="G14" s="562"/>
      <c r="H14" s="203"/>
      <c r="I14" s="204"/>
    </row>
    <row r="15" spans="1:9" ht="15" x14ac:dyDescent="0.25">
      <c r="A15" s="246"/>
      <c r="B15" s="246"/>
      <c r="C15" s="247"/>
      <c r="D15" s="563"/>
      <c r="E15" s="564"/>
      <c r="F15" s="243"/>
      <c r="G15" s="562"/>
      <c r="H15" s="203"/>
      <c r="I15" s="204"/>
    </row>
    <row r="16" spans="1:9" ht="15" x14ac:dyDescent="0.25">
      <c r="A16" s="246"/>
      <c r="B16" s="246"/>
      <c r="C16" s="247"/>
      <c r="D16" s="563"/>
      <c r="E16" s="564"/>
      <c r="F16" s="243"/>
      <c r="G16" s="562"/>
      <c r="H16" s="203"/>
      <c r="I16" s="204"/>
    </row>
    <row r="17" spans="1:9" ht="15" x14ac:dyDescent="0.25">
      <c r="A17" s="206"/>
      <c r="B17" s="206"/>
      <c r="C17" s="207"/>
      <c r="D17" s="563"/>
      <c r="E17" s="564"/>
      <c r="F17" s="243"/>
      <c r="G17" s="562"/>
      <c r="H17" s="203"/>
      <c r="I17" s="204"/>
    </row>
    <row r="18" spans="1:9" ht="15" x14ac:dyDescent="0.25">
      <c r="A18" s="206"/>
      <c r="B18" s="206"/>
      <c r="C18" s="207"/>
      <c r="D18" s="563"/>
      <c r="E18" s="564"/>
      <c r="F18" s="243"/>
      <c r="G18" s="562"/>
      <c r="H18" s="203"/>
      <c r="I18" s="204"/>
    </row>
    <row r="19" spans="1:9" ht="15" x14ac:dyDescent="0.25">
      <c r="A19" s="206"/>
      <c r="B19" s="206"/>
      <c r="C19" s="207"/>
      <c r="D19" s="563"/>
      <c r="E19" s="564"/>
      <c r="F19" s="243"/>
      <c r="G19" s="562"/>
      <c r="H19" s="203"/>
      <c r="I19" s="204"/>
    </row>
    <row r="20" spans="1:9" ht="15" x14ac:dyDescent="0.25">
      <c r="A20" s="206"/>
      <c r="B20" s="206"/>
      <c r="C20" s="207"/>
      <c r="D20" s="563"/>
      <c r="E20" s="564"/>
      <c r="F20" s="243"/>
      <c r="G20" s="562"/>
      <c r="H20" s="203"/>
      <c r="I20" s="204"/>
    </row>
    <row r="21" spans="1:9" ht="15" x14ac:dyDescent="0.25">
      <c r="A21" s="206"/>
      <c r="B21" s="206"/>
      <c r="C21" s="207"/>
      <c r="D21" s="563"/>
      <c r="E21" s="564"/>
      <c r="F21" s="243"/>
      <c r="G21" s="562"/>
      <c r="H21" s="203"/>
      <c r="I21" s="204"/>
    </row>
    <row r="22" spans="1:9" ht="15" x14ac:dyDescent="0.25">
      <c r="A22" s="206"/>
      <c r="B22" s="206"/>
      <c r="C22" s="207"/>
      <c r="D22" s="563"/>
      <c r="E22" s="564"/>
      <c r="F22" s="243"/>
      <c r="G22" s="562"/>
      <c r="H22" s="203"/>
      <c r="I22" s="204"/>
    </row>
    <row r="23" spans="1:9" ht="15" x14ac:dyDescent="0.25">
      <c r="A23" s="246"/>
      <c r="B23" s="246"/>
      <c r="C23" s="247"/>
      <c r="D23" s="565"/>
      <c r="E23" s="564"/>
      <c r="F23" s="566"/>
      <c r="G23" s="562"/>
      <c r="H23" s="203"/>
      <c r="I23" s="204"/>
    </row>
    <row r="24" spans="1:9" ht="15" x14ac:dyDescent="0.25">
      <c r="A24" s="246"/>
      <c r="B24" s="246"/>
      <c r="C24" s="247"/>
      <c r="D24" s="563"/>
      <c r="E24" s="564"/>
      <c r="F24" s="243"/>
      <c r="G24" s="202"/>
      <c r="H24" s="203"/>
      <c r="I24" s="204"/>
    </row>
    <row r="25" spans="1:9" ht="15" x14ac:dyDescent="0.25">
      <c r="A25" s="250"/>
      <c r="B25" s="206"/>
      <c r="C25" s="251"/>
      <c r="D25" s="410"/>
      <c r="E25" s="242"/>
      <c r="F25" s="243"/>
      <c r="G25" s="202"/>
      <c r="H25" s="203"/>
      <c r="I25" s="204"/>
    </row>
    <row r="26" spans="1:9" ht="15" x14ac:dyDescent="0.25">
      <c r="A26" s="250"/>
      <c r="B26" s="206"/>
      <c r="C26" s="251"/>
      <c r="D26" s="410"/>
      <c r="E26" s="242"/>
      <c r="F26" s="243"/>
      <c r="G26" s="202"/>
      <c r="H26" s="203"/>
      <c r="I26" s="204"/>
    </row>
    <row r="27" spans="1:9" ht="15" x14ac:dyDescent="0.25">
      <c r="A27" s="250"/>
      <c r="B27" s="206"/>
      <c r="C27" s="251"/>
      <c r="D27" s="410"/>
      <c r="E27" s="242"/>
      <c r="F27" s="243"/>
      <c r="G27" s="202"/>
      <c r="H27" s="203"/>
      <c r="I27" s="204"/>
    </row>
    <row r="28" spans="1:9" ht="15" x14ac:dyDescent="0.25">
      <c r="A28" s="206"/>
      <c r="B28" s="206"/>
      <c r="C28" s="567"/>
      <c r="D28" s="249"/>
      <c r="E28" s="249"/>
      <c r="F28" s="224"/>
      <c r="G28" s="202"/>
      <c r="H28" s="203"/>
      <c r="I28" s="204"/>
    </row>
    <row r="29" spans="1:9" ht="15.75" x14ac:dyDescent="0.25">
      <c r="A29" s="217"/>
      <c r="B29" s="218"/>
      <c r="C29" s="219" t="s">
        <v>195</v>
      </c>
      <c r="D29" s="222"/>
      <c r="E29" s="223"/>
      <c r="F29" s="224"/>
      <c r="G29" s="202"/>
      <c r="H29" s="203"/>
      <c r="I29" s="204"/>
    </row>
    <row r="30" spans="1:9" ht="15" x14ac:dyDescent="0.25">
      <c r="A30" s="568"/>
      <c r="B30" s="471"/>
      <c r="C30" s="569"/>
      <c r="D30" s="570"/>
      <c r="E30" s="249"/>
      <c r="F30" s="224"/>
      <c r="G30" s="202"/>
      <c r="H30" s="203"/>
      <c r="I30" s="204"/>
    </row>
    <row r="31" spans="1:9" ht="15" x14ac:dyDescent="0.25">
      <c r="A31" s="206"/>
      <c r="B31" s="206"/>
      <c r="C31" s="567"/>
      <c r="D31" s="570"/>
      <c r="E31" s="249"/>
      <c r="F31" s="224"/>
      <c r="G31" s="202"/>
      <c r="H31" s="203"/>
      <c r="I31" s="204"/>
    </row>
    <row r="32" spans="1:9" ht="15" x14ac:dyDescent="0.25">
      <c r="A32" s="571"/>
      <c r="B32" s="571"/>
      <c r="C32" s="569"/>
      <c r="D32" s="570"/>
      <c r="E32" s="249"/>
      <c r="F32" s="224"/>
      <c r="G32" s="202"/>
      <c r="H32" s="203"/>
      <c r="I32" s="204"/>
    </row>
    <row r="33" spans="1:13" ht="15" x14ac:dyDescent="0.25">
      <c r="A33" s="206"/>
      <c r="B33" s="206"/>
      <c r="C33" s="567"/>
      <c r="D33" s="249"/>
      <c r="E33" s="222"/>
      <c r="F33" s="224"/>
      <c r="G33" s="202"/>
      <c r="H33" s="203"/>
      <c r="I33" s="204"/>
    </row>
    <row r="34" spans="1:13" ht="15" x14ac:dyDescent="0.25">
      <c r="A34" s="206"/>
      <c r="B34" s="206"/>
      <c r="C34" s="567"/>
      <c r="D34" s="410"/>
      <c r="E34" s="572"/>
      <c r="F34" s="573"/>
      <c r="G34" s="202"/>
      <c r="H34" s="203"/>
      <c r="I34" s="204"/>
    </row>
    <row r="35" spans="1:13" ht="15.75" x14ac:dyDescent="0.25">
      <c r="A35" s="234"/>
      <c r="B35" s="235"/>
      <c r="C35" s="236" t="s">
        <v>196</v>
      </c>
      <c r="D35" s="237"/>
      <c r="E35" s="202"/>
      <c r="F35" s="203"/>
      <c r="G35" s="202"/>
      <c r="H35" s="203"/>
      <c r="I35" s="204"/>
    </row>
    <row r="36" spans="1:13" ht="15" x14ac:dyDescent="0.25">
      <c r="A36" s="574">
        <v>512000002</v>
      </c>
      <c r="B36" s="206" t="s">
        <v>201</v>
      </c>
      <c r="C36" s="207" t="s">
        <v>307</v>
      </c>
      <c r="D36" s="410" t="s">
        <v>59</v>
      </c>
      <c r="E36" s="575" t="s">
        <v>308</v>
      </c>
      <c r="F36" s="243" t="s">
        <v>309</v>
      </c>
      <c r="G36" s="562"/>
      <c r="H36" s="203"/>
      <c r="I36" s="204"/>
    </row>
    <row r="37" spans="1:13" ht="15" x14ac:dyDescent="0.25">
      <c r="A37" s="206" t="s">
        <v>310</v>
      </c>
      <c r="B37" s="206" t="s">
        <v>96</v>
      </c>
      <c r="C37" s="207" t="s">
        <v>200</v>
      </c>
      <c r="D37" s="410"/>
      <c r="E37" s="242">
        <v>2</v>
      </c>
      <c r="F37" s="243" t="s">
        <v>84</v>
      </c>
      <c r="G37" s="202"/>
      <c r="H37" s="203"/>
      <c r="I37" s="204"/>
    </row>
    <row r="38" spans="1:13" ht="15" x14ac:dyDescent="0.25">
      <c r="A38" s="576"/>
      <c r="B38" s="577"/>
      <c r="C38" s="578"/>
      <c r="D38" s="222"/>
      <c r="E38" s="249"/>
      <c r="F38" s="224"/>
      <c r="G38" s="202"/>
      <c r="H38" s="203"/>
      <c r="I38" s="204"/>
    </row>
    <row r="39" spans="1:13" ht="15" x14ac:dyDescent="0.25">
      <c r="A39" s="579"/>
      <c r="B39" s="579"/>
      <c r="C39" s="567"/>
      <c r="D39" s="222"/>
      <c r="E39" s="249"/>
      <c r="F39" s="224"/>
      <c r="G39" s="202"/>
      <c r="H39" s="203"/>
      <c r="I39" s="204"/>
    </row>
    <row r="40" spans="1:13" ht="15" x14ac:dyDescent="0.25">
      <c r="A40" s="576"/>
      <c r="B40" s="577"/>
      <c r="C40" s="578"/>
      <c r="D40" s="222"/>
      <c r="E40" s="249"/>
      <c r="F40" s="224"/>
      <c r="G40" s="202"/>
      <c r="H40" s="203"/>
      <c r="I40" s="204"/>
    </row>
    <row r="41" spans="1:13" ht="15.75" x14ac:dyDescent="0.25">
      <c r="A41" s="576"/>
      <c r="B41" s="577"/>
      <c r="C41" s="578"/>
      <c r="D41" s="507"/>
      <c r="E41" s="249"/>
      <c r="F41" s="224"/>
      <c r="G41" s="248"/>
      <c r="H41" s="222"/>
      <c r="I41" s="204"/>
    </row>
    <row r="42" spans="1:13" ht="15.75" x14ac:dyDescent="0.25">
      <c r="A42" s="217"/>
      <c r="B42" s="218"/>
      <c r="C42" s="580"/>
      <c r="D42" s="507"/>
      <c r="E42" s="249"/>
      <c r="F42" s="224"/>
      <c r="G42" s="249"/>
      <c r="H42" s="222"/>
      <c r="I42" s="204"/>
    </row>
    <row r="43" spans="1:13" ht="15.75" x14ac:dyDescent="0.25">
      <c r="A43" s="217"/>
      <c r="B43" s="218"/>
      <c r="C43" s="580"/>
      <c r="D43" s="507"/>
      <c r="E43" s="249"/>
      <c r="F43" s="224"/>
      <c r="G43" s="537"/>
      <c r="H43" s="224"/>
      <c r="I43" s="204"/>
    </row>
    <row r="44" spans="1:13" ht="15.75" x14ac:dyDescent="0.25">
      <c r="A44" s="217"/>
      <c r="B44" s="218"/>
      <c r="C44" s="580"/>
      <c r="D44" s="222"/>
      <c r="E44" s="222"/>
      <c r="F44" s="224"/>
      <c r="G44" s="507"/>
      <c r="H44" s="507"/>
      <c r="I44" s="204"/>
    </row>
    <row r="45" spans="1:13" ht="14.25" thickBot="1" x14ac:dyDescent="0.3">
      <c r="A45" s="252"/>
      <c r="B45" s="253"/>
      <c r="C45" s="254"/>
      <c r="D45" s="254"/>
      <c r="E45" s="255"/>
      <c r="F45" s="256"/>
      <c r="G45" s="254"/>
      <c r="H45" s="254"/>
      <c r="I45" s="257"/>
      <c r="J45" s="467"/>
      <c r="K45" s="467"/>
      <c r="L45" s="384"/>
      <c r="M45" s="467"/>
    </row>
    <row r="46" spans="1:13" ht="14.25" thickBot="1" x14ac:dyDescent="0.3">
      <c r="A46" s="258"/>
      <c r="B46" s="259"/>
      <c r="C46" s="260"/>
      <c r="D46" s="261" t="s">
        <v>6</v>
      </c>
      <c r="E46" s="262" t="s">
        <v>15</v>
      </c>
      <c r="F46" s="263"/>
      <c r="G46" s="260"/>
      <c r="H46" s="260"/>
      <c r="I46" s="264"/>
      <c r="J46" s="467"/>
      <c r="K46" s="467"/>
      <c r="L46" s="384"/>
      <c r="M46" s="467"/>
    </row>
    <row r="47" spans="1:13" ht="13.5" x14ac:dyDescent="0.25">
      <c r="A47" s="771" t="s">
        <v>10</v>
      </c>
      <c r="B47" s="772"/>
      <c r="C47" s="773"/>
      <c r="D47" s="28">
        <v>31300</v>
      </c>
      <c r="E47" s="29" t="s">
        <v>27</v>
      </c>
      <c r="F47" s="774" t="s">
        <v>205</v>
      </c>
      <c r="G47" s="774"/>
      <c r="H47" s="775"/>
      <c r="I47" s="776"/>
      <c r="J47" s="467"/>
      <c r="K47" s="467"/>
      <c r="L47" s="384"/>
      <c r="M47" s="467"/>
    </row>
    <row r="48" spans="1:13" ht="13.5" x14ac:dyDescent="0.25">
      <c r="A48" s="777" t="s">
        <v>9</v>
      </c>
      <c r="B48" s="778"/>
      <c r="C48" s="779"/>
      <c r="D48" s="30">
        <v>15</v>
      </c>
      <c r="E48" s="10" t="s">
        <v>28</v>
      </c>
      <c r="F48" s="780" t="s">
        <v>206</v>
      </c>
      <c r="G48" s="780"/>
      <c r="H48" s="781"/>
      <c r="I48" s="782"/>
      <c r="J48" s="467"/>
      <c r="K48" s="467"/>
      <c r="L48" s="384"/>
      <c r="M48" s="467"/>
    </row>
    <row r="49" spans="1:13" ht="13.5" x14ac:dyDescent="0.25">
      <c r="A49" s="777" t="s">
        <v>14</v>
      </c>
      <c r="B49" s="778"/>
      <c r="C49" s="779"/>
      <c r="D49" s="10">
        <v>1</v>
      </c>
      <c r="E49" s="10" t="s">
        <v>311</v>
      </c>
      <c r="F49" s="780" t="s">
        <v>207</v>
      </c>
      <c r="G49" s="780"/>
      <c r="H49" s="781"/>
      <c r="I49" s="782"/>
      <c r="J49" s="467"/>
      <c r="K49" s="467"/>
      <c r="L49" s="384"/>
      <c r="M49" s="467"/>
    </row>
    <row r="50" spans="1:13" ht="13.5" x14ac:dyDescent="0.25">
      <c r="A50" s="777" t="s">
        <v>13</v>
      </c>
      <c r="B50" s="778"/>
      <c r="C50" s="779"/>
      <c r="D50" s="28">
        <v>31300</v>
      </c>
      <c r="E50" s="10" t="s">
        <v>27</v>
      </c>
      <c r="F50" s="784" t="s">
        <v>208</v>
      </c>
      <c r="G50" s="785"/>
      <c r="H50" s="781"/>
      <c r="I50" s="782"/>
      <c r="J50" s="467"/>
      <c r="K50" s="467"/>
      <c r="L50" s="384"/>
      <c r="M50" s="581"/>
    </row>
    <row r="51" spans="1:13" ht="14.25" thickBot="1" x14ac:dyDescent="0.3">
      <c r="A51" s="786" t="s">
        <v>12</v>
      </c>
      <c r="B51" s="787"/>
      <c r="C51" s="788"/>
      <c r="D51" s="32">
        <v>171</v>
      </c>
      <c r="E51" s="33" t="s">
        <v>27</v>
      </c>
      <c r="F51" s="789"/>
      <c r="G51" s="789"/>
      <c r="H51" s="790"/>
      <c r="I51" s="791"/>
      <c r="J51" s="254"/>
      <c r="K51" s="254"/>
      <c r="L51" s="384"/>
      <c r="M51" s="254"/>
    </row>
    <row r="52" spans="1:13" ht="13.5" thickBot="1" x14ac:dyDescent="0.25">
      <c r="A52" s="792" t="s">
        <v>11</v>
      </c>
      <c r="B52" s="793"/>
      <c r="C52" s="793"/>
      <c r="D52" s="793"/>
      <c r="E52" s="793"/>
      <c r="F52" s="793"/>
      <c r="G52" s="793"/>
      <c r="H52" s="793"/>
      <c r="I52" s="794"/>
      <c r="J52" s="467"/>
      <c r="K52" s="467"/>
      <c r="L52" s="467"/>
      <c r="M52" s="467"/>
    </row>
    <row r="53" spans="1:13" ht="18.600000000000001" customHeight="1" x14ac:dyDescent="0.25">
      <c r="A53" s="783" t="s">
        <v>312</v>
      </c>
      <c r="B53" s="783"/>
      <c r="C53" s="783"/>
      <c r="D53" s="783"/>
      <c r="E53" s="783"/>
      <c r="F53" s="783"/>
      <c r="G53" s="783"/>
      <c r="H53" s="783"/>
      <c r="I53" s="783"/>
      <c r="J53" s="467"/>
      <c r="K53" s="467"/>
      <c r="L53" s="467"/>
      <c r="M53" s="467"/>
    </row>
    <row r="54" spans="1:13" ht="15" x14ac:dyDescent="0.25">
      <c r="A54" s="783" t="s">
        <v>313</v>
      </c>
      <c r="B54" s="783"/>
      <c r="C54" s="783"/>
      <c r="D54" s="783"/>
      <c r="E54" s="783"/>
      <c r="F54" s="783"/>
      <c r="G54" s="783"/>
      <c r="H54" s="783"/>
      <c r="I54" s="783"/>
      <c r="J54" s="467"/>
      <c r="K54" s="467"/>
      <c r="L54" s="467"/>
      <c r="M54" s="467"/>
    </row>
    <row r="55" spans="1:13" ht="15" x14ac:dyDescent="0.25">
      <c r="A55" s="802" t="s">
        <v>314</v>
      </c>
      <c r="B55" s="802"/>
      <c r="C55" s="802"/>
      <c r="D55" s="802"/>
      <c r="E55" s="802"/>
      <c r="F55" s="802"/>
      <c r="G55" s="802"/>
      <c r="H55" s="802"/>
      <c r="I55" s="802"/>
      <c r="J55" s="467"/>
      <c r="K55" s="467"/>
      <c r="L55" s="467"/>
      <c r="M55" s="467"/>
    </row>
    <row r="56" spans="1:13" ht="15" x14ac:dyDescent="0.25">
      <c r="A56" s="803"/>
      <c r="B56" s="803"/>
      <c r="C56" s="803"/>
      <c r="D56" s="803"/>
      <c r="E56" s="803"/>
      <c r="F56" s="803"/>
      <c r="G56" s="803"/>
      <c r="H56" s="803"/>
      <c r="I56" s="803"/>
      <c r="J56" s="467"/>
      <c r="K56" s="467"/>
      <c r="L56" s="467"/>
      <c r="M56" s="467"/>
    </row>
    <row r="57" spans="1:13" ht="15" x14ac:dyDescent="0.25">
      <c r="A57" s="803"/>
      <c r="B57" s="803"/>
      <c r="C57" s="803"/>
      <c r="D57" s="803"/>
      <c r="E57" s="803"/>
      <c r="F57" s="803"/>
      <c r="G57" s="803"/>
      <c r="H57" s="803"/>
      <c r="I57" s="803"/>
      <c r="J57" s="467"/>
      <c r="K57" s="467"/>
      <c r="L57" s="467"/>
      <c r="M57" s="467"/>
    </row>
    <row r="58" spans="1:13" x14ac:dyDescent="0.2">
      <c r="A58" s="804"/>
      <c r="B58" s="805"/>
      <c r="C58" s="805"/>
      <c r="D58" s="805"/>
      <c r="E58" s="805"/>
      <c r="F58" s="805"/>
      <c r="G58" s="805"/>
      <c r="H58" s="805"/>
      <c r="I58" s="806"/>
      <c r="J58" s="467"/>
      <c r="K58" s="467"/>
      <c r="L58" s="467"/>
      <c r="M58" s="467"/>
    </row>
    <row r="59" spans="1:13" ht="18" customHeight="1" x14ac:dyDescent="0.2">
      <c r="A59" s="804"/>
      <c r="B59" s="805"/>
      <c r="C59" s="805"/>
      <c r="D59" s="805"/>
      <c r="E59" s="805"/>
      <c r="F59" s="805"/>
      <c r="G59" s="805"/>
      <c r="H59" s="805"/>
      <c r="I59" s="806"/>
      <c r="J59" s="467"/>
      <c r="K59" s="467"/>
      <c r="L59" s="467"/>
      <c r="M59" s="467"/>
    </row>
    <row r="60" spans="1:13" ht="13.5" x14ac:dyDescent="0.25">
      <c r="A60" s="807"/>
      <c r="B60" s="808"/>
      <c r="C60" s="808"/>
      <c r="D60" s="808"/>
      <c r="E60" s="808"/>
      <c r="F60" s="808"/>
      <c r="G60" s="808"/>
      <c r="H60" s="808"/>
      <c r="I60" s="809"/>
      <c r="J60" s="467"/>
      <c r="K60" s="467"/>
      <c r="L60" s="467"/>
      <c r="M60" s="467"/>
    </row>
    <row r="61" spans="1:13" ht="14.25" thickBot="1" x14ac:dyDescent="0.3">
      <c r="A61" s="795"/>
      <c r="B61" s="796"/>
      <c r="C61" s="796"/>
      <c r="D61" s="796"/>
      <c r="E61" s="796"/>
      <c r="F61" s="796"/>
      <c r="G61" s="796"/>
      <c r="H61" s="796"/>
      <c r="I61" s="797"/>
      <c r="J61" s="467"/>
      <c r="K61" s="467"/>
      <c r="L61" s="467"/>
      <c r="M61" s="467"/>
    </row>
    <row r="62" spans="1:13" x14ac:dyDescent="0.2">
      <c r="A62" s="798" t="s">
        <v>213</v>
      </c>
      <c r="B62" s="799"/>
      <c r="C62" s="799"/>
      <c r="D62" s="799"/>
      <c r="E62" s="799"/>
      <c r="F62" s="799"/>
      <c r="G62" s="799"/>
      <c r="H62" s="799"/>
      <c r="I62" s="799"/>
      <c r="J62" s="467"/>
      <c r="K62" s="467"/>
      <c r="L62" s="467"/>
      <c r="M62" s="467"/>
    </row>
    <row r="63" spans="1:13" ht="13.5" x14ac:dyDescent="0.25">
      <c r="A63" s="800"/>
      <c r="B63" s="801"/>
      <c r="C63" s="801"/>
      <c r="D63" s="801"/>
      <c r="E63" s="801"/>
      <c r="F63" s="801"/>
      <c r="G63" s="801"/>
      <c r="H63" s="801"/>
      <c r="I63" s="801"/>
      <c r="J63" s="467"/>
      <c r="K63" s="467"/>
      <c r="L63" s="467"/>
      <c r="M63" s="467"/>
    </row>
    <row r="64" spans="1:13" ht="13.5" x14ac:dyDescent="0.25">
      <c r="A64" s="800"/>
      <c r="B64" s="801"/>
      <c r="C64" s="801"/>
      <c r="D64" s="801"/>
      <c r="E64" s="801"/>
      <c r="F64" s="801"/>
      <c r="G64" s="801"/>
      <c r="H64" s="801"/>
      <c r="I64" s="801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DA71-1636-4FD4-B28E-FE6F006033E6}">
  <dimension ref="A1:Q91"/>
  <sheetViews>
    <sheetView workbookViewId="0">
      <selection activeCell="N17" sqref="N17"/>
    </sheetView>
  </sheetViews>
  <sheetFormatPr baseColWidth="10" defaultColWidth="8.42578125" defaultRowHeight="12.75" x14ac:dyDescent="0.2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">
      <c r="A1" s="82"/>
      <c r="B1" s="82"/>
      <c r="C1" s="82"/>
      <c r="D1" s="82"/>
      <c r="E1" s="83" t="s">
        <v>126</v>
      </c>
      <c r="F1" s="84" t="s">
        <v>127</v>
      </c>
      <c r="G1" s="84" t="s">
        <v>128</v>
      </c>
      <c r="H1" s="84" t="s">
        <v>129</v>
      </c>
      <c r="I1" s="85"/>
    </row>
    <row r="2" spans="1:10" ht="30.75" customHeight="1" x14ac:dyDescent="0.2">
      <c r="A2" s="82"/>
      <c r="B2" s="82"/>
      <c r="C2" s="82"/>
      <c r="D2" s="82"/>
      <c r="E2" s="88">
        <f>IFERROR(O62,"")</f>
        <v>250.12402597402598</v>
      </c>
      <c r="F2" s="88">
        <f>IFERROR(H53,"")</f>
        <v>83.15</v>
      </c>
      <c r="G2" s="88">
        <f>IFERROR(H54,"")</f>
        <v>4</v>
      </c>
      <c r="H2" s="88">
        <f>IFERROR(H56,"")</f>
        <v>89</v>
      </c>
      <c r="I2" s="89"/>
    </row>
    <row r="3" spans="1:10" ht="15" customHeight="1" x14ac:dyDescent="0.2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25">
      <c r="A4" s="632"/>
      <c r="B4" s="632"/>
      <c r="C4" s="632"/>
      <c r="D4" s="632"/>
      <c r="E4" s="632"/>
      <c r="F4" s="632"/>
      <c r="G4" s="632"/>
      <c r="H4" s="632"/>
      <c r="I4" s="91"/>
    </row>
    <row r="5" spans="1:10" ht="19.5" customHeight="1" thickBot="1" x14ac:dyDescent="0.25">
      <c r="A5" s="633" t="s">
        <v>130</v>
      </c>
      <c r="B5" s="634"/>
      <c r="C5" s="634"/>
      <c r="D5" s="634"/>
      <c r="E5" s="634"/>
      <c r="F5" s="634"/>
      <c r="G5" s="634"/>
      <c r="H5" s="635"/>
      <c r="I5" s="92"/>
    </row>
    <row r="6" spans="1:10" ht="19.5" thickBot="1" x14ac:dyDescent="0.25">
      <c r="A6" s="92"/>
      <c r="B6" s="92"/>
      <c r="C6" s="92"/>
      <c r="D6" s="92"/>
      <c r="E6" s="92"/>
      <c r="F6" s="636" t="s">
        <v>131</v>
      </c>
      <c r="G6" s="636"/>
      <c r="H6" s="93">
        <f ca="1">TODAY()</f>
        <v>45901</v>
      </c>
      <c r="I6" s="93"/>
    </row>
    <row r="7" spans="1:10" ht="26.25" thickBot="1" x14ac:dyDescent="0.25">
      <c r="A7" s="94" t="s">
        <v>132</v>
      </c>
      <c r="B7" s="95" t="s">
        <v>133</v>
      </c>
      <c r="C7" s="95" t="s">
        <v>132</v>
      </c>
      <c r="D7" s="96" t="s">
        <v>134</v>
      </c>
      <c r="E7" s="96" t="s">
        <v>135</v>
      </c>
      <c r="F7" s="96" t="s">
        <v>136</v>
      </c>
      <c r="G7" s="96" t="s">
        <v>137</v>
      </c>
      <c r="H7" s="97" t="s">
        <v>138</v>
      </c>
      <c r="I7" s="98"/>
    </row>
    <row r="8" spans="1:10" ht="13.5" x14ac:dyDescent="0.25">
      <c r="A8" s="99">
        <v>1</v>
      </c>
      <c r="B8" s="87" t="s">
        <v>114</v>
      </c>
      <c r="C8" s="100">
        <f>+A8</f>
        <v>1</v>
      </c>
      <c r="D8" s="101" t="s">
        <v>177</v>
      </c>
      <c r="E8" s="101">
        <v>7.15</v>
      </c>
      <c r="F8" s="101">
        <f>IFERROR(C8*E8,"")</f>
        <v>7.15</v>
      </c>
      <c r="G8" s="102">
        <f t="shared" ref="G8:G14" si="0">IFERROR(F8/$F$66,"")</f>
        <v>4.3120865070893119E-2</v>
      </c>
      <c r="H8" s="103"/>
      <c r="I8" s="103"/>
      <c r="J8" s="104"/>
    </row>
    <row r="9" spans="1:10" ht="13.5" hidden="1" x14ac:dyDescent="0.25">
      <c r="A9" s="99"/>
      <c r="B9" s="87" t="str">
        <f>IFERROR(VLOOKUP(H9,'[1]Consolidado MP Planta'!$A$2:$M$823,3,0),"")</f>
        <v/>
      </c>
      <c r="C9" s="100">
        <f t="shared" ref="C9:C14" si="1">+A9</f>
        <v>0</v>
      </c>
      <c r="D9" s="101" t="str">
        <f>IFERROR(VLOOKUP(H9,'[1]Consolidado MP Planta'!$A$2:$M$823,13,0),"")</f>
        <v/>
      </c>
      <c r="E9" s="101" t="str">
        <f>IFERROR(VLOOKUP(H9,'[1]Consolidado MP Planta'!$A$2:$M$823,12,0),"")</f>
        <v/>
      </c>
      <c r="F9" s="101" t="str">
        <f t="shared" ref="F9:F14" si="2">IFERROR(C9*E9,"")</f>
        <v/>
      </c>
      <c r="G9" s="102" t="str">
        <f t="shared" si="0"/>
        <v/>
      </c>
      <c r="H9" s="103"/>
      <c r="I9" s="103"/>
      <c r="J9" s="104"/>
    </row>
    <row r="10" spans="1:10" ht="13.5" hidden="1" x14ac:dyDescent="0.25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0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25">
      <c r="A16" s="94" t="s">
        <v>132</v>
      </c>
      <c r="B16" s="95" t="s">
        <v>139</v>
      </c>
      <c r="C16" s="95" t="s">
        <v>132</v>
      </c>
      <c r="D16" s="96" t="s">
        <v>134</v>
      </c>
      <c r="E16" s="96" t="s">
        <v>135</v>
      </c>
      <c r="F16" s="96" t="s">
        <v>136</v>
      </c>
      <c r="G16" s="96" t="s">
        <v>137</v>
      </c>
      <c r="H16" s="97" t="s">
        <v>138</v>
      </c>
      <c r="I16" s="98"/>
      <c r="J16" s="104"/>
    </row>
    <row r="17" spans="1:12" ht="13.5" x14ac:dyDescent="0.25">
      <c r="A17" s="99">
        <v>400</v>
      </c>
      <c r="B17" s="87" t="s">
        <v>70</v>
      </c>
      <c r="C17" s="100">
        <f>+A17</f>
        <v>400</v>
      </c>
      <c r="D17" s="100" t="s">
        <v>177</v>
      </c>
      <c r="E17" s="101">
        <v>0.19</v>
      </c>
      <c r="F17" s="101">
        <f>IFERROR(E17*C17,"")</f>
        <v>76</v>
      </c>
      <c r="G17" s="102">
        <f t="shared" ref="G17:G24" si="3">IFERROR(F17/$F$66,"")</f>
        <v>0.45834765669760519</v>
      </c>
      <c r="H17" s="103" t="s">
        <v>69</v>
      </c>
      <c r="I17" s="103"/>
      <c r="J17" s="104"/>
    </row>
    <row r="18" spans="1:12" ht="13.5" hidden="1" x14ac:dyDescent="0.25">
      <c r="A18" s="99"/>
      <c r="B18" s="87" t="str">
        <f>IFERROR(VLOOKUP(H18,[1]SEMIELABORADOS!$A$2:$M$6000,2,0),"")</f>
        <v/>
      </c>
      <c r="C18" s="100">
        <f t="shared" ref="C18:C24" si="4">+A18</f>
        <v>0</v>
      </c>
      <c r="D18" s="100" t="str">
        <f>IFERROR(VLOOKUP(H18,[1]SEMIELABORADOS!$A$2:$M$6000,6,0),"")</f>
        <v/>
      </c>
      <c r="E18" s="101" t="str">
        <f>IFERROR(VLOOKUP(H18,[1]SEMIELABORADOS!$A$2:$H$65536,8,0),"")</f>
        <v/>
      </c>
      <c r="F18" s="101" t="str">
        <f t="shared" ref="F18:F24" si="5">IFERROR(E18*C18,"")</f>
        <v/>
      </c>
      <c r="G18" s="102" t="str">
        <f t="shared" si="3"/>
        <v/>
      </c>
      <c r="H18" s="103"/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hidden="1" thickBot="1" x14ac:dyDescent="0.25">
      <c r="A26" s="94" t="s">
        <v>132</v>
      </c>
      <c r="B26" s="95" t="s">
        <v>80</v>
      </c>
      <c r="C26" s="95" t="s">
        <v>132</v>
      </c>
      <c r="D26" s="96" t="s">
        <v>134</v>
      </c>
      <c r="E26" s="96" t="s">
        <v>135</v>
      </c>
      <c r="F26" s="96" t="s">
        <v>136</v>
      </c>
      <c r="G26" s="96" t="s">
        <v>137</v>
      </c>
      <c r="H26" s="97" t="s">
        <v>138</v>
      </c>
      <c r="I26" s="98"/>
    </row>
    <row r="27" spans="1:12" ht="13.5" hidden="1" x14ac:dyDescent="0.25">
      <c r="A27" s="99">
        <v>0</v>
      </c>
      <c r="B27" s="105" t="str">
        <f>IFERROR(VLOOKUP(H27,'[1]Consolidado MP Planta'!$A$2:$M$823,3,0),"")</f>
        <v/>
      </c>
      <c r="C27" s="100">
        <f t="shared" ref="C27:C32" si="6">+A27</f>
        <v>0</v>
      </c>
      <c r="D27" s="101" t="str">
        <f>IFERROR(VLOOKUP(H27,'[1]Consolidado MP Planta'!$A$2:$M$823,13,0),"")</f>
        <v/>
      </c>
      <c r="E27" s="101" t="str">
        <f>IFERROR(VLOOKUP(H27,'[1]Consolidado MP Planta'!$A$2:$M$823,12,0),"")</f>
        <v/>
      </c>
      <c r="F27" s="101" t="str">
        <f t="shared" ref="F27:F32" si="7">IFERROR(C27*E27,"")</f>
        <v/>
      </c>
      <c r="G27" s="102" t="str">
        <f t="shared" ref="G27:G32" si="8">IFERROR(F27/$F$66,"")</f>
        <v/>
      </c>
      <c r="H27" s="106"/>
      <c r="I27" s="106"/>
      <c r="J27" s="104"/>
      <c r="K27" s="631"/>
      <c r="L27" s="631"/>
    </row>
    <row r="28" spans="1:12" ht="13.5" hidden="1" x14ac:dyDescent="0.25">
      <c r="A28" s="99"/>
      <c r="B28" s="105" t="str">
        <f>IFERROR(VLOOKUP(H28,'[1]Consolidado MP Planta'!$A$2:$M$823,3,0),"")</f>
        <v/>
      </c>
      <c r="C28" s="100">
        <f t="shared" si="6"/>
        <v>0</v>
      </c>
      <c r="D28" s="101" t="str">
        <f>IFERROR(VLOOKUP(H28,'[1]Consolidado MP Planta'!$A$2:$M$823,13,0),"")</f>
        <v/>
      </c>
      <c r="E28" s="101" t="str">
        <f>IFERROR(VLOOKUP(H28,'[1]Consolidado MP Planta'!$A$2:$M$823,12,0),"")</f>
        <v/>
      </c>
      <c r="F28" s="101" t="str">
        <f t="shared" si="7"/>
        <v/>
      </c>
      <c r="G28" s="102" t="str">
        <f t="shared" si="8"/>
        <v/>
      </c>
      <c r="H28" s="106"/>
      <c r="I28" s="106"/>
      <c r="J28" s="104"/>
      <c r="K28" s="631"/>
      <c r="L28" s="631"/>
    </row>
    <row r="29" spans="1:12" ht="13.5" hidden="1" x14ac:dyDescent="0.25">
      <c r="A29" s="99"/>
      <c r="B29" s="105" t="str">
        <f>IFERROR(VLOOKUP(H29,'[1]Consolidado MP Planta'!$A$2:$M$823,3,0),"")</f>
        <v/>
      </c>
      <c r="C29" s="100">
        <f t="shared" si="6"/>
        <v>0</v>
      </c>
      <c r="D29" s="101" t="str">
        <f>IFERROR(VLOOKUP(H29,'[1]Consolidado MP Planta'!$A$2:$M$823,13,0),"")</f>
        <v/>
      </c>
      <c r="E29" s="101" t="str">
        <f>IFERROR(VLOOKUP(H29,'[1]Consolidado MP Planta'!$A$2:$M$823,12,0),"")</f>
        <v/>
      </c>
      <c r="F29" s="101" t="str">
        <f t="shared" si="7"/>
        <v/>
      </c>
      <c r="G29" s="102" t="str">
        <f t="shared" si="8"/>
        <v/>
      </c>
      <c r="H29" s="106"/>
      <c r="I29" s="106"/>
      <c r="J29" s="104"/>
      <c r="K29" s="631"/>
      <c r="L29" s="631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631"/>
      <c r="L30" s="631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hidden="1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132</v>
      </c>
      <c r="B34" s="95" t="s">
        <v>140</v>
      </c>
      <c r="C34" s="95" t="s">
        <v>132</v>
      </c>
      <c r="D34" s="96" t="s">
        <v>134</v>
      </c>
      <c r="E34" s="96" t="s">
        <v>135</v>
      </c>
      <c r="F34" s="96" t="s">
        <v>136</v>
      </c>
      <c r="G34" s="96" t="s">
        <v>137</v>
      </c>
      <c r="H34" s="97" t="s">
        <v>138</v>
      </c>
      <c r="I34" s="106"/>
      <c r="J34" s="104"/>
    </row>
    <row r="35" spans="1:13" ht="13.5" x14ac:dyDescent="0.25">
      <c r="A35" s="99">
        <f>+A17</f>
        <v>400</v>
      </c>
      <c r="B35" s="87" t="s">
        <v>70</v>
      </c>
      <c r="C35" s="100">
        <f>+A35</f>
        <v>400</v>
      </c>
      <c r="D35" s="101" t="s">
        <v>177</v>
      </c>
      <c r="E35" s="101">
        <v>0.01</v>
      </c>
      <c r="F35" s="101">
        <f>IFERROR(E35*C35,"")</f>
        <v>4</v>
      </c>
      <c r="G35" s="102">
        <f t="shared" ref="G35:G41" si="9">IFERROR(F35/$F$66,"")</f>
        <v>2.4123560878821323E-2</v>
      </c>
      <c r="H35" s="106" t="s">
        <v>69</v>
      </c>
      <c r="I35" s="106"/>
      <c r="J35" s="104"/>
    </row>
    <row r="36" spans="1:13" ht="13.5" hidden="1" x14ac:dyDescent="0.25">
      <c r="A36" s="99">
        <f t="shared" ref="A36:A41" si="10">+A18</f>
        <v>0</v>
      </c>
      <c r="B36" s="105" t="str">
        <f>IFERROR(VLOOKUP(H36,[1]SEMIELABORADOS!$A$2:$M$6000,2,0),"")</f>
        <v/>
      </c>
      <c r="C36" s="100">
        <f t="shared" ref="C36:C41" si="11">+A36</f>
        <v>0</v>
      </c>
      <c r="D36" s="101" t="str">
        <f>IFERROR(VLOOKUP(H36,[1]SEMIELABORADOS!$A$2:$M$6000,6,0),"")</f>
        <v/>
      </c>
      <c r="E36" s="101" t="str">
        <f>IFERROR(VLOOKUP(H36,[1]SEMIELABORADOS!$A$2:$M$65536,10,0),"")</f>
        <v/>
      </c>
      <c r="F36" s="101" t="str">
        <f t="shared" ref="F36:F41" si="12">IFERROR(E36*C36,"")</f>
        <v/>
      </c>
      <c r="G36" s="102" t="str">
        <f t="shared" si="9"/>
        <v/>
      </c>
      <c r="H36" s="106"/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25">
      <c r="A43" s="94" t="s">
        <v>132</v>
      </c>
      <c r="B43" s="95" t="s">
        <v>141</v>
      </c>
      <c r="C43" s="95" t="s">
        <v>132</v>
      </c>
      <c r="D43" s="96" t="s">
        <v>134</v>
      </c>
      <c r="E43" s="96" t="s">
        <v>135</v>
      </c>
      <c r="F43" s="96" t="s">
        <v>136</v>
      </c>
      <c r="G43" s="96" t="s">
        <v>137</v>
      </c>
      <c r="H43" s="97" t="s">
        <v>138</v>
      </c>
      <c r="I43" s="98"/>
      <c r="J43" s="104"/>
    </row>
    <row r="44" spans="1:13" ht="13.5" x14ac:dyDescent="0.25">
      <c r="A44" s="99">
        <f>+A35</f>
        <v>400</v>
      </c>
      <c r="B44" s="87" t="s">
        <v>70</v>
      </c>
      <c r="C44" s="100">
        <f>+A44</f>
        <v>400</v>
      </c>
      <c r="D44" s="101" t="s">
        <v>177</v>
      </c>
      <c r="E44" s="101">
        <v>0.03</v>
      </c>
      <c r="F44" s="101">
        <f>IFERROR(E44*C44,"")</f>
        <v>12</v>
      </c>
      <c r="G44" s="102">
        <f>IFERROR(F44/$F$66,"")</f>
        <v>7.237068263646397E-2</v>
      </c>
      <c r="H44" s="106" t="s">
        <v>69</v>
      </c>
      <c r="I44" s="98"/>
      <c r="J44" s="104"/>
    </row>
    <row r="45" spans="1:13" ht="13.5" hidden="1" x14ac:dyDescent="0.25">
      <c r="A45" s="99">
        <f t="shared" ref="A45:A50" si="13">+A36</f>
        <v>0</v>
      </c>
      <c r="B45" s="105" t="str">
        <f>IFERROR(VLOOKUP(H45,[1]SEMIELABORADOS!$A$2:$M$6000,2,0),"")</f>
        <v/>
      </c>
      <c r="C45" s="100">
        <f t="shared" ref="C45:C50" si="14">+A45</f>
        <v>0</v>
      </c>
      <c r="D45" s="101" t="str">
        <f>IFERROR(VLOOKUP(H45,[1]SEMIELABORADOS!$A$2:$M$6000,6,0),"")</f>
        <v/>
      </c>
      <c r="E45" s="101" t="str">
        <f>IFERROR(VLOOKUP(H45,[1]SEMIELABORADOS!$A$2:$M$65536,12,0),"")</f>
        <v/>
      </c>
      <c r="F45" s="101" t="str">
        <f t="shared" ref="F45:F50" si="15">IFERROR(E45*C45,"")</f>
        <v/>
      </c>
      <c r="G45" s="102" t="str">
        <f t="shared" ref="G45:G50" si="16">IFERROR(F45/$F$66,"")</f>
        <v/>
      </c>
      <c r="H45" s="106"/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142</v>
      </c>
      <c r="C51" s="100">
        <f>+A51</f>
        <v>1</v>
      </c>
      <c r="D51" s="100" t="s">
        <v>143</v>
      </c>
      <c r="E51" s="101">
        <f>+F65</f>
        <v>77</v>
      </c>
      <c r="F51" s="101">
        <f>IFERROR(C51*E51,"")</f>
        <v>77</v>
      </c>
      <c r="G51" s="102">
        <f>IFERROR(F51/$F$66,"")</f>
        <v>0.46437854691731051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25">
      <c r="A53" s="111"/>
      <c r="B53" s="641" t="s">
        <v>144</v>
      </c>
      <c r="C53" s="641"/>
      <c r="D53" s="641"/>
      <c r="E53" s="641"/>
      <c r="F53" s="113">
        <f>SUM(F8:F14,F17:F24)</f>
        <v>83.15</v>
      </c>
      <c r="G53" s="102">
        <f>+F53/$F$66</f>
        <v>0.50146852176849832</v>
      </c>
      <c r="H53" s="114">
        <f>+F53/$D$60</f>
        <v>83.15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641" t="s">
        <v>145</v>
      </c>
      <c r="C54" s="641"/>
      <c r="D54" s="641"/>
      <c r="E54" s="641"/>
      <c r="F54" s="113">
        <f>SUM(F27:F32,F35:F41)</f>
        <v>4</v>
      </c>
      <c r="G54" s="102">
        <f>+F54/$F$66</f>
        <v>2.4123560878821323E-2</v>
      </c>
      <c r="H54" s="114">
        <f>+F54/$D$60</f>
        <v>4</v>
      </c>
      <c r="I54" s="114"/>
      <c r="J54" s="118"/>
      <c r="K54" s="642" t="s">
        <v>146</v>
      </c>
      <c r="L54" s="643"/>
      <c r="M54" s="643"/>
      <c r="N54" s="643"/>
      <c r="O54" s="119">
        <f>+F55</f>
        <v>87.15</v>
      </c>
      <c r="P54" s="119"/>
      <c r="Q54" s="120"/>
    </row>
    <row r="55" spans="1:17" x14ac:dyDescent="0.2">
      <c r="A55" s="111"/>
      <c r="B55" s="641" t="s">
        <v>147</v>
      </c>
      <c r="C55" s="641"/>
      <c r="D55" s="641"/>
      <c r="E55" s="641"/>
      <c r="F55" s="113">
        <f>+F53+F54</f>
        <v>87.15</v>
      </c>
      <c r="G55" s="102">
        <f>+F55/$F$66</f>
        <v>0.5255920826473196</v>
      </c>
      <c r="H55" s="114">
        <f>+F55/$D$60</f>
        <v>87.15</v>
      </c>
      <c r="I55" s="114"/>
      <c r="J55" s="121"/>
      <c r="K55" s="122"/>
      <c r="M55" s="123" t="s">
        <v>148</v>
      </c>
      <c r="N55" s="124"/>
      <c r="O55" s="119">
        <f>+H56</f>
        <v>89</v>
      </c>
      <c r="P55" s="119"/>
      <c r="Q55" s="120"/>
    </row>
    <row r="56" spans="1:17" ht="13.5" thickBot="1" x14ac:dyDescent="0.25">
      <c r="A56" s="111"/>
      <c r="B56" s="112"/>
      <c r="C56" s="641" t="s">
        <v>149</v>
      </c>
      <c r="D56" s="641"/>
      <c r="E56" s="641"/>
      <c r="F56" s="113">
        <f>SUM(F44:F51)</f>
        <v>89</v>
      </c>
      <c r="G56" s="102">
        <f>+F56/$F$66</f>
        <v>0.53674922955377447</v>
      </c>
      <c r="H56" s="114">
        <f>+F56/$D$60</f>
        <v>89</v>
      </c>
      <c r="I56" s="114"/>
      <c r="J56" s="121"/>
      <c r="K56" s="122"/>
      <c r="L56" s="122"/>
      <c r="M56" s="122" t="s">
        <v>150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151</v>
      </c>
      <c r="N57" s="131"/>
      <c r="O57" s="132">
        <f>SUM(O54:O56)</f>
        <v>176.15</v>
      </c>
      <c r="P57" s="133"/>
      <c r="Q57" s="120"/>
    </row>
    <row r="58" spans="1:17" x14ac:dyDescent="0.2">
      <c r="B58" s="644" t="s">
        <v>152</v>
      </c>
      <c r="C58" s="644"/>
      <c r="D58" s="134">
        <v>400</v>
      </c>
      <c r="E58" s="135"/>
      <c r="G58" s="102"/>
      <c r="H58" s="128">
        <f>+H56/77</f>
        <v>1.1558441558441559</v>
      </c>
      <c r="I58" s="136"/>
      <c r="J58" s="121"/>
      <c r="K58" s="129"/>
      <c r="L58" s="122"/>
      <c r="M58" s="122" t="s">
        <v>153</v>
      </c>
      <c r="N58" s="137"/>
      <c r="O58" s="119">
        <f>+H59</f>
        <v>73.974025974025977</v>
      </c>
      <c r="P58" s="119"/>
      <c r="Q58" s="120"/>
    </row>
    <row r="59" spans="1:17" x14ac:dyDescent="0.2">
      <c r="B59" s="644" t="s">
        <v>154</v>
      </c>
      <c r="C59" s="644"/>
      <c r="D59" s="138">
        <v>400</v>
      </c>
      <c r="E59" s="135"/>
      <c r="G59" s="102"/>
      <c r="H59" s="128">
        <f>+H58*64</f>
        <v>73.974025974025977</v>
      </c>
      <c r="I59" s="136"/>
      <c r="J59" s="121"/>
      <c r="K59" s="129"/>
      <c r="L59" s="122"/>
      <c r="M59" s="645" t="s">
        <v>151</v>
      </c>
      <c r="N59" s="645"/>
      <c r="O59" s="119">
        <f>SUM(O57:O58)</f>
        <v>250.12402597402598</v>
      </c>
      <c r="P59" s="119"/>
      <c r="Q59" s="120"/>
    </row>
    <row r="60" spans="1:17" ht="13.5" thickBot="1" x14ac:dyDescent="0.25">
      <c r="B60" s="637" t="s">
        <v>155</v>
      </c>
      <c r="C60" s="637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645"/>
      <c r="M60" s="645"/>
      <c r="N60" s="137"/>
      <c r="O60" s="119">
        <f>+O59*N60</f>
        <v>0</v>
      </c>
      <c r="P60" s="119"/>
      <c r="Q60" s="120"/>
    </row>
    <row r="61" spans="1:17" ht="13.5" thickBot="1" x14ac:dyDescent="0.25">
      <c r="B61" s="637" t="s">
        <v>156</v>
      </c>
      <c r="C61" s="637"/>
      <c r="D61" s="140"/>
      <c r="E61" s="135"/>
      <c r="F61" s="139"/>
      <c r="G61" s="102"/>
      <c r="H61" s="128"/>
      <c r="I61" s="136"/>
      <c r="J61" s="121"/>
      <c r="K61" s="638" t="s">
        <v>157</v>
      </c>
      <c r="L61" s="639"/>
      <c r="M61" s="639"/>
      <c r="N61" s="640"/>
      <c r="O61" s="132">
        <f>SUM(O59:O60)</f>
        <v>250.12402597402598</v>
      </c>
      <c r="P61" s="141" t="s">
        <v>158</v>
      </c>
      <c r="Q61" s="120"/>
    </row>
    <row r="62" spans="1:17" ht="13.5" thickBot="1" x14ac:dyDescent="0.25">
      <c r="C62" s="111" t="s">
        <v>159</v>
      </c>
      <c r="D62" s="142"/>
      <c r="E62" s="85" t="s">
        <v>160</v>
      </c>
      <c r="F62" s="143" t="s">
        <v>161</v>
      </c>
      <c r="G62" s="102"/>
      <c r="H62" s="128"/>
      <c r="I62" s="136"/>
      <c r="J62" s="144"/>
      <c r="K62" s="145"/>
      <c r="L62" s="651" t="s">
        <v>162</v>
      </c>
      <c r="M62" s="651"/>
      <c r="N62" s="651"/>
      <c r="O62" s="146">
        <f>+O61/D60</f>
        <v>250.12402597402598</v>
      </c>
      <c r="P62" s="147">
        <f>+O62/D59</f>
        <v>0.62531006493506491</v>
      </c>
      <c r="Q62" s="148"/>
    </row>
    <row r="63" spans="1:17" ht="13.5" thickBot="1" x14ac:dyDescent="0.25">
      <c r="B63" s="652" t="s">
        <v>147</v>
      </c>
      <c r="C63" s="652"/>
      <c r="D63" s="652"/>
      <c r="E63" s="149">
        <f>+F63/F63</f>
        <v>1</v>
      </c>
      <c r="F63" s="150">
        <f>SUM(F55)</f>
        <v>87.15</v>
      </c>
      <c r="G63" s="102">
        <f>+F63/$F$66</f>
        <v>0.5255920826473196</v>
      </c>
      <c r="H63" s="128"/>
      <c r="I63" s="136"/>
      <c r="K63" s="653"/>
      <c r="L63" s="654"/>
      <c r="M63" s="654"/>
      <c r="N63" s="654"/>
      <c r="O63" s="151"/>
      <c r="P63" s="152"/>
    </row>
    <row r="64" spans="1:17" ht="13.5" thickBot="1" x14ac:dyDescent="0.25">
      <c r="B64" s="655" t="s">
        <v>163</v>
      </c>
      <c r="C64" s="655"/>
      <c r="D64" s="655"/>
      <c r="E64" s="153">
        <v>0.02</v>
      </c>
      <c r="F64" s="150">
        <f>+F53*E64</f>
        <v>1.6630000000000003</v>
      </c>
      <c r="G64" s="102">
        <f>+F64/$F$66</f>
        <v>1.0029370435369967E-2</v>
      </c>
      <c r="H64" s="114"/>
      <c r="I64" s="136"/>
      <c r="J64" s="154"/>
      <c r="O64" s="155"/>
      <c r="P64" s="112"/>
    </row>
    <row r="65" spans="2:13" ht="13.5" thickBot="1" x14ac:dyDescent="0.25">
      <c r="B65" s="656" t="s">
        <v>164</v>
      </c>
      <c r="C65" s="657"/>
      <c r="D65" s="156">
        <v>1</v>
      </c>
      <c r="E65" s="157">
        <v>77</v>
      </c>
      <c r="F65" s="150">
        <f>+E65*D65</f>
        <v>77</v>
      </c>
      <c r="G65" s="102">
        <f>+F65/$F$66</f>
        <v>0.46437854691731051</v>
      </c>
      <c r="H65" s="114"/>
      <c r="I65" s="114"/>
      <c r="J65" s="104"/>
    </row>
    <row r="66" spans="2:13" ht="13.5" thickBot="1" x14ac:dyDescent="0.25">
      <c r="B66" s="658" t="s">
        <v>165</v>
      </c>
      <c r="C66" s="659"/>
      <c r="D66" s="659"/>
      <c r="E66" s="660"/>
      <c r="F66" s="127">
        <f>SUM(F63:F65)</f>
        <v>165.81299999999999</v>
      </c>
      <c r="G66" s="102">
        <f>+F66/$F$66</f>
        <v>1</v>
      </c>
      <c r="H66" s="661"/>
      <c r="I66" s="114"/>
      <c r="J66" s="104"/>
      <c r="M66" s="87" t="s">
        <v>166</v>
      </c>
    </row>
    <row r="67" spans="2:13" x14ac:dyDescent="0.2">
      <c r="C67" s="109"/>
      <c r="D67" s="109"/>
      <c r="E67" s="159"/>
      <c r="F67" s="150"/>
      <c r="G67" s="102"/>
      <c r="H67" s="661"/>
      <c r="I67" s="158"/>
      <c r="J67" s="87"/>
      <c r="M67" s="87" t="s">
        <v>167</v>
      </c>
    </row>
    <row r="68" spans="2:13" ht="13.5" thickBot="1" x14ac:dyDescent="0.25">
      <c r="B68" s="646" t="s">
        <v>168</v>
      </c>
      <c r="C68" s="646"/>
      <c r="D68" s="646"/>
      <c r="E68" s="646"/>
      <c r="F68" s="646"/>
      <c r="G68" s="102"/>
      <c r="H68" s="161"/>
      <c r="I68" s="158"/>
      <c r="J68" s="87"/>
      <c r="M68" s="87" t="s">
        <v>169</v>
      </c>
    </row>
    <row r="69" spans="2:13" ht="13.5" thickBot="1" x14ac:dyDescent="0.25">
      <c r="B69" s="162" t="s">
        <v>170</v>
      </c>
      <c r="C69" s="163">
        <f>+F53</f>
        <v>83.15</v>
      </c>
      <c r="D69" s="163">
        <f>+D58</f>
        <v>400</v>
      </c>
      <c r="E69" s="164">
        <f>+C69/D69</f>
        <v>0.207875</v>
      </c>
      <c r="F69" s="102"/>
      <c r="G69" s="161"/>
      <c r="H69" s="104"/>
      <c r="I69" s="161"/>
      <c r="J69" s="87"/>
    </row>
    <row r="70" spans="2:13" x14ac:dyDescent="0.2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">
      <c r="B71" s="162" t="s">
        <v>171</v>
      </c>
      <c r="C71" s="163">
        <f>SUM(F63:F64)</f>
        <v>88.813000000000002</v>
      </c>
      <c r="D71" s="163">
        <f>+D58</f>
        <v>400</v>
      </c>
      <c r="E71" s="168">
        <f>+C71/D71</f>
        <v>0.22203249999999999</v>
      </c>
      <c r="F71" s="102"/>
      <c r="G71" s="161"/>
      <c r="H71" s="104"/>
      <c r="I71" s="104"/>
      <c r="J71" s="87"/>
    </row>
    <row r="72" spans="2:13" x14ac:dyDescent="0.2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25">
      <c r="B73" s="162" t="s">
        <v>172</v>
      </c>
      <c r="C73" s="163">
        <f>+F65</f>
        <v>77</v>
      </c>
      <c r="D73" s="163">
        <f>+D58</f>
        <v>400</v>
      </c>
      <c r="E73" s="168">
        <f>+C73/D73</f>
        <v>0.1925</v>
      </c>
      <c r="F73" s="102"/>
      <c r="G73" s="161"/>
      <c r="H73" s="104"/>
      <c r="I73" s="104"/>
      <c r="J73" s="87"/>
    </row>
    <row r="74" spans="2:13" ht="13.5" thickBot="1" x14ac:dyDescent="0.25">
      <c r="B74" s="162" t="s">
        <v>173</v>
      </c>
      <c r="C74" s="163">
        <f>+F56</f>
        <v>89</v>
      </c>
      <c r="D74" s="163">
        <f>+D73</f>
        <v>400</v>
      </c>
      <c r="E74" s="164">
        <f>+C74/D74</f>
        <v>0.2225</v>
      </c>
      <c r="F74" s="102"/>
      <c r="G74" s="161"/>
      <c r="H74" s="104"/>
      <c r="I74" s="104"/>
      <c r="J74" s="87"/>
    </row>
    <row r="75" spans="2:13" ht="13.5" thickBot="1" x14ac:dyDescent="0.25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25">
      <c r="B76" s="162" t="s">
        <v>174</v>
      </c>
      <c r="C76" s="163">
        <f>+F54</f>
        <v>4</v>
      </c>
      <c r="D76" s="163">
        <f>+D74</f>
        <v>400</v>
      </c>
      <c r="E76" s="164">
        <f>+C76/D76</f>
        <v>0.01</v>
      </c>
      <c r="F76" s="102"/>
      <c r="G76" s="161"/>
      <c r="H76" s="104"/>
      <c r="I76" s="104"/>
      <c r="J76" s="104"/>
    </row>
    <row r="77" spans="2:13" ht="13.5" thickBot="1" x14ac:dyDescent="0.25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25">
      <c r="B78" s="647" t="s">
        <v>175</v>
      </c>
      <c r="C78" s="648"/>
      <c r="D78" s="649"/>
      <c r="E78" s="164">
        <f>+E69+E74</f>
        <v>0.43037500000000001</v>
      </c>
      <c r="G78" s="102"/>
      <c r="H78" s="161"/>
      <c r="I78" s="104"/>
      <c r="J78" s="168"/>
    </row>
    <row r="79" spans="2:13" x14ac:dyDescent="0.2">
      <c r="I79" s="161"/>
      <c r="J79" s="87"/>
    </row>
    <row r="80" spans="2:13" ht="13.5" thickBot="1" x14ac:dyDescent="0.25">
      <c r="B80" s="646" t="s">
        <v>176</v>
      </c>
      <c r="C80" s="646"/>
      <c r="D80" s="646"/>
      <c r="E80" s="646"/>
      <c r="F80" s="646"/>
      <c r="G80" s="102"/>
      <c r="H80" s="161"/>
      <c r="J80" s="87"/>
    </row>
    <row r="81" spans="1:10" ht="13.5" thickBot="1" x14ac:dyDescent="0.25">
      <c r="B81" s="162" t="s">
        <v>170</v>
      </c>
      <c r="C81" s="163">
        <f>+C69</f>
        <v>83.15</v>
      </c>
      <c r="D81" s="163">
        <f>+D60</f>
        <v>1</v>
      </c>
      <c r="E81" s="164">
        <f>+C81/D81</f>
        <v>83.15</v>
      </c>
      <c r="F81" s="102"/>
      <c r="G81" s="161"/>
      <c r="H81" s="104"/>
      <c r="I81" s="161"/>
      <c r="J81" s="87"/>
    </row>
    <row r="82" spans="1:10" x14ac:dyDescent="0.2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">
      <c r="B83" s="162" t="s">
        <v>171</v>
      </c>
      <c r="C83" s="163">
        <f>+C71</f>
        <v>88.813000000000002</v>
      </c>
      <c r="D83" s="163">
        <f>+D60</f>
        <v>1</v>
      </c>
      <c r="E83" s="168">
        <f>+C83/D83</f>
        <v>88.813000000000002</v>
      </c>
      <c r="F83" s="102"/>
      <c r="G83" s="161"/>
      <c r="H83" s="104"/>
      <c r="I83" s="104"/>
      <c r="J83" s="87"/>
    </row>
    <row r="84" spans="1:10" x14ac:dyDescent="0.2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25">
      <c r="B85" s="162" t="s">
        <v>173</v>
      </c>
      <c r="C85" s="163">
        <f>+C73</f>
        <v>77</v>
      </c>
      <c r="D85" s="163">
        <f>+D60</f>
        <v>1</v>
      </c>
      <c r="E85" s="168">
        <f>+C85/D85</f>
        <v>77</v>
      </c>
      <c r="F85" s="170"/>
      <c r="G85" s="160"/>
      <c r="H85" s="86"/>
      <c r="I85" s="104"/>
    </row>
    <row r="86" spans="1:10" ht="13.5" thickBot="1" x14ac:dyDescent="0.25">
      <c r="B86" s="162" t="s">
        <v>173</v>
      </c>
      <c r="C86" s="163">
        <f>+C74</f>
        <v>89</v>
      </c>
      <c r="D86" s="163">
        <f>+D85</f>
        <v>1</v>
      </c>
      <c r="E86" s="164">
        <f>+C86/D86</f>
        <v>89</v>
      </c>
      <c r="F86" s="169"/>
      <c r="G86" s="160"/>
      <c r="H86" s="86"/>
      <c r="I86" s="86"/>
    </row>
    <row r="87" spans="1:10" x14ac:dyDescent="0.2">
      <c r="I87" s="86"/>
    </row>
    <row r="88" spans="1:10" x14ac:dyDescent="0.2">
      <c r="A88" s="650"/>
      <c r="B88" s="650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3B54-66BE-4AC2-A5AB-F5F0DA9DCBF9}">
  <dimension ref="A1:N43"/>
  <sheetViews>
    <sheetView workbookViewId="0">
      <selection activeCell="J17" sqref="J17"/>
    </sheetView>
  </sheetViews>
  <sheetFormatPr baseColWidth="10" defaultColWidth="11.42578125" defaultRowHeight="13.5" x14ac:dyDescent="0.25"/>
  <cols>
    <col min="1" max="1" width="11.42578125" style="401"/>
    <col min="2" max="2" width="16.28515625" style="401" customWidth="1"/>
    <col min="3" max="3" width="13.140625" style="401" customWidth="1"/>
    <col min="4" max="4" width="40.5703125" style="401" customWidth="1"/>
    <col min="5" max="5" width="15.5703125" style="401" customWidth="1"/>
    <col min="6" max="6" width="11.42578125" style="401"/>
    <col min="7" max="7" width="13.28515625" style="401" customWidth="1"/>
    <col min="8" max="8" width="12.5703125" style="401" customWidth="1"/>
    <col min="9" max="9" width="15.5703125" style="401" customWidth="1"/>
    <col min="10" max="10" width="16" style="401" customWidth="1"/>
    <col min="11" max="257" width="11.42578125" style="401"/>
    <col min="258" max="258" width="16.28515625" style="401" customWidth="1"/>
    <col min="259" max="259" width="13.140625" style="401" customWidth="1"/>
    <col min="260" max="260" width="40.5703125" style="401" customWidth="1"/>
    <col min="261" max="261" width="15.5703125" style="401" customWidth="1"/>
    <col min="262" max="262" width="11.42578125" style="401"/>
    <col min="263" max="263" width="13.28515625" style="401" customWidth="1"/>
    <col min="264" max="264" width="12.5703125" style="401" customWidth="1"/>
    <col min="265" max="265" width="15.5703125" style="401" customWidth="1"/>
    <col min="266" max="266" width="16" style="401" customWidth="1"/>
    <col min="267" max="513" width="11.42578125" style="401"/>
    <col min="514" max="514" width="16.28515625" style="401" customWidth="1"/>
    <col min="515" max="515" width="13.140625" style="401" customWidth="1"/>
    <col min="516" max="516" width="40.5703125" style="401" customWidth="1"/>
    <col min="517" max="517" width="15.5703125" style="401" customWidth="1"/>
    <col min="518" max="518" width="11.42578125" style="401"/>
    <col min="519" max="519" width="13.28515625" style="401" customWidth="1"/>
    <col min="520" max="520" width="12.5703125" style="401" customWidth="1"/>
    <col min="521" max="521" width="15.5703125" style="401" customWidth="1"/>
    <col min="522" max="522" width="16" style="401" customWidth="1"/>
    <col min="523" max="769" width="11.42578125" style="401"/>
    <col min="770" max="770" width="16.28515625" style="401" customWidth="1"/>
    <col min="771" max="771" width="13.140625" style="401" customWidth="1"/>
    <col min="772" max="772" width="40.5703125" style="401" customWidth="1"/>
    <col min="773" max="773" width="15.5703125" style="401" customWidth="1"/>
    <col min="774" max="774" width="11.42578125" style="401"/>
    <col min="775" max="775" width="13.28515625" style="401" customWidth="1"/>
    <col min="776" max="776" width="12.5703125" style="401" customWidth="1"/>
    <col min="777" max="777" width="15.5703125" style="401" customWidth="1"/>
    <col min="778" max="778" width="16" style="401" customWidth="1"/>
    <col min="779" max="1025" width="11.42578125" style="401"/>
    <col min="1026" max="1026" width="16.28515625" style="401" customWidth="1"/>
    <col min="1027" max="1027" width="13.140625" style="401" customWidth="1"/>
    <col min="1028" max="1028" width="40.5703125" style="401" customWidth="1"/>
    <col min="1029" max="1029" width="15.5703125" style="401" customWidth="1"/>
    <col min="1030" max="1030" width="11.42578125" style="401"/>
    <col min="1031" max="1031" width="13.28515625" style="401" customWidth="1"/>
    <col min="1032" max="1032" width="12.5703125" style="401" customWidth="1"/>
    <col min="1033" max="1033" width="15.5703125" style="401" customWidth="1"/>
    <col min="1034" max="1034" width="16" style="401" customWidth="1"/>
    <col min="1035" max="1281" width="11.42578125" style="401"/>
    <col min="1282" max="1282" width="16.28515625" style="401" customWidth="1"/>
    <col min="1283" max="1283" width="13.140625" style="401" customWidth="1"/>
    <col min="1284" max="1284" width="40.5703125" style="401" customWidth="1"/>
    <col min="1285" max="1285" width="15.5703125" style="401" customWidth="1"/>
    <col min="1286" max="1286" width="11.42578125" style="401"/>
    <col min="1287" max="1287" width="13.28515625" style="401" customWidth="1"/>
    <col min="1288" max="1288" width="12.5703125" style="401" customWidth="1"/>
    <col min="1289" max="1289" width="15.5703125" style="401" customWidth="1"/>
    <col min="1290" max="1290" width="16" style="401" customWidth="1"/>
    <col min="1291" max="1537" width="11.42578125" style="401"/>
    <col min="1538" max="1538" width="16.28515625" style="401" customWidth="1"/>
    <col min="1539" max="1539" width="13.140625" style="401" customWidth="1"/>
    <col min="1540" max="1540" width="40.5703125" style="401" customWidth="1"/>
    <col min="1541" max="1541" width="15.5703125" style="401" customWidth="1"/>
    <col min="1542" max="1542" width="11.42578125" style="401"/>
    <col min="1543" max="1543" width="13.28515625" style="401" customWidth="1"/>
    <col min="1544" max="1544" width="12.5703125" style="401" customWidth="1"/>
    <col min="1545" max="1545" width="15.5703125" style="401" customWidth="1"/>
    <col min="1546" max="1546" width="16" style="401" customWidth="1"/>
    <col min="1547" max="1793" width="11.42578125" style="401"/>
    <col min="1794" max="1794" width="16.28515625" style="401" customWidth="1"/>
    <col min="1795" max="1795" width="13.140625" style="401" customWidth="1"/>
    <col min="1796" max="1796" width="40.5703125" style="401" customWidth="1"/>
    <col min="1797" max="1797" width="15.5703125" style="401" customWidth="1"/>
    <col min="1798" max="1798" width="11.42578125" style="401"/>
    <col min="1799" max="1799" width="13.28515625" style="401" customWidth="1"/>
    <col min="1800" max="1800" width="12.5703125" style="401" customWidth="1"/>
    <col min="1801" max="1801" width="15.5703125" style="401" customWidth="1"/>
    <col min="1802" max="1802" width="16" style="401" customWidth="1"/>
    <col min="1803" max="2049" width="11.42578125" style="401"/>
    <col min="2050" max="2050" width="16.28515625" style="401" customWidth="1"/>
    <col min="2051" max="2051" width="13.140625" style="401" customWidth="1"/>
    <col min="2052" max="2052" width="40.5703125" style="401" customWidth="1"/>
    <col min="2053" max="2053" width="15.5703125" style="401" customWidth="1"/>
    <col min="2054" max="2054" width="11.42578125" style="401"/>
    <col min="2055" max="2055" width="13.28515625" style="401" customWidth="1"/>
    <col min="2056" max="2056" width="12.5703125" style="401" customWidth="1"/>
    <col min="2057" max="2057" width="15.5703125" style="401" customWidth="1"/>
    <col min="2058" max="2058" width="16" style="401" customWidth="1"/>
    <col min="2059" max="2305" width="11.42578125" style="401"/>
    <col min="2306" max="2306" width="16.28515625" style="401" customWidth="1"/>
    <col min="2307" max="2307" width="13.140625" style="401" customWidth="1"/>
    <col min="2308" max="2308" width="40.5703125" style="401" customWidth="1"/>
    <col min="2309" max="2309" width="15.5703125" style="401" customWidth="1"/>
    <col min="2310" max="2310" width="11.42578125" style="401"/>
    <col min="2311" max="2311" width="13.28515625" style="401" customWidth="1"/>
    <col min="2312" max="2312" width="12.5703125" style="401" customWidth="1"/>
    <col min="2313" max="2313" width="15.5703125" style="401" customWidth="1"/>
    <col min="2314" max="2314" width="16" style="401" customWidth="1"/>
    <col min="2315" max="2561" width="11.42578125" style="401"/>
    <col min="2562" max="2562" width="16.28515625" style="401" customWidth="1"/>
    <col min="2563" max="2563" width="13.140625" style="401" customWidth="1"/>
    <col min="2564" max="2564" width="40.5703125" style="401" customWidth="1"/>
    <col min="2565" max="2565" width="15.5703125" style="401" customWidth="1"/>
    <col min="2566" max="2566" width="11.42578125" style="401"/>
    <col min="2567" max="2567" width="13.28515625" style="401" customWidth="1"/>
    <col min="2568" max="2568" width="12.5703125" style="401" customWidth="1"/>
    <col min="2569" max="2569" width="15.5703125" style="401" customWidth="1"/>
    <col min="2570" max="2570" width="16" style="401" customWidth="1"/>
    <col min="2571" max="2817" width="11.42578125" style="401"/>
    <col min="2818" max="2818" width="16.28515625" style="401" customWidth="1"/>
    <col min="2819" max="2819" width="13.140625" style="401" customWidth="1"/>
    <col min="2820" max="2820" width="40.5703125" style="401" customWidth="1"/>
    <col min="2821" max="2821" width="15.5703125" style="401" customWidth="1"/>
    <col min="2822" max="2822" width="11.42578125" style="401"/>
    <col min="2823" max="2823" width="13.28515625" style="401" customWidth="1"/>
    <col min="2824" max="2824" width="12.5703125" style="401" customWidth="1"/>
    <col min="2825" max="2825" width="15.5703125" style="401" customWidth="1"/>
    <col min="2826" max="2826" width="16" style="401" customWidth="1"/>
    <col min="2827" max="3073" width="11.42578125" style="401"/>
    <col min="3074" max="3074" width="16.28515625" style="401" customWidth="1"/>
    <col min="3075" max="3075" width="13.140625" style="401" customWidth="1"/>
    <col min="3076" max="3076" width="40.5703125" style="401" customWidth="1"/>
    <col min="3077" max="3077" width="15.5703125" style="401" customWidth="1"/>
    <col min="3078" max="3078" width="11.42578125" style="401"/>
    <col min="3079" max="3079" width="13.28515625" style="401" customWidth="1"/>
    <col min="3080" max="3080" width="12.5703125" style="401" customWidth="1"/>
    <col min="3081" max="3081" width="15.5703125" style="401" customWidth="1"/>
    <col min="3082" max="3082" width="16" style="401" customWidth="1"/>
    <col min="3083" max="3329" width="11.42578125" style="401"/>
    <col min="3330" max="3330" width="16.28515625" style="401" customWidth="1"/>
    <col min="3331" max="3331" width="13.140625" style="401" customWidth="1"/>
    <col min="3332" max="3332" width="40.5703125" style="401" customWidth="1"/>
    <col min="3333" max="3333" width="15.5703125" style="401" customWidth="1"/>
    <col min="3334" max="3334" width="11.42578125" style="401"/>
    <col min="3335" max="3335" width="13.28515625" style="401" customWidth="1"/>
    <col min="3336" max="3336" width="12.5703125" style="401" customWidth="1"/>
    <col min="3337" max="3337" width="15.5703125" style="401" customWidth="1"/>
    <col min="3338" max="3338" width="16" style="401" customWidth="1"/>
    <col min="3339" max="3585" width="11.42578125" style="401"/>
    <col min="3586" max="3586" width="16.28515625" style="401" customWidth="1"/>
    <col min="3587" max="3587" width="13.140625" style="401" customWidth="1"/>
    <col min="3588" max="3588" width="40.5703125" style="401" customWidth="1"/>
    <col min="3589" max="3589" width="15.5703125" style="401" customWidth="1"/>
    <col min="3590" max="3590" width="11.42578125" style="401"/>
    <col min="3591" max="3591" width="13.28515625" style="401" customWidth="1"/>
    <col min="3592" max="3592" width="12.5703125" style="401" customWidth="1"/>
    <col min="3593" max="3593" width="15.5703125" style="401" customWidth="1"/>
    <col min="3594" max="3594" width="16" style="401" customWidth="1"/>
    <col min="3595" max="3841" width="11.42578125" style="401"/>
    <col min="3842" max="3842" width="16.28515625" style="401" customWidth="1"/>
    <col min="3843" max="3843" width="13.140625" style="401" customWidth="1"/>
    <col min="3844" max="3844" width="40.5703125" style="401" customWidth="1"/>
    <col min="3845" max="3845" width="15.5703125" style="401" customWidth="1"/>
    <col min="3846" max="3846" width="11.42578125" style="401"/>
    <col min="3847" max="3847" width="13.28515625" style="401" customWidth="1"/>
    <col min="3848" max="3848" width="12.5703125" style="401" customWidth="1"/>
    <col min="3849" max="3849" width="15.5703125" style="401" customWidth="1"/>
    <col min="3850" max="3850" width="16" style="401" customWidth="1"/>
    <col min="3851" max="4097" width="11.42578125" style="401"/>
    <col min="4098" max="4098" width="16.28515625" style="401" customWidth="1"/>
    <col min="4099" max="4099" width="13.140625" style="401" customWidth="1"/>
    <col min="4100" max="4100" width="40.5703125" style="401" customWidth="1"/>
    <col min="4101" max="4101" width="15.5703125" style="401" customWidth="1"/>
    <col min="4102" max="4102" width="11.42578125" style="401"/>
    <col min="4103" max="4103" width="13.28515625" style="401" customWidth="1"/>
    <col min="4104" max="4104" width="12.5703125" style="401" customWidth="1"/>
    <col min="4105" max="4105" width="15.5703125" style="401" customWidth="1"/>
    <col min="4106" max="4106" width="16" style="401" customWidth="1"/>
    <col min="4107" max="4353" width="11.42578125" style="401"/>
    <col min="4354" max="4354" width="16.28515625" style="401" customWidth="1"/>
    <col min="4355" max="4355" width="13.140625" style="401" customWidth="1"/>
    <col min="4356" max="4356" width="40.5703125" style="401" customWidth="1"/>
    <col min="4357" max="4357" width="15.5703125" style="401" customWidth="1"/>
    <col min="4358" max="4358" width="11.42578125" style="401"/>
    <col min="4359" max="4359" width="13.28515625" style="401" customWidth="1"/>
    <col min="4360" max="4360" width="12.5703125" style="401" customWidth="1"/>
    <col min="4361" max="4361" width="15.5703125" style="401" customWidth="1"/>
    <col min="4362" max="4362" width="16" style="401" customWidth="1"/>
    <col min="4363" max="4609" width="11.42578125" style="401"/>
    <col min="4610" max="4610" width="16.28515625" style="401" customWidth="1"/>
    <col min="4611" max="4611" width="13.140625" style="401" customWidth="1"/>
    <col min="4612" max="4612" width="40.5703125" style="401" customWidth="1"/>
    <col min="4613" max="4613" width="15.5703125" style="401" customWidth="1"/>
    <col min="4614" max="4614" width="11.42578125" style="401"/>
    <col min="4615" max="4615" width="13.28515625" style="401" customWidth="1"/>
    <col min="4616" max="4616" width="12.5703125" style="401" customWidth="1"/>
    <col min="4617" max="4617" width="15.5703125" style="401" customWidth="1"/>
    <col min="4618" max="4618" width="16" style="401" customWidth="1"/>
    <col min="4619" max="4865" width="11.42578125" style="401"/>
    <col min="4866" max="4866" width="16.28515625" style="401" customWidth="1"/>
    <col min="4867" max="4867" width="13.140625" style="401" customWidth="1"/>
    <col min="4868" max="4868" width="40.5703125" style="401" customWidth="1"/>
    <col min="4869" max="4869" width="15.5703125" style="401" customWidth="1"/>
    <col min="4870" max="4870" width="11.42578125" style="401"/>
    <col min="4871" max="4871" width="13.28515625" style="401" customWidth="1"/>
    <col min="4872" max="4872" width="12.5703125" style="401" customWidth="1"/>
    <col min="4873" max="4873" width="15.5703125" style="401" customWidth="1"/>
    <col min="4874" max="4874" width="16" style="401" customWidth="1"/>
    <col min="4875" max="5121" width="11.42578125" style="401"/>
    <col min="5122" max="5122" width="16.28515625" style="401" customWidth="1"/>
    <col min="5123" max="5123" width="13.140625" style="401" customWidth="1"/>
    <col min="5124" max="5124" width="40.5703125" style="401" customWidth="1"/>
    <col min="5125" max="5125" width="15.5703125" style="401" customWidth="1"/>
    <col min="5126" max="5126" width="11.42578125" style="401"/>
    <col min="5127" max="5127" width="13.28515625" style="401" customWidth="1"/>
    <col min="5128" max="5128" width="12.5703125" style="401" customWidth="1"/>
    <col min="5129" max="5129" width="15.5703125" style="401" customWidth="1"/>
    <col min="5130" max="5130" width="16" style="401" customWidth="1"/>
    <col min="5131" max="5377" width="11.42578125" style="401"/>
    <col min="5378" max="5378" width="16.28515625" style="401" customWidth="1"/>
    <col min="5379" max="5379" width="13.140625" style="401" customWidth="1"/>
    <col min="5380" max="5380" width="40.5703125" style="401" customWidth="1"/>
    <col min="5381" max="5381" width="15.5703125" style="401" customWidth="1"/>
    <col min="5382" max="5382" width="11.42578125" style="401"/>
    <col min="5383" max="5383" width="13.28515625" style="401" customWidth="1"/>
    <col min="5384" max="5384" width="12.5703125" style="401" customWidth="1"/>
    <col min="5385" max="5385" width="15.5703125" style="401" customWidth="1"/>
    <col min="5386" max="5386" width="16" style="401" customWidth="1"/>
    <col min="5387" max="5633" width="11.42578125" style="401"/>
    <col min="5634" max="5634" width="16.28515625" style="401" customWidth="1"/>
    <col min="5635" max="5635" width="13.140625" style="401" customWidth="1"/>
    <col min="5636" max="5636" width="40.5703125" style="401" customWidth="1"/>
    <col min="5637" max="5637" width="15.5703125" style="401" customWidth="1"/>
    <col min="5638" max="5638" width="11.42578125" style="401"/>
    <col min="5639" max="5639" width="13.28515625" style="401" customWidth="1"/>
    <col min="5640" max="5640" width="12.5703125" style="401" customWidth="1"/>
    <col min="5641" max="5641" width="15.5703125" style="401" customWidth="1"/>
    <col min="5642" max="5642" width="16" style="401" customWidth="1"/>
    <col min="5643" max="5889" width="11.42578125" style="401"/>
    <col min="5890" max="5890" width="16.28515625" style="401" customWidth="1"/>
    <col min="5891" max="5891" width="13.140625" style="401" customWidth="1"/>
    <col min="5892" max="5892" width="40.5703125" style="401" customWidth="1"/>
    <col min="5893" max="5893" width="15.5703125" style="401" customWidth="1"/>
    <col min="5894" max="5894" width="11.42578125" style="401"/>
    <col min="5895" max="5895" width="13.28515625" style="401" customWidth="1"/>
    <col min="5896" max="5896" width="12.5703125" style="401" customWidth="1"/>
    <col min="5897" max="5897" width="15.5703125" style="401" customWidth="1"/>
    <col min="5898" max="5898" width="16" style="401" customWidth="1"/>
    <col min="5899" max="6145" width="11.42578125" style="401"/>
    <col min="6146" max="6146" width="16.28515625" style="401" customWidth="1"/>
    <col min="6147" max="6147" width="13.140625" style="401" customWidth="1"/>
    <col min="6148" max="6148" width="40.5703125" style="401" customWidth="1"/>
    <col min="6149" max="6149" width="15.5703125" style="401" customWidth="1"/>
    <col min="6150" max="6150" width="11.42578125" style="401"/>
    <col min="6151" max="6151" width="13.28515625" style="401" customWidth="1"/>
    <col min="6152" max="6152" width="12.5703125" style="401" customWidth="1"/>
    <col min="6153" max="6153" width="15.5703125" style="401" customWidth="1"/>
    <col min="6154" max="6154" width="16" style="401" customWidth="1"/>
    <col min="6155" max="6401" width="11.42578125" style="401"/>
    <col min="6402" max="6402" width="16.28515625" style="401" customWidth="1"/>
    <col min="6403" max="6403" width="13.140625" style="401" customWidth="1"/>
    <col min="6404" max="6404" width="40.5703125" style="401" customWidth="1"/>
    <col min="6405" max="6405" width="15.5703125" style="401" customWidth="1"/>
    <col min="6406" max="6406" width="11.42578125" style="401"/>
    <col min="6407" max="6407" width="13.28515625" style="401" customWidth="1"/>
    <col min="6408" max="6408" width="12.5703125" style="401" customWidth="1"/>
    <col min="6409" max="6409" width="15.5703125" style="401" customWidth="1"/>
    <col min="6410" max="6410" width="16" style="401" customWidth="1"/>
    <col min="6411" max="6657" width="11.42578125" style="401"/>
    <col min="6658" max="6658" width="16.28515625" style="401" customWidth="1"/>
    <col min="6659" max="6659" width="13.140625" style="401" customWidth="1"/>
    <col min="6660" max="6660" width="40.5703125" style="401" customWidth="1"/>
    <col min="6661" max="6661" width="15.5703125" style="401" customWidth="1"/>
    <col min="6662" max="6662" width="11.42578125" style="401"/>
    <col min="6663" max="6663" width="13.28515625" style="401" customWidth="1"/>
    <col min="6664" max="6664" width="12.5703125" style="401" customWidth="1"/>
    <col min="6665" max="6665" width="15.5703125" style="401" customWidth="1"/>
    <col min="6666" max="6666" width="16" style="401" customWidth="1"/>
    <col min="6667" max="6913" width="11.42578125" style="401"/>
    <col min="6914" max="6914" width="16.28515625" style="401" customWidth="1"/>
    <col min="6915" max="6915" width="13.140625" style="401" customWidth="1"/>
    <col min="6916" max="6916" width="40.5703125" style="401" customWidth="1"/>
    <col min="6917" max="6917" width="15.5703125" style="401" customWidth="1"/>
    <col min="6918" max="6918" width="11.42578125" style="401"/>
    <col min="6919" max="6919" width="13.28515625" style="401" customWidth="1"/>
    <col min="6920" max="6920" width="12.5703125" style="401" customWidth="1"/>
    <col min="6921" max="6921" width="15.5703125" style="401" customWidth="1"/>
    <col min="6922" max="6922" width="16" style="401" customWidth="1"/>
    <col min="6923" max="7169" width="11.42578125" style="401"/>
    <col min="7170" max="7170" width="16.28515625" style="401" customWidth="1"/>
    <col min="7171" max="7171" width="13.140625" style="401" customWidth="1"/>
    <col min="7172" max="7172" width="40.5703125" style="401" customWidth="1"/>
    <col min="7173" max="7173" width="15.5703125" style="401" customWidth="1"/>
    <col min="7174" max="7174" width="11.42578125" style="401"/>
    <col min="7175" max="7175" width="13.28515625" style="401" customWidth="1"/>
    <col min="7176" max="7176" width="12.5703125" style="401" customWidth="1"/>
    <col min="7177" max="7177" width="15.5703125" style="401" customWidth="1"/>
    <col min="7178" max="7178" width="16" style="401" customWidth="1"/>
    <col min="7179" max="7425" width="11.42578125" style="401"/>
    <col min="7426" max="7426" width="16.28515625" style="401" customWidth="1"/>
    <col min="7427" max="7427" width="13.140625" style="401" customWidth="1"/>
    <col min="7428" max="7428" width="40.5703125" style="401" customWidth="1"/>
    <col min="7429" max="7429" width="15.5703125" style="401" customWidth="1"/>
    <col min="7430" max="7430" width="11.42578125" style="401"/>
    <col min="7431" max="7431" width="13.28515625" style="401" customWidth="1"/>
    <col min="7432" max="7432" width="12.5703125" style="401" customWidth="1"/>
    <col min="7433" max="7433" width="15.5703125" style="401" customWidth="1"/>
    <col min="7434" max="7434" width="16" style="401" customWidth="1"/>
    <col min="7435" max="7681" width="11.42578125" style="401"/>
    <col min="7682" max="7682" width="16.28515625" style="401" customWidth="1"/>
    <col min="7683" max="7683" width="13.140625" style="401" customWidth="1"/>
    <col min="7684" max="7684" width="40.5703125" style="401" customWidth="1"/>
    <col min="7685" max="7685" width="15.5703125" style="401" customWidth="1"/>
    <col min="7686" max="7686" width="11.42578125" style="401"/>
    <col min="7687" max="7687" width="13.28515625" style="401" customWidth="1"/>
    <col min="7688" max="7688" width="12.5703125" style="401" customWidth="1"/>
    <col min="7689" max="7689" width="15.5703125" style="401" customWidth="1"/>
    <col min="7690" max="7690" width="16" style="401" customWidth="1"/>
    <col min="7691" max="7937" width="11.42578125" style="401"/>
    <col min="7938" max="7938" width="16.28515625" style="401" customWidth="1"/>
    <col min="7939" max="7939" width="13.140625" style="401" customWidth="1"/>
    <col min="7940" max="7940" width="40.5703125" style="401" customWidth="1"/>
    <col min="7941" max="7941" width="15.5703125" style="401" customWidth="1"/>
    <col min="7942" max="7942" width="11.42578125" style="401"/>
    <col min="7943" max="7943" width="13.28515625" style="401" customWidth="1"/>
    <col min="7944" max="7944" width="12.5703125" style="401" customWidth="1"/>
    <col min="7945" max="7945" width="15.5703125" style="401" customWidth="1"/>
    <col min="7946" max="7946" width="16" style="401" customWidth="1"/>
    <col min="7947" max="8193" width="11.42578125" style="401"/>
    <col min="8194" max="8194" width="16.28515625" style="401" customWidth="1"/>
    <col min="8195" max="8195" width="13.140625" style="401" customWidth="1"/>
    <col min="8196" max="8196" width="40.5703125" style="401" customWidth="1"/>
    <col min="8197" max="8197" width="15.5703125" style="401" customWidth="1"/>
    <col min="8198" max="8198" width="11.42578125" style="401"/>
    <col min="8199" max="8199" width="13.28515625" style="401" customWidth="1"/>
    <col min="8200" max="8200" width="12.5703125" style="401" customWidth="1"/>
    <col min="8201" max="8201" width="15.5703125" style="401" customWidth="1"/>
    <col min="8202" max="8202" width="16" style="401" customWidth="1"/>
    <col min="8203" max="8449" width="11.42578125" style="401"/>
    <col min="8450" max="8450" width="16.28515625" style="401" customWidth="1"/>
    <col min="8451" max="8451" width="13.140625" style="401" customWidth="1"/>
    <col min="8452" max="8452" width="40.5703125" style="401" customWidth="1"/>
    <col min="8453" max="8453" width="15.5703125" style="401" customWidth="1"/>
    <col min="8454" max="8454" width="11.42578125" style="401"/>
    <col min="8455" max="8455" width="13.28515625" style="401" customWidth="1"/>
    <col min="8456" max="8456" width="12.5703125" style="401" customWidth="1"/>
    <col min="8457" max="8457" width="15.5703125" style="401" customWidth="1"/>
    <col min="8458" max="8458" width="16" style="401" customWidth="1"/>
    <col min="8459" max="8705" width="11.42578125" style="401"/>
    <col min="8706" max="8706" width="16.28515625" style="401" customWidth="1"/>
    <col min="8707" max="8707" width="13.140625" style="401" customWidth="1"/>
    <col min="8708" max="8708" width="40.5703125" style="401" customWidth="1"/>
    <col min="8709" max="8709" width="15.5703125" style="401" customWidth="1"/>
    <col min="8710" max="8710" width="11.42578125" style="401"/>
    <col min="8711" max="8711" width="13.28515625" style="401" customWidth="1"/>
    <col min="8712" max="8712" width="12.5703125" style="401" customWidth="1"/>
    <col min="8713" max="8713" width="15.5703125" style="401" customWidth="1"/>
    <col min="8714" max="8714" width="16" style="401" customWidth="1"/>
    <col min="8715" max="8961" width="11.42578125" style="401"/>
    <col min="8962" max="8962" width="16.28515625" style="401" customWidth="1"/>
    <col min="8963" max="8963" width="13.140625" style="401" customWidth="1"/>
    <col min="8964" max="8964" width="40.5703125" style="401" customWidth="1"/>
    <col min="8965" max="8965" width="15.5703125" style="401" customWidth="1"/>
    <col min="8966" max="8966" width="11.42578125" style="401"/>
    <col min="8967" max="8967" width="13.28515625" style="401" customWidth="1"/>
    <col min="8968" max="8968" width="12.5703125" style="401" customWidth="1"/>
    <col min="8969" max="8969" width="15.5703125" style="401" customWidth="1"/>
    <col min="8970" max="8970" width="16" style="401" customWidth="1"/>
    <col min="8971" max="9217" width="11.42578125" style="401"/>
    <col min="9218" max="9218" width="16.28515625" style="401" customWidth="1"/>
    <col min="9219" max="9219" width="13.140625" style="401" customWidth="1"/>
    <col min="9220" max="9220" width="40.5703125" style="401" customWidth="1"/>
    <col min="9221" max="9221" width="15.5703125" style="401" customWidth="1"/>
    <col min="9222" max="9222" width="11.42578125" style="401"/>
    <col min="9223" max="9223" width="13.28515625" style="401" customWidth="1"/>
    <col min="9224" max="9224" width="12.5703125" style="401" customWidth="1"/>
    <col min="9225" max="9225" width="15.5703125" style="401" customWidth="1"/>
    <col min="9226" max="9226" width="16" style="401" customWidth="1"/>
    <col min="9227" max="9473" width="11.42578125" style="401"/>
    <col min="9474" max="9474" width="16.28515625" style="401" customWidth="1"/>
    <col min="9475" max="9475" width="13.140625" style="401" customWidth="1"/>
    <col min="9476" max="9476" width="40.5703125" style="401" customWidth="1"/>
    <col min="9477" max="9477" width="15.5703125" style="401" customWidth="1"/>
    <col min="9478" max="9478" width="11.42578125" style="401"/>
    <col min="9479" max="9479" width="13.28515625" style="401" customWidth="1"/>
    <col min="9480" max="9480" width="12.5703125" style="401" customWidth="1"/>
    <col min="9481" max="9481" width="15.5703125" style="401" customWidth="1"/>
    <col min="9482" max="9482" width="16" style="401" customWidth="1"/>
    <col min="9483" max="9729" width="11.42578125" style="401"/>
    <col min="9730" max="9730" width="16.28515625" style="401" customWidth="1"/>
    <col min="9731" max="9731" width="13.140625" style="401" customWidth="1"/>
    <col min="9732" max="9732" width="40.5703125" style="401" customWidth="1"/>
    <col min="9733" max="9733" width="15.5703125" style="401" customWidth="1"/>
    <col min="9734" max="9734" width="11.42578125" style="401"/>
    <col min="9735" max="9735" width="13.28515625" style="401" customWidth="1"/>
    <col min="9736" max="9736" width="12.5703125" style="401" customWidth="1"/>
    <col min="9737" max="9737" width="15.5703125" style="401" customWidth="1"/>
    <col min="9738" max="9738" width="16" style="401" customWidth="1"/>
    <col min="9739" max="9985" width="11.42578125" style="401"/>
    <col min="9986" max="9986" width="16.28515625" style="401" customWidth="1"/>
    <col min="9987" max="9987" width="13.140625" style="401" customWidth="1"/>
    <col min="9988" max="9988" width="40.5703125" style="401" customWidth="1"/>
    <col min="9989" max="9989" width="15.5703125" style="401" customWidth="1"/>
    <col min="9990" max="9990" width="11.42578125" style="401"/>
    <col min="9991" max="9991" width="13.28515625" style="401" customWidth="1"/>
    <col min="9992" max="9992" width="12.5703125" style="401" customWidth="1"/>
    <col min="9993" max="9993" width="15.5703125" style="401" customWidth="1"/>
    <col min="9994" max="9994" width="16" style="401" customWidth="1"/>
    <col min="9995" max="10241" width="11.42578125" style="401"/>
    <col min="10242" max="10242" width="16.28515625" style="401" customWidth="1"/>
    <col min="10243" max="10243" width="13.140625" style="401" customWidth="1"/>
    <col min="10244" max="10244" width="40.5703125" style="401" customWidth="1"/>
    <col min="10245" max="10245" width="15.5703125" style="401" customWidth="1"/>
    <col min="10246" max="10246" width="11.42578125" style="401"/>
    <col min="10247" max="10247" width="13.28515625" style="401" customWidth="1"/>
    <col min="10248" max="10248" width="12.5703125" style="401" customWidth="1"/>
    <col min="10249" max="10249" width="15.5703125" style="401" customWidth="1"/>
    <col min="10250" max="10250" width="16" style="401" customWidth="1"/>
    <col min="10251" max="10497" width="11.42578125" style="401"/>
    <col min="10498" max="10498" width="16.28515625" style="401" customWidth="1"/>
    <col min="10499" max="10499" width="13.140625" style="401" customWidth="1"/>
    <col min="10500" max="10500" width="40.5703125" style="401" customWidth="1"/>
    <col min="10501" max="10501" width="15.5703125" style="401" customWidth="1"/>
    <col min="10502" max="10502" width="11.42578125" style="401"/>
    <col min="10503" max="10503" width="13.28515625" style="401" customWidth="1"/>
    <col min="10504" max="10504" width="12.5703125" style="401" customWidth="1"/>
    <col min="10505" max="10505" width="15.5703125" style="401" customWidth="1"/>
    <col min="10506" max="10506" width="16" style="401" customWidth="1"/>
    <col min="10507" max="10753" width="11.42578125" style="401"/>
    <col min="10754" max="10754" width="16.28515625" style="401" customWidth="1"/>
    <col min="10755" max="10755" width="13.140625" style="401" customWidth="1"/>
    <col min="10756" max="10756" width="40.5703125" style="401" customWidth="1"/>
    <col min="10757" max="10757" width="15.5703125" style="401" customWidth="1"/>
    <col min="10758" max="10758" width="11.42578125" style="401"/>
    <col min="10759" max="10759" width="13.28515625" style="401" customWidth="1"/>
    <col min="10760" max="10760" width="12.5703125" style="401" customWidth="1"/>
    <col min="10761" max="10761" width="15.5703125" style="401" customWidth="1"/>
    <col min="10762" max="10762" width="16" style="401" customWidth="1"/>
    <col min="10763" max="11009" width="11.42578125" style="401"/>
    <col min="11010" max="11010" width="16.28515625" style="401" customWidth="1"/>
    <col min="11011" max="11011" width="13.140625" style="401" customWidth="1"/>
    <col min="11012" max="11012" width="40.5703125" style="401" customWidth="1"/>
    <col min="11013" max="11013" width="15.5703125" style="401" customWidth="1"/>
    <col min="11014" max="11014" width="11.42578125" style="401"/>
    <col min="11015" max="11015" width="13.28515625" style="401" customWidth="1"/>
    <col min="11016" max="11016" width="12.5703125" style="401" customWidth="1"/>
    <col min="11017" max="11017" width="15.5703125" style="401" customWidth="1"/>
    <col min="11018" max="11018" width="16" style="401" customWidth="1"/>
    <col min="11019" max="11265" width="11.42578125" style="401"/>
    <col min="11266" max="11266" width="16.28515625" style="401" customWidth="1"/>
    <col min="11267" max="11267" width="13.140625" style="401" customWidth="1"/>
    <col min="11268" max="11268" width="40.5703125" style="401" customWidth="1"/>
    <col min="11269" max="11269" width="15.5703125" style="401" customWidth="1"/>
    <col min="11270" max="11270" width="11.42578125" style="401"/>
    <col min="11271" max="11271" width="13.28515625" style="401" customWidth="1"/>
    <col min="11272" max="11272" width="12.5703125" style="401" customWidth="1"/>
    <col min="11273" max="11273" width="15.5703125" style="401" customWidth="1"/>
    <col min="11274" max="11274" width="16" style="401" customWidth="1"/>
    <col min="11275" max="11521" width="11.42578125" style="401"/>
    <col min="11522" max="11522" width="16.28515625" style="401" customWidth="1"/>
    <col min="11523" max="11523" width="13.140625" style="401" customWidth="1"/>
    <col min="11524" max="11524" width="40.5703125" style="401" customWidth="1"/>
    <col min="11525" max="11525" width="15.5703125" style="401" customWidth="1"/>
    <col min="11526" max="11526" width="11.42578125" style="401"/>
    <col min="11527" max="11527" width="13.28515625" style="401" customWidth="1"/>
    <col min="11528" max="11528" width="12.5703125" style="401" customWidth="1"/>
    <col min="11529" max="11529" width="15.5703125" style="401" customWidth="1"/>
    <col min="11530" max="11530" width="16" style="401" customWidth="1"/>
    <col min="11531" max="11777" width="11.42578125" style="401"/>
    <col min="11778" max="11778" width="16.28515625" style="401" customWidth="1"/>
    <col min="11779" max="11779" width="13.140625" style="401" customWidth="1"/>
    <col min="11780" max="11780" width="40.5703125" style="401" customWidth="1"/>
    <col min="11781" max="11781" width="15.5703125" style="401" customWidth="1"/>
    <col min="11782" max="11782" width="11.42578125" style="401"/>
    <col min="11783" max="11783" width="13.28515625" style="401" customWidth="1"/>
    <col min="11784" max="11784" width="12.5703125" style="401" customWidth="1"/>
    <col min="11785" max="11785" width="15.5703125" style="401" customWidth="1"/>
    <col min="11786" max="11786" width="16" style="401" customWidth="1"/>
    <col min="11787" max="12033" width="11.42578125" style="401"/>
    <col min="12034" max="12034" width="16.28515625" style="401" customWidth="1"/>
    <col min="12035" max="12035" width="13.140625" style="401" customWidth="1"/>
    <col min="12036" max="12036" width="40.5703125" style="401" customWidth="1"/>
    <col min="12037" max="12037" width="15.5703125" style="401" customWidth="1"/>
    <col min="12038" max="12038" width="11.42578125" style="401"/>
    <col min="12039" max="12039" width="13.28515625" style="401" customWidth="1"/>
    <col min="12040" max="12040" width="12.5703125" style="401" customWidth="1"/>
    <col min="12041" max="12041" width="15.5703125" style="401" customWidth="1"/>
    <col min="12042" max="12042" width="16" style="401" customWidth="1"/>
    <col min="12043" max="12289" width="11.42578125" style="401"/>
    <col min="12290" max="12290" width="16.28515625" style="401" customWidth="1"/>
    <col min="12291" max="12291" width="13.140625" style="401" customWidth="1"/>
    <col min="12292" max="12292" width="40.5703125" style="401" customWidth="1"/>
    <col min="12293" max="12293" width="15.5703125" style="401" customWidth="1"/>
    <col min="12294" max="12294" width="11.42578125" style="401"/>
    <col min="12295" max="12295" width="13.28515625" style="401" customWidth="1"/>
    <col min="12296" max="12296" width="12.5703125" style="401" customWidth="1"/>
    <col min="12297" max="12297" width="15.5703125" style="401" customWidth="1"/>
    <col min="12298" max="12298" width="16" style="401" customWidth="1"/>
    <col min="12299" max="12545" width="11.42578125" style="401"/>
    <col min="12546" max="12546" width="16.28515625" style="401" customWidth="1"/>
    <col min="12547" max="12547" width="13.140625" style="401" customWidth="1"/>
    <col min="12548" max="12548" width="40.5703125" style="401" customWidth="1"/>
    <col min="12549" max="12549" width="15.5703125" style="401" customWidth="1"/>
    <col min="12550" max="12550" width="11.42578125" style="401"/>
    <col min="12551" max="12551" width="13.28515625" style="401" customWidth="1"/>
    <col min="12552" max="12552" width="12.5703125" style="401" customWidth="1"/>
    <col min="12553" max="12553" width="15.5703125" style="401" customWidth="1"/>
    <col min="12554" max="12554" width="16" style="401" customWidth="1"/>
    <col min="12555" max="12801" width="11.42578125" style="401"/>
    <col min="12802" max="12802" width="16.28515625" style="401" customWidth="1"/>
    <col min="12803" max="12803" width="13.140625" style="401" customWidth="1"/>
    <col min="12804" max="12804" width="40.5703125" style="401" customWidth="1"/>
    <col min="12805" max="12805" width="15.5703125" style="401" customWidth="1"/>
    <col min="12806" max="12806" width="11.42578125" style="401"/>
    <col min="12807" max="12807" width="13.28515625" style="401" customWidth="1"/>
    <col min="12808" max="12808" width="12.5703125" style="401" customWidth="1"/>
    <col min="12809" max="12809" width="15.5703125" style="401" customWidth="1"/>
    <col min="12810" max="12810" width="16" style="401" customWidth="1"/>
    <col min="12811" max="13057" width="11.42578125" style="401"/>
    <col min="13058" max="13058" width="16.28515625" style="401" customWidth="1"/>
    <col min="13059" max="13059" width="13.140625" style="401" customWidth="1"/>
    <col min="13060" max="13060" width="40.5703125" style="401" customWidth="1"/>
    <col min="13061" max="13061" width="15.5703125" style="401" customWidth="1"/>
    <col min="13062" max="13062" width="11.42578125" style="401"/>
    <col min="13063" max="13063" width="13.28515625" style="401" customWidth="1"/>
    <col min="13064" max="13064" width="12.5703125" style="401" customWidth="1"/>
    <col min="13065" max="13065" width="15.5703125" style="401" customWidth="1"/>
    <col min="13066" max="13066" width="16" style="401" customWidth="1"/>
    <col min="13067" max="13313" width="11.42578125" style="401"/>
    <col min="13314" max="13314" width="16.28515625" style="401" customWidth="1"/>
    <col min="13315" max="13315" width="13.140625" style="401" customWidth="1"/>
    <col min="13316" max="13316" width="40.5703125" style="401" customWidth="1"/>
    <col min="13317" max="13317" width="15.5703125" style="401" customWidth="1"/>
    <col min="13318" max="13318" width="11.42578125" style="401"/>
    <col min="13319" max="13319" width="13.28515625" style="401" customWidth="1"/>
    <col min="13320" max="13320" width="12.5703125" style="401" customWidth="1"/>
    <col min="13321" max="13321" width="15.5703125" style="401" customWidth="1"/>
    <col min="13322" max="13322" width="16" style="401" customWidth="1"/>
    <col min="13323" max="13569" width="11.42578125" style="401"/>
    <col min="13570" max="13570" width="16.28515625" style="401" customWidth="1"/>
    <col min="13571" max="13571" width="13.140625" style="401" customWidth="1"/>
    <col min="13572" max="13572" width="40.5703125" style="401" customWidth="1"/>
    <col min="13573" max="13573" width="15.5703125" style="401" customWidth="1"/>
    <col min="13574" max="13574" width="11.42578125" style="401"/>
    <col min="13575" max="13575" width="13.28515625" style="401" customWidth="1"/>
    <col min="13576" max="13576" width="12.5703125" style="401" customWidth="1"/>
    <col min="13577" max="13577" width="15.5703125" style="401" customWidth="1"/>
    <col min="13578" max="13578" width="16" style="401" customWidth="1"/>
    <col min="13579" max="13825" width="11.42578125" style="401"/>
    <col min="13826" max="13826" width="16.28515625" style="401" customWidth="1"/>
    <col min="13827" max="13827" width="13.140625" style="401" customWidth="1"/>
    <col min="13828" max="13828" width="40.5703125" style="401" customWidth="1"/>
    <col min="13829" max="13829" width="15.5703125" style="401" customWidth="1"/>
    <col min="13830" max="13830" width="11.42578125" style="401"/>
    <col min="13831" max="13831" width="13.28515625" style="401" customWidth="1"/>
    <col min="13832" max="13832" width="12.5703125" style="401" customWidth="1"/>
    <col min="13833" max="13833" width="15.5703125" style="401" customWidth="1"/>
    <col min="13834" max="13834" width="16" style="401" customWidth="1"/>
    <col min="13835" max="14081" width="11.42578125" style="401"/>
    <col min="14082" max="14082" width="16.28515625" style="401" customWidth="1"/>
    <col min="14083" max="14083" width="13.140625" style="401" customWidth="1"/>
    <col min="14084" max="14084" width="40.5703125" style="401" customWidth="1"/>
    <col min="14085" max="14085" width="15.5703125" style="401" customWidth="1"/>
    <col min="14086" max="14086" width="11.42578125" style="401"/>
    <col min="14087" max="14087" width="13.28515625" style="401" customWidth="1"/>
    <col min="14088" max="14088" width="12.5703125" style="401" customWidth="1"/>
    <col min="14089" max="14089" width="15.5703125" style="401" customWidth="1"/>
    <col min="14090" max="14090" width="16" style="401" customWidth="1"/>
    <col min="14091" max="14337" width="11.42578125" style="401"/>
    <col min="14338" max="14338" width="16.28515625" style="401" customWidth="1"/>
    <col min="14339" max="14339" width="13.140625" style="401" customWidth="1"/>
    <col min="14340" max="14340" width="40.5703125" style="401" customWidth="1"/>
    <col min="14341" max="14341" width="15.5703125" style="401" customWidth="1"/>
    <col min="14342" max="14342" width="11.42578125" style="401"/>
    <col min="14343" max="14343" width="13.28515625" style="401" customWidth="1"/>
    <col min="14344" max="14344" width="12.5703125" style="401" customWidth="1"/>
    <col min="14345" max="14345" width="15.5703125" style="401" customWidth="1"/>
    <col min="14346" max="14346" width="16" style="401" customWidth="1"/>
    <col min="14347" max="14593" width="11.42578125" style="401"/>
    <col min="14594" max="14594" width="16.28515625" style="401" customWidth="1"/>
    <col min="14595" max="14595" width="13.140625" style="401" customWidth="1"/>
    <col min="14596" max="14596" width="40.5703125" style="401" customWidth="1"/>
    <col min="14597" max="14597" width="15.5703125" style="401" customWidth="1"/>
    <col min="14598" max="14598" width="11.42578125" style="401"/>
    <col min="14599" max="14599" width="13.28515625" style="401" customWidth="1"/>
    <col min="14600" max="14600" width="12.5703125" style="401" customWidth="1"/>
    <col min="14601" max="14601" width="15.5703125" style="401" customWidth="1"/>
    <col min="14602" max="14602" width="16" style="401" customWidth="1"/>
    <col min="14603" max="14849" width="11.42578125" style="401"/>
    <col min="14850" max="14850" width="16.28515625" style="401" customWidth="1"/>
    <col min="14851" max="14851" width="13.140625" style="401" customWidth="1"/>
    <col min="14852" max="14852" width="40.5703125" style="401" customWidth="1"/>
    <col min="14853" max="14853" width="15.5703125" style="401" customWidth="1"/>
    <col min="14854" max="14854" width="11.42578125" style="401"/>
    <col min="14855" max="14855" width="13.28515625" style="401" customWidth="1"/>
    <col min="14856" max="14856" width="12.5703125" style="401" customWidth="1"/>
    <col min="14857" max="14857" width="15.5703125" style="401" customWidth="1"/>
    <col min="14858" max="14858" width="16" style="401" customWidth="1"/>
    <col min="14859" max="15105" width="11.42578125" style="401"/>
    <col min="15106" max="15106" width="16.28515625" style="401" customWidth="1"/>
    <col min="15107" max="15107" width="13.140625" style="401" customWidth="1"/>
    <col min="15108" max="15108" width="40.5703125" style="401" customWidth="1"/>
    <col min="15109" max="15109" width="15.5703125" style="401" customWidth="1"/>
    <col min="15110" max="15110" width="11.42578125" style="401"/>
    <col min="15111" max="15111" width="13.28515625" style="401" customWidth="1"/>
    <col min="15112" max="15112" width="12.5703125" style="401" customWidth="1"/>
    <col min="15113" max="15113" width="15.5703125" style="401" customWidth="1"/>
    <col min="15114" max="15114" width="16" style="401" customWidth="1"/>
    <col min="15115" max="15361" width="11.42578125" style="401"/>
    <col min="15362" max="15362" width="16.28515625" style="401" customWidth="1"/>
    <col min="15363" max="15363" width="13.140625" style="401" customWidth="1"/>
    <col min="15364" max="15364" width="40.5703125" style="401" customWidth="1"/>
    <col min="15365" max="15365" width="15.5703125" style="401" customWidth="1"/>
    <col min="15366" max="15366" width="11.42578125" style="401"/>
    <col min="15367" max="15367" width="13.28515625" style="401" customWidth="1"/>
    <col min="15368" max="15368" width="12.5703125" style="401" customWidth="1"/>
    <col min="15369" max="15369" width="15.5703125" style="401" customWidth="1"/>
    <col min="15370" max="15370" width="16" style="401" customWidth="1"/>
    <col min="15371" max="15617" width="11.42578125" style="401"/>
    <col min="15618" max="15618" width="16.28515625" style="401" customWidth="1"/>
    <col min="15619" max="15619" width="13.140625" style="401" customWidth="1"/>
    <col min="15620" max="15620" width="40.5703125" style="401" customWidth="1"/>
    <col min="15621" max="15621" width="15.5703125" style="401" customWidth="1"/>
    <col min="15622" max="15622" width="11.42578125" style="401"/>
    <col min="15623" max="15623" width="13.28515625" style="401" customWidth="1"/>
    <col min="15624" max="15624" width="12.5703125" style="401" customWidth="1"/>
    <col min="15625" max="15625" width="15.5703125" style="401" customWidth="1"/>
    <col min="15626" max="15626" width="16" style="401" customWidth="1"/>
    <col min="15627" max="15873" width="11.42578125" style="401"/>
    <col min="15874" max="15874" width="16.28515625" style="401" customWidth="1"/>
    <col min="15875" max="15875" width="13.140625" style="401" customWidth="1"/>
    <col min="15876" max="15876" width="40.5703125" style="401" customWidth="1"/>
    <col min="15877" max="15877" width="15.5703125" style="401" customWidth="1"/>
    <col min="15878" max="15878" width="11.42578125" style="401"/>
    <col min="15879" max="15879" width="13.28515625" style="401" customWidth="1"/>
    <col min="15880" max="15880" width="12.5703125" style="401" customWidth="1"/>
    <col min="15881" max="15881" width="15.5703125" style="401" customWidth="1"/>
    <col min="15882" max="15882" width="16" style="401" customWidth="1"/>
    <col min="15883" max="16129" width="11.42578125" style="401"/>
    <col min="16130" max="16130" width="16.28515625" style="401" customWidth="1"/>
    <col min="16131" max="16131" width="13.140625" style="401" customWidth="1"/>
    <col min="16132" max="16132" width="40.5703125" style="401" customWidth="1"/>
    <col min="16133" max="16133" width="15.5703125" style="401" customWidth="1"/>
    <col min="16134" max="16134" width="11.42578125" style="401"/>
    <col min="16135" max="16135" width="13.28515625" style="401" customWidth="1"/>
    <col min="16136" max="16136" width="12.5703125" style="401" customWidth="1"/>
    <col min="16137" max="16137" width="15.5703125" style="401" customWidth="1"/>
    <col min="16138" max="16138" width="16" style="401" customWidth="1"/>
    <col min="16139" max="16384" width="11.42578125" style="401"/>
  </cols>
  <sheetData>
    <row r="1" spans="1:10" ht="15.75" x14ac:dyDescent="0.25">
      <c r="A1" s="399"/>
      <c r="B1" s="810"/>
      <c r="C1" s="753"/>
      <c r="D1" s="680" t="s">
        <v>22</v>
      </c>
      <c r="E1" s="680"/>
      <c r="F1" s="680"/>
      <c r="G1" s="680"/>
      <c r="H1" s="680"/>
      <c r="I1" s="189" t="s">
        <v>21</v>
      </c>
      <c r="J1" s="400" t="s">
        <v>254</v>
      </c>
    </row>
    <row r="2" spans="1:10" ht="16.5" thickBot="1" x14ac:dyDescent="0.3">
      <c r="A2" s="399"/>
      <c r="B2" s="811"/>
      <c r="C2" s="755"/>
      <c r="D2" s="758" t="s">
        <v>0</v>
      </c>
      <c r="E2" s="758"/>
      <c r="F2" s="758"/>
      <c r="G2" s="758"/>
      <c r="H2" s="758"/>
      <c r="I2" s="190" t="s">
        <v>20</v>
      </c>
      <c r="J2" s="191" t="s">
        <v>255</v>
      </c>
    </row>
    <row r="3" spans="1:10" ht="18.75" thickBot="1" x14ac:dyDescent="0.3">
      <c r="A3" s="399"/>
      <c r="B3" s="811"/>
      <c r="C3" s="755"/>
      <c r="D3" s="814" t="s">
        <v>256</v>
      </c>
      <c r="E3" s="815"/>
      <c r="F3" s="815"/>
      <c r="G3" s="815"/>
      <c r="H3" s="816"/>
      <c r="I3" s="762" t="s">
        <v>19</v>
      </c>
      <c r="J3" s="743">
        <v>45383</v>
      </c>
    </row>
    <row r="4" spans="1:10" x14ac:dyDescent="0.25">
      <c r="A4" s="399"/>
      <c r="B4" s="811"/>
      <c r="C4" s="755"/>
      <c r="D4" s="192" t="s">
        <v>18</v>
      </c>
      <c r="E4" s="746" t="s">
        <v>187</v>
      </c>
      <c r="F4" s="747"/>
      <c r="G4" s="747"/>
      <c r="H4" s="748"/>
      <c r="I4" s="763"/>
      <c r="J4" s="744"/>
    </row>
    <row r="5" spans="1:10" ht="14.25" thickBot="1" x14ac:dyDescent="0.3">
      <c r="A5" s="399"/>
      <c r="B5" s="812"/>
      <c r="C5" s="813"/>
      <c r="D5" s="193" t="s">
        <v>17</v>
      </c>
      <c r="E5" s="749" t="s">
        <v>188</v>
      </c>
      <c r="F5" s="750"/>
      <c r="G5" s="750"/>
      <c r="H5" s="751"/>
      <c r="I5" s="764"/>
      <c r="J5" s="744"/>
    </row>
    <row r="6" spans="1:10" ht="25.5" x14ac:dyDescent="0.25">
      <c r="A6" s="817" t="s">
        <v>1</v>
      </c>
      <c r="B6" s="817" t="s">
        <v>1</v>
      </c>
      <c r="C6" s="819" t="s">
        <v>257</v>
      </c>
      <c r="D6" s="821" t="s">
        <v>2</v>
      </c>
      <c r="E6" s="821" t="s">
        <v>3</v>
      </c>
      <c r="F6" s="821" t="s">
        <v>4</v>
      </c>
      <c r="G6" s="821"/>
      <c r="H6" s="821" t="s">
        <v>16</v>
      </c>
      <c r="I6" s="821"/>
      <c r="J6" s="402" t="s">
        <v>5</v>
      </c>
    </row>
    <row r="7" spans="1:10" ht="27" thickBot="1" x14ac:dyDescent="0.3">
      <c r="A7" s="818"/>
      <c r="B7" s="818"/>
      <c r="C7" s="820"/>
      <c r="D7" s="822"/>
      <c r="E7" s="822"/>
      <c r="F7" s="403" t="s">
        <v>6</v>
      </c>
      <c r="G7" s="404" t="s">
        <v>7</v>
      </c>
      <c r="H7" s="403" t="s">
        <v>6</v>
      </c>
      <c r="I7" s="404" t="s">
        <v>7</v>
      </c>
      <c r="J7" s="405" t="s">
        <v>8</v>
      </c>
    </row>
    <row r="8" spans="1:10" x14ac:dyDescent="0.25">
      <c r="A8" s="406" t="s">
        <v>258</v>
      </c>
      <c r="B8" s="407"/>
      <c r="C8" s="407"/>
      <c r="D8" s="408"/>
      <c r="E8" s="231"/>
      <c r="F8" s="59"/>
      <c r="G8" s="233"/>
      <c r="H8" s="232"/>
      <c r="I8" s="59"/>
      <c r="J8" s="409"/>
    </row>
    <row r="9" spans="1:10" ht="15.75" x14ac:dyDescent="0.25">
      <c r="A9" s="406">
        <v>310148</v>
      </c>
      <c r="B9" s="246">
        <v>310148</v>
      </c>
      <c r="C9" s="55" t="s">
        <v>259</v>
      </c>
      <c r="D9" s="247" t="s">
        <v>260</v>
      </c>
      <c r="E9" s="410" t="s">
        <v>261</v>
      </c>
      <c r="F9" s="411">
        <v>12800</v>
      </c>
      <c r="G9" s="243" t="s">
        <v>27</v>
      </c>
      <c r="H9" s="823"/>
      <c r="I9" s="824"/>
      <c r="J9" s="412"/>
    </row>
    <row r="10" spans="1:10" ht="15.75" x14ac:dyDescent="0.25">
      <c r="A10" s="406">
        <v>11400031</v>
      </c>
      <c r="B10" s="246">
        <v>11400031</v>
      </c>
      <c r="C10" s="55" t="s">
        <v>262</v>
      </c>
      <c r="D10" s="247" t="s">
        <v>263</v>
      </c>
      <c r="E10" s="410" t="s">
        <v>261</v>
      </c>
      <c r="F10" s="411">
        <v>3200</v>
      </c>
      <c r="G10" s="243" t="s">
        <v>27</v>
      </c>
      <c r="H10" s="823"/>
      <c r="I10" s="824"/>
      <c r="J10" s="412"/>
    </row>
    <row r="11" spans="1:10" ht="15.75" x14ac:dyDescent="0.25">
      <c r="A11" s="406">
        <v>10415</v>
      </c>
      <c r="B11" s="206" t="s">
        <v>222</v>
      </c>
      <c r="C11" s="206"/>
      <c r="D11" s="207" t="s">
        <v>45</v>
      </c>
      <c r="E11" s="410" t="s">
        <v>264</v>
      </c>
      <c r="F11" s="411">
        <v>800</v>
      </c>
      <c r="G11" s="243" t="s">
        <v>27</v>
      </c>
      <c r="H11" s="411"/>
      <c r="I11" s="216"/>
      <c r="J11" s="412"/>
    </row>
    <row r="12" spans="1:10" ht="15.75" x14ac:dyDescent="0.25">
      <c r="A12" s="406">
        <v>1212410</v>
      </c>
      <c r="B12" s="246">
        <v>1212410</v>
      </c>
      <c r="C12" s="55" t="s">
        <v>239</v>
      </c>
      <c r="D12" s="247" t="s">
        <v>265</v>
      </c>
      <c r="E12" s="410" t="s">
        <v>266</v>
      </c>
      <c r="F12" s="411">
        <v>12</v>
      </c>
      <c r="G12" s="243" t="s">
        <v>27</v>
      </c>
      <c r="H12" s="411"/>
      <c r="I12" s="216"/>
      <c r="J12" s="412"/>
    </row>
    <row r="13" spans="1:10" ht="15.75" x14ac:dyDescent="0.25">
      <c r="A13" s="406">
        <v>702069</v>
      </c>
      <c r="B13" s="246">
        <v>702123</v>
      </c>
      <c r="C13" s="246" t="s">
        <v>96</v>
      </c>
      <c r="D13" s="247" t="s">
        <v>200</v>
      </c>
      <c r="E13" s="410" t="s">
        <v>267</v>
      </c>
      <c r="F13" s="411">
        <v>1</v>
      </c>
      <c r="G13" s="413" t="s">
        <v>84</v>
      </c>
      <c r="H13" s="265"/>
      <c r="I13" s="70"/>
      <c r="J13" s="412"/>
    </row>
    <row r="14" spans="1:10" ht="16.5" thickBot="1" x14ac:dyDescent="0.3">
      <c r="A14" s="399"/>
      <c r="B14" s="414"/>
      <c r="C14" s="414"/>
      <c r="D14" s="415"/>
      <c r="E14" s="416"/>
      <c r="F14" s="417"/>
      <c r="G14" s="418"/>
      <c r="H14" s="419"/>
      <c r="I14" s="420"/>
      <c r="J14" s="421"/>
    </row>
    <row r="15" spans="1:10" ht="15.75" x14ac:dyDescent="0.25">
      <c r="B15" s="422"/>
      <c r="C15" s="423"/>
      <c r="D15" s="424"/>
      <c r="E15" s="425"/>
      <c r="F15" s="426"/>
      <c r="G15" s="427"/>
      <c r="H15" s="428"/>
      <c r="I15" s="429"/>
      <c r="J15" s="430"/>
    </row>
    <row r="16" spans="1:10" ht="15.75" x14ac:dyDescent="0.25">
      <c r="B16" s="431"/>
      <c r="C16" s="432"/>
      <c r="D16" s="433"/>
      <c r="E16" s="434"/>
      <c r="F16" s="435"/>
      <c r="G16" s="436"/>
      <c r="H16" s="437"/>
      <c r="I16" s="438"/>
      <c r="J16" s="439"/>
    </row>
    <row r="17" spans="2:14" ht="15.75" x14ac:dyDescent="0.25">
      <c r="B17" s="431"/>
      <c r="C17" s="432"/>
      <c r="D17" s="433"/>
      <c r="E17" s="434"/>
      <c r="F17" s="435"/>
      <c r="G17" s="436"/>
      <c r="H17" s="437"/>
      <c r="I17" s="438"/>
      <c r="J17" s="439"/>
    </row>
    <row r="18" spans="2:14" ht="15.75" x14ac:dyDescent="0.25">
      <c r="B18" s="431"/>
      <c r="C18" s="432"/>
      <c r="D18" s="433"/>
      <c r="E18" s="434"/>
      <c r="F18" s="435"/>
      <c r="G18" s="436"/>
      <c r="H18" s="437"/>
      <c r="I18" s="438"/>
      <c r="J18" s="439"/>
    </row>
    <row r="19" spans="2:14" ht="15.75" x14ac:dyDescent="0.25">
      <c r="B19" s="431"/>
      <c r="C19" s="432"/>
      <c r="D19" s="433"/>
      <c r="E19" s="434"/>
      <c r="F19" s="435"/>
      <c r="G19" s="436"/>
      <c r="H19" s="437"/>
      <c r="I19" s="438"/>
      <c r="J19" s="439"/>
    </row>
    <row r="20" spans="2:14" ht="15.75" x14ac:dyDescent="0.25">
      <c r="B20" s="431"/>
      <c r="C20" s="432"/>
      <c r="D20" s="433"/>
      <c r="E20" s="434"/>
      <c r="F20" s="435"/>
      <c r="G20" s="436"/>
      <c r="H20" s="437"/>
      <c r="I20" s="438"/>
      <c r="J20" s="439"/>
    </row>
    <row r="21" spans="2:14" ht="15.75" x14ac:dyDescent="0.25">
      <c r="B21" s="431"/>
      <c r="C21" s="432"/>
      <c r="D21" s="433"/>
      <c r="E21" s="434"/>
      <c r="F21" s="435"/>
      <c r="G21" s="436"/>
      <c r="H21" s="437"/>
      <c r="I21" s="438"/>
      <c r="J21" s="439"/>
    </row>
    <row r="22" spans="2:14" ht="15.75" x14ac:dyDescent="0.25">
      <c r="B22" s="431"/>
      <c r="C22" s="432"/>
      <c r="D22" s="433"/>
      <c r="E22" s="434"/>
      <c r="F22" s="435"/>
      <c r="G22" s="436"/>
      <c r="H22" s="437"/>
      <c r="I22" s="438"/>
      <c r="J22" s="439"/>
    </row>
    <row r="23" spans="2:14" ht="15.75" x14ac:dyDescent="0.25">
      <c r="B23" s="431"/>
      <c r="C23" s="432"/>
      <c r="D23" s="433"/>
      <c r="E23" s="434"/>
      <c r="F23" s="435"/>
      <c r="G23" s="436"/>
      <c r="H23" s="437"/>
      <c r="I23" s="438"/>
      <c r="J23" s="439"/>
    </row>
    <row r="24" spans="2:14" ht="15.75" x14ac:dyDescent="0.25">
      <c r="B24" s="431"/>
      <c r="C24" s="432"/>
      <c r="D24" s="433"/>
      <c r="E24" s="434"/>
      <c r="F24" s="435"/>
      <c r="G24" s="436"/>
      <c r="H24" s="437"/>
      <c r="I24" s="438"/>
      <c r="J24" s="439"/>
    </row>
    <row r="25" spans="2:14" ht="15.75" x14ac:dyDescent="0.25">
      <c r="B25" s="431"/>
      <c r="C25" s="432"/>
      <c r="D25" s="433"/>
      <c r="E25" s="434"/>
      <c r="F25" s="435"/>
      <c r="G25" s="436"/>
      <c r="H25" s="437"/>
      <c r="I25" s="438"/>
      <c r="J25" s="439"/>
    </row>
    <row r="26" spans="2:14" ht="15.75" thickBot="1" x14ac:dyDescent="0.3">
      <c r="B26" s="440"/>
      <c r="C26" s="441"/>
      <c r="D26" s="442"/>
      <c r="E26" s="443"/>
      <c r="F26" s="444"/>
      <c r="G26" s="444"/>
      <c r="H26" s="444"/>
      <c r="I26" s="444"/>
      <c r="J26" s="445"/>
    </row>
    <row r="27" spans="2:14" ht="14.25" thickBot="1" x14ac:dyDescent="0.3">
      <c r="B27" s="446"/>
      <c r="C27" s="447"/>
      <c r="F27" s="448"/>
      <c r="G27" s="449"/>
      <c r="J27" s="450"/>
      <c r="M27" s="451"/>
    </row>
    <row r="28" spans="2:14" ht="14.25" thickBot="1" x14ac:dyDescent="0.3">
      <c r="B28" s="452"/>
      <c r="C28" s="453"/>
      <c r="D28" s="454"/>
      <c r="E28" s="455" t="s">
        <v>6</v>
      </c>
      <c r="F28" s="456" t="s">
        <v>15</v>
      </c>
      <c r="G28" s="457"/>
      <c r="H28" s="454"/>
      <c r="I28" s="454"/>
      <c r="J28" s="458"/>
      <c r="M28" s="451"/>
    </row>
    <row r="29" spans="2:14" x14ac:dyDescent="0.25">
      <c r="B29" s="825" t="s">
        <v>10</v>
      </c>
      <c r="C29" s="826"/>
      <c r="D29" s="827"/>
      <c r="E29" s="265">
        <f>SUM(F9:F12)-E33</f>
        <v>16597</v>
      </c>
      <c r="F29" s="266" t="s">
        <v>27</v>
      </c>
      <c r="G29" s="828" t="s">
        <v>205</v>
      </c>
      <c r="H29" s="828"/>
      <c r="I29" s="829">
        <v>16597</v>
      </c>
      <c r="J29" s="830"/>
      <c r="M29" s="451"/>
    </row>
    <row r="30" spans="2:14" x14ac:dyDescent="0.25">
      <c r="B30" s="831" t="s">
        <v>9</v>
      </c>
      <c r="C30" s="832"/>
      <c r="D30" s="833"/>
      <c r="E30" s="459">
        <v>10</v>
      </c>
      <c r="F30" s="59" t="s">
        <v>28</v>
      </c>
      <c r="G30" s="834" t="s">
        <v>206</v>
      </c>
      <c r="H30" s="834"/>
      <c r="I30" s="835"/>
      <c r="J30" s="836"/>
      <c r="M30" s="451"/>
    </row>
    <row r="31" spans="2:14" x14ac:dyDescent="0.25">
      <c r="B31" s="831" t="s">
        <v>14</v>
      </c>
      <c r="C31" s="832"/>
      <c r="D31" s="833"/>
      <c r="E31" s="59">
        <v>1</v>
      </c>
      <c r="F31" s="59" t="s">
        <v>268</v>
      </c>
      <c r="G31" s="834" t="s">
        <v>207</v>
      </c>
      <c r="H31" s="834"/>
      <c r="I31" s="835">
        <v>0.6</v>
      </c>
      <c r="J31" s="836"/>
      <c r="M31" s="451"/>
    </row>
    <row r="32" spans="2:14" x14ac:dyDescent="0.25">
      <c r="B32" s="831" t="s">
        <v>13</v>
      </c>
      <c r="C32" s="832"/>
      <c r="D32" s="833"/>
      <c r="E32" s="232">
        <f>E29</f>
        <v>16597</v>
      </c>
      <c r="F32" s="59" t="s">
        <v>27</v>
      </c>
      <c r="G32" s="837" t="s">
        <v>208</v>
      </c>
      <c r="H32" s="838"/>
      <c r="I32" s="835"/>
      <c r="J32" s="836"/>
      <c r="M32" s="451"/>
      <c r="N32" s="390"/>
    </row>
    <row r="33" spans="2:13" ht="14.25" thickBot="1" x14ac:dyDescent="0.3">
      <c r="B33" s="839" t="s">
        <v>12</v>
      </c>
      <c r="C33" s="840"/>
      <c r="D33" s="841"/>
      <c r="E33" s="267">
        <v>215</v>
      </c>
      <c r="F33" s="268" t="s">
        <v>27</v>
      </c>
      <c r="G33" s="842"/>
      <c r="H33" s="842"/>
      <c r="I33" s="843"/>
      <c r="J33" s="844"/>
      <c r="M33" s="451"/>
    </row>
    <row r="34" spans="2:13" ht="14.25" thickBot="1" x14ac:dyDescent="0.3">
      <c r="B34" s="848" t="s">
        <v>11</v>
      </c>
      <c r="C34" s="849"/>
      <c r="D34" s="849"/>
      <c r="E34" s="849"/>
      <c r="F34" s="849"/>
      <c r="G34" s="849"/>
      <c r="H34" s="849"/>
      <c r="I34" s="849"/>
      <c r="J34" s="850"/>
    </row>
    <row r="35" spans="2:13" ht="15" x14ac:dyDescent="0.25">
      <c r="B35" s="851" t="s">
        <v>269</v>
      </c>
      <c r="C35" s="852"/>
      <c r="D35" s="852"/>
      <c r="E35" s="852"/>
      <c r="F35" s="852"/>
      <c r="G35" s="852"/>
      <c r="H35" s="852"/>
      <c r="I35" s="852"/>
      <c r="J35" s="853"/>
    </row>
    <row r="36" spans="2:13" ht="15" x14ac:dyDescent="0.25">
      <c r="B36" s="851" t="s">
        <v>270</v>
      </c>
      <c r="C36" s="852"/>
      <c r="D36" s="852"/>
      <c r="E36" s="852"/>
      <c r="F36" s="852"/>
      <c r="G36" s="852"/>
      <c r="H36" s="852"/>
      <c r="I36" s="852"/>
      <c r="J36" s="853"/>
    </row>
    <row r="37" spans="2:13" ht="15" x14ac:dyDescent="0.25">
      <c r="B37" s="851" t="s">
        <v>271</v>
      </c>
      <c r="C37" s="852"/>
      <c r="D37" s="852"/>
      <c r="E37" s="852"/>
      <c r="F37" s="852"/>
      <c r="G37" s="852"/>
      <c r="H37" s="852"/>
      <c r="I37" s="852"/>
      <c r="J37" s="853"/>
    </row>
    <row r="38" spans="2:13" ht="15" x14ac:dyDescent="0.25">
      <c r="B38" s="851" t="s">
        <v>272</v>
      </c>
      <c r="C38" s="852"/>
      <c r="D38" s="852"/>
      <c r="E38" s="852"/>
      <c r="F38" s="852"/>
      <c r="G38" s="852"/>
      <c r="H38" s="852"/>
      <c r="I38" s="852"/>
      <c r="J38" s="853"/>
    </row>
    <row r="39" spans="2:13" ht="15.75" thickBot="1" x14ac:dyDescent="0.3">
      <c r="B39" s="851" t="s">
        <v>273</v>
      </c>
      <c r="C39" s="852"/>
      <c r="D39" s="852"/>
      <c r="E39" s="852"/>
      <c r="F39" s="852"/>
      <c r="G39" s="852"/>
      <c r="H39" s="852"/>
      <c r="I39" s="852"/>
      <c r="J39" s="853"/>
    </row>
    <row r="40" spans="2:13" ht="16.5" customHeight="1" x14ac:dyDescent="0.25">
      <c r="B40" s="845" t="s">
        <v>274</v>
      </c>
      <c r="C40" s="846"/>
      <c r="D40" s="846"/>
      <c r="E40" s="846"/>
      <c r="F40" s="846"/>
      <c r="G40" s="846"/>
      <c r="H40" s="846"/>
      <c r="I40" s="846"/>
      <c r="J40" s="847"/>
    </row>
    <row r="41" spans="2:13" x14ac:dyDescent="0.25">
      <c r="B41" s="460" t="s">
        <v>275</v>
      </c>
      <c r="C41" s="461"/>
      <c r="D41" s="461"/>
      <c r="E41" s="461"/>
      <c r="F41" s="461"/>
      <c r="G41" s="461"/>
      <c r="H41" s="461"/>
      <c r="I41" s="461"/>
      <c r="J41" s="462"/>
    </row>
    <row r="42" spans="2:13" x14ac:dyDescent="0.25">
      <c r="B42" s="460" t="s">
        <v>276</v>
      </c>
      <c r="C42" s="461"/>
      <c r="D42" s="463"/>
      <c r="E42" s="461"/>
      <c r="F42" s="461"/>
      <c r="G42" s="461"/>
      <c r="H42" s="461"/>
      <c r="I42" s="461"/>
      <c r="J42" s="462"/>
    </row>
    <row r="43" spans="2:13" x14ac:dyDescent="0.25">
      <c r="B43" s="464" t="s">
        <v>277</v>
      </c>
      <c r="C43" s="465"/>
      <c r="D43" s="465"/>
      <c r="E43" s="465"/>
      <c r="F43" s="465"/>
      <c r="G43" s="465"/>
      <c r="H43" s="465"/>
      <c r="I43" s="465"/>
      <c r="J43" s="466"/>
    </row>
  </sheetData>
  <mergeCells count="39">
    <mergeCell ref="B40:J40"/>
    <mergeCell ref="B34:J34"/>
    <mergeCell ref="B35:J35"/>
    <mergeCell ref="B36:J36"/>
    <mergeCell ref="B37:J37"/>
    <mergeCell ref="B38:J38"/>
    <mergeCell ref="B39:J39"/>
    <mergeCell ref="B32:D32"/>
    <mergeCell ref="G32:H32"/>
    <mergeCell ref="I32:J32"/>
    <mergeCell ref="B33:D33"/>
    <mergeCell ref="G33:H33"/>
    <mergeCell ref="I33:J33"/>
    <mergeCell ref="B30:D30"/>
    <mergeCell ref="G30:H30"/>
    <mergeCell ref="I30:J30"/>
    <mergeCell ref="B31:D31"/>
    <mergeCell ref="G31:H31"/>
    <mergeCell ref="I31:J31"/>
    <mergeCell ref="H6:I6"/>
    <mergeCell ref="H9:I9"/>
    <mergeCell ref="H10:I10"/>
    <mergeCell ref="B29:D29"/>
    <mergeCell ref="G29:H29"/>
    <mergeCell ref="I29:J29"/>
    <mergeCell ref="F6:G6"/>
    <mergeCell ref="A6:A7"/>
    <mergeCell ref="B6:B7"/>
    <mergeCell ref="C6:C7"/>
    <mergeCell ref="D6:D7"/>
    <mergeCell ref="E6:E7"/>
    <mergeCell ref="J3:J5"/>
    <mergeCell ref="E4:H4"/>
    <mergeCell ref="E5:H5"/>
    <mergeCell ref="B1:C5"/>
    <mergeCell ref="D1:H1"/>
    <mergeCell ref="D2:H2"/>
    <mergeCell ref="D3:H3"/>
    <mergeCell ref="I3:I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B59B-0B18-4302-A69B-AAC12B1F3CE6}">
  <dimension ref="A1:M38"/>
  <sheetViews>
    <sheetView workbookViewId="0">
      <selection activeCell="I15" sqref="I15"/>
    </sheetView>
  </sheetViews>
  <sheetFormatPr baseColWidth="10" defaultColWidth="11.42578125" defaultRowHeight="13.5" x14ac:dyDescent="0.25"/>
  <cols>
    <col min="1" max="1" width="12.42578125" style="254" customWidth="1"/>
    <col min="2" max="2" width="10.5703125" style="254" customWidth="1"/>
    <col min="3" max="3" width="29.5703125" style="254" customWidth="1"/>
    <col min="4" max="4" width="14.140625" style="254" customWidth="1"/>
    <col min="5" max="5" width="9.140625" style="254" customWidth="1"/>
    <col min="6" max="6" width="10.5703125" style="254" customWidth="1"/>
    <col min="7" max="8" width="16.5703125" style="254" customWidth="1"/>
    <col min="9" max="9" width="16.85546875" style="254" customWidth="1"/>
    <col min="10" max="16384" width="11.42578125" style="254"/>
  </cols>
  <sheetData>
    <row r="1" spans="1:13" ht="15.75" x14ac:dyDescent="0.25">
      <c r="A1" s="752"/>
      <c r="B1" s="753"/>
      <c r="C1" s="680" t="s">
        <v>22</v>
      </c>
      <c r="D1" s="680"/>
      <c r="E1" s="680"/>
      <c r="F1" s="680"/>
      <c r="G1" s="680"/>
      <c r="H1" s="189" t="s">
        <v>21</v>
      </c>
      <c r="I1" s="353" t="s">
        <v>228</v>
      </c>
    </row>
    <row r="2" spans="1:13" ht="16.5" thickBot="1" x14ac:dyDescent="0.3">
      <c r="A2" s="754"/>
      <c r="B2" s="755"/>
      <c r="C2" s="758" t="s">
        <v>0</v>
      </c>
      <c r="D2" s="758"/>
      <c r="E2" s="758"/>
      <c r="F2" s="758"/>
      <c r="G2" s="758"/>
      <c r="H2" s="190" t="s">
        <v>20</v>
      </c>
      <c r="I2" s="5" t="s">
        <v>185</v>
      </c>
    </row>
    <row r="3" spans="1:13" ht="18.75" thickBot="1" x14ac:dyDescent="0.3">
      <c r="A3" s="754"/>
      <c r="B3" s="755"/>
      <c r="C3" s="855" t="s">
        <v>229</v>
      </c>
      <c r="D3" s="856"/>
      <c r="E3" s="856"/>
      <c r="F3" s="856"/>
      <c r="G3" s="857"/>
      <c r="H3" s="762" t="s">
        <v>19</v>
      </c>
      <c r="I3" s="743">
        <v>45316</v>
      </c>
    </row>
    <row r="4" spans="1:13" x14ac:dyDescent="0.25">
      <c r="A4" s="754"/>
      <c r="B4" s="755"/>
      <c r="C4" s="192" t="s">
        <v>18</v>
      </c>
      <c r="D4" s="746" t="s">
        <v>26</v>
      </c>
      <c r="E4" s="747"/>
      <c r="F4" s="747"/>
      <c r="G4" s="748"/>
      <c r="H4" s="763"/>
      <c r="I4" s="744"/>
    </row>
    <row r="5" spans="1:13" ht="14.25" thickBot="1" x14ac:dyDescent="0.3">
      <c r="A5" s="854"/>
      <c r="B5" s="813"/>
      <c r="C5" s="193" t="s">
        <v>17</v>
      </c>
      <c r="D5" s="749" t="s">
        <v>188</v>
      </c>
      <c r="E5" s="750"/>
      <c r="F5" s="750"/>
      <c r="G5" s="751"/>
      <c r="H5" s="764"/>
      <c r="I5" s="744"/>
    </row>
    <row r="6" spans="1:13" customFormat="1" ht="21" thickBot="1" x14ac:dyDescent="0.25">
      <c r="A6" s="858" t="s">
        <v>23</v>
      </c>
      <c r="B6" s="859"/>
      <c r="C6" s="859"/>
      <c r="D6" s="860" t="s">
        <v>230</v>
      </c>
      <c r="E6" s="860"/>
      <c r="F6" s="860"/>
      <c r="G6" s="861" t="s">
        <v>24</v>
      </c>
      <c r="H6" s="861"/>
      <c r="I6" s="354" t="s">
        <v>230</v>
      </c>
    </row>
    <row r="7" spans="1:13" ht="25.5" x14ac:dyDescent="0.25">
      <c r="A7" s="765" t="s">
        <v>1</v>
      </c>
      <c r="B7" s="767" t="s">
        <v>189</v>
      </c>
      <c r="C7" s="769" t="s">
        <v>2</v>
      </c>
      <c r="D7" s="769" t="s">
        <v>3</v>
      </c>
      <c r="E7" s="769" t="s">
        <v>4</v>
      </c>
      <c r="F7" s="769"/>
      <c r="G7" s="769" t="s">
        <v>16</v>
      </c>
      <c r="H7" s="769"/>
      <c r="I7" s="194" t="s">
        <v>5</v>
      </c>
    </row>
    <row r="8" spans="1:13" ht="26.25" thickBot="1" x14ac:dyDescent="0.3">
      <c r="A8" s="862"/>
      <c r="B8" s="863"/>
      <c r="C8" s="864"/>
      <c r="D8" s="770"/>
      <c r="E8" s="355" t="s">
        <v>6</v>
      </c>
      <c r="F8" s="356" t="s">
        <v>7</v>
      </c>
      <c r="G8" s="357" t="s">
        <v>6</v>
      </c>
      <c r="H8" s="358" t="s">
        <v>7</v>
      </c>
      <c r="I8" s="359" t="s">
        <v>8</v>
      </c>
    </row>
    <row r="9" spans="1:13" ht="15.75" x14ac:dyDescent="0.25">
      <c r="A9" s="360" t="s">
        <v>231</v>
      </c>
      <c r="B9" s="360" t="s">
        <v>232</v>
      </c>
      <c r="C9" s="361" t="s">
        <v>233</v>
      </c>
      <c r="D9" s="362" t="s">
        <v>234</v>
      </c>
      <c r="E9" s="362">
        <v>5100</v>
      </c>
      <c r="F9" s="363" t="s">
        <v>27</v>
      </c>
      <c r="G9" s="364"/>
      <c r="H9" s="364"/>
      <c r="I9" s="365"/>
      <c r="J9" s="366">
        <f>+E9/$D$21</f>
        <v>0.19626707715989994</v>
      </c>
      <c r="K9" s="366">
        <f>+J9*1000</f>
        <v>196.26707715989994</v>
      </c>
    </row>
    <row r="10" spans="1:13" ht="15.75" x14ac:dyDescent="0.25">
      <c r="A10" s="367">
        <v>510301</v>
      </c>
      <c r="B10" s="360" t="s">
        <v>62</v>
      </c>
      <c r="C10" s="368" t="s">
        <v>63</v>
      </c>
      <c r="D10" s="362" t="s">
        <v>235</v>
      </c>
      <c r="E10" s="362">
        <v>11300</v>
      </c>
      <c r="F10" s="363" t="s">
        <v>27</v>
      </c>
      <c r="G10" s="369"/>
      <c r="H10" s="370"/>
      <c r="I10" s="365"/>
      <c r="J10" s="366">
        <f t="shared" ref="J10:J17" si="0">+E10/$D$21</f>
        <v>0.43486626900134695</v>
      </c>
      <c r="K10" s="366">
        <f t="shared" ref="K10:K17" si="1">+J10*1000</f>
        <v>434.86626900134695</v>
      </c>
    </row>
    <row r="11" spans="1:13" ht="15.75" x14ac:dyDescent="0.25">
      <c r="A11" s="367">
        <v>11200072</v>
      </c>
      <c r="B11" s="360" t="s">
        <v>236</v>
      </c>
      <c r="C11" s="361" t="s">
        <v>237</v>
      </c>
      <c r="D11" s="362" t="s">
        <v>238</v>
      </c>
      <c r="E11" s="362">
        <v>8600</v>
      </c>
      <c r="F11" s="363" t="s">
        <v>27</v>
      </c>
      <c r="G11" s="369"/>
      <c r="H11" s="370"/>
      <c r="I11" s="365"/>
      <c r="J11" s="366">
        <f t="shared" si="0"/>
        <v>0.33096016932845873</v>
      </c>
      <c r="K11" s="366">
        <f t="shared" si="1"/>
        <v>330.96016932845873</v>
      </c>
    </row>
    <row r="12" spans="1:13" ht="15.75" x14ac:dyDescent="0.25">
      <c r="A12" s="367">
        <v>1212410</v>
      </c>
      <c r="B12" s="360" t="s">
        <v>239</v>
      </c>
      <c r="C12" s="361" t="s">
        <v>240</v>
      </c>
      <c r="D12" s="362" t="s">
        <v>59</v>
      </c>
      <c r="E12" s="362">
        <v>50</v>
      </c>
      <c r="F12" s="363" t="s">
        <v>27</v>
      </c>
      <c r="G12" s="369"/>
      <c r="H12" s="370"/>
      <c r="I12" s="365"/>
      <c r="J12" s="366">
        <f t="shared" si="0"/>
        <v>1.9241870309794113E-3</v>
      </c>
      <c r="K12" s="366">
        <f t="shared" si="1"/>
        <v>1.9241870309794114</v>
      </c>
    </row>
    <row r="13" spans="1:13" ht="15.75" x14ac:dyDescent="0.25">
      <c r="A13" s="371">
        <v>11300012</v>
      </c>
      <c r="B13" s="360" t="s">
        <v>241</v>
      </c>
      <c r="C13" s="368" t="s">
        <v>242</v>
      </c>
      <c r="D13" s="362" t="s">
        <v>234</v>
      </c>
      <c r="E13" s="362">
        <v>335</v>
      </c>
      <c r="F13" s="363" t="s">
        <v>27</v>
      </c>
      <c r="G13" s="369"/>
      <c r="H13" s="370"/>
      <c r="I13" s="365"/>
      <c r="J13" s="366">
        <f t="shared" si="0"/>
        <v>1.2892053107562055E-2</v>
      </c>
      <c r="K13" s="366">
        <f t="shared" si="1"/>
        <v>12.892053107562056</v>
      </c>
    </row>
    <row r="14" spans="1:13" ht="15.75" x14ac:dyDescent="0.25">
      <c r="A14" s="371"/>
      <c r="B14" s="368" t="s">
        <v>243</v>
      </c>
      <c r="C14" s="368" t="s">
        <v>244</v>
      </c>
      <c r="D14" s="362" t="s">
        <v>245</v>
      </c>
      <c r="E14" s="362">
        <v>650</v>
      </c>
      <c r="F14" s="363" t="s">
        <v>27</v>
      </c>
      <c r="G14" s="369"/>
      <c r="H14" s="370"/>
      <c r="I14" s="365"/>
      <c r="J14" s="366">
        <f t="shared" si="0"/>
        <v>2.5014431402732344E-2</v>
      </c>
      <c r="K14" s="366">
        <f t="shared" si="1"/>
        <v>25.014431402732345</v>
      </c>
    </row>
    <row r="15" spans="1:13" ht="15.75" x14ac:dyDescent="0.25">
      <c r="A15" s="372"/>
      <c r="B15" s="206"/>
      <c r="C15" s="76"/>
      <c r="D15" s="216"/>
      <c r="E15" s="216"/>
      <c r="F15" s="373"/>
      <c r="G15" s="249"/>
      <c r="H15" s="374"/>
      <c r="I15" s="375"/>
      <c r="J15" s="254">
        <f t="shared" si="0"/>
        <v>0</v>
      </c>
      <c r="K15" s="254">
        <f t="shared" si="1"/>
        <v>0</v>
      </c>
    </row>
    <row r="16" spans="1:13" ht="15.75" x14ac:dyDescent="0.25">
      <c r="A16" s="367">
        <v>1950708</v>
      </c>
      <c r="B16" s="360" t="s">
        <v>246</v>
      </c>
      <c r="C16" s="360" t="s">
        <v>247</v>
      </c>
      <c r="D16" s="376"/>
      <c r="E16" s="363">
        <v>2</v>
      </c>
      <c r="F16" s="363" t="s">
        <v>84</v>
      </c>
      <c r="G16" s="369"/>
      <c r="H16" s="370"/>
      <c r="I16" s="365"/>
      <c r="J16" s="366">
        <f t="shared" si="0"/>
        <v>7.6967481239176449E-5</v>
      </c>
      <c r="K16" s="366">
        <f t="shared" si="1"/>
        <v>7.6967481239176447E-2</v>
      </c>
      <c r="L16" s="366">
        <f>+K16*15</f>
        <v>1.1545122185876466</v>
      </c>
      <c r="M16" s="254">
        <f>+L16/1000</f>
        <v>1.1545122185876466E-3</v>
      </c>
    </row>
    <row r="17" spans="1:13" ht="15.75" x14ac:dyDescent="0.25">
      <c r="A17" s="367">
        <v>702123</v>
      </c>
      <c r="B17" s="377" t="s">
        <v>96</v>
      </c>
      <c r="C17" s="360" t="s">
        <v>248</v>
      </c>
      <c r="D17" s="376"/>
      <c r="E17" s="363">
        <v>2</v>
      </c>
      <c r="F17" s="363" t="s">
        <v>84</v>
      </c>
      <c r="G17" s="369"/>
      <c r="H17" s="370"/>
      <c r="I17" s="365"/>
      <c r="J17" s="366">
        <f t="shared" si="0"/>
        <v>7.6967481239176449E-5</v>
      </c>
      <c r="K17" s="366">
        <f t="shared" si="1"/>
        <v>7.6967481239176447E-2</v>
      </c>
      <c r="L17" s="366"/>
    </row>
    <row r="18" spans="1:13" ht="15" x14ac:dyDescent="0.25">
      <c r="A18" s="378"/>
      <c r="B18" s="55"/>
      <c r="C18" s="379"/>
      <c r="D18" s="380"/>
      <c r="E18" s="381"/>
      <c r="F18" s="374"/>
      <c r="G18" s="249"/>
      <c r="H18" s="374"/>
      <c r="I18" s="375"/>
    </row>
    <row r="19" spans="1:13" ht="15.75" thickBot="1" x14ac:dyDescent="0.3">
      <c r="A19"/>
      <c r="B19" s="207"/>
      <c r="C19"/>
      <c r="D19" s="222"/>
      <c r="E19" s="382"/>
      <c r="F19" s="382"/>
      <c r="G19" s="383"/>
      <c r="H19" s="383"/>
      <c r="I19" s="257"/>
      <c r="L19" s="384"/>
    </row>
    <row r="20" spans="1:13" ht="14.25" thickBot="1" x14ac:dyDescent="0.3">
      <c r="A20" s="258"/>
      <c r="B20" s="385"/>
      <c r="C20" s="260"/>
      <c r="D20" s="261" t="s">
        <v>6</v>
      </c>
      <c r="E20" s="262" t="s">
        <v>15</v>
      </c>
      <c r="F20" s="263"/>
      <c r="G20" s="260"/>
      <c r="H20" s="260"/>
      <c r="I20" s="264"/>
      <c r="L20" s="384"/>
    </row>
    <row r="21" spans="1:13" x14ac:dyDescent="0.25">
      <c r="A21" s="771" t="s">
        <v>10</v>
      </c>
      <c r="B21" s="772"/>
      <c r="C21" s="773"/>
      <c r="D21" s="28">
        <v>25985</v>
      </c>
      <c r="E21" s="386" t="s">
        <v>27</v>
      </c>
      <c r="F21" s="774" t="s">
        <v>205</v>
      </c>
      <c r="G21" s="774"/>
      <c r="H21" s="775"/>
      <c r="I21" s="776"/>
      <c r="L21" s="384"/>
    </row>
    <row r="22" spans="1:13" x14ac:dyDescent="0.25">
      <c r="A22" s="777" t="s">
        <v>9</v>
      </c>
      <c r="B22" s="778"/>
      <c r="C22" s="779"/>
      <c r="D22" s="387">
        <v>4</v>
      </c>
      <c r="E22" s="388" t="s">
        <v>28</v>
      </c>
      <c r="F22" s="780" t="s">
        <v>206</v>
      </c>
      <c r="G22" s="780"/>
      <c r="H22" s="781"/>
      <c r="I22" s="782"/>
      <c r="L22" s="384"/>
    </row>
    <row r="23" spans="1:13" x14ac:dyDescent="0.25">
      <c r="A23" s="777" t="s">
        <v>14</v>
      </c>
      <c r="B23" s="778"/>
      <c r="C23" s="779"/>
      <c r="D23" s="388">
        <v>1</v>
      </c>
      <c r="E23" s="388" t="s">
        <v>249</v>
      </c>
      <c r="F23" s="780" t="s">
        <v>207</v>
      </c>
      <c r="G23" s="780"/>
      <c r="H23" s="781"/>
      <c r="I23" s="782"/>
      <c r="L23" s="384"/>
    </row>
    <row r="24" spans="1:13" x14ac:dyDescent="0.25">
      <c r="A24" s="777" t="s">
        <v>13</v>
      </c>
      <c r="B24" s="778"/>
      <c r="C24" s="779"/>
      <c r="D24" s="389">
        <v>25985</v>
      </c>
      <c r="E24" s="388" t="s">
        <v>27</v>
      </c>
      <c r="F24" s="784" t="s">
        <v>208</v>
      </c>
      <c r="G24" s="785"/>
      <c r="H24" s="781"/>
      <c r="I24" s="782"/>
      <c r="L24" s="384"/>
      <c r="M24" s="390"/>
    </row>
    <row r="25" spans="1:13" ht="14.25" thickBot="1" x14ac:dyDescent="0.3">
      <c r="A25" s="786" t="s">
        <v>12</v>
      </c>
      <c r="B25" s="787"/>
      <c r="C25" s="788"/>
      <c r="D25" s="391">
        <f>SUM(E9:E14)-D21</f>
        <v>50</v>
      </c>
      <c r="E25" s="392" t="s">
        <v>27</v>
      </c>
      <c r="F25" s="789"/>
      <c r="G25" s="789"/>
      <c r="H25" s="790"/>
      <c r="I25" s="791"/>
      <c r="L25" s="384"/>
    </row>
    <row r="26" spans="1:13" ht="14.25" thickBot="1" x14ac:dyDescent="0.3">
      <c r="A26" s="792" t="s">
        <v>11</v>
      </c>
      <c r="B26" s="793"/>
      <c r="C26" s="793"/>
      <c r="D26" s="793"/>
      <c r="E26" s="793"/>
      <c r="F26" s="793"/>
      <c r="G26" s="793"/>
      <c r="H26" s="793"/>
      <c r="I26" s="794"/>
    </row>
    <row r="27" spans="1:13" x14ac:dyDescent="0.25">
      <c r="A27" s="865" t="s">
        <v>250</v>
      </c>
      <c r="B27" s="866"/>
      <c r="C27" s="867"/>
      <c r="D27" s="867"/>
      <c r="E27" s="867"/>
      <c r="F27" s="867"/>
      <c r="G27" s="867"/>
      <c r="H27" s="867"/>
      <c r="I27" s="868"/>
    </row>
    <row r="28" spans="1:13" x14ac:dyDescent="0.25">
      <c r="A28" s="865" t="s">
        <v>251</v>
      </c>
      <c r="B28" s="866"/>
      <c r="C28" s="867"/>
      <c r="D28" s="867"/>
      <c r="E28" s="867"/>
      <c r="F28" s="867"/>
      <c r="G28" s="867"/>
      <c r="H28" s="867"/>
      <c r="I28" s="868"/>
    </row>
    <row r="29" spans="1:13" x14ac:dyDescent="0.25">
      <c r="A29" s="869"/>
      <c r="B29" s="870"/>
      <c r="C29" s="871"/>
      <c r="D29" s="871"/>
      <c r="E29" s="871"/>
      <c r="F29" s="871"/>
      <c r="G29" s="871"/>
      <c r="H29" s="871"/>
      <c r="I29" s="872"/>
    </row>
    <row r="30" spans="1:13" x14ac:dyDescent="0.25">
      <c r="A30" s="869"/>
      <c r="B30" s="870"/>
      <c r="C30" s="871"/>
      <c r="D30" s="871"/>
      <c r="E30" s="871"/>
      <c r="F30" s="871"/>
      <c r="G30" s="871"/>
      <c r="H30" s="871"/>
      <c r="I30" s="872"/>
    </row>
    <row r="31" spans="1:13" x14ac:dyDescent="0.25">
      <c r="A31" s="865"/>
      <c r="B31" s="866"/>
      <c r="C31" s="867"/>
      <c r="D31" s="867"/>
      <c r="E31" s="867"/>
      <c r="F31" s="867"/>
      <c r="G31" s="867"/>
      <c r="H31" s="867"/>
      <c r="I31" s="868"/>
    </row>
    <row r="32" spans="1:13" x14ac:dyDescent="0.25">
      <c r="A32" s="873"/>
      <c r="B32" s="874"/>
      <c r="C32" s="875"/>
      <c r="D32" s="875"/>
      <c r="E32" s="875"/>
      <c r="F32" s="875"/>
      <c r="G32" s="875"/>
      <c r="H32" s="875"/>
      <c r="I32" s="876"/>
    </row>
    <row r="33" spans="1:9" x14ac:dyDescent="0.25">
      <c r="A33" s="877" t="s">
        <v>252</v>
      </c>
      <c r="B33" s="877"/>
      <c r="C33" s="877"/>
      <c r="D33" s="877"/>
      <c r="E33" s="877"/>
      <c r="F33" s="877"/>
      <c r="G33" s="877"/>
      <c r="H33" s="877"/>
      <c r="I33" s="877"/>
    </row>
    <row r="34" spans="1:9" x14ac:dyDescent="0.25">
      <c r="A34" s="393" t="s">
        <v>253</v>
      </c>
      <c r="B34" s="394"/>
      <c r="C34" s="395"/>
      <c r="D34" s="396"/>
      <c r="E34" s="396"/>
      <c r="F34" s="396"/>
      <c r="G34" s="396"/>
      <c r="H34" s="396"/>
      <c r="I34" s="397"/>
    </row>
    <row r="35" spans="1:9" x14ac:dyDescent="0.25">
      <c r="A35" s="393"/>
      <c r="B35" s="394"/>
      <c r="C35" s="395"/>
      <c r="D35" s="396"/>
      <c r="E35" s="396"/>
      <c r="F35" s="396"/>
      <c r="G35" s="396"/>
      <c r="H35" s="396"/>
      <c r="I35" s="397"/>
    </row>
    <row r="36" spans="1:9" x14ac:dyDescent="0.25">
      <c r="A36" s="398"/>
      <c r="B36" s="396"/>
      <c r="C36" s="396"/>
      <c r="D36" s="396"/>
      <c r="E36" s="396"/>
      <c r="F36" s="396"/>
      <c r="G36" s="396"/>
      <c r="H36" s="396"/>
      <c r="I36" s="397"/>
    </row>
    <row r="37" spans="1:9" x14ac:dyDescent="0.25">
      <c r="A37" s="398"/>
      <c r="B37" s="396"/>
      <c r="C37" s="396"/>
      <c r="D37" s="396"/>
      <c r="E37" s="396"/>
      <c r="F37" s="396"/>
      <c r="G37" s="396"/>
      <c r="H37" s="396"/>
      <c r="I37" s="397"/>
    </row>
    <row r="38" spans="1:9" x14ac:dyDescent="0.25">
      <c r="A38" s="398"/>
      <c r="B38" s="396"/>
      <c r="C38" s="396"/>
      <c r="D38" s="396"/>
      <c r="E38" s="396"/>
      <c r="F38" s="396"/>
      <c r="G38" s="396"/>
      <c r="H38" s="396"/>
      <c r="I38" s="397"/>
    </row>
  </sheetData>
  <mergeCells count="40">
    <mergeCell ref="A29:I29"/>
    <mergeCell ref="A30:I30"/>
    <mergeCell ref="A31:I31"/>
    <mergeCell ref="A32:I32"/>
    <mergeCell ref="A33:I33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B153-0B29-446F-B3AC-6D8F905374BC}">
  <dimension ref="A1:K57"/>
  <sheetViews>
    <sheetView workbookViewId="0">
      <selection activeCell="B10" sqref="B10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49" customWidth="1"/>
    <col min="4" max="4" width="34.5703125" bestFit="1" customWidth="1"/>
    <col min="5" max="5" width="11.7109375" bestFit="1" customWidth="1"/>
    <col min="8" max="8" width="47.5703125" bestFit="1" customWidth="1"/>
    <col min="9" max="9" width="23.7109375" bestFit="1" customWidth="1"/>
  </cols>
  <sheetData>
    <row r="1" spans="1:11" ht="18" x14ac:dyDescent="0.25">
      <c r="A1" s="887"/>
      <c r="B1" s="888"/>
      <c r="C1" s="893" t="s">
        <v>22</v>
      </c>
      <c r="D1" s="893"/>
      <c r="E1" s="893"/>
      <c r="F1" s="893"/>
      <c r="G1" s="893"/>
      <c r="H1" s="269" t="s">
        <v>21</v>
      </c>
      <c r="I1" s="270" t="s">
        <v>215</v>
      </c>
    </row>
    <row r="2" spans="1:11" ht="18" customHeight="1" thickBot="1" x14ac:dyDescent="0.3">
      <c r="A2" s="889"/>
      <c r="B2" s="890"/>
      <c r="C2" s="894" t="s">
        <v>0</v>
      </c>
      <c r="D2" s="895"/>
      <c r="E2" s="895"/>
      <c r="F2" s="895"/>
      <c r="G2" s="896"/>
      <c r="H2" s="271" t="s">
        <v>20</v>
      </c>
      <c r="I2" s="272" t="s">
        <v>216</v>
      </c>
    </row>
    <row r="3" spans="1:11" ht="31.5" customHeight="1" thickBot="1" x14ac:dyDescent="0.25">
      <c r="A3" s="889"/>
      <c r="B3" s="890"/>
      <c r="C3" s="897" t="s">
        <v>217</v>
      </c>
      <c r="D3" s="898"/>
      <c r="E3" s="898"/>
      <c r="F3" s="898"/>
      <c r="G3" s="899"/>
      <c r="H3" s="900" t="s">
        <v>19</v>
      </c>
      <c r="I3" s="878">
        <v>45618</v>
      </c>
    </row>
    <row r="4" spans="1:11" ht="18" customHeight="1" x14ac:dyDescent="0.25">
      <c r="A4" s="889"/>
      <c r="B4" s="890"/>
      <c r="C4" s="273" t="s">
        <v>18</v>
      </c>
      <c r="D4" s="881" t="s">
        <v>187</v>
      </c>
      <c r="E4" s="882"/>
      <c r="F4" s="882"/>
      <c r="G4" s="883"/>
      <c r="H4" s="901"/>
      <c r="I4" s="879"/>
    </row>
    <row r="5" spans="1:11" ht="18.75" thickBot="1" x14ac:dyDescent="0.3">
      <c r="A5" s="891"/>
      <c r="B5" s="892"/>
      <c r="C5" s="274" t="s">
        <v>17</v>
      </c>
      <c r="D5" s="884" t="s">
        <v>188</v>
      </c>
      <c r="E5" s="885"/>
      <c r="F5" s="885"/>
      <c r="G5" s="886"/>
      <c r="H5" s="902"/>
      <c r="I5" s="880"/>
    </row>
    <row r="6" spans="1:11" ht="18.75" thickBot="1" x14ac:dyDescent="0.3">
      <c r="A6" s="629" t="s">
        <v>23</v>
      </c>
      <c r="B6" s="629"/>
      <c r="C6" s="629"/>
      <c r="D6" s="903" t="s">
        <v>30</v>
      </c>
      <c r="E6" s="903"/>
      <c r="F6" s="903"/>
      <c r="G6" s="582" t="s">
        <v>24</v>
      </c>
      <c r="H6" s="582"/>
      <c r="I6" s="275" t="s">
        <v>30</v>
      </c>
    </row>
    <row r="7" spans="1:11" ht="36" x14ac:dyDescent="0.2">
      <c r="A7" s="904" t="s">
        <v>1</v>
      </c>
      <c r="B7" s="906" t="s">
        <v>189</v>
      </c>
      <c r="C7" s="908" t="s">
        <v>2</v>
      </c>
      <c r="D7" s="908" t="s">
        <v>3</v>
      </c>
      <c r="E7" s="908" t="s">
        <v>4</v>
      </c>
      <c r="F7" s="908"/>
      <c r="G7" s="908" t="s">
        <v>16</v>
      </c>
      <c r="H7" s="908"/>
      <c r="I7" s="276" t="s">
        <v>5</v>
      </c>
    </row>
    <row r="8" spans="1:11" ht="54.75" thickBot="1" x14ac:dyDescent="0.3">
      <c r="A8" s="905"/>
      <c r="B8" s="907"/>
      <c r="C8" s="909"/>
      <c r="D8" s="909"/>
      <c r="E8" s="277" t="s">
        <v>6</v>
      </c>
      <c r="F8" s="278" t="s">
        <v>7</v>
      </c>
      <c r="G8" s="277" t="s">
        <v>6</v>
      </c>
      <c r="H8" s="278" t="s">
        <v>7</v>
      </c>
      <c r="I8" s="279" t="s">
        <v>8</v>
      </c>
    </row>
    <row r="9" spans="1:11" ht="18.600000000000001" customHeight="1" x14ac:dyDescent="0.3">
      <c r="A9" s="280"/>
      <c r="B9" s="281"/>
      <c r="C9" s="282" t="s">
        <v>190</v>
      </c>
      <c r="D9" s="283"/>
      <c r="E9" s="284"/>
      <c r="F9" s="285"/>
      <c r="G9" s="284"/>
      <c r="H9" s="285"/>
      <c r="I9" s="286"/>
    </row>
    <row r="10" spans="1:11" ht="18" customHeight="1" x14ac:dyDescent="0.3">
      <c r="A10" s="287">
        <v>906000135</v>
      </c>
      <c r="B10" s="288" t="s">
        <v>218</v>
      </c>
      <c r="C10" s="289" t="s">
        <v>219</v>
      </c>
      <c r="D10" s="290" t="s">
        <v>38</v>
      </c>
      <c r="E10" s="291">
        <v>25050</v>
      </c>
      <c r="F10" s="292" t="s">
        <v>27</v>
      </c>
      <c r="G10" s="293"/>
      <c r="H10" s="294"/>
      <c r="I10" s="286"/>
      <c r="J10">
        <f>+E10/$D$39</f>
        <v>0.42529711375212226</v>
      </c>
    </row>
    <row r="11" spans="1:11" ht="18.75" x14ac:dyDescent="0.3">
      <c r="A11" s="290" t="s">
        <v>220</v>
      </c>
      <c r="B11" s="290" t="s">
        <v>39</v>
      </c>
      <c r="C11" s="295" t="s">
        <v>221</v>
      </c>
      <c r="D11" s="290" t="s">
        <v>41</v>
      </c>
      <c r="E11" s="291">
        <v>8900</v>
      </c>
      <c r="F11" s="292" t="s">
        <v>27</v>
      </c>
      <c r="G11" s="293"/>
      <c r="H11" s="294"/>
      <c r="I11" s="286"/>
      <c r="J11">
        <f t="shared" ref="J11:J13" si="0">+E11/$D$39</f>
        <v>0.15110356536502548</v>
      </c>
      <c r="K11">
        <f>+J11*1000</f>
        <v>151.10356536502547</v>
      </c>
    </row>
    <row r="12" spans="1:11" ht="18.75" x14ac:dyDescent="0.3">
      <c r="A12" s="290" t="s">
        <v>222</v>
      </c>
      <c r="B12" s="290"/>
      <c r="C12" s="295" t="s">
        <v>45</v>
      </c>
      <c r="D12" s="290" t="s">
        <v>38</v>
      </c>
      <c r="E12" s="291">
        <v>5900</v>
      </c>
      <c r="F12" s="292" t="s">
        <v>27</v>
      </c>
      <c r="G12" s="293"/>
      <c r="H12" s="294"/>
      <c r="I12" s="286"/>
      <c r="J12">
        <f t="shared" si="0"/>
        <v>0.100169779286927</v>
      </c>
    </row>
    <row r="13" spans="1:11" ht="18.75" x14ac:dyDescent="0.3">
      <c r="A13" s="290">
        <v>10100050</v>
      </c>
      <c r="B13" s="290" t="s">
        <v>42</v>
      </c>
      <c r="C13" s="295" t="s">
        <v>43</v>
      </c>
      <c r="D13" s="290" t="s">
        <v>44</v>
      </c>
      <c r="E13" s="291">
        <v>8200</v>
      </c>
      <c r="F13" s="292" t="s">
        <v>27</v>
      </c>
      <c r="G13" s="293"/>
      <c r="H13" s="294"/>
      <c r="I13" s="286"/>
      <c r="J13">
        <f t="shared" si="0"/>
        <v>0.13921901528013583</v>
      </c>
      <c r="K13">
        <f>+J13*1000</f>
        <v>139.21901528013584</v>
      </c>
    </row>
    <row r="14" spans="1:11" ht="18.75" x14ac:dyDescent="0.3">
      <c r="A14" s="290"/>
      <c r="B14" s="290"/>
      <c r="C14" s="295"/>
      <c r="D14" s="290"/>
      <c r="E14" s="291"/>
      <c r="F14" s="292"/>
      <c r="G14" s="293"/>
      <c r="H14" s="294"/>
      <c r="I14" s="286"/>
    </row>
    <row r="15" spans="1:11" ht="18.75" x14ac:dyDescent="0.3">
      <c r="A15" s="290"/>
      <c r="B15" s="290"/>
      <c r="C15" s="295"/>
      <c r="D15" s="290"/>
      <c r="E15" s="291"/>
      <c r="F15" s="292"/>
      <c r="G15" s="293"/>
      <c r="H15" s="294"/>
      <c r="I15" s="286"/>
    </row>
    <row r="16" spans="1:11" ht="18.75" x14ac:dyDescent="0.3">
      <c r="A16" s="290"/>
      <c r="B16" s="290"/>
      <c r="C16" s="295"/>
      <c r="D16" s="290"/>
      <c r="E16" s="291"/>
      <c r="F16" s="292"/>
      <c r="G16" s="293"/>
      <c r="H16" s="294"/>
      <c r="I16" s="286"/>
    </row>
    <row r="17" spans="1:9" ht="18.75" x14ac:dyDescent="0.3">
      <c r="A17" s="290"/>
      <c r="B17" s="290"/>
      <c r="C17" s="295"/>
      <c r="D17" s="290"/>
      <c r="E17" s="291"/>
      <c r="F17" s="292"/>
      <c r="G17" s="293"/>
      <c r="H17" s="294"/>
      <c r="I17" s="286"/>
    </row>
    <row r="18" spans="1:9" ht="18.75" x14ac:dyDescent="0.3">
      <c r="A18" s="290"/>
      <c r="B18" s="290"/>
      <c r="C18" s="295"/>
      <c r="D18" s="290"/>
      <c r="E18" s="291"/>
      <c r="F18" s="292"/>
      <c r="G18" s="293"/>
      <c r="H18" s="294"/>
      <c r="I18" s="286"/>
    </row>
    <row r="19" spans="1:9" ht="18.75" x14ac:dyDescent="0.3">
      <c r="A19" s="290"/>
      <c r="B19" s="290"/>
      <c r="C19" s="295"/>
      <c r="D19" s="290"/>
      <c r="E19" s="291"/>
      <c r="F19" s="292"/>
      <c r="G19" s="293"/>
      <c r="H19" s="294"/>
      <c r="I19" s="286"/>
    </row>
    <row r="20" spans="1:9" ht="18.75" x14ac:dyDescent="0.3">
      <c r="A20" s="296"/>
      <c r="B20" s="296"/>
      <c r="C20" s="289"/>
      <c r="D20" s="297"/>
      <c r="E20" s="297"/>
      <c r="F20" s="297"/>
      <c r="G20" s="298"/>
      <c r="H20" s="294"/>
      <c r="I20" s="286"/>
    </row>
    <row r="21" spans="1:9" ht="18.75" x14ac:dyDescent="0.3">
      <c r="A21" s="299"/>
      <c r="B21" s="300"/>
      <c r="C21" s="301" t="s">
        <v>195</v>
      </c>
      <c r="D21" s="297"/>
      <c r="E21" s="297"/>
      <c r="F21" s="297"/>
      <c r="G21" s="298"/>
      <c r="H21" s="294"/>
      <c r="I21" s="286"/>
    </row>
    <row r="22" spans="1:9" ht="18.75" x14ac:dyDescent="0.3">
      <c r="A22" s="287"/>
      <c r="B22" s="288"/>
      <c r="C22" s="289"/>
      <c r="D22" s="302"/>
      <c r="E22" s="302"/>
      <c r="F22" s="302"/>
      <c r="G22" s="284"/>
      <c r="H22" s="294"/>
      <c r="I22" s="286"/>
    </row>
    <row r="23" spans="1:9" ht="18.75" x14ac:dyDescent="0.3">
      <c r="A23" s="303"/>
      <c r="B23" s="296"/>
      <c r="C23" s="289"/>
      <c r="D23" s="302"/>
      <c r="E23" s="302"/>
      <c r="F23" s="302"/>
      <c r="G23" s="284"/>
      <c r="H23" s="294"/>
      <c r="I23" s="286"/>
    </row>
    <row r="24" spans="1:9" ht="18.75" x14ac:dyDescent="0.3">
      <c r="A24" s="303"/>
      <c r="B24" s="296"/>
      <c r="C24" s="289"/>
      <c r="D24" s="302"/>
      <c r="E24" s="302"/>
      <c r="F24" s="302"/>
      <c r="G24" s="284"/>
      <c r="H24" s="294"/>
      <c r="I24" s="286"/>
    </row>
    <row r="25" spans="1:9" ht="18.75" x14ac:dyDescent="0.3">
      <c r="A25" s="299"/>
      <c r="B25" s="300"/>
      <c r="C25" s="301"/>
      <c r="D25" s="304"/>
      <c r="E25" s="305"/>
      <c r="F25" s="306"/>
      <c r="G25" s="284"/>
      <c r="H25" s="294"/>
      <c r="I25" s="286"/>
    </row>
    <row r="26" spans="1:9" ht="18.75" x14ac:dyDescent="0.3">
      <c r="A26" s="307"/>
      <c r="B26" s="308"/>
      <c r="C26" s="309"/>
      <c r="D26" s="310"/>
      <c r="E26" s="311"/>
      <c r="F26" s="312"/>
      <c r="G26" s="284"/>
      <c r="H26" s="294"/>
      <c r="I26" s="286"/>
    </row>
    <row r="27" spans="1:9" ht="18.75" x14ac:dyDescent="0.3">
      <c r="A27" s="288"/>
      <c r="B27" s="288"/>
      <c r="C27" s="289"/>
      <c r="D27" s="313"/>
      <c r="E27" s="314"/>
      <c r="F27" s="315"/>
      <c r="G27" s="284"/>
      <c r="H27" s="294"/>
      <c r="I27" s="286"/>
    </row>
    <row r="28" spans="1:9" ht="18.75" x14ac:dyDescent="0.3">
      <c r="A28" s="316"/>
      <c r="B28" s="317"/>
      <c r="C28" s="318" t="s">
        <v>196</v>
      </c>
      <c r="D28" s="319"/>
      <c r="E28" s="320"/>
      <c r="F28" s="285"/>
      <c r="G28" s="284"/>
      <c r="H28" s="294"/>
      <c r="I28" s="286"/>
    </row>
    <row r="29" spans="1:9" ht="18.75" x14ac:dyDescent="0.3">
      <c r="A29" s="321"/>
      <c r="B29" s="322"/>
      <c r="C29" s="323"/>
      <c r="D29" s="297"/>
      <c r="E29" s="324"/>
      <c r="F29" s="325"/>
      <c r="G29" s="326"/>
      <c r="H29" s="294"/>
      <c r="I29" s="286"/>
    </row>
    <row r="30" spans="1:9" ht="18.75" x14ac:dyDescent="0.3">
      <c r="A30" s="321"/>
      <c r="B30" s="322"/>
      <c r="C30" s="323"/>
      <c r="D30" s="297"/>
      <c r="E30" s="324"/>
      <c r="F30" s="325"/>
      <c r="G30" s="326"/>
      <c r="H30" s="294"/>
      <c r="I30" s="286"/>
    </row>
    <row r="31" spans="1:9" ht="18.75" x14ac:dyDescent="0.3">
      <c r="A31" s="327"/>
      <c r="B31" s="328"/>
      <c r="C31" s="329"/>
      <c r="D31" s="297"/>
      <c r="E31" s="324"/>
      <c r="F31" s="325"/>
      <c r="G31" s="326"/>
      <c r="H31" s="294"/>
      <c r="I31" s="286"/>
    </row>
    <row r="32" spans="1:9" ht="18.75" x14ac:dyDescent="0.3">
      <c r="A32" s="330"/>
      <c r="B32" s="330"/>
      <c r="C32" s="331"/>
      <c r="D32" s="297"/>
      <c r="E32" s="324"/>
      <c r="F32" s="325"/>
      <c r="G32" s="284"/>
      <c r="H32" s="294"/>
      <c r="I32" s="286"/>
    </row>
    <row r="33" spans="1:9" ht="18.75" x14ac:dyDescent="0.3">
      <c r="A33" s="330"/>
      <c r="B33" s="330"/>
      <c r="C33" s="331"/>
      <c r="D33" s="297"/>
      <c r="E33" s="324"/>
      <c r="F33" s="325"/>
      <c r="G33" s="284"/>
      <c r="H33" s="294"/>
      <c r="I33" s="286"/>
    </row>
    <row r="34" spans="1:9" ht="18.75" x14ac:dyDescent="0.3">
      <c r="A34" s="330"/>
      <c r="B34" s="330"/>
      <c r="C34" s="331"/>
      <c r="D34" s="297"/>
      <c r="E34" s="324"/>
      <c r="F34" s="325"/>
      <c r="G34" s="332"/>
      <c r="H34" s="294"/>
      <c r="I34" s="286"/>
    </row>
    <row r="35" spans="1:9" ht="18.75" x14ac:dyDescent="0.3">
      <c r="A35" s="330"/>
      <c r="B35" s="330"/>
      <c r="C35" s="331"/>
      <c r="D35" s="297"/>
      <c r="E35" s="324"/>
      <c r="F35" s="325"/>
      <c r="G35" s="333"/>
      <c r="H35" s="294"/>
      <c r="I35" s="286"/>
    </row>
    <row r="36" spans="1:9" ht="18.75" x14ac:dyDescent="0.3">
      <c r="A36" s="334"/>
      <c r="B36" s="334"/>
      <c r="C36" s="335"/>
      <c r="D36" s="297"/>
      <c r="E36" s="315"/>
      <c r="F36" s="315"/>
      <c r="G36" s="333"/>
      <c r="H36" s="285"/>
      <c r="I36" s="286"/>
    </row>
    <row r="37" spans="1:9" ht="18.75" thickBot="1" x14ac:dyDescent="0.3">
      <c r="A37" s="336"/>
      <c r="B37" s="337"/>
      <c r="C37" s="338" t="s">
        <v>204</v>
      </c>
      <c r="D37" s="338"/>
      <c r="E37" s="339"/>
      <c r="F37" s="340"/>
      <c r="G37" s="338"/>
      <c r="H37" s="338"/>
      <c r="I37" s="341"/>
    </row>
    <row r="38" spans="1:9" ht="18.75" thickBot="1" x14ac:dyDescent="0.3">
      <c r="A38" s="342"/>
      <c r="B38" s="343"/>
      <c r="C38" s="344" t="s">
        <v>204</v>
      </c>
      <c r="D38" s="345" t="s">
        <v>6</v>
      </c>
      <c r="E38" s="346" t="s">
        <v>15</v>
      </c>
      <c r="F38" s="347"/>
      <c r="G38" s="344"/>
      <c r="H38" s="344"/>
      <c r="I38" s="348"/>
    </row>
    <row r="39" spans="1:9" ht="18" x14ac:dyDescent="0.25">
      <c r="A39" s="910" t="s">
        <v>10</v>
      </c>
      <c r="B39" s="911"/>
      <c r="C39" s="912"/>
      <c r="D39" s="349">
        <v>58900</v>
      </c>
      <c r="E39" s="350" t="s">
        <v>27</v>
      </c>
      <c r="F39" s="913" t="s">
        <v>205</v>
      </c>
      <c r="G39" s="913"/>
      <c r="H39" s="914"/>
      <c r="I39" s="915"/>
    </row>
    <row r="40" spans="1:9" ht="18" x14ac:dyDescent="0.25">
      <c r="A40" s="916" t="s">
        <v>9</v>
      </c>
      <c r="B40" s="917"/>
      <c r="C40" s="918"/>
      <c r="D40" s="314">
        <v>10</v>
      </c>
      <c r="E40" s="298" t="s">
        <v>28</v>
      </c>
      <c r="F40" s="919" t="s">
        <v>206</v>
      </c>
      <c r="G40" s="919"/>
      <c r="H40" s="920"/>
      <c r="I40" s="921"/>
    </row>
    <row r="41" spans="1:9" ht="18" x14ac:dyDescent="0.25">
      <c r="A41" s="916" t="s">
        <v>14</v>
      </c>
      <c r="B41" s="917"/>
      <c r="C41" s="918"/>
      <c r="D41" s="314">
        <v>1</v>
      </c>
      <c r="E41" s="298" t="s">
        <v>84</v>
      </c>
      <c r="F41" s="919" t="s">
        <v>207</v>
      </c>
      <c r="G41" s="919"/>
      <c r="H41" s="920"/>
      <c r="I41" s="921"/>
    </row>
    <row r="42" spans="1:9" ht="18" x14ac:dyDescent="0.25">
      <c r="A42" s="916" t="s">
        <v>13</v>
      </c>
      <c r="B42" s="917"/>
      <c r="C42" s="918"/>
      <c r="D42" s="314">
        <v>58900</v>
      </c>
      <c r="E42" s="298" t="s">
        <v>27</v>
      </c>
      <c r="F42" s="922" t="s">
        <v>208</v>
      </c>
      <c r="G42" s="923"/>
      <c r="H42" s="924"/>
      <c r="I42" s="925"/>
    </row>
    <row r="43" spans="1:9" ht="18.75" thickBot="1" x14ac:dyDescent="0.3">
      <c r="A43" s="929" t="s">
        <v>12</v>
      </c>
      <c r="B43" s="930"/>
      <c r="C43" s="931"/>
      <c r="D43" s="351">
        <v>650</v>
      </c>
      <c r="E43" s="352" t="s">
        <v>27</v>
      </c>
      <c r="F43" s="932"/>
      <c r="G43" s="932"/>
      <c r="H43" s="920"/>
      <c r="I43" s="921"/>
    </row>
    <row r="44" spans="1:9" ht="18.75" thickBot="1" x14ac:dyDescent="0.3">
      <c r="A44" s="933" t="s">
        <v>11</v>
      </c>
      <c r="B44" s="934"/>
      <c r="C44" s="934"/>
      <c r="D44" s="934"/>
      <c r="E44" s="934"/>
      <c r="F44" s="934"/>
      <c r="G44" s="934"/>
      <c r="H44" s="934"/>
      <c r="I44" s="935"/>
    </row>
    <row r="45" spans="1:9" ht="14.45" customHeight="1" x14ac:dyDescent="0.25">
      <c r="A45" s="936" t="s">
        <v>223</v>
      </c>
      <c r="B45" s="937"/>
      <c r="C45" s="937"/>
      <c r="D45" s="937"/>
      <c r="E45" s="937"/>
      <c r="F45" s="937"/>
      <c r="G45" s="937"/>
      <c r="H45" s="937"/>
      <c r="I45" s="938"/>
    </row>
    <row r="46" spans="1:9" ht="15.6" customHeight="1" x14ac:dyDescent="0.25">
      <c r="A46" s="936" t="s">
        <v>224</v>
      </c>
      <c r="B46" s="937"/>
      <c r="C46" s="937"/>
      <c r="D46" s="937"/>
      <c r="E46" s="937"/>
      <c r="F46" s="937"/>
      <c r="G46" s="937"/>
      <c r="H46" s="937"/>
      <c r="I46" s="938"/>
    </row>
    <row r="47" spans="1:9" ht="14.45" customHeight="1" x14ac:dyDescent="0.25">
      <c r="A47" s="936" t="s">
        <v>225</v>
      </c>
      <c r="B47" s="937"/>
      <c r="C47" s="937"/>
      <c r="D47" s="937"/>
      <c r="E47" s="937"/>
      <c r="F47" s="937"/>
      <c r="G47" s="937"/>
      <c r="H47" s="937"/>
      <c r="I47" s="938"/>
    </row>
    <row r="48" spans="1:9" ht="14.45" customHeight="1" x14ac:dyDescent="0.25">
      <c r="A48" s="936" t="s">
        <v>226</v>
      </c>
      <c r="B48" s="937"/>
      <c r="C48" s="937"/>
      <c r="D48" s="937"/>
      <c r="E48" s="937"/>
      <c r="F48" s="937"/>
      <c r="G48" s="937"/>
      <c r="H48" s="937"/>
      <c r="I48" s="938"/>
    </row>
    <row r="49" spans="1:9" ht="18" x14ac:dyDescent="0.25">
      <c r="A49" s="936"/>
      <c r="B49" s="937"/>
      <c r="C49" s="937"/>
      <c r="D49" s="937"/>
      <c r="E49" s="937"/>
      <c r="F49" s="937"/>
      <c r="G49" s="937"/>
      <c r="H49" s="937"/>
      <c r="I49" s="938"/>
    </row>
    <row r="50" spans="1:9" ht="14.45" customHeight="1" x14ac:dyDescent="0.25">
      <c r="A50" s="936"/>
      <c r="B50" s="937"/>
      <c r="C50" s="937"/>
      <c r="D50" s="937"/>
      <c r="E50" s="937"/>
      <c r="F50" s="937"/>
      <c r="G50" s="937"/>
      <c r="H50" s="937"/>
      <c r="I50" s="938"/>
    </row>
    <row r="51" spans="1:9" ht="14.45" customHeight="1" x14ac:dyDescent="0.25">
      <c r="A51" s="926"/>
      <c r="B51" s="927"/>
      <c r="C51" s="927"/>
      <c r="D51" s="927"/>
      <c r="E51" s="927"/>
      <c r="F51" s="927"/>
      <c r="G51" s="927"/>
      <c r="H51" s="927"/>
      <c r="I51" s="928"/>
    </row>
    <row r="52" spans="1:9" ht="18" customHeight="1" x14ac:dyDescent="0.25">
      <c r="A52" s="926"/>
      <c r="B52" s="927"/>
      <c r="C52" s="927"/>
      <c r="D52" s="927"/>
      <c r="E52" s="927"/>
      <c r="F52" s="927"/>
      <c r="G52" s="927"/>
      <c r="H52" s="927"/>
      <c r="I52" s="928"/>
    </row>
    <row r="53" spans="1:9" ht="14.45" customHeight="1" x14ac:dyDescent="0.25">
      <c r="A53" s="926"/>
      <c r="B53" s="927"/>
      <c r="C53" s="927"/>
      <c r="D53" s="927"/>
      <c r="E53" s="927"/>
      <c r="F53" s="927"/>
      <c r="G53" s="927"/>
      <c r="H53" s="927"/>
      <c r="I53" s="928"/>
    </row>
    <row r="54" spans="1:9" ht="14.45" customHeight="1" thickBot="1" x14ac:dyDescent="0.3">
      <c r="A54" s="926"/>
      <c r="B54" s="927"/>
      <c r="C54" s="927"/>
      <c r="D54" s="927"/>
      <c r="E54" s="927"/>
      <c r="F54" s="927"/>
      <c r="G54" s="927"/>
      <c r="H54" s="927"/>
      <c r="I54" s="928"/>
    </row>
    <row r="55" spans="1:9" ht="14.45" customHeight="1" x14ac:dyDescent="0.25">
      <c r="A55" s="939" t="s">
        <v>213</v>
      </c>
      <c r="B55" s="940"/>
      <c r="C55" s="940"/>
      <c r="D55" s="940"/>
      <c r="E55" s="940"/>
      <c r="F55" s="940"/>
      <c r="G55" s="940"/>
      <c r="H55" s="940"/>
      <c r="I55" s="940"/>
    </row>
    <row r="56" spans="1:9" ht="18" x14ac:dyDescent="0.25">
      <c r="A56" s="941" t="s">
        <v>227</v>
      </c>
      <c r="B56" s="942"/>
      <c r="C56" s="942"/>
      <c r="D56" s="942"/>
      <c r="E56" s="942"/>
      <c r="F56" s="942"/>
      <c r="G56" s="942"/>
      <c r="H56" s="942"/>
      <c r="I56" s="942"/>
    </row>
    <row r="57" spans="1:9" ht="18" x14ac:dyDescent="0.25">
      <c r="A57" s="941"/>
      <c r="B57" s="942"/>
      <c r="C57" s="942"/>
      <c r="D57" s="942"/>
      <c r="E57" s="942"/>
      <c r="F57" s="942"/>
      <c r="G57" s="942"/>
      <c r="H57" s="942"/>
      <c r="I57" s="94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8898-8438-4D56-878A-CDC2DAD88E52}">
  <dimension ref="A1:L57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2" ht="15" x14ac:dyDescent="0.2">
      <c r="A1" s="752"/>
      <c r="B1" s="753"/>
      <c r="C1" s="680" t="s">
        <v>22</v>
      </c>
      <c r="D1" s="680"/>
      <c r="E1" s="680"/>
      <c r="F1" s="680"/>
      <c r="G1" s="680"/>
      <c r="H1" s="189" t="s">
        <v>21</v>
      </c>
      <c r="I1" s="2" t="s">
        <v>184</v>
      </c>
    </row>
    <row r="2" spans="1:12" ht="16.5" thickBot="1" x14ac:dyDescent="0.3">
      <c r="A2" s="754"/>
      <c r="B2" s="755"/>
      <c r="C2" s="681" t="s">
        <v>0</v>
      </c>
      <c r="D2" s="682"/>
      <c r="E2" s="682"/>
      <c r="F2" s="682"/>
      <c r="G2" s="683"/>
      <c r="H2" s="190" t="s">
        <v>20</v>
      </c>
      <c r="I2" s="191" t="s">
        <v>185</v>
      </c>
    </row>
    <row r="3" spans="1:12" ht="18.75" thickBot="1" x14ac:dyDescent="0.25">
      <c r="A3" s="754"/>
      <c r="B3" s="755"/>
      <c r="C3" s="814" t="s">
        <v>186</v>
      </c>
      <c r="D3" s="815"/>
      <c r="E3" s="815"/>
      <c r="F3" s="815"/>
      <c r="G3" s="816"/>
      <c r="H3" s="762" t="s">
        <v>19</v>
      </c>
      <c r="I3" s="743">
        <v>45618</v>
      </c>
    </row>
    <row r="4" spans="1:12" ht="13.5" x14ac:dyDescent="0.25">
      <c r="A4" s="754"/>
      <c r="B4" s="755"/>
      <c r="C4" s="192" t="s">
        <v>18</v>
      </c>
      <c r="D4" s="746" t="s">
        <v>187</v>
      </c>
      <c r="E4" s="747"/>
      <c r="F4" s="747"/>
      <c r="G4" s="748"/>
      <c r="H4" s="763"/>
      <c r="I4" s="744"/>
    </row>
    <row r="5" spans="1:12" ht="14.25" thickBot="1" x14ac:dyDescent="0.3">
      <c r="A5" s="756"/>
      <c r="B5" s="757"/>
      <c r="C5" s="193" t="s">
        <v>17</v>
      </c>
      <c r="D5" s="749" t="s">
        <v>188</v>
      </c>
      <c r="E5" s="750"/>
      <c r="F5" s="750"/>
      <c r="G5" s="751"/>
      <c r="H5" s="764"/>
      <c r="I5" s="745"/>
    </row>
    <row r="6" spans="1:12" ht="18.75" thickBot="1" x14ac:dyDescent="0.3">
      <c r="A6" s="629" t="s">
        <v>23</v>
      </c>
      <c r="B6" s="629"/>
      <c r="C6" s="629"/>
      <c r="D6" s="630" t="s">
        <v>30</v>
      </c>
      <c r="E6" s="630"/>
      <c r="F6" s="630"/>
      <c r="G6" s="582" t="s">
        <v>24</v>
      </c>
      <c r="H6" s="582"/>
      <c r="I6" s="47" t="s">
        <v>30</v>
      </c>
    </row>
    <row r="7" spans="1:12" x14ac:dyDescent="0.2">
      <c r="A7" s="765" t="s">
        <v>1</v>
      </c>
      <c r="B7" s="767" t="s">
        <v>189</v>
      </c>
      <c r="C7" s="769" t="s">
        <v>2</v>
      </c>
      <c r="D7" s="769" t="s">
        <v>3</v>
      </c>
      <c r="E7" s="769" t="s">
        <v>4</v>
      </c>
      <c r="F7" s="769"/>
      <c r="G7" s="769" t="s">
        <v>16</v>
      </c>
      <c r="H7" s="769"/>
      <c r="I7" s="194" t="s">
        <v>5</v>
      </c>
    </row>
    <row r="8" spans="1:12" ht="26.25" thickBot="1" x14ac:dyDescent="0.25">
      <c r="A8" s="766"/>
      <c r="B8" s="768"/>
      <c r="C8" s="770"/>
      <c r="D8" s="770"/>
      <c r="E8" s="195" t="s">
        <v>6</v>
      </c>
      <c r="F8" s="196" t="s">
        <v>7</v>
      </c>
      <c r="G8" s="195" t="s">
        <v>6</v>
      </c>
      <c r="H8" s="196" t="s">
        <v>7</v>
      </c>
      <c r="I8" s="197" t="s">
        <v>8</v>
      </c>
    </row>
    <row r="9" spans="1:12" ht="15" x14ac:dyDescent="0.25">
      <c r="A9" s="198"/>
      <c r="B9" s="199"/>
      <c r="C9" s="200" t="s">
        <v>190</v>
      </c>
      <c r="D9" s="201"/>
      <c r="E9" s="202"/>
      <c r="F9" s="203"/>
      <c r="G9" s="202"/>
      <c r="H9" s="203"/>
      <c r="I9" s="204"/>
    </row>
    <row r="10" spans="1:12" ht="15" x14ac:dyDescent="0.25">
      <c r="A10" s="205" t="s">
        <v>191</v>
      </c>
      <c r="B10" s="206" t="s">
        <v>192</v>
      </c>
      <c r="C10" s="207" t="s">
        <v>193</v>
      </c>
      <c r="D10" s="208" t="s">
        <v>38</v>
      </c>
      <c r="E10" s="209">
        <v>46000</v>
      </c>
      <c r="F10" s="210" t="s">
        <v>27</v>
      </c>
      <c r="G10" s="211"/>
      <c r="H10" s="212"/>
      <c r="I10" s="204"/>
      <c r="K10">
        <f>+E10/D41</f>
        <v>313.4065934065934</v>
      </c>
      <c r="L10">
        <f>+K10/1000</f>
        <v>0.31340659340659338</v>
      </c>
    </row>
    <row r="11" spans="1:12" ht="15" x14ac:dyDescent="0.25">
      <c r="A11" s="208">
        <v>902000019</v>
      </c>
      <c r="B11" s="208"/>
      <c r="C11" s="213" t="s">
        <v>194</v>
      </c>
      <c r="D11" s="208" t="s">
        <v>38</v>
      </c>
      <c r="E11" s="209">
        <v>2600</v>
      </c>
      <c r="F11" s="210" t="s">
        <v>27</v>
      </c>
      <c r="G11" s="211"/>
      <c r="H11" s="212"/>
      <c r="I11" s="204"/>
      <c r="K11">
        <f>+E11/D41</f>
        <v>17.714285714285712</v>
      </c>
    </row>
    <row r="12" spans="1:12" ht="15" x14ac:dyDescent="0.25">
      <c r="A12" s="208"/>
      <c r="B12" s="208"/>
      <c r="C12" s="213"/>
      <c r="D12" s="208"/>
      <c r="E12" s="209"/>
      <c r="F12" s="210"/>
      <c r="G12" s="211"/>
      <c r="H12" s="212"/>
      <c r="I12" s="204"/>
    </row>
    <row r="13" spans="1:12" ht="15" x14ac:dyDescent="0.25">
      <c r="A13" s="208"/>
      <c r="B13" s="208"/>
      <c r="C13" s="213"/>
      <c r="D13" s="208"/>
      <c r="E13" s="209"/>
      <c r="F13" s="210"/>
      <c r="G13" s="211"/>
      <c r="H13" s="212"/>
      <c r="I13" s="204"/>
    </row>
    <row r="14" spans="1:12" ht="15" x14ac:dyDescent="0.25">
      <c r="A14" s="208"/>
      <c r="B14" s="208"/>
      <c r="C14" s="213"/>
      <c r="D14" s="208"/>
      <c r="E14" s="209"/>
      <c r="F14" s="210"/>
      <c r="G14" s="211"/>
      <c r="H14" s="212"/>
      <c r="I14" s="204"/>
    </row>
    <row r="15" spans="1:12" ht="15" x14ac:dyDescent="0.25">
      <c r="A15" s="208"/>
      <c r="B15" s="208"/>
      <c r="C15" s="213"/>
      <c r="D15" s="208"/>
      <c r="E15" s="209"/>
      <c r="F15" s="210"/>
      <c r="G15" s="211"/>
      <c r="H15" s="212"/>
      <c r="I15" s="204"/>
    </row>
    <row r="16" spans="1:12" ht="15" x14ac:dyDescent="0.25">
      <c r="A16" s="208"/>
      <c r="B16" s="208"/>
      <c r="C16" s="213"/>
      <c r="D16" s="208"/>
      <c r="E16" s="209"/>
      <c r="F16" s="210"/>
      <c r="G16" s="211"/>
      <c r="H16" s="212"/>
      <c r="I16" s="204"/>
    </row>
    <row r="17" spans="1:11" ht="15" x14ac:dyDescent="0.25">
      <c r="A17" s="208"/>
      <c r="B17" s="208"/>
      <c r="C17" s="213"/>
      <c r="D17" s="208"/>
      <c r="E17" s="209"/>
      <c r="F17" s="210"/>
      <c r="G17" s="211"/>
      <c r="H17" s="212"/>
      <c r="I17" s="204"/>
    </row>
    <row r="18" spans="1:11" ht="15" x14ac:dyDescent="0.25">
      <c r="A18" s="208"/>
      <c r="B18" s="208"/>
      <c r="C18" s="213"/>
      <c r="D18" s="208"/>
      <c r="E18" s="209"/>
      <c r="F18" s="210"/>
      <c r="G18" s="211"/>
      <c r="H18" s="212"/>
      <c r="I18" s="204"/>
    </row>
    <row r="19" spans="1:11" ht="15" x14ac:dyDescent="0.25">
      <c r="A19" s="208"/>
      <c r="B19" s="208"/>
      <c r="C19" s="213"/>
      <c r="D19" s="208"/>
      <c r="E19" s="209"/>
      <c r="F19" s="210"/>
      <c r="G19" s="211"/>
      <c r="H19" s="212"/>
      <c r="I19" s="204"/>
      <c r="K19" s="214">
        <f>SUM(E10:E11)</f>
        <v>48600</v>
      </c>
    </row>
    <row r="20" spans="1:11" ht="15.75" x14ac:dyDescent="0.25">
      <c r="A20" s="215"/>
      <c r="B20" s="215"/>
      <c r="C20" s="207"/>
      <c r="D20" s="216"/>
      <c r="E20" s="216"/>
      <c r="F20" s="216"/>
      <c r="G20" s="59"/>
      <c r="H20" s="212"/>
      <c r="I20" s="204"/>
    </row>
    <row r="21" spans="1:11" ht="15.75" x14ac:dyDescent="0.25">
      <c r="A21" s="217"/>
      <c r="B21" s="218"/>
      <c r="C21" s="219" t="s">
        <v>195</v>
      </c>
      <c r="D21" s="216"/>
      <c r="E21" s="216"/>
      <c r="F21" s="216"/>
      <c r="G21" s="59"/>
      <c r="H21" s="212"/>
      <c r="I21" s="204"/>
    </row>
    <row r="22" spans="1:11" ht="15" x14ac:dyDescent="0.25">
      <c r="A22" s="205"/>
      <c r="B22" s="206"/>
      <c r="C22" s="207"/>
      <c r="D22" s="220"/>
      <c r="E22" s="220"/>
      <c r="F22" s="220"/>
      <c r="G22" s="202"/>
      <c r="H22" s="212"/>
      <c r="I22" s="204"/>
    </row>
    <row r="23" spans="1:11" ht="15" x14ac:dyDescent="0.25">
      <c r="A23" s="221"/>
      <c r="B23" s="215"/>
      <c r="C23" s="207"/>
      <c r="D23" s="220"/>
      <c r="E23" s="220"/>
      <c r="F23" s="220"/>
      <c r="G23" s="202"/>
      <c r="H23" s="212"/>
      <c r="I23" s="204"/>
    </row>
    <row r="24" spans="1:11" ht="15" x14ac:dyDescent="0.25">
      <c r="A24" s="221"/>
      <c r="B24" s="215"/>
      <c r="C24" s="207"/>
      <c r="D24" s="220"/>
      <c r="E24" s="220"/>
      <c r="F24" s="220"/>
      <c r="G24" s="202"/>
      <c r="H24" s="212"/>
      <c r="I24" s="204"/>
    </row>
    <row r="25" spans="1:11" ht="15.75" x14ac:dyDescent="0.25">
      <c r="A25" s="217"/>
      <c r="B25" s="218"/>
      <c r="C25" s="219"/>
      <c r="D25" s="222"/>
      <c r="E25" s="223"/>
      <c r="F25" s="224"/>
      <c r="G25" s="202"/>
      <c r="H25" s="212"/>
      <c r="I25" s="204"/>
    </row>
    <row r="26" spans="1:11" ht="15" x14ac:dyDescent="0.25">
      <c r="A26" s="225"/>
      <c r="B26" s="226"/>
      <c r="C26" s="227"/>
      <c r="D26" s="228"/>
      <c r="E26" s="229"/>
      <c r="F26" s="230"/>
      <c r="G26" s="202"/>
      <c r="H26" s="212"/>
      <c r="I26" s="204"/>
    </row>
    <row r="27" spans="1:11" ht="15" x14ac:dyDescent="0.25">
      <c r="A27" s="206"/>
      <c r="B27" s="206"/>
      <c r="C27" s="207"/>
      <c r="D27" s="231"/>
      <c r="E27" s="232"/>
      <c r="F27" s="233"/>
      <c r="G27" s="202"/>
      <c r="H27" s="212"/>
      <c r="I27" s="204"/>
    </row>
    <row r="28" spans="1:11" ht="15.75" x14ac:dyDescent="0.25">
      <c r="A28" s="234"/>
      <c r="B28" s="235"/>
      <c r="C28" s="236" t="s">
        <v>196</v>
      </c>
      <c r="D28" s="237"/>
      <c r="E28" s="238"/>
      <c r="F28" s="203"/>
      <c r="G28" s="202"/>
      <c r="H28" s="212"/>
      <c r="I28" s="204"/>
    </row>
    <row r="29" spans="1:11" ht="15" x14ac:dyDescent="0.25">
      <c r="A29" s="239">
        <v>702007</v>
      </c>
      <c r="B29" s="240" t="s">
        <v>197</v>
      </c>
      <c r="C29" s="241" t="s">
        <v>198</v>
      </c>
      <c r="D29" s="75" t="s">
        <v>199</v>
      </c>
      <c r="E29" s="242">
        <v>11.821428571428571</v>
      </c>
      <c r="F29" s="243" t="s">
        <v>84</v>
      </c>
      <c r="G29" s="244"/>
      <c r="H29" s="212"/>
      <c r="I29" s="204"/>
    </row>
    <row r="30" spans="1:11" ht="15" x14ac:dyDescent="0.25">
      <c r="A30" s="239">
        <v>702123</v>
      </c>
      <c r="B30" s="240" t="s">
        <v>96</v>
      </c>
      <c r="C30" s="241" t="s">
        <v>200</v>
      </c>
      <c r="D30" s="75" t="s">
        <v>38</v>
      </c>
      <c r="E30" s="242">
        <v>10</v>
      </c>
      <c r="F30" s="243" t="s">
        <v>84</v>
      </c>
      <c r="G30" s="244"/>
      <c r="H30" s="212"/>
      <c r="I30" s="204"/>
    </row>
    <row r="31" spans="1:11" ht="15" x14ac:dyDescent="0.25">
      <c r="A31" s="245"/>
      <c r="B31" s="206" t="s">
        <v>201</v>
      </c>
      <c r="C31" t="s">
        <v>202</v>
      </c>
      <c r="D31" s="75"/>
      <c r="E31" s="242">
        <v>17</v>
      </c>
      <c r="F31" s="243" t="s">
        <v>203</v>
      </c>
      <c r="G31" s="244"/>
      <c r="H31" s="212"/>
      <c r="I31" s="204"/>
    </row>
    <row r="32" spans="1:11" ht="15" x14ac:dyDescent="0.25">
      <c r="A32" s="246"/>
      <c r="B32" s="246"/>
      <c r="C32" s="247"/>
      <c r="D32" s="75"/>
      <c r="E32" s="242"/>
      <c r="F32" s="243"/>
      <c r="G32" s="202"/>
      <c r="H32" s="212"/>
      <c r="I32" s="204"/>
    </row>
    <row r="33" spans="1:9" ht="15" x14ac:dyDescent="0.25">
      <c r="A33" s="246"/>
      <c r="B33" s="246"/>
      <c r="C33" s="247"/>
      <c r="D33" s="75"/>
      <c r="E33" s="242"/>
      <c r="F33" s="243"/>
      <c r="G33" s="202"/>
      <c r="H33" s="212"/>
      <c r="I33" s="204"/>
    </row>
    <row r="34" spans="1:9" ht="15" x14ac:dyDescent="0.25">
      <c r="A34" s="246"/>
      <c r="B34" s="246"/>
      <c r="C34" s="247"/>
      <c r="D34" s="75"/>
      <c r="E34" s="242"/>
      <c r="F34" s="243"/>
      <c r="G34" s="248"/>
      <c r="H34" s="212"/>
      <c r="I34" s="204"/>
    </row>
    <row r="35" spans="1:9" ht="15.75" x14ac:dyDescent="0.25">
      <c r="A35" s="246"/>
      <c r="B35" s="246"/>
      <c r="C35" s="247"/>
      <c r="D35" s="216"/>
      <c r="E35" s="242"/>
      <c r="F35" s="243"/>
      <c r="G35" s="249"/>
      <c r="H35" s="212"/>
      <c r="I35" s="204"/>
    </row>
    <row r="36" spans="1:9" ht="15" x14ac:dyDescent="0.25">
      <c r="A36" s="250"/>
      <c r="B36" s="250"/>
      <c r="C36" s="251"/>
      <c r="D36" s="75"/>
      <c r="E36" s="233"/>
      <c r="F36" s="233"/>
      <c r="G36" s="249"/>
      <c r="H36" s="203"/>
      <c r="I36" s="204"/>
    </row>
    <row r="37" spans="1:9" ht="14.25" thickBot="1" x14ac:dyDescent="0.3">
      <c r="A37" s="252"/>
      <c r="B37" s="253"/>
      <c r="C37" s="254" t="s">
        <v>204</v>
      </c>
      <c r="D37" s="254"/>
      <c r="E37" s="255"/>
      <c r="F37" s="256"/>
      <c r="G37" s="254"/>
      <c r="H37" s="254"/>
      <c r="I37" s="257"/>
    </row>
    <row r="38" spans="1:9" ht="14.25" thickBot="1" x14ac:dyDescent="0.3">
      <c r="A38" s="258"/>
      <c r="B38" s="259"/>
      <c r="C38" s="260" t="s">
        <v>204</v>
      </c>
      <c r="D38" s="261" t="s">
        <v>6</v>
      </c>
      <c r="E38" s="262" t="s">
        <v>15</v>
      </c>
      <c r="F38" s="263"/>
      <c r="G38" s="260"/>
      <c r="H38" s="260"/>
      <c r="I38" s="264"/>
    </row>
    <row r="39" spans="1:9" ht="13.5" x14ac:dyDescent="0.25">
      <c r="A39" s="771" t="s">
        <v>10</v>
      </c>
      <c r="B39" s="772"/>
      <c r="C39" s="773"/>
      <c r="D39" s="265">
        <v>45500</v>
      </c>
      <c r="E39" s="266" t="s">
        <v>27</v>
      </c>
      <c r="F39" s="774" t="s">
        <v>205</v>
      </c>
      <c r="G39" s="774"/>
      <c r="H39" s="775"/>
      <c r="I39" s="776"/>
    </row>
    <row r="40" spans="1:9" ht="13.5" x14ac:dyDescent="0.25">
      <c r="A40" s="777" t="s">
        <v>9</v>
      </c>
      <c r="B40" s="778"/>
      <c r="C40" s="779"/>
      <c r="D40" s="232">
        <v>50</v>
      </c>
      <c r="E40" s="59" t="s">
        <v>28</v>
      </c>
      <c r="F40" s="780" t="s">
        <v>206</v>
      </c>
      <c r="G40" s="780"/>
      <c r="H40" s="781"/>
      <c r="I40" s="782"/>
    </row>
    <row r="41" spans="1:9" ht="13.5" x14ac:dyDescent="0.25">
      <c r="A41" s="777" t="s">
        <v>14</v>
      </c>
      <c r="B41" s="778"/>
      <c r="C41" s="779"/>
      <c r="D41" s="232">
        <f>D39/D42</f>
        <v>146.7741935483871</v>
      </c>
      <c r="E41" s="59" t="s">
        <v>84</v>
      </c>
      <c r="F41" s="780" t="s">
        <v>207</v>
      </c>
      <c r="G41" s="780"/>
      <c r="H41" s="781"/>
      <c r="I41" s="782"/>
    </row>
    <row r="42" spans="1:9" ht="13.5" x14ac:dyDescent="0.25">
      <c r="A42" s="777" t="s">
        <v>13</v>
      </c>
      <c r="B42" s="778"/>
      <c r="C42" s="779"/>
      <c r="D42" s="232">
        <v>310</v>
      </c>
      <c r="E42" s="59" t="s">
        <v>27</v>
      </c>
      <c r="F42" s="784" t="s">
        <v>208</v>
      </c>
      <c r="G42" s="785"/>
      <c r="H42" s="943"/>
      <c r="I42" s="944"/>
    </row>
    <row r="43" spans="1:9" ht="14.25" thickBot="1" x14ac:dyDescent="0.3">
      <c r="A43" s="786" t="s">
        <v>12</v>
      </c>
      <c r="B43" s="787"/>
      <c r="C43" s="788"/>
      <c r="D43" s="267">
        <f>SUM(E10:E11)-D39</f>
        <v>3100</v>
      </c>
      <c r="E43" s="268" t="s">
        <v>27</v>
      </c>
      <c r="F43" s="789"/>
      <c r="G43" s="789"/>
      <c r="H43" s="781"/>
      <c r="I43" s="782"/>
    </row>
    <row r="44" spans="1:9" ht="13.5" thickBot="1" x14ac:dyDescent="0.25">
      <c r="A44" s="792" t="s">
        <v>11</v>
      </c>
      <c r="B44" s="793"/>
      <c r="C44" s="793"/>
      <c r="D44" s="793"/>
      <c r="E44" s="793"/>
      <c r="F44" s="793"/>
      <c r="G44" s="793"/>
      <c r="H44" s="793"/>
      <c r="I44" s="794"/>
    </row>
    <row r="45" spans="1:9" ht="13.5" x14ac:dyDescent="0.25">
      <c r="A45" s="948" t="s">
        <v>209</v>
      </c>
      <c r="B45" s="949"/>
      <c r="C45" s="949"/>
      <c r="D45" s="949"/>
      <c r="E45" s="949"/>
      <c r="F45" s="949"/>
      <c r="G45" s="949"/>
      <c r="H45" s="949"/>
      <c r="I45" s="950"/>
    </row>
    <row r="46" spans="1:9" ht="13.5" x14ac:dyDescent="0.25">
      <c r="A46" s="951" t="s">
        <v>210</v>
      </c>
      <c r="B46" s="952"/>
      <c r="C46" s="952"/>
      <c r="D46" s="952"/>
      <c r="E46" s="952"/>
      <c r="F46" s="952"/>
      <c r="G46" s="952"/>
      <c r="H46" s="952"/>
      <c r="I46" s="953"/>
    </row>
    <row r="47" spans="1:9" ht="14.25" thickBot="1" x14ac:dyDescent="0.3">
      <c r="A47" s="954" t="s">
        <v>211</v>
      </c>
      <c r="B47" s="955"/>
      <c r="C47" s="955"/>
      <c r="D47" s="955"/>
      <c r="E47" s="955"/>
      <c r="F47" s="955"/>
      <c r="G47" s="955"/>
      <c r="H47" s="955"/>
      <c r="I47" s="956"/>
    </row>
    <row r="48" spans="1:9" ht="15" x14ac:dyDescent="0.25">
      <c r="A48" s="957" t="s">
        <v>212</v>
      </c>
      <c r="B48" s="958"/>
      <c r="C48" s="958"/>
      <c r="D48" s="958"/>
      <c r="E48" s="958"/>
      <c r="F48" s="958"/>
      <c r="G48" s="958"/>
      <c r="H48" s="958"/>
      <c r="I48" s="959"/>
    </row>
    <row r="49" spans="1:9" ht="13.5" x14ac:dyDescent="0.25">
      <c r="A49" s="960"/>
      <c r="B49" s="961"/>
      <c r="C49" s="961"/>
      <c r="D49" s="961"/>
      <c r="E49" s="961"/>
      <c r="F49" s="961"/>
      <c r="G49" s="961"/>
      <c r="H49" s="961"/>
      <c r="I49" s="962"/>
    </row>
    <row r="50" spans="1:9" ht="13.5" x14ac:dyDescent="0.25">
      <c r="A50" s="963"/>
      <c r="B50" s="946"/>
      <c r="C50" s="946"/>
      <c r="D50" s="946"/>
      <c r="E50" s="946"/>
      <c r="F50" s="946"/>
      <c r="G50" s="946"/>
      <c r="H50" s="946"/>
      <c r="I50" s="964"/>
    </row>
    <row r="51" spans="1:9" ht="13.5" x14ac:dyDescent="0.25">
      <c r="A51" s="945"/>
      <c r="B51" s="946"/>
      <c r="C51" s="946"/>
      <c r="D51" s="946"/>
      <c r="E51" s="946"/>
      <c r="F51" s="946"/>
      <c r="G51" s="946"/>
      <c r="H51" s="946"/>
      <c r="I51" s="947"/>
    </row>
    <row r="52" spans="1:9" ht="13.5" x14ac:dyDescent="0.25">
      <c r="A52" s="945"/>
      <c r="B52" s="946"/>
      <c r="C52" s="946"/>
      <c r="D52" s="946"/>
      <c r="E52" s="946"/>
      <c r="F52" s="946"/>
      <c r="G52" s="946"/>
      <c r="H52" s="946"/>
      <c r="I52" s="947"/>
    </row>
    <row r="53" spans="1:9" ht="13.5" x14ac:dyDescent="0.25">
      <c r="A53" s="945"/>
      <c r="B53" s="946"/>
      <c r="C53" s="946"/>
      <c r="D53" s="946"/>
      <c r="E53" s="946"/>
      <c r="F53" s="946"/>
      <c r="G53" s="946"/>
      <c r="H53" s="946"/>
      <c r="I53" s="947"/>
    </row>
    <row r="54" spans="1:9" ht="14.25" thickBot="1" x14ac:dyDescent="0.3">
      <c r="A54" s="945"/>
      <c r="B54" s="946"/>
      <c r="C54" s="946"/>
      <c r="D54" s="946"/>
      <c r="E54" s="946"/>
      <c r="F54" s="946"/>
      <c r="G54" s="946"/>
      <c r="H54" s="946"/>
      <c r="I54" s="947"/>
    </row>
    <row r="55" spans="1:9" x14ac:dyDescent="0.2">
      <c r="A55" s="798" t="s">
        <v>213</v>
      </c>
      <c r="B55" s="799"/>
      <c r="C55" s="799"/>
      <c r="D55" s="799"/>
      <c r="E55" s="799"/>
      <c r="F55" s="799"/>
      <c r="G55" s="799"/>
      <c r="H55" s="799"/>
      <c r="I55" s="799"/>
    </row>
    <row r="56" spans="1:9" ht="13.5" x14ac:dyDescent="0.25">
      <c r="A56" s="749" t="s">
        <v>214</v>
      </c>
      <c r="B56" s="750"/>
      <c r="C56" s="750"/>
      <c r="D56" s="750"/>
      <c r="E56" s="750"/>
      <c r="F56" s="750"/>
      <c r="G56" s="750"/>
      <c r="H56" s="750"/>
      <c r="I56" s="751"/>
    </row>
    <row r="57" spans="1:9" ht="13.5" x14ac:dyDescent="0.25">
      <c r="A57" s="800"/>
      <c r="B57" s="801"/>
      <c r="C57" s="801"/>
      <c r="D57" s="801"/>
      <c r="E57" s="801"/>
      <c r="F57" s="801"/>
      <c r="G57" s="801"/>
      <c r="H57" s="801"/>
      <c r="I57" s="80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32D5-0D7A-42F2-8413-FA6955AD167A}">
  <sheetPr>
    <pageSetUpPr fitToPage="1"/>
  </sheetPr>
  <dimension ref="A1:J50"/>
  <sheetViews>
    <sheetView zoomScaleNormal="100" workbookViewId="0">
      <selection activeCell="C16" sqref="C16"/>
    </sheetView>
  </sheetViews>
  <sheetFormatPr baseColWidth="10" defaultRowHeight="12.75" x14ac:dyDescent="0.2"/>
  <cols>
    <col min="1" max="1" width="14.85546875" customWidth="1"/>
    <col min="2" max="2" width="34.140625" customWidth="1"/>
    <col min="3" max="3" width="15.42578125" customWidth="1"/>
    <col min="7" max="7" width="17" customWidth="1"/>
    <col min="8" max="8" width="15.7109375" customWidth="1"/>
  </cols>
  <sheetData>
    <row r="1" spans="1:8" ht="18" x14ac:dyDescent="0.25">
      <c r="A1" s="616"/>
      <c r="B1" s="626" t="s">
        <v>22</v>
      </c>
      <c r="C1" s="626"/>
      <c r="D1" s="626"/>
      <c r="E1" s="626"/>
      <c r="F1" s="626"/>
      <c r="G1" s="1" t="s">
        <v>21</v>
      </c>
      <c r="H1" s="2"/>
    </row>
    <row r="2" spans="1:8" ht="18" x14ac:dyDescent="0.25">
      <c r="A2" s="617"/>
      <c r="B2" s="627" t="s">
        <v>0</v>
      </c>
      <c r="C2" s="627"/>
      <c r="D2" s="627"/>
      <c r="E2" s="627"/>
      <c r="F2" s="627"/>
      <c r="G2" s="4" t="s">
        <v>20</v>
      </c>
      <c r="H2" s="5"/>
    </row>
    <row r="3" spans="1:8" ht="15" x14ac:dyDescent="0.2">
      <c r="A3" s="617"/>
      <c r="B3" s="628" t="s">
        <v>32</v>
      </c>
      <c r="C3" s="628"/>
      <c r="D3" s="628"/>
      <c r="E3" s="628"/>
      <c r="F3" s="628"/>
      <c r="G3" s="583" t="s">
        <v>19</v>
      </c>
      <c r="H3" s="623"/>
    </row>
    <row r="4" spans="1:8" x14ac:dyDescent="0.2">
      <c r="A4" s="617"/>
      <c r="B4" s="40" t="s">
        <v>18</v>
      </c>
      <c r="C4" s="622" t="s">
        <v>26</v>
      </c>
      <c r="D4" s="622"/>
      <c r="E4" s="622"/>
      <c r="F4" s="622"/>
      <c r="G4" s="583"/>
      <c r="H4" s="623"/>
    </row>
    <row r="5" spans="1:8" ht="13.5" thickBot="1" x14ac:dyDescent="0.25">
      <c r="A5" s="618"/>
      <c r="B5" s="41" t="s">
        <v>17</v>
      </c>
      <c r="C5" s="625" t="s">
        <v>33</v>
      </c>
      <c r="D5" s="625"/>
      <c r="E5" s="625"/>
      <c r="F5" s="625"/>
      <c r="G5" s="584"/>
      <c r="H5" s="624"/>
    </row>
    <row r="6" spans="1:8" x14ac:dyDescent="0.2">
      <c r="A6" s="35"/>
      <c r="B6" s="36"/>
      <c r="C6" s="37"/>
      <c r="D6" s="37"/>
      <c r="E6" s="37"/>
      <c r="F6" s="37"/>
      <c r="G6" s="38"/>
      <c r="H6" s="39"/>
    </row>
    <row r="7" spans="1:8" ht="18.75" thickBot="1" x14ac:dyDescent="0.3">
      <c r="A7" s="629" t="s">
        <v>23</v>
      </c>
      <c r="B7" s="629"/>
      <c r="C7" s="630" t="s">
        <v>34</v>
      </c>
      <c r="D7" s="630"/>
      <c r="E7" s="630"/>
      <c r="F7" s="582" t="s">
        <v>24</v>
      </c>
      <c r="G7" s="582"/>
      <c r="H7" s="47" t="s">
        <v>34</v>
      </c>
    </row>
    <row r="8" spans="1:8" ht="25.5" x14ac:dyDescent="0.2">
      <c r="A8" s="619" t="s">
        <v>1</v>
      </c>
      <c r="B8" s="585" t="s">
        <v>2</v>
      </c>
      <c r="C8" s="585" t="s">
        <v>3</v>
      </c>
      <c r="D8" s="585" t="s">
        <v>4</v>
      </c>
      <c r="E8" s="585"/>
      <c r="F8" s="585" t="s">
        <v>16</v>
      </c>
      <c r="G8" s="585"/>
      <c r="H8" s="6" t="s">
        <v>5</v>
      </c>
    </row>
    <row r="9" spans="1:8" ht="26.25" thickBot="1" x14ac:dyDescent="0.25">
      <c r="A9" s="620"/>
      <c r="B9" s="621"/>
      <c r="C9" s="621"/>
      <c r="D9" s="7" t="s">
        <v>6</v>
      </c>
      <c r="E9" s="8" t="s">
        <v>7</v>
      </c>
      <c r="F9" s="7" t="s">
        <v>6</v>
      </c>
      <c r="G9" s="8" t="s">
        <v>7</v>
      </c>
      <c r="H9" s="46" t="s">
        <v>8</v>
      </c>
    </row>
    <row r="10" spans="1:8" x14ac:dyDescent="0.2">
      <c r="A10" s="179" t="s">
        <v>104</v>
      </c>
      <c r="B10" s="180" t="s">
        <v>105</v>
      </c>
      <c r="C10" s="44" t="s">
        <v>38</v>
      </c>
      <c r="D10" s="44">
        <v>300</v>
      </c>
      <c r="E10" s="44" t="s">
        <v>27</v>
      </c>
      <c r="F10" s="969" t="s">
        <v>68</v>
      </c>
      <c r="G10" s="970"/>
      <c r="H10" s="45"/>
    </row>
    <row r="11" spans="1:8" x14ac:dyDescent="0.2">
      <c r="A11" s="179" t="s">
        <v>48</v>
      </c>
      <c r="B11" s="180" t="s">
        <v>115</v>
      </c>
      <c r="C11" s="44" t="s">
        <v>38</v>
      </c>
      <c r="D11" s="44">
        <v>120</v>
      </c>
      <c r="E11" s="44" t="s">
        <v>27</v>
      </c>
      <c r="F11" s="965" t="s">
        <v>106</v>
      </c>
      <c r="G11" s="966"/>
      <c r="H11" s="45"/>
    </row>
    <row r="12" spans="1:8" x14ac:dyDescent="0.2">
      <c r="A12" s="181" t="s">
        <v>48</v>
      </c>
      <c r="B12" s="182" t="s">
        <v>64</v>
      </c>
      <c r="C12" s="44" t="s">
        <v>65</v>
      </c>
      <c r="D12" s="44">
        <v>380</v>
      </c>
      <c r="E12" s="44" t="s">
        <v>27</v>
      </c>
      <c r="F12" s="965" t="s">
        <v>71</v>
      </c>
      <c r="G12" s="966"/>
      <c r="H12" s="45"/>
    </row>
    <row r="13" spans="1:8" x14ac:dyDescent="0.2">
      <c r="A13" s="63" t="s">
        <v>48</v>
      </c>
      <c r="B13" s="58" t="s">
        <v>108</v>
      </c>
      <c r="C13" s="44" t="s">
        <v>38</v>
      </c>
      <c r="D13" s="44">
        <v>380</v>
      </c>
      <c r="E13" s="44" t="s">
        <v>27</v>
      </c>
      <c r="F13" s="967" t="s">
        <v>73</v>
      </c>
      <c r="G13" s="968"/>
      <c r="H13" s="45"/>
    </row>
    <row r="14" spans="1:8" x14ac:dyDescent="0.2">
      <c r="A14" s="64"/>
      <c r="B14" s="56"/>
      <c r="C14" s="44"/>
      <c r="D14" s="44"/>
      <c r="E14" s="44"/>
      <c r="F14" s="28"/>
      <c r="G14" s="44"/>
      <c r="H14" s="45"/>
    </row>
    <row r="15" spans="1:8" x14ac:dyDescent="0.2">
      <c r="A15" s="64"/>
      <c r="B15" s="65" t="s">
        <v>74</v>
      </c>
      <c r="C15" s="44"/>
      <c r="D15" s="44"/>
      <c r="E15" s="44"/>
      <c r="F15" s="28"/>
      <c r="G15" s="44"/>
      <c r="H15" s="45"/>
    </row>
    <row r="16" spans="1:8" x14ac:dyDescent="0.2">
      <c r="A16" s="183" t="s">
        <v>75</v>
      </c>
      <c r="B16" s="184" t="s">
        <v>76</v>
      </c>
      <c r="C16" s="185" t="s">
        <v>38</v>
      </c>
      <c r="D16" s="185">
        <v>90</v>
      </c>
      <c r="E16" s="44" t="s">
        <v>27</v>
      </c>
      <c r="F16" s="28"/>
      <c r="G16" s="44"/>
      <c r="H16" s="45"/>
    </row>
    <row r="17" spans="1:10" x14ac:dyDescent="0.2">
      <c r="A17" s="183" t="s">
        <v>75</v>
      </c>
      <c r="B17" s="184" t="s">
        <v>76</v>
      </c>
      <c r="C17" s="185" t="s">
        <v>38</v>
      </c>
      <c r="D17" s="185">
        <v>70</v>
      </c>
      <c r="E17" s="44" t="s">
        <v>27</v>
      </c>
      <c r="F17" s="965" t="s">
        <v>120</v>
      </c>
      <c r="G17" s="966"/>
      <c r="H17" s="45"/>
      <c r="J17" s="53" t="s">
        <v>183</v>
      </c>
    </row>
    <row r="18" spans="1:10" x14ac:dyDescent="0.2">
      <c r="A18" s="186" t="s">
        <v>48</v>
      </c>
      <c r="B18" s="187" t="s">
        <v>77</v>
      </c>
      <c r="C18" s="188" t="s">
        <v>38</v>
      </c>
      <c r="D18" s="188">
        <v>20</v>
      </c>
      <c r="E18" s="44" t="s">
        <v>27</v>
      </c>
      <c r="F18" s="965" t="s">
        <v>116</v>
      </c>
      <c r="G18" s="966"/>
      <c r="H18" s="45"/>
    </row>
    <row r="19" spans="1:10" x14ac:dyDescent="0.2">
      <c r="A19" s="186" t="s">
        <v>48</v>
      </c>
      <c r="B19" s="187" t="s">
        <v>77</v>
      </c>
      <c r="C19" s="188" t="s">
        <v>38</v>
      </c>
      <c r="D19" s="188">
        <v>85</v>
      </c>
      <c r="E19" s="44" t="s">
        <v>27</v>
      </c>
      <c r="F19" s="965" t="s">
        <v>109</v>
      </c>
      <c r="G19" s="966"/>
      <c r="H19" s="45"/>
      <c r="J19">
        <f>1800/6</f>
        <v>300</v>
      </c>
    </row>
    <row r="20" spans="1:10" x14ac:dyDescent="0.2">
      <c r="A20" s="63" t="s">
        <v>48</v>
      </c>
      <c r="B20" s="58" t="s">
        <v>72</v>
      </c>
      <c r="C20" s="44" t="s">
        <v>38</v>
      </c>
      <c r="D20" s="44">
        <v>35</v>
      </c>
      <c r="E20" s="44" t="s">
        <v>27</v>
      </c>
      <c r="F20" s="967" t="s">
        <v>117</v>
      </c>
      <c r="G20" s="968"/>
      <c r="H20" s="45"/>
    </row>
    <row r="21" spans="1:10" x14ac:dyDescent="0.2">
      <c r="A21" s="64" t="s">
        <v>48</v>
      </c>
      <c r="B21" s="56" t="s">
        <v>78</v>
      </c>
      <c r="C21" s="44" t="s">
        <v>65</v>
      </c>
      <c r="D21" s="44">
        <v>32</v>
      </c>
      <c r="E21" s="44" t="s">
        <v>27</v>
      </c>
      <c r="F21" s="967" t="s">
        <v>79</v>
      </c>
      <c r="G21" s="968"/>
      <c r="H21" s="45"/>
    </row>
    <row r="22" spans="1:10" x14ac:dyDescent="0.2">
      <c r="A22" s="55" t="s">
        <v>118</v>
      </c>
      <c r="B22" t="s">
        <v>119</v>
      </c>
      <c r="C22" s="44"/>
      <c r="D22" s="44">
        <v>5</v>
      </c>
      <c r="E22" s="44" t="s">
        <v>27</v>
      </c>
      <c r="F22" s="967" t="s">
        <v>121</v>
      </c>
      <c r="G22" s="968"/>
      <c r="H22" s="45"/>
    </row>
    <row r="23" spans="1:10" x14ac:dyDescent="0.2">
      <c r="A23" s="64"/>
      <c r="B23" s="56"/>
      <c r="C23" s="44"/>
      <c r="D23" s="44"/>
      <c r="E23" s="44"/>
      <c r="F23" s="28"/>
      <c r="G23" s="44"/>
      <c r="H23" s="45"/>
    </row>
    <row r="24" spans="1:10" ht="15" x14ac:dyDescent="0.25">
      <c r="A24" s="66"/>
      <c r="B24" s="67" t="s">
        <v>80</v>
      </c>
      <c r="C24" s="68"/>
      <c r="D24" s="69"/>
      <c r="E24" s="70"/>
      <c r="F24" s="28"/>
      <c r="G24" s="44"/>
      <c r="H24" s="45"/>
    </row>
    <row r="25" spans="1:10" ht="15" x14ac:dyDescent="0.25">
      <c r="A25" s="71" t="s">
        <v>81</v>
      </c>
      <c r="B25" s="72" t="s">
        <v>82</v>
      </c>
      <c r="C25" s="73" t="s">
        <v>83</v>
      </c>
      <c r="D25" s="69">
        <v>1</v>
      </c>
      <c r="E25" s="70" t="s">
        <v>84</v>
      </c>
      <c r="F25" s="28"/>
      <c r="G25" s="44"/>
      <c r="H25" s="45"/>
    </row>
    <row r="26" spans="1:10" ht="15" x14ac:dyDescent="0.25">
      <c r="A26" s="71" t="s">
        <v>85</v>
      </c>
      <c r="B26" s="74" t="s">
        <v>86</v>
      </c>
      <c r="C26" s="73"/>
      <c r="D26" s="69">
        <v>1</v>
      </c>
      <c r="E26" s="70" t="s">
        <v>84</v>
      </c>
      <c r="F26" s="28"/>
      <c r="G26" s="44"/>
      <c r="H26" s="45"/>
    </row>
    <row r="27" spans="1:10" ht="15" x14ac:dyDescent="0.25">
      <c r="A27" s="75" t="s">
        <v>87</v>
      </c>
      <c r="B27" s="76" t="s">
        <v>88</v>
      </c>
      <c r="C27" s="73" t="s">
        <v>89</v>
      </c>
      <c r="D27" s="69">
        <v>1</v>
      </c>
      <c r="E27" s="70" t="s">
        <v>84</v>
      </c>
      <c r="F27" s="28"/>
      <c r="G27" s="44"/>
      <c r="H27" s="45"/>
    </row>
    <row r="28" spans="1:10" ht="15" x14ac:dyDescent="0.25">
      <c r="A28" s="75" t="s">
        <v>90</v>
      </c>
      <c r="B28" s="76" t="s">
        <v>91</v>
      </c>
      <c r="C28" s="73" t="s">
        <v>92</v>
      </c>
      <c r="D28" s="69">
        <v>1</v>
      </c>
      <c r="E28" s="70" t="s">
        <v>84</v>
      </c>
      <c r="F28" s="9"/>
      <c r="G28" s="10"/>
      <c r="H28" s="11"/>
    </row>
    <row r="29" spans="1:10" ht="15" x14ac:dyDescent="0.25">
      <c r="A29" s="75" t="s">
        <v>93</v>
      </c>
      <c r="B29" s="76" t="s">
        <v>94</v>
      </c>
      <c r="C29" s="73" t="s">
        <v>95</v>
      </c>
      <c r="D29" s="69">
        <v>1</v>
      </c>
      <c r="E29" s="70" t="s">
        <v>84</v>
      </c>
      <c r="F29" s="9"/>
      <c r="G29" s="10"/>
      <c r="H29" s="11"/>
    </row>
    <row r="30" spans="1:10" ht="15.75" x14ac:dyDescent="0.25">
      <c r="A30" s="77" t="s">
        <v>96</v>
      </c>
      <c r="B30" s="76" t="s">
        <v>97</v>
      </c>
      <c r="C30" s="73" t="s">
        <v>92</v>
      </c>
      <c r="D30" s="73">
        <v>1</v>
      </c>
      <c r="E30" s="78" t="s">
        <v>84</v>
      </c>
      <c r="F30" s="9"/>
      <c r="G30" s="10"/>
      <c r="H30" s="11"/>
    </row>
    <row r="31" spans="1:10" ht="15.75" x14ac:dyDescent="0.25">
      <c r="A31" s="79" t="s">
        <v>98</v>
      </c>
      <c r="B31" s="76" t="s">
        <v>99</v>
      </c>
      <c r="C31" s="73" t="s">
        <v>59</v>
      </c>
      <c r="D31" s="73">
        <v>60</v>
      </c>
      <c r="E31" s="78" t="s">
        <v>100</v>
      </c>
      <c r="F31" s="9"/>
      <c r="G31" s="10"/>
      <c r="H31" s="11"/>
    </row>
    <row r="32" spans="1:10" ht="15" x14ac:dyDescent="0.25">
      <c r="A32" s="77"/>
      <c r="B32" s="76" t="s">
        <v>101</v>
      </c>
      <c r="C32" s="59" t="s">
        <v>89</v>
      </c>
      <c r="D32" s="70">
        <v>1</v>
      </c>
      <c r="E32" s="70" t="s">
        <v>84</v>
      </c>
      <c r="F32" s="9"/>
      <c r="G32" s="10"/>
      <c r="H32" s="11"/>
    </row>
    <row r="33" spans="1:8" ht="13.5" x14ac:dyDescent="0.25">
      <c r="A33" s="80"/>
      <c r="B33" s="60"/>
      <c r="C33" s="60"/>
      <c r="D33" s="81"/>
      <c r="E33" s="81"/>
      <c r="F33" s="9"/>
      <c r="G33" s="10"/>
      <c r="H33" s="11"/>
    </row>
    <row r="34" spans="1:8" ht="13.5" thickBot="1" x14ac:dyDescent="0.25">
      <c r="A34" s="17"/>
      <c r="B34" s="3"/>
      <c r="C34" s="3"/>
      <c r="D34" s="18"/>
      <c r="E34" s="19"/>
      <c r="F34" s="3"/>
      <c r="G34" s="3"/>
      <c r="H34" s="20"/>
    </row>
    <row r="35" spans="1:8" ht="13.5" thickBot="1" x14ac:dyDescent="0.25">
      <c r="A35" s="22"/>
      <c r="B35" s="23"/>
      <c r="C35" s="24" t="s">
        <v>6</v>
      </c>
      <c r="D35" s="25" t="s">
        <v>15</v>
      </c>
      <c r="E35" s="26"/>
      <c r="F35" s="23"/>
      <c r="G35" s="23"/>
      <c r="H35" s="27"/>
    </row>
    <row r="36" spans="1:8" x14ac:dyDescent="0.2">
      <c r="A36" s="611" t="s">
        <v>10</v>
      </c>
      <c r="B36" s="612"/>
      <c r="C36" s="28">
        <v>1500</v>
      </c>
      <c r="D36" s="29" t="s">
        <v>27</v>
      </c>
      <c r="E36" s="613"/>
      <c r="F36" s="613"/>
      <c r="G36" s="614"/>
      <c r="H36" s="615"/>
    </row>
    <row r="37" spans="1:8" x14ac:dyDescent="0.2">
      <c r="A37" s="606" t="s">
        <v>9</v>
      </c>
      <c r="B37" s="607"/>
      <c r="C37" s="30">
        <v>6</v>
      </c>
      <c r="D37" s="10" t="s">
        <v>28</v>
      </c>
      <c r="E37" s="608"/>
      <c r="F37" s="608"/>
      <c r="G37" s="604"/>
      <c r="H37" s="605"/>
    </row>
    <row r="38" spans="1:8" x14ac:dyDescent="0.2">
      <c r="A38" s="606" t="s">
        <v>14</v>
      </c>
      <c r="B38" s="607"/>
      <c r="C38" s="10">
        <v>1</v>
      </c>
      <c r="D38" s="10" t="s">
        <v>29</v>
      </c>
      <c r="E38" s="608"/>
      <c r="F38" s="608"/>
      <c r="G38" s="604"/>
      <c r="H38" s="605"/>
    </row>
    <row r="39" spans="1:8" x14ac:dyDescent="0.2">
      <c r="A39" s="606" t="s">
        <v>13</v>
      </c>
      <c r="B39" s="607"/>
      <c r="C39" s="9">
        <v>1500</v>
      </c>
      <c r="D39" s="10" t="s">
        <v>27</v>
      </c>
      <c r="E39" s="609"/>
      <c r="F39" s="610"/>
      <c r="G39" s="604"/>
      <c r="H39" s="605"/>
    </row>
    <row r="40" spans="1:8" ht="13.5" thickBot="1" x14ac:dyDescent="0.25">
      <c r="A40" s="589" t="s">
        <v>12</v>
      </c>
      <c r="B40" s="590"/>
      <c r="C40" s="32">
        <f>SUM(D10:D21)-C36</f>
        <v>12</v>
      </c>
      <c r="D40" s="33" t="s">
        <v>27</v>
      </c>
      <c r="E40" s="591"/>
      <c r="F40" s="591"/>
      <c r="G40" s="592"/>
      <c r="H40" s="593"/>
    </row>
    <row r="41" spans="1:8" ht="13.5" thickBot="1" x14ac:dyDescent="0.25">
      <c r="A41" s="596" t="s">
        <v>11</v>
      </c>
      <c r="B41" s="597"/>
      <c r="C41" s="597"/>
      <c r="D41" s="597"/>
      <c r="E41" s="597"/>
      <c r="F41" s="597"/>
      <c r="G41" s="597"/>
      <c r="H41" s="598"/>
    </row>
    <row r="42" spans="1:8" ht="14.25" x14ac:dyDescent="0.2">
      <c r="A42" s="601" t="s">
        <v>110</v>
      </c>
      <c r="B42" s="602"/>
      <c r="C42" s="602"/>
      <c r="D42" s="602"/>
      <c r="E42" s="602"/>
      <c r="F42" s="602"/>
      <c r="G42" s="602"/>
      <c r="H42" s="603"/>
    </row>
    <row r="43" spans="1:8" ht="14.25" x14ac:dyDescent="0.2">
      <c r="A43" s="601" t="s">
        <v>102</v>
      </c>
      <c r="B43" s="602"/>
      <c r="C43" s="602"/>
      <c r="D43" s="602"/>
      <c r="E43" s="602"/>
      <c r="F43" s="602"/>
      <c r="G43" s="602"/>
      <c r="H43" s="603"/>
    </row>
    <row r="44" spans="1:8" ht="14.25" x14ac:dyDescent="0.2">
      <c r="A44" s="601" t="s">
        <v>122</v>
      </c>
      <c r="B44" s="602"/>
      <c r="C44" s="602"/>
      <c r="D44" s="602"/>
      <c r="E44" s="602"/>
      <c r="F44" s="602"/>
      <c r="G44" s="602"/>
      <c r="H44" s="603"/>
    </row>
    <row r="45" spans="1:8" ht="14.25" x14ac:dyDescent="0.2">
      <c r="A45" s="601" t="s">
        <v>111</v>
      </c>
      <c r="B45" s="602"/>
      <c r="C45" s="602"/>
      <c r="D45" s="602"/>
      <c r="E45" s="602"/>
      <c r="F45" s="602"/>
      <c r="G45" s="602"/>
      <c r="H45" s="603"/>
    </row>
    <row r="46" spans="1:8" ht="36" customHeight="1" x14ac:dyDescent="0.2">
      <c r="A46" s="601" t="s">
        <v>123</v>
      </c>
      <c r="B46" s="602"/>
      <c r="C46" s="602"/>
      <c r="D46" s="602"/>
      <c r="E46" s="602"/>
      <c r="F46" s="602"/>
      <c r="G46" s="602"/>
      <c r="H46" s="603"/>
    </row>
    <row r="47" spans="1:8" ht="14.25" x14ac:dyDescent="0.2">
      <c r="A47" s="601" t="s">
        <v>103</v>
      </c>
      <c r="B47" s="602"/>
      <c r="C47" s="602"/>
      <c r="D47" s="602"/>
      <c r="E47" s="602"/>
      <c r="F47" s="602"/>
      <c r="G47" s="602"/>
      <c r="H47" s="603"/>
    </row>
    <row r="48" spans="1:8" ht="14.25" x14ac:dyDescent="0.2">
      <c r="A48" s="662"/>
      <c r="B48" s="663"/>
      <c r="C48" s="663"/>
      <c r="D48" s="663"/>
      <c r="E48" s="663"/>
      <c r="F48" s="663"/>
      <c r="G48" s="663"/>
      <c r="H48" s="664"/>
    </row>
    <row r="49" spans="1:8" ht="14.25" x14ac:dyDescent="0.2">
      <c r="A49" s="662"/>
      <c r="B49" s="663"/>
      <c r="C49" s="663"/>
      <c r="D49" s="663"/>
      <c r="E49" s="663"/>
      <c r="F49" s="663"/>
      <c r="G49" s="663"/>
      <c r="H49" s="664"/>
    </row>
    <row r="50" spans="1:8" ht="15" thickBot="1" x14ac:dyDescent="0.25">
      <c r="A50" s="586"/>
      <c r="B50" s="587"/>
      <c r="C50" s="587"/>
      <c r="D50" s="587"/>
      <c r="E50" s="587"/>
      <c r="F50" s="587"/>
      <c r="G50" s="587"/>
      <c r="H50" s="588"/>
    </row>
  </sheetData>
  <mergeCells count="51">
    <mergeCell ref="A50:H50"/>
    <mergeCell ref="F12:G12"/>
    <mergeCell ref="F10:G10"/>
    <mergeCell ref="F11:G11"/>
    <mergeCell ref="F13:G13"/>
    <mergeCell ref="F19:G19"/>
    <mergeCell ref="F20:G20"/>
    <mergeCell ref="F21:G21"/>
    <mergeCell ref="A49:H49"/>
    <mergeCell ref="A40:B40"/>
    <mergeCell ref="E40:F40"/>
    <mergeCell ref="G40:H40"/>
    <mergeCell ref="A41:H41"/>
    <mergeCell ref="A42:H42"/>
    <mergeCell ref="A43:H43"/>
    <mergeCell ref="A44:H44"/>
    <mergeCell ref="A45:H45"/>
    <mergeCell ref="A46:H46"/>
    <mergeCell ref="A47:H47"/>
    <mergeCell ref="A48:H48"/>
    <mergeCell ref="A7:B7"/>
    <mergeCell ref="E39:F39"/>
    <mergeCell ref="G39:H39"/>
    <mergeCell ref="A36:B36"/>
    <mergeCell ref="E36:F36"/>
    <mergeCell ref="G36:H36"/>
    <mergeCell ref="A37:B37"/>
    <mergeCell ref="E37:F37"/>
    <mergeCell ref="G37:H37"/>
    <mergeCell ref="F18:G18"/>
    <mergeCell ref="A38:B38"/>
    <mergeCell ref="E38:F38"/>
    <mergeCell ref="G38:H38"/>
    <mergeCell ref="A39:B39"/>
    <mergeCell ref="F17:G17"/>
    <mergeCell ref="F22:G22"/>
    <mergeCell ref="A8:A9"/>
    <mergeCell ref="B8:B9"/>
    <mergeCell ref="C8:C9"/>
    <mergeCell ref="D8:E8"/>
    <mergeCell ref="F8:G8"/>
    <mergeCell ref="H3:H5"/>
    <mergeCell ref="C4:F4"/>
    <mergeCell ref="C5:F5"/>
    <mergeCell ref="C7:E7"/>
    <mergeCell ref="F7:G7"/>
    <mergeCell ref="A1:A5"/>
    <mergeCell ref="B1:F1"/>
    <mergeCell ref="B2:F2"/>
    <mergeCell ref="B3:F3"/>
    <mergeCell ref="G3:G5"/>
  </mergeCells>
  <phoneticPr fontId="15" type="noConversion"/>
  <pageMargins left="0.7" right="0.7" top="0.75" bottom="0.75" header="0.3" footer="0.3"/>
  <pageSetup paperSize="9" scale="6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2574-8A1F-4676-BE15-F63533448A15}">
  <sheetPr>
    <pageSetUpPr fitToPage="1"/>
  </sheetPr>
  <dimension ref="A1:H54"/>
  <sheetViews>
    <sheetView tabSelected="1" zoomScale="80" zoomScaleNormal="80" zoomScaleSheetLayoutView="100" workbookViewId="0">
      <selection activeCell="B1" sqref="B1:F1"/>
    </sheetView>
  </sheetViews>
  <sheetFormatPr baseColWidth="10" defaultRowHeight="12.75" x14ac:dyDescent="0.2"/>
  <cols>
    <col min="1" max="1" width="19.140625" customWidth="1"/>
    <col min="2" max="2" width="59.7109375" bestFit="1" customWidth="1"/>
    <col min="3" max="3" width="19.140625" bestFit="1" customWidth="1"/>
    <col min="6" max="6" width="19.42578125" customWidth="1"/>
    <col min="7" max="7" width="14.7109375" customWidth="1"/>
    <col min="8" max="8" width="16.5703125" bestFit="1" customWidth="1"/>
  </cols>
  <sheetData>
    <row r="1" spans="1:8" ht="18" x14ac:dyDescent="0.25">
      <c r="A1" s="616"/>
      <c r="B1" s="626" t="s">
        <v>22</v>
      </c>
      <c r="C1" s="626"/>
      <c r="D1" s="626"/>
      <c r="E1" s="626"/>
      <c r="F1" s="626"/>
      <c r="G1" s="1" t="s">
        <v>21</v>
      </c>
      <c r="H1" s="2" t="s">
        <v>322</v>
      </c>
    </row>
    <row r="2" spans="1:8" ht="18" x14ac:dyDescent="0.25">
      <c r="A2" s="617"/>
      <c r="B2" s="627" t="s">
        <v>0</v>
      </c>
      <c r="C2" s="627"/>
      <c r="D2" s="627"/>
      <c r="E2" s="627"/>
      <c r="F2" s="627"/>
      <c r="G2" s="4" t="s">
        <v>20</v>
      </c>
      <c r="H2" s="5" t="s">
        <v>335</v>
      </c>
    </row>
    <row r="3" spans="1:8" ht="30" customHeight="1" x14ac:dyDescent="0.2">
      <c r="A3" s="617"/>
      <c r="B3" s="1046" t="s">
        <v>315</v>
      </c>
      <c r="C3" s="1046"/>
      <c r="D3" s="1046"/>
      <c r="E3" s="1046"/>
      <c r="F3" s="1046"/>
      <c r="G3" s="583" t="s">
        <v>19</v>
      </c>
      <c r="H3" s="623">
        <v>45783</v>
      </c>
    </row>
    <row r="4" spans="1:8" x14ac:dyDescent="0.2">
      <c r="A4" s="617"/>
      <c r="B4" s="40" t="s">
        <v>18</v>
      </c>
      <c r="C4" s="622" t="s">
        <v>26</v>
      </c>
      <c r="D4" s="622"/>
      <c r="E4" s="622"/>
      <c r="F4" s="622"/>
      <c r="G4" s="583"/>
      <c r="H4" s="623"/>
    </row>
    <row r="5" spans="1:8" ht="13.5" thickBot="1" x14ac:dyDescent="0.25">
      <c r="A5" s="618"/>
      <c r="B5" s="41" t="s">
        <v>17</v>
      </c>
      <c r="C5" s="625" t="s">
        <v>33</v>
      </c>
      <c r="D5" s="625"/>
      <c r="E5" s="625"/>
      <c r="F5" s="625"/>
      <c r="G5" s="584"/>
      <c r="H5" s="624"/>
    </row>
    <row r="6" spans="1:8" x14ac:dyDescent="0.2">
      <c r="A6" s="35"/>
      <c r="B6" s="36"/>
      <c r="C6" s="37"/>
      <c r="D6" s="37"/>
      <c r="E6" s="37"/>
      <c r="F6" s="37"/>
      <c r="G6" s="38"/>
      <c r="H6" s="39"/>
    </row>
    <row r="7" spans="1:8" ht="36.75" thickBot="1" x14ac:dyDescent="0.3">
      <c r="A7" s="629" t="s">
        <v>23</v>
      </c>
      <c r="B7" s="629"/>
      <c r="C7" s="903" t="s">
        <v>34</v>
      </c>
      <c r="D7" s="903"/>
      <c r="E7" s="903"/>
      <c r="F7" s="582" t="s">
        <v>24</v>
      </c>
      <c r="G7" s="582"/>
      <c r="H7" s="275" t="s">
        <v>34</v>
      </c>
    </row>
    <row r="8" spans="1:8" ht="25.5" x14ac:dyDescent="0.2">
      <c r="A8" s="971" t="s">
        <v>1</v>
      </c>
      <c r="B8" s="973" t="s">
        <v>2</v>
      </c>
      <c r="C8" s="973" t="s">
        <v>3</v>
      </c>
      <c r="D8" s="973" t="s">
        <v>4</v>
      </c>
      <c r="E8" s="973"/>
      <c r="F8" s="973" t="s">
        <v>16</v>
      </c>
      <c r="G8" s="973"/>
      <c r="H8" s="468" t="s">
        <v>5</v>
      </c>
    </row>
    <row r="9" spans="1:8" ht="26.25" thickBot="1" x14ac:dyDescent="0.25">
      <c r="A9" s="972"/>
      <c r="B9" s="974"/>
      <c r="C9" s="975"/>
      <c r="D9" s="469" t="s">
        <v>6</v>
      </c>
      <c r="E9" s="470" t="s">
        <v>7</v>
      </c>
      <c r="F9" s="469" t="s">
        <v>6</v>
      </c>
      <c r="G9" s="470" t="s">
        <v>7</v>
      </c>
      <c r="H9" s="472" t="s">
        <v>8</v>
      </c>
    </row>
    <row r="10" spans="1:8" ht="20.25" x14ac:dyDescent="0.3">
      <c r="A10" s="976" t="s">
        <v>104</v>
      </c>
      <c r="B10" s="977" t="s">
        <v>105</v>
      </c>
      <c r="C10" s="978" t="s">
        <v>38</v>
      </c>
      <c r="D10" s="978">
        <v>450</v>
      </c>
      <c r="E10" s="978" t="s">
        <v>27</v>
      </c>
      <c r="F10" s="979" t="s">
        <v>278</v>
      </c>
      <c r="G10" s="980"/>
      <c r="H10" s="981"/>
    </row>
    <row r="11" spans="1:8" ht="20.25" x14ac:dyDescent="0.3">
      <c r="A11" s="982" t="s">
        <v>316</v>
      </c>
      <c r="B11" s="983" t="s">
        <v>115</v>
      </c>
      <c r="C11" s="978" t="s">
        <v>38</v>
      </c>
      <c r="D11" s="978">
        <v>150</v>
      </c>
      <c r="E11" s="978" t="s">
        <v>27</v>
      </c>
      <c r="F11" s="984" t="s">
        <v>279</v>
      </c>
      <c r="G11" s="985"/>
      <c r="H11" s="981"/>
    </row>
    <row r="12" spans="1:8" ht="20.25" x14ac:dyDescent="0.3">
      <c r="A12" s="986" t="s">
        <v>317</v>
      </c>
      <c r="B12" s="983" t="s">
        <v>64</v>
      </c>
      <c r="C12" s="978" t="s">
        <v>65</v>
      </c>
      <c r="D12" s="978">
        <v>220</v>
      </c>
      <c r="E12" s="978" t="s">
        <v>27</v>
      </c>
      <c r="F12" s="984" t="s">
        <v>324</v>
      </c>
      <c r="G12" s="985"/>
      <c r="H12" s="981"/>
    </row>
    <row r="13" spans="1:8" ht="20.25" x14ac:dyDescent="0.3">
      <c r="A13" s="986" t="s">
        <v>318</v>
      </c>
      <c r="B13" s="983" t="s">
        <v>280</v>
      </c>
      <c r="C13" s="978" t="s">
        <v>38</v>
      </c>
      <c r="D13" s="978">
        <v>200</v>
      </c>
      <c r="E13" s="978" t="s">
        <v>27</v>
      </c>
      <c r="F13" s="987" t="s">
        <v>325</v>
      </c>
      <c r="G13" s="988"/>
      <c r="H13" s="981"/>
    </row>
    <row r="14" spans="1:8" ht="20.25" x14ac:dyDescent="0.3">
      <c r="A14" s="989"/>
      <c r="B14" s="990"/>
      <c r="C14" s="978"/>
      <c r="D14" s="978"/>
      <c r="E14" s="978"/>
      <c r="F14" s="991"/>
      <c r="G14" s="978"/>
      <c r="H14" s="981"/>
    </row>
    <row r="15" spans="1:8" ht="20.25" x14ac:dyDescent="0.3">
      <c r="A15" s="992"/>
      <c r="B15" s="993" t="s">
        <v>74</v>
      </c>
      <c r="C15" s="978"/>
      <c r="D15" s="978"/>
      <c r="E15" s="978"/>
      <c r="F15" s="991"/>
      <c r="G15" s="978"/>
      <c r="H15" s="981"/>
    </row>
    <row r="16" spans="1:8" ht="20.25" x14ac:dyDescent="0.3">
      <c r="A16" s="976" t="s">
        <v>75</v>
      </c>
      <c r="B16" s="977" t="s">
        <v>76</v>
      </c>
      <c r="C16" s="978" t="s">
        <v>38</v>
      </c>
      <c r="D16" s="978">
        <v>140</v>
      </c>
      <c r="E16" s="978" t="s">
        <v>27</v>
      </c>
      <c r="F16" s="991"/>
      <c r="G16" s="978"/>
      <c r="H16" s="981"/>
    </row>
    <row r="17" spans="1:8" ht="20.25" x14ac:dyDescent="0.3">
      <c r="A17" s="976" t="s">
        <v>75</v>
      </c>
      <c r="B17" s="977" t="s">
        <v>76</v>
      </c>
      <c r="C17" s="978" t="s">
        <v>38</v>
      </c>
      <c r="D17" s="978">
        <v>70</v>
      </c>
      <c r="E17" s="978" t="s">
        <v>27</v>
      </c>
      <c r="F17" s="984" t="s">
        <v>120</v>
      </c>
      <c r="G17" s="985"/>
      <c r="H17" s="981"/>
    </row>
    <row r="18" spans="1:8" ht="20.25" x14ac:dyDescent="0.3">
      <c r="A18" s="986" t="s">
        <v>319</v>
      </c>
      <c r="B18" s="983" t="s">
        <v>77</v>
      </c>
      <c r="C18" s="978" t="s">
        <v>38</v>
      </c>
      <c r="D18" s="978">
        <v>10</v>
      </c>
      <c r="E18" s="978" t="s">
        <v>27</v>
      </c>
      <c r="F18" s="984" t="s">
        <v>116</v>
      </c>
      <c r="G18" s="985"/>
      <c r="H18" s="981"/>
    </row>
    <row r="19" spans="1:8" ht="20.25" x14ac:dyDescent="0.3">
      <c r="A19" s="986" t="s">
        <v>319</v>
      </c>
      <c r="B19" s="983" t="s">
        <v>77</v>
      </c>
      <c r="C19" s="978" t="s">
        <v>38</v>
      </c>
      <c r="D19" s="978">
        <v>60</v>
      </c>
      <c r="E19" s="978" t="s">
        <v>27</v>
      </c>
      <c r="F19" s="984" t="s">
        <v>323</v>
      </c>
      <c r="G19" s="985"/>
      <c r="H19" s="981"/>
    </row>
    <row r="20" spans="1:8" ht="20.25" x14ac:dyDescent="0.3">
      <c r="A20" s="986" t="s">
        <v>320</v>
      </c>
      <c r="B20" s="983" t="s">
        <v>321</v>
      </c>
      <c r="C20" s="978" t="s">
        <v>65</v>
      </c>
      <c r="D20" s="978">
        <v>32</v>
      </c>
      <c r="E20" s="978" t="s">
        <v>27</v>
      </c>
      <c r="F20" s="987" t="s">
        <v>79</v>
      </c>
      <c r="G20" s="988"/>
      <c r="H20" s="981"/>
    </row>
    <row r="21" spans="1:8" ht="20.25" x14ac:dyDescent="0.3">
      <c r="A21" s="976" t="s">
        <v>118</v>
      </c>
      <c r="B21" s="977" t="s">
        <v>119</v>
      </c>
      <c r="C21" s="978"/>
      <c r="D21" s="978">
        <v>5</v>
      </c>
      <c r="E21" s="978" t="s">
        <v>27</v>
      </c>
      <c r="F21" s="987" t="s">
        <v>121</v>
      </c>
      <c r="G21" s="988"/>
      <c r="H21" s="981"/>
    </row>
    <row r="22" spans="1:8" ht="20.25" x14ac:dyDescent="0.3">
      <c r="A22" s="989"/>
      <c r="B22" s="990"/>
      <c r="C22" s="978"/>
      <c r="D22" s="978"/>
      <c r="E22" s="978"/>
      <c r="F22" s="991"/>
      <c r="G22" s="978"/>
      <c r="H22" s="981"/>
    </row>
    <row r="23" spans="1:8" ht="20.25" x14ac:dyDescent="0.3">
      <c r="A23" s="994"/>
      <c r="B23" s="995" t="s">
        <v>80</v>
      </c>
      <c r="C23" s="996"/>
      <c r="D23" s="978"/>
      <c r="E23" s="978"/>
      <c r="F23" s="991"/>
      <c r="G23" s="978"/>
      <c r="H23" s="981"/>
    </row>
    <row r="24" spans="1:8" ht="20.25" x14ac:dyDescent="0.3">
      <c r="A24" s="997" t="s">
        <v>81</v>
      </c>
      <c r="B24" s="998" t="s">
        <v>82</v>
      </c>
      <c r="C24" s="976" t="s">
        <v>83</v>
      </c>
      <c r="D24" s="978">
        <v>1</v>
      </c>
      <c r="E24" s="978" t="s">
        <v>84</v>
      </c>
      <c r="F24" s="991"/>
      <c r="G24" s="978"/>
      <c r="H24" s="981"/>
    </row>
    <row r="25" spans="1:8" ht="20.25" x14ac:dyDescent="0.3">
      <c r="A25" s="997" t="s">
        <v>85</v>
      </c>
      <c r="B25" s="999" t="s">
        <v>86</v>
      </c>
      <c r="C25" s="976"/>
      <c r="D25" s="978">
        <v>1</v>
      </c>
      <c r="E25" s="978" t="s">
        <v>84</v>
      </c>
      <c r="F25" s="991"/>
      <c r="G25" s="978"/>
      <c r="H25" s="981"/>
    </row>
    <row r="26" spans="1:8" ht="20.25" x14ac:dyDescent="0.3">
      <c r="A26" s="976" t="s">
        <v>87</v>
      </c>
      <c r="B26" s="977" t="s">
        <v>88</v>
      </c>
      <c r="C26" s="976" t="s">
        <v>89</v>
      </c>
      <c r="D26" s="978">
        <v>1</v>
      </c>
      <c r="E26" s="978" t="s">
        <v>84</v>
      </c>
      <c r="F26" s="991"/>
      <c r="G26" s="978"/>
      <c r="H26" s="981"/>
    </row>
    <row r="27" spans="1:8" ht="20.25" x14ac:dyDescent="0.3">
      <c r="A27" s="976" t="s">
        <v>90</v>
      </c>
      <c r="B27" s="977" t="s">
        <v>91</v>
      </c>
      <c r="C27" s="976" t="s">
        <v>92</v>
      </c>
      <c r="D27" s="978">
        <v>1</v>
      </c>
      <c r="E27" s="978" t="s">
        <v>84</v>
      </c>
      <c r="F27" s="1000"/>
      <c r="G27" s="976"/>
      <c r="H27" s="1001"/>
    </row>
    <row r="28" spans="1:8" ht="20.25" x14ac:dyDescent="0.3">
      <c r="A28" s="976" t="s">
        <v>93</v>
      </c>
      <c r="B28" s="977" t="s">
        <v>94</v>
      </c>
      <c r="C28" s="976" t="s">
        <v>95</v>
      </c>
      <c r="D28" s="978">
        <v>1</v>
      </c>
      <c r="E28" s="978" t="s">
        <v>84</v>
      </c>
      <c r="F28" s="1000"/>
      <c r="G28" s="976"/>
      <c r="H28" s="1001"/>
    </row>
    <row r="29" spans="1:8" ht="20.25" x14ac:dyDescent="0.3">
      <c r="A29" s="1002" t="s">
        <v>331</v>
      </c>
      <c r="B29" s="1003" t="s">
        <v>332</v>
      </c>
      <c r="C29" s="976" t="s">
        <v>92</v>
      </c>
      <c r="D29" s="976">
        <v>1</v>
      </c>
      <c r="E29" s="1004" t="s">
        <v>84</v>
      </c>
      <c r="F29" s="1000"/>
      <c r="G29" s="976"/>
      <c r="H29" s="1001"/>
    </row>
    <row r="30" spans="1:8" ht="20.25" x14ac:dyDescent="0.3">
      <c r="A30" s="997" t="s">
        <v>98</v>
      </c>
      <c r="B30" s="977" t="s">
        <v>99</v>
      </c>
      <c r="C30" s="976" t="s">
        <v>59</v>
      </c>
      <c r="D30" s="976">
        <v>60</v>
      </c>
      <c r="E30" s="1004" t="s">
        <v>100</v>
      </c>
      <c r="F30" s="1000"/>
      <c r="G30" s="976"/>
      <c r="H30" s="1001"/>
    </row>
    <row r="31" spans="1:8" ht="20.25" x14ac:dyDescent="0.3">
      <c r="A31" s="1002" t="s">
        <v>328</v>
      </c>
      <c r="B31" s="1003" t="s">
        <v>329</v>
      </c>
      <c r="C31" s="976" t="s">
        <v>89</v>
      </c>
      <c r="D31" s="978">
        <v>1</v>
      </c>
      <c r="E31" s="978" t="s">
        <v>84</v>
      </c>
      <c r="F31" s="1000"/>
      <c r="G31" s="976"/>
      <c r="H31" s="1001"/>
    </row>
    <row r="32" spans="1:8" ht="20.25" x14ac:dyDescent="0.3">
      <c r="A32" s="996"/>
      <c r="B32" s="977"/>
      <c r="C32" s="977"/>
      <c r="D32" s="1004"/>
      <c r="E32" s="1004"/>
      <c r="F32" s="1000"/>
      <c r="G32" s="976"/>
      <c r="H32" s="1001"/>
    </row>
    <row r="33" spans="1:8" ht="21" thickBot="1" x14ac:dyDescent="0.35">
      <c r="A33" s="1005"/>
      <c r="B33" s="1006"/>
      <c r="C33" s="1006"/>
      <c r="D33" s="1007"/>
      <c r="E33" s="1008"/>
      <c r="F33" s="1006"/>
      <c r="G33" s="1006"/>
      <c r="H33" s="1009"/>
    </row>
    <row r="34" spans="1:8" ht="21" thickBot="1" x14ac:dyDescent="0.35">
      <c r="A34" s="1010"/>
      <c r="B34" s="1011"/>
      <c r="C34" s="1012" t="s">
        <v>6</v>
      </c>
      <c r="D34" s="1013" t="s">
        <v>15</v>
      </c>
      <c r="E34" s="1014"/>
      <c r="F34" s="1011"/>
      <c r="G34" s="1011"/>
      <c r="H34" s="1015"/>
    </row>
    <row r="35" spans="1:8" ht="20.25" x14ac:dyDescent="0.3">
      <c r="A35" s="1016" t="s">
        <v>10</v>
      </c>
      <c r="B35" s="1017"/>
      <c r="C35" s="991">
        <v>1272</v>
      </c>
      <c r="D35" s="1018" t="s">
        <v>27</v>
      </c>
      <c r="E35" s="1019"/>
      <c r="F35" s="1019"/>
      <c r="G35" s="1020"/>
      <c r="H35" s="1021"/>
    </row>
    <row r="36" spans="1:8" ht="20.25" x14ac:dyDescent="0.3">
      <c r="A36" s="1022" t="s">
        <v>9</v>
      </c>
      <c r="B36" s="1023"/>
      <c r="C36" s="1024">
        <v>6</v>
      </c>
      <c r="D36" s="976" t="s">
        <v>28</v>
      </c>
      <c r="E36" s="1025"/>
      <c r="F36" s="1025"/>
      <c r="G36" s="1026"/>
      <c r="H36" s="1027"/>
    </row>
    <row r="37" spans="1:8" ht="20.25" x14ac:dyDescent="0.3">
      <c r="A37" s="1022" t="s">
        <v>14</v>
      </c>
      <c r="B37" s="1023"/>
      <c r="C37" s="976">
        <v>1</v>
      </c>
      <c r="D37" s="976" t="s">
        <v>29</v>
      </c>
      <c r="E37" s="1025"/>
      <c r="F37" s="1025"/>
      <c r="G37" s="1026"/>
      <c r="H37" s="1027"/>
    </row>
    <row r="38" spans="1:8" ht="20.25" x14ac:dyDescent="0.3">
      <c r="A38" s="1022" t="s">
        <v>13</v>
      </c>
      <c r="B38" s="1023"/>
      <c r="C38" s="1000">
        <v>1272</v>
      </c>
      <c r="D38" s="976" t="s">
        <v>27</v>
      </c>
      <c r="E38" s="1028"/>
      <c r="F38" s="1029"/>
      <c r="G38" s="1026"/>
      <c r="H38" s="1027"/>
    </row>
    <row r="39" spans="1:8" ht="21" thickBot="1" x14ac:dyDescent="0.35">
      <c r="A39" s="1030" t="s">
        <v>12</v>
      </c>
      <c r="B39" s="1031"/>
      <c r="C39" s="1032">
        <f>SUM(D10:D21)-C35</f>
        <v>65</v>
      </c>
      <c r="D39" s="1033" t="s">
        <v>27</v>
      </c>
      <c r="E39" s="1034"/>
      <c r="F39" s="1034"/>
      <c r="G39" s="1035"/>
      <c r="H39" s="1036"/>
    </row>
    <row r="40" spans="1:8" ht="21" thickBot="1" x14ac:dyDescent="0.35">
      <c r="A40" s="1049" t="s">
        <v>11</v>
      </c>
      <c r="B40" s="1050"/>
      <c r="C40" s="1050"/>
      <c r="D40" s="1050"/>
      <c r="E40" s="1050"/>
      <c r="F40" s="1050"/>
      <c r="G40" s="1050"/>
      <c r="H40" s="1051"/>
    </row>
    <row r="41" spans="1:8" ht="20.25" x14ac:dyDescent="0.3">
      <c r="A41" s="1037" t="s">
        <v>281</v>
      </c>
      <c r="B41" s="1038"/>
      <c r="C41" s="1038"/>
      <c r="D41" s="1038"/>
      <c r="E41" s="1038"/>
      <c r="F41" s="1038"/>
      <c r="G41" s="1038"/>
      <c r="H41" s="1039"/>
    </row>
    <row r="42" spans="1:8" ht="20.25" x14ac:dyDescent="0.3">
      <c r="A42" s="1037" t="s">
        <v>326</v>
      </c>
      <c r="B42" s="1038"/>
      <c r="C42" s="1038"/>
      <c r="D42" s="1038"/>
      <c r="E42" s="1038"/>
      <c r="F42" s="1038"/>
      <c r="G42" s="1038"/>
      <c r="H42" s="1039"/>
    </row>
    <row r="43" spans="1:8" ht="20.25" x14ac:dyDescent="0.3">
      <c r="A43" s="1037" t="s">
        <v>122</v>
      </c>
      <c r="B43" s="1038"/>
      <c r="C43" s="1038"/>
      <c r="D43" s="1038"/>
      <c r="E43" s="1038"/>
      <c r="F43" s="1038"/>
      <c r="G43" s="1038"/>
      <c r="H43" s="1039"/>
    </row>
    <row r="44" spans="1:8" ht="20.25" x14ac:dyDescent="0.3">
      <c r="A44" s="1037" t="s">
        <v>282</v>
      </c>
      <c r="B44" s="1038"/>
      <c r="C44" s="1038"/>
      <c r="D44" s="1038"/>
      <c r="E44" s="1038"/>
      <c r="F44" s="1038"/>
      <c r="G44" s="1038"/>
      <c r="H44" s="1039"/>
    </row>
    <row r="45" spans="1:8" ht="20.25" x14ac:dyDescent="0.3">
      <c r="A45" s="1037" t="s">
        <v>283</v>
      </c>
      <c r="B45" s="1038"/>
      <c r="C45" s="1038"/>
      <c r="D45" s="1038"/>
      <c r="E45" s="1038"/>
      <c r="F45" s="1038"/>
      <c r="G45" s="1038"/>
      <c r="H45" s="1039"/>
    </row>
    <row r="46" spans="1:8" ht="20.25" x14ac:dyDescent="0.3">
      <c r="A46" s="1037" t="s">
        <v>103</v>
      </c>
      <c r="B46" s="1038"/>
      <c r="C46" s="1038"/>
      <c r="D46" s="1038"/>
      <c r="E46" s="1038"/>
      <c r="F46" s="1038"/>
      <c r="G46" s="1038"/>
      <c r="H46" s="1039"/>
    </row>
    <row r="47" spans="1:8" ht="20.25" x14ac:dyDescent="0.3">
      <c r="A47" s="1040"/>
      <c r="B47" s="1041"/>
      <c r="C47" s="1041"/>
      <c r="D47" s="1041"/>
      <c r="E47" s="1041"/>
      <c r="F47" s="1041"/>
      <c r="G47" s="1041"/>
      <c r="H47" s="1042"/>
    </row>
    <row r="48" spans="1:8" ht="20.25" x14ac:dyDescent="0.3">
      <c r="A48" s="1040"/>
      <c r="B48" s="1041"/>
      <c r="C48" s="1041"/>
      <c r="D48" s="1041"/>
      <c r="E48" s="1041"/>
      <c r="F48" s="1041"/>
      <c r="G48" s="1041"/>
      <c r="H48" s="1042"/>
    </row>
    <row r="49" spans="1:8" ht="20.25" x14ac:dyDescent="0.3">
      <c r="A49" s="1048" t="s">
        <v>213</v>
      </c>
      <c r="B49" s="1048"/>
      <c r="C49" s="1048"/>
      <c r="D49" s="1048"/>
      <c r="E49" s="1048"/>
      <c r="F49" s="1048"/>
      <c r="G49" s="1048"/>
      <c r="H49" s="1048"/>
    </row>
    <row r="50" spans="1:8" ht="47.25" customHeight="1" x14ac:dyDescent="0.3">
      <c r="A50" s="1047" t="s">
        <v>334</v>
      </c>
      <c r="B50" s="1044"/>
      <c r="C50" s="1044"/>
      <c r="D50" s="1044"/>
      <c r="E50" s="1044"/>
      <c r="F50" s="1044"/>
      <c r="G50" s="1044"/>
      <c r="H50" s="1045"/>
    </row>
    <row r="51" spans="1:8" ht="20.25" x14ac:dyDescent="0.3">
      <c r="A51" s="1043" t="s">
        <v>327</v>
      </c>
      <c r="B51" s="1044"/>
      <c r="C51" s="1044"/>
      <c r="D51" s="1044"/>
      <c r="E51" s="1044"/>
      <c r="F51" s="1044"/>
      <c r="G51" s="1044"/>
      <c r="H51" s="1045"/>
    </row>
    <row r="52" spans="1:8" ht="20.25" x14ac:dyDescent="0.3">
      <c r="A52" s="1043" t="s">
        <v>330</v>
      </c>
      <c r="B52" s="1044"/>
      <c r="C52" s="1044"/>
      <c r="D52" s="1044"/>
      <c r="E52" s="1044"/>
      <c r="F52" s="1044"/>
      <c r="G52" s="1044"/>
      <c r="H52" s="1045"/>
    </row>
    <row r="53" spans="1:8" ht="20.25" x14ac:dyDescent="0.3">
      <c r="A53" s="1043" t="s">
        <v>333</v>
      </c>
      <c r="B53" s="1044"/>
      <c r="C53" s="1044"/>
      <c r="D53" s="1044"/>
      <c r="E53" s="1044"/>
      <c r="F53" s="1044"/>
      <c r="G53" s="1044"/>
      <c r="H53" s="1045"/>
    </row>
    <row r="54" spans="1:8" ht="20.25" x14ac:dyDescent="0.3">
      <c r="A54" s="1043"/>
      <c r="B54" s="1044"/>
      <c r="C54" s="1044"/>
      <c r="D54" s="1044"/>
      <c r="E54" s="1044"/>
      <c r="F54" s="1044"/>
      <c r="G54" s="1044"/>
      <c r="H54" s="1045"/>
    </row>
  </sheetData>
  <mergeCells count="55">
    <mergeCell ref="A50:H50"/>
    <mergeCell ref="A54:H54"/>
    <mergeCell ref="H3:H5"/>
    <mergeCell ref="C4:F4"/>
    <mergeCell ref="C5:F5"/>
    <mergeCell ref="A1:A5"/>
    <mergeCell ref="B1:F1"/>
    <mergeCell ref="B2:F2"/>
    <mergeCell ref="B3:F3"/>
    <mergeCell ref="G3:G5"/>
    <mergeCell ref="C7:E7"/>
    <mergeCell ref="F7:G7"/>
    <mergeCell ref="A8:A9"/>
    <mergeCell ref="B8:B9"/>
    <mergeCell ref="C8:C9"/>
    <mergeCell ref="D8:E8"/>
    <mergeCell ref="F8:G8"/>
    <mergeCell ref="A7:B7"/>
    <mergeCell ref="A43:H43"/>
    <mergeCell ref="E38:F38"/>
    <mergeCell ref="G38:H38"/>
    <mergeCell ref="A35:B35"/>
    <mergeCell ref="E35:F35"/>
    <mergeCell ref="G35:H35"/>
    <mergeCell ref="A36:B36"/>
    <mergeCell ref="E36:F36"/>
    <mergeCell ref="G36:H36"/>
    <mergeCell ref="E39:F39"/>
    <mergeCell ref="G39:H39"/>
    <mergeCell ref="A40:H40"/>
    <mergeCell ref="A41:H41"/>
    <mergeCell ref="A42:H42"/>
    <mergeCell ref="A39:B39"/>
    <mergeCell ref="F12:G12"/>
    <mergeCell ref="F10:G10"/>
    <mergeCell ref="F11:G11"/>
    <mergeCell ref="F13:G13"/>
    <mergeCell ref="F19:G19"/>
    <mergeCell ref="F18:G18"/>
    <mergeCell ref="A53:H53"/>
    <mergeCell ref="A51:H51"/>
    <mergeCell ref="A52:H52"/>
    <mergeCell ref="F17:G17"/>
    <mergeCell ref="F21:G21"/>
    <mergeCell ref="A49:H49"/>
    <mergeCell ref="F20:G20"/>
    <mergeCell ref="A44:H44"/>
    <mergeCell ref="A45:H45"/>
    <mergeCell ref="A46:H46"/>
    <mergeCell ref="A47:H47"/>
    <mergeCell ref="A37:B37"/>
    <mergeCell ref="E37:F37"/>
    <mergeCell ref="G37:H37"/>
    <mergeCell ref="A38:B38"/>
    <mergeCell ref="A48:H48"/>
  </mergeCells>
  <pageMargins left="0.7" right="0.7" top="0.75" bottom="0.75" header="0.3" footer="0.3"/>
  <pageSetup scale="5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D465-414A-4441-AC14-8A291160C2A5}">
  <dimension ref="A1:Q93"/>
  <sheetViews>
    <sheetView topLeftCell="A45" workbookViewId="0">
      <selection activeCell="O67" sqref="O67"/>
    </sheetView>
  </sheetViews>
  <sheetFormatPr baseColWidth="10" defaultColWidth="8.42578125" defaultRowHeight="12.75" x14ac:dyDescent="0.2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9.7109375" style="87" bestFit="1" customWidth="1"/>
    <col min="6" max="6" width="9.5703125" style="87" bestFit="1" customWidth="1"/>
    <col min="7" max="7" width="9.5703125" style="169" bestFit="1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5" width="9.28515625" style="87" bestFit="1" customWidth="1"/>
    <col min="16" max="16" width="8.42578125" style="87"/>
    <col min="17" max="17" width="3.28515625" style="87" customWidth="1"/>
    <col min="18" max="256" width="8.42578125" style="87"/>
    <col min="257" max="257" width="10" style="87" bestFit="1" customWidth="1"/>
    <col min="258" max="258" width="44.28515625" style="87" bestFit="1" customWidth="1"/>
    <col min="259" max="259" width="10.42578125" style="87" bestFit="1" customWidth="1"/>
    <col min="260" max="260" width="10.42578125" style="87" customWidth="1"/>
    <col min="261" max="261" width="9.7109375" style="87" bestFit="1" customWidth="1"/>
    <col min="262" max="263" width="9.5703125" style="87" bestFit="1" customWidth="1"/>
    <col min="264" max="264" width="10.42578125" style="87" bestFit="1" customWidth="1"/>
    <col min="265" max="265" width="4.5703125" style="87" customWidth="1"/>
    <col min="266" max="266" width="1.85546875" style="87" customWidth="1"/>
    <col min="267" max="267" width="7" style="87" bestFit="1" customWidth="1"/>
    <col min="268" max="268" width="6.28515625" style="87" customWidth="1"/>
    <col min="269" max="269" width="20.42578125" style="87" customWidth="1"/>
    <col min="270" max="270" width="6.42578125" style="87" bestFit="1" customWidth="1"/>
    <col min="271" max="272" width="8.42578125" style="87"/>
    <col min="273" max="273" width="3.28515625" style="87" customWidth="1"/>
    <col min="274" max="512" width="8.42578125" style="87"/>
    <col min="513" max="513" width="10" style="87" bestFit="1" customWidth="1"/>
    <col min="514" max="514" width="44.28515625" style="87" bestFit="1" customWidth="1"/>
    <col min="515" max="515" width="10.42578125" style="87" bestFit="1" customWidth="1"/>
    <col min="516" max="516" width="10.42578125" style="87" customWidth="1"/>
    <col min="517" max="517" width="9.7109375" style="87" bestFit="1" customWidth="1"/>
    <col min="518" max="519" width="9.5703125" style="87" bestFit="1" customWidth="1"/>
    <col min="520" max="520" width="10.42578125" style="87" bestFit="1" customWidth="1"/>
    <col min="521" max="521" width="4.5703125" style="87" customWidth="1"/>
    <col min="522" max="522" width="1.85546875" style="87" customWidth="1"/>
    <col min="523" max="523" width="7" style="87" bestFit="1" customWidth="1"/>
    <col min="524" max="524" width="6.28515625" style="87" customWidth="1"/>
    <col min="525" max="525" width="20.42578125" style="87" customWidth="1"/>
    <col min="526" max="526" width="6.42578125" style="87" bestFit="1" customWidth="1"/>
    <col min="527" max="528" width="8.42578125" style="87"/>
    <col min="529" max="529" width="3.28515625" style="87" customWidth="1"/>
    <col min="530" max="768" width="8.42578125" style="87"/>
    <col min="769" max="769" width="10" style="87" bestFit="1" customWidth="1"/>
    <col min="770" max="770" width="44.28515625" style="87" bestFit="1" customWidth="1"/>
    <col min="771" max="771" width="10.42578125" style="87" bestFit="1" customWidth="1"/>
    <col min="772" max="772" width="10.42578125" style="87" customWidth="1"/>
    <col min="773" max="773" width="9.7109375" style="87" bestFit="1" customWidth="1"/>
    <col min="774" max="775" width="9.5703125" style="87" bestFit="1" customWidth="1"/>
    <col min="776" max="776" width="10.42578125" style="87" bestFit="1" customWidth="1"/>
    <col min="777" max="777" width="4.5703125" style="87" customWidth="1"/>
    <col min="778" max="778" width="1.85546875" style="87" customWidth="1"/>
    <col min="779" max="779" width="7" style="87" bestFit="1" customWidth="1"/>
    <col min="780" max="780" width="6.28515625" style="87" customWidth="1"/>
    <col min="781" max="781" width="20.42578125" style="87" customWidth="1"/>
    <col min="782" max="782" width="6.42578125" style="87" bestFit="1" customWidth="1"/>
    <col min="783" max="784" width="8.42578125" style="87"/>
    <col min="785" max="785" width="3.28515625" style="87" customWidth="1"/>
    <col min="786" max="1024" width="8.42578125" style="87"/>
    <col min="1025" max="1025" width="10" style="87" bestFit="1" customWidth="1"/>
    <col min="1026" max="1026" width="44.28515625" style="87" bestFit="1" customWidth="1"/>
    <col min="1027" max="1027" width="10.42578125" style="87" bestFit="1" customWidth="1"/>
    <col min="1028" max="1028" width="10.42578125" style="87" customWidth="1"/>
    <col min="1029" max="1029" width="9.7109375" style="87" bestFit="1" customWidth="1"/>
    <col min="1030" max="1031" width="9.5703125" style="87" bestFit="1" customWidth="1"/>
    <col min="1032" max="1032" width="10.42578125" style="87" bestFit="1" customWidth="1"/>
    <col min="1033" max="1033" width="4.5703125" style="87" customWidth="1"/>
    <col min="1034" max="1034" width="1.85546875" style="87" customWidth="1"/>
    <col min="1035" max="1035" width="7" style="87" bestFit="1" customWidth="1"/>
    <col min="1036" max="1036" width="6.28515625" style="87" customWidth="1"/>
    <col min="1037" max="1037" width="20.42578125" style="87" customWidth="1"/>
    <col min="1038" max="1038" width="6.42578125" style="87" bestFit="1" customWidth="1"/>
    <col min="1039" max="1040" width="8.42578125" style="87"/>
    <col min="1041" max="1041" width="3.28515625" style="87" customWidth="1"/>
    <col min="1042" max="1280" width="8.42578125" style="87"/>
    <col min="1281" max="1281" width="10" style="87" bestFit="1" customWidth="1"/>
    <col min="1282" max="1282" width="44.28515625" style="87" bestFit="1" customWidth="1"/>
    <col min="1283" max="1283" width="10.42578125" style="87" bestFit="1" customWidth="1"/>
    <col min="1284" max="1284" width="10.42578125" style="87" customWidth="1"/>
    <col min="1285" max="1285" width="9.7109375" style="87" bestFit="1" customWidth="1"/>
    <col min="1286" max="1287" width="9.5703125" style="87" bestFit="1" customWidth="1"/>
    <col min="1288" max="1288" width="10.42578125" style="87" bestFit="1" customWidth="1"/>
    <col min="1289" max="1289" width="4.5703125" style="87" customWidth="1"/>
    <col min="1290" max="1290" width="1.85546875" style="87" customWidth="1"/>
    <col min="1291" max="1291" width="7" style="87" bestFit="1" customWidth="1"/>
    <col min="1292" max="1292" width="6.28515625" style="87" customWidth="1"/>
    <col min="1293" max="1293" width="20.42578125" style="87" customWidth="1"/>
    <col min="1294" max="1294" width="6.42578125" style="87" bestFit="1" customWidth="1"/>
    <col min="1295" max="1296" width="8.42578125" style="87"/>
    <col min="1297" max="1297" width="3.28515625" style="87" customWidth="1"/>
    <col min="1298" max="1536" width="8.42578125" style="87"/>
    <col min="1537" max="1537" width="10" style="87" bestFit="1" customWidth="1"/>
    <col min="1538" max="1538" width="44.28515625" style="87" bestFit="1" customWidth="1"/>
    <col min="1539" max="1539" width="10.42578125" style="87" bestFit="1" customWidth="1"/>
    <col min="1540" max="1540" width="10.42578125" style="87" customWidth="1"/>
    <col min="1541" max="1541" width="9.7109375" style="87" bestFit="1" customWidth="1"/>
    <col min="1542" max="1543" width="9.5703125" style="87" bestFit="1" customWidth="1"/>
    <col min="1544" max="1544" width="10.42578125" style="87" bestFit="1" customWidth="1"/>
    <col min="1545" max="1545" width="4.5703125" style="87" customWidth="1"/>
    <col min="1546" max="1546" width="1.85546875" style="87" customWidth="1"/>
    <col min="1547" max="1547" width="7" style="87" bestFit="1" customWidth="1"/>
    <col min="1548" max="1548" width="6.28515625" style="87" customWidth="1"/>
    <col min="1549" max="1549" width="20.42578125" style="87" customWidth="1"/>
    <col min="1550" max="1550" width="6.42578125" style="87" bestFit="1" customWidth="1"/>
    <col min="1551" max="1552" width="8.42578125" style="87"/>
    <col min="1553" max="1553" width="3.28515625" style="87" customWidth="1"/>
    <col min="1554" max="1792" width="8.42578125" style="87"/>
    <col min="1793" max="1793" width="10" style="87" bestFit="1" customWidth="1"/>
    <col min="1794" max="1794" width="44.28515625" style="87" bestFit="1" customWidth="1"/>
    <col min="1795" max="1795" width="10.42578125" style="87" bestFit="1" customWidth="1"/>
    <col min="1796" max="1796" width="10.42578125" style="87" customWidth="1"/>
    <col min="1797" max="1797" width="9.7109375" style="87" bestFit="1" customWidth="1"/>
    <col min="1798" max="1799" width="9.5703125" style="87" bestFit="1" customWidth="1"/>
    <col min="1800" max="1800" width="10.42578125" style="87" bestFit="1" customWidth="1"/>
    <col min="1801" max="1801" width="4.5703125" style="87" customWidth="1"/>
    <col min="1802" max="1802" width="1.85546875" style="87" customWidth="1"/>
    <col min="1803" max="1803" width="7" style="87" bestFit="1" customWidth="1"/>
    <col min="1804" max="1804" width="6.28515625" style="87" customWidth="1"/>
    <col min="1805" max="1805" width="20.42578125" style="87" customWidth="1"/>
    <col min="1806" max="1806" width="6.42578125" style="87" bestFit="1" customWidth="1"/>
    <col min="1807" max="1808" width="8.42578125" style="87"/>
    <col min="1809" max="1809" width="3.28515625" style="87" customWidth="1"/>
    <col min="1810" max="2048" width="8.42578125" style="87"/>
    <col min="2049" max="2049" width="10" style="87" bestFit="1" customWidth="1"/>
    <col min="2050" max="2050" width="44.28515625" style="87" bestFit="1" customWidth="1"/>
    <col min="2051" max="2051" width="10.42578125" style="87" bestFit="1" customWidth="1"/>
    <col min="2052" max="2052" width="10.42578125" style="87" customWidth="1"/>
    <col min="2053" max="2053" width="9.7109375" style="87" bestFit="1" customWidth="1"/>
    <col min="2054" max="2055" width="9.5703125" style="87" bestFit="1" customWidth="1"/>
    <col min="2056" max="2056" width="10.42578125" style="87" bestFit="1" customWidth="1"/>
    <col min="2057" max="2057" width="4.5703125" style="87" customWidth="1"/>
    <col min="2058" max="2058" width="1.85546875" style="87" customWidth="1"/>
    <col min="2059" max="2059" width="7" style="87" bestFit="1" customWidth="1"/>
    <col min="2060" max="2060" width="6.28515625" style="87" customWidth="1"/>
    <col min="2061" max="2061" width="20.42578125" style="87" customWidth="1"/>
    <col min="2062" max="2062" width="6.42578125" style="87" bestFit="1" customWidth="1"/>
    <col min="2063" max="2064" width="8.42578125" style="87"/>
    <col min="2065" max="2065" width="3.28515625" style="87" customWidth="1"/>
    <col min="2066" max="2304" width="8.42578125" style="87"/>
    <col min="2305" max="2305" width="10" style="87" bestFit="1" customWidth="1"/>
    <col min="2306" max="2306" width="44.28515625" style="87" bestFit="1" customWidth="1"/>
    <col min="2307" max="2307" width="10.42578125" style="87" bestFit="1" customWidth="1"/>
    <col min="2308" max="2308" width="10.42578125" style="87" customWidth="1"/>
    <col min="2309" max="2309" width="9.7109375" style="87" bestFit="1" customWidth="1"/>
    <col min="2310" max="2311" width="9.5703125" style="87" bestFit="1" customWidth="1"/>
    <col min="2312" max="2312" width="10.42578125" style="87" bestFit="1" customWidth="1"/>
    <col min="2313" max="2313" width="4.5703125" style="87" customWidth="1"/>
    <col min="2314" max="2314" width="1.85546875" style="87" customWidth="1"/>
    <col min="2315" max="2315" width="7" style="87" bestFit="1" customWidth="1"/>
    <col min="2316" max="2316" width="6.28515625" style="87" customWidth="1"/>
    <col min="2317" max="2317" width="20.42578125" style="87" customWidth="1"/>
    <col min="2318" max="2318" width="6.42578125" style="87" bestFit="1" customWidth="1"/>
    <col min="2319" max="2320" width="8.42578125" style="87"/>
    <col min="2321" max="2321" width="3.28515625" style="87" customWidth="1"/>
    <col min="2322" max="2560" width="8.42578125" style="87"/>
    <col min="2561" max="2561" width="10" style="87" bestFit="1" customWidth="1"/>
    <col min="2562" max="2562" width="44.28515625" style="87" bestFit="1" customWidth="1"/>
    <col min="2563" max="2563" width="10.42578125" style="87" bestFit="1" customWidth="1"/>
    <col min="2564" max="2564" width="10.42578125" style="87" customWidth="1"/>
    <col min="2565" max="2565" width="9.7109375" style="87" bestFit="1" customWidth="1"/>
    <col min="2566" max="2567" width="9.5703125" style="87" bestFit="1" customWidth="1"/>
    <col min="2568" max="2568" width="10.42578125" style="87" bestFit="1" customWidth="1"/>
    <col min="2569" max="2569" width="4.5703125" style="87" customWidth="1"/>
    <col min="2570" max="2570" width="1.85546875" style="87" customWidth="1"/>
    <col min="2571" max="2571" width="7" style="87" bestFit="1" customWidth="1"/>
    <col min="2572" max="2572" width="6.28515625" style="87" customWidth="1"/>
    <col min="2573" max="2573" width="20.42578125" style="87" customWidth="1"/>
    <col min="2574" max="2574" width="6.42578125" style="87" bestFit="1" customWidth="1"/>
    <col min="2575" max="2576" width="8.42578125" style="87"/>
    <col min="2577" max="2577" width="3.28515625" style="87" customWidth="1"/>
    <col min="2578" max="2816" width="8.42578125" style="87"/>
    <col min="2817" max="2817" width="10" style="87" bestFit="1" customWidth="1"/>
    <col min="2818" max="2818" width="44.28515625" style="87" bestFit="1" customWidth="1"/>
    <col min="2819" max="2819" width="10.42578125" style="87" bestFit="1" customWidth="1"/>
    <col min="2820" max="2820" width="10.42578125" style="87" customWidth="1"/>
    <col min="2821" max="2821" width="9.7109375" style="87" bestFit="1" customWidth="1"/>
    <col min="2822" max="2823" width="9.5703125" style="87" bestFit="1" customWidth="1"/>
    <col min="2824" max="2824" width="10.42578125" style="87" bestFit="1" customWidth="1"/>
    <col min="2825" max="2825" width="4.5703125" style="87" customWidth="1"/>
    <col min="2826" max="2826" width="1.85546875" style="87" customWidth="1"/>
    <col min="2827" max="2827" width="7" style="87" bestFit="1" customWidth="1"/>
    <col min="2828" max="2828" width="6.28515625" style="87" customWidth="1"/>
    <col min="2829" max="2829" width="20.42578125" style="87" customWidth="1"/>
    <col min="2830" max="2830" width="6.42578125" style="87" bestFit="1" customWidth="1"/>
    <col min="2831" max="2832" width="8.42578125" style="87"/>
    <col min="2833" max="2833" width="3.28515625" style="87" customWidth="1"/>
    <col min="2834" max="3072" width="8.42578125" style="87"/>
    <col min="3073" max="3073" width="10" style="87" bestFit="1" customWidth="1"/>
    <col min="3074" max="3074" width="44.28515625" style="87" bestFit="1" customWidth="1"/>
    <col min="3075" max="3075" width="10.42578125" style="87" bestFit="1" customWidth="1"/>
    <col min="3076" max="3076" width="10.42578125" style="87" customWidth="1"/>
    <col min="3077" max="3077" width="9.7109375" style="87" bestFit="1" customWidth="1"/>
    <col min="3078" max="3079" width="9.5703125" style="87" bestFit="1" customWidth="1"/>
    <col min="3080" max="3080" width="10.42578125" style="87" bestFit="1" customWidth="1"/>
    <col min="3081" max="3081" width="4.5703125" style="87" customWidth="1"/>
    <col min="3082" max="3082" width="1.85546875" style="87" customWidth="1"/>
    <col min="3083" max="3083" width="7" style="87" bestFit="1" customWidth="1"/>
    <col min="3084" max="3084" width="6.28515625" style="87" customWidth="1"/>
    <col min="3085" max="3085" width="20.42578125" style="87" customWidth="1"/>
    <col min="3086" max="3086" width="6.42578125" style="87" bestFit="1" customWidth="1"/>
    <col min="3087" max="3088" width="8.42578125" style="87"/>
    <col min="3089" max="3089" width="3.28515625" style="87" customWidth="1"/>
    <col min="3090" max="3328" width="8.42578125" style="87"/>
    <col min="3329" max="3329" width="10" style="87" bestFit="1" customWidth="1"/>
    <col min="3330" max="3330" width="44.28515625" style="87" bestFit="1" customWidth="1"/>
    <col min="3331" max="3331" width="10.42578125" style="87" bestFit="1" customWidth="1"/>
    <col min="3332" max="3332" width="10.42578125" style="87" customWidth="1"/>
    <col min="3333" max="3333" width="9.7109375" style="87" bestFit="1" customWidth="1"/>
    <col min="3334" max="3335" width="9.5703125" style="87" bestFit="1" customWidth="1"/>
    <col min="3336" max="3336" width="10.42578125" style="87" bestFit="1" customWidth="1"/>
    <col min="3337" max="3337" width="4.5703125" style="87" customWidth="1"/>
    <col min="3338" max="3338" width="1.85546875" style="87" customWidth="1"/>
    <col min="3339" max="3339" width="7" style="87" bestFit="1" customWidth="1"/>
    <col min="3340" max="3340" width="6.28515625" style="87" customWidth="1"/>
    <col min="3341" max="3341" width="20.42578125" style="87" customWidth="1"/>
    <col min="3342" max="3342" width="6.42578125" style="87" bestFit="1" customWidth="1"/>
    <col min="3343" max="3344" width="8.42578125" style="87"/>
    <col min="3345" max="3345" width="3.28515625" style="87" customWidth="1"/>
    <col min="3346" max="3584" width="8.42578125" style="87"/>
    <col min="3585" max="3585" width="10" style="87" bestFit="1" customWidth="1"/>
    <col min="3586" max="3586" width="44.28515625" style="87" bestFit="1" customWidth="1"/>
    <col min="3587" max="3587" width="10.42578125" style="87" bestFit="1" customWidth="1"/>
    <col min="3588" max="3588" width="10.42578125" style="87" customWidth="1"/>
    <col min="3589" max="3589" width="9.7109375" style="87" bestFit="1" customWidth="1"/>
    <col min="3590" max="3591" width="9.5703125" style="87" bestFit="1" customWidth="1"/>
    <col min="3592" max="3592" width="10.42578125" style="87" bestFit="1" customWidth="1"/>
    <col min="3593" max="3593" width="4.5703125" style="87" customWidth="1"/>
    <col min="3594" max="3594" width="1.85546875" style="87" customWidth="1"/>
    <col min="3595" max="3595" width="7" style="87" bestFit="1" customWidth="1"/>
    <col min="3596" max="3596" width="6.28515625" style="87" customWidth="1"/>
    <col min="3597" max="3597" width="20.42578125" style="87" customWidth="1"/>
    <col min="3598" max="3598" width="6.42578125" style="87" bestFit="1" customWidth="1"/>
    <col min="3599" max="3600" width="8.42578125" style="87"/>
    <col min="3601" max="3601" width="3.28515625" style="87" customWidth="1"/>
    <col min="3602" max="3840" width="8.42578125" style="87"/>
    <col min="3841" max="3841" width="10" style="87" bestFit="1" customWidth="1"/>
    <col min="3842" max="3842" width="44.28515625" style="87" bestFit="1" customWidth="1"/>
    <col min="3843" max="3843" width="10.42578125" style="87" bestFit="1" customWidth="1"/>
    <col min="3844" max="3844" width="10.42578125" style="87" customWidth="1"/>
    <col min="3845" max="3845" width="9.7109375" style="87" bestFit="1" customWidth="1"/>
    <col min="3846" max="3847" width="9.5703125" style="87" bestFit="1" customWidth="1"/>
    <col min="3848" max="3848" width="10.42578125" style="87" bestFit="1" customWidth="1"/>
    <col min="3849" max="3849" width="4.5703125" style="87" customWidth="1"/>
    <col min="3850" max="3850" width="1.85546875" style="87" customWidth="1"/>
    <col min="3851" max="3851" width="7" style="87" bestFit="1" customWidth="1"/>
    <col min="3852" max="3852" width="6.28515625" style="87" customWidth="1"/>
    <col min="3853" max="3853" width="20.42578125" style="87" customWidth="1"/>
    <col min="3854" max="3854" width="6.42578125" style="87" bestFit="1" customWidth="1"/>
    <col min="3855" max="3856" width="8.42578125" style="87"/>
    <col min="3857" max="3857" width="3.28515625" style="87" customWidth="1"/>
    <col min="3858" max="4096" width="8.42578125" style="87"/>
    <col min="4097" max="4097" width="10" style="87" bestFit="1" customWidth="1"/>
    <col min="4098" max="4098" width="44.28515625" style="87" bestFit="1" customWidth="1"/>
    <col min="4099" max="4099" width="10.42578125" style="87" bestFit="1" customWidth="1"/>
    <col min="4100" max="4100" width="10.42578125" style="87" customWidth="1"/>
    <col min="4101" max="4101" width="9.7109375" style="87" bestFit="1" customWidth="1"/>
    <col min="4102" max="4103" width="9.5703125" style="87" bestFit="1" customWidth="1"/>
    <col min="4104" max="4104" width="10.42578125" style="87" bestFit="1" customWidth="1"/>
    <col min="4105" max="4105" width="4.5703125" style="87" customWidth="1"/>
    <col min="4106" max="4106" width="1.85546875" style="87" customWidth="1"/>
    <col min="4107" max="4107" width="7" style="87" bestFit="1" customWidth="1"/>
    <col min="4108" max="4108" width="6.28515625" style="87" customWidth="1"/>
    <col min="4109" max="4109" width="20.42578125" style="87" customWidth="1"/>
    <col min="4110" max="4110" width="6.42578125" style="87" bestFit="1" customWidth="1"/>
    <col min="4111" max="4112" width="8.42578125" style="87"/>
    <col min="4113" max="4113" width="3.28515625" style="87" customWidth="1"/>
    <col min="4114" max="4352" width="8.42578125" style="87"/>
    <col min="4353" max="4353" width="10" style="87" bestFit="1" customWidth="1"/>
    <col min="4354" max="4354" width="44.28515625" style="87" bestFit="1" customWidth="1"/>
    <col min="4355" max="4355" width="10.42578125" style="87" bestFit="1" customWidth="1"/>
    <col min="4356" max="4356" width="10.42578125" style="87" customWidth="1"/>
    <col min="4357" max="4357" width="9.7109375" style="87" bestFit="1" customWidth="1"/>
    <col min="4358" max="4359" width="9.5703125" style="87" bestFit="1" customWidth="1"/>
    <col min="4360" max="4360" width="10.42578125" style="87" bestFit="1" customWidth="1"/>
    <col min="4361" max="4361" width="4.5703125" style="87" customWidth="1"/>
    <col min="4362" max="4362" width="1.85546875" style="87" customWidth="1"/>
    <col min="4363" max="4363" width="7" style="87" bestFit="1" customWidth="1"/>
    <col min="4364" max="4364" width="6.28515625" style="87" customWidth="1"/>
    <col min="4365" max="4365" width="20.42578125" style="87" customWidth="1"/>
    <col min="4366" max="4366" width="6.42578125" style="87" bestFit="1" customWidth="1"/>
    <col min="4367" max="4368" width="8.42578125" style="87"/>
    <col min="4369" max="4369" width="3.28515625" style="87" customWidth="1"/>
    <col min="4370" max="4608" width="8.42578125" style="87"/>
    <col min="4609" max="4609" width="10" style="87" bestFit="1" customWidth="1"/>
    <col min="4610" max="4610" width="44.28515625" style="87" bestFit="1" customWidth="1"/>
    <col min="4611" max="4611" width="10.42578125" style="87" bestFit="1" customWidth="1"/>
    <col min="4612" max="4612" width="10.42578125" style="87" customWidth="1"/>
    <col min="4613" max="4613" width="9.7109375" style="87" bestFit="1" customWidth="1"/>
    <col min="4614" max="4615" width="9.5703125" style="87" bestFit="1" customWidth="1"/>
    <col min="4616" max="4616" width="10.42578125" style="87" bestFit="1" customWidth="1"/>
    <col min="4617" max="4617" width="4.5703125" style="87" customWidth="1"/>
    <col min="4618" max="4618" width="1.85546875" style="87" customWidth="1"/>
    <col min="4619" max="4619" width="7" style="87" bestFit="1" customWidth="1"/>
    <col min="4620" max="4620" width="6.28515625" style="87" customWidth="1"/>
    <col min="4621" max="4621" width="20.42578125" style="87" customWidth="1"/>
    <col min="4622" max="4622" width="6.42578125" style="87" bestFit="1" customWidth="1"/>
    <col min="4623" max="4624" width="8.42578125" style="87"/>
    <col min="4625" max="4625" width="3.28515625" style="87" customWidth="1"/>
    <col min="4626" max="4864" width="8.42578125" style="87"/>
    <col min="4865" max="4865" width="10" style="87" bestFit="1" customWidth="1"/>
    <col min="4866" max="4866" width="44.28515625" style="87" bestFit="1" customWidth="1"/>
    <col min="4867" max="4867" width="10.42578125" style="87" bestFit="1" customWidth="1"/>
    <col min="4868" max="4868" width="10.42578125" style="87" customWidth="1"/>
    <col min="4869" max="4869" width="9.7109375" style="87" bestFit="1" customWidth="1"/>
    <col min="4870" max="4871" width="9.5703125" style="87" bestFit="1" customWidth="1"/>
    <col min="4872" max="4872" width="10.42578125" style="87" bestFit="1" customWidth="1"/>
    <col min="4873" max="4873" width="4.5703125" style="87" customWidth="1"/>
    <col min="4874" max="4874" width="1.85546875" style="87" customWidth="1"/>
    <col min="4875" max="4875" width="7" style="87" bestFit="1" customWidth="1"/>
    <col min="4876" max="4876" width="6.28515625" style="87" customWidth="1"/>
    <col min="4877" max="4877" width="20.42578125" style="87" customWidth="1"/>
    <col min="4878" max="4878" width="6.42578125" style="87" bestFit="1" customWidth="1"/>
    <col min="4879" max="4880" width="8.42578125" style="87"/>
    <col min="4881" max="4881" width="3.28515625" style="87" customWidth="1"/>
    <col min="4882" max="5120" width="8.42578125" style="87"/>
    <col min="5121" max="5121" width="10" style="87" bestFit="1" customWidth="1"/>
    <col min="5122" max="5122" width="44.28515625" style="87" bestFit="1" customWidth="1"/>
    <col min="5123" max="5123" width="10.42578125" style="87" bestFit="1" customWidth="1"/>
    <col min="5124" max="5124" width="10.42578125" style="87" customWidth="1"/>
    <col min="5125" max="5125" width="9.7109375" style="87" bestFit="1" customWidth="1"/>
    <col min="5126" max="5127" width="9.5703125" style="87" bestFit="1" customWidth="1"/>
    <col min="5128" max="5128" width="10.42578125" style="87" bestFit="1" customWidth="1"/>
    <col min="5129" max="5129" width="4.5703125" style="87" customWidth="1"/>
    <col min="5130" max="5130" width="1.85546875" style="87" customWidth="1"/>
    <col min="5131" max="5131" width="7" style="87" bestFit="1" customWidth="1"/>
    <col min="5132" max="5132" width="6.28515625" style="87" customWidth="1"/>
    <col min="5133" max="5133" width="20.42578125" style="87" customWidth="1"/>
    <col min="5134" max="5134" width="6.42578125" style="87" bestFit="1" customWidth="1"/>
    <col min="5135" max="5136" width="8.42578125" style="87"/>
    <col min="5137" max="5137" width="3.28515625" style="87" customWidth="1"/>
    <col min="5138" max="5376" width="8.42578125" style="87"/>
    <col min="5377" max="5377" width="10" style="87" bestFit="1" customWidth="1"/>
    <col min="5378" max="5378" width="44.28515625" style="87" bestFit="1" customWidth="1"/>
    <col min="5379" max="5379" width="10.42578125" style="87" bestFit="1" customWidth="1"/>
    <col min="5380" max="5380" width="10.42578125" style="87" customWidth="1"/>
    <col min="5381" max="5381" width="9.7109375" style="87" bestFit="1" customWidth="1"/>
    <col min="5382" max="5383" width="9.5703125" style="87" bestFit="1" customWidth="1"/>
    <col min="5384" max="5384" width="10.42578125" style="87" bestFit="1" customWidth="1"/>
    <col min="5385" max="5385" width="4.5703125" style="87" customWidth="1"/>
    <col min="5386" max="5386" width="1.85546875" style="87" customWidth="1"/>
    <col min="5387" max="5387" width="7" style="87" bestFit="1" customWidth="1"/>
    <col min="5388" max="5388" width="6.28515625" style="87" customWidth="1"/>
    <col min="5389" max="5389" width="20.42578125" style="87" customWidth="1"/>
    <col min="5390" max="5390" width="6.42578125" style="87" bestFit="1" customWidth="1"/>
    <col min="5391" max="5392" width="8.42578125" style="87"/>
    <col min="5393" max="5393" width="3.28515625" style="87" customWidth="1"/>
    <col min="5394" max="5632" width="8.42578125" style="87"/>
    <col min="5633" max="5633" width="10" style="87" bestFit="1" customWidth="1"/>
    <col min="5634" max="5634" width="44.28515625" style="87" bestFit="1" customWidth="1"/>
    <col min="5635" max="5635" width="10.42578125" style="87" bestFit="1" customWidth="1"/>
    <col min="5636" max="5636" width="10.42578125" style="87" customWidth="1"/>
    <col min="5637" max="5637" width="9.7109375" style="87" bestFit="1" customWidth="1"/>
    <col min="5638" max="5639" width="9.5703125" style="87" bestFit="1" customWidth="1"/>
    <col min="5640" max="5640" width="10.42578125" style="87" bestFit="1" customWidth="1"/>
    <col min="5641" max="5641" width="4.5703125" style="87" customWidth="1"/>
    <col min="5642" max="5642" width="1.85546875" style="87" customWidth="1"/>
    <col min="5643" max="5643" width="7" style="87" bestFit="1" customWidth="1"/>
    <col min="5644" max="5644" width="6.28515625" style="87" customWidth="1"/>
    <col min="5645" max="5645" width="20.42578125" style="87" customWidth="1"/>
    <col min="5646" max="5646" width="6.42578125" style="87" bestFit="1" customWidth="1"/>
    <col min="5647" max="5648" width="8.42578125" style="87"/>
    <col min="5649" max="5649" width="3.28515625" style="87" customWidth="1"/>
    <col min="5650" max="5888" width="8.42578125" style="87"/>
    <col min="5889" max="5889" width="10" style="87" bestFit="1" customWidth="1"/>
    <col min="5890" max="5890" width="44.28515625" style="87" bestFit="1" customWidth="1"/>
    <col min="5891" max="5891" width="10.42578125" style="87" bestFit="1" customWidth="1"/>
    <col min="5892" max="5892" width="10.42578125" style="87" customWidth="1"/>
    <col min="5893" max="5893" width="9.7109375" style="87" bestFit="1" customWidth="1"/>
    <col min="5894" max="5895" width="9.5703125" style="87" bestFit="1" customWidth="1"/>
    <col min="5896" max="5896" width="10.42578125" style="87" bestFit="1" customWidth="1"/>
    <col min="5897" max="5897" width="4.5703125" style="87" customWidth="1"/>
    <col min="5898" max="5898" width="1.85546875" style="87" customWidth="1"/>
    <col min="5899" max="5899" width="7" style="87" bestFit="1" customWidth="1"/>
    <col min="5900" max="5900" width="6.28515625" style="87" customWidth="1"/>
    <col min="5901" max="5901" width="20.42578125" style="87" customWidth="1"/>
    <col min="5902" max="5902" width="6.42578125" style="87" bestFit="1" customWidth="1"/>
    <col min="5903" max="5904" width="8.42578125" style="87"/>
    <col min="5905" max="5905" width="3.28515625" style="87" customWidth="1"/>
    <col min="5906" max="6144" width="8.42578125" style="87"/>
    <col min="6145" max="6145" width="10" style="87" bestFit="1" customWidth="1"/>
    <col min="6146" max="6146" width="44.28515625" style="87" bestFit="1" customWidth="1"/>
    <col min="6147" max="6147" width="10.42578125" style="87" bestFit="1" customWidth="1"/>
    <col min="6148" max="6148" width="10.42578125" style="87" customWidth="1"/>
    <col min="6149" max="6149" width="9.7109375" style="87" bestFit="1" customWidth="1"/>
    <col min="6150" max="6151" width="9.5703125" style="87" bestFit="1" customWidth="1"/>
    <col min="6152" max="6152" width="10.42578125" style="87" bestFit="1" customWidth="1"/>
    <col min="6153" max="6153" width="4.5703125" style="87" customWidth="1"/>
    <col min="6154" max="6154" width="1.85546875" style="87" customWidth="1"/>
    <col min="6155" max="6155" width="7" style="87" bestFit="1" customWidth="1"/>
    <col min="6156" max="6156" width="6.28515625" style="87" customWidth="1"/>
    <col min="6157" max="6157" width="20.42578125" style="87" customWidth="1"/>
    <col min="6158" max="6158" width="6.42578125" style="87" bestFit="1" customWidth="1"/>
    <col min="6159" max="6160" width="8.42578125" style="87"/>
    <col min="6161" max="6161" width="3.28515625" style="87" customWidth="1"/>
    <col min="6162" max="6400" width="8.42578125" style="87"/>
    <col min="6401" max="6401" width="10" style="87" bestFit="1" customWidth="1"/>
    <col min="6402" max="6402" width="44.28515625" style="87" bestFit="1" customWidth="1"/>
    <col min="6403" max="6403" width="10.42578125" style="87" bestFit="1" customWidth="1"/>
    <col min="6404" max="6404" width="10.42578125" style="87" customWidth="1"/>
    <col min="6405" max="6405" width="9.7109375" style="87" bestFit="1" customWidth="1"/>
    <col min="6406" max="6407" width="9.5703125" style="87" bestFit="1" customWidth="1"/>
    <col min="6408" max="6408" width="10.42578125" style="87" bestFit="1" customWidth="1"/>
    <col min="6409" max="6409" width="4.5703125" style="87" customWidth="1"/>
    <col min="6410" max="6410" width="1.85546875" style="87" customWidth="1"/>
    <col min="6411" max="6411" width="7" style="87" bestFit="1" customWidth="1"/>
    <col min="6412" max="6412" width="6.28515625" style="87" customWidth="1"/>
    <col min="6413" max="6413" width="20.42578125" style="87" customWidth="1"/>
    <col min="6414" max="6414" width="6.42578125" style="87" bestFit="1" customWidth="1"/>
    <col min="6415" max="6416" width="8.42578125" style="87"/>
    <col min="6417" max="6417" width="3.28515625" style="87" customWidth="1"/>
    <col min="6418" max="6656" width="8.42578125" style="87"/>
    <col min="6657" max="6657" width="10" style="87" bestFit="1" customWidth="1"/>
    <col min="6658" max="6658" width="44.28515625" style="87" bestFit="1" customWidth="1"/>
    <col min="6659" max="6659" width="10.42578125" style="87" bestFit="1" customWidth="1"/>
    <col min="6660" max="6660" width="10.42578125" style="87" customWidth="1"/>
    <col min="6661" max="6661" width="9.7109375" style="87" bestFit="1" customWidth="1"/>
    <col min="6662" max="6663" width="9.5703125" style="87" bestFit="1" customWidth="1"/>
    <col min="6664" max="6664" width="10.42578125" style="87" bestFit="1" customWidth="1"/>
    <col min="6665" max="6665" width="4.5703125" style="87" customWidth="1"/>
    <col min="6666" max="6666" width="1.85546875" style="87" customWidth="1"/>
    <col min="6667" max="6667" width="7" style="87" bestFit="1" customWidth="1"/>
    <col min="6668" max="6668" width="6.28515625" style="87" customWidth="1"/>
    <col min="6669" max="6669" width="20.42578125" style="87" customWidth="1"/>
    <col min="6670" max="6670" width="6.42578125" style="87" bestFit="1" customWidth="1"/>
    <col min="6671" max="6672" width="8.42578125" style="87"/>
    <col min="6673" max="6673" width="3.28515625" style="87" customWidth="1"/>
    <col min="6674" max="6912" width="8.42578125" style="87"/>
    <col min="6913" max="6913" width="10" style="87" bestFit="1" customWidth="1"/>
    <col min="6914" max="6914" width="44.28515625" style="87" bestFit="1" customWidth="1"/>
    <col min="6915" max="6915" width="10.42578125" style="87" bestFit="1" customWidth="1"/>
    <col min="6916" max="6916" width="10.42578125" style="87" customWidth="1"/>
    <col min="6917" max="6917" width="9.7109375" style="87" bestFit="1" customWidth="1"/>
    <col min="6918" max="6919" width="9.5703125" style="87" bestFit="1" customWidth="1"/>
    <col min="6920" max="6920" width="10.42578125" style="87" bestFit="1" customWidth="1"/>
    <col min="6921" max="6921" width="4.5703125" style="87" customWidth="1"/>
    <col min="6922" max="6922" width="1.85546875" style="87" customWidth="1"/>
    <col min="6923" max="6923" width="7" style="87" bestFit="1" customWidth="1"/>
    <col min="6924" max="6924" width="6.28515625" style="87" customWidth="1"/>
    <col min="6925" max="6925" width="20.42578125" style="87" customWidth="1"/>
    <col min="6926" max="6926" width="6.42578125" style="87" bestFit="1" customWidth="1"/>
    <col min="6927" max="6928" width="8.42578125" style="87"/>
    <col min="6929" max="6929" width="3.28515625" style="87" customWidth="1"/>
    <col min="6930" max="7168" width="8.42578125" style="87"/>
    <col min="7169" max="7169" width="10" style="87" bestFit="1" customWidth="1"/>
    <col min="7170" max="7170" width="44.28515625" style="87" bestFit="1" customWidth="1"/>
    <col min="7171" max="7171" width="10.42578125" style="87" bestFit="1" customWidth="1"/>
    <col min="7172" max="7172" width="10.42578125" style="87" customWidth="1"/>
    <col min="7173" max="7173" width="9.7109375" style="87" bestFit="1" customWidth="1"/>
    <col min="7174" max="7175" width="9.5703125" style="87" bestFit="1" customWidth="1"/>
    <col min="7176" max="7176" width="10.42578125" style="87" bestFit="1" customWidth="1"/>
    <col min="7177" max="7177" width="4.5703125" style="87" customWidth="1"/>
    <col min="7178" max="7178" width="1.85546875" style="87" customWidth="1"/>
    <col min="7179" max="7179" width="7" style="87" bestFit="1" customWidth="1"/>
    <col min="7180" max="7180" width="6.28515625" style="87" customWidth="1"/>
    <col min="7181" max="7181" width="20.42578125" style="87" customWidth="1"/>
    <col min="7182" max="7182" width="6.42578125" style="87" bestFit="1" customWidth="1"/>
    <col min="7183" max="7184" width="8.42578125" style="87"/>
    <col min="7185" max="7185" width="3.28515625" style="87" customWidth="1"/>
    <col min="7186" max="7424" width="8.42578125" style="87"/>
    <col min="7425" max="7425" width="10" style="87" bestFit="1" customWidth="1"/>
    <col min="7426" max="7426" width="44.28515625" style="87" bestFit="1" customWidth="1"/>
    <col min="7427" max="7427" width="10.42578125" style="87" bestFit="1" customWidth="1"/>
    <col min="7428" max="7428" width="10.42578125" style="87" customWidth="1"/>
    <col min="7429" max="7429" width="9.7109375" style="87" bestFit="1" customWidth="1"/>
    <col min="7430" max="7431" width="9.5703125" style="87" bestFit="1" customWidth="1"/>
    <col min="7432" max="7432" width="10.42578125" style="87" bestFit="1" customWidth="1"/>
    <col min="7433" max="7433" width="4.5703125" style="87" customWidth="1"/>
    <col min="7434" max="7434" width="1.85546875" style="87" customWidth="1"/>
    <col min="7435" max="7435" width="7" style="87" bestFit="1" customWidth="1"/>
    <col min="7436" max="7436" width="6.28515625" style="87" customWidth="1"/>
    <col min="7437" max="7437" width="20.42578125" style="87" customWidth="1"/>
    <col min="7438" max="7438" width="6.42578125" style="87" bestFit="1" customWidth="1"/>
    <col min="7439" max="7440" width="8.42578125" style="87"/>
    <col min="7441" max="7441" width="3.28515625" style="87" customWidth="1"/>
    <col min="7442" max="7680" width="8.42578125" style="87"/>
    <col min="7681" max="7681" width="10" style="87" bestFit="1" customWidth="1"/>
    <col min="7682" max="7682" width="44.28515625" style="87" bestFit="1" customWidth="1"/>
    <col min="7683" max="7683" width="10.42578125" style="87" bestFit="1" customWidth="1"/>
    <col min="7684" max="7684" width="10.42578125" style="87" customWidth="1"/>
    <col min="7685" max="7685" width="9.7109375" style="87" bestFit="1" customWidth="1"/>
    <col min="7686" max="7687" width="9.5703125" style="87" bestFit="1" customWidth="1"/>
    <col min="7688" max="7688" width="10.42578125" style="87" bestFit="1" customWidth="1"/>
    <col min="7689" max="7689" width="4.5703125" style="87" customWidth="1"/>
    <col min="7690" max="7690" width="1.85546875" style="87" customWidth="1"/>
    <col min="7691" max="7691" width="7" style="87" bestFit="1" customWidth="1"/>
    <col min="7692" max="7692" width="6.28515625" style="87" customWidth="1"/>
    <col min="7693" max="7693" width="20.42578125" style="87" customWidth="1"/>
    <col min="7694" max="7694" width="6.42578125" style="87" bestFit="1" customWidth="1"/>
    <col min="7695" max="7696" width="8.42578125" style="87"/>
    <col min="7697" max="7697" width="3.28515625" style="87" customWidth="1"/>
    <col min="7698" max="7936" width="8.42578125" style="87"/>
    <col min="7937" max="7937" width="10" style="87" bestFit="1" customWidth="1"/>
    <col min="7938" max="7938" width="44.28515625" style="87" bestFit="1" customWidth="1"/>
    <col min="7939" max="7939" width="10.42578125" style="87" bestFit="1" customWidth="1"/>
    <col min="7940" max="7940" width="10.42578125" style="87" customWidth="1"/>
    <col min="7941" max="7941" width="9.7109375" style="87" bestFit="1" customWidth="1"/>
    <col min="7942" max="7943" width="9.5703125" style="87" bestFit="1" customWidth="1"/>
    <col min="7944" max="7944" width="10.42578125" style="87" bestFit="1" customWidth="1"/>
    <col min="7945" max="7945" width="4.5703125" style="87" customWidth="1"/>
    <col min="7946" max="7946" width="1.85546875" style="87" customWidth="1"/>
    <col min="7947" max="7947" width="7" style="87" bestFit="1" customWidth="1"/>
    <col min="7948" max="7948" width="6.28515625" style="87" customWidth="1"/>
    <col min="7949" max="7949" width="20.42578125" style="87" customWidth="1"/>
    <col min="7950" max="7950" width="6.42578125" style="87" bestFit="1" customWidth="1"/>
    <col min="7951" max="7952" width="8.42578125" style="87"/>
    <col min="7953" max="7953" width="3.28515625" style="87" customWidth="1"/>
    <col min="7954" max="8192" width="8.42578125" style="87"/>
    <col min="8193" max="8193" width="10" style="87" bestFit="1" customWidth="1"/>
    <col min="8194" max="8194" width="44.28515625" style="87" bestFit="1" customWidth="1"/>
    <col min="8195" max="8195" width="10.42578125" style="87" bestFit="1" customWidth="1"/>
    <col min="8196" max="8196" width="10.42578125" style="87" customWidth="1"/>
    <col min="8197" max="8197" width="9.7109375" style="87" bestFit="1" customWidth="1"/>
    <col min="8198" max="8199" width="9.5703125" style="87" bestFit="1" customWidth="1"/>
    <col min="8200" max="8200" width="10.42578125" style="87" bestFit="1" customWidth="1"/>
    <col min="8201" max="8201" width="4.5703125" style="87" customWidth="1"/>
    <col min="8202" max="8202" width="1.85546875" style="87" customWidth="1"/>
    <col min="8203" max="8203" width="7" style="87" bestFit="1" customWidth="1"/>
    <col min="8204" max="8204" width="6.28515625" style="87" customWidth="1"/>
    <col min="8205" max="8205" width="20.42578125" style="87" customWidth="1"/>
    <col min="8206" max="8206" width="6.42578125" style="87" bestFit="1" customWidth="1"/>
    <col min="8207" max="8208" width="8.42578125" style="87"/>
    <col min="8209" max="8209" width="3.28515625" style="87" customWidth="1"/>
    <col min="8210" max="8448" width="8.42578125" style="87"/>
    <col min="8449" max="8449" width="10" style="87" bestFit="1" customWidth="1"/>
    <col min="8450" max="8450" width="44.28515625" style="87" bestFit="1" customWidth="1"/>
    <col min="8451" max="8451" width="10.42578125" style="87" bestFit="1" customWidth="1"/>
    <col min="8452" max="8452" width="10.42578125" style="87" customWidth="1"/>
    <col min="8453" max="8453" width="9.7109375" style="87" bestFit="1" customWidth="1"/>
    <col min="8454" max="8455" width="9.5703125" style="87" bestFit="1" customWidth="1"/>
    <col min="8456" max="8456" width="10.42578125" style="87" bestFit="1" customWidth="1"/>
    <col min="8457" max="8457" width="4.5703125" style="87" customWidth="1"/>
    <col min="8458" max="8458" width="1.85546875" style="87" customWidth="1"/>
    <col min="8459" max="8459" width="7" style="87" bestFit="1" customWidth="1"/>
    <col min="8460" max="8460" width="6.28515625" style="87" customWidth="1"/>
    <col min="8461" max="8461" width="20.42578125" style="87" customWidth="1"/>
    <col min="8462" max="8462" width="6.42578125" style="87" bestFit="1" customWidth="1"/>
    <col min="8463" max="8464" width="8.42578125" style="87"/>
    <col min="8465" max="8465" width="3.28515625" style="87" customWidth="1"/>
    <col min="8466" max="8704" width="8.42578125" style="87"/>
    <col min="8705" max="8705" width="10" style="87" bestFit="1" customWidth="1"/>
    <col min="8706" max="8706" width="44.28515625" style="87" bestFit="1" customWidth="1"/>
    <col min="8707" max="8707" width="10.42578125" style="87" bestFit="1" customWidth="1"/>
    <col min="8708" max="8708" width="10.42578125" style="87" customWidth="1"/>
    <col min="8709" max="8709" width="9.7109375" style="87" bestFit="1" customWidth="1"/>
    <col min="8710" max="8711" width="9.5703125" style="87" bestFit="1" customWidth="1"/>
    <col min="8712" max="8712" width="10.42578125" style="87" bestFit="1" customWidth="1"/>
    <col min="8713" max="8713" width="4.5703125" style="87" customWidth="1"/>
    <col min="8714" max="8714" width="1.85546875" style="87" customWidth="1"/>
    <col min="8715" max="8715" width="7" style="87" bestFit="1" customWidth="1"/>
    <col min="8716" max="8716" width="6.28515625" style="87" customWidth="1"/>
    <col min="8717" max="8717" width="20.42578125" style="87" customWidth="1"/>
    <col min="8718" max="8718" width="6.42578125" style="87" bestFit="1" customWidth="1"/>
    <col min="8719" max="8720" width="8.42578125" style="87"/>
    <col min="8721" max="8721" width="3.28515625" style="87" customWidth="1"/>
    <col min="8722" max="8960" width="8.42578125" style="87"/>
    <col min="8961" max="8961" width="10" style="87" bestFit="1" customWidth="1"/>
    <col min="8962" max="8962" width="44.28515625" style="87" bestFit="1" customWidth="1"/>
    <col min="8963" max="8963" width="10.42578125" style="87" bestFit="1" customWidth="1"/>
    <col min="8964" max="8964" width="10.42578125" style="87" customWidth="1"/>
    <col min="8965" max="8965" width="9.7109375" style="87" bestFit="1" customWidth="1"/>
    <col min="8966" max="8967" width="9.5703125" style="87" bestFit="1" customWidth="1"/>
    <col min="8968" max="8968" width="10.42578125" style="87" bestFit="1" customWidth="1"/>
    <col min="8969" max="8969" width="4.5703125" style="87" customWidth="1"/>
    <col min="8970" max="8970" width="1.85546875" style="87" customWidth="1"/>
    <col min="8971" max="8971" width="7" style="87" bestFit="1" customWidth="1"/>
    <col min="8972" max="8972" width="6.28515625" style="87" customWidth="1"/>
    <col min="8973" max="8973" width="20.42578125" style="87" customWidth="1"/>
    <col min="8974" max="8974" width="6.42578125" style="87" bestFit="1" customWidth="1"/>
    <col min="8975" max="8976" width="8.42578125" style="87"/>
    <col min="8977" max="8977" width="3.28515625" style="87" customWidth="1"/>
    <col min="8978" max="9216" width="8.42578125" style="87"/>
    <col min="9217" max="9217" width="10" style="87" bestFit="1" customWidth="1"/>
    <col min="9218" max="9218" width="44.28515625" style="87" bestFit="1" customWidth="1"/>
    <col min="9219" max="9219" width="10.42578125" style="87" bestFit="1" customWidth="1"/>
    <col min="9220" max="9220" width="10.42578125" style="87" customWidth="1"/>
    <col min="9221" max="9221" width="9.7109375" style="87" bestFit="1" customWidth="1"/>
    <col min="9222" max="9223" width="9.5703125" style="87" bestFit="1" customWidth="1"/>
    <col min="9224" max="9224" width="10.42578125" style="87" bestFit="1" customWidth="1"/>
    <col min="9225" max="9225" width="4.5703125" style="87" customWidth="1"/>
    <col min="9226" max="9226" width="1.85546875" style="87" customWidth="1"/>
    <col min="9227" max="9227" width="7" style="87" bestFit="1" customWidth="1"/>
    <col min="9228" max="9228" width="6.28515625" style="87" customWidth="1"/>
    <col min="9229" max="9229" width="20.42578125" style="87" customWidth="1"/>
    <col min="9230" max="9230" width="6.42578125" style="87" bestFit="1" customWidth="1"/>
    <col min="9231" max="9232" width="8.42578125" style="87"/>
    <col min="9233" max="9233" width="3.28515625" style="87" customWidth="1"/>
    <col min="9234" max="9472" width="8.42578125" style="87"/>
    <col min="9473" max="9473" width="10" style="87" bestFit="1" customWidth="1"/>
    <col min="9474" max="9474" width="44.28515625" style="87" bestFit="1" customWidth="1"/>
    <col min="9475" max="9475" width="10.42578125" style="87" bestFit="1" customWidth="1"/>
    <col min="9476" max="9476" width="10.42578125" style="87" customWidth="1"/>
    <col min="9477" max="9477" width="9.7109375" style="87" bestFit="1" customWidth="1"/>
    <col min="9478" max="9479" width="9.5703125" style="87" bestFit="1" customWidth="1"/>
    <col min="9480" max="9480" width="10.42578125" style="87" bestFit="1" customWidth="1"/>
    <col min="9481" max="9481" width="4.5703125" style="87" customWidth="1"/>
    <col min="9482" max="9482" width="1.85546875" style="87" customWidth="1"/>
    <col min="9483" max="9483" width="7" style="87" bestFit="1" customWidth="1"/>
    <col min="9484" max="9484" width="6.28515625" style="87" customWidth="1"/>
    <col min="9485" max="9485" width="20.42578125" style="87" customWidth="1"/>
    <col min="9486" max="9486" width="6.42578125" style="87" bestFit="1" customWidth="1"/>
    <col min="9487" max="9488" width="8.42578125" style="87"/>
    <col min="9489" max="9489" width="3.28515625" style="87" customWidth="1"/>
    <col min="9490" max="9728" width="8.42578125" style="87"/>
    <col min="9729" max="9729" width="10" style="87" bestFit="1" customWidth="1"/>
    <col min="9730" max="9730" width="44.28515625" style="87" bestFit="1" customWidth="1"/>
    <col min="9731" max="9731" width="10.42578125" style="87" bestFit="1" customWidth="1"/>
    <col min="9732" max="9732" width="10.42578125" style="87" customWidth="1"/>
    <col min="9733" max="9733" width="9.7109375" style="87" bestFit="1" customWidth="1"/>
    <col min="9734" max="9735" width="9.5703125" style="87" bestFit="1" customWidth="1"/>
    <col min="9736" max="9736" width="10.42578125" style="87" bestFit="1" customWidth="1"/>
    <col min="9737" max="9737" width="4.5703125" style="87" customWidth="1"/>
    <col min="9738" max="9738" width="1.85546875" style="87" customWidth="1"/>
    <col min="9739" max="9739" width="7" style="87" bestFit="1" customWidth="1"/>
    <col min="9740" max="9740" width="6.28515625" style="87" customWidth="1"/>
    <col min="9741" max="9741" width="20.42578125" style="87" customWidth="1"/>
    <col min="9742" max="9742" width="6.42578125" style="87" bestFit="1" customWidth="1"/>
    <col min="9743" max="9744" width="8.42578125" style="87"/>
    <col min="9745" max="9745" width="3.28515625" style="87" customWidth="1"/>
    <col min="9746" max="9984" width="8.42578125" style="87"/>
    <col min="9985" max="9985" width="10" style="87" bestFit="1" customWidth="1"/>
    <col min="9986" max="9986" width="44.28515625" style="87" bestFit="1" customWidth="1"/>
    <col min="9987" max="9987" width="10.42578125" style="87" bestFit="1" customWidth="1"/>
    <col min="9988" max="9988" width="10.42578125" style="87" customWidth="1"/>
    <col min="9989" max="9989" width="9.7109375" style="87" bestFit="1" customWidth="1"/>
    <col min="9990" max="9991" width="9.5703125" style="87" bestFit="1" customWidth="1"/>
    <col min="9992" max="9992" width="10.42578125" style="87" bestFit="1" customWidth="1"/>
    <col min="9993" max="9993" width="4.5703125" style="87" customWidth="1"/>
    <col min="9994" max="9994" width="1.85546875" style="87" customWidth="1"/>
    <col min="9995" max="9995" width="7" style="87" bestFit="1" customWidth="1"/>
    <col min="9996" max="9996" width="6.28515625" style="87" customWidth="1"/>
    <col min="9997" max="9997" width="20.42578125" style="87" customWidth="1"/>
    <col min="9998" max="9998" width="6.42578125" style="87" bestFit="1" customWidth="1"/>
    <col min="9999" max="10000" width="8.42578125" style="87"/>
    <col min="10001" max="10001" width="3.28515625" style="87" customWidth="1"/>
    <col min="10002" max="10240" width="8.42578125" style="87"/>
    <col min="10241" max="10241" width="10" style="87" bestFit="1" customWidth="1"/>
    <col min="10242" max="10242" width="44.28515625" style="87" bestFit="1" customWidth="1"/>
    <col min="10243" max="10243" width="10.42578125" style="87" bestFit="1" customWidth="1"/>
    <col min="10244" max="10244" width="10.42578125" style="87" customWidth="1"/>
    <col min="10245" max="10245" width="9.7109375" style="87" bestFit="1" customWidth="1"/>
    <col min="10246" max="10247" width="9.5703125" style="87" bestFit="1" customWidth="1"/>
    <col min="10248" max="10248" width="10.42578125" style="87" bestFit="1" customWidth="1"/>
    <col min="10249" max="10249" width="4.5703125" style="87" customWidth="1"/>
    <col min="10250" max="10250" width="1.85546875" style="87" customWidth="1"/>
    <col min="10251" max="10251" width="7" style="87" bestFit="1" customWidth="1"/>
    <col min="10252" max="10252" width="6.28515625" style="87" customWidth="1"/>
    <col min="10253" max="10253" width="20.42578125" style="87" customWidth="1"/>
    <col min="10254" max="10254" width="6.42578125" style="87" bestFit="1" customWidth="1"/>
    <col min="10255" max="10256" width="8.42578125" style="87"/>
    <col min="10257" max="10257" width="3.28515625" style="87" customWidth="1"/>
    <col min="10258" max="10496" width="8.42578125" style="87"/>
    <col min="10497" max="10497" width="10" style="87" bestFit="1" customWidth="1"/>
    <col min="10498" max="10498" width="44.28515625" style="87" bestFit="1" customWidth="1"/>
    <col min="10499" max="10499" width="10.42578125" style="87" bestFit="1" customWidth="1"/>
    <col min="10500" max="10500" width="10.42578125" style="87" customWidth="1"/>
    <col min="10501" max="10501" width="9.7109375" style="87" bestFit="1" customWidth="1"/>
    <col min="10502" max="10503" width="9.5703125" style="87" bestFit="1" customWidth="1"/>
    <col min="10504" max="10504" width="10.42578125" style="87" bestFit="1" customWidth="1"/>
    <col min="10505" max="10505" width="4.5703125" style="87" customWidth="1"/>
    <col min="10506" max="10506" width="1.85546875" style="87" customWidth="1"/>
    <col min="10507" max="10507" width="7" style="87" bestFit="1" customWidth="1"/>
    <col min="10508" max="10508" width="6.28515625" style="87" customWidth="1"/>
    <col min="10509" max="10509" width="20.42578125" style="87" customWidth="1"/>
    <col min="10510" max="10510" width="6.42578125" style="87" bestFit="1" customWidth="1"/>
    <col min="10511" max="10512" width="8.42578125" style="87"/>
    <col min="10513" max="10513" width="3.28515625" style="87" customWidth="1"/>
    <col min="10514" max="10752" width="8.42578125" style="87"/>
    <col min="10753" max="10753" width="10" style="87" bestFit="1" customWidth="1"/>
    <col min="10754" max="10754" width="44.28515625" style="87" bestFit="1" customWidth="1"/>
    <col min="10755" max="10755" width="10.42578125" style="87" bestFit="1" customWidth="1"/>
    <col min="10756" max="10756" width="10.42578125" style="87" customWidth="1"/>
    <col min="10757" max="10757" width="9.7109375" style="87" bestFit="1" customWidth="1"/>
    <col min="10758" max="10759" width="9.5703125" style="87" bestFit="1" customWidth="1"/>
    <col min="10760" max="10760" width="10.42578125" style="87" bestFit="1" customWidth="1"/>
    <col min="10761" max="10761" width="4.5703125" style="87" customWidth="1"/>
    <col min="10762" max="10762" width="1.85546875" style="87" customWidth="1"/>
    <col min="10763" max="10763" width="7" style="87" bestFit="1" customWidth="1"/>
    <col min="10764" max="10764" width="6.28515625" style="87" customWidth="1"/>
    <col min="10765" max="10765" width="20.42578125" style="87" customWidth="1"/>
    <col min="10766" max="10766" width="6.42578125" style="87" bestFit="1" customWidth="1"/>
    <col min="10767" max="10768" width="8.42578125" style="87"/>
    <col min="10769" max="10769" width="3.28515625" style="87" customWidth="1"/>
    <col min="10770" max="11008" width="8.42578125" style="87"/>
    <col min="11009" max="11009" width="10" style="87" bestFit="1" customWidth="1"/>
    <col min="11010" max="11010" width="44.28515625" style="87" bestFit="1" customWidth="1"/>
    <col min="11011" max="11011" width="10.42578125" style="87" bestFit="1" customWidth="1"/>
    <col min="11012" max="11012" width="10.42578125" style="87" customWidth="1"/>
    <col min="11013" max="11013" width="9.7109375" style="87" bestFit="1" customWidth="1"/>
    <col min="11014" max="11015" width="9.5703125" style="87" bestFit="1" customWidth="1"/>
    <col min="11016" max="11016" width="10.42578125" style="87" bestFit="1" customWidth="1"/>
    <col min="11017" max="11017" width="4.5703125" style="87" customWidth="1"/>
    <col min="11018" max="11018" width="1.85546875" style="87" customWidth="1"/>
    <col min="11019" max="11019" width="7" style="87" bestFit="1" customWidth="1"/>
    <col min="11020" max="11020" width="6.28515625" style="87" customWidth="1"/>
    <col min="11021" max="11021" width="20.42578125" style="87" customWidth="1"/>
    <col min="11022" max="11022" width="6.42578125" style="87" bestFit="1" customWidth="1"/>
    <col min="11023" max="11024" width="8.42578125" style="87"/>
    <col min="11025" max="11025" width="3.28515625" style="87" customWidth="1"/>
    <col min="11026" max="11264" width="8.42578125" style="87"/>
    <col min="11265" max="11265" width="10" style="87" bestFit="1" customWidth="1"/>
    <col min="11266" max="11266" width="44.28515625" style="87" bestFit="1" customWidth="1"/>
    <col min="11267" max="11267" width="10.42578125" style="87" bestFit="1" customWidth="1"/>
    <col min="11268" max="11268" width="10.42578125" style="87" customWidth="1"/>
    <col min="11269" max="11269" width="9.7109375" style="87" bestFit="1" customWidth="1"/>
    <col min="11270" max="11271" width="9.5703125" style="87" bestFit="1" customWidth="1"/>
    <col min="11272" max="11272" width="10.42578125" style="87" bestFit="1" customWidth="1"/>
    <col min="11273" max="11273" width="4.5703125" style="87" customWidth="1"/>
    <col min="11274" max="11274" width="1.85546875" style="87" customWidth="1"/>
    <col min="11275" max="11275" width="7" style="87" bestFit="1" customWidth="1"/>
    <col min="11276" max="11276" width="6.28515625" style="87" customWidth="1"/>
    <col min="11277" max="11277" width="20.42578125" style="87" customWidth="1"/>
    <col min="11278" max="11278" width="6.42578125" style="87" bestFit="1" customWidth="1"/>
    <col min="11279" max="11280" width="8.42578125" style="87"/>
    <col min="11281" max="11281" width="3.28515625" style="87" customWidth="1"/>
    <col min="11282" max="11520" width="8.42578125" style="87"/>
    <col min="11521" max="11521" width="10" style="87" bestFit="1" customWidth="1"/>
    <col min="11522" max="11522" width="44.28515625" style="87" bestFit="1" customWidth="1"/>
    <col min="11523" max="11523" width="10.42578125" style="87" bestFit="1" customWidth="1"/>
    <col min="11524" max="11524" width="10.42578125" style="87" customWidth="1"/>
    <col min="11525" max="11525" width="9.7109375" style="87" bestFit="1" customWidth="1"/>
    <col min="11526" max="11527" width="9.5703125" style="87" bestFit="1" customWidth="1"/>
    <col min="11528" max="11528" width="10.42578125" style="87" bestFit="1" customWidth="1"/>
    <col min="11529" max="11529" width="4.5703125" style="87" customWidth="1"/>
    <col min="11530" max="11530" width="1.85546875" style="87" customWidth="1"/>
    <col min="11531" max="11531" width="7" style="87" bestFit="1" customWidth="1"/>
    <col min="11532" max="11532" width="6.28515625" style="87" customWidth="1"/>
    <col min="11533" max="11533" width="20.42578125" style="87" customWidth="1"/>
    <col min="11534" max="11534" width="6.42578125" style="87" bestFit="1" customWidth="1"/>
    <col min="11535" max="11536" width="8.42578125" style="87"/>
    <col min="11537" max="11537" width="3.28515625" style="87" customWidth="1"/>
    <col min="11538" max="11776" width="8.42578125" style="87"/>
    <col min="11777" max="11777" width="10" style="87" bestFit="1" customWidth="1"/>
    <col min="11778" max="11778" width="44.28515625" style="87" bestFit="1" customWidth="1"/>
    <col min="11779" max="11779" width="10.42578125" style="87" bestFit="1" customWidth="1"/>
    <col min="11780" max="11780" width="10.42578125" style="87" customWidth="1"/>
    <col min="11781" max="11781" width="9.7109375" style="87" bestFit="1" customWidth="1"/>
    <col min="11782" max="11783" width="9.5703125" style="87" bestFit="1" customWidth="1"/>
    <col min="11784" max="11784" width="10.42578125" style="87" bestFit="1" customWidth="1"/>
    <col min="11785" max="11785" width="4.5703125" style="87" customWidth="1"/>
    <col min="11786" max="11786" width="1.85546875" style="87" customWidth="1"/>
    <col min="11787" max="11787" width="7" style="87" bestFit="1" customWidth="1"/>
    <col min="11788" max="11788" width="6.28515625" style="87" customWidth="1"/>
    <col min="11789" max="11789" width="20.42578125" style="87" customWidth="1"/>
    <col min="11790" max="11790" width="6.42578125" style="87" bestFit="1" customWidth="1"/>
    <col min="11791" max="11792" width="8.42578125" style="87"/>
    <col min="11793" max="11793" width="3.28515625" style="87" customWidth="1"/>
    <col min="11794" max="12032" width="8.42578125" style="87"/>
    <col min="12033" max="12033" width="10" style="87" bestFit="1" customWidth="1"/>
    <col min="12034" max="12034" width="44.28515625" style="87" bestFit="1" customWidth="1"/>
    <col min="12035" max="12035" width="10.42578125" style="87" bestFit="1" customWidth="1"/>
    <col min="12036" max="12036" width="10.42578125" style="87" customWidth="1"/>
    <col min="12037" max="12037" width="9.7109375" style="87" bestFit="1" customWidth="1"/>
    <col min="12038" max="12039" width="9.5703125" style="87" bestFit="1" customWidth="1"/>
    <col min="12040" max="12040" width="10.42578125" style="87" bestFit="1" customWidth="1"/>
    <col min="12041" max="12041" width="4.5703125" style="87" customWidth="1"/>
    <col min="12042" max="12042" width="1.85546875" style="87" customWidth="1"/>
    <col min="12043" max="12043" width="7" style="87" bestFit="1" customWidth="1"/>
    <col min="12044" max="12044" width="6.28515625" style="87" customWidth="1"/>
    <col min="12045" max="12045" width="20.42578125" style="87" customWidth="1"/>
    <col min="12046" max="12046" width="6.42578125" style="87" bestFit="1" customWidth="1"/>
    <col min="12047" max="12048" width="8.42578125" style="87"/>
    <col min="12049" max="12049" width="3.28515625" style="87" customWidth="1"/>
    <col min="12050" max="12288" width="8.42578125" style="87"/>
    <col min="12289" max="12289" width="10" style="87" bestFit="1" customWidth="1"/>
    <col min="12290" max="12290" width="44.28515625" style="87" bestFit="1" customWidth="1"/>
    <col min="12291" max="12291" width="10.42578125" style="87" bestFit="1" customWidth="1"/>
    <col min="12292" max="12292" width="10.42578125" style="87" customWidth="1"/>
    <col min="12293" max="12293" width="9.7109375" style="87" bestFit="1" customWidth="1"/>
    <col min="12294" max="12295" width="9.5703125" style="87" bestFit="1" customWidth="1"/>
    <col min="12296" max="12296" width="10.42578125" style="87" bestFit="1" customWidth="1"/>
    <col min="12297" max="12297" width="4.5703125" style="87" customWidth="1"/>
    <col min="12298" max="12298" width="1.85546875" style="87" customWidth="1"/>
    <col min="12299" max="12299" width="7" style="87" bestFit="1" customWidth="1"/>
    <col min="12300" max="12300" width="6.28515625" style="87" customWidth="1"/>
    <col min="12301" max="12301" width="20.42578125" style="87" customWidth="1"/>
    <col min="12302" max="12302" width="6.42578125" style="87" bestFit="1" customWidth="1"/>
    <col min="12303" max="12304" width="8.42578125" style="87"/>
    <col min="12305" max="12305" width="3.28515625" style="87" customWidth="1"/>
    <col min="12306" max="12544" width="8.42578125" style="87"/>
    <col min="12545" max="12545" width="10" style="87" bestFit="1" customWidth="1"/>
    <col min="12546" max="12546" width="44.28515625" style="87" bestFit="1" customWidth="1"/>
    <col min="12547" max="12547" width="10.42578125" style="87" bestFit="1" customWidth="1"/>
    <col min="12548" max="12548" width="10.42578125" style="87" customWidth="1"/>
    <col min="12549" max="12549" width="9.7109375" style="87" bestFit="1" customWidth="1"/>
    <col min="12550" max="12551" width="9.5703125" style="87" bestFit="1" customWidth="1"/>
    <col min="12552" max="12552" width="10.42578125" style="87" bestFit="1" customWidth="1"/>
    <col min="12553" max="12553" width="4.5703125" style="87" customWidth="1"/>
    <col min="12554" max="12554" width="1.85546875" style="87" customWidth="1"/>
    <col min="12555" max="12555" width="7" style="87" bestFit="1" customWidth="1"/>
    <col min="12556" max="12556" width="6.28515625" style="87" customWidth="1"/>
    <col min="12557" max="12557" width="20.42578125" style="87" customWidth="1"/>
    <col min="12558" max="12558" width="6.42578125" style="87" bestFit="1" customWidth="1"/>
    <col min="12559" max="12560" width="8.42578125" style="87"/>
    <col min="12561" max="12561" width="3.28515625" style="87" customWidth="1"/>
    <col min="12562" max="12800" width="8.42578125" style="87"/>
    <col min="12801" max="12801" width="10" style="87" bestFit="1" customWidth="1"/>
    <col min="12802" max="12802" width="44.28515625" style="87" bestFit="1" customWidth="1"/>
    <col min="12803" max="12803" width="10.42578125" style="87" bestFit="1" customWidth="1"/>
    <col min="12804" max="12804" width="10.42578125" style="87" customWidth="1"/>
    <col min="12805" max="12805" width="9.7109375" style="87" bestFit="1" customWidth="1"/>
    <col min="12806" max="12807" width="9.5703125" style="87" bestFit="1" customWidth="1"/>
    <col min="12808" max="12808" width="10.42578125" style="87" bestFit="1" customWidth="1"/>
    <col min="12809" max="12809" width="4.5703125" style="87" customWidth="1"/>
    <col min="12810" max="12810" width="1.85546875" style="87" customWidth="1"/>
    <col min="12811" max="12811" width="7" style="87" bestFit="1" customWidth="1"/>
    <col min="12812" max="12812" width="6.28515625" style="87" customWidth="1"/>
    <col min="12813" max="12813" width="20.42578125" style="87" customWidth="1"/>
    <col min="12814" max="12814" width="6.42578125" style="87" bestFit="1" customWidth="1"/>
    <col min="12815" max="12816" width="8.42578125" style="87"/>
    <col min="12817" max="12817" width="3.28515625" style="87" customWidth="1"/>
    <col min="12818" max="13056" width="8.42578125" style="87"/>
    <col min="13057" max="13057" width="10" style="87" bestFit="1" customWidth="1"/>
    <col min="13058" max="13058" width="44.28515625" style="87" bestFit="1" customWidth="1"/>
    <col min="13059" max="13059" width="10.42578125" style="87" bestFit="1" customWidth="1"/>
    <col min="13060" max="13060" width="10.42578125" style="87" customWidth="1"/>
    <col min="13061" max="13061" width="9.7109375" style="87" bestFit="1" customWidth="1"/>
    <col min="13062" max="13063" width="9.5703125" style="87" bestFit="1" customWidth="1"/>
    <col min="13064" max="13064" width="10.42578125" style="87" bestFit="1" customWidth="1"/>
    <col min="13065" max="13065" width="4.5703125" style="87" customWidth="1"/>
    <col min="13066" max="13066" width="1.85546875" style="87" customWidth="1"/>
    <col min="13067" max="13067" width="7" style="87" bestFit="1" customWidth="1"/>
    <col min="13068" max="13068" width="6.28515625" style="87" customWidth="1"/>
    <col min="13069" max="13069" width="20.42578125" style="87" customWidth="1"/>
    <col min="13070" max="13070" width="6.42578125" style="87" bestFit="1" customWidth="1"/>
    <col min="13071" max="13072" width="8.42578125" style="87"/>
    <col min="13073" max="13073" width="3.28515625" style="87" customWidth="1"/>
    <col min="13074" max="13312" width="8.42578125" style="87"/>
    <col min="13313" max="13313" width="10" style="87" bestFit="1" customWidth="1"/>
    <col min="13314" max="13314" width="44.28515625" style="87" bestFit="1" customWidth="1"/>
    <col min="13315" max="13315" width="10.42578125" style="87" bestFit="1" customWidth="1"/>
    <col min="13316" max="13316" width="10.42578125" style="87" customWidth="1"/>
    <col min="13317" max="13317" width="9.7109375" style="87" bestFit="1" customWidth="1"/>
    <col min="13318" max="13319" width="9.5703125" style="87" bestFit="1" customWidth="1"/>
    <col min="13320" max="13320" width="10.42578125" style="87" bestFit="1" customWidth="1"/>
    <col min="13321" max="13321" width="4.5703125" style="87" customWidth="1"/>
    <col min="13322" max="13322" width="1.85546875" style="87" customWidth="1"/>
    <col min="13323" max="13323" width="7" style="87" bestFit="1" customWidth="1"/>
    <col min="13324" max="13324" width="6.28515625" style="87" customWidth="1"/>
    <col min="13325" max="13325" width="20.42578125" style="87" customWidth="1"/>
    <col min="13326" max="13326" width="6.42578125" style="87" bestFit="1" customWidth="1"/>
    <col min="13327" max="13328" width="8.42578125" style="87"/>
    <col min="13329" max="13329" width="3.28515625" style="87" customWidth="1"/>
    <col min="13330" max="13568" width="8.42578125" style="87"/>
    <col min="13569" max="13569" width="10" style="87" bestFit="1" customWidth="1"/>
    <col min="13570" max="13570" width="44.28515625" style="87" bestFit="1" customWidth="1"/>
    <col min="13571" max="13571" width="10.42578125" style="87" bestFit="1" customWidth="1"/>
    <col min="13572" max="13572" width="10.42578125" style="87" customWidth="1"/>
    <col min="13573" max="13573" width="9.7109375" style="87" bestFit="1" customWidth="1"/>
    <col min="13574" max="13575" width="9.5703125" style="87" bestFit="1" customWidth="1"/>
    <col min="13576" max="13576" width="10.42578125" style="87" bestFit="1" customWidth="1"/>
    <col min="13577" max="13577" width="4.5703125" style="87" customWidth="1"/>
    <col min="13578" max="13578" width="1.85546875" style="87" customWidth="1"/>
    <col min="13579" max="13579" width="7" style="87" bestFit="1" customWidth="1"/>
    <col min="13580" max="13580" width="6.28515625" style="87" customWidth="1"/>
    <col min="13581" max="13581" width="20.42578125" style="87" customWidth="1"/>
    <col min="13582" max="13582" width="6.42578125" style="87" bestFit="1" customWidth="1"/>
    <col min="13583" max="13584" width="8.42578125" style="87"/>
    <col min="13585" max="13585" width="3.28515625" style="87" customWidth="1"/>
    <col min="13586" max="13824" width="8.42578125" style="87"/>
    <col min="13825" max="13825" width="10" style="87" bestFit="1" customWidth="1"/>
    <col min="13826" max="13826" width="44.28515625" style="87" bestFit="1" customWidth="1"/>
    <col min="13827" max="13827" width="10.42578125" style="87" bestFit="1" customWidth="1"/>
    <col min="13828" max="13828" width="10.42578125" style="87" customWidth="1"/>
    <col min="13829" max="13829" width="9.7109375" style="87" bestFit="1" customWidth="1"/>
    <col min="13830" max="13831" width="9.5703125" style="87" bestFit="1" customWidth="1"/>
    <col min="13832" max="13832" width="10.42578125" style="87" bestFit="1" customWidth="1"/>
    <col min="13833" max="13833" width="4.5703125" style="87" customWidth="1"/>
    <col min="13834" max="13834" width="1.85546875" style="87" customWidth="1"/>
    <col min="13835" max="13835" width="7" style="87" bestFit="1" customWidth="1"/>
    <col min="13836" max="13836" width="6.28515625" style="87" customWidth="1"/>
    <col min="13837" max="13837" width="20.42578125" style="87" customWidth="1"/>
    <col min="13838" max="13838" width="6.42578125" style="87" bestFit="1" customWidth="1"/>
    <col min="13839" max="13840" width="8.42578125" style="87"/>
    <col min="13841" max="13841" width="3.28515625" style="87" customWidth="1"/>
    <col min="13842" max="14080" width="8.42578125" style="87"/>
    <col min="14081" max="14081" width="10" style="87" bestFit="1" customWidth="1"/>
    <col min="14082" max="14082" width="44.28515625" style="87" bestFit="1" customWidth="1"/>
    <col min="14083" max="14083" width="10.42578125" style="87" bestFit="1" customWidth="1"/>
    <col min="14084" max="14084" width="10.42578125" style="87" customWidth="1"/>
    <col min="14085" max="14085" width="9.7109375" style="87" bestFit="1" customWidth="1"/>
    <col min="14086" max="14087" width="9.5703125" style="87" bestFit="1" customWidth="1"/>
    <col min="14088" max="14088" width="10.42578125" style="87" bestFit="1" customWidth="1"/>
    <col min="14089" max="14089" width="4.5703125" style="87" customWidth="1"/>
    <col min="14090" max="14090" width="1.85546875" style="87" customWidth="1"/>
    <col min="14091" max="14091" width="7" style="87" bestFit="1" customWidth="1"/>
    <col min="14092" max="14092" width="6.28515625" style="87" customWidth="1"/>
    <col min="14093" max="14093" width="20.42578125" style="87" customWidth="1"/>
    <col min="14094" max="14094" width="6.42578125" style="87" bestFit="1" customWidth="1"/>
    <col min="14095" max="14096" width="8.42578125" style="87"/>
    <col min="14097" max="14097" width="3.28515625" style="87" customWidth="1"/>
    <col min="14098" max="14336" width="8.42578125" style="87"/>
    <col min="14337" max="14337" width="10" style="87" bestFit="1" customWidth="1"/>
    <col min="14338" max="14338" width="44.28515625" style="87" bestFit="1" customWidth="1"/>
    <col min="14339" max="14339" width="10.42578125" style="87" bestFit="1" customWidth="1"/>
    <col min="14340" max="14340" width="10.42578125" style="87" customWidth="1"/>
    <col min="14341" max="14341" width="9.7109375" style="87" bestFit="1" customWidth="1"/>
    <col min="14342" max="14343" width="9.5703125" style="87" bestFit="1" customWidth="1"/>
    <col min="14344" max="14344" width="10.42578125" style="87" bestFit="1" customWidth="1"/>
    <col min="14345" max="14345" width="4.5703125" style="87" customWidth="1"/>
    <col min="14346" max="14346" width="1.85546875" style="87" customWidth="1"/>
    <col min="14347" max="14347" width="7" style="87" bestFit="1" customWidth="1"/>
    <col min="14348" max="14348" width="6.28515625" style="87" customWidth="1"/>
    <col min="14349" max="14349" width="20.42578125" style="87" customWidth="1"/>
    <col min="14350" max="14350" width="6.42578125" style="87" bestFit="1" customWidth="1"/>
    <col min="14351" max="14352" width="8.42578125" style="87"/>
    <col min="14353" max="14353" width="3.28515625" style="87" customWidth="1"/>
    <col min="14354" max="14592" width="8.42578125" style="87"/>
    <col min="14593" max="14593" width="10" style="87" bestFit="1" customWidth="1"/>
    <col min="14594" max="14594" width="44.28515625" style="87" bestFit="1" customWidth="1"/>
    <col min="14595" max="14595" width="10.42578125" style="87" bestFit="1" customWidth="1"/>
    <col min="14596" max="14596" width="10.42578125" style="87" customWidth="1"/>
    <col min="14597" max="14597" width="9.7109375" style="87" bestFit="1" customWidth="1"/>
    <col min="14598" max="14599" width="9.5703125" style="87" bestFit="1" customWidth="1"/>
    <col min="14600" max="14600" width="10.42578125" style="87" bestFit="1" customWidth="1"/>
    <col min="14601" max="14601" width="4.5703125" style="87" customWidth="1"/>
    <col min="14602" max="14602" width="1.85546875" style="87" customWidth="1"/>
    <col min="14603" max="14603" width="7" style="87" bestFit="1" customWidth="1"/>
    <col min="14604" max="14604" width="6.28515625" style="87" customWidth="1"/>
    <col min="14605" max="14605" width="20.42578125" style="87" customWidth="1"/>
    <col min="14606" max="14606" width="6.42578125" style="87" bestFit="1" customWidth="1"/>
    <col min="14607" max="14608" width="8.42578125" style="87"/>
    <col min="14609" max="14609" width="3.28515625" style="87" customWidth="1"/>
    <col min="14610" max="14848" width="8.42578125" style="87"/>
    <col min="14849" max="14849" width="10" style="87" bestFit="1" customWidth="1"/>
    <col min="14850" max="14850" width="44.28515625" style="87" bestFit="1" customWidth="1"/>
    <col min="14851" max="14851" width="10.42578125" style="87" bestFit="1" customWidth="1"/>
    <col min="14852" max="14852" width="10.42578125" style="87" customWidth="1"/>
    <col min="14853" max="14853" width="9.7109375" style="87" bestFit="1" customWidth="1"/>
    <col min="14854" max="14855" width="9.5703125" style="87" bestFit="1" customWidth="1"/>
    <col min="14856" max="14856" width="10.42578125" style="87" bestFit="1" customWidth="1"/>
    <col min="14857" max="14857" width="4.5703125" style="87" customWidth="1"/>
    <col min="14858" max="14858" width="1.85546875" style="87" customWidth="1"/>
    <col min="14859" max="14859" width="7" style="87" bestFit="1" customWidth="1"/>
    <col min="14860" max="14860" width="6.28515625" style="87" customWidth="1"/>
    <col min="14861" max="14861" width="20.42578125" style="87" customWidth="1"/>
    <col min="14862" max="14862" width="6.42578125" style="87" bestFit="1" customWidth="1"/>
    <col min="14863" max="14864" width="8.42578125" style="87"/>
    <col min="14865" max="14865" width="3.28515625" style="87" customWidth="1"/>
    <col min="14866" max="15104" width="8.42578125" style="87"/>
    <col min="15105" max="15105" width="10" style="87" bestFit="1" customWidth="1"/>
    <col min="15106" max="15106" width="44.28515625" style="87" bestFit="1" customWidth="1"/>
    <col min="15107" max="15107" width="10.42578125" style="87" bestFit="1" customWidth="1"/>
    <col min="15108" max="15108" width="10.42578125" style="87" customWidth="1"/>
    <col min="15109" max="15109" width="9.7109375" style="87" bestFit="1" customWidth="1"/>
    <col min="15110" max="15111" width="9.5703125" style="87" bestFit="1" customWidth="1"/>
    <col min="15112" max="15112" width="10.42578125" style="87" bestFit="1" customWidth="1"/>
    <col min="15113" max="15113" width="4.5703125" style="87" customWidth="1"/>
    <col min="15114" max="15114" width="1.85546875" style="87" customWidth="1"/>
    <col min="15115" max="15115" width="7" style="87" bestFit="1" customWidth="1"/>
    <col min="15116" max="15116" width="6.28515625" style="87" customWidth="1"/>
    <col min="15117" max="15117" width="20.42578125" style="87" customWidth="1"/>
    <col min="15118" max="15118" width="6.42578125" style="87" bestFit="1" customWidth="1"/>
    <col min="15119" max="15120" width="8.42578125" style="87"/>
    <col min="15121" max="15121" width="3.28515625" style="87" customWidth="1"/>
    <col min="15122" max="15360" width="8.42578125" style="87"/>
    <col min="15361" max="15361" width="10" style="87" bestFit="1" customWidth="1"/>
    <col min="15362" max="15362" width="44.28515625" style="87" bestFit="1" customWidth="1"/>
    <col min="15363" max="15363" width="10.42578125" style="87" bestFit="1" customWidth="1"/>
    <col min="15364" max="15364" width="10.42578125" style="87" customWidth="1"/>
    <col min="15365" max="15365" width="9.7109375" style="87" bestFit="1" customWidth="1"/>
    <col min="15366" max="15367" width="9.5703125" style="87" bestFit="1" customWidth="1"/>
    <col min="15368" max="15368" width="10.42578125" style="87" bestFit="1" customWidth="1"/>
    <col min="15369" max="15369" width="4.5703125" style="87" customWidth="1"/>
    <col min="15370" max="15370" width="1.85546875" style="87" customWidth="1"/>
    <col min="15371" max="15371" width="7" style="87" bestFit="1" customWidth="1"/>
    <col min="15372" max="15372" width="6.28515625" style="87" customWidth="1"/>
    <col min="15373" max="15373" width="20.42578125" style="87" customWidth="1"/>
    <col min="15374" max="15374" width="6.42578125" style="87" bestFit="1" customWidth="1"/>
    <col min="15375" max="15376" width="8.42578125" style="87"/>
    <col min="15377" max="15377" width="3.28515625" style="87" customWidth="1"/>
    <col min="15378" max="15616" width="8.42578125" style="87"/>
    <col min="15617" max="15617" width="10" style="87" bestFit="1" customWidth="1"/>
    <col min="15618" max="15618" width="44.28515625" style="87" bestFit="1" customWidth="1"/>
    <col min="15619" max="15619" width="10.42578125" style="87" bestFit="1" customWidth="1"/>
    <col min="15620" max="15620" width="10.42578125" style="87" customWidth="1"/>
    <col min="15621" max="15621" width="9.7109375" style="87" bestFit="1" customWidth="1"/>
    <col min="15622" max="15623" width="9.5703125" style="87" bestFit="1" customWidth="1"/>
    <col min="15624" max="15624" width="10.42578125" style="87" bestFit="1" customWidth="1"/>
    <col min="15625" max="15625" width="4.5703125" style="87" customWidth="1"/>
    <col min="15626" max="15626" width="1.85546875" style="87" customWidth="1"/>
    <col min="15627" max="15627" width="7" style="87" bestFit="1" customWidth="1"/>
    <col min="15628" max="15628" width="6.28515625" style="87" customWidth="1"/>
    <col min="15629" max="15629" width="20.42578125" style="87" customWidth="1"/>
    <col min="15630" max="15630" width="6.42578125" style="87" bestFit="1" customWidth="1"/>
    <col min="15631" max="15632" width="8.42578125" style="87"/>
    <col min="15633" max="15633" width="3.28515625" style="87" customWidth="1"/>
    <col min="15634" max="15872" width="8.42578125" style="87"/>
    <col min="15873" max="15873" width="10" style="87" bestFit="1" customWidth="1"/>
    <col min="15874" max="15874" width="44.28515625" style="87" bestFit="1" customWidth="1"/>
    <col min="15875" max="15875" width="10.42578125" style="87" bestFit="1" customWidth="1"/>
    <col min="15876" max="15876" width="10.42578125" style="87" customWidth="1"/>
    <col min="15877" max="15877" width="9.7109375" style="87" bestFit="1" customWidth="1"/>
    <col min="15878" max="15879" width="9.5703125" style="87" bestFit="1" customWidth="1"/>
    <col min="15880" max="15880" width="10.42578125" style="87" bestFit="1" customWidth="1"/>
    <col min="15881" max="15881" width="4.5703125" style="87" customWidth="1"/>
    <col min="15882" max="15882" width="1.85546875" style="87" customWidth="1"/>
    <col min="15883" max="15883" width="7" style="87" bestFit="1" customWidth="1"/>
    <col min="15884" max="15884" width="6.28515625" style="87" customWidth="1"/>
    <col min="15885" max="15885" width="20.42578125" style="87" customWidth="1"/>
    <col min="15886" max="15886" width="6.42578125" style="87" bestFit="1" customWidth="1"/>
    <col min="15887" max="15888" width="8.42578125" style="87"/>
    <col min="15889" max="15889" width="3.28515625" style="87" customWidth="1"/>
    <col min="15890" max="16128" width="8.42578125" style="87"/>
    <col min="16129" max="16129" width="10" style="87" bestFit="1" customWidth="1"/>
    <col min="16130" max="16130" width="44.28515625" style="87" bestFit="1" customWidth="1"/>
    <col min="16131" max="16131" width="10.42578125" style="87" bestFit="1" customWidth="1"/>
    <col min="16132" max="16132" width="10.42578125" style="87" customWidth="1"/>
    <col min="16133" max="16133" width="9.7109375" style="87" bestFit="1" customWidth="1"/>
    <col min="16134" max="16135" width="9.5703125" style="87" bestFit="1" customWidth="1"/>
    <col min="16136" max="16136" width="10.42578125" style="87" bestFit="1" customWidth="1"/>
    <col min="16137" max="16137" width="4.5703125" style="87" customWidth="1"/>
    <col min="16138" max="16138" width="1.85546875" style="87" customWidth="1"/>
    <col min="16139" max="16139" width="7" style="87" bestFit="1" customWidth="1"/>
    <col min="16140" max="16140" width="6.28515625" style="87" customWidth="1"/>
    <col min="16141" max="16141" width="20.42578125" style="87" customWidth="1"/>
    <col min="16142" max="16142" width="6.42578125" style="87" bestFit="1" customWidth="1"/>
    <col min="16143" max="16144" width="8.42578125" style="87"/>
    <col min="16145" max="16145" width="3.28515625" style="87" customWidth="1"/>
    <col min="16146" max="16384" width="8.42578125" style="87"/>
  </cols>
  <sheetData>
    <row r="1" spans="1:10" ht="27.75" customHeight="1" x14ac:dyDescent="0.2">
      <c r="A1" s="82"/>
      <c r="B1" s="82"/>
      <c r="C1" s="82"/>
      <c r="D1" s="82"/>
      <c r="E1" s="83" t="s">
        <v>126</v>
      </c>
      <c r="F1" s="84" t="s">
        <v>127</v>
      </c>
      <c r="G1" s="84" t="s">
        <v>128</v>
      </c>
      <c r="H1" s="84" t="s">
        <v>129</v>
      </c>
      <c r="I1" s="85"/>
    </row>
    <row r="2" spans="1:10" ht="30.75" customHeight="1" x14ac:dyDescent="0.2">
      <c r="A2" s="82"/>
      <c r="B2" s="82"/>
      <c r="C2" s="82"/>
      <c r="D2" s="82"/>
      <c r="E2" s="88">
        <f>IFERROR(O64,"")</f>
        <v>4155.2355533062182</v>
      </c>
      <c r="F2" s="88">
        <f>IFERROR(H55,"")</f>
        <v>2438.2307987179488</v>
      </c>
      <c r="G2" s="88">
        <f>IFERROR(H56,"")</f>
        <v>661.00814285714284</v>
      </c>
      <c r="H2" s="88">
        <f>IFERROR(H58,"")</f>
        <v>576.67900073260068</v>
      </c>
      <c r="I2" s="89"/>
    </row>
    <row r="3" spans="1:10" ht="15" customHeight="1" x14ac:dyDescent="0.2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25">
      <c r="A4" s="632"/>
      <c r="B4" s="632"/>
      <c r="C4" s="632"/>
      <c r="D4" s="632"/>
      <c r="E4" s="632"/>
      <c r="F4" s="632"/>
      <c r="G4" s="632"/>
      <c r="H4" s="632"/>
      <c r="I4" s="91"/>
    </row>
    <row r="5" spans="1:10" ht="19.5" customHeight="1" thickBot="1" x14ac:dyDescent="0.25">
      <c r="A5" s="633" t="s">
        <v>130</v>
      </c>
      <c r="B5" s="634"/>
      <c r="C5" s="634"/>
      <c r="D5" s="634"/>
      <c r="E5" s="634"/>
      <c r="F5" s="634"/>
      <c r="G5" s="634"/>
      <c r="H5" s="635"/>
      <c r="I5" s="92"/>
    </row>
    <row r="6" spans="1:10" ht="19.5" thickBot="1" x14ac:dyDescent="0.25">
      <c r="A6" s="92"/>
      <c r="B6" s="92"/>
      <c r="C6" s="92"/>
      <c r="D6" s="92"/>
      <c r="E6" s="92"/>
      <c r="F6" s="636" t="s">
        <v>131</v>
      </c>
      <c r="G6" s="636"/>
      <c r="H6" s="93">
        <f ca="1">TODAY()</f>
        <v>45901</v>
      </c>
      <c r="I6" s="93"/>
    </row>
    <row r="7" spans="1:10" ht="26.25" thickBot="1" x14ac:dyDescent="0.25">
      <c r="A7" s="94" t="s">
        <v>132</v>
      </c>
      <c r="B7" s="95" t="s">
        <v>133</v>
      </c>
      <c r="C7" s="95" t="s">
        <v>132</v>
      </c>
      <c r="D7" s="96" t="s">
        <v>134</v>
      </c>
      <c r="E7" s="96" t="s">
        <v>135</v>
      </c>
      <c r="F7" s="96" t="s">
        <v>136</v>
      </c>
      <c r="G7" s="96" t="s">
        <v>137</v>
      </c>
      <c r="H7" s="97" t="s">
        <v>138</v>
      </c>
      <c r="I7" s="98"/>
    </row>
    <row r="8" spans="1:10" ht="13.5" x14ac:dyDescent="0.25">
      <c r="A8" s="99">
        <v>380</v>
      </c>
      <c r="B8" s="87" t="s">
        <v>64</v>
      </c>
      <c r="C8" s="100">
        <f>+A8</f>
        <v>380</v>
      </c>
      <c r="D8" s="101" t="s">
        <v>177</v>
      </c>
      <c r="E8" s="101">
        <v>1.55</v>
      </c>
      <c r="F8" s="101">
        <f>IFERROR(C8*E8,"")</f>
        <v>589</v>
      </c>
      <c r="G8" s="102">
        <f t="shared" ref="G8:G14" si="0">IFERROR(F8/$F$68,"")</f>
        <v>0.16315773394966571</v>
      </c>
      <c r="H8" s="103" t="s">
        <v>48</v>
      </c>
      <c r="I8" s="103"/>
      <c r="J8" s="104"/>
    </row>
    <row r="9" spans="1:10" ht="13.5" x14ac:dyDescent="0.25">
      <c r="A9" s="99">
        <v>2</v>
      </c>
      <c r="B9" s="87" t="s">
        <v>78</v>
      </c>
      <c r="C9" s="100">
        <f t="shared" ref="C9:C14" si="1">+A9</f>
        <v>2</v>
      </c>
      <c r="D9" s="101" t="s">
        <v>182</v>
      </c>
      <c r="E9" s="101">
        <v>110</v>
      </c>
      <c r="F9" s="101">
        <f t="shared" ref="F9:F14" si="2">IFERROR(C9*E9,"")</f>
        <v>220</v>
      </c>
      <c r="G9" s="102">
        <f t="shared" si="0"/>
        <v>6.0941768198516905E-2</v>
      </c>
      <c r="H9" s="103" t="s">
        <v>48</v>
      </c>
      <c r="I9" s="103"/>
      <c r="J9" s="104"/>
    </row>
    <row r="10" spans="1:10" ht="13.5" x14ac:dyDescent="0.25">
      <c r="A10" s="99">
        <v>5</v>
      </c>
      <c r="B10" s="87" t="s">
        <v>119</v>
      </c>
      <c r="C10" s="100">
        <f t="shared" si="1"/>
        <v>5</v>
      </c>
      <c r="D10" s="101" t="s">
        <v>177</v>
      </c>
      <c r="E10" s="101">
        <v>4.59</v>
      </c>
      <c r="F10" s="101">
        <f t="shared" si="2"/>
        <v>22.95</v>
      </c>
      <c r="G10" s="102">
        <f t="shared" si="0"/>
        <v>6.3573344552543768E-3</v>
      </c>
      <c r="H10" s="103" t="s">
        <v>118</v>
      </c>
      <c r="I10" s="103"/>
      <c r="J10" s="104"/>
    </row>
    <row r="11" spans="1:10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thickBot="1" x14ac:dyDescent="0.3">
      <c r="A15" s="99"/>
      <c r="B15" s="87" t="str">
        <f>IFERROR(VLOOKUP(H15,'[2]ARTICULOS MP PLANTA'!$A$2:$G$589,2,0),"")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25">
      <c r="A16" s="94" t="s">
        <v>132</v>
      </c>
      <c r="B16" s="95" t="s">
        <v>139</v>
      </c>
      <c r="C16" s="95" t="s">
        <v>132</v>
      </c>
      <c r="D16" s="96" t="s">
        <v>134</v>
      </c>
      <c r="E16" s="96" t="s">
        <v>135</v>
      </c>
      <c r="F16" s="96" t="s">
        <v>136</v>
      </c>
      <c r="G16" s="96" t="s">
        <v>137</v>
      </c>
      <c r="H16" s="97" t="s">
        <v>138</v>
      </c>
      <c r="I16" s="98"/>
      <c r="J16" s="104"/>
    </row>
    <row r="17" spans="1:13" ht="13.5" x14ac:dyDescent="0.25">
      <c r="A17" s="99">
        <v>1</v>
      </c>
      <c r="B17" s="87" t="s">
        <v>105</v>
      </c>
      <c r="C17" s="100">
        <f>+A17</f>
        <v>1</v>
      </c>
      <c r="D17" s="100" t="s">
        <v>180</v>
      </c>
      <c r="E17" s="101">
        <v>453.41</v>
      </c>
      <c r="F17" s="101">
        <f>IFERROR(E17*C17,"")</f>
        <v>453.41</v>
      </c>
      <c r="G17" s="102">
        <f t="shared" ref="G17:G24" si="3">IFERROR(F17/$F$68,"")</f>
        <v>0.12559821417677069</v>
      </c>
      <c r="H17" s="103" t="s">
        <v>104</v>
      </c>
      <c r="I17" s="103"/>
      <c r="J17" s="104"/>
    </row>
    <row r="18" spans="1:13" ht="13.5" x14ac:dyDescent="0.25">
      <c r="A18" s="99">
        <v>120</v>
      </c>
      <c r="B18" s="87" t="s">
        <v>115</v>
      </c>
      <c r="C18" s="100">
        <f t="shared" ref="C18:C24" si="4">+A18</f>
        <v>120</v>
      </c>
      <c r="D18" s="100" t="s">
        <v>177</v>
      </c>
      <c r="E18" s="101">
        <f>+'Costo Almibar Guayaba'!E69</f>
        <v>0.207875</v>
      </c>
      <c r="F18" s="101">
        <f t="shared" ref="F18:F24" si="5">IFERROR(E18*C18,"")</f>
        <v>24.945</v>
      </c>
      <c r="G18" s="102">
        <f t="shared" si="3"/>
        <v>6.9099654896000191E-3</v>
      </c>
      <c r="H18" s="103" t="s">
        <v>48</v>
      </c>
      <c r="I18" s="103"/>
      <c r="J18" s="104"/>
    </row>
    <row r="19" spans="1:13" ht="13.5" x14ac:dyDescent="0.25">
      <c r="A19" s="99">
        <v>1.01</v>
      </c>
      <c r="B19" s="87" t="s">
        <v>108</v>
      </c>
      <c r="C19" s="100">
        <f>+A19</f>
        <v>1.01</v>
      </c>
      <c r="D19" s="100" t="s">
        <v>181</v>
      </c>
      <c r="E19" s="101">
        <f>+'Costo Rosquete'!H53</f>
        <v>693.47282051282059</v>
      </c>
      <c r="F19" s="101">
        <f>IFERROR(E19*C19,"")</f>
        <v>700.40754871794877</v>
      </c>
      <c r="G19" s="102">
        <f t="shared" si="3"/>
        <v>0.19401852035663941</v>
      </c>
      <c r="H19" s="103" t="s">
        <v>48</v>
      </c>
      <c r="I19" s="103"/>
      <c r="J19" s="104"/>
    </row>
    <row r="20" spans="1:13" ht="13.5" x14ac:dyDescent="0.25">
      <c r="A20" s="99">
        <v>160</v>
      </c>
      <c r="B20" s="87" t="s">
        <v>76</v>
      </c>
      <c r="C20" s="100">
        <f>+A20</f>
        <v>160</v>
      </c>
      <c r="D20" s="100" t="s">
        <v>177</v>
      </c>
      <c r="E20" s="101">
        <v>2.21</v>
      </c>
      <c r="F20" s="101">
        <f>IFERROR(E20*C20,"")</f>
        <v>353.6</v>
      </c>
      <c r="G20" s="102">
        <f t="shared" si="3"/>
        <v>9.7950041977252628E-2</v>
      </c>
      <c r="H20" s="103" t="s">
        <v>75</v>
      </c>
      <c r="I20" s="103"/>
      <c r="J20" s="104"/>
    </row>
    <row r="21" spans="1:13" ht="13.5" x14ac:dyDescent="0.25">
      <c r="A21" s="99">
        <v>105</v>
      </c>
      <c r="B21" s="87" t="s">
        <v>77</v>
      </c>
      <c r="C21" s="100">
        <f>+A21</f>
        <v>105</v>
      </c>
      <c r="D21" s="100" t="s">
        <v>177</v>
      </c>
      <c r="E21" s="101">
        <f>+'Costo Salsa de guayaba'!E69</f>
        <v>0.70398333333333329</v>
      </c>
      <c r="F21" s="101">
        <f>IFERROR(E21*C21,"")</f>
        <v>73.91825</v>
      </c>
      <c r="G21" s="102">
        <f t="shared" si="3"/>
        <v>2.0475949350636465E-2</v>
      </c>
      <c r="H21" s="103" t="s">
        <v>48</v>
      </c>
      <c r="I21" s="103"/>
      <c r="J21" s="104"/>
    </row>
    <row r="22" spans="1:13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3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3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3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3" ht="26.25" thickBot="1" x14ac:dyDescent="0.25">
      <c r="A26" s="94" t="s">
        <v>132</v>
      </c>
      <c r="B26" s="95" t="s">
        <v>80</v>
      </c>
      <c r="C26" s="95" t="s">
        <v>132</v>
      </c>
      <c r="D26" s="96" t="s">
        <v>134</v>
      </c>
      <c r="E26" s="96" t="s">
        <v>135</v>
      </c>
      <c r="F26" s="96" t="s">
        <v>136</v>
      </c>
      <c r="G26" s="96" t="s">
        <v>137</v>
      </c>
      <c r="H26" s="97" t="s">
        <v>138</v>
      </c>
      <c r="I26" s="98"/>
      <c r="M26" s="87">
        <f>850/8</f>
        <v>106.25</v>
      </c>
    </row>
    <row r="27" spans="1:13" ht="13.5" x14ac:dyDescent="0.25">
      <c r="A27" s="99">
        <v>1</v>
      </c>
      <c r="B27" s="105" t="s">
        <v>82</v>
      </c>
      <c r="C27" s="100">
        <f t="shared" ref="C27:C34" si="6">+A27</f>
        <v>1</v>
      </c>
      <c r="D27" s="101" t="s">
        <v>181</v>
      </c>
      <c r="E27" s="101">
        <v>393.97</v>
      </c>
      <c r="F27" s="101">
        <f t="shared" ref="F27:F34" si="7">IFERROR(C27*E27,"")</f>
        <v>393.97</v>
      </c>
      <c r="G27" s="102">
        <f>IFERROR(F27/$F$68,"")</f>
        <v>0.10913285644168048</v>
      </c>
      <c r="H27" s="106" t="s">
        <v>81</v>
      </c>
      <c r="I27" s="106"/>
      <c r="J27" s="104"/>
      <c r="K27" s="631"/>
      <c r="L27" s="631"/>
    </row>
    <row r="28" spans="1:13" ht="13.5" x14ac:dyDescent="0.25">
      <c r="A28" s="99">
        <v>1</v>
      </c>
      <c r="B28" s="105" t="s">
        <v>86</v>
      </c>
      <c r="C28" s="100">
        <f t="shared" si="6"/>
        <v>1</v>
      </c>
      <c r="D28" s="101" t="s">
        <v>181</v>
      </c>
      <c r="E28" s="101">
        <v>112</v>
      </c>
      <c r="F28" s="101">
        <f t="shared" si="7"/>
        <v>112</v>
      </c>
      <c r="G28" s="102">
        <f>IFERROR(F28/$F$68,"")</f>
        <v>3.1024900173790424E-2</v>
      </c>
      <c r="H28" s="106" t="s">
        <v>85</v>
      </c>
      <c r="I28" s="106"/>
      <c r="J28" s="104"/>
      <c r="K28" s="631"/>
      <c r="L28" s="631"/>
    </row>
    <row r="29" spans="1:13" ht="13.5" x14ac:dyDescent="0.25">
      <c r="A29" s="99">
        <v>1</v>
      </c>
      <c r="B29" s="105" t="s">
        <v>88</v>
      </c>
      <c r="C29" s="100">
        <f t="shared" ref="C29:C31" si="8">+A29</f>
        <v>1</v>
      </c>
      <c r="D29" s="101" t="s">
        <v>181</v>
      </c>
      <c r="E29" s="101">
        <v>25.8</v>
      </c>
      <c r="F29" s="101">
        <f t="shared" ref="F29:F31" si="9">IFERROR(C29*E29,"")</f>
        <v>25.8</v>
      </c>
      <c r="G29" s="102">
        <f t="shared" ref="G29:G31" si="10">IFERROR(F29/$F$68,"")</f>
        <v>7.1468073614624371E-3</v>
      </c>
      <c r="H29" s="106" t="s">
        <v>87</v>
      </c>
      <c r="I29" s="106"/>
      <c r="J29" s="104"/>
      <c r="K29" s="85"/>
      <c r="L29" s="85"/>
    </row>
    <row r="30" spans="1:13" ht="13.5" x14ac:dyDescent="0.25">
      <c r="A30" s="99">
        <v>1</v>
      </c>
      <c r="B30" s="105" t="s">
        <v>91</v>
      </c>
      <c r="C30" s="100">
        <f t="shared" si="8"/>
        <v>1</v>
      </c>
      <c r="D30" s="101" t="s">
        <v>181</v>
      </c>
      <c r="E30" s="101">
        <v>0.38</v>
      </c>
      <c r="F30" s="101">
        <f t="shared" si="9"/>
        <v>0.38</v>
      </c>
      <c r="G30" s="102">
        <f t="shared" si="10"/>
        <v>1.0526305416107464E-4</v>
      </c>
      <c r="H30" s="106" t="s">
        <v>90</v>
      </c>
      <c r="I30" s="106"/>
      <c r="J30" s="104"/>
      <c r="K30" s="85"/>
      <c r="L30" s="85"/>
    </row>
    <row r="31" spans="1:13" ht="13.5" x14ac:dyDescent="0.25">
      <c r="A31" s="99">
        <v>1</v>
      </c>
      <c r="B31" s="105" t="s">
        <v>94</v>
      </c>
      <c r="C31" s="100">
        <f t="shared" si="8"/>
        <v>1</v>
      </c>
      <c r="D31" s="101" t="s">
        <v>181</v>
      </c>
      <c r="E31" s="101">
        <v>1.74</v>
      </c>
      <c r="F31" s="101">
        <f t="shared" si="9"/>
        <v>1.74</v>
      </c>
      <c r="G31" s="102">
        <f t="shared" si="10"/>
        <v>4.8199398484281549E-4</v>
      </c>
      <c r="H31" s="106" t="s">
        <v>93</v>
      </c>
      <c r="I31" s="106"/>
      <c r="J31" s="104"/>
      <c r="K31" s="85"/>
      <c r="L31" s="85"/>
    </row>
    <row r="32" spans="1:13" ht="13.5" x14ac:dyDescent="0.25">
      <c r="A32" s="99">
        <v>1</v>
      </c>
      <c r="B32" s="105" t="s">
        <v>97</v>
      </c>
      <c r="C32" s="100">
        <f t="shared" si="6"/>
        <v>1</v>
      </c>
      <c r="D32" s="101" t="s">
        <v>181</v>
      </c>
      <c r="E32" s="101">
        <v>2.13</v>
      </c>
      <c r="F32" s="101">
        <f t="shared" si="7"/>
        <v>2.13</v>
      </c>
      <c r="G32" s="102">
        <f>IFERROR(F32/$F$68,"")</f>
        <v>5.9002711937655001E-4</v>
      </c>
      <c r="H32" s="106" t="s">
        <v>96</v>
      </c>
      <c r="I32" s="106"/>
      <c r="J32" s="104"/>
      <c r="K32" s="631"/>
      <c r="L32" s="631"/>
    </row>
    <row r="33" spans="1:13" ht="13.5" x14ac:dyDescent="0.25">
      <c r="A33" s="99">
        <v>1</v>
      </c>
      <c r="B33" s="105" t="s">
        <v>101</v>
      </c>
      <c r="C33" s="100">
        <f t="shared" si="6"/>
        <v>1</v>
      </c>
      <c r="D33" s="101" t="s">
        <v>181</v>
      </c>
      <c r="E33" s="101">
        <v>100</v>
      </c>
      <c r="F33" s="101">
        <f t="shared" si="7"/>
        <v>100</v>
      </c>
      <c r="G33" s="102">
        <f>IFERROR(F33/$F$68,"")</f>
        <v>2.7700803726598593E-2</v>
      </c>
      <c r="H33" s="106"/>
      <c r="I33" s="106"/>
      <c r="J33" s="104"/>
      <c r="K33" s="107"/>
      <c r="L33" s="108"/>
    </row>
    <row r="34" spans="1:13" ht="13.5" x14ac:dyDescent="0.25">
      <c r="A34" s="99"/>
      <c r="B34" s="105" t="str">
        <f>IFERROR(VLOOKUP(H34,'[1]Consolidado MP Planta'!$A$2:$M$823,3,0),"")</f>
        <v/>
      </c>
      <c r="C34" s="100">
        <f t="shared" si="6"/>
        <v>0</v>
      </c>
      <c r="D34" s="101" t="str">
        <f>IFERROR(VLOOKUP(H34,'[1]Consolidado MP Planta'!$A$2:$M$823,13,0),"")</f>
        <v/>
      </c>
      <c r="E34" s="101" t="str">
        <f>IFERROR(VLOOKUP(H34,'[1]Consolidado MP Planta'!$A$2:$M$823,12,0),"")</f>
        <v/>
      </c>
      <c r="F34" s="101" t="str">
        <f t="shared" si="7"/>
        <v/>
      </c>
      <c r="G34" s="102" t="str">
        <f>IFERROR(F34/$F$68,"")</f>
        <v/>
      </c>
      <c r="H34" s="106"/>
      <c r="I34" s="106"/>
      <c r="J34" s="104"/>
    </row>
    <row r="35" spans="1:13" ht="14.25" thickBot="1" x14ac:dyDescent="0.3">
      <c r="A35" s="99"/>
      <c r="B35" s="105"/>
      <c r="C35" s="100"/>
      <c r="D35" s="101"/>
      <c r="E35" s="101"/>
      <c r="F35" s="101"/>
      <c r="G35" s="102"/>
      <c r="H35" s="106"/>
      <c r="I35" s="106"/>
      <c r="J35" s="104"/>
    </row>
    <row r="36" spans="1:13" ht="26.25" thickBot="1" x14ac:dyDescent="0.25">
      <c r="A36" s="94" t="s">
        <v>132</v>
      </c>
      <c r="B36" s="95" t="s">
        <v>140</v>
      </c>
      <c r="C36" s="95" t="s">
        <v>132</v>
      </c>
      <c r="D36" s="96" t="s">
        <v>134</v>
      </c>
      <c r="E36" s="96" t="s">
        <v>135</v>
      </c>
      <c r="F36" s="96" t="s">
        <v>136</v>
      </c>
      <c r="G36" s="96" t="s">
        <v>137</v>
      </c>
      <c r="H36" s="97" t="s">
        <v>138</v>
      </c>
      <c r="I36" s="106"/>
      <c r="J36" s="104"/>
    </row>
    <row r="37" spans="1:13" ht="13.5" x14ac:dyDescent="0.25">
      <c r="A37" s="99">
        <f t="shared" ref="A37:A43" si="11">+A17</f>
        <v>1</v>
      </c>
      <c r="B37" s="87" t="s">
        <v>105</v>
      </c>
      <c r="C37" s="100">
        <f>+A37</f>
        <v>1</v>
      </c>
      <c r="D37" s="101" t="s">
        <v>181</v>
      </c>
      <c r="E37" s="101">
        <v>5.01</v>
      </c>
      <c r="F37" s="101">
        <f>IFERROR(E37*C37,"")</f>
        <v>5.01</v>
      </c>
      <c r="G37" s="102">
        <f t="shared" ref="G37:G43" si="12">IFERROR(F37/$F$68,"")</f>
        <v>1.3878102667025894E-3</v>
      </c>
      <c r="H37" s="106" t="s">
        <v>104</v>
      </c>
      <c r="I37" s="106"/>
      <c r="J37" s="104"/>
    </row>
    <row r="38" spans="1:13" ht="13.5" x14ac:dyDescent="0.25">
      <c r="A38" s="99">
        <f t="shared" si="11"/>
        <v>120</v>
      </c>
      <c r="B38" s="105" t="s">
        <v>115</v>
      </c>
      <c r="C38" s="100">
        <f t="shared" ref="C38:C43" si="13">+A38</f>
        <v>120</v>
      </c>
      <c r="D38" s="100" t="s">
        <v>177</v>
      </c>
      <c r="E38" s="101">
        <f>+'Costo Almibar Guayaba'!E76</f>
        <v>0.01</v>
      </c>
      <c r="F38" s="101">
        <f t="shared" ref="F38:F43" si="14">IFERROR(E38*C38,"")</f>
        <v>1.2</v>
      </c>
      <c r="G38" s="102">
        <f t="shared" si="12"/>
        <v>3.3240964471918308E-4</v>
      </c>
      <c r="H38" s="106" t="s">
        <v>48</v>
      </c>
      <c r="I38" s="106"/>
      <c r="J38" s="104"/>
    </row>
    <row r="39" spans="1:13" ht="13.5" x14ac:dyDescent="0.25">
      <c r="A39" s="99">
        <f t="shared" si="11"/>
        <v>1.01</v>
      </c>
      <c r="B39" s="105" t="s">
        <v>108</v>
      </c>
      <c r="C39" s="100">
        <f t="shared" si="13"/>
        <v>1.01</v>
      </c>
      <c r="D39" s="101" t="s">
        <v>177</v>
      </c>
      <c r="E39" s="101">
        <f>+'Costo Rosquete'!H54</f>
        <v>18.571428571428573</v>
      </c>
      <c r="F39" s="101">
        <f t="shared" si="14"/>
        <v>18.75714285714286</v>
      </c>
      <c r="G39" s="102">
        <f t="shared" si="12"/>
        <v>5.1958793275748505E-3</v>
      </c>
      <c r="H39" s="106" t="s">
        <v>48</v>
      </c>
      <c r="I39" s="106"/>
      <c r="J39" s="104"/>
    </row>
    <row r="40" spans="1:13" ht="13.5" x14ac:dyDescent="0.25">
      <c r="A40" s="99">
        <f t="shared" si="11"/>
        <v>160</v>
      </c>
      <c r="B40" s="105" t="s">
        <v>76</v>
      </c>
      <c r="C40" s="100">
        <f>+A40</f>
        <v>160</v>
      </c>
      <c r="D40" s="101" t="s">
        <v>177</v>
      </c>
      <c r="E40" s="101">
        <v>0</v>
      </c>
      <c r="F40" s="101">
        <f>IFERROR(E40*C40,"")</f>
        <v>0</v>
      </c>
      <c r="G40" s="102">
        <f t="shared" si="12"/>
        <v>0</v>
      </c>
      <c r="H40" s="106"/>
      <c r="I40" s="106"/>
      <c r="J40" s="104"/>
    </row>
    <row r="41" spans="1:13" ht="13.5" x14ac:dyDescent="0.25">
      <c r="A41" s="99">
        <f t="shared" si="11"/>
        <v>105</v>
      </c>
      <c r="B41" s="87" t="s">
        <v>77</v>
      </c>
      <c r="C41" s="100">
        <f>+A41</f>
        <v>105</v>
      </c>
      <c r="D41" s="101" t="s">
        <v>177</v>
      </c>
      <c r="E41" s="101">
        <f>+'Costo Salsa de guayaba'!E76</f>
        <v>1.9999999999999998E-4</v>
      </c>
      <c r="F41" s="101">
        <f>IFERROR(E41*C41,"")</f>
        <v>2.0999999999999998E-2</v>
      </c>
      <c r="G41" s="102">
        <f t="shared" si="12"/>
        <v>5.8171687825857034E-6</v>
      </c>
      <c r="H41" s="106"/>
      <c r="I41" s="106"/>
      <c r="J41" s="104"/>
    </row>
    <row r="42" spans="1:13" ht="13.5" hidden="1" x14ac:dyDescent="0.25">
      <c r="A42" s="99">
        <f t="shared" si="11"/>
        <v>0</v>
      </c>
      <c r="B42" s="105" t="str">
        <f>IFERROR(VLOOKUP(H42,[1]SEMIELABORADOS!$A$2:$M$6000,2,0),"")</f>
        <v/>
      </c>
      <c r="C42" s="100">
        <f t="shared" si="13"/>
        <v>0</v>
      </c>
      <c r="D42" s="101" t="str">
        <f>IFERROR(VLOOKUP(H42,[1]SEMIELABORADOS!$A$2:$M$6000,6,0),"")</f>
        <v/>
      </c>
      <c r="E42" s="101" t="str">
        <f>IFERROR(VLOOKUP(H42,[1]SEMIELABORADOS!$A$2:$M$65536,10,0),"")</f>
        <v/>
      </c>
      <c r="F42" s="101" t="str">
        <f t="shared" si="14"/>
        <v/>
      </c>
      <c r="G42" s="102" t="str">
        <f t="shared" si="12"/>
        <v/>
      </c>
      <c r="H42" s="106"/>
      <c r="I42" s="106"/>
      <c r="J42" s="104"/>
    </row>
    <row r="43" spans="1:13" ht="13.5" hidden="1" x14ac:dyDescent="0.25">
      <c r="A43" s="99">
        <f t="shared" si="11"/>
        <v>0</v>
      </c>
      <c r="B43" s="105" t="str">
        <f>IFERROR(VLOOKUP(H43,[1]SEMIELABORADOS!$A$2:$M$6000,2,0),"")</f>
        <v/>
      </c>
      <c r="C43" s="100">
        <f t="shared" si="13"/>
        <v>0</v>
      </c>
      <c r="D43" s="101" t="str">
        <f>IFERROR(VLOOKUP(H43,[1]SEMIELABORADOS!$A$2:$M$6000,6,0),"")</f>
        <v/>
      </c>
      <c r="E43" s="101" t="str">
        <f>IFERROR(VLOOKUP(H43,[1]SEMIELABORADOS!$A$2:$M$65536,10,0),"")</f>
        <v/>
      </c>
      <c r="F43" s="101" t="str">
        <f t="shared" si="14"/>
        <v/>
      </c>
      <c r="G43" s="102" t="str">
        <f t="shared" si="12"/>
        <v/>
      </c>
      <c r="H43" s="106"/>
      <c r="I43" s="106"/>
      <c r="J43" s="104"/>
    </row>
    <row r="44" spans="1:13" ht="14.25" thickBot="1" x14ac:dyDescent="0.3">
      <c r="A44" s="99"/>
      <c r="B44" s="105"/>
      <c r="C44" s="100"/>
      <c r="D44" s="101"/>
      <c r="E44" s="101"/>
      <c r="F44" s="101"/>
      <c r="G44" s="102"/>
      <c r="H44" s="106"/>
      <c r="I44" s="106"/>
      <c r="J44" s="104"/>
    </row>
    <row r="45" spans="1:13" ht="26.25" thickBot="1" x14ac:dyDescent="0.25">
      <c r="A45" s="94" t="s">
        <v>132</v>
      </c>
      <c r="B45" s="95" t="s">
        <v>141</v>
      </c>
      <c r="C45" s="95" t="s">
        <v>132</v>
      </c>
      <c r="D45" s="96" t="s">
        <v>134</v>
      </c>
      <c r="E45" s="96" t="s">
        <v>135</v>
      </c>
      <c r="F45" s="96" t="s">
        <v>136</v>
      </c>
      <c r="G45" s="96" t="s">
        <v>137</v>
      </c>
      <c r="H45" s="97" t="s">
        <v>138</v>
      </c>
      <c r="I45" s="98"/>
      <c r="J45" s="104"/>
    </row>
    <row r="46" spans="1:13" ht="13.5" x14ac:dyDescent="0.25">
      <c r="A46" s="99">
        <f>+A37</f>
        <v>1</v>
      </c>
      <c r="B46" s="87" t="s">
        <v>105</v>
      </c>
      <c r="C46" s="100">
        <f>+A46</f>
        <v>1</v>
      </c>
      <c r="D46" s="101" t="s">
        <v>181</v>
      </c>
      <c r="E46" s="101">
        <v>10.54</v>
      </c>
      <c r="F46" s="101">
        <f>IFERROR(E46*C46,"")</f>
        <v>10.54</v>
      </c>
      <c r="G46" s="102">
        <f>IFERROR(F46/$F$68,"")</f>
        <v>2.9196647127834913E-3</v>
      </c>
      <c r="H46" s="106" t="s">
        <v>104</v>
      </c>
      <c r="I46" s="98"/>
      <c r="J46" s="104"/>
    </row>
    <row r="47" spans="1:13" ht="13.5" x14ac:dyDescent="0.25">
      <c r="A47" s="99">
        <f t="shared" ref="A47:A52" si="15">+A38</f>
        <v>120</v>
      </c>
      <c r="B47" s="105" t="s">
        <v>115</v>
      </c>
      <c r="C47" s="100">
        <f t="shared" ref="C47:C52" si="16">+A47</f>
        <v>120</v>
      </c>
      <c r="D47" s="100" t="s">
        <v>177</v>
      </c>
      <c r="E47" s="101">
        <f>+'Costo Almibar Guayaba'!E74</f>
        <v>0.2225</v>
      </c>
      <c r="F47" s="101">
        <f t="shared" ref="F47:F52" si="17">IFERROR(E47*C47,"")</f>
        <v>26.7</v>
      </c>
      <c r="G47" s="102">
        <f t="shared" ref="G47:G52" si="18">IFERROR(F47/$F$68,"")</f>
        <v>7.3961145950018235E-3</v>
      </c>
      <c r="H47" s="106" t="s">
        <v>48</v>
      </c>
      <c r="I47" s="98"/>
      <c r="J47" s="104"/>
      <c r="M47" s="109"/>
    </row>
    <row r="48" spans="1:13" ht="13.5" x14ac:dyDescent="0.25">
      <c r="A48" s="99">
        <f t="shared" si="15"/>
        <v>1.01</v>
      </c>
      <c r="B48" s="105" t="s">
        <v>108</v>
      </c>
      <c r="C48" s="100">
        <f t="shared" si="16"/>
        <v>1.01</v>
      </c>
      <c r="D48" s="101" t="s">
        <v>177</v>
      </c>
      <c r="E48" s="101">
        <f>+'Costo Rosquete'!H56</f>
        <v>18.532673992673992</v>
      </c>
      <c r="F48" s="101">
        <f t="shared" si="17"/>
        <v>18.718000732600732</v>
      </c>
      <c r="G48" s="102">
        <f t="shared" si="18"/>
        <v>5.1850366444810151E-3</v>
      </c>
      <c r="H48" s="106" t="s">
        <v>48</v>
      </c>
      <c r="I48" s="98"/>
      <c r="J48" s="104"/>
    </row>
    <row r="49" spans="1:17" ht="13.5" x14ac:dyDescent="0.25">
      <c r="A49" s="99">
        <f t="shared" si="15"/>
        <v>160</v>
      </c>
      <c r="B49" s="105" t="s">
        <v>76</v>
      </c>
      <c r="C49" s="100">
        <f t="shared" si="16"/>
        <v>160</v>
      </c>
      <c r="D49" s="101" t="s">
        <v>177</v>
      </c>
      <c r="E49" s="101">
        <v>0.03</v>
      </c>
      <c r="F49" s="101">
        <f t="shared" si="17"/>
        <v>4.8</v>
      </c>
      <c r="G49" s="102">
        <f t="shared" si="18"/>
        <v>1.3296385788767323E-3</v>
      </c>
      <c r="H49" s="106"/>
      <c r="I49" s="98"/>
      <c r="J49" s="104"/>
    </row>
    <row r="50" spans="1:17" ht="13.5" x14ac:dyDescent="0.25">
      <c r="A50" s="99">
        <f t="shared" si="15"/>
        <v>105</v>
      </c>
      <c r="B50" s="87" t="s">
        <v>77</v>
      </c>
      <c r="C50" s="100">
        <f t="shared" si="16"/>
        <v>105</v>
      </c>
      <c r="D50" s="101" t="s">
        <v>177</v>
      </c>
      <c r="E50" s="101">
        <f>+'Costo Salsa de guayaba'!E74</f>
        <v>0.51353333333333329</v>
      </c>
      <c r="F50" s="101">
        <f t="shared" si="17"/>
        <v>53.920999999999992</v>
      </c>
      <c r="G50" s="102">
        <f t="shared" si="18"/>
        <v>1.4936550377419224E-2</v>
      </c>
      <c r="H50" s="106"/>
      <c r="I50" s="98"/>
      <c r="J50" s="104"/>
    </row>
    <row r="51" spans="1:17" ht="13.5" hidden="1" x14ac:dyDescent="0.25">
      <c r="A51" s="99">
        <f t="shared" si="15"/>
        <v>0</v>
      </c>
      <c r="B51" s="105" t="str">
        <f>IFERROR(VLOOKUP(H51,[1]SEMIELABORADOS!$A$2:$M$6000,2,0),"")</f>
        <v/>
      </c>
      <c r="C51" s="100">
        <f t="shared" si="16"/>
        <v>0</v>
      </c>
      <c r="D51" s="101" t="str">
        <f>IFERROR(VLOOKUP(H51,[1]SEMIELABORADOS!$A$2:$M$6000,6,0),"")</f>
        <v/>
      </c>
      <c r="E51" s="101" t="str">
        <f>IFERROR(VLOOKUP(H51,[1]SEMIELABORADOS!$A$2:$M$65536,12,0),"")</f>
        <v/>
      </c>
      <c r="F51" s="101" t="str">
        <f t="shared" si="17"/>
        <v/>
      </c>
      <c r="G51" s="102" t="str">
        <f t="shared" si="18"/>
        <v/>
      </c>
      <c r="H51" s="106"/>
      <c r="I51" s="98"/>
      <c r="J51" s="104"/>
    </row>
    <row r="52" spans="1:17" ht="13.5" hidden="1" x14ac:dyDescent="0.25">
      <c r="A52" s="99">
        <f t="shared" si="15"/>
        <v>0</v>
      </c>
      <c r="B52" s="105" t="str">
        <f>IFERROR(VLOOKUP(H52,[1]SEMIELABORADOS!$A$2:$M$6000,2,0),"")</f>
        <v/>
      </c>
      <c r="C52" s="100">
        <f t="shared" si="16"/>
        <v>0</v>
      </c>
      <c r="D52" s="101" t="str">
        <f>IFERROR(VLOOKUP(H52,[1]SEMIELABORADOS!$A$2:$M$6000,6,0),"")</f>
        <v/>
      </c>
      <c r="E52" s="101" t="str">
        <f>IFERROR(VLOOKUP(H52,[1]SEMIELABORADOS!$A$2:$M$65536,12,0),"")</f>
        <v/>
      </c>
      <c r="F52" s="101" t="str">
        <f t="shared" si="17"/>
        <v/>
      </c>
      <c r="G52" s="102" t="str">
        <f t="shared" si="18"/>
        <v/>
      </c>
      <c r="H52" s="105"/>
      <c r="I52" s="98"/>
      <c r="J52" s="104"/>
    </row>
    <row r="53" spans="1:17" ht="13.5" x14ac:dyDescent="0.25">
      <c r="A53" s="99">
        <v>1</v>
      </c>
      <c r="B53" s="105" t="s">
        <v>142</v>
      </c>
      <c r="C53" s="100">
        <f>+A53</f>
        <v>1</v>
      </c>
      <c r="D53" s="100" t="s">
        <v>143</v>
      </c>
      <c r="E53" s="101">
        <f>+F67</f>
        <v>462</v>
      </c>
      <c r="F53" s="101">
        <f>IFERROR(C53*E53,"")</f>
        <v>462</v>
      </c>
      <c r="G53" s="102">
        <f>IFERROR(F53/$F$68,"")</f>
        <v>0.1279777132168855</v>
      </c>
      <c r="H53" s="110"/>
      <c r="I53" s="110"/>
      <c r="J53" s="104"/>
    </row>
    <row r="54" spans="1:17" ht="14.25" thickBot="1" x14ac:dyDescent="0.3">
      <c r="A54" s="99"/>
      <c r="B54" s="105"/>
      <c r="C54" s="100"/>
      <c r="D54" s="100"/>
      <c r="E54" s="101"/>
      <c r="F54" s="101"/>
      <c r="G54" s="102"/>
      <c r="H54" s="110"/>
      <c r="I54" s="110"/>
      <c r="J54" s="104"/>
    </row>
    <row r="55" spans="1:17" ht="13.5" thickBot="1" x14ac:dyDescent="0.25">
      <c r="A55" s="111"/>
      <c r="B55" s="641" t="s">
        <v>144</v>
      </c>
      <c r="C55" s="641"/>
      <c r="D55" s="641"/>
      <c r="E55" s="641"/>
      <c r="F55" s="113">
        <f>SUM(F8:F14,F17:F24)</f>
        <v>2438.2307987179488</v>
      </c>
      <c r="G55" s="102">
        <f>+F55/$F$68</f>
        <v>0.67540952795433618</v>
      </c>
      <c r="H55" s="114">
        <f>+F55/$D$62</f>
        <v>2438.2307987179488</v>
      </c>
      <c r="I55" s="114"/>
      <c r="J55" s="115"/>
      <c r="K55" s="116"/>
      <c r="L55" s="116"/>
      <c r="M55" s="116"/>
      <c r="N55" s="116"/>
      <c r="O55" s="116"/>
      <c r="P55" s="116"/>
      <c r="Q55" s="117"/>
    </row>
    <row r="56" spans="1:17" x14ac:dyDescent="0.2">
      <c r="A56" s="111"/>
      <c r="B56" s="641" t="s">
        <v>145</v>
      </c>
      <c r="C56" s="641"/>
      <c r="D56" s="641"/>
      <c r="E56" s="641"/>
      <c r="F56" s="113">
        <f>SUM(F27:F34,F37:F43)</f>
        <v>661.00814285714284</v>
      </c>
      <c r="G56" s="102">
        <f>+F56/$F$68</f>
        <v>0.18310456826969157</v>
      </c>
      <c r="H56" s="114">
        <f>+F56/$D$62</f>
        <v>661.00814285714284</v>
      </c>
      <c r="I56" s="114"/>
      <c r="J56" s="118"/>
      <c r="K56" s="642" t="s">
        <v>146</v>
      </c>
      <c r="L56" s="643"/>
      <c r="M56" s="643"/>
      <c r="N56" s="643"/>
      <c r="O56" s="119">
        <f>+F57</f>
        <v>3099.2389415750918</v>
      </c>
      <c r="P56" s="119"/>
      <c r="Q56" s="120"/>
    </row>
    <row r="57" spans="1:17" x14ac:dyDescent="0.2">
      <c r="A57" s="111"/>
      <c r="B57" s="641" t="s">
        <v>147</v>
      </c>
      <c r="C57" s="641"/>
      <c r="D57" s="641"/>
      <c r="E57" s="641"/>
      <c r="F57" s="113">
        <f>+F55+F56</f>
        <v>3099.2389415750918</v>
      </c>
      <c r="G57" s="102">
        <f>+F57/$F$68</f>
        <v>0.85851409622402775</v>
      </c>
      <c r="H57" s="114">
        <f>+F57/$D$62</f>
        <v>3099.2389415750918</v>
      </c>
      <c r="I57" s="114"/>
      <c r="J57" s="121"/>
      <c r="K57" s="122"/>
      <c r="M57" s="123" t="s">
        <v>148</v>
      </c>
      <c r="N57" s="124"/>
      <c r="O57" s="119">
        <f>+H58</f>
        <v>576.67900073260068</v>
      </c>
      <c r="P57" s="119"/>
      <c r="Q57" s="120"/>
    </row>
    <row r="58" spans="1:17" ht="13.5" thickBot="1" x14ac:dyDescent="0.25">
      <c r="A58" s="111"/>
      <c r="B58" s="112"/>
      <c r="C58" s="641" t="s">
        <v>149</v>
      </c>
      <c r="D58" s="641"/>
      <c r="E58" s="641"/>
      <c r="F58" s="113">
        <f>SUM(F46:F53)</f>
        <v>576.67900073260068</v>
      </c>
      <c r="G58" s="102">
        <f>+F58/$F$68</f>
        <v>0.15974471812544777</v>
      </c>
      <c r="H58" s="114">
        <f>+F58/$D$62</f>
        <v>576.67900073260068</v>
      </c>
      <c r="I58" s="114"/>
      <c r="J58" s="121"/>
      <c r="K58" s="122"/>
      <c r="L58" s="122"/>
      <c r="M58" s="122" t="s">
        <v>150</v>
      </c>
      <c r="N58" s="125"/>
      <c r="O58" s="119">
        <f>O56*N58</f>
        <v>0</v>
      </c>
      <c r="P58" s="119"/>
      <c r="Q58" s="120"/>
    </row>
    <row r="59" spans="1:17" ht="13.5" thickBot="1" x14ac:dyDescent="0.25">
      <c r="A59" s="111"/>
      <c r="B59" s="126"/>
      <c r="C59" s="126"/>
      <c r="D59" s="126"/>
      <c r="E59" s="126"/>
      <c r="F59" s="127"/>
      <c r="G59" s="102"/>
      <c r="H59" s="128"/>
      <c r="I59" s="114"/>
      <c r="J59" s="121"/>
      <c r="K59" s="129"/>
      <c r="M59" s="130" t="s">
        <v>151</v>
      </c>
      <c r="N59" s="131"/>
      <c r="O59" s="132">
        <f>SUM(O56:O58)</f>
        <v>3675.9179423076926</v>
      </c>
      <c r="P59" s="133"/>
      <c r="Q59" s="120"/>
    </row>
    <row r="60" spans="1:17" x14ac:dyDescent="0.2">
      <c r="B60" s="644" t="s">
        <v>152</v>
      </c>
      <c r="C60" s="644"/>
      <c r="D60" s="134">
        <v>1500</v>
      </c>
      <c r="E60" s="135"/>
      <c r="G60" s="102"/>
      <c r="H60" s="128">
        <f>+H58/77</f>
        <v>7.4893376718519571</v>
      </c>
      <c r="I60" s="136"/>
      <c r="J60" s="121"/>
      <c r="K60" s="129"/>
      <c r="L60" s="122"/>
      <c r="M60" s="122" t="s">
        <v>153</v>
      </c>
      <c r="N60" s="137"/>
      <c r="O60" s="119">
        <f>+H61</f>
        <v>479.31761099852525</v>
      </c>
      <c r="P60" s="119"/>
      <c r="Q60" s="120"/>
    </row>
    <row r="61" spans="1:17" x14ac:dyDescent="0.2">
      <c r="B61" s="644" t="s">
        <v>154</v>
      </c>
      <c r="C61" s="644"/>
      <c r="D61" s="138">
        <v>1500</v>
      </c>
      <c r="E61" s="135"/>
      <c r="G61" s="102"/>
      <c r="H61" s="128">
        <f>+H60*64</f>
        <v>479.31761099852525</v>
      </c>
      <c r="I61" s="136"/>
      <c r="J61" s="121"/>
      <c r="K61" s="129"/>
      <c r="L61" s="122"/>
      <c r="M61" s="645" t="s">
        <v>151</v>
      </c>
      <c r="N61" s="645"/>
      <c r="O61" s="119">
        <f>SUM(O59:O60)</f>
        <v>4155.2355533062182</v>
      </c>
      <c r="P61" s="119"/>
      <c r="Q61" s="120"/>
    </row>
    <row r="62" spans="1:17" ht="13.5" thickBot="1" x14ac:dyDescent="0.25">
      <c r="B62" s="637" t="s">
        <v>155</v>
      </c>
      <c r="C62" s="637"/>
      <c r="D62" s="134">
        <f>+D60/D61</f>
        <v>1</v>
      </c>
      <c r="E62" s="135"/>
      <c r="F62" s="139"/>
      <c r="G62" s="102"/>
      <c r="H62" s="128"/>
      <c r="I62" s="136"/>
      <c r="J62" s="121"/>
      <c r="K62" s="129"/>
      <c r="L62" s="645"/>
      <c r="M62" s="645"/>
      <c r="N62" s="137"/>
      <c r="O62" s="119">
        <f>+O61*N62</f>
        <v>0</v>
      </c>
      <c r="P62" s="119"/>
      <c r="Q62" s="120"/>
    </row>
    <row r="63" spans="1:17" ht="13.5" thickBot="1" x14ac:dyDescent="0.25">
      <c r="B63" s="637" t="s">
        <v>156</v>
      </c>
      <c r="C63" s="637"/>
      <c r="D63" s="140"/>
      <c r="E63" s="135"/>
      <c r="F63" s="139"/>
      <c r="G63" s="102"/>
      <c r="H63" s="128"/>
      <c r="I63" s="136"/>
      <c r="J63" s="121"/>
      <c r="K63" s="638" t="s">
        <v>157</v>
      </c>
      <c r="L63" s="639"/>
      <c r="M63" s="639"/>
      <c r="N63" s="640"/>
      <c r="O63" s="132">
        <f>SUM(O61:O62)</f>
        <v>4155.2355533062182</v>
      </c>
      <c r="P63" s="141" t="s">
        <v>158</v>
      </c>
      <c r="Q63" s="120"/>
    </row>
    <row r="64" spans="1:17" ht="13.5" thickBot="1" x14ac:dyDescent="0.25">
      <c r="C64" s="111" t="s">
        <v>159</v>
      </c>
      <c r="D64" s="142"/>
      <c r="E64" s="85" t="s">
        <v>160</v>
      </c>
      <c r="F64" s="143" t="s">
        <v>161</v>
      </c>
      <c r="G64" s="102"/>
      <c r="H64" s="128"/>
      <c r="I64" s="136"/>
      <c r="J64" s="144"/>
      <c r="K64" s="145"/>
      <c r="L64" s="651" t="s">
        <v>162</v>
      </c>
      <c r="M64" s="651"/>
      <c r="N64" s="651"/>
      <c r="O64" s="146">
        <f>+O63/D62</f>
        <v>4155.2355533062182</v>
      </c>
      <c r="P64" s="147">
        <f>+O64/D61</f>
        <v>2.7701570355374789</v>
      </c>
      <c r="Q64" s="148"/>
    </row>
    <row r="65" spans="2:16" ht="13.5" thickBot="1" x14ac:dyDescent="0.25">
      <c r="B65" s="652" t="s">
        <v>147</v>
      </c>
      <c r="C65" s="652"/>
      <c r="D65" s="652"/>
      <c r="E65" s="149">
        <f>+F65/F65</f>
        <v>1</v>
      </c>
      <c r="F65" s="150">
        <f>SUM(F57)</f>
        <v>3099.2389415750918</v>
      </c>
      <c r="G65" s="102">
        <f>+F65/$F$68</f>
        <v>0.85851409622402775</v>
      </c>
      <c r="H65" s="128"/>
      <c r="I65" s="136"/>
      <c r="K65" s="653"/>
      <c r="L65" s="654"/>
      <c r="M65" s="654"/>
      <c r="N65" s="654"/>
      <c r="O65" s="151"/>
      <c r="P65" s="152"/>
    </row>
    <row r="66" spans="2:16" ht="13.5" thickBot="1" x14ac:dyDescent="0.25">
      <c r="B66" s="655" t="s">
        <v>163</v>
      </c>
      <c r="C66" s="655"/>
      <c r="D66" s="655"/>
      <c r="E66" s="153">
        <v>0.02</v>
      </c>
      <c r="F66" s="150">
        <f>+F55*E66</f>
        <v>48.764615974358975</v>
      </c>
      <c r="G66" s="102">
        <f>+F66/$F$68</f>
        <v>1.3508190559086723E-2</v>
      </c>
      <c r="H66" s="114"/>
      <c r="I66" s="136"/>
      <c r="J66" s="154"/>
      <c r="O66" s="155">
        <v>4155.24</v>
      </c>
      <c r="P66" s="112"/>
    </row>
    <row r="67" spans="2:16" ht="13.5" thickBot="1" x14ac:dyDescent="0.25">
      <c r="B67" s="656" t="s">
        <v>164</v>
      </c>
      <c r="C67" s="657"/>
      <c r="D67" s="156">
        <v>6</v>
      </c>
      <c r="E67" s="157">
        <v>77</v>
      </c>
      <c r="F67" s="150">
        <f>+E67*D67</f>
        <v>462</v>
      </c>
      <c r="G67" s="102">
        <f>+F67/$F$68</f>
        <v>0.1279777132168855</v>
      </c>
      <c r="H67" s="114"/>
      <c r="I67" s="114"/>
      <c r="J67" s="104"/>
    </row>
    <row r="68" spans="2:16" ht="13.5" thickBot="1" x14ac:dyDescent="0.25">
      <c r="B68" s="658" t="s">
        <v>165</v>
      </c>
      <c r="C68" s="659"/>
      <c r="D68" s="659"/>
      <c r="E68" s="660"/>
      <c r="F68" s="127">
        <f>SUM(F65:F67)</f>
        <v>3610.0035575494508</v>
      </c>
      <c r="G68" s="102">
        <f>+F68/$F$68</f>
        <v>1</v>
      </c>
      <c r="H68" s="661"/>
      <c r="I68" s="114"/>
      <c r="J68" s="104"/>
      <c r="M68" s="87" t="s">
        <v>166</v>
      </c>
    </row>
    <row r="69" spans="2:16" x14ac:dyDescent="0.2">
      <c r="C69" s="109"/>
      <c r="D69" s="109"/>
      <c r="E69" s="159"/>
      <c r="F69" s="150"/>
      <c r="G69" s="102"/>
      <c r="H69" s="661"/>
      <c r="I69" s="158"/>
      <c r="J69" s="87"/>
      <c r="M69" s="87" t="s">
        <v>167</v>
      </c>
    </row>
    <row r="70" spans="2:16" ht="13.5" thickBot="1" x14ac:dyDescent="0.25">
      <c r="B70" s="646" t="s">
        <v>168</v>
      </c>
      <c r="C70" s="646"/>
      <c r="D70" s="646"/>
      <c r="E70" s="646"/>
      <c r="F70" s="646"/>
      <c r="G70" s="102"/>
      <c r="H70" s="161"/>
      <c r="I70" s="158"/>
      <c r="J70" s="87"/>
      <c r="M70" s="87" t="s">
        <v>169</v>
      </c>
    </row>
    <row r="71" spans="2:16" ht="13.5" thickBot="1" x14ac:dyDescent="0.25">
      <c r="B71" s="162" t="s">
        <v>170</v>
      </c>
      <c r="C71" s="163">
        <f>+F55</f>
        <v>2438.2307987179488</v>
      </c>
      <c r="D71" s="163">
        <f>+D60</f>
        <v>1500</v>
      </c>
      <c r="E71" s="164">
        <f>+C71/D71</f>
        <v>1.6254871991452993</v>
      </c>
      <c r="F71" s="102"/>
      <c r="G71" s="161"/>
      <c r="H71" s="104"/>
      <c r="I71" s="161"/>
      <c r="J71" s="87"/>
    </row>
    <row r="72" spans="2:16" x14ac:dyDescent="0.2">
      <c r="B72" s="165"/>
      <c r="C72" s="166"/>
      <c r="D72" s="167"/>
      <c r="E72" s="150"/>
      <c r="F72" s="102"/>
      <c r="G72" s="161"/>
      <c r="H72" s="104"/>
      <c r="I72" s="104"/>
      <c r="J72" s="87"/>
    </row>
    <row r="73" spans="2:16" x14ac:dyDescent="0.2">
      <c r="B73" s="162" t="s">
        <v>171</v>
      </c>
      <c r="C73" s="163">
        <f>SUM(F65:F66)</f>
        <v>3148.0035575494508</v>
      </c>
      <c r="D73" s="163">
        <f>+D60</f>
        <v>1500</v>
      </c>
      <c r="E73" s="168">
        <f>+C73/D73</f>
        <v>2.0986690383663005</v>
      </c>
      <c r="F73" s="102"/>
      <c r="G73" s="161"/>
      <c r="H73" s="104"/>
      <c r="I73" s="104"/>
      <c r="J73" s="87"/>
    </row>
    <row r="74" spans="2:16" x14ac:dyDescent="0.2">
      <c r="B74" s="162"/>
      <c r="C74" s="163"/>
      <c r="D74" s="163"/>
      <c r="E74" s="168"/>
      <c r="F74" s="102"/>
      <c r="G74" s="161"/>
      <c r="H74" s="104"/>
      <c r="I74" s="104"/>
      <c r="J74" s="87"/>
    </row>
    <row r="75" spans="2:16" ht="13.5" thickBot="1" x14ac:dyDescent="0.25">
      <c r="B75" s="162" t="s">
        <v>172</v>
      </c>
      <c r="C75" s="163">
        <f>+F67</f>
        <v>462</v>
      </c>
      <c r="D75" s="163">
        <f>+D60</f>
        <v>1500</v>
      </c>
      <c r="E75" s="168">
        <f>+C75/D75</f>
        <v>0.308</v>
      </c>
      <c r="F75" s="102"/>
      <c r="G75" s="161"/>
      <c r="H75" s="104"/>
      <c r="I75" s="104"/>
      <c r="J75" s="87"/>
    </row>
    <row r="76" spans="2:16" ht="13.5" thickBot="1" x14ac:dyDescent="0.25">
      <c r="B76" s="162" t="s">
        <v>173</v>
      </c>
      <c r="C76" s="163">
        <f>+F58</f>
        <v>576.67900073260068</v>
      </c>
      <c r="D76" s="163">
        <f>+D75</f>
        <v>1500</v>
      </c>
      <c r="E76" s="164">
        <f>+C76/D76</f>
        <v>0.3844526671550671</v>
      </c>
      <c r="F76" s="102"/>
      <c r="G76" s="161"/>
      <c r="H76" s="104"/>
      <c r="I76" s="104"/>
      <c r="J76" s="87"/>
    </row>
    <row r="77" spans="2:16" ht="13.5" thickBot="1" x14ac:dyDescent="0.25">
      <c r="B77" s="126"/>
      <c r="C77" s="127"/>
      <c r="D77" s="127"/>
      <c r="E77" s="168"/>
      <c r="F77" s="102"/>
      <c r="G77" s="161"/>
      <c r="H77" s="104"/>
      <c r="I77" s="104"/>
      <c r="J77" s="87"/>
    </row>
    <row r="78" spans="2:16" ht="13.5" thickBot="1" x14ac:dyDescent="0.25">
      <c r="B78" s="162" t="s">
        <v>174</v>
      </c>
      <c r="C78" s="163">
        <f>+F56</f>
        <v>661.00814285714284</v>
      </c>
      <c r="D78" s="163">
        <f>+D76</f>
        <v>1500</v>
      </c>
      <c r="E78" s="164">
        <f>+C78/D78</f>
        <v>0.44067209523809525</v>
      </c>
      <c r="F78" s="102"/>
      <c r="G78" s="161"/>
      <c r="H78" s="104"/>
      <c r="I78" s="104"/>
      <c r="J78" s="104"/>
    </row>
    <row r="79" spans="2:16" ht="13.5" thickBot="1" x14ac:dyDescent="0.25">
      <c r="B79" s="126"/>
      <c r="C79" s="127"/>
      <c r="D79" s="127"/>
      <c r="E79" s="168"/>
      <c r="F79" s="102"/>
      <c r="G79" s="161"/>
      <c r="H79" s="104"/>
      <c r="I79" s="104"/>
    </row>
    <row r="80" spans="2:16" ht="13.5" thickBot="1" x14ac:dyDescent="0.25">
      <c r="B80" s="647" t="s">
        <v>175</v>
      </c>
      <c r="C80" s="648"/>
      <c r="D80" s="649"/>
      <c r="E80" s="164">
        <f>+E71+E76</f>
        <v>2.0099398663003663</v>
      </c>
      <c r="G80" s="102"/>
      <c r="H80" s="161"/>
      <c r="I80" s="104"/>
      <c r="J80" s="168"/>
    </row>
    <row r="81" spans="1:10" x14ac:dyDescent="0.2">
      <c r="I81" s="161"/>
      <c r="J81" s="87"/>
    </row>
    <row r="82" spans="1:10" ht="13.5" thickBot="1" x14ac:dyDescent="0.25">
      <c r="B82" s="646" t="s">
        <v>176</v>
      </c>
      <c r="C82" s="646"/>
      <c r="D82" s="646"/>
      <c r="E82" s="646"/>
      <c r="F82" s="646"/>
      <c r="G82" s="102"/>
      <c r="H82" s="161"/>
      <c r="J82" s="87"/>
    </row>
    <row r="83" spans="1:10" ht="13.5" thickBot="1" x14ac:dyDescent="0.25">
      <c r="B83" s="162" t="s">
        <v>170</v>
      </c>
      <c r="C83" s="163">
        <f>+C71</f>
        <v>2438.2307987179488</v>
      </c>
      <c r="D83" s="163">
        <f>+D62</f>
        <v>1</v>
      </c>
      <c r="E83" s="164">
        <f>+C83/D83</f>
        <v>2438.2307987179488</v>
      </c>
      <c r="F83" s="102"/>
      <c r="G83" s="161"/>
      <c r="H83" s="104"/>
      <c r="I83" s="161"/>
      <c r="J83" s="87"/>
    </row>
    <row r="84" spans="1:10" x14ac:dyDescent="0.2">
      <c r="B84" s="165"/>
      <c r="C84" s="166"/>
      <c r="D84" s="167"/>
      <c r="E84" s="150"/>
      <c r="F84" s="102"/>
      <c r="G84" s="161"/>
      <c r="H84" s="104"/>
      <c r="I84" s="104"/>
      <c r="J84" s="87"/>
    </row>
    <row r="85" spans="1:10" x14ac:dyDescent="0.2">
      <c r="B85" s="162" t="s">
        <v>171</v>
      </c>
      <c r="C85" s="163">
        <f>+C73</f>
        <v>3148.0035575494508</v>
      </c>
      <c r="D85" s="163">
        <f>+D62</f>
        <v>1</v>
      </c>
      <c r="E85" s="168">
        <f>+C85/D85</f>
        <v>3148.0035575494508</v>
      </c>
      <c r="F85" s="102"/>
      <c r="G85" s="161"/>
      <c r="H85" s="104"/>
      <c r="I85" s="104"/>
      <c r="J85" s="87"/>
    </row>
    <row r="86" spans="1:10" x14ac:dyDescent="0.2">
      <c r="B86" s="162"/>
      <c r="C86" s="163"/>
      <c r="D86" s="163"/>
      <c r="E86" s="168"/>
      <c r="F86" s="102"/>
      <c r="G86" s="161"/>
      <c r="H86" s="104"/>
      <c r="I86" s="104"/>
      <c r="J86" s="87"/>
    </row>
    <row r="87" spans="1:10" ht="13.5" thickBot="1" x14ac:dyDescent="0.25">
      <c r="B87" s="162" t="s">
        <v>173</v>
      </c>
      <c r="C87" s="163">
        <f>+C75</f>
        <v>462</v>
      </c>
      <c r="D87" s="163">
        <f>+D62</f>
        <v>1</v>
      </c>
      <c r="E87" s="168">
        <f>+C87/D87</f>
        <v>462</v>
      </c>
      <c r="F87" s="170"/>
      <c r="G87" s="160"/>
      <c r="H87" s="86"/>
      <c r="I87" s="104"/>
    </row>
    <row r="88" spans="1:10" ht="13.5" thickBot="1" x14ac:dyDescent="0.25">
      <c r="B88" s="162" t="s">
        <v>173</v>
      </c>
      <c r="C88" s="163">
        <f>+C76</f>
        <v>576.67900073260068</v>
      </c>
      <c r="D88" s="163">
        <f>+D87</f>
        <v>1</v>
      </c>
      <c r="E88" s="164">
        <f>+C88/D88</f>
        <v>576.67900073260068</v>
      </c>
      <c r="F88" s="169"/>
      <c r="G88" s="160"/>
      <c r="H88" s="86"/>
      <c r="I88" s="86"/>
    </row>
    <row r="89" spans="1:10" x14ac:dyDescent="0.2">
      <c r="I89" s="86"/>
    </row>
    <row r="90" spans="1:10" x14ac:dyDescent="0.2">
      <c r="A90" s="650"/>
      <c r="B90" s="650"/>
      <c r="C90" s="171"/>
      <c r="D90" s="171"/>
      <c r="E90" s="172"/>
      <c r="G90" s="173"/>
    </row>
    <row r="91" spans="1:10" x14ac:dyDescent="0.2">
      <c r="A91" s="105"/>
      <c r="B91" s="174"/>
      <c r="C91" s="175"/>
      <c r="D91" s="175"/>
      <c r="E91" s="176"/>
      <c r="G91" s="173"/>
    </row>
    <row r="92" spans="1:10" x14ac:dyDescent="0.2">
      <c r="A92" s="105"/>
      <c r="B92" s="174"/>
      <c r="C92" s="177"/>
      <c r="D92" s="177"/>
      <c r="E92" s="105"/>
      <c r="G92" s="173"/>
    </row>
    <row r="93" spans="1:10" x14ac:dyDescent="0.2">
      <c r="A93" s="105"/>
      <c r="B93" s="174"/>
      <c r="C93" s="178"/>
      <c r="D93" s="178"/>
      <c r="E93" s="105"/>
      <c r="G93" s="173"/>
    </row>
  </sheetData>
  <mergeCells count="29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32:L32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99FD2-CE40-4F46-9391-45A7ADB486FF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customXml/itemProps2.xml><?xml version="1.0" encoding="utf-8"?>
<ds:datastoreItem xmlns:ds="http://schemas.openxmlformats.org/officeDocument/2006/customXml" ds:itemID="{410F446C-CA60-4120-9F9C-29588D0F5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15302D-0B69-41D1-8F46-9D8B456D8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Batido brownie dawn</vt:lpstr>
      <vt:lpstr>Costo Batido Brownie </vt:lpstr>
      <vt:lpstr>Rosquete brownie dawn</vt:lpstr>
      <vt:lpstr>Costo Rosquete</vt:lpstr>
      <vt:lpstr>Costo Relleno de Queso </vt:lpstr>
      <vt:lpstr>Crema Blanca Bucca </vt:lpstr>
      <vt:lpstr>Costo Salsa de guayaba</vt:lpstr>
      <vt:lpstr>Almibar</vt:lpstr>
      <vt:lpstr>Costo Almibar Guayaba</vt:lpstr>
      <vt:lpstr>Crema Chantilly Blanca </vt:lpstr>
      <vt:lpstr>Premezcla Easy Vainilla </vt:lpstr>
      <vt:lpstr>Batido Easy Vainilla </vt:lpstr>
      <vt:lpstr>Rosquete Vainilla </vt:lpstr>
      <vt:lpstr>Ensamble torta</vt:lpstr>
      <vt:lpstr>Ensamble 2</vt:lpstr>
      <vt:lpstr>Costo Ensamble </vt:lpstr>
      <vt:lpstr>'Batido brownie dawn'!Área_de_impresión</vt:lpstr>
      <vt:lpstr>'Ensamble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rsolis</dc:creator>
  <cp:lastModifiedBy>Allan Brenes</cp:lastModifiedBy>
  <cp:lastPrinted>2025-09-01T14:57:43Z</cp:lastPrinted>
  <dcterms:created xsi:type="dcterms:W3CDTF">2009-03-11T22:07:15Z</dcterms:created>
  <dcterms:modified xsi:type="dcterms:W3CDTF">2025-09-01T14:58:53Z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
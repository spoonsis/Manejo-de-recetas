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0" documentId="8_{3121EBF5-CB69-4513-B0A8-1E9FBB8E5B95}" xr6:coauthVersionLast="47" xr6:coauthVersionMax="47" xr10:uidLastSave="{00000000-0000-0000-0000-000000000000}"/>
  <bookViews>
    <workbookView xWindow="-120" yWindow="-120" windowWidth="29040" windowHeight="15840" xr2:uid="{535C01C2-781A-4AFD-A4C3-E98610C5F749}"/>
  </bookViews>
  <sheets>
    <sheet name="Crema vino tinto" sheetId="1" r:id="rId1"/>
  </sheets>
  <definedNames>
    <definedName name="_xlnm.Print_Area" localSheetId="0">'Crema vino tinto'!$A$1:$I$31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D22" i="1"/>
  <c r="E10" i="1"/>
  <c r="E9" i="1"/>
  <c r="K11" i="1"/>
</calcChain>
</file>

<file path=xl/sharedStrings.xml><?xml version="1.0" encoding="utf-8"?>
<sst xmlns="http://schemas.openxmlformats.org/spreadsheetml/2006/main" count="71" uniqueCount="62">
  <si>
    <t>CONTROL DE CAMBIOS</t>
  </si>
  <si>
    <t>TIENE 2 DIA DE VIDA ÚTIL</t>
  </si>
  <si>
    <t>PROCEDIMIENTO DE PREPARACION DE LA  RECETA</t>
  </si>
  <si>
    <t>g</t>
  </si>
  <si>
    <t>MERMA</t>
  </si>
  <si>
    <t>Otros</t>
  </si>
  <si>
    <t>PESO POR PORCION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</si>
  <si>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</si>
  <si>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</si>
  <si>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</si>
  <si>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</si>
  <si>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</si>
  <si>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</si>
  <si>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</si>
  <si>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</si>
  <si>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</si>
  <si>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</si>
  <si>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</si>
  <si>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Etiplas</t>
  </si>
  <si>
    <t>ETIQ.BLANCA 1 1/4 * 3/4</t>
  </si>
  <si>
    <t>0702069</t>
  </si>
  <si>
    <t>AGUA</t>
  </si>
  <si>
    <t>Mayca</t>
  </si>
  <si>
    <t>VINO TINTO TORO</t>
  </si>
  <si>
    <t>Puratos</t>
  </si>
  <si>
    <t>CREMA AMBIENTE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</si>
  <si>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</si>
  <si>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</si>
  <si>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</si>
  <si>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</si>
  <si>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</si>
  <si>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</si>
  <si>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</si>
  <si>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</si>
  <si>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DECORACION</t>
  </si>
  <si>
    <t xml:space="preserve">AREA QUE EMPACA: </t>
  </si>
  <si>
    <t>DECORACIÓN</t>
  </si>
  <si>
    <t>AREA QUE PRODUCE:</t>
  </si>
  <si>
    <t>Esteban Cartin, Gerente de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</si>
  <si>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</si>
  <si>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</si>
  <si>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</si>
  <si>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</si>
  <si>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</si>
  <si>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</si>
  <si>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</si>
  <si>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17/05/2023</t>
  </si>
  <si>
    <t># Codigo Netsuite</t>
  </si>
  <si>
    <t>MP10586</t>
  </si>
  <si>
    <t>MP10587</t>
  </si>
  <si>
    <t>EM10002</t>
  </si>
  <si>
    <t>ESP-RE-DES-058</t>
  </si>
  <si>
    <t xml:space="preserve">Mariela Barrantes Sánchez </t>
  </si>
  <si>
    <t>MP10008</t>
  </si>
  <si>
    <t>Preservante 1047S</t>
  </si>
  <si>
    <t xml:space="preserve">1.- Colocar en la top crem la crema, agua y preservante y el vino tinto </t>
  </si>
  <si>
    <t>2.- La crema deben estar a 5°C liquida, batir por 8 minutos, una vez batida (18° temperatura maxima) retirar.</t>
  </si>
  <si>
    <t xml:space="preserve">3.- Guardar en tinas palsticas rotuladas en camara fria hasta su uso. </t>
  </si>
  <si>
    <t xml:space="preserve">2, Se actualiza preservante, tiempo de preparación y procedimento </t>
  </si>
  <si>
    <t>3, Actualización datos receta y pesos finales</t>
  </si>
  <si>
    <t>03</t>
  </si>
  <si>
    <t xml:space="preserve"> 902000171(SE00476) Crema de Vino tinto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</si>
</sst>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4"/>
      <name val="Century Gothic"/>
      <family val="2"/>
    </font>
    <font>
      <b/>
      <sz val="14"/>
      <color rgb="FFFF0000"/>
      <name val="Century Gothic"/>
      <family val="2"/>
    </font>
    <font>
      <sz val="14"/>
      <color theme="1"/>
      <name val="Century Gothic"/>
      <family val="2"/>
    </font>
    <font>
      <sz val="14"/>
      <color theme="1"/>
      <name val="Century"/>
      <family val="1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3" fillId="0" borderId="0"/>
  </cellStyleXfs>
  <cellXfs count="1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9" fontId="1" fillId="2" borderId="0" xfId="1" applyFont="1" applyFill="1"/>
    <xf numFmtId="0" fontId="4" fillId="2" borderId="29" xfId="3" applyFont="1" applyFill="1" applyBorder="1" applyAlignment="1">
      <alignment horizontal="right"/>
    </xf>
    <xf numFmtId="0" fontId="5" fillId="2" borderId="28" xfId="3" applyFont="1" applyFill="1" applyBorder="1" applyAlignment="1">
      <alignment horizontal="center"/>
    </xf>
    <xf numFmtId="0" fontId="4" fillId="2" borderId="5" xfId="3" applyFont="1" applyFill="1" applyBorder="1" applyAlignment="1">
      <alignment horizontal="right"/>
    </xf>
    <xf numFmtId="49" fontId="5" fillId="2" borderId="4" xfId="3" applyNumberFormat="1" applyFont="1" applyFill="1" applyBorder="1" applyAlignment="1">
      <alignment horizontal="center"/>
    </xf>
    <xf numFmtId="0" fontId="5" fillId="2" borderId="18" xfId="3" applyFont="1" applyFill="1" applyBorder="1" applyAlignment="1">
      <alignment horizontal="right"/>
    </xf>
    <xf numFmtId="0" fontId="5" fillId="2" borderId="5" xfId="3" applyFont="1" applyFill="1" applyBorder="1" applyAlignment="1">
      <alignment horizontal="right"/>
    </xf>
    <xf numFmtId="14" fontId="6" fillId="2" borderId="21" xfId="3" applyNumberFormat="1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16" fontId="5" fillId="0" borderId="14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 wrapText="1"/>
    </xf>
    <xf numFmtId="2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left"/>
    </xf>
    <xf numFmtId="0" fontId="5" fillId="0" borderId="6" xfId="2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0" xfId="0" applyFont="1"/>
    <xf numFmtId="0" fontId="5" fillId="0" borderId="18" xfId="2" applyFont="1" applyBorder="1" applyAlignment="1">
      <alignment horizontal="center"/>
    </xf>
    <xf numFmtId="16" fontId="5" fillId="0" borderId="5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49" fontId="5" fillId="0" borderId="14" xfId="0" applyNumberFormat="1" applyFont="1" applyBorder="1" applyAlignment="1">
      <alignment horizontal="center"/>
    </xf>
    <xf numFmtId="49" fontId="5" fillId="0" borderId="5" xfId="0" applyNumberFormat="1" applyFont="1" applyBorder="1"/>
    <xf numFmtId="0" fontId="5" fillId="0" borderId="6" xfId="0" quotePrefix="1" applyFont="1" applyBorder="1" applyAlignment="1">
      <alignment horizontal="center"/>
    </xf>
    <xf numFmtId="0" fontId="5" fillId="0" borderId="14" xfId="0" quotePrefix="1" applyFont="1" applyBorder="1" applyAlignment="1">
      <alignment horizontal="center"/>
    </xf>
    <xf numFmtId="0" fontId="5" fillId="0" borderId="5" xfId="0" quotePrefix="1" applyFont="1" applyBorder="1"/>
    <xf numFmtId="0" fontId="5" fillId="0" borderId="5" xfId="0" applyFont="1" applyBorder="1"/>
    <xf numFmtId="49" fontId="9" fillId="2" borderId="25" xfId="0" applyNumberFormat="1" applyFont="1" applyFill="1" applyBorder="1" applyAlignment="1">
      <alignment horizontal="center" vertical="center"/>
    </xf>
    <xf numFmtId="49" fontId="9" fillId="2" borderId="0" xfId="0" applyNumberFormat="1" applyFont="1" applyFill="1" applyAlignment="1">
      <alignment horizontal="center" vertical="center"/>
    </xf>
    <xf numFmtId="0" fontId="5" fillId="2" borderId="0" xfId="0" applyFont="1" applyFill="1"/>
    <xf numFmtId="1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wrapText="1"/>
    </xf>
    <xf numFmtId="0" fontId="5" fillId="2" borderId="24" xfId="0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5" fillId="4" borderId="22" xfId="0" applyFont="1" applyFill="1" applyBorder="1"/>
    <xf numFmtId="0" fontId="4" fillId="4" borderId="22" xfId="0" applyFont="1" applyFill="1" applyBorder="1" applyAlignment="1">
      <alignment horizontal="center"/>
    </xf>
    <xf numFmtId="1" fontId="4" fillId="4" borderId="22" xfId="0" applyNumberFormat="1" applyFont="1" applyFill="1" applyBorder="1" applyAlignment="1">
      <alignment horizontal="center"/>
    </xf>
    <xf numFmtId="164" fontId="5" fillId="4" borderId="22" xfId="0" applyNumberFormat="1" applyFont="1" applyFill="1" applyBorder="1" applyAlignment="1">
      <alignment horizontal="center" wrapText="1"/>
    </xf>
    <xf numFmtId="0" fontId="5" fillId="4" borderId="21" xfId="0" applyFont="1" applyFill="1" applyBorder="1" applyAlignment="1">
      <alignment horizontal="center"/>
    </xf>
    <xf numFmtId="1" fontId="5" fillId="0" borderId="18" xfId="0" applyNumberFormat="1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5" fillId="0" borderId="18" xfId="2" applyNumberFormat="1" applyFont="1" applyBorder="1" applyAlignment="1">
      <alignment horizontal="center"/>
    </xf>
    <xf numFmtId="0" fontId="5" fillId="2" borderId="9" xfId="3" applyFont="1" applyFill="1" applyBorder="1" applyAlignment="1">
      <alignment horizontal="center"/>
    </xf>
    <xf numFmtId="0" fontId="5" fillId="2" borderId="8" xfId="3" applyFont="1" applyFill="1" applyBorder="1" applyAlignment="1">
      <alignment horizontal="center"/>
    </xf>
    <xf numFmtId="0" fontId="5" fillId="2" borderId="25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40" xfId="3" applyFont="1" applyFill="1" applyBorder="1" applyAlignment="1">
      <alignment horizontal="center"/>
    </xf>
    <xf numFmtId="0" fontId="5" fillId="2" borderId="41" xfId="3" applyFont="1" applyFill="1" applyBorder="1" applyAlignment="1">
      <alignment horizontal="center"/>
    </xf>
    <xf numFmtId="14" fontId="5" fillId="2" borderId="34" xfId="3" applyNumberFormat="1" applyFont="1" applyFill="1" applyBorder="1" applyAlignment="1">
      <alignment horizontal="center" vertical="center" wrapText="1"/>
    </xf>
    <xf numFmtId="14" fontId="5" fillId="2" borderId="31" xfId="3" applyNumberFormat="1" applyFont="1" applyFill="1" applyBorder="1" applyAlignment="1">
      <alignment horizontal="center" vertical="center" wrapText="1"/>
    </xf>
    <xf numFmtId="0" fontId="5" fillId="2" borderId="5" xfId="3" applyFont="1" applyFill="1" applyBorder="1" applyAlignment="1">
      <alignment horizontal="left"/>
    </xf>
    <xf numFmtId="0" fontId="5" fillId="2" borderId="2" xfId="3" applyFont="1" applyFill="1" applyBorder="1" applyAlignment="1">
      <alignment horizontal="left"/>
    </xf>
    <xf numFmtId="0" fontId="4" fillId="2" borderId="29" xfId="3" applyFont="1" applyFill="1" applyBorder="1" applyAlignment="1">
      <alignment horizontal="center"/>
    </xf>
    <xf numFmtId="0" fontId="4" fillId="2" borderId="26" xfId="3" applyFont="1" applyFill="1" applyBorder="1" applyAlignment="1">
      <alignment horizontal="center"/>
    </xf>
    <xf numFmtId="0" fontId="4" fillId="6" borderId="23" xfId="3" applyFont="1" applyFill="1" applyBorder="1" applyAlignment="1">
      <alignment horizontal="center" vertical="center" wrapText="1"/>
    </xf>
    <xf numFmtId="0" fontId="4" fillId="6" borderId="22" xfId="3" applyFont="1" applyFill="1" applyBorder="1" applyAlignment="1">
      <alignment horizontal="center" vertical="center" wrapText="1"/>
    </xf>
    <xf numFmtId="0" fontId="4" fillId="6" borderId="21" xfId="3" applyFont="1" applyFill="1" applyBorder="1" applyAlignment="1">
      <alignment horizontal="center" vertical="center" wrapText="1"/>
    </xf>
    <xf numFmtId="0" fontId="4" fillId="2" borderId="35" xfId="3" applyFont="1" applyFill="1" applyBorder="1" applyAlignment="1">
      <alignment horizontal="right" vertical="top" wrapText="1"/>
    </xf>
    <xf numFmtId="0" fontId="4" fillId="2" borderId="33" xfId="3" applyFont="1" applyFill="1" applyBorder="1" applyAlignment="1">
      <alignment horizontal="right" vertical="top" wrapText="1"/>
    </xf>
    <xf numFmtId="0" fontId="4" fillId="2" borderId="32" xfId="3" applyFont="1" applyFill="1" applyBorder="1" applyAlignment="1">
      <alignment horizontal="right" vertical="top" wrapText="1"/>
    </xf>
    <xf numFmtId="0" fontId="4" fillId="4" borderId="29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4" fillId="0" borderId="20" xfId="0" applyFont="1" applyBorder="1" applyAlignment="1">
      <alignment horizontal="right"/>
    </xf>
    <xf numFmtId="0" fontId="4" fillId="0" borderId="36" xfId="0" applyFont="1" applyBorder="1" applyAlignment="1">
      <alignment horizontal="right"/>
    </xf>
    <xf numFmtId="0" fontId="4" fillId="0" borderId="19" xfId="0" applyFont="1" applyBorder="1" applyAlignment="1">
      <alignment horizontal="right"/>
    </xf>
    <xf numFmtId="164" fontId="5" fillId="0" borderId="18" xfId="0" applyNumberFormat="1" applyFont="1" applyBorder="1" applyAlignment="1">
      <alignment horizontal="right"/>
    </xf>
    <xf numFmtId="0" fontId="5" fillId="2" borderId="1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4" fillId="0" borderId="15" xfId="0" applyFont="1" applyBorder="1" applyAlignment="1">
      <alignment horizontal="right"/>
    </xf>
    <xf numFmtId="0" fontId="4" fillId="0" borderId="37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4" borderId="39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2" borderId="23" xfId="3" applyFont="1" applyFill="1" applyBorder="1" applyAlignment="1">
      <alignment horizontal="right"/>
    </xf>
    <xf numFmtId="0" fontId="4" fillId="2" borderId="22" xfId="3" applyFont="1" applyFill="1" applyBorder="1" applyAlignment="1">
      <alignment horizontal="right"/>
    </xf>
    <xf numFmtId="0" fontId="6" fillId="2" borderId="22" xfId="3" applyFont="1" applyFill="1" applyBorder="1" applyAlignment="1">
      <alignment horizontal="center"/>
    </xf>
    <xf numFmtId="0" fontId="4" fillId="2" borderId="22" xfId="3" applyFont="1" applyFill="1" applyBorder="1"/>
    <xf numFmtId="0" fontId="1" fillId="0" borderId="3" xfId="0" applyFont="1" applyBorder="1" applyAlignment="1">
      <alignment horizontal="left"/>
    </xf>
    <xf numFmtId="0" fontId="1" fillId="0" borderId="38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3" borderId="6" xfId="0" applyFont="1" applyFill="1" applyBorder="1" applyAlignment="1">
      <alignment horizontal="left"/>
    </xf>
    <xf numFmtId="0" fontId="4" fillId="3" borderId="1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5" fillId="0" borderId="5" xfId="0" applyFont="1" applyBorder="1" applyAlignment="1">
      <alignment horizontal="right"/>
    </xf>
    <xf numFmtId="164" fontId="5" fillId="0" borderId="13" xfId="0" applyNumberFormat="1" applyFont="1" applyBorder="1" applyAlignment="1">
      <alignment horizontal="center"/>
    </xf>
    <xf numFmtId="164" fontId="5" fillId="0" borderId="12" xfId="0" applyNumberFormat="1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0" borderId="38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164" fontId="5" fillId="0" borderId="11" xfId="0" applyNumberFormat="1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0" fontId="4" fillId="4" borderId="30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164" fontId="5" fillId="0" borderId="13" xfId="0" applyNumberFormat="1" applyFont="1" applyBorder="1" applyAlignment="1">
      <alignment horizontal="right" wrapText="1"/>
    </xf>
    <xf numFmtId="164" fontId="5" fillId="0" borderId="14" xfId="0" applyNumberFormat="1" applyFont="1" applyBorder="1" applyAlignment="1">
      <alignment horizontal="right" wrapText="1"/>
    </xf>
    <xf numFmtId="0" fontId="4" fillId="4" borderId="9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left"/>
    </xf>
  </cellXfs>
  <cellStyles count="4">
    <cellStyle name="Normal" xfId="0" builtinId="0"/>
    <cellStyle name="Normal 2" xfId="2" xr:uid="{E4B13ECD-EBE9-411C-AE7E-B4D3D7CBCCDE}"/>
    <cellStyle name="Normal_CRITERIOS DE EVALUACION PT DE GB 2" xfId="3" xr:uid="{69CECE42-0408-455F-BB0B-48228CAA9EBA}"/>
    <cellStyle name="Porcentaje 2" xfId="1" xr:uid="{31FE114F-E298-46E5-BFC9-107FE60F40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121285</xdr:colOff>
      <xdr:row>0</xdr:row>
      <xdr:rowOff>140334</xdr:rowOff>
    </xdr:from>
    <xdr:ext cx="1767840" cy="1285385"/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B425FDA8-41E9-41BC-B966-D4068FCC7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121285" y="140334"/>
          <a:ext cx="1767840" cy="1285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1849-186F-4EC0-826D-33156168ECD8}">
  <dimension ref="A1:M32"/>
  <sheetViews>
    <sheetView tabSelected="1" view="pageBreakPreview" zoomScale="60" zoomScaleNormal="69" workbookViewId="0">
      <selection activeCell="C3" sqref="C3:G3"/>
    </sheetView>
  </sheetViews>
  <sheetFormatPr baseColWidth="10" defaultColWidth="11.42578125" defaultRowHeight="13.5" x14ac:dyDescent="0.25"/>
  <cols>
    <col min="1" max="1" width="17.42578125" style="1" customWidth="1"/>
    <col min="2" max="2" width="12.85546875" style="1" customWidth="1"/>
    <col min="3" max="3" width="45.42578125" style="1" customWidth="1"/>
    <col min="4" max="4" width="15.5703125" style="1" customWidth="1"/>
    <col min="5" max="5" width="19.28515625" style="1" customWidth="1"/>
    <col min="6" max="6" width="12.42578125" style="1" customWidth="1"/>
    <col min="7" max="7" width="17" style="1" customWidth="1"/>
    <col min="8" max="8" width="19.5703125" style="1" customWidth="1"/>
    <col min="9" max="9" width="21.28515625" style="1" bestFit="1" customWidth="1"/>
    <col min="10" max="11" width="11.42578125" style="1"/>
    <col min="12" max="12" width="13.42578125" style="1" bestFit="1" customWidth="1"/>
    <col min="13" max="16384" width="11.42578125" style="1"/>
  </cols>
  <sheetData>
    <row r="1" spans="1:12" ht="15.6" customHeight="1" x14ac:dyDescent="0.25">
      <c r="A1" s="58"/>
      <c r="B1" s="59"/>
      <c r="C1" s="68" t="s">
        <v>45</v>
      </c>
      <c r="D1" s="68"/>
      <c r="E1" s="68"/>
      <c r="F1" s="68"/>
      <c r="G1" s="68"/>
      <c r="H1" s="4" t="s">
        <v>44</v>
      </c>
      <c r="I1" s="5" t="s">
        <v>51</v>
      </c>
    </row>
    <row r="2" spans="1:12" ht="18.75" thickBot="1" x14ac:dyDescent="0.3">
      <c r="A2" s="60"/>
      <c r="B2" s="61"/>
      <c r="C2" s="69" t="s">
        <v>43</v>
      </c>
      <c r="D2" s="69"/>
      <c r="E2" s="69"/>
      <c r="F2" s="69"/>
      <c r="G2" s="69"/>
      <c r="H2" s="6" t="s">
        <v>42</v>
      </c>
      <c r="I2" s="7" t="s">
        <v>60</v>
      </c>
    </row>
    <row r="3" spans="1:12" ht="50.1" customHeight="1" thickBot="1" x14ac:dyDescent="0.3">
      <c r="A3" s="60"/>
      <c r="B3" s="61"/>
      <c r="C3" s="70" t="s">
        <v>61</v>
      </c>
      <c r="D3" s="71"/>
      <c r="E3" s="71"/>
      <c r="F3" s="71"/>
      <c r="G3" s="72"/>
      <c r="H3" s="73" t="s">
        <v>41</v>
      </c>
      <c r="I3" s="64" t="s">
        <v>46</v>
      </c>
    </row>
    <row r="4" spans="1:12" ht="18" x14ac:dyDescent="0.25">
      <c r="A4" s="60"/>
      <c r="B4" s="61"/>
      <c r="C4" s="8" t="s">
        <v>40</v>
      </c>
      <c r="D4" s="66" t="s">
        <v>52</v>
      </c>
      <c r="E4" s="66"/>
      <c r="F4" s="66"/>
      <c r="G4" s="66"/>
      <c r="H4" s="74"/>
      <c r="I4" s="65"/>
    </row>
    <row r="5" spans="1:12" ht="21" customHeight="1" thickBot="1" x14ac:dyDescent="0.3">
      <c r="A5" s="62"/>
      <c r="B5" s="63"/>
      <c r="C5" s="9" t="s">
        <v>39</v>
      </c>
      <c r="D5" s="67" t="s">
        <v>38</v>
      </c>
      <c r="E5" s="67"/>
      <c r="F5" s="67"/>
      <c r="G5" s="67"/>
      <c r="H5" s="75"/>
      <c r="I5" s="65"/>
    </row>
    <row r="6" spans="1:12" ht="21" customHeight="1" thickBot="1" x14ac:dyDescent="0.3">
      <c r="A6" s="94" t="s">
        <v>37</v>
      </c>
      <c r="B6" s="95"/>
      <c r="C6" s="95"/>
      <c r="D6" s="96" t="s">
        <v>36</v>
      </c>
      <c r="E6" s="96"/>
      <c r="F6" s="96"/>
      <c r="G6" s="97" t="s">
        <v>35</v>
      </c>
      <c r="H6" s="97"/>
      <c r="I6" s="10" t="s">
        <v>34</v>
      </c>
    </row>
    <row r="7" spans="1:12" ht="36" x14ac:dyDescent="0.25">
      <c r="A7" s="119" t="s">
        <v>33</v>
      </c>
      <c r="B7" s="92" t="s">
        <v>47</v>
      </c>
      <c r="C7" s="76" t="s">
        <v>32</v>
      </c>
      <c r="D7" s="76" t="s">
        <v>31</v>
      </c>
      <c r="E7" s="76" t="s">
        <v>30</v>
      </c>
      <c r="F7" s="76"/>
      <c r="G7" s="76" t="s">
        <v>29</v>
      </c>
      <c r="H7" s="76"/>
      <c r="I7" s="11" t="s">
        <v>28</v>
      </c>
    </row>
    <row r="8" spans="1:12" ht="36.75" thickBot="1" x14ac:dyDescent="0.3">
      <c r="A8" s="120"/>
      <c r="B8" s="93"/>
      <c r="C8" s="77"/>
      <c r="D8" s="78"/>
      <c r="E8" s="12" t="s">
        <v>16</v>
      </c>
      <c r="F8" s="13" t="s">
        <v>27</v>
      </c>
      <c r="G8" s="12" t="s">
        <v>16</v>
      </c>
      <c r="H8" s="13" t="s">
        <v>27</v>
      </c>
      <c r="I8" s="14" t="s">
        <v>26</v>
      </c>
    </row>
    <row r="9" spans="1:12" ht="16.899999999999999" x14ac:dyDescent="0.25">
      <c r="A9" s="15">
        <v>11400070</v>
      </c>
      <c r="B9" s="16" t="s">
        <v>48</v>
      </c>
      <c r="C9" s="17" t="s">
        <v>25</v>
      </c>
      <c r="D9" s="18" t="s">
        <v>24</v>
      </c>
      <c r="E9" s="19">
        <f>16000/17.8</f>
        <v>898.87640449438197</v>
      </c>
      <c r="F9" s="20" t="s">
        <v>3</v>
      </c>
      <c r="G9" s="21"/>
      <c r="H9" s="22"/>
      <c r="I9" s="23"/>
    </row>
    <row r="10" spans="1:12" ht="16.899999999999999" x14ac:dyDescent="0.25">
      <c r="A10" s="24">
        <v>102000063</v>
      </c>
      <c r="B10" s="25" t="s">
        <v>49</v>
      </c>
      <c r="C10" s="26" t="s">
        <v>23</v>
      </c>
      <c r="D10" s="18"/>
      <c r="E10" s="19">
        <f>2100/17.8</f>
        <v>117.97752808988764</v>
      </c>
      <c r="F10" s="20" t="s">
        <v>3</v>
      </c>
      <c r="G10" s="21"/>
      <c r="H10" s="22"/>
      <c r="I10" s="23"/>
    </row>
    <row r="11" spans="1:12" ht="17.45" x14ac:dyDescent="0.3">
      <c r="A11" s="27"/>
      <c r="B11" s="28" t="s">
        <v>53</v>
      </c>
      <c r="C11" s="29" t="s">
        <v>54</v>
      </c>
      <c r="D11" s="30" t="s">
        <v>22</v>
      </c>
      <c r="E11" s="57">
        <f>36/17.8</f>
        <v>2.0224719101123596</v>
      </c>
      <c r="F11" s="30" t="s">
        <v>3</v>
      </c>
      <c r="G11" s="21"/>
      <c r="H11" s="22"/>
      <c r="I11" s="23"/>
      <c r="K11" s="1">
        <f>D18/1000</f>
        <v>1</v>
      </c>
    </row>
    <row r="12" spans="1:12" ht="16.899999999999999" x14ac:dyDescent="0.25">
      <c r="A12" s="15">
        <v>10415</v>
      </c>
      <c r="B12" s="16"/>
      <c r="C12" s="17" t="s">
        <v>21</v>
      </c>
      <c r="D12" s="31"/>
      <c r="E12" s="19">
        <f>150/17.8</f>
        <v>8.4269662921348303</v>
      </c>
      <c r="F12" s="30" t="s">
        <v>3</v>
      </c>
      <c r="G12" s="32"/>
      <c r="H12" s="22"/>
      <c r="I12" s="23"/>
    </row>
    <row r="13" spans="1:12" ht="16.899999999999999" x14ac:dyDescent="0.25">
      <c r="A13" s="15"/>
      <c r="B13" s="16"/>
      <c r="C13" s="17"/>
      <c r="D13" s="31"/>
      <c r="E13" s="19"/>
      <c r="F13" s="20"/>
      <c r="G13" s="32"/>
      <c r="H13" s="22"/>
      <c r="I13" s="23"/>
    </row>
    <row r="14" spans="1:12" ht="16.899999999999999" x14ac:dyDescent="0.25">
      <c r="A14" s="33" t="s">
        <v>20</v>
      </c>
      <c r="B14" s="34" t="s">
        <v>50</v>
      </c>
      <c r="C14" s="35" t="s">
        <v>19</v>
      </c>
      <c r="D14" s="22" t="s">
        <v>18</v>
      </c>
      <c r="E14" s="19">
        <v>1</v>
      </c>
      <c r="F14" s="20" t="s">
        <v>17</v>
      </c>
      <c r="G14" s="32"/>
      <c r="H14" s="22"/>
      <c r="I14" s="23"/>
    </row>
    <row r="15" spans="1:12" ht="16.899999999999999" x14ac:dyDescent="0.25">
      <c r="A15" s="36"/>
      <c r="B15" s="37"/>
      <c r="C15" s="38"/>
      <c r="D15" s="39"/>
      <c r="E15" s="20"/>
      <c r="F15" s="20"/>
      <c r="G15" s="32"/>
      <c r="H15" s="20"/>
      <c r="I15" s="23"/>
    </row>
    <row r="16" spans="1:12" ht="17.45" thickBot="1" x14ac:dyDescent="0.3">
      <c r="A16" s="40"/>
      <c r="B16" s="41"/>
      <c r="C16" s="42"/>
      <c r="D16" s="42"/>
      <c r="E16" s="43"/>
      <c r="F16" s="44"/>
      <c r="G16" s="42"/>
      <c r="H16" s="42"/>
      <c r="I16" s="45"/>
      <c r="L16" s="2"/>
    </row>
    <row r="17" spans="1:13" ht="18" thickBot="1" x14ac:dyDescent="0.35">
      <c r="A17" s="46"/>
      <c r="B17" s="47"/>
      <c r="C17" s="48"/>
      <c r="D17" s="49" t="s">
        <v>16</v>
      </c>
      <c r="E17" s="50" t="s">
        <v>15</v>
      </c>
      <c r="F17" s="51"/>
      <c r="G17" s="48"/>
      <c r="H17" s="48"/>
      <c r="I17" s="52"/>
      <c r="L17" s="2"/>
    </row>
    <row r="18" spans="1:13" ht="17.45" x14ac:dyDescent="0.3">
      <c r="A18" s="83" t="s">
        <v>14</v>
      </c>
      <c r="B18" s="84"/>
      <c r="C18" s="85"/>
      <c r="D18" s="53">
        <v>1000</v>
      </c>
      <c r="E18" s="54" t="s">
        <v>3</v>
      </c>
      <c r="F18" s="86" t="s">
        <v>13</v>
      </c>
      <c r="G18" s="86"/>
      <c r="H18" s="87"/>
      <c r="I18" s="88"/>
      <c r="L18" s="2"/>
    </row>
    <row r="19" spans="1:13" ht="17.45" x14ac:dyDescent="0.3">
      <c r="A19" s="89" t="s">
        <v>12</v>
      </c>
      <c r="B19" s="90"/>
      <c r="C19" s="91"/>
      <c r="D19" s="22">
        <v>8</v>
      </c>
      <c r="E19" s="22" t="s">
        <v>11</v>
      </c>
      <c r="F19" s="110" t="s">
        <v>10</v>
      </c>
      <c r="G19" s="110"/>
      <c r="H19" s="111"/>
      <c r="I19" s="112"/>
      <c r="L19" s="2"/>
    </row>
    <row r="20" spans="1:13" ht="17.45" x14ac:dyDescent="0.3">
      <c r="A20" s="89" t="s">
        <v>9</v>
      </c>
      <c r="B20" s="90"/>
      <c r="C20" s="91"/>
      <c r="D20" s="22">
        <v>1</v>
      </c>
      <c r="E20" s="22" t="s">
        <v>8</v>
      </c>
      <c r="F20" s="110" t="s">
        <v>7</v>
      </c>
      <c r="G20" s="110"/>
      <c r="H20" s="111"/>
      <c r="I20" s="112"/>
      <c r="L20" s="2"/>
    </row>
    <row r="21" spans="1:13" ht="17.45" x14ac:dyDescent="0.3">
      <c r="A21" s="89" t="s">
        <v>6</v>
      </c>
      <c r="B21" s="90"/>
      <c r="C21" s="91"/>
      <c r="D21" s="19">
        <v>1000</v>
      </c>
      <c r="E21" s="22" t="s">
        <v>3</v>
      </c>
      <c r="F21" s="121" t="s">
        <v>5</v>
      </c>
      <c r="G21" s="122"/>
      <c r="H21" s="111"/>
      <c r="I21" s="112"/>
      <c r="L21" s="2"/>
      <c r="M21" s="3"/>
    </row>
    <row r="22" spans="1:13" ht="18" thickBot="1" x14ac:dyDescent="0.35">
      <c r="A22" s="113" t="s">
        <v>4</v>
      </c>
      <c r="B22" s="114"/>
      <c r="C22" s="115"/>
      <c r="D22" s="55">
        <f>SUM(E9:E12)-D18</f>
        <v>27.30337078651678</v>
      </c>
      <c r="E22" s="56" t="s">
        <v>3</v>
      </c>
      <c r="F22" s="116"/>
      <c r="G22" s="116"/>
      <c r="H22" s="117"/>
      <c r="I22" s="118"/>
      <c r="L22" s="2"/>
    </row>
    <row r="23" spans="1:13" ht="17.45" x14ac:dyDescent="0.3">
      <c r="A23" s="123" t="s">
        <v>2</v>
      </c>
      <c r="B23" s="124"/>
      <c r="C23" s="124"/>
      <c r="D23" s="124"/>
      <c r="E23" s="124"/>
      <c r="F23" s="124"/>
      <c r="G23" s="124"/>
      <c r="H23" s="124"/>
      <c r="I23" s="125"/>
    </row>
    <row r="24" spans="1:13" ht="16.899999999999999" x14ac:dyDescent="0.25">
      <c r="A24" s="79" t="s">
        <v>55</v>
      </c>
      <c r="B24" s="80"/>
      <c r="C24" s="81"/>
      <c r="D24" s="81"/>
      <c r="E24" s="81"/>
      <c r="F24" s="81"/>
      <c r="G24" s="81"/>
      <c r="H24" s="81"/>
      <c r="I24" s="82"/>
    </row>
    <row r="25" spans="1:13" ht="18" x14ac:dyDescent="0.25">
      <c r="A25" s="79" t="s">
        <v>56</v>
      </c>
      <c r="B25" s="80"/>
      <c r="C25" s="81"/>
      <c r="D25" s="81"/>
      <c r="E25" s="81"/>
      <c r="F25" s="81"/>
      <c r="G25" s="81"/>
      <c r="H25" s="81"/>
      <c r="I25" s="82"/>
    </row>
    <row r="26" spans="1:13" ht="16.899999999999999" x14ac:dyDescent="0.25">
      <c r="A26" s="79" t="s">
        <v>57</v>
      </c>
      <c r="B26" s="80"/>
      <c r="C26" s="81"/>
      <c r="D26" s="81"/>
      <c r="E26" s="81"/>
      <c r="F26" s="81"/>
      <c r="G26" s="81"/>
      <c r="H26" s="81"/>
      <c r="I26" s="82"/>
    </row>
    <row r="27" spans="1:13" ht="18" x14ac:dyDescent="0.25">
      <c r="A27" s="102" t="s">
        <v>1</v>
      </c>
      <c r="B27" s="103"/>
      <c r="C27" s="104"/>
      <c r="D27" s="104"/>
      <c r="E27" s="104"/>
      <c r="F27" s="104"/>
      <c r="G27" s="104"/>
      <c r="H27" s="104"/>
      <c r="I27" s="105"/>
    </row>
    <row r="28" spans="1:13" ht="16.899999999999999" x14ac:dyDescent="0.25">
      <c r="A28" s="79"/>
      <c r="B28" s="80"/>
      <c r="C28" s="81"/>
      <c r="D28" s="81"/>
      <c r="E28" s="81"/>
      <c r="F28" s="81"/>
      <c r="G28" s="81"/>
      <c r="H28" s="81"/>
      <c r="I28" s="82"/>
    </row>
    <row r="29" spans="1:13" ht="17.45" x14ac:dyDescent="0.3">
      <c r="A29" s="106" t="s">
        <v>0</v>
      </c>
      <c r="B29" s="107"/>
      <c r="C29" s="108"/>
      <c r="D29" s="108"/>
      <c r="E29" s="108"/>
      <c r="F29" s="108"/>
      <c r="G29" s="108"/>
      <c r="H29" s="108"/>
      <c r="I29" s="109"/>
    </row>
    <row r="30" spans="1:13" ht="18" x14ac:dyDescent="0.25">
      <c r="A30" s="79" t="s">
        <v>58</v>
      </c>
      <c r="B30" s="80"/>
      <c r="C30" s="81"/>
      <c r="D30" s="81"/>
      <c r="E30" s="81"/>
      <c r="F30" s="81"/>
      <c r="G30" s="81"/>
      <c r="H30" s="81"/>
      <c r="I30" s="82"/>
    </row>
    <row r="31" spans="1:13" ht="18" x14ac:dyDescent="0.25">
      <c r="A31" s="79" t="s">
        <v>59</v>
      </c>
      <c r="B31" s="80"/>
      <c r="C31" s="81"/>
      <c r="D31" s="81"/>
      <c r="E31" s="81"/>
      <c r="F31" s="81"/>
      <c r="G31" s="81"/>
      <c r="H31" s="81"/>
      <c r="I31" s="82"/>
    </row>
    <row r="32" spans="1:13" ht="13.9" thickBot="1" x14ac:dyDescent="0.3">
      <c r="A32" s="98"/>
      <c r="B32" s="99"/>
      <c r="C32" s="100"/>
      <c r="D32" s="100"/>
      <c r="E32" s="100"/>
      <c r="F32" s="100"/>
      <c r="G32" s="100"/>
      <c r="H32" s="100"/>
      <c r="I32" s="101"/>
    </row>
  </sheetData>
  <mergeCells count="42">
    <mergeCell ref="A31:I31"/>
    <mergeCell ref="A25:I25"/>
    <mergeCell ref="A20:C20"/>
    <mergeCell ref="F20:G20"/>
    <mergeCell ref="H20:I20"/>
    <mergeCell ref="A21:C21"/>
    <mergeCell ref="F21:G21"/>
    <mergeCell ref="A23:I23"/>
    <mergeCell ref="A6:C6"/>
    <mergeCell ref="D6:F6"/>
    <mergeCell ref="G6:H6"/>
    <mergeCell ref="A32:I32"/>
    <mergeCell ref="A26:I26"/>
    <mergeCell ref="A27:I27"/>
    <mergeCell ref="A28:I28"/>
    <mergeCell ref="A29:I29"/>
    <mergeCell ref="A30:I30"/>
    <mergeCell ref="F19:G19"/>
    <mergeCell ref="H19:I19"/>
    <mergeCell ref="H21:I21"/>
    <mergeCell ref="A22:C22"/>
    <mergeCell ref="F22:G22"/>
    <mergeCell ref="H22:I22"/>
    <mergeCell ref="A7:A8"/>
    <mergeCell ref="C7:C8"/>
    <mergeCell ref="D7:D8"/>
    <mergeCell ref="E7:F7"/>
    <mergeCell ref="G7:H7"/>
    <mergeCell ref="A24:I24"/>
    <mergeCell ref="A18:C18"/>
    <mergeCell ref="F18:G18"/>
    <mergeCell ref="H18:I18"/>
    <mergeCell ref="A19:C19"/>
    <mergeCell ref="B7:B8"/>
    <mergeCell ref="A1:B5"/>
    <mergeCell ref="I3:I5"/>
    <mergeCell ref="D4:G4"/>
    <mergeCell ref="D5:G5"/>
    <mergeCell ref="C1:G1"/>
    <mergeCell ref="C2:G2"/>
    <mergeCell ref="C3:G3"/>
    <mergeCell ref="H3:H5"/>
  </mergeCells>
  <pageMargins left="0.7" right="0.7" top="1.3149999999999999" bottom="0.75" header="0.3" footer="0.3"/>
  <pageSetup paperSize="9"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2EC693-0933-4B55-AA1A-C8F992B9CF7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6408DCD-2B0B-4BF7-A9D0-47DB520394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C05161-C210-4306-A495-BF1E7D5C81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Crema vino tinto</vt:lpstr>
      <vt:lpstr>'Crema vino tinto'!Área_de_impresión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2025-01-15T12:48:20Z</cp:lastPrinted>
  <dcterms:created xsi:type="dcterms:W3CDTF">2023-05-17T17:24:04Z</dcterms:created>
  <dcterms:modified xsi:type="dcterms:W3CDTF">2025-04-04T21:42:16Z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
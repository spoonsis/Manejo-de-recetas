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POSTRES/FAS/"/>
    </mc:Choice>
  </mc:AlternateContent>
  <xr:revisionPtr revIDLastSave="0" documentId="8_{4B870E54-A241-4272-94EB-747204672189}" xr6:coauthVersionLast="47" xr6:coauthVersionMax="47" xr10:uidLastSave="{00000000-0000-0000-0000-000000000000}"/>
  <bookViews>
    <workbookView xWindow="-120" yWindow="-120" windowWidth="29040" windowHeight="15840" xr2:uid="{6D857A9A-0569-4F95-AFF6-10C72283B550}"/>
  </bookViews>
  <sheets>
    <sheet name="Hoja1" sheetId="13" r:id="rId1"/>
    <sheet name="HORECAS" sheetId="7" state="hidden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42" i="13" l="1"/>
  <c r="D9" i="7"/>
  <c r="D6" i="7"/>
  <c r="F6" i="7"/>
  <c r="F9" i="7"/>
  <c r="F12" i="7"/>
  <c r="F11" i="7"/>
  <c r="F13" i="7"/>
  <c r="F15" i="7"/>
  <c r="F17" i="7"/>
  <c r="F19" i="7"/>
  <c r="F18" i="7"/>
  <c r="F20" i="7"/>
  <c r="F21" i="7"/>
  <c r="F22" i="7"/>
  <c r="F23" i="7"/>
  <c r="F27" i="7"/>
  <c r="F29" i="7"/>
  <c r="F28" i="7"/>
  <c r="G27" i="7"/>
  <c r="F30" i="7"/>
  <c r="G16" i="7"/>
  <c r="F32" i="7"/>
  <c r="F33" i="7"/>
  <c r="G9" i="7"/>
  <c r="G6" i="7"/>
  <c r="G12" i="7"/>
  <c r="G11" i="7"/>
  <c r="G13" i="7"/>
  <c r="G15" i="7"/>
  <c r="G18" i="7"/>
  <c r="G17" i="7"/>
  <c r="G19" i="7"/>
  <c r="G21" i="7"/>
  <c r="G20" i="7"/>
  <c r="G23" i="7"/>
  <c r="G22" i="7"/>
</calcChain>
</file>

<file path=xl/sharedStrings.xml><?xml version="1.0" encoding="utf-8"?>
<sst xmlns="http://schemas.openxmlformats.org/spreadsheetml/2006/main" count="156" uniqueCount="122">
  <si>
    <t>ESPECIFICACION DE RECETA</t>
  </si>
  <si>
    <t>Elaborado</t>
  </si>
  <si>
    <t xml:space="preserve"># Código 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</si>
  <si>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</si>
  <si>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</si>
  <si>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</si>
  <si>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</si>
  <si>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</si>
  <si>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</si>
  <si>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Ensamble</t>
  </si>
  <si>
    <t>Decoración</t>
  </si>
  <si>
    <t>TIEMPO TOTAL DE PREPARACION</t>
  </si>
  <si>
    <t>PESO TOTAL OBTENIDO</t>
  </si>
  <si>
    <t>DESCRIPCION MAT.PRIMA</t>
  </si>
  <si>
    <t>SPOON</t>
  </si>
  <si>
    <t>EMPAQUE</t>
  </si>
  <si>
    <t>ESTRUCTURA DE COSTOS</t>
  </si>
  <si>
    <t>UNIDAD</t>
  </si>
  <si>
    <t>COSTO
 UNITARIO</t>
  </si>
  <si>
    <t>TOTAL
 COSTO</t>
  </si>
  <si>
    <t>% PREC. 
DEFINIDO</t>
  </si>
  <si>
    <t>CÓDIGOS</t>
  </si>
  <si>
    <t>EMPAQUE PLANTA</t>
  </si>
  <si>
    <t>PLANTA</t>
  </si>
  <si>
    <t xml:space="preserve">DESECHO </t>
  </si>
  <si>
    <t>Planta</t>
  </si>
  <si>
    <t>MODI PLANTA</t>
  </si>
  <si>
    <t>LOGISTICA</t>
  </si>
  <si>
    <t>MARK UP LOCAL</t>
  </si>
  <si>
    <t>PRECIO VENTA SIN IMP</t>
  </si>
  <si>
    <t>PRECIO VENTA IVI</t>
  </si>
  <si>
    <t>Fecha:</t>
  </si>
  <si>
    <t>INDUSTRIA</t>
  </si>
  <si>
    <t xml:space="preserve">TOTAL MATERIA PRIMA </t>
  </si>
  <si>
    <t xml:space="preserve">TOTAL EMPAQUE </t>
  </si>
  <si>
    <t xml:space="preserve">TOTAL MATERIA PRIMA + EMPAQUE </t>
  </si>
  <si>
    <t>GAF</t>
  </si>
  <si>
    <t>COSTO PLANTA</t>
  </si>
  <si>
    <t>COSTO TOTAL</t>
  </si>
  <si>
    <t>TRANSFERENCIA</t>
  </si>
  <si>
    <t>PRECIO DE VENTA PLANTA A LOCAL</t>
  </si>
  <si>
    <t>MARGEN SUPERMERCADO</t>
  </si>
  <si>
    <t>PRECIO IVI</t>
  </si>
  <si>
    <t>g</t>
  </si>
  <si>
    <t>Gabriela Mora Badilla / Costos</t>
  </si>
  <si>
    <t>PORC TRES LECHES AUTO MERCADO</t>
  </si>
  <si>
    <t>Empaque</t>
  </si>
  <si>
    <t>2- colocar el rosquete dentro del empaque</t>
  </si>
  <si>
    <t>5- guardar en camaras de refrigeracion  a 4º despues de colocar la fecha de produccion y vencimiento</t>
  </si>
  <si>
    <t>1- partir el rosquete en cuadritos  8 x 6 cm</t>
  </si>
  <si>
    <t>FAS</t>
  </si>
  <si>
    <t xml:space="preserve">3- bañar el rosquete con la mezcla de tres leches Pasteurizada  </t>
  </si>
  <si>
    <t>0702011</t>
  </si>
  <si>
    <t>ETIQ.FECHA VENCIMIENTO ROSADO</t>
  </si>
  <si>
    <t>95717</t>
  </si>
  <si>
    <t>4- Decorar colocando la crema en el centro y  adicionar encima el manjar con agua formando olas. Hacer colochos de crema alrededor, al centro las cherries con tallo</t>
  </si>
  <si>
    <t>SE00010</t>
  </si>
  <si>
    <t>EM10123</t>
  </si>
  <si>
    <t>910000006</t>
  </si>
  <si>
    <t>SE00034</t>
  </si>
  <si>
    <t>51400039</t>
  </si>
  <si>
    <t>EM10051</t>
  </si>
  <si>
    <t>10700013</t>
  </si>
  <si>
    <t>MP10011</t>
  </si>
  <si>
    <t>10900060</t>
  </si>
  <si>
    <t>MP10109</t>
  </si>
  <si>
    <t>SE00035</t>
  </si>
  <si>
    <t>CREMA CHANTILLY BLANCA (SPOON-IND)</t>
  </si>
  <si>
    <t>Esteban Cartin, Gte Manufactura</t>
  </si>
  <si>
    <t>EM10386</t>
  </si>
  <si>
    <t>ETIQUETA TRES LECHES BUCCA PORCION</t>
  </si>
  <si>
    <t>AREA QUE PRODUCE:</t>
  </si>
  <si>
    <t>Postres</t>
  </si>
  <si>
    <t xml:space="preserve">AREA QUE EMPACA: </t>
  </si>
  <si>
    <t>SERVICIOS DE PASTELERIA S.A.</t>
  </si>
  <si>
    <t>CÓDIGO:</t>
  </si>
  <si>
    <t>REVISIÓN:</t>
  </si>
  <si>
    <t>FECHA DE APROBACIÓN:</t>
  </si>
  <si>
    <t>Javier Tong, Chef</t>
  </si>
  <si>
    <t>Aprobado</t>
  </si>
  <si>
    <t># Código Netsuite</t>
  </si>
  <si>
    <t>Descripción del ingrediente</t>
  </si>
  <si>
    <t>Medida alternativa</t>
  </si>
  <si>
    <t>ROSQUETE TRES LECHES 750 GRS</t>
  </si>
  <si>
    <t>1 PLANCHA</t>
  </si>
  <si>
    <t>7 1/2 TAZA</t>
  </si>
  <si>
    <t>COLOCHO 45 GRAMOS</t>
  </si>
  <si>
    <t>MEZCLA SIROPE MANJAR DULCE LECHE</t>
  </si>
  <si>
    <t xml:space="preserve">CEREZA ROJA C/TALLO </t>
  </si>
  <si>
    <t>MAYCA</t>
  </si>
  <si>
    <t>7 1/2 UND</t>
  </si>
  <si>
    <t xml:space="preserve">STICK DORADO </t>
  </si>
  <si>
    <t>SOLUCIONES C</t>
  </si>
  <si>
    <t>3 3/4 UND</t>
  </si>
  <si>
    <t xml:space="preserve">BURBUJA PLASTICA 5 </t>
  </si>
  <si>
    <t>ESTUARDO</t>
  </si>
  <si>
    <t>ud</t>
  </si>
  <si>
    <t>ETIPLAST</t>
  </si>
  <si>
    <t>ETIQUETAS MYL</t>
  </si>
  <si>
    <t>Unidad</t>
  </si>
  <si>
    <t>Tiempo de Horneo:</t>
  </si>
  <si>
    <t>min</t>
  </si>
  <si>
    <t>Horno:</t>
  </si>
  <si>
    <t>CANTIDAD DE PORCIONES OBTENIDAS</t>
  </si>
  <si>
    <t>Temperatura de Horneo:</t>
  </si>
  <si>
    <t>PESO DE CADA PORCIÓN</t>
  </si>
  <si>
    <t>Otros</t>
  </si>
  <si>
    <t>MERMA</t>
  </si>
  <si>
    <t>PROCEDIMIENTO DE PREPARACION DE LA  RECETA</t>
  </si>
  <si>
    <t>CONTROL DE CAMBIOS</t>
  </si>
  <si>
    <t>ESP-RE-POF-010</t>
  </si>
  <si>
    <t>EM10002</t>
  </si>
  <si>
    <t>Etiq.Blanca 1 1/4 * 3/4</t>
  </si>
  <si>
    <t>EM10011</t>
  </si>
  <si>
    <t>Etiqueta Blanca 2 5/8X1 15/16</t>
  </si>
  <si>
    <t>SE00031</t>
  </si>
  <si>
    <t>Mezcla Tres Leches Pasteurizada</t>
  </si>
  <si>
    <t>5 GRAMOS C/U</t>
  </si>
  <si>
    <t>75</t>
  </si>
  <si>
    <t xml:space="preserve">2, Se agrega etiqueta 11/4*3/4, se actualiza etiqueta correcta EM10011, actualización mezcla (correcta mezcla leche pausterizada) y cantidad de mezcla sirope manjar dulce de leche. </t>
  </si>
  <si>
    <t>02</t>
  </si>
  <si>
    <t xml:space="preserve"> Tres Leches  Tradicional 15 Porciones(3410g) Bucca 81045(PTI00111)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</si>
</sst>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0.0"/>
    <numFmt numFmtId="166" formatCode="0.000"/>
    <numFmt numFmtId="167" formatCode="[$-409]d\-mmm\-yy;@"/>
    <numFmt numFmtId="168" formatCode="0.0%"/>
    <numFmt numFmtId="169" formatCode="_(* #,##0.000_);_(* \(#,##0.000\);_(* &quot;-&quot;??_);_(@_)"/>
  </numFmts>
  <fonts count="37" x14ac:knownFonts="1">
    <font>
      <sz val="10"/>
      <name val="Arial"/>
    </font>
    <font>
      <sz val="10"/>
      <name val="Arial"/>
      <family val="2"/>
    </font>
    <font>
      <b/>
      <sz val="9"/>
      <name val="Times New Roman"/>
      <family val="1"/>
    </font>
    <font>
      <b/>
      <sz val="12"/>
      <name val="Times New Roman"/>
      <family val="1"/>
    </font>
    <font>
      <sz val="8"/>
      <name val="Times New Roman"/>
      <family val="1"/>
    </font>
    <font>
      <sz val="10"/>
      <color indexed="18"/>
      <name val="Palatino Linotype"/>
      <family val="1"/>
    </font>
    <font>
      <b/>
      <sz val="16"/>
      <name val="Times New Roman"/>
      <family val="1"/>
    </font>
    <font>
      <b/>
      <sz val="8"/>
      <name val="Times New Roman"/>
      <family val="1"/>
    </font>
    <font>
      <sz val="9"/>
      <name val="Times New Roman"/>
      <family val="1"/>
    </font>
    <font>
      <sz val="9"/>
      <color indexed="12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8"/>
      <name val="Times New Roman"/>
      <family val="1"/>
    </font>
    <font>
      <b/>
      <sz val="9"/>
      <color indexed="57"/>
      <name val="Times New Roman"/>
      <family val="1"/>
    </font>
    <font>
      <b/>
      <sz val="9"/>
      <color indexed="10"/>
      <name val="Times New Roman"/>
      <family val="1"/>
    </font>
    <font>
      <b/>
      <sz val="9"/>
      <color indexed="17"/>
      <name val="Times New Roman"/>
      <family val="1"/>
    </font>
    <font>
      <b/>
      <sz val="9"/>
      <color indexed="60"/>
      <name val="Times New Roman"/>
      <family val="1"/>
    </font>
    <font>
      <b/>
      <sz val="9"/>
      <color indexed="62"/>
      <name val="Times New Roman"/>
      <family val="1"/>
    </font>
    <font>
      <b/>
      <sz val="9"/>
      <color indexed="53"/>
      <name val="Times New Roman"/>
      <family val="1"/>
    </font>
    <font>
      <sz val="9"/>
      <color indexed="19"/>
      <name val="Times New Roman"/>
      <family val="1"/>
    </font>
    <font>
      <b/>
      <sz val="9"/>
      <color indexed="19"/>
      <name val="Times New Roman"/>
      <family val="1"/>
    </font>
    <font>
      <b/>
      <sz val="8"/>
      <color indexed="17"/>
      <name val="Times New Roman"/>
      <family val="1"/>
    </font>
    <font>
      <b/>
      <sz val="8"/>
      <color indexed="12"/>
      <name val="Times New Roman"/>
      <family val="1"/>
    </font>
    <font>
      <sz val="10"/>
      <name val="Arial"/>
      <family val="2"/>
    </font>
    <font>
      <b/>
      <sz val="14"/>
      <name val="Arial"/>
      <family val="2"/>
    </font>
    <font>
      <sz val="12"/>
      <name val="Arial"/>
      <family val="2"/>
    </font>
    <font>
      <sz val="10"/>
      <name val="Century Gothic"/>
      <family val="2"/>
    </font>
    <font>
      <sz val="11"/>
      <color theme="1"/>
      <name val="Calibri"/>
      <family val="2"/>
      <scheme val="minor"/>
    </font>
    <font>
      <b/>
      <sz val="14"/>
      <name val="Century Gothic"/>
      <family val="2"/>
    </font>
    <font>
      <sz val="14"/>
      <name val="Century Gothic"/>
      <family val="2"/>
    </font>
    <font>
      <b/>
      <sz val="14"/>
      <color rgb="FFFF0000"/>
      <name val="Arial"/>
      <family val="2"/>
    </font>
    <font>
      <b/>
      <sz val="14"/>
      <name val="Times New Roman"/>
      <family val="1"/>
    </font>
    <font>
      <b/>
      <sz val="14"/>
      <color indexed="8"/>
      <name val="Times New Roman"/>
      <family val="1"/>
    </font>
    <font>
      <sz val="14"/>
      <name val="Times New Roman"/>
      <family val="1"/>
    </font>
    <font>
      <sz val="14"/>
      <name val="Arial"/>
      <family val="2"/>
    </font>
    <font>
      <sz val="14"/>
      <color theme="1"/>
      <name val="Century Gothic"/>
      <family val="2"/>
    </font>
    <font>
      <sz val="14"/>
      <color theme="1"/>
      <name val="Calibri"/>
      <family val="2"/>
      <scheme val="minor"/>
    </font>
    <font>
      <sz val="14"/>
      <color indexed="8"/>
      <name val="Century Gothic"/>
      <family val="2"/>
    </font>
  </fonts>
  <fills count="8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5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41" fontId="22" fillId="0" borderId="0" applyFont="0" applyFill="0" applyBorder="0" applyAlignment="0" applyProtection="0"/>
    <xf numFmtId="0" fontId="24" fillId="0" borderId="0"/>
    <xf numFmtId="9" fontId="1" fillId="0" borderId="0" applyFont="0" applyFill="0" applyBorder="0" applyAlignment="0" applyProtection="0"/>
    <xf numFmtId="0" fontId="22" fillId="0" borderId="0"/>
    <xf numFmtId="0" fontId="26" fillId="0" borderId="0"/>
  </cellStyleXfs>
  <cellXfs count="244">
    <xf numFmtId="0" fontId="0" fillId="0" borderId="0" xfId="0"/>
    <xf numFmtId="167" fontId="5" fillId="0" borderId="0" xfId="0" applyNumberFormat="1" applyFont="1" applyAlignment="1">
      <alignment horizontal="center" vertical="center" wrapText="1"/>
    </xf>
    <xf numFmtId="0" fontId="4" fillId="0" borderId="0" xfId="0" applyFont="1"/>
    <xf numFmtId="0" fontId="3" fillId="0" borderId="2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2" fillId="0" borderId="0" xfId="0" applyFont="1"/>
    <xf numFmtId="0" fontId="2" fillId="0" borderId="0" xfId="0" applyFont="1" applyAlignment="1">
      <alignment horizontal="center"/>
    </xf>
    <xf numFmtId="4" fontId="2" fillId="0" borderId="0" xfId="1" applyNumberFormat="1" applyFont="1" applyAlignment="1">
      <alignment horizontal="right"/>
    </xf>
    <xf numFmtId="10" fontId="2" fillId="0" borderId="0" xfId="5" applyNumberFormat="1" applyFont="1" applyAlignment="1">
      <alignment horizontal="right"/>
    </xf>
    <xf numFmtId="49" fontId="2" fillId="0" borderId="0" xfId="2" applyNumberFormat="1" applyFont="1" applyAlignment="1">
      <alignment horizontal="center"/>
    </xf>
    <xf numFmtId="0" fontId="7" fillId="0" borderId="0" xfId="0" applyFont="1" applyAlignment="1">
      <alignment horizontal="center"/>
    </xf>
    <xf numFmtId="0" fontId="7" fillId="0" borderId="0" xfId="0" applyFont="1"/>
    <xf numFmtId="4" fontId="7" fillId="0" borderId="0" xfId="1" applyNumberFormat="1" applyFont="1" applyAlignment="1">
      <alignment horizontal="right"/>
    </xf>
    <xf numFmtId="10" fontId="7" fillId="0" borderId="0" xfId="5" applyNumberFormat="1" applyFont="1" applyFill="1"/>
    <xf numFmtId="49" fontId="7" fillId="0" borderId="0" xfId="2" applyNumberFormat="1" applyFont="1" applyAlignment="1">
      <alignment horizontal="center"/>
    </xf>
    <xf numFmtId="0" fontId="8" fillId="0" borderId="0" xfId="0" applyFont="1"/>
    <xf numFmtId="0" fontId="9" fillId="0" borderId="0" xfId="0" applyFont="1"/>
    <xf numFmtId="4" fontId="9" fillId="0" borderId="0" xfId="2" applyNumberFormat="1" applyFont="1" applyFill="1" applyBorder="1"/>
    <xf numFmtId="4" fontId="9" fillId="0" borderId="0" xfId="2" applyNumberFormat="1" applyFont="1" applyFill="1" applyBorder="1" applyAlignment="1">
      <alignment horizontal="right"/>
    </xf>
    <xf numFmtId="10" fontId="10" fillId="0" borderId="0" xfId="5" applyNumberFormat="1" applyFont="1" applyFill="1"/>
    <xf numFmtId="49" fontId="9" fillId="0" borderId="0" xfId="2" applyNumberFormat="1" applyFont="1" applyFill="1" applyBorder="1" applyAlignment="1">
      <alignment horizontal="center"/>
    </xf>
    <xf numFmtId="10" fontId="2" fillId="0" borderId="0" xfId="5" applyNumberFormat="1" applyFont="1" applyFill="1" applyAlignment="1">
      <alignment vertical="center"/>
    </xf>
    <xf numFmtId="0" fontId="10" fillId="0" borderId="0" xfId="0" applyFont="1" applyAlignment="1">
      <alignment horizontal="right"/>
    </xf>
    <xf numFmtId="9" fontId="10" fillId="0" borderId="0" xfId="1" applyNumberFormat="1" applyFont="1" applyFill="1" applyBorder="1"/>
    <xf numFmtId="4" fontId="10" fillId="0" borderId="0" xfId="1" applyNumberFormat="1" applyFont="1" applyFill="1" applyBorder="1" applyAlignment="1">
      <alignment horizontal="right"/>
    </xf>
    <xf numFmtId="10" fontId="2" fillId="0" borderId="0" xfId="5" applyNumberFormat="1" applyFont="1" applyFill="1" applyBorder="1"/>
    <xf numFmtId="0" fontId="11" fillId="0" borderId="0" xfId="0" applyFont="1" applyAlignment="1">
      <alignment horizontal="right"/>
    </xf>
    <xf numFmtId="10" fontId="8" fillId="0" borderId="0" xfId="5" applyNumberFormat="1" applyFont="1" applyFill="1" applyAlignment="1">
      <alignment horizontal="right"/>
    </xf>
    <xf numFmtId="0" fontId="10" fillId="0" borderId="0" xfId="0" applyFont="1" applyAlignment="1">
      <alignment horizontal="center"/>
    </xf>
    <xf numFmtId="10" fontId="2" fillId="0" borderId="0" xfId="5" applyNumberFormat="1" applyFont="1" applyFill="1" applyAlignment="1">
      <alignment horizontal="right"/>
    </xf>
    <xf numFmtId="168" fontId="13" fillId="0" borderId="0" xfId="1" applyNumberFormat="1" applyFont="1" applyFill="1"/>
    <xf numFmtId="164" fontId="14" fillId="0" borderId="0" xfId="5" applyNumberFormat="1" applyFont="1" applyFill="1" applyAlignment="1">
      <alignment horizontal="right"/>
    </xf>
    <xf numFmtId="10" fontId="13" fillId="0" borderId="0" xfId="5" applyNumberFormat="1" applyFont="1" applyFill="1" applyAlignment="1">
      <alignment horizontal="right"/>
    </xf>
    <xf numFmtId="2" fontId="10" fillId="0" borderId="0" xfId="0" applyNumberFormat="1" applyFont="1" applyAlignment="1">
      <alignment horizontal="center"/>
    </xf>
    <xf numFmtId="0" fontId="15" fillId="0" borderId="0" xfId="0" applyFont="1" applyAlignment="1">
      <alignment horizontal="right"/>
    </xf>
    <xf numFmtId="10" fontId="2" fillId="0" borderId="0" xfId="5" applyNumberFormat="1" applyFont="1" applyFill="1"/>
    <xf numFmtId="0" fontId="8" fillId="3" borderId="3" xfId="0" applyFont="1" applyFill="1" applyBorder="1"/>
    <xf numFmtId="0" fontId="8" fillId="0" borderId="4" xfId="0" applyFont="1" applyBorder="1" applyAlignment="1">
      <alignment horizontal="right"/>
    </xf>
    <xf numFmtId="10" fontId="14" fillId="0" borderId="0" xfId="5" applyNumberFormat="1" applyFont="1" applyFill="1" applyBorder="1"/>
    <xf numFmtId="2" fontId="17" fillId="0" borderId="0" xfId="0" applyNumberFormat="1" applyFont="1" applyAlignment="1">
      <alignment horizontal="center"/>
    </xf>
    <xf numFmtId="10" fontId="18" fillId="0" borderId="0" xfId="5" applyNumberFormat="1" applyFont="1" applyFill="1" applyAlignment="1">
      <alignment horizontal="right"/>
    </xf>
    <xf numFmtId="10" fontId="19" fillId="0" borderId="0" xfId="5" applyNumberFormat="1" applyFont="1" applyFill="1" applyAlignment="1">
      <alignment horizontal="right"/>
    </xf>
    <xf numFmtId="3" fontId="2" fillId="4" borderId="5" xfId="0" applyNumberFormat="1" applyFont="1" applyFill="1" applyBorder="1" applyAlignment="1">
      <alignment horizontal="center"/>
    </xf>
    <xf numFmtId="10" fontId="14" fillId="0" borderId="0" xfId="5" applyNumberFormat="1" applyFont="1" applyFill="1" applyAlignment="1">
      <alignment horizontal="right"/>
    </xf>
    <xf numFmtId="1" fontId="14" fillId="0" borderId="0" xfId="0" applyNumberFormat="1" applyFont="1" applyAlignment="1">
      <alignment horizontal="center"/>
    </xf>
    <xf numFmtId="164" fontId="13" fillId="0" borderId="0" xfId="0" applyNumberFormat="1" applyFont="1" applyAlignment="1">
      <alignment horizontal="right"/>
    </xf>
    <xf numFmtId="10" fontId="14" fillId="0" borderId="0" xfId="5" applyNumberFormat="1" applyFont="1" applyFill="1"/>
    <xf numFmtId="0" fontId="8" fillId="0" borderId="0" xfId="0" applyFont="1" applyAlignment="1">
      <alignment horizontal="right"/>
    </xf>
    <xf numFmtId="0" fontId="4" fillId="0" borderId="0" xfId="0" applyFont="1" applyAlignment="1">
      <alignment horizontal="right"/>
    </xf>
    <xf numFmtId="10" fontId="20" fillId="0" borderId="0" xfId="5" applyNumberFormat="1" applyFont="1" applyFill="1"/>
    <xf numFmtId="0" fontId="21" fillId="0" borderId="0" xfId="0" applyFont="1" applyAlignment="1">
      <alignment horizontal="center"/>
    </xf>
    <xf numFmtId="164" fontId="2" fillId="0" borderId="0" xfId="1" applyNumberFormat="1" applyFont="1"/>
    <xf numFmtId="164" fontId="7" fillId="0" borderId="0" xfId="1" applyNumberFormat="1" applyFont="1"/>
    <xf numFmtId="164" fontId="9" fillId="0" borderId="0" xfId="1" applyNumberFormat="1" applyFont="1" applyFill="1" applyBorder="1" applyAlignment="1">
      <alignment horizontal="center"/>
    </xf>
    <xf numFmtId="164" fontId="8" fillId="0" borderId="0" xfId="1" applyNumberFormat="1" applyFont="1" applyFill="1" applyBorder="1" applyAlignment="1">
      <alignment horizontal="right"/>
    </xf>
    <xf numFmtId="164" fontId="8" fillId="0" borderId="6" xfId="1" applyNumberFormat="1" applyFont="1" applyFill="1" applyBorder="1" applyAlignment="1">
      <alignment horizontal="right"/>
    </xf>
    <xf numFmtId="164" fontId="2" fillId="0" borderId="0" xfId="1" applyNumberFormat="1" applyFont="1" applyFill="1" applyBorder="1" applyAlignment="1">
      <alignment horizontal="right"/>
    </xf>
    <xf numFmtId="164" fontId="2" fillId="2" borderId="5" xfId="1" applyNumberFormat="1" applyFont="1" applyFill="1" applyBorder="1" applyAlignment="1">
      <alignment horizontal="right"/>
    </xf>
    <xf numFmtId="0" fontId="27" fillId="2" borderId="32" xfId="4" applyFont="1" applyFill="1" applyBorder="1" applyAlignment="1">
      <alignment horizontal="center"/>
    </xf>
    <xf numFmtId="0" fontId="27" fillId="2" borderId="33" xfId="4" applyFont="1" applyFill="1" applyBorder="1" applyAlignment="1">
      <alignment horizontal="center"/>
    </xf>
    <xf numFmtId="0" fontId="27" fillId="2" borderId="34" xfId="4" applyFont="1" applyFill="1" applyBorder="1" applyAlignment="1">
      <alignment horizontal="center"/>
    </xf>
    <xf numFmtId="0" fontId="23" fillId="5" borderId="0" xfId="4" applyFont="1" applyFill="1" applyAlignment="1">
      <alignment horizontal="right"/>
    </xf>
    <xf numFmtId="0" fontId="23" fillId="5" borderId="0" xfId="4" applyFont="1" applyFill="1"/>
    <xf numFmtId="0" fontId="25" fillId="5" borderId="49" xfId="4" applyFont="1" applyFill="1" applyBorder="1" applyAlignment="1">
      <alignment horizontal="left"/>
    </xf>
    <xf numFmtId="0" fontId="25" fillId="5" borderId="0" xfId="4" applyFont="1" applyFill="1" applyAlignment="1">
      <alignment horizontal="left"/>
    </xf>
    <xf numFmtId="0" fontId="12" fillId="0" borderId="0" xfId="0" applyFont="1" applyAlignment="1">
      <alignment horizontal="right"/>
    </xf>
    <xf numFmtId="0" fontId="12" fillId="0" borderId="24" xfId="0" applyFont="1" applyBorder="1" applyAlignment="1">
      <alignment horizontal="right"/>
    </xf>
    <xf numFmtId="0" fontId="8" fillId="3" borderId="20" xfId="0" applyFont="1" applyFill="1" applyBorder="1" applyAlignment="1">
      <alignment horizontal="center"/>
    </xf>
    <xf numFmtId="0" fontId="8" fillId="3" borderId="3" xfId="0" applyFont="1" applyFill="1" applyBorder="1" applyAlignment="1">
      <alignment horizontal="center"/>
    </xf>
    <xf numFmtId="0" fontId="8" fillId="3" borderId="8" xfId="0" applyFont="1" applyFill="1" applyBorder="1" applyAlignment="1">
      <alignment horizontal="center"/>
    </xf>
    <xf numFmtId="0" fontId="13" fillId="0" borderId="4" xfId="0" applyFont="1" applyBorder="1" applyAlignment="1">
      <alignment horizontal="right"/>
    </xf>
    <xf numFmtId="0" fontId="3" fillId="3" borderId="20" xfId="0" applyFont="1" applyFill="1" applyBorder="1" applyAlignment="1">
      <alignment horizontal="right"/>
    </xf>
    <xf numFmtId="0" fontId="3" fillId="3" borderId="3" xfId="0" applyFont="1" applyFill="1" applyBorder="1" applyAlignment="1">
      <alignment horizontal="right"/>
    </xf>
    <xf numFmtId="0" fontId="3" fillId="3" borderId="8" xfId="0" applyFont="1" applyFill="1" applyBorder="1" applyAlignment="1">
      <alignment horizontal="right"/>
    </xf>
    <xf numFmtId="0" fontId="16" fillId="0" borderId="0" xfId="0" applyFont="1" applyAlignment="1">
      <alignment horizontal="right"/>
    </xf>
    <xf numFmtId="0" fontId="16" fillId="0" borderId="4" xfId="0" applyFont="1" applyBorder="1" applyAlignment="1">
      <alignment horizontal="right"/>
    </xf>
    <xf numFmtId="0" fontId="16" fillId="0" borderId="25" xfId="0" applyFont="1" applyBorder="1" applyAlignment="1">
      <alignment horizontal="right"/>
    </xf>
    <xf numFmtId="0" fontId="11" fillId="0" borderId="0" xfId="0" applyFont="1" applyAlignment="1">
      <alignment horizontal="right"/>
    </xf>
    <xf numFmtId="0" fontId="14" fillId="0" borderId="0" xfId="0" applyFont="1" applyAlignment="1">
      <alignment horizontal="right"/>
    </xf>
    <xf numFmtId="0" fontId="14" fillId="0" borderId="24" xfId="0" applyFont="1" applyBorder="1" applyAlignment="1">
      <alignment horizontal="right"/>
    </xf>
    <xf numFmtId="0" fontId="11" fillId="0" borderId="24" xfId="0" applyFont="1" applyBorder="1" applyAlignment="1">
      <alignment horizontal="right"/>
    </xf>
    <xf numFmtId="0" fontId="6" fillId="0" borderId="20" xfId="0" applyFont="1" applyBorder="1" applyAlignment="1">
      <alignment horizontal="center"/>
    </xf>
    <xf numFmtId="0" fontId="6" fillId="0" borderId="3" xfId="0" applyFont="1" applyBorder="1" applyAlignment="1">
      <alignment horizontal="center"/>
    </xf>
    <xf numFmtId="0" fontId="6" fillId="0" borderId="8" xfId="0" applyFont="1" applyBorder="1" applyAlignment="1">
      <alignment horizontal="center"/>
    </xf>
    <xf numFmtId="0" fontId="6" fillId="0" borderId="22" xfId="0" applyFont="1" applyBorder="1" applyAlignment="1">
      <alignment horizontal="center" vertical="center" wrapText="1"/>
    </xf>
    <xf numFmtId="0" fontId="3" fillId="0" borderId="23" xfId="0" applyFont="1" applyBorder="1" applyAlignment="1">
      <alignment horizontal="center" vertical="center" wrapText="1"/>
    </xf>
    <xf numFmtId="0" fontId="5" fillId="0" borderId="15" xfId="0" applyFont="1" applyBorder="1" applyAlignment="1">
      <alignment horizontal="right" vertical="center" wrapText="1"/>
    </xf>
    <xf numFmtId="0" fontId="28" fillId="5" borderId="26" xfId="4" applyFont="1" applyFill="1" applyBorder="1" applyAlignment="1">
      <alignment horizontal="center"/>
    </xf>
    <xf numFmtId="0" fontId="28" fillId="5" borderId="25" xfId="4" applyFont="1" applyFill="1" applyBorder="1" applyAlignment="1">
      <alignment horizontal="center"/>
    </xf>
    <xf numFmtId="0" fontId="27" fillId="5" borderId="27" xfId="4" applyFont="1" applyFill="1" applyBorder="1" applyAlignment="1">
      <alignment horizontal="center"/>
    </xf>
    <xf numFmtId="0" fontId="27" fillId="5" borderId="27" xfId="4" applyFont="1" applyFill="1" applyBorder="1" applyAlignment="1">
      <alignment horizontal="right"/>
    </xf>
    <xf numFmtId="0" fontId="28" fillId="5" borderId="28" xfId="4" applyFont="1" applyFill="1" applyBorder="1" applyAlignment="1">
      <alignment horizontal="center"/>
    </xf>
    <xf numFmtId="0" fontId="28" fillId="5" borderId="29" xfId="4" applyFont="1" applyFill="1" applyBorder="1" applyAlignment="1">
      <alignment horizontal="center"/>
    </xf>
    <xf numFmtId="0" fontId="28" fillId="5" borderId="0" xfId="4" applyFont="1" applyFill="1" applyAlignment="1">
      <alignment horizontal="center"/>
    </xf>
    <xf numFmtId="0" fontId="27" fillId="5" borderId="18" xfId="4" applyFont="1" applyFill="1" applyBorder="1" applyAlignment="1">
      <alignment horizontal="center"/>
    </xf>
    <xf numFmtId="0" fontId="27" fillId="5" borderId="19" xfId="4" applyFont="1" applyFill="1" applyBorder="1" applyAlignment="1">
      <alignment horizontal="center"/>
    </xf>
    <xf numFmtId="0" fontId="27" fillId="5" borderId="30" xfId="4" applyFont="1" applyFill="1" applyBorder="1" applyAlignment="1">
      <alignment horizontal="center"/>
    </xf>
    <xf numFmtId="0" fontId="27" fillId="5" borderId="1" xfId="4" applyFont="1" applyFill="1" applyBorder="1" applyAlignment="1">
      <alignment horizontal="right"/>
    </xf>
    <xf numFmtId="49" fontId="28" fillId="5" borderId="31" xfId="4" applyNumberFormat="1" applyFont="1" applyFill="1" applyBorder="1" applyAlignment="1">
      <alignment horizontal="center"/>
    </xf>
    <xf numFmtId="0" fontId="27" fillId="5" borderId="16" xfId="4" applyFont="1" applyFill="1" applyBorder="1" applyAlignment="1">
      <alignment horizontal="right" vertical="top" wrapText="1"/>
    </xf>
    <xf numFmtId="14" fontId="28" fillId="5" borderId="12" xfId="4" applyNumberFormat="1" applyFont="1" applyFill="1" applyBorder="1" applyAlignment="1">
      <alignment horizontal="center" vertical="center" wrapText="1"/>
    </xf>
    <xf numFmtId="0" fontId="28" fillId="5" borderId="21" xfId="4" applyFont="1" applyFill="1" applyBorder="1" applyAlignment="1">
      <alignment horizontal="right"/>
    </xf>
    <xf numFmtId="0" fontId="28" fillId="5" borderId="35" xfId="4" applyFont="1" applyFill="1" applyBorder="1" applyAlignment="1">
      <alignment horizontal="left"/>
    </xf>
    <xf numFmtId="0" fontId="28" fillId="5" borderId="13" xfId="4" applyFont="1" applyFill="1" applyBorder="1" applyAlignment="1">
      <alignment horizontal="left"/>
    </xf>
    <xf numFmtId="0" fontId="28" fillId="5" borderId="7" xfId="4" applyFont="1" applyFill="1" applyBorder="1" applyAlignment="1">
      <alignment horizontal="left"/>
    </xf>
    <xf numFmtId="0" fontId="27" fillId="5" borderId="36" xfId="4" applyFont="1" applyFill="1" applyBorder="1" applyAlignment="1">
      <alignment horizontal="right" vertical="top" wrapText="1"/>
    </xf>
    <xf numFmtId="14" fontId="28" fillId="5" borderId="37" xfId="4" applyNumberFormat="1" applyFont="1" applyFill="1" applyBorder="1" applyAlignment="1">
      <alignment horizontal="center" vertical="center" wrapText="1"/>
    </xf>
    <xf numFmtId="0" fontId="28" fillId="5" borderId="38" xfId="4" applyFont="1" applyFill="1" applyBorder="1" applyAlignment="1">
      <alignment horizontal="center"/>
    </xf>
    <xf numFmtId="0" fontId="28" fillId="5" borderId="2" xfId="4" applyFont="1" applyFill="1" applyBorder="1" applyAlignment="1">
      <alignment horizontal="center"/>
    </xf>
    <xf numFmtId="0" fontId="28" fillId="5" borderId="1" xfId="4" applyFont="1" applyFill="1" applyBorder="1" applyAlignment="1">
      <alignment horizontal="right"/>
    </xf>
    <xf numFmtId="0" fontId="28" fillId="5" borderId="17" xfId="4" applyFont="1" applyFill="1" applyBorder="1" applyAlignment="1">
      <alignment horizontal="left"/>
    </xf>
    <xf numFmtId="0" fontId="28" fillId="5" borderId="15" xfId="4" applyFont="1" applyFill="1" applyBorder="1" applyAlignment="1">
      <alignment horizontal="left"/>
    </xf>
    <xf numFmtId="0" fontId="28" fillId="5" borderId="9" xfId="4" applyFont="1" applyFill="1" applyBorder="1" applyAlignment="1">
      <alignment horizontal="left"/>
    </xf>
    <xf numFmtId="0" fontId="27" fillId="5" borderId="10" xfId="4" applyFont="1" applyFill="1" applyBorder="1" applyAlignment="1">
      <alignment horizontal="right" vertical="top" wrapText="1"/>
    </xf>
    <xf numFmtId="14" fontId="28" fillId="5" borderId="14" xfId="4" applyNumberFormat="1" applyFont="1" applyFill="1" applyBorder="1" applyAlignment="1">
      <alignment horizontal="center" vertical="center" wrapText="1"/>
    </xf>
    <xf numFmtId="0" fontId="29" fillId="5" borderId="4" xfId="4" applyFont="1" applyFill="1" applyBorder="1" applyAlignment="1">
      <alignment horizontal="center"/>
    </xf>
    <xf numFmtId="14" fontId="29" fillId="5" borderId="0" xfId="4" applyNumberFormat="1" applyFont="1" applyFill="1" applyAlignment="1">
      <alignment horizontal="center" vertical="center" wrapText="1"/>
    </xf>
    <xf numFmtId="0" fontId="27" fillId="4" borderId="39" xfId="6" applyFont="1" applyFill="1" applyBorder="1" applyAlignment="1">
      <alignment horizontal="center" vertical="center"/>
    </xf>
    <xf numFmtId="0" fontId="27" fillId="4" borderId="39" xfId="6" applyFont="1" applyFill="1" applyBorder="1" applyAlignment="1">
      <alignment horizontal="center" vertical="center" wrapText="1"/>
    </xf>
    <xf numFmtId="0" fontId="27" fillId="4" borderId="27" xfId="6" applyFont="1" applyFill="1" applyBorder="1" applyAlignment="1">
      <alignment horizontal="center" vertical="center"/>
    </xf>
    <xf numFmtId="0" fontId="27" fillId="4" borderId="28" xfId="6" applyFont="1" applyFill="1" applyBorder="1" applyAlignment="1">
      <alignment horizontal="center" vertical="center" wrapText="1"/>
    </xf>
    <xf numFmtId="0" fontId="27" fillId="4" borderId="40" xfId="6" applyFont="1" applyFill="1" applyBorder="1" applyAlignment="1">
      <alignment horizontal="center" vertical="center"/>
    </xf>
    <xf numFmtId="0" fontId="27" fillId="4" borderId="40" xfId="6" applyFont="1" applyFill="1" applyBorder="1" applyAlignment="1">
      <alignment horizontal="center" vertical="center" wrapText="1"/>
    </xf>
    <xf numFmtId="0" fontId="27" fillId="4" borderId="41" xfId="6" applyFont="1" applyFill="1" applyBorder="1" applyAlignment="1">
      <alignment horizontal="center" vertical="center"/>
    </xf>
    <xf numFmtId="1" fontId="27" fillId="4" borderId="41" xfId="6" applyNumberFormat="1" applyFont="1" applyFill="1" applyBorder="1" applyAlignment="1">
      <alignment horizontal="center"/>
    </xf>
    <xf numFmtId="1" fontId="27" fillId="4" borderId="41" xfId="6" applyNumberFormat="1" applyFont="1" applyFill="1" applyBorder="1" applyAlignment="1">
      <alignment horizontal="center" wrapText="1"/>
    </xf>
    <xf numFmtId="0" fontId="27" fillId="4" borderId="42" xfId="6" applyFont="1" applyFill="1" applyBorder="1" applyAlignment="1">
      <alignment horizontal="center"/>
    </xf>
    <xf numFmtId="0" fontId="30" fillId="0" borderId="43" xfId="6" applyFont="1" applyBorder="1" applyAlignment="1">
      <alignment horizontal="center" vertical="center"/>
    </xf>
    <xf numFmtId="0" fontId="30" fillId="0" borderId="9" xfId="6" applyFont="1" applyBorder="1" applyAlignment="1">
      <alignment horizontal="center" vertical="center"/>
    </xf>
    <xf numFmtId="0" fontId="31" fillId="0" borderId="1" xfId="6" applyFont="1" applyBorder="1" applyAlignment="1">
      <alignment vertical="center"/>
    </xf>
    <xf numFmtId="0" fontId="30" fillId="0" borderId="1" xfId="6" applyFont="1" applyBorder="1" applyAlignment="1">
      <alignment horizontal="center" vertical="center"/>
    </xf>
    <xf numFmtId="1" fontId="30" fillId="0" borderId="1" xfId="6" applyNumberFormat="1" applyFont="1" applyBorder="1" applyAlignment="1">
      <alignment horizontal="center"/>
    </xf>
    <xf numFmtId="1" fontId="30" fillId="0" borderId="1" xfId="6" applyNumberFormat="1" applyFont="1" applyBorder="1" applyAlignment="1">
      <alignment horizontal="center" wrapText="1"/>
    </xf>
    <xf numFmtId="0" fontId="32" fillId="0" borderId="31" xfId="6" applyFont="1" applyBorder="1" applyAlignment="1">
      <alignment horizontal="center"/>
    </xf>
    <xf numFmtId="49" fontId="32" fillId="0" borderId="1" xfId="6" applyNumberFormat="1" applyFont="1" applyBorder="1" applyAlignment="1">
      <alignment horizontal="center"/>
    </xf>
    <xf numFmtId="0" fontId="32" fillId="0" borderId="1" xfId="6" applyFont="1" applyBorder="1" applyAlignment="1">
      <alignment horizontal="left"/>
    </xf>
    <xf numFmtId="0" fontId="32" fillId="0" borderId="1" xfId="6" applyFont="1" applyBorder="1" applyAlignment="1">
      <alignment horizontal="center"/>
    </xf>
    <xf numFmtId="1" fontId="32" fillId="0" borderId="1" xfId="6" applyNumberFormat="1" applyFont="1" applyBorder="1" applyAlignment="1">
      <alignment horizontal="center" wrapText="1"/>
    </xf>
    <xf numFmtId="0" fontId="28" fillId="0" borderId="21" xfId="0" applyFont="1" applyBorder="1" applyAlignment="1">
      <alignment horizontal="center" wrapText="1"/>
    </xf>
    <xf numFmtId="12" fontId="28" fillId="0" borderId="21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/>
    </xf>
    <xf numFmtId="0" fontId="33" fillId="0" borderId="0" xfId="0" applyFont="1"/>
    <xf numFmtId="1" fontId="32" fillId="0" borderId="1" xfId="6" applyNumberFormat="1" applyFont="1" applyBorder="1" applyAlignment="1">
      <alignment horizontal="center"/>
    </xf>
    <xf numFmtId="0" fontId="33" fillId="0" borderId="1" xfId="6" applyFont="1" applyBorder="1" applyAlignment="1">
      <alignment horizontal="center"/>
    </xf>
    <xf numFmtId="0" fontId="33" fillId="6" borderId="1" xfId="6" applyFont="1" applyFill="1" applyBorder="1" applyAlignment="1">
      <alignment horizontal="left"/>
    </xf>
    <xf numFmtId="0" fontId="28" fillId="0" borderId="1" xfId="0" applyFont="1" applyBorder="1" applyAlignment="1">
      <alignment horizontal="center"/>
    </xf>
    <xf numFmtId="0" fontId="33" fillId="6" borderId="1" xfId="0" applyFont="1" applyFill="1" applyBorder="1"/>
    <xf numFmtId="1" fontId="33" fillId="0" borderId="1" xfId="0" applyNumberFormat="1" applyFont="1" applyBorder="1"/>
    <xf numFmtId="0" fontId="33" fillId="0" borderId="1" xfId="0" applyFont="1" applyBorder="1"/>
    <xf numFmtId="0" fontId="28" fillId="6" borderId="1" xfId="6" applyFont="1" applyFill="1" applyBorder="1" applyAlignment="1">
      <alignment horizontal="center"/>
    </xf>
    <xf numFmtId="49" fontId="32" fillId="0" borderId="43" xfId="6" applyNumberFormat="1" applyFont="1" applyBorder="1" applyAlignment="1">
      <alignment horizontal="center"/>
    </xf>
    <xf numFmtId="49" fontId="32" fillId="0" borderId="9" xfId="6" applyNumberFormat="1" applyFont="1" applyBorder="1" applyAlignment="1">
      <alignment horizontal="center"/>
    </xf>
    <xf numFmtId="0" fontId="30" fillId="6" borderId="1" xfId="6" applyFont="1" applyFill="1" applyBorder="1" applyAlignment="1">
      <alignment horizontal="left"/>
    </xf>
    <xf numFmtId="165" fontId="32" fillId="0" borderId="1" xfId="6" applyNumberFormat="1" applyFont="1" applyBorder="1" applyAlignment="1">
      <alignment horizontal="center"/>
    </xf>
    <xf numFmtId="0" fontId="34" fillId="6" borderId="43" xfId="0" applyFont="1" applyFill="1" applyBorder="1" applyAlignment="1">
      <alignment horizontal="center"/>
    </xf>
    <xf numFmtId="0" fontId="34" fillId="6" borderId="11" xfId="0" applyFont="1" applyFill="1" applyBorder="1" applyAlignment="1">
      <alignment horizontal="center"/>
    </xf>
    <xf numFmtId="0" fontId="34" fillId="6" borderId="21" xfId="0" applyFont="1" applyFill="1" applyBorder="1"/>
    <xf numFmtId="0" fontId="28" fillId="6" borderId="9" xfId="0" applyFont="1" applyFill="1" applyBorder="1" applyAlignment="1">
      <alignment horizontal="center"/>
    </xf>
    <xf numFmtId="1" fontId="28" fillId="6" borderId="21" xfId="0" applyNumberFormat="1" applyFont="1" applyFill="1" applyBorder="1" applyAlignment="1">
      <alignment horizontal="center"/>
    </xf>
    <xf numFmtId="1" fontId="28" fillId="6" borderId="21" xfId="0" applyNumberFormat="1" applyFont="1" applyFill="1" applyBorder="1" applyAlignment="1">
      <alignment horizontal="center" wrapText="1"/>
    </xf>
    <xf numFmtId="49" fontId="28" fillId="6" borderId="21" xfId="0" applyNumberFormat="1" applyFont="1" applyFill="1" applyBorder="1" applyAlignment="1">
      <alignment horizontal="center"/>
    </xf>
    <xf numFmtId="1" fontId="28" fillId="6" borderId="1" xfId="6" applyNumberFormat="1" applyFont="1" applyFill="1" applyBorder="1" applyAlignment="1">
      <alignment horizontal="center"/>
    </xf>
    <xf numFmtId="1" fontId="28" fillId="6" borderId="1" xfId="6" applyNumberFormat="1" applyFont="1" applyFill="1" applyBorder="1" applyAlignment="1">
      <alignment horizontal="center" wrapText="1"/>
    </xf>
    <xf numFmtId="1" fontId="28" fillId="6" borderId="1" xfId="0" applyNumberFormat="1" applyFont="1" applyFill="1" applyBorder="1" applyAlignment="1">
      <alignment horizontal="center"/>
    </xf>
    <xf numFmtId="0" fontId="33" fillId="0" borderId="0" xfId="0" applyFont="1" applyAlignment="1">
      <alignment horizontal="center"/>
    </xf>
    <xf numFmtId="16" fontId="28" fillId="6" borderId="1" xfId="0" applyNumberFormat="1" applyFont="1" applyFill="1" applyBorder="1" applyAlignment="1">
      <alignment horizontal="center"/>
    </xf>
    <xf numFmtId="0" fontId="28" fillId="5" borderId="1" xfId="0" applyFont="1" applyFill="1" applyBorder="1" applyAlignment="1">
      <alignment horizontal="center"/>
    </xf>
    <xf numFmtId="1" fontId="28" fillId="0" borderId="21" xfId="0" applyNumberFormat="1" applyFont="1" applyBorder="1" applyAlignment="1">
      <alignment horizontal="center" wrapText="1"/>
    </xf>
    <xf numFmtId="16" fontId="28" fillId="0" borderId="1" xfId="0" applyNumberFormat="1" applyFont="1" applyBorder="1" applyAlignment="1">
      <alignment horizontal="center"/>
    </xf>
    <xf numFmtId="1" fontId="28" fillId="0" borderId="21" xfId="0" applyNumberFormat="1" applyFont="1" applyBorder="1" applyAlignment="1">
      <alignment horizontal="center"/>
    </xf>
    <xf numFmtId="1" fontId="28" fillId="0" borderId="1" xfId="0" applyNumberFormat="1" applyFont="1" applyBorder="1" applyAlignment="1">
      <alignment horizontal="center"/>
    </xf>
    <xf numFmtId="1" fontId="28" fillId="0" borderId="1" xfId="0" applyNumberFormat="1" applyFont="1" applyBorder="1" applyAlignment="1">
      <alignment horizontal="center" wrapText="1"/>
    </xf>
    <xf numFmtId="49" fontId="30" fillId="0" borderId="1" xfId="6" applyNumberFormat="1" applyFont="1" applyBorder="1" applyAlignment="1">
      <alignment horizontal="center"/>
    </xf>
    <xf numFmtId="0" fontId="31" fillId="6" borderId="1" xfId="6" applyFont="1" applyFill="1" applyBorder="1" applyAlignment="1">
      <alignment vertical="center"/>
    </xf>
    <xf numFmtId="0" fontId="30" fillId="0" borderId="9" xfId="6" applyFont="1" applyBorder="1" applyAlignment="1">
      <alignment horizontal="center"/>
    </xf>
    <xf numFmtId="165" fontId="30" fillId="0" borderId="1" xfId="6" applyNumberFormat="1" applyFont="1" applyBorder="1" applyAlignment="1">
      <alignment horizontal="center"/>
    </xf>
    <xf numFmtId="49" fontId="32" fillId="0" borderId="1" xfId="0" applyNumberFormat="1" applyFont="1" applyBorder="1" applyAlignment="1">
      <alignment horizontal="center"/>
    </xf>
    <xf numFmtId="49" fontId="32" fillId="0" borderId="1" xfId="0" applyNumberFormat="1" applyFont="1" applyBorder="1"/>
    <xf numFmtId="0" fontId="32" fillId="0" borderId="1" xfId="0" applyFont="1" applyBorder="1" applyAlignment="1">
      <alignment horizontal="center"/>
    </xf>
    <xf numFmtId="1" fontId="32" fillId="0" borderId="1" xfId="0" applyNumberFormat="1" applyFont="1" applyBorder="1" applyAlignment="1">
      <alignment horizontal="center"/>
    </xf>
    <xf numFmtId="1" fontId="32" fillId="0" borderId="1" xfId="0" applyNumberFormat="1" applyFont="1" applyBorder="1" applyAlignment="1">
      <alignment horizontal="center" wrapText="1"/>
    </xf>
    <xf numFmtId="169" fontId="27" fillId="6" borderId="1" xfId="1" applyNumberFormat="1" applyFont="1" applyFill="1" applyBorder="1" applyAlignment="1">
      <alignment horizontal="center"/>
    </xf>
    <xf numFmtId="0" fontId="35" fillId="0" borderId="1" xfId="7" applyFont="1" applyBorder="1" applyAlignment="1">
      <alignment horizontal="center"/>
    </xf>
    <xf numFmtId="16" fontId="32" fillId="0" borderId="1" xfId="0" applyNumberFormat="1" applyFont="1" applyBorder="1" applyAlignment="1">
      <alignment horizontal="center"/>
    </xf>
    <xf numFmtId="0" fontId="33" fillId="0" borderId="1" xfId="0" applyFont="1" applyBorder="1" applyAlignment="1">
      <alignment horizontal="center" vertical="center"/>
    </xf>
    <xf numFmtId="0" fontId="33" fillId="0" borderId="1" xfId="0" applyFont="1" applyBorder="1" applyAlignment="1">
      <alignment horizontal="left" vertical="center"/>
    </xf>
    <xf numFmtId="12" fontId="32" fillId="0" borderId="1" xfId="6" applyNumberFormat="1" applyFont="1" applyBorder="1" applyAlignment="1">
      <alignment horizontal="center"/>
    </xf>
    <xf numFmtId="0" fontId="28" fillId="0" borderId="1" xfId="0" quotePrefix="1" applyFont="1" applyBorder="1" applyAlignment="1">
      <alignment horizontal="center"/>
    </xf>
    <xf numFmtId="0" fontId="28" fillId="0" borderId="1" xfId="0" quotePrefix="1" applyFont="1" applyBorder="1"/>
    <xf numFmtId="49" fontId="32" fillId="0" borderId="1" xfId="6" applyNumberFormat="1" applyFont="1" applyBorder="1"/>
    <xf numFmtId="49" fontId="36" fillId="5" borderId="29" xfId="6" applyNumberFormat="1" applyFont="1" applyFill="1" applyBorder="1" applyAlignment="1">
      <alignment horizontal="center" vertical="center"/>
    </xf>
    <xf numFmtId="49" fontId="36" fillId="5" borderId="0" xfId="6" applyNumberFormat="1" applyFont="1" applyFill="1" applyAlignment="1">
      <alignment horizontal="center" vertical="center"/>
    </xf>
    <xf numFmtId="0" fontId="28" fillId="5" borderId="0" xfId="6" applyFont="1" applyFill="1"/>
    <xf numFmtId="1" fontId="28" fillId="5" borderId="0" xfId="6" applyNumberFormat="1" applyFont="1" applyFill="1" applyAlignment="1">
      <alignment horizontal="center"/>
    </xf>
    <xf numFmtId="166" fontId="28" fillId="5" borderId="0" xfId="6" applyNumberFormat="1" applyFont="1" applyFill="1" applyAlignment="1">
      <alignment horizontal="center" wrapText="1"/>
    </xf>
    <xf numFmtId="0" fontId="28" fillId="5" borderId="24" xfId="6" applyFont="1" applyFill="1" applyBorder="1" applyAlignment="1">
      <alignment horizontal="center"/>
    </xf>
    <xf numFmtId="0" fontId="28" fillId="4" borderId="20" xfId="6" applyFont="1" applyFill="1" applyBorder="1" applyAlignment="1">
      <alignment horizontal="center"/>
    </xf>
    <xf numFmtId="0" fontId="28" fillId="4" borderId="3" xfId="6" applyFont="1" applyFill="1" applyBorder="1" applyAlignment="1">
      <alignment horizontal="center"/>
    </xf>
    <xf numFmtId="0" fontId="28" fillId="4" borderId="3" xfId="6" applyFont="1" applyFill="1" applyBorder="1"/>
    <xf numFmtId="0" fontId="27" fillId="4" borderId="3" xfId="6" applyFont="1" applyFill="1" applyBorder="1" applyAlignment="1">
      <alignment horizontal="center"/>
    </xf>
    <xf numFmtId="1" fontId="27" fillId="4" borderId="3" xfId="6" applyNumberFormat="1" applyFont="1" applyFill="1" applyBorder="1" applyAlignment="1">
      <alignment horizontal="center"/>
    </xf>
    <xf numFmtId="166" fontId="28" fillId="4" borderId="3" xfId="6" applyNumberFormat="1" applyFont="1" applyFill="1" applyBorder="1" applyAlignment="1">
      <alignment horizontal="center" wrapText="1"/>
    </xf>
    <xf numFmtId="0" fontId="28" fillId="4" borderId="8" xfId="6" applyFont="1" applyFill="1" applyBorder="1" applyAlignment="1">
      <alignment horizontal="center"/>
    </xf>
    <xf numFmtId="0" fontId="27" fillId="0" borderId="38" xfId="6" applyFont="1" applyBorder="1" applyAlignment="1">
      <alignment horizontal="right"/>
    </xf>
    <xf numFmtId="0" fontId="27" fillId="0" borderId="2" xfId="6" applyFont="1" applyBorder="1" applyAlignment="1">
      <alignment horizontal="right"/>
    </xf>
    <xf numFmtId="0" fontId="27" fillId="0" borderId="11" xfId="6" applyFont="1" applyBorder="1" applyAlignment="1">
      <alignment horizontal="right"/>
    </xf>
    <xf numFmtId="0" fontId="28" fillId="0" borderId="45" xfId="0" applyFont="1" applyBorder="1" applyAlignment="1">
      <alignment horizontal="center"/>
    </xf>
    <xf numFmtId="166" fontId="28" fillId="0" borderId="21" xfId="6" applyNumberFormat="1" applyFont="1" applyBorder="1" applyAlignment="1">
      <alignment horizontal="right"/>
    </xf>
    <xf numFmtId="0" fontId="28" fillId="5" borderId="45" xfId="6" applyFont="1" applyFill="1" applyBorder="1" applyAlignment="1">
      <alignment horizontal="center"/>
    </xf>
    <xf numFmtId="0" fontId="28" fillId="5" borderId="46" xfId="6" applyFont="1" applyFill="1" applyBorder="1" applyAlignment="1">
      <alignment horizontal="center"/>
    </xf>
    <xf numFmtId="0" fontId="27" fillId="0" borderId="44" xfId="6" applyFont="1" applyBorder="1" applyAlignment="1">
      <alignment horizontal="right"/>
    </xf>
    <xf numFmtId="0" fontId="27" fillId="0" borderId="15" xfId="6" applyFont="1" applyBorder="1" applyAlignment="1">
      <alignment horizontal="right"/>
    </xf>
    <xf numFmtId="0" fontId="27" fillId="0" borderId="9" xfId="6" applyFont="1" applyBorder="1" applyAlignment="1">
      <alignment horizontal="right"/>
    </xf>
    <xf numFmtId="0" fontId="28" fillId="0" borderId="1" xfId="6" applyFont="1" applyBorder="1" applyAlignment="1">
      <alignment horizontal="right"/>
    </xf>
    <xf numFmtId="166" fontId="28" fillId="0" borderId="17" xfId="6" applyNumberFormat="1" applyFont="1" applyBorder="1" applyAlignment="1">
      <alignment horizontal="center"/>
    </xf>
    <xf numFmtId="166" fontId="28" fillId="0" borderId="47" xfId="6" applyNumberFormat="1" applyFont="1" applyBorder="1" applyAlignment="1">
      <alignment horizontal="center"/>
    </xf>
    <xf numFmtId="166" fontId="28" fillId="0" borderId="17" xfId="6" applyNumberFormat="1" applyFont="1" applyBorder="1" applyAlignment="1">
      <alignment horizontal="right" wrapText="1"/>
    </xf>
    <xf numFmtId="166" fontId="28" fillId="0" borderId="9" xfId="6" applyNumberFormat="1" applyFont="1" applyBorder="1" applyAlignment="1">
      <alignment horizontal="right" wrapText="1"/>
    </xf>
    <xf numFmtId="166" fontId="28" fillId="0" borderId="17" xfId="0" applyNumberFormat="1" applyFont="1" applyBorder="1" applyAlignment="1">
      <alignment horizontal="center" wrapText="1"/>
    </xf>
    <xf numFmtId="166" fontId="28" fillId="0" borderId="47" xfId="0" applyNumberFormat="1" applyFont="1" applyBorder="1" applyAlignment="1">
      <alignment horizontal="center" wrapText="1"/>
    </xf>
    <xf numFmtId="0" fontId="27" fillId="0" borderId="40" xfId="6" applyFont="1" applyBorder="1" applyAlignment="1">
      <alignment horizontal="right"/>
    </xf>
    <xf numFmtId="0" fontId="27" fillId="0" borderId="30" xfId="6" applyFont="1" applyBorder="1" applyAlignment="1">
      <alignment horizontal="right"/>
    </xf>
    <xf numFmtId="0" fontId="27" fillId="0" borderId="41" xfId="6" applyFont="1" applyBorder="1" applyAlignment="1">
      <alignment horizontal="right"/>
    </xf>
    <xf numFmtId="1" fontId="28" fillId="0" borderId="41" xfId="0" applyNumberFormat="1" applyFont="1" applyBorder="1" applyAlignment="1">
      <alignment horizontal="center"/>
    </xf>
    <xf numFmtId="0" fontId="28" fillId="0" borderId="41" xfId="0" applyFont="1" applyBorder="1" applyAlignment="1">
      <alignment horizontal="center"/>
    </xf>
    <xf numFmtId="0" fontId="28" fillId="0" borderId="41" xfId="6" applyFont="1" applyBorder="1" applyAlignment="1">
      <alignment horizontal="right"/>
    </xf>
    <xf numFmtId="0" fontId="27" fillId="4" borderId="20" xfId="6" applyFont="1" applyFill="1" applyBorder="1" applyAlignment="1">
      <alignment horizontal="left"/>
    </xf>
    <xf numFmtId="0" fontId="27" fillId="4" borderId="3" xfId="6" applyFont="1" applyFill="1" applyBorder="1" applyAlignment="1">
      <alignment horizontal="left"/>
    </xf>
    <xf numFmtId="0" fontId="27" fillId="4" borderId="8" xfId="6" applyFont="1" applyFill="1" applyBorder="1" applyAlignment="1">
      <alignment horizontal="left"/>
    </xf>
    <xf numFmtId="0" fontId="32" fillId="0" borderId="2" xfId="0" applyFont="1" applyBorder="1" applyAlignment="1">
      <alignment horizontal="left"/>
    </xf>
    <xf numFmtId="0" fontId="32" fillId="0" borderId="2" xfId="0" applyFont="1" applyBorder="1" applyAlignment="1">
      <alignment horizontal="left"/>
    </xf>
    <xf numFmtId="0" fontId="32" fillId="0" borderId="15" xfId="0" applyFont="1" applyBorder="1" applyAlignment="1">
      <alignment horizontal="left"/>
    </xf>
    <xf numFmtId="0" fontId="28" fillId="0" borderId="44" xfId="0" applyFont="1" applyBorder="1" applyAlignment="1">
      <alignment horizontal="left" wrapText="1"/>
    </xf>
    <xf numFmtId="0" fontId="28" fillId="0" borderId="15" xfId="0" applyFont="1" applyBorder="1" applyAlignment="1">
      <alignment horizontal="left" wrapText="1"/>
    </xf>
    <xf numFmtId="0" fontId="28" fillId="0" borderId="47" xfId="0" applyFont="1" applyBorder="1" applyAlignment="1">
      <alignment horizontal="left" wrapText="1"/>
    </xf>
    <xf numFmtId="0" fontId="27" fillId="0" borderId="38" xfId="6" applyFont="1" applyBorder="1" applyAlignment="1">
      <alignment horizontal="left" wrapText="1"/>
    </xf>
    <xf numFmtId="0" fontId="27" fillId="0" borderId="2" xfId="6" applyFont="1" applyBorder="1" applyAlignment="1">
      <alignment horizontal="left" wrapText="1"/>
    </xf>
    <xf numFmtId="0" fontId="27" fillId="0" borderId="46" xfId="6" applyFont="1" applyBorder="1" applyAlignment="1">
      <alignment horizontal="left" wrapText="1"/>
    </xf>
    <xf numFmtId="0" fontId="30" fillId="0" borderId="44" xfId="0" applyFont="1" applyBorder="1" applyAlignment="1">
      <alignment horizontal="left"/>
    </xf>
    <xf numFmtId="0" fontId="30" fillId="0" borderId="15" xfId="0" applyFont="1" applyBorder="1" applyAlignment="1">
      <alignment horizontal="left"/>
    </xf>
    <xf numFmtId="0" fontId="30" fillId="0" borderId="47" xfId="0" applyFont="1" applyBorder="1" applyAlignment="1">
      <alignment horizontal="left"/>
    </xf>
    <xf numFmtId="0" fontId="27" fillId="7" borderId="48" xfId="4" applyFont="1" applyFill="1" applyBorder="1" applyAlignment="1">
      <alignment horizontal="center"/>
    </xf>
    <xf numFmtId="0" fontId="27" fillId="7" borderId="25" xfId="4" applyFont="1" applyFill="1" applyBorder="1" applyAlignment="1">
      <alignment horizontal="center"/>
    </xf>
  </cellXfs>
  <cellStyles count="8">
    <cellStyle name="Millares" xfId="1" builtinId="3"/>
    <cellStyle name="Millares [0]" xfId="2" builtinId="6"/>
    <cellStyle name="Millares [0] 2" xfId="3" xr:uid="{1EE7A023-011B-45EC-AD90-42295FBFAB25}"/>
    <cellStyle name="Normal" xfId="0" builtinId="0"/>
    <cellStyle name="Normal 2" xfId="6" xr:uid="{67C76820-153A-4118-8064-6C6182544F00}"/>
    <cellStyle name="Normal 3" xfId="7" xr:uid="{214101AF-0BC5-4DA7-97FA-454C7DF7DAB2}"/>
    <cellStyle name="Normal_CRITERIOS DE EVALUACION PT DE GB 2" xfId="4" xr:uid="{D4B431A0-4BC4-4509-90B0-2EC1D02B4956}"/>
    <cellStyle name="Porcentaje" xfId="5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4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EA424B-9591-4A01-82FD-4C78EFD079E0}">
  <dimension ref="A1:I56"/>
  <sheetViews>
    <sheetView tabSelected="1" view="pageBreakPreview" zoomScale="60" zoomScaleNormal="89" workbookViewId="0">
      <selection activeCell="A49" sqref="A49:XFD49"/>
    </sheetView>
  </sheetViews>
  <sheetFormatPr baseColWidth="10" defaultRowHeight="12.75" x14ac:dyDescent="0.2"/>
  <cols>
    <col min="2" max="2" width="13.5703125" bestFit="1" customWidth="1"/>
    <col min="3" max="3" width="49" customWidth="1"/>
    <col min="4" max="4" width="34.28515625" bestFit="1" customWidth="1"/>
    <col min="8" max="8" width="47.5703125" bestFit="1" customWidth="1"/>
    <col min="9" max="9" width="21.85546875" bestFit="1" customWidth="1"/>
  </cols>
  <sheetData>
    <row r="1" spans="1:9" ht="18" x14ac:dyDescent="0.25">
      <c r="A1" s="88"/>
      <c r="B1" s="89"/>
      <c r="C1" s="90" t="s">
        <v>74</v>
      </c>
      <c r="D1" s="90"/>
      <c r="E1" s="90"/>
      <c r="F1" s="90"/>
      <c r="G1" s="90"/>
      <c r="H1" s="91" t="s">
        <v>75</v>
      </c>
      <c r="I1" s="92" t="s">
        <v>110</v>
      </c>
    </row>
    <row r="2" spans="1:9" ht="18" customHeight="1" thickBot="1" x14ac:dyDescent="0.3">
      <c r="A2" s="93"/>
      <c r="B2" s="94"/>
      <c r="C2" s="95" t="s">
        <v>0</v>
      </c>
      <c r="D2" s="96"/>
      <c r="E2" s="96"/>
      <c r="F2" s="96"/>
      <c r="G2" s="97"/>
      <c r="H2" s="98" t="s">
        <v>76</v>
      </c>
      <c r="I2" s="99" t="s">
        <v>120</v>
      </c>
    </row>
    <row r="3" spans="1:9" ht="31.5" customHeight="1" thickBot="1" x14ac:dyDescent="0.3">
      <c r="A3" s="93"/>
      <c r="B3" s="94"/>
      <c r="C3" s="59" t="s">
        <v>121</v>
      </c>
      <c r="D3" s="60"/>
      <c r="E3" s="60"/>
      <c r="F3" s="60"/>
      <c r="G3" s="61"/>
      <c r="H3" s="100" t="s">
        <v>77</v>
      </c>
      <c r="I3" s="101">
        <v>45613</v>
      </c>
    </row>
    <row r="4" spans="1:9" ht="18" customHeight="1" x14ac:dyDescent="0.25">
      <c r="A4" s="93"/>
      <c r="B4" s="94"/>
      <c r="C4" s="102" t="s">
        <v>1</v>
      </c>
      <c r="D4" s="103" t="s">
        <v>78</v>
      </c>
      <c r="E4" s="104"/>
      <c r="F4" s="104"/>
      <c r="G4" s="105"/>
      <c r="H4" s="106"/>
      <c r="I4" s="107"/>
    </row>
    <row r="5" spans="1:9" ht="18.75" thickBot="1" x14ac:dyDescent="0.3">
      <c r="A5" s="108"/>
      <c r="B5" s="109"/>
      <c r="C5" s="110" t="s">
        <v>79</v>
      </c>
      <c r="D5" s="111" t="s">
        <v>68</v>
      </c>
      <c r="E5" s="112"/>
      <c r="F5" s="112"/>
      <c r="G5" s="113"/>
      <c r="H5" s="114"/>
      <c r="I5" s="115"/>
    </row>
    <row r="6" spans="1:9" ht="18.75" thickBot="1" x14ac:dyDescent="0.3">
      <c r="A6" s="62" t="s">
        <v>71</v>
      </c>
      <c r="B6" s="62"/>
      <c r="C6" s="62"/>
      <c r="D6" s="116" t="s">
        <v>72</v>
      </c>
      <c r="E6" s="116"/>
      <c r="F6" s="116"/>
      <c r="G6" s="63" t="s">
        <v>73</v>
      </c>
      <c r="H6" s="63"/>
      <c r="I6" s="117" t="s">
        <v>72</v>
      </c>
    </row>
    <row r="7" spans="1:9" ht="36" x14ac:dyDescent="0.2">
      <c r="A7" s="118" t="s">
        <v>2</v>
      </c>
      <c r="B7" s="119" t="s">
        <v>80</v>
      </c>
      <c r="C7" s="120" t="s">
        <v>81</v>
      </c>
      <c r="D7" s="120" t="s">
        <v>3</v>
      </c>
      <c r="E7" s="120" t="s">
        <v>4</v>
      </c>
      <c r="F7" s="120"/>
      <c r="G7" s="120" t="s">
        <v>82</v>
      </c>
      <c r="H7" s="120"/>
      <c r="I7" s="121" t="s">
        <v>5</v>
      </c>
    </row>
    <row r="8" spans="1:9" ht="54.75" thickBot="1" x14ac:dyDescent="0.3">
      <c r="A8" s="122"/>
      <c r="B8" s="123"/>
      <c r="C8" s="124"/>
      <c r="D8" s="124"/>
      <c r="E8" s="125" t="s">
        <v>6</v>
      </c>
      <c r="F8" s="126" t="s">
        <v>7</v>
      </c>
      <c r="G8" s="125" t="s">
        <v>6</v>
      </c>
      <c r="H8" s="126" t="s">
        <v>7</v>
      </c>
      <c r="I8" s="127" t="s">
        <v>8</v>
      </c>
    </row>
    <row r="9" spans="1:9" ht="18.399999999999999" customHeight="1" x14ac:dyDescent="0.3">
      <c r="A9" s="128"/>
      <c r="B9" s="129"/>
      <c r="C9" s="130" t="s">
        <v>9</v>
      </c>
      <c r="D9" s="131"/>
      <c r="E9" s="132"/>
      <c r="F9" s="133"/>
      <c r="G9" s="132"/>
      <c r="H9" s="133"/>
      <c r="I9" s="134"/>
    </row>
    <row r="10" spans="1:9" ht="18" customHeight="1" x14ac:dyDescent="0.3">
      <c r="A10" s="135">
        <v>903000028</v>
      </c>
      <c r="B10" s="135" t="s">
        <v>66</v>
      </c>
      <c r="C10" s="136" t="s">
        <v>83</v>
      </c>
      <c r="D10" s="137" t="s">
        <v>50</v>
      </c>
      <c r="E10" s="137">
        <v>650</v>
      </c>
      <c r="F10" s="138" t="s">
        <v>43</v>
      </c>
      <c r="G10" s="139"/>
      <c r="H10" s="140" t="s">
        <v>84</v>
      </c>
      <c r="I10" s="134"/>
    </row>
    <row r="11" spans="1:9" ht="18.75" x14ac:dyDescent="0.3">
      <c r="A11" s="141"/>
      <c r="B11" s="142" t="s">
        <v>115</v>
      </c>
      <c r="C11" s="142" t="s">
        <v>116</v>
      </c>
      <c r="D11" s="137" t="s">
        <v>50</v>
      </c>
      <c r="E11" s="143">
        <v>1800</v>
      </c>
      <c r="F11" s="138" t="s">
        <v>43</v>
      </c>
      <c r="G11" s="139"/>
      <c r="H11" s="140" t="s">
        <v>85</v>
      </c>
      <c r="I11" s="134"/>
    </row>
    <row r="12" spans="1:9" ht="18.75" x14ac:dyDescent="0.3">
      <c r="A12" s="144"/>
      <c r="B12" s="144"/>
      <c r="C12" s="145"/>
      <c r="D12" s="137"/>
      <c r="E12" s="143"/>
      <c r="F12" s="138"/>
      <c r="G12" s="146"/>
      <c r="H12" s="140"/>
      <c r="I12" s="134"/>
    </row>
    <row r="13" spans="1:9" ht="18.75" x14ac:dyDescent="0.3">
      <c r="A13" s="141"/>
      <c r="B13" s="141"/>
      <c r="C13" s="147"/>
      <c r="D13" s="143"/>
      <c r="E13" s="137"/>
      <c r="F13" s="138"/>
      <c r="G13" s="146"/>
      <c r="H13" s="140"/>
      <c r="I13" s="134"/>
    </row>
    <row r="14" spans="1:9" ht="18.75" x14ac:dyDescent="0.3">
      <c r="A14" s="141"/>
      <c r="B14" s="141"/>
      <c r="C14" s="147"/>
      <c r="D14" s="143"/>
      <c r="E14" s="137"/>
      <c r="F14" s="138"/>
      <c r="G14" s="146"/>
      <c r="H14" s="140"/>
      <c r="I14" s="134"/>
    </row>
    <row r="15" spans="1:9" ht="18.75" x14ac:dyDescent="0.3">
      <c r="A15" s="148"/>
      <c r="B15" s="141"/>
      <c r="C15" s="149"/>
      <c r="D15" s="150"/>
      <c r="E15" s="150"/>
      <c r="F15" s="150"/>
      <c r="G15" s="132"/>
      <c r="H15" s="140"/>
      <c r="I15" s="134"/>
    </row>
    <row r="16" spans="1:9" ht="18.75" x14ac:dyDescent="0.3">
      <c r="A16" s="151"/>
      <c r="B16" s="152"/>
      <c r="C16" s="153" t="s">
        <v>10</v>
      </c>
      <c r="D16" s="137"/>
      <c r="E16" s="154"/>
      <c r="F16" s="138"/>
      <c r="G16" s="132"/>
      <c r="H16" s="133"/>
      <c r="I16" s="134"/>
    </row>
    <row r="17" spans="1:9" ht="18.75" x14ac:dyDescent="0.3">
      <c r="A17" s="155" t="s">
        <v>54</v>
      </c>
      <c r="B17" s="156" t="s">
        <v>56</v>
      </c>
      <c r="C17" s="157" t="s">
        <v>67</v>
      </c>
      <c r="D17" s="158" t="s">
        <v>50</v>
      </c>
      <c r="E17" s="159">
        <v>675</v>
      </c>
      <c r="F17" s="160" t="s">
        <v>43</v>
      </c>
      <c r="G17" s="132"/>
      <c r="H17" s="133" t="s">
        <v>86</v>
      </c>
      <c r="I17" s="134"/>
    </row>
    <row r="18" spans="1:9" ht="18.75" x14ac:dyDescent="0.3">
      <c r="A18" s="155" t="s">
        <v>58</v>
      </c>
      <c r="B18" s="156" t="s">
        <v>59</v>
      </c>
      <c r="C18" s="157" t="s">
        <v>87</v>
      </c>
      <c r="D18" s="158" t="s">
        <v>50</v>
      </c>
      <c r="E18" s="161" t="s">
        <v>118</v>
      </c>
      <c r="F18" s="160" t="s">
        <v>43</v>
      </c>
      <c r="G18" s="132"/>
      <c r="H18" s="133" t="s">
        <v>117</v>
      </c>
      <c r="I18" s="134"/>
    </row>
    <row r="19" spans="1:9" ht="18.75" x14ac:dyDescent="0.3">
      <c r="A19" s="155" t="s">
        <v>64</v>
      </c>
      <c r="B19" s="156" t="s">
        <v>65</v>
      </c>
      <c r="C19" s="157" t="s">
        <v>88</v>
      </c>
      <c r="D19" s="158" t="s">
        <v>89</v>
      </c>
      <c r="E19" s="159">
        <v>30</v>
      </c>
      <c r="F19" s="160" t="s">
        <v>43</v>
      </c>
      <c r="G19" s="132"/>
      <c r="H19" s="133" t="s">
        <v>90</v>
      </c>
      <c r="I19" s="134"/>
    </row>
    <row r="20" spans="1:9" ht="18.75" x14ac:dyDescent="0.3">
      <c r="A20" s="155" t="s">
        <v>62</v>
      </c>
      <c r="B20" s="156" t="s">
        <v>63</v>
      </c>
      <c r="C20" s="157" t="s">
        <v>91</v>
      </c>
      <c r="D20" s="158" t="s">
        <v>92</v>
      </c>
      <c r="E20" s="162">
        <v>15</v>
      </c>
      <c r="F20" s="163" t="s">
        <v>43</v>
      </c>
      <c r="G20" s="132"/>
      <c r="H20" s="133" t="s">
        <v>93</v>
      </c>
      <c r="I20" s="134"/>
    </row>
    <row r="21" spans="1:9" ht="18.75" x14ac:dyDescent="0.3">
      <c r="A21" s="155" t="s">
        <v>54</v>
      </c>
      <c r="B21" s="156" t="s">
        <v>56</v>
      </c>
      <c r="C21" s="157" t="s">
        <v>67</v>
      </c>
      <c r="D21" s="158" t="s">
        <v>50</v>
      </c>
      <c r="E21" s="164">
        <v>195</v>
      </c>
      <c r="F21" s="163" t="s">
        <v>43</v>
      </c>
      <c r="G21" s="132"/>
      <c r="H21" s="133"/>
      <c r="I21" s="134"/>
    </row>
    <row r="22" spans="1:9" ht="18.75" x14ac:dyDescent="0.3">
      <c r="A22" s="165"/>
      <c r="B22" s="165"/>
      <c r="C22" s="142"/>
      <c r="D22" s="166"/>
      <c r="E22" s="167"/>
      <c r="F22" s="168"/>
      <c r="G22" s="132"/>
      <c r="H22" s="133"/>
      <c r="I22" s="134"/>
    </row>
    <row r="23" spans="1:9" ht="18.75" x14ac:dyDescent="0.3">
      <c r="A23" s="141"/>
      <c r="B23" s="141"/>
      <c r="C23" s="149"/>
      <c r="D23" s="169"/>
      <c r="E23" s="170"/>
      <c r="F23" s="168"/>
      <c r="G23" s="132"/>
      <c r="H23" s="133"/>
      <c r="I23" s="134"/>
    </row>
    <row r="24" spans="1:9" ht="18.75" x14ac:dyDescent="0.3">
      <c r="A24" s="141"/>
      <c r="B24" s="141"/>
      <c r="C24" s="149"/>
      <c r="D24" s="169"/>
      <c r="E24" s="171"/>
      <c r="F24" s="172"/>
      <c r="G24" s="132"/>
      <c r="H24" s="133"/>
      <c r="I24" s="134"/>
    </row>
    <row r="25" spans="1:9" ht="18.75" x14ac:dyDescent="0.3">
      <c r="A25" s="173"/>
      <c r="B25" s="173"/>
      <c r="C25" s="174" t="s">
        <v>46</v>
      </c>
      <c r="D25" s="175"/>
      <c r="E25" s="176"/>
      <c r="F25" s="133"/>
      <c r="G25" s="132"/>
      <c r="H25" s="142"/>
      <c r="I25" s="134"/>
    </row>
    <row r="26" spans="1:9" ht="18.75" x14ac:dyDescent="0.3">
      <c r="A26" s="177" t="s">
        <v>60</v>
      </c>
      <c r="B26" s="177" t="s">
        <v>61</v>
      </c>
      <c r="C26" s="178" t="s">
        <v>94</v>
      </c>
      <c r="D26" s="179" t="s">
        <v>95</v>
      </c>
      <c r="E26" s="180">
        <v>15</v>
      </c>
      <c r="F26" s="181" t="s">
        <v>96</v>
      </c>
      <c r="G26" s="182"/>
      <c r="H26" s="133"/>
      <c r="I26" s="134"/>
    </row>
    <row r="27" spans="1:9" ht="18.75" x14ac:dyDescent="0.3">
      <c r="A27" s="183"/>
      <c r="B27" s="141" t="s">
        <v>113</v>
      </c>
      <c r="C27" s="149" t="s">
        <v>114</v>
      </c>
      <c r="D27" s="179"/>
      <c r="E27" s="180">
        <v>15</v>
      </c>
      <c r="F27" s="181" t="s">
        <v>96</v>
      </c>
      <c r="G27" s="182"/>
      <c r="H27" s="133"/>
      <c r="I27" s="134"/>
    </row>
    <row r="28" spans="1:9" ht="18.75" x14ac:dyDescent="0.3">
      <c r="A28" s="141" t="s">
        <v>52</v>
      </c>
      <c r="B28" s="141" t="s">
        <v>57</v>
      </c>
      <c r="C28" s="149" t="s">
        <v>53</v>
      </c>
      <c r="D28" s="184" t="s">
        <v>97</v>
      </c>
      <c r="E28" s="171">
        <v>15</v>
      </c>
      <c r="F28" s="146" t="s">
        <v>96</v>
      </c>
      <c r="G28" s="182"/>
      <c r="H28" s="133"/>
      <c r="I28" s="134"/>
    </row>
    <row r="29" spans="1:9" ht="18.75" x14ac:dyDescent="0.3">
      <c r="A29" s="185"/>
      <c r="B29" s="185" t="s">
        <v>69</v>
      </c>
      <c r="C29" s="186" t="s">
        <v>70</v>
      </c>
      <c r="D29" s="179" t="s">
        <v>98</v>
      </c>
      <c r="E29" s="180">
        <v>15</v>
      </c>
      <c r="F29" s="181" t="s">
        <v>96</v>
      </c>
      <c r="G29" s="132"/>
      <c r="H29" s="133"/>
      <c r="I29" s="134"/>
    </row>
    <row r="30" spans="1:9" ht="18.75" x14ac:dyDescent="0.3">
      <c r="A30" s="185"/>
      <c r="B30" s="141" t="s">
        <v>111</v>
      </c>
      <c r="C30" s="149" t="s">
        <v>112</v>
      </c>
      <c r="D30" s="179"/>
      <c r="E30" s="180">
        <v>15</v>
      </c>
      <c r="F30" s="181" t="s">
        <v>96</v>
      </c>
      <c r="G30" s="132"/>
      <c r="H30" s="133"/>
      <c r="I30" s="134"/>
    </row>
    <row r="31" spans="1:9" ht="18.75" x14ac:dyDescent="0.3">
      <c r="A31" s="185"/>
      <c r="B31" s="185"/>
      <c r="C31" s="186"/>
      <c r="D31" s="179"/>
      <c r="E31" s="180"/>
      <c r="F31" s="181"/>
      <c r="G31" s="187"/>
      <c r="H31" s="133"/>
      <c r="I31" s="134"/>
    </row>
    <row r="32" spans="1:9" ht="18.75" x14ac:dyDescent="0.3">
      <c r="A32" s="185"/>
      <c r="B32" s="185"/>
      <c r="C32" s="186"/>
      <c r="D32" s="179"/>
      <c r="E32" s="180"/>
      <c r="F32" s="181"/>
      <c r="G32" s="143"/>
      <c r="H32" s="133"/>
      <c r="I32" s="134"/>
    </row>
    <row r="33" spans="1:9" ht="18.75" x14ac:dyDescent="0.3">
      <c r="A33" s="188"/>
      <c r="B33" s="188"/>
      <c r="C33" s="189"/>
      <c r="D33" s="179"/>
      <c r="E33" s="172"/>
      <c r="F33" s="172"/>
      <c r="G33" s="143"/>
      <c r="H33" s="133"/>
      <c r="I33" s="134"/>
    </row>
    <row r="34" spans="1:9" ht="18.75" x14ac:dyDescent="0.3">
      <c r="A34" s="177"/>
      <c r="B34" s="141"/>
      <c r="C34" s="178"/>
      <c r="D34" s="184"/>
      <c r="E34" s="171"/>
      <c r="F34" s="146"/>
      <c r="G34" s="143"/>
      <c r="H34" s="133"/>
      <c r="I34" s="134"/>
    </row>
    <row r="35" spans="1:9" ht="18.75" x14ac:dyDescent="0.3">
      <c r="A35" s="185"/>
      <c r="B35" s="185"/>
      <c r="C35" s="186"/>
      <c r="D35" s="179"/>
      <c r="E35" s="171"/>
      <c r="F35" s="146"/>
      <c r="G35" s="143"/>
      <c r="H35" s="133"/>
      <c r="I35" s="134"/>
    </row>
    <row r="36" spans="1:9" ht="18.75" x14ac:dyDescent="0.3">
      <c r="A36" s="151"/>
      <c r="B36" s="152"/>
      <c r="C36" s="190"/>
      <c r="D36" s="137"/>
      <c r="E36" s="137"/>
      <c r="F36" s="138"/>
      <c r="G36" s="137"/>
      <c r="H36" s="137"/>
      <c r="I36" s="134"/>
    </row>
    <row r="37" spans="1:9" ht="18.75" thickBot="1" x14ac:dyDescent="0.3">
      <c r="A37" s="191"/>
      <c r="B37" s="192"/>
      <c r="C37" s="193"/>
      <c r="D37" s="193"/>
      <c r="E37" s="194"/>
      <c r="F37" s="195"/>
      <c r="G37" s="193"/>
      <c r="H37" s="193"/>
      <c r="I37" s="196"/>
    </row>
    <row r="38" spans="1:9" ht="18.75" thickBot="1" x14ac:dyDescent="0.3">
      <c r="A38" s="197"/>
      <c r="B38" s="198"/>
      <c r="C38" s="199"/>
      <c r="D38" s="200" t="s">
        <v>6</v>
      </c>
      <c r="E38" s="201" t="s">
        <v>99</v>
      </c>
      <c r="F38" s="202"/>
      <c r="G38" s="199"/>
      <c r="H38" s="199"/>
      <c r="I38" s="203"/>
    </row>
    <row r="39" spans="1:9" ht="18" x14ac:dyDescent="0.25">
      <c r="A39" s="204" t="s">
        <v>12</v>
      </c>
      <c r="B39" s="205"/>
      <c r="C39" s="206"/>
      <c r="D39" s="170">
        <v>3410</v>
      </c>
      <c r="E39" s="207" t="s">
        <v>43</v>
      </c>
      <c r="F39" s="208" t="s">
        <v>100</v>
      </c>
      <c r="G39" s="208"/>
      <c r="H39" s="209"/>
      <c r="I39" s="210"/>
    </row>
    <row r="40" spans="1:9" ht="18" x14ac:dyDescent="0.25">
      <c r="A40" s="211" t="s">
        <v>11</v>
      </c>
      <c r="B40" s="212"/>
      <c r="C40" s="213"/>
      <c r="D40" s="171">
        <v>15</v>
      </c>
      <c r="E40" s="146" t="s">
        <v>101</v>
      </c>
      <c r="F40" s="214" t="s">
        <v>102</v>
      </c>
      <c r="G40" s="214"/>
      <c r="H40" s="215"/>
      <c r="I40" s="216"/>
    </row>
    <row r="41" spans="1:9" ht="18" x14ac:dyDescent="0.25">
      <c r="A41" s="211" t="s">
        <v>103</v>
      </c>
      <c r="B41" s="212"/>
      <c r="C41" s="213"/>
      <c r="D41" s="146">
        <v>15</v>
      </c>
      <c r="E41" s="146" t="s">
        <v>96</v>
      </c>
      <c r="F41" s="214" t="s">
        <v>104</v>
      </c>
      <c r="G41" s="214"/>
      <c r="H41" s="215"/>
      <c r="I41" s="216"/>
    </row>
    <row r="42" spans="1:9" ht="18" x14ac:dyDescent="0.25">
      <c r="A42" s="211" t="s">
        <v>105</v>
      </c>
      <c r="B42" s="212"/>
      <c r="C42" s="213"/>
      <c r="D42" s="171">
        <f>D39/D41</f>
        <v>227.33333333333334</v>
      </c>
      <c r="E42" s="146" t="s">
        <v>43</v>
      </c>
      <c r="F42" s="217" t="s">
        <v>106</v>
      </c>
      <c r="G42" s="218"/>
      <c r="H42" s="219"/>
      <c r="I42" s="220"/>
    </row>
    <row r="43" spans="1:9" ht="18.75" thickBot="1" x14ac:dyDescent="0.3">
      <c r="A43" s="221" t="s">
        <v>107</v>
      </c>
      <c r="B43" s="222"/>
      <c r="C43" s="223"/>
      <c r="D43" s="224">
        <v>10</v>
      </c>
      <c r="E43" s="225" t="s">
        <v>43</v>
      </c>
      <c r="F43" s="226"/>
      <c r="G43" s="226"/>
      <c r="H43" s="215"/>
      <c r="I43" s="216"/>
    </row>
    <row r="44" spans="1:9" ht="18.75" thickBot="1" x14ac:dyDescent="0.3">
      <c r="A44" s="227" t="s">
        <v>108</v>
      </c>
      <c r="B44" s="228"/>
      <c r="C44" s="228"/>
      <c r="D44" s="228"/>
      <c r="E44" s="228"/>
      <c r="F44" s="228"/>
      <c r="G44" s="228"/>
      <c r="H44" s="228"/>
      <c r="I44" s="229"/>
    </row>
    <row r="45" spans="1:9" ht="18.399999999999999" customHeight="1" x14ac:dyDescent="0.3">
      <c r="A45" s="230" t="s">
        <v>49</v>
      </c>
      <c r="B45" s="230"/>
      <c r="C45" s="230"/>
      <c r="D45" s="230"/>
      <c r="E45" s="230"/>
      <c r="F45" s="230"/>
      <c r="G45" s="230"/>
      <c r="H45" s="230"/>
      <c r="I45" s="231"/>
    </row>
    <row r="46" spans="1:9" ht="18.75" x14ac:dyDescent="0.3">
      <c r="A46" s="232" t="s">
        <v>47</v>
      </c>
      <c r="B46" s="232"/>
      <c r="C46" s="232"/>
      <c r="D46" s="232"/>
      <c r="E46" s="232"/>
      <c r="F46" s="232"/>
      <c r="G46" s="232"/>
      <c r="H46" s="232"/>
      <c r="I46" s="232"/>
    </row>
    <row r="47" spans="1:9" ht="18.75" x14ac:dyDescent="0.3">
      <c r="A47" s="232" t="s">
        <v>51</v>
      </c>
      <c r="B47" s="232"/>
      <c r="C47" s="232"/>
      <c r="D47" s="232"/>
      <c r="E47" s="232"/>
      <c r="F47" s="232"/>
      <c r="G47" s="232"/>
      <c r="H47" s="232"/>
      <c r="I47" s="232"/>
    </row>
    <row r="48" spans="1:9" ht="18.75" x14ac:dyDescent="0.3">
      <c r="A48" s="232" t="s">
        <v>55</v>
      </c>
      <c r="B48" s="232"/>
      <c r="C48" s="232"/>
      <c r="D48" s="232"/>
      <c r="E48" s="232"/>
      <c r="F48" s="232"/>
      <c r="G48" s="232"/>
      <c r="H48" s="232"/>
      <c r="I48" s="232"/>
    </row>
    <row r="49" spans="1:9" ht="18.75" x14ac:dyDescent="0.3">
      <c r="A49" s="232" t="s">
        <v>48</v>
      </c>
      <c r="B49" s="232"/>
      <c r="C49" s="232"/>
      <c r="D49" s="232"/>
      <c r="E49" s="232"/>
      <c r="F49" s="232"/>
      <c r="G49" s="232"/>
      <c r="H49" s="232"/>
      <c r="I49" s="232"/>
    </row>
    <row r="50" spans="1:9" ht="14.65" customHeight="1" x14ac:dyDescent="0.25">
      <c r="A50" s="233"/>
      <c r="B50" s="234"/>
      <c r="C50" s="234"/>
      <c r="D50" s="234"/>
      <c r="E50" s="234"/>
      <c r="F50" s="234"/>
      <c r="G50" s="234"/>
      <c r="H50" s="234"/>
      <c r="I50" s="235"/>
    </row>
    <row r="51" spans="1:9" ht="18" customHeight="1" x14ac:dyDescent="0.25">
      <c r="A51" s="236"/>
      <c r="B51" s="237"/>
      <c r="C51" s="237"/>
      <c r="D51" s="237"/>
      <c r="E51" s="237"/>
      <c r="F51" s="237"/>
      <c r="G51" s="237"/>
      <c r="H51" s="237"/>
      <c r="I51" s="238"/>
    </row>
    <row r="52" spans="1:9" ht="18" x14ac:dyDescent="0.25">
      <c r="A52" s="236"/>
      <c r="B52" s="237"/>
      <c r="C52" s="237"/>
      <c r="D52" s="237"/>
      <c r="E52" s="237"/>
      <c r="F52" s="237"/>
      <c r="G52" s="237"/>
      <c r="H52" s="237"/>
      <c r="I52" s="238"/>
    </row>
    <row r="53" spans="1:9" ht="19.5" thickBot="1" x14ac:dyDescent="0.35">
      <c r="A53" s="239"/>
      <c r="B53" s="240"/>
      <c r="C53" s="240"/>
      <c r="D53" s="240"/>
      <c r="E53" s="240"/>
      <c r="F53" s="240"/>
      <c r="G53" s="240"/>
      <c r="H53" s="240"/>
      <c r="I53" s="241"/>
    </row>
    <row r="54" spans="1:9" ht="18" x14ac:dyDescent="0.25">
      <c r="A54" s="242" t="s">
        <v>109</v>
      </c>
      <c r="B54" s="243"/>
      <c r="C54" s="243"/>
      <c r="D54" s="243"/>
      <c r="E54" s="243"/>
      <c r="F54" s="243"/>
      <c r="G54" s="243"/>
      <c r="H54" s="243"/>
      <c r="I54" s="243"/>
    </row>
    <row r="55" spans="1:9" ht="18" x14ac:dyDescent="0.25">
      <c r="A55" s="111" t="s">
        <v>119</v>
      </c>
      <c r="B55" s="112"/>
      <c r="C55" s="112"/>
      <c r="D55" s="112"/>
      <c r="E55" s="112"/>
      <c r="F55" s="112"/>
      <c r="G55" s="112"/>
      <c r="H55" s="112"/>
      <c r="I55" s="113"/>
    </row>
    <row r="56" spans="1:9" ht="13.5" x14ac:dyDescent="0.25">
      <c r="A56" s="64"/>
      <c r="B56" s="65"/>
      <c r="C56" s="65"/>
      <c r="D56" s="65"/>
      <c r="E56" s="65"/>
      <c r="F56" s="65"/>
      <c r="G56" s="65"/>
      <c r="H56" s="65"/>
      <c r="I56" s="65"/>
    </row>
  </sheetData>
  <mergeCells count="45">
    <mergeCell ref="A53:I53"/>
    <mergeCell ref="A54:I54"/>
    <mergeCell ref="A55:I55"/>
    <mergeCell ref="A56:I56"/>
    <mergeCell ref="A47:I47"/>
    <mergeCell ref="A48:I48"/>
    <mergeCell ref="A49:I49"/>
    <mergeCell ref="A50:I50"/>
    <mergeCell ref="A51:I51"/>
    <mergeCell ref="A52:I52"/>
    <mergeCell ref="A46:I46"/>
    <mergeCell ref="A41:C41"/>
    <mergeCell ref="F41:G41"/>
    <mergeCell ref="H41:I41"/>
    <mergeCell ref="A42:C42"/>
    <mergeCell ref="F42:G42"/>
    <mergeCell ref="H42:I42"/>
    <mergeCell ref="A43:C43"/>
    <mergeCell ref="F43:G43"/>
    <mergeCell ref="H43:I43"/>
    <mergeCell ref="A44:I44"/>
    <mergeCell ref="A45:H45"/>
    <mergeCell ref="A39:C39"/>
    <mergeCell ref="F39:G39"/>
    <mergeCell ref="H39:I39"/>
    <mergeCell ref="A40:C40"/>
    <mergeCell ref="F40:G40"/>
    <mergeCell ref="H40:I40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E58BF-D8DC-4CF6-A0DA-804FB1770905}">
  <dimension ref="A1:AL41"/>
  <sheetViews>
    <sheetView topLeftCell="A13" workbookViewId="0">
      <selection activeCell="N31" sqref="N31"/>
    </sheetView>
  </sheetViews>
  <sheetFormatPr baseColWidth="10" defaultColWidth="8.42578125" defaultRowHeight="11.25" x14ac:dyDescent="0.2"/>
  <cols>
    <col min="1" max="1" width="7.5703125" style="2" customWidth="1"/>
    <col min="2" max="2" width="7.7109375" style="2" bestFit="1" customWidth="1"/>
    <col min="3" max="3" width="39.28515625" style="2" customWidth="1"/>
    <col min="4" max="4" width="10" style="2" bestFit="1" customWidth="1"/>
    <col min="5" max="5" width="9.42578125" style="2" bestFit="1" customWidth="1"/>
    <col min="6" max="6" width="11.7109375" style="49" customWidth="1"/>
    <col min="7" max="7" width="8.7109375" style="50" bestFit="1" customWidth="1"/>
    <col min="8" max="8" width="10.28515625" style="51" bestFit="1" customWidth="1"/>
    <col min="9" max="38" width="8.42578125" style="2" customWidth="1"/>
    <col min="39" max="16384" width="8.42578125" style="2"/>
  </cols>
  <sheetData>
    <row r="1" spans="2:8" ht="36" customHeight="1" thickBot="1" x14ac:dyDescent="0.35">
      <c r="B1" s="82"/>
      <c r="C1" s="83"/>
      <c r="D1" s="83"/>
      <c r="E1" s="83"/>
      <c r="F1" s="83"/>
      <c r="G1" s="83"/>
      <c r="H1" s="84"/>
    </row>
    <row r="2" spans="2:8" ht="19.5" customHeight="1" thickBot="1" x14ac:dyDescent="0.25">
      <c r="B2" s="85" t="s">
        <v>16</v>
      </c>
      <c r="C2" s="85"/>
      <c r="D2" s="85"/>
      <c r="E2" s="85"/>
      <c r="F2" s="85"/>
      <c r="G2" s="85"/>
      <c r="H2" s="85"/>
    </row>
    <row r="3" spans="2:8" ht="19.5" customHeight="1" thickTop="1" x14ac:dyDescent="0.2">
      <c r="B3" s="86" t="s">
        <v>32</v>
      </c>
      <c r="C3" s="86"/>
      <c r="D3" s="86"/>
      <c r="E3" s="86"/>
      <c r="F3" s="86"/>
      <c r="G3" s="86"/>
      <c r="H3" s="86"/>
    </row>
    <row r="4" spans="2:8" ht="19.5" customHeight="1" x14ac:dyDescent="0.2">
      <c r="B4" s="3"/>
      <c r="C4" s="3"/>
      <c r="D4" s="3"/>
      <c r="E4" s="3"/>
      <c r="F4" s="87" t="s">
        <v>31</v>
      </c>
      <c r="G4" s="87"/>
      <c r="H4" s="1">
        <v>41596</v>
      </c>
    </row>
    <row r="5" spans="2:8" ht="30" customHeight="1" x14ac:dyDescent="0.2">
      <c r="B5" s="4" t="s">
        <v>17</v>
      </c>
      <c r="C5" s="4" t="s">
        <v>13</v>
      </c>
      <c r="D5" s="4" t="s">
        <v>17</v>
      </c>
      <c r="E5" s="5" t="s">
        <v>18</v>
      </c>
      <c r="F5" s="5" t="s">
        <v>19</v>
      </c>
      <c r="G5" s="5" t="s">
        <v>20</v>
      </c>
      <c r="H5" s="5" t="s">
        <v>21</v>
      </c>
    </row>
    <row r="6" spans="2:8" s="6" customFormat="1" ht="20.100000000000001" customHeight="1" x14ac:dyDescent="0.2">
      <c r="B6" s="7">
        <v>1</v>
      </c>
      <c r="C6" s="6" t="s">
        <v>45</v>
      </c>
      <c r="D6" s="52">
        <f>+B6</f>
        <v>1</v>
      </c>
      <c r="E6" s="52" t="e">
        <v>#REF!</v>
      </c>
      <c r="F6" s="8" t="e">
        <f>+D6*E6</f>
        <v>#REF!</v>
      </c>
      <c r="G6" s="9" t="e">
        <f>+F6/$F$29</f>
        <v>#REF!</v>
      </c>
      <c r="H6" s="10" t="s">
        <v>14</v>
      </c>
    </row>
    <row r="7" spans="2:8" ht="17.25" customHeight="1" x14ac:dyDescent="0.2">
      <c r="B7" s="11"/>
      <c r="C7" s="12"/>
      <c r="D7" s="53"/>
      <c r="E7" s="53"/>
      <c r="F7" s="13"/>
      <c r="G7" s="14"/>
      <c r="H7" s="15"/>
    </row>
    <row r="8" spans="2:8" ht="30" customHeight="1" x14ac:dyDescent="0.2">
      <c r="B8" s="4" t="s">
        <v>17</v>
      </c>
      <c r="C8" s="4" t="s">
        <v>15</v>
      </c>
      <c r="D8" s="4" t="s">
        <v>17</v>
      </c>
      <c r="E8" s="5" t="s">
        <v>18</v>
      </c>
      <c r="F8" s="5" t="s">
        <v>19</v>
      </c>
      <c r="G8" s="5" t="s">
        <v>20</v>
      </c>
      <c r="H8" s="5" t="s">
        <v>21</v>
      </c>
    </row>
    <row r="9" spans="2:8" s="6" customFormat="1" ht="20.100000000000001" customHeight="1" x14ac:dyDescent="0.2">
      <c r="B9" s="7">
        <v>1</v>
      </c>
      <c r="C9" s="6" t="s">
        <v>22</v>
      </c>
      <c r="D9" s="52">
        <f>+B9</f>
        <v>1</v>
      </c>
      <c r="E9" s="52" t="e">
        <v>#REF!</v>
      </c>
      <c r="F9" s="8" t="e">
        <f>+D9*E9</f>
        <v>#REF!</v>
      </c>
      <c r="G9" s="9" t="e">
        <f>+F9/$F$29</f>
        <v>#REF!</v>
      </c>
      <c r="H9" s="10" t="s">
        <v>23</v>
      </c>
    </row>
    <row r="10" spans="2:8" s="16" customFormat="1" ht="17.25" customHeight="1" x14ac:dyDescent="0.2">
      <c r="B10" s="54"/>
      <c r="C10" s="17"/>
      <c r="D10" s="18"/>
      <c r="E10" s="18"/>
      <c r="F10" s="19"/>
      <c r="G10" s="20"/>
      <c r="H10" s="21"/>
    </row>
    <row r="11" spans="2:8" s="16" customFormat="1" ht="12" x14ac:dyDescent="0.2">
      <c r="B11" s="7"/>
      <c r="C11" s="78" t="s">
        <v>33</v>
      </c>
      <c r="D11" s="78"/>
      <c r="E11" s="52"/>
      <c r="F11" s="55" t="e">
        <f>SUM(F6)</f>
        <v>#REF!</v>
      </c>
      <c r="G11" s="22" t="e">
        <f>+F11/$F$29</f>
        <v>#REF!</v>
      </c>
      <c r="H11" s="10"/>
    </row>
    <row r="12" spans="2:8" s="16" customFormat="1" ht="12.75" thickBot="1" x14ac:dyDescent="0.25">
      <c r="B12" s="7"/>
      <c r="C12" s="78" t="s">
        <v>34</v>
      </c>
      <c r="D12" s="78"/>
      <c r="E12" s="52"/>
      <c r="F12" s="56" t="e">
        <f>SUM(F9)</f>
        <v>#REF!</v>
      </c>
      <c r="G12" s="22" t="e">
        <f t="shared" ref="G12:G23" si="0">+F12/$F$29</f>
        <v>#REF!</v>
      </c>
      <c r="H12" s="10"/>
    </row>
    <row r="13" spans="2:8" s="16" customFormat="1" ht="12.75" thickTop="1" x14ac:dyDescent="0.2">
      <c r="B13" s="7"/>
      <c r="C13" s="66" t="s">
        <v>35</v>
      </c>
      <c r="D13" s="66"/>
      <c r="E13" s="66"/>
      <c r="F13" s="57" t="e">
        <f>SUM(F11:F12)</f>
        <v>#REF!</v>
      </c>
      <c r="G13" s="22" t="e">
        <f t="shared" si="0"/>
        <v>#REF!</v>
      </c>
      <c r="H13" s="10"/>
    </row>
    <row r="14" spans="2:8" s="16" customFormat="1" ht="12" x14ac:dyDescent="0.2">
      <c r="C14" s="23"/>
      <c r="D14" s="23"/>
      <c r="E14" s="24"/>
      <c r="F14" s="25"/>
      <c r="G14" s="26"/>
    </row>
    <row r="15" spans="2:8" s="16" customFormat="1" ht="12" x14ac:dyDescent="0.2">
      <c r="B15" s="78" t="s">
        <v>35</v>
      </c>
      <c r="C15" s="78"/>
      <c r="D15" s="78"/>
      <c r="E15" s="28" t="s">
        <v>25</v>
      </c>
      <c r="F15" s="55" t="e">
        <f>+F13</f>
        <v>#REF!</v>
      </c>
      <c r="G15" s="22" t="e">
        <f t="shared" si="0"/>
        <v>#REF!</v>
      </c>
      <c r="H15" s="29"/>
    </row>
    <row r="16" spans="2:8" s="16" customFormat="1" ht="12.75" customHeight="1" x14ac:dyDescent="0.2">
      <c r="B16" s="27"/>
      <c r="C16" s="78" t="s">
        <v>26</v>
      </c>
      <c r="D16" s="81"/>
      <c r="E16" s="30"/>
      <c r="F16" s="55" t="e">
        <v>#REF!</v>
      </c>
      <c r="G16" s="22" t="e">
        <f t="shared" si="0"/>
        <v>#REF!</v>
      </c>
      <c r="H16" s="29"/>
    </row>
    <row r="17" spans="1:38" s="16" customFormat="1" ht="12.75" customHeight="1" x14ac:dyDescent="0.2">
      <c r="B17" s="27"/>
      <c r="C17" s="78" t="s">
        <v>24</v>
      </c>
      <c r="D17" s="78"/>
      <c r="E17" s="31">
        <v>0.02</v>
      </c>
      <c r="F17" s="55" t="e">
        <f>+(F15+F16)*E17</f>
        <v>#REF!</v>
      </c>
      <c r="G17" s="22" t="e">
        <f t="shared" si="0"/>
        <v>#REF!</v>
      </c>
      <c r="H17" s="29"/>
    </row>
    <row r="18" spans="1:38" s="16" customFormat="1" ht="12.75" thickBot="1" x14ac:dyDescent="0.25">
      <c r="B18" s="27"/>
      <c r="C18" s="78" t="s">
        <v>36</v>
      </c>
      <c r="D18" s="78"/>
      <c r="E18" s="32"/>
      <c r="F18" s="55" t="e">
        <f>+(F16*0.32+F15*0.03)</f>
        <v>#REF!</v>
      </c>
      <c r="G18" s="22" t="e">
        <f t="shared" si="0"/>
        <v>#REF!</v>
      </c>
      <c r="H18" s="29"/>
    </row>
    <row r="19" spans="1:38" s="16" customFormat="1" ht="12.75" thickBot="1" x14ac:dyDescent="0.25">
      <c r="B19" s="23"/>
      <c r="C19" s="79" t="s">
        <v>37</v>
      </c>
      <c r="D19" s="79"/>
      <c r="E19" s="80"/>
      <c r="F19" s="58" t="e">
        <f>SUM(F15:F18)</f>
        <v>#REF!</v>
      </c>
      <c r="G19" s="22" t="e">
        <f t="shared" si="0"/>
        <v>#REF!</v>
      </c>
      <c r="H19" s="29"/>
    </row>
    <row r="20" spans="1:38" s="16" customFormat="1" ht="12.75" thickBot="1" x14ac:dyDescent="0.25">
      <c r="B20" s="23"/>
      <c r="C20" s="78" t="s">
        <v>27</v>
      </c>
      <c r="D20" s="78"/>
      <c r="E20" s="33">
        <v>0.08</v>
      </c>
      <c r="F20" s="55" t="e">
        <f>+F19*E20</f>
        <v>#REF!</v>
      </c>
      <c r="G20" s="22" t="e">
        <f t="shared" si="0"/>
        <v>#REF!</v>
      </c>
      <c r="H20" s="29"/>
    </row>
    <row r="21" spans="1:38" s="16" customFormat="1" ht="12.75" thickBot="1" x14ac:dyDescent="0.25">
      <c r="B21" s="23"/>
      <c r="C21" s="79" t="s">
        <v>38</v>
      </c>
      <c r="D21" s="79"/>
      <c r="E21" s="80"/>
      <c r="F21" s="58" t="e">
        <f>SUM(F19:F20)</f>
        <v>#REF!</v>
      </c>
      <c r="G21" s="22" t="e">
        <f t="shared" si="0"/>
        <v>#REF!</v>
      </c>
      <c r="H21" s="29"/>
    </row>
    <row r="22" spans="1:38" s="16" customFormat="1" ht="12.75" thickBot="1" x14ac:dyDescent="0.25">
      <c r="B22" s="23"/>
      <c r="C22" s="78" t="s">
        <v>39</v>
      </c>
      <c r="D22" s="78"/>
      <c r="E22" s="33">
        <v>2.5000000000000001E-2</v>
      </c>
      <c r="F22" s="55" t="e">
        <f>+F21*E22</f>
        <v>#REF!</v>
      </c>
      <c r="G22" s="22" t="e">
        <f t="shared" si="0"/>
        <v>#REF!</v>
      </c>
      <c r="H22" s="29"/>
    </row>
    <row r="23" spans="1:38" s="16" customFormat="1" ht="12.75" thickBot="1" x14ac:dyDescent="0.25">
      <c r="B23" s="23"/>
      <c r="C23" s="66" t="s">
        <v>40</v>
      </c>
      <c r="D23" s="66"/>
      <c r="E23" s="67"/>
      <c r="F23" s="58" t="e">
        <f>SUM(F21:F22)</f>
        <v>#REF!</v>
      </c>
      <c r="G23" s="22" t="e">
        <f t="shared" si="0"/>
        <v>#REF!</v>
      </c>
      <c r="H23" s="34"/>
    </row>
    <row r="24" spans="1:38" s="16" customFormat="1" ht="12.75" thickBot="1" x14ac:dyDescent="0.25">
      <c r="B24" s="23"/>
      <c r="C24" s="35"/>
      <c r="D24" s="35"/>
      <c r="E24" s="35"/>
      <c r="F24" s="57"/>
      <c r="G24" s="36"/>
      <c r="H24" s="34"/>
    </row>
    <row r="25" spans="1:38" s="37" customFormat="1" ht="19.5" customHeight="1" thickBot="1" x14ac:dyDescent="0.25">
      <c r="A25" s="68"/>
      <c r="B25" s="69"/>
      <c r="C25" s="69"/>
      <c r="D25" s="69"/>
      <c r="E25" s="69"/>
      <c r="F25" s="69"/>
      <c r="G25" s="69"/>
      <c r="H25" s="69"/>
      <c r="I25" s="70"/>
      <c r="J25" s="16"/>
      <c r="K25" s="16"/>
      <c r="L25" s="16"/>
      <c r="M25" s="16"/>
      <c r="N25" s="16"/>
      <c r="O25" s="16"/>
      <c r="P25" s="16"/>
      <c r="Q25" s="16"/>
      <c r="R25" s="16"/>
      <c r="S25" s="16"/>
      <c r="T25" s="16"/>
      <c r="U25" s="16"/>
      <c r="V25" s="16"/>
      <c r="W25" s="16"/>
      <c r="X25" s="16"/>
      <c r="Y25" s="16"/>
      <c r="Z25" s="16"/>
      <c r="AA25" s="16"/>
      <c r="AB25" s="16"/>
      <c r="AC25" s="16"/>
      <c r="AD25" s="16"/>
      <c r="AE25" s="16"/>
      <c r="AF25" s="16"/>
      <c r="AG25" s="16"/>
      <c r="AH25" s="16"/>
      <c r="AI25" s="16"/>
      <c r="AJ25" s="16"/>
      <c r="AK25" s="16"/>
      <c r="AL25" s="16"/>
    </row>
    <row r="26" spans="1:38" s="16" customFormat="1" ht="19.5" customHeight="1" thickBot="1" x14ac:dyDescent="0.25">
      <c r="F26" s="38"/>
      <c r="G26" s="39"/>
      <c r="H26" s="29"/>
    </row>
    <row r="27" spans="1:38" s="16" customFormat="1" ht="13.5" customHeight="1" thickBot="1" x14ac:dyDescent="0.25">
      <c r="B27" s="23"/>
      <c r="C27" s="66" t="s">
        <v>40</v>
      </c>
      <c r="D27" s="66"/>
      <c r="E27" s="67"/>
      <c r="F27" s="58" t="e">
        <f>+F23</f>
        <v>#REF!</v>
      </c>
      <c r="G27" s="22" t="e">
        <f>+F27/$F$29</f>
        <v>#REF!</v>
      </c>
      <c r="H27" s="29"/>
    </row>
    <row r="28" spans="1:38" s="16" customFormat="1" ht="12" x14ac:dyDescent="0.2">
      <c r="B28" s="17"/>
      <c r="C28" s="75" t="s">
        <v>28</v>
      </c>
      <c r="D28" s="75"/>
      <c r="E28" s="33">
        <v>0.45</v>
      </c>
      <c r="F28" s="55" t="e">
        <f>+F27*E28</f>
        <v>#REF!</v>
      </c>
      <c r="G28" s="36"/>
      <c r="H28" s="40"/>
    </row>
    <row r="29" spans="1:38" s="16" customFormat="1" ht="12.75" thickBot="1" x14ac:dyDescent="0.25">
      <c r="B29" s="17"/>
      <c r="C29" s="75" t="s">
        <v>29</v>
      </c>
      <c r="D29" s="75"/>
      <c r="E29" s="41"/>
      <c r="F29" s="55" t="e">
        <f>SUM(F27:F28)</f>
        <v>#REF!</v>
      </c>
      <c r="G29" s="36"/>
      <c r="H29" s="34"/>
    </row>
    <row r="30" spans="1:38" s="16" customFormat="1" ht="12.75" thickBot="1" x14ac:dyDescent="0.25">
      <c r="B30" s="17"/>
      <c r="C30" s="76" t="s">
        <v>30</v>
      </c>
      <c r="D30" s="76"/>
      <c r="E30" s="42">
        <v>0.13</v>
      </c>
      <c r="F30" s="43" t="e">
        <f>+F29*(1+E30)</f>
        <v>#REF!</v>
      </c>
      <c r="G30" s="36"/>
      <c r="H30" s="34"/>
    </row>
    <row r="31" spans="1:38" s="16" customFormat="1" ht="12.75" thickBot="1" x14ac:dyDescent="0.25">
      <c r="A31" s="68"/>
      <c r="B31" s="69"/>
      <c r="C31" s="69"/>
      <c r="D31" s="69"/>
      <c r="E31" s="69"/>
      <c r="F31" s="69"/>
      <c r="G31" s="69"/>
      <c r="H31" s="69"/>
      <c r="I31" s="70"/>
    </row>
    <row r="32" spans="1:38" s="16" customFormat="1" ht="12" x14ac:dyDescent="0.2">
      <c r="B32" s="17"/>
      <c r="C32" s="77" t="s">
        <v>41</v>
      </c>
      <c r="D32" s="77"/>
      <c r="E32" s="44">
        <v>0.65</v>
      </c>
      <c r="F32" s="45" t="e">
        <f>+F29/0.65</f>
        <v>#REF!</v>
      </c>
      <c r="G32" s="36"/>
      <c r="H32" s="34"/>
    </row>
    <row r="33" spans="1:38" s="16" customFormat="1" ht="12" x14ac:dyDescent="0.2">
      <c r="B33" s="17"/>
      <c r="C33" s="75" t="s">
        <v>42</v>
      </c>
      <c r="D33" s="75"/>
      <c r="E33" s="44">
        <v>0.13</v>
      </c>
      <c r="F33" s="45" t="e">
        <f>+F32*1.13</f>
        <v>#REF!</v>
      </c>
      <c r="G33" s="36"/>
      <c r="H33" s="34"/>
    </row>
    <row r="34" spans="1:38" s="16" customFormat="1" ht="12.75" thickBot="1" x14ac:dyDescent="0.25">
      <c r="C34" s="71"/>
      <c r="D34" s="71"/>
      <c r="F34" s="46"/>
      <c r="G34" s="47"/>
      <c r="H34" s="29"/>
    </row>
    <row r="35" spans="1:38" s="37" customFormat="1" ht="19.5" customHeight="1" thickBot="1" x14ac:dyDescent="0.3">
      <c r="A35" s="72" t="s">
        <v>44</v>
      </c>
      <c r="B35" s="73"/>
      <c r="C35" s="73"/>
      <c r="D35" s="73"/>
      <c r="E35" s="73"/>
      <c r="F35" s="73"/>
      <c r="G35" s="73"/>
      <c r="H35" s="73"/>
      <c r="I35" s="74"/>
      <c r="J35" s="16"/>
      <c r="K35" s="16"/>
      <c r="L35" s="16"/>
      <c r="M35" s="16"/>
      <c r="N35" s="16"/>
      <c r="O35" s="16"/>
      <c r="P35" s="16"/>
      <c r="Q35" s="16"/>
      <c r="R35" s="16"/>
      <c r="S35" s="16"/>
      <c r="T35" s="16"/>
      <c r="U35" s="16"/>
      <c r="V35" s="16"/>
      <c r="W35" s="16"/>
      <c r="X35" s="16"/>
      <c r="Y35" s="16"/>
      <c r="Z35" s="16"/>
      <c r="AA35" s="16"/>
      <c r="AB35" s="16"/>
      <c r="AC35" s="16"/>
      <c r="AD35" s="16"/>
      <c r="AE35" s="16"/>
      <c r="AF35" s="16"/>
      <c r="AG35" s="16"/>
      <c r="AH35" s="16"/>
      <c r="AI35" s="16"/>
      <c r="AJ35" s="16"/>
      <c r="AK35" s="16"/>
      <c r="AL35" s="16"/>
    </row>
    <row r="36" spans="1:38" s="16" customFormat="1" ht="12" x14ac:dyDescent="0.2">
      <c r="F36" s="48"/>
      <c r="G36" s="47"/>
      <c r="H36" s="29"/>
    </row>
    <row r="41" spans="1:38" ht="12" x14ac:dyDescent="0.2">
      <c r="H41" s="19"/>
    </row>
  </sheetData>
  <mergeCells count="26">
    <mergeCell ref="B1:H1"/>
    <mergeCell ref="B2:H2"/>
    <mergeCell ref="B3:H3"/>
    <mergeCell ref="F4:G4"/>
    <mergeCell ref="C11:D11"/>
    <mergeCell ref="C12:D12"/>
    <mergeCell ref="C13:E13"/>
    <mergeCell ref="B15:D15"/>
    <mergeCell ref="C16:D16"/>
    <mergeCell ref="C17:D17"/>
    <mergeCell ref="C18:D18"/>
    <mergeCell ref="C19:E19"/>
    <mergeCell ref="C20:D20"/>
    <mergeCell ref="C21:E21"/>
    <mergeCell ref="C22:D22"/>
    <mergeCell ref="C23:E23"/>
    <mergeCell ref="A25:I25"/>
    <mergeCell ref="C27:E27"/>
    <mergeCell ref="C34:D34"/>
    <mergeCell ref="A35:I35"/>
    <mergeCell ref="C28:D28"/>
    <mergeCell ref="C29:D29"/>
    <mergeCell ref="C30:D30"/>
    <mergeCell ref="A31:I31"/>
    <mergeCell ref="C32:D32"/>
    <mergeCell ref="C33:D33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LongProperties xmlns="http://schemas.microsoft.com/office/2006/metadata/longProperties"/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7E868833-B5D3-4E73-B8C6-179C2690215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783C747-15F6-4F1B-A4CE-07AC9EC229A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98F397E-5101-4FDD-BF43-86C37951EF6A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20CE4602-A6DB-4585-BDD9-0175F28E6122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HORECAS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Mbeeche</dc:creator>
  <cp:lastModifiedBy>Miguel Coto Consultor</cp:lastModifiedBy>
  <cp:lastPrinted>2024-07-04T14:10:25Z</cp:lastPrinted>
  <dcterms:created xsi:type="dcterms:W3CDTF">2011-03-11T22:59:33Z</dcterms:created>
  <dcterms:modified xsi:type="dcterms:W3CDTF">2025-04-07T22:16:13Z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378000.000000000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ContentTypeId">
    <vt:lpwstr>0x0101005C97FB89D0086C4984F8F1A28A5D30F9</vt:lpwstr>
  </property>
  <property fmtid="{D5CDD505-2E9C-101B-9397-08002B2CF9AE}" pid="6" name="MediaServiceImageTags">
    <vt:lpwstr/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
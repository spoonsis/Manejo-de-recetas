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F/"/>
    </mc:Choice>
  </mc:AlternateContent>
  <xr:revisionPtr revIDLastSave="38" documentId="8_{1419C973-04AF-4323-95F0-CA52FD1F66DE}" xr6:coauthVersionLast="47" xr6:coauthVersionMax="47" xr10:uidLastSave="{6797E23D-5C66-472E-A687-641A2FD22F46}"/>
  <bookViews>
    <workbookView xWindow="-120" yWindow="-120" windowWidth="20730" windowHeight="11040" tabRatio="876" xr2:uid="{00000000-000D-0000-FFFF-FFFF00000000}"/>
  </bookViews>
  <sheets>
    <sheet name="Hoja2" sheetId="10" r:id="rId1"/>
    <sheet name="Costo salsa culantro " sheetId="7" state="hidden" r:id="rId2"/>
    <sheet name="Costo empaque" sheetId="8" state="hidden" r:id="rId3"/>
  </sheets>
  <externalReferences>
    <externalReference r:id="rId4"/>
    <externalReference r:id="rId5"/>
    <externalReference r:id="rId6"/>
  </externalReferences>
  <definedNames>
    <definedName name="_xlnm.Print_Area" localSheetId="0">Hoja2!$A$1:$I$59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7" l="1"/>
  <c r="E37" i="7"/>
  <c r="E22" i="7"/>
  <c r="C9" i="7"/>
  <c r="D9" i="7"/>
  <c r="E9" i="7"/>
  <c r="C10" i="7"/>
  <c r="C11" i="7"/>
  <c r="E11" i="7"/>
  <c r="C12" i="7"/>
  <c r="C13" i="7"/>
  <c r="C14" i="7"/>
  <c r="B15" i="7"/>
  <c r="C15" i="7"/>
  <c r="D15" i="7"/>
  <c r="E15" i="7"/>
  <c r="B16" i="7"/>
  <c r="C16" i="7"/>
  <c r="D16" i="7"/>
  <c r="E16" i="7"/>
  <c r="F16" i="7"/>
  <c r="B17" i="7"/>
  <c r="C17" i="7"/>
  <c r="D17" i="7"/>
  <c r="E17" i="7"/>
  <c r="F17" i="7"/>
  <c r="B18" i="7"/>
  <c r="C18" i="7"/>
  <c r="D18" i="7"/>
  <c r="E18" i="7"/>
  <c r="F18" i="7"/>
  <c r="D66" i="8"/>
  <c r="D67" i="8"/>
  <c r="D69" i="8"/>
  <c r="D64" i="8"/>
  <c r="D62" i="8"/>
  <c r="F58" i="8"/>
  <c r="C66" i="8"/>
  <c r="C78" i="8"/>
  <c r="E78" i="8"/>
  <c r="D53" i="8"/>
  <c r="D76" i="8"/>
  <c r="D78" i="8"/>
  <c r="D79" i="8"/>
  <c r="C44" i="8"/>
  <c r="F44" i="8"/>
  <c r="E43" i="8"/>
  <c r="A43" i="8"/>
  <c r="C43" i="8"/>
  <c r="E42" i="8"/>
  <c r="F42" i="8"/>
  <c r="A42" i="8"/>
  <c r="C42" i="8"/>
  <c r="E41" i="8"/>
  <c r="F41" i="8"/>
  <c r="A41" i="8"/>
  <c r="C41" i="8"/>
  <c r="E40" i="8"/>
  <c r="A40" i="8"/>
  <c r="C40" i="8"/>
  <c r="F40" i="8"/>
  <c r="A39" i="8"/>
  <c r="C39" i="8"/>
  <c r="E36" i="8"/>
  <c r="A36" i="8"/>
  <c r="C36" i="8"/>
  <c r="E35" i="8"/>
  <c r="A35" i="8"/>
  <c r="C35" i="8"/>
  <c r="E34" i="8"/>
  <c r="F34" i="8"/>
  <c r="G34" i="8"/>
  <c r="A34" i="8"/>
  <c r="C34" i="8"/>
  <c r="E33" i="8"/>
  <c r="A33" i="8"/>
  <c r="C33" i="8"/>
  <c r="F33" i="8"/>
  <c r="G33" i="8"/>
  <c r="A32" i="8"/>
  <c r="C32" i="8"/>
  <c r="E29" i="8"/>
  <c r="F29" i="8"/>
  <c r="D29" i="8"/>
  <c r="C29" i="8"/>
  <c r="B29" i="8"/>
  <c r="E28" i="8"/>
  <c r="D28" i="8"/>
  <c r="C28" i="8"/>
  <c r="F28" i="8"/>
  <c r="B28" i="8"/>
  <c r="E27" i="8"/>
  <c r="F27" i="8"/>
  <c r="D27" i="8"/>
  <c r="C27" i="8"/>
  <c r="B27" i="8"/>
  <c r="E26" i="8"/>
  <c r="F26" i="8"/>
  <c r="D26" i="8"/>
  <c r="C26" i="8"/>
  <c r="B26" i="8"/>
  <c r="E25" i="8"/>
  <c r="F25" i="8"/>
  <c r="D25" i="8"/>
  <c r="C25" i="8"/>
  <c r="B25" i="8"/>
  <c r="E24" i="8"/>
  <c r="F24" i="8"/>
  <c r="D24" i="8"/>
  <c r="C24" i="8"/>
  <c r="B24" i="8"/>
  <c r="E21" i="8"/>
  <c r="F21" i="8"/>
  <c r="D21" i="8"/>
  <c r="C21" i="8"/>
  <c r="B21" i="8"/>
  <c r="E20" i="8"/>
  <c r="F20" i="8"/>
  <c r="D20" i="8"/>
  <c r="C20" i="8"/>
  <c r="B20" i="8"/>
  <c r="E19" i="8"/>
  <c r="F19" i="8"/>
  <c r="D19" i="8"/>
  <c r="C19" i="8"/>
  <c r="B19" i="8"/>
  <c r="E18" i="8"/>
  <c r="F18" i="8"/>
  <c r="D18" i="8"/>
  <c r="C18" i="8"/>
  <c r="B18" i="8"/>
  <c r="C17" i="8"/>
  <c r="E14" i="8"/>
  <c r="F14" i="8"/>
  <c r="D14" i="8"/>
  <c r="C14" i="8"/>
  <c r="B14" i="8"/>
  <c r="E13" i="8"/>
  <c r="D13" i="8"/>
  <c r="C13" i="8"/>
  <c r="B13" i="8"/>
  <c r="E12" i="8"/>
  <c r="F12" i="8"/>
  <c r="D12" i="8"/>
  <c r="C12" i="8"/>
  <c r="B12" i="8"/>
  <c r="E11" i="8"/>
  <c r="F11" i="8"/>
  <c r="D11" i="8"/>
  <c r="C11" i="8"/>
  <c r="B11" i="8"/>
  <c r="E10" i="8"/>
  <c r="F10" i="8"/>
  <c r="D10" i="8"/>
  <c r="C10" i="8"/>
  <c r="B10" i="8"/>
  <c r="E9" i="8"/>
  <c r="F9" i="8"/>
  <c r="D9" i="8"/>
  <c r="C9" i="8"/>
  <c r="B9" i="8"/>
  <c r="E8" i="8"/>
  <c r="F8" i="8"/>
  <c r="D8" i="8"/>
  <c r="C8" i="8"/>
  <c r="B8" i="8"/>
  <c r="H6" i="8"/>
  <c r="D70" i="7"/>
  <c r="D71" i="7"/>
  <c r="D73" i="7"/>
  <c r="D68" i="7"/>
  <c r="D66" i="7"/>
  <c r="F62" i="7"/>
  <c r="C70" i="7"/>
  <c r="E70" i="7"/>
  <c r="D57" i="7"/>
  <c r="D82" i="7"/>
  <c r="D83" i="7"/>
  <c r="C48" i="7"/>
  <c r="E47" i="7"/>
  <c r="A47" i="7"/>
  <c r="C47" i="7"/>
  <c r="E46" i="7"/>
  <c r="F46" i="7"/>
  <c r="C46" i="7"/>
  <c r="A46" i="7"/>
  <c r="E45" i="7"/>
  <c r="A45" i="7"/>
  <c r="C45" i="7"/>
  <c r="F45" i="7"/>
  <c r="A44" i="7"/>
  <c r="C44" i="7"/>
  <c r="F44" i="7"/>
  <c r="C43" i="7"/>
  <c r="A43" i="7"/>
  <c r="E40" i="7"/>
  <c r="A40" i="7"/>
  <c r="C40" i="7"/>
  <c r="E39" i="7"/>
  <c r="A39" i="7"/>
  <c r="C39" i="7"/>
  <c r="E38" i="7"/>
  <c r="F38" i="7"/>
  <c r="G38" i="7"/>
  <c r="A38" i="7"/>
  <c r="C38" i="7"/>
  <c r="A37" i="7"/>
  <c r="C37" i="7"/>
  <c r="F37" i="7"/>
  <c r="G37" i="7"/>
  <c r="A36" i="7"/>
  <c r="C36" i="7"/>
  <c r="E33" i="7"/>
  <c r="F33" i="7"/>
  <c r="D33" i="7"/>
  <c r="C33" i="7"/>
  <c r="B33" i="7"/>
  <c r="E32" i="7"/>
  <c r="F32" i="7"/>
  <c r="D32" i="7"/>
  <c r="C32" i="7"/>
  <c r="B32" i="7"/>
  <c r="E31" i="7"/>
  <c r="F31" i="7"/>
  <c r="D31" i="7"/>
  <c r="C31" i="7"/>
  <c r="B31" i="7"/>
  <c r="E30" i="7"/>
  <c r="F30" i="7"/>
  <c r="D30" i="7"/>
  <c r="C30" i="7"/>
  <c r="B30" i="7"/>
  <c r="E29" i="7"/>
  <c r="F29" i="7"/>
  <c r="D29" i="7"/>
  <c r="C29" i="7"/>
  <c r="B29" i="7"/>
  <c r="E28" i="7"/>
  <c r="F28" i="7"/>
  <c r="D28" i="7"/>
  <c r="C28" i="7"/>
  <c r="B28" i="7"/>
  <c r="E25" i="7"/>
  <c r="F25" i="7"/>
  <c r="D25" i="7"/>
  <c r="C25" i="7"/>
  <c r="B25" i="7"/>
  <c r="E24" i="7"/>
  <c r="F24" i="7"/>
  <c r="D24" i="7"/>
  <c r="C24" i="7"/>
  <c r="B24" i="7"/>
  <c r="E23" i="7"/>
  <c r="F23" i="7"/>
  <c r="D23" i="7"/>
  <c r="C23" i="7"/>
  <c r="B23" i="7"/>
  <c r="C22" i="7"/>
  <c r="F22" i="7"/>
  <c r="C21" i="7"/>
  <c r="C8" i="7"/>
  <c r="H6" i="7"/>
  <c r="D74" i="8"/>
  <c r="F36" i="8"/>
  <c r="G36" i="8"/>
  <c r="F13" i="8"/>
  <c r="F35" i="8"/>
  <c r="G35" i="8"/>
  <c r="F43" i="8"/>
  <c r="F13" i="7"/>
  <c r="F8" i="7"/>
  <c r="F9" i="7"/>
  <c r="F11" i="7"/>
  <c r="F14" i="7"/>
  <c r="F12" i="7"/>
  <c r="F10" i="7"/>
  <c r="E66" i="8"/>
  <c r="E44" i="8"/>
  <c r="C82" i="7"/>
  <c r="E82" i="7"/>
  <c r="E48" i="7"/>
  <c r="F48" i="7"/>
  <c r="D78" i="7"/>
  <c r="E36" i="7"/>
  <c r="F36" i="7"/>
  <c r="G36" i="7"/>
  <c r="E21" i="7"/>
  <c r="E43" i="7"/>
  <c r="F43" i="7"/>
  <c r="F21" i="7"/>
  <c r="F50" i="7"/>
  <c r="F15" i="7"/>
  <c r="F40" i="7"/>
  <c r="G40" i="7"/>
  <c r="F47" i="7"/>
  <c r="F39" i="7"/>
  <c r="G39" i="7"/>
  <c r="F53" i="7"/>
  <c r="D80" i="7"/>
  <c r="F61" i="7"/>
  <c r="C66" i="7"/>
  <c r="H50" i="7"/>
  <c r="F2" i="7"/>
  <c r="O52" i="7"/>
  <c r="H53" i="7"/>
  <c r="H2" i="7"/>
  <c r="C71" i="7"/>
  <c r="F51" i="7"/>
  <c r="C78" i="7"/>
  <c r="E78" i="7"/>
  <c r="E66" i="7"/>
  <c r="H51" i="7"/>
  <c r="G2" i="7"/>
  <c r="C73" i="7"/>
  <c r="E73" i="7"/>
  <c r="E32" i="8"/>
  <c r="F32" i="8"/>
  <c r="F52" i="7"/>
  <c r="C83" i="7"/>
  <c r="E83" i="7"/>
  <c r="E71" i="7"/>
  <c r="E39" i="8"/>
  <c r="F39" i="8"/>
  <c r="F49" i="8"/>
  <c r="O51" i="7"/>
  <c r="H52" i="7"/>
  <c r="F60" i="7"/>
  <c r="E75" i="7"/>
  <c r="E17" i="8"/>
  <c r="F17" i="8"/>
  <c r="G32" i="8"/>
  <c r="F47" i="8"/>
  <c r="F46" i="8"/>
  <c r="O53" i="7"/>
  <c r="O54" i="7"/>
  <c r="H47" i="8"/>
  <c r="G2" i="8"/>
  <c r="C69" i="8"/>
  <c r="E69" i="8"/>
  <c r="E60" i="7"/>
  <c r="C68" i="7"/>
  <c r="F63" i="7"/>
  <c r="G60" i="7"/>
  <c r="O48" i="8"/>
  <c r="C67" i="8"/>
  <c r="H49" i="8"/>
  <c r="H2" i="8"/>
  <c r="O55" i="7"/>
  <c r="O56" i="7"/>
  <c r="G62" i="7"/>
  <c r="G10" i="7"/>
  <c r="G13" i="7"/>
  <c r="G16" i="7"/>
  <c r="G63" i="7"/>
  <c r="G11" i="7"/>
  <c r="G9" i="7"/>
  <c r="G43" i="7"/>
  <c r="G32" i="7"/>
  <c r="G48" i="7"/>
  <c r="G30" i="7"/>
  <c r="G22" i="7"/>
  <c r="G33" i="7"/>
  <c r="G28" i="7"/>
  <c r="G31" i="7"/>
  <c r="G21" i="7"/>
  <c r="G23" i="7"/>
  <c r="G44" i="7"/>
  <c r="G45" i="7"/>
  <c r="G14" i="7"/>
  <c r="G24" i="7"/>
  <c r="G15" i="7"/>
  <c r="G18" i="7"/>
  <c r="G29" i="7"/>
  <c r="G12" i="7"/>
  <c r="G46" i="7"/>
  <c r="G8" i="7"/>
  <c r="G25" i="7"/>
  <c r="G47" i="7"/>
  <c r="G17" i="7"/>
  <c r="G50" i="7"/>
  <c r="G53" i="7"/>
  <c r="G61" i="7"/>
  <c r="G51" i="7"/>
  <c r="G52" i="7"/>
  <c r="C80" i="7"/>
  <c r="E80" i="7"/>
  <c r="E68" i="7"/>
  <c r="F48" i="8"/>
  <c r="C62" i="8"/>
  <c r="F57" i="8"/>
  <c r="H46" i="8"/>
  <c r="F2" i="8"/>
  <c r="E67" i="8"/>
  <c r="C79" i="8"/>
  <c r="E79" i="8"/>
  <c r="O47" i="8"/>
  <c r="H48" i="8"/>
  <c r="F56" i="8"/>
  <c r="O57" i="7"/>
  <c r="O58" i="7"/>
  <c r="O59" i="7"/>
  <c r="E62" i="8"/>
  <c r="E71" i="8"/>
  <c r="C74" i="8"/>
  <c r="E74" i="8"/>
  <c r="P59" i="7"/>
  <c r="E2" i="7"/>
  <c r="C64" i="8"/>
  <c r="E56" i="8"/>
  <c r="F59" i="8"/>
  <c r="G56" i="8"/>
  <c r="O49" i="8"/>
  <c r="O50" i="8"/>
  <c r="O51" i="8"/>
  <c r="O52" i="8"/>
  <c r="E64" i="8"/>
  <c r="C76" i="8"/>
  <c r="E76" i="8"/>
  <c r="G59" i="8"/>
  <c r="G21" i="8"/>
  <c r="G27" i="8"/>
  <c r="G58" i="8"/>
  <c r="G43" i="8"/>
  <c r="G9" i="8"/>
  <c r="G42" i="8"/>
  <c r="G10" i="8"/>
  <c r="G18" i="8"/>
  <c r="G40" i="8"/>
  <c r="G28" i="8"/>
  <c r="G13" i="8"/>
  <c r="G11" i="8"/>
  <c r="G44" i="8"/>
  <c r="G19" i="8"/>
  <c r="G41" i="8"/>
  <c r="G24" i="8"/>
  <c r="G8" i="8"/>
  <c r="G12" i="8"/>
  <c r="G20" i="8"/>
  <c r="G25" i="8"/>
  <c r="G14" i="8"/>
  <c r="G29" i="8"/>
  <c r="G26" i="8"/>
  <c r="G39" i="8"/>
  <c r="G17" i="8"/>
  <c r="G49" i="8"/>
  <c r="G47" i="8"/>
  <c r="G46" i="8"/>
  <c r="G57" i="8"/>
  <c r="G48" i="8"/>
  <c r="O53" i="8"/>
  <c r="O54" i="8"/>
  <c r="O55" i="8"/>
  <c r="P55" i="8"/>
  <c r="E2" i="8"/>
</calcChain>
</file>

<file path=xl/sharedStrings.xml><?xml version="1.0" encoding="utf-8"?>
<sst xmlns="http://schemas.openxmlformats.org/spreadsheetml/2006/main" count="324" uniqueCount="154">
  <si>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</si>
  <si>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</si>
  <si>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</si>
  <si>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</si>
  <si>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</si>
  <si>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</si>
  <si>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</si>
  <si>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</si>
  <si>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</si>
  <si>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Empaque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</si>
  <si>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</si>
  <si>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</si>
  <si>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</si>
  <si>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</si>
  <si>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</si>
  <si>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</si>
  <si>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</si>
  <si>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</si>
  <si>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</si>
  <si>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10100050</t>
  </si>
  <si>
    <t>ACEITE CAPULLO RBD (UND:17  L)</t>
  </si>
  <si>
    <t>CAPULLO</t>
  </si>
  <si>
    <t>g</t>
  </si>
  <si>
    <t>0512319</t>
  </si>
  <si>
    <t>PASTA AJO (PAQ: 1 KILO)</t>
  </si>
  <si>
    <t>PRESTO</t>
  </si>
  <si>
    <t>EMPAQUE CALDO DE POLLO RECORTE</t>
  </si>
  <si>
    <t>FAS</t>
  </si>
  <si>
    <t>CREMA VERSATIE (UND: L)</t>
  </si>
  <si>
    <t>RICH</t>
  </si>
  <si>
    <t>90100142</t>
  </si>
  <si>
    <t>MCCORMICK</t>
  </si>
  <si>
    <t>90100129</t>
  </si>
  <si>
    <t>ASEAL</t>
  </si>
  <si>
    <t>Unidad</t>
  </si>
  <si>
    <t>PESO TOTAL OBTENIDO</t>
  </si>
  <si>
    <t>TIEMPO TOTAL DE PREPARACION</t>
  </si>
  <si>
    <t>min</t>
  </si>
  <si>
    <t>CANTIDAD DE PORCIONES OBTENIDAS</t>
  </si>
  <si>
    <t>ud</t>
  </si>
  <si>
    <t>PESO DE CADA PORCIÓN</t>
  </si>
  <si>
    <t>MERMA</t>
  </si>
  <si>
    <t>PROCEDIMIENTO DE PREPARACION DE LA  RECETA</t>
  </si>
  <si>
    <t>1, Sudar la cebolla y el ajo en el aceite, hasta cristalizar.</t>
  </si>
  <si>
    <t>2, Licuar el culantro con el caldo de pollo (reservar un poco de caldo para disolver el almidon)</t>
  </si>
  <si>
    <t>3, Agregar el licuado a la olla con la cebolla y el ajo. Agregar la versatie, sal, curry. Hervir</t>
  </si>
  <si>
    <t>4, Disolver el almidon y el preservante en el caldo restante. Agregar a la mezcla anterior y hervir por 2 min.</t>
  </si>
  <si>
    <t>5, Pasar a empaque, rotulado en bandejas.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</si>
  <si>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</si>
  <si>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</si>
  <si>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</si>
  <si>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</si>
  <si>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</si>
  <si>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</si>
  <si>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</si>
  <si>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</si>
  <si>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</si>
  <si>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</si>
  <si>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</si>
  <si>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</si>
  <si>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</si>
  <si>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 xml:space="preserve">Mililitros </t>
  </si>
  <si>
    <t>CEBOLLA PICADA (PAQ:KILO)</t>
  </si>
  <si>
    <t>Gramo</t>
  </si>
  <si>
    <t>101035</t>
  </si>
  <si>
    <t>CULANTRO DESINFECTADO (PAQ:250g)</t>
  </si>
  <si>
    <t>0101073</t>
  </si>
  <si>
    <t>12000003</t>
  </si>
  <si>
    <t>SAL (BOLSA:5000g)</t>
  </si>
  <si>
    <t>CURRY POLVO (UND:454 G)</t>
  </si>
  <si>
    <t>105000001</t>
  </si>
  <si>
    <t>1212412</t>
  </si>
  <si>
    <t>MATERIA PRIMA SEMIELABORADOS</t>
  </si>
  <si>
    <t>CALDO DE POLLO RECORTE (BOLSA 5000G)</t>
  </si>
  <si>
    <t>Gramos</t>
  </si>
  <si>
    <t>95969</t>
  </si>
  <si>
    <t>ALMIDON MODIFICADO (BOLSA:5000g)</t>
  </si>
  <si>
    <t>EMPAQUE</t>
  </si>
  <si>
    <t>0702067</t>
  </si>
  <si>
    <t>EMPAQUE SEMIELABORADOS</t>
  </si>
  <si>
    <t>N/A</t>
  </si>
  <si>
    <t>90100011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</si>
  <si>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</si>
  <si>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</si>
  <si>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</si>
  <si>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</si>
  <si>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</si>
  <si>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</si>
  <si>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</si>
  <si>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</si>
  <si>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</si>
  <si>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</si>
  <si>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</si>
  <si>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</si>
  <si>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</si>
  <si>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</si>
  <si>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</si>
  <si>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</si>
  <si>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</si>
  <si>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</si>
  <si>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</si>
  <si>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</si>
  <si>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</si>
  <si>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</si>
  <si>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</si>
  <si>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</si>
  <si>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</si>
  <si>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</si>
  <si>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</si>
  <si>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</si>
  <si>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</si>
  <si>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</si>
  <si>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</si>
  <si>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</si>
  <si>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</si>
  <si>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SALSA DE CULANTRO</t>
  </si>
  <si>
    <t xml:space="preserve">Gramos </t>
  </si>
  <si>
    <t>1950904</t>
  </si>
  <si>
    <t>0702069</t>
  </si>
  <si>
    <t>0702007</t>
  </si>
  <si>
    <t>Esteban Cartin, Gte Manufactura</t>
  </si>
  <si>
    <t>Tiempo de Horneo:</t>
  </si>
  <si>
    <t>Horno:</t>
  </si>
  <si>
    <t>Temperatura de Horneo:</t>
  </si>
  <si>
    <t>Otros</t>
  </si>
  <si>
    <t>MP10002</t>
  </si>
  <si>
    <t>MP10019</t>
  </si>
  <si>
    <t>MP10020</t>
  </si>
  <si>
    <t>MP10173</t>
  </si>
  <si>
    <t>SE00104</t>
  </si>
  <si>
    <t>MP10551</t>
  </si>
  <si>
    <t>SE00014</t>
  </si>
  <si>
    <t>MP10025</t>
  </si>
  <si>
    <t>EM10011</t>
  </si>
  <si>
    <t>Etiqueta Blanca 2 5/8X1 15/16</t>
  </si>
  <si>
    <t>MP10693</t>
  </si>
  <si>
    <t xml:space="preserve"> Salsa de culantro SE00150</t>
  </si>
  <si>
    <t>01</t>
  </si>
  <si>
    <t>Javier Tong, Chef</t>
  </si>
  <si>
    <t>Cocina</t>
  </si>
  <si>
    <t># Código Netsuite</t>
  </si>
  <si>
    <t>Ensamble</t>
  </si>
  <si>
    <t>ACEITE CAPULLO RBD</t>
  </si>
  <si>
    <t>PASTA AJO</t>
  </si>
  <si>
    <t>CEBOLLA PICADA</t>
  </si>
  <si>
    <t>CULANTRO DESINFECTADO 250 GRS</t>
  </si>
  <si>
    <t>CREMA GOURMET PRO 1/1 LITRO</t>
  </si>
  <si>
    <t>SAL EMPACADA PLANTA</t>
  </si>
  <si>
    <t>CURRY POLVO</t>
  </si>
  <si>
    <t>EMPAQUE ALMIDON MODIFICADO</t>
  </si>
  <si>
    <t>PRESERVANTE 1017S</t>
  </si>
  <si>
    <t>Decoración</t>
  </si>
  <si>
    <t>CONTROL DE CAMBIOS</t>
  </si>
  <si>
    <t>ESP-RE-COFF-006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</si>
</sst>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&quot;$&quot;#,##0_);[Red]\(&quot;$&quot;#,##0\)"/>
    <numFmt numFmtId="165" formatCode="_(* #,##0.00_);_(* \(#,##0.00\);_(* &quot;-&quot;??_);_(@_)"/>
    <numFmt numFmtId="166" formatCode="0.000"/>
    <numFmt numFmtId="167" formatCode="[$-409]d\-mmm\-yy;@"/>
    <numFmt numFmtId="168" formatCode="_-* #,##0.0\ _€_-;\-* #,##0.0\ _€_-;_-* &quot;-&quot;??\ _€_-;_-@_-"/>
    <numFmt numFmtId="169" formatCode="0.0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9"/>
      <color rgb="FFFF0000"/>
      <name val="Times New Roman"/>
      <family val="1"/>
    </font>
    <font>
      <sz val="10"/>
      <name val="Century Gothic"/>
      <family val="2"/>
    </font>
    <font>
      <b/>
      <sz val="14"/>
      <name val="Century Gothic"/>
      <family val="2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sz val="14"/>
      <color indexed="8"/>
      <name val="Arial"/>
      <family val="2"/>
    </font>
    <font>
      <sz val="14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" fillId="0" borderId="0"/>
    <xf numFmtId="0" fontId="3" fillId="0" borderId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9" fontId="2" fillId="0" borderId="0" applyFont="0" applyFill="0" applyBorder="0" applyAlignment="0" applyProtection="0"/>
  </cellStyleXfs>
  <cellXfs count="291">
    <xf numFmtId="0" fontId="0" fillId="0" borderId="0" xfId="0"/>
    <xf numFmtId="0" fontId="5" fillId="9" borderId="0" xfId="0" applyFont="1" applyFill="1" applyAlignment="1">
      <alignment vertical="center"/>
    </xf>
    <xf numFmtId="0" fontId="6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3" fontId="6" fillId="0" borderId="3" xfId="1" applyFont="1" applyFill="1" applyBorder="1" applyAlignment="1">
      <alignment horizontal="center" vertical="center"/>
    </xf>
    <xf numFmtId="43" fontId="6" fillId="0" borderId="0" xfId="1" applyFont="1" applyFill="1" applyBorder="1" applyAlignment="1">
      <alignment horizontal="center" vertical="center"/>
    </xf>
    <xf numFmtId="43" fontId="8" fillId="0" borderId="0" xfId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67" fontId="11" fillId="0" borderId="0" xfId="0" applyNumberFormat="1" applyFont="1" applyAlignment="1">
      <alignment horizontal="center" vertical="center" wrapText="1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19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2" fillId="0" borderId="0" xfId="0" applyNumberFormat="1" applyFont="1" applyAlignment="1">
      <alignment horizontal="center"/>
    </xf>
    <xf numFmtId="4" fontId="12" fillId="0" borderId="0" xfId="2" applyNumberFormat="1" applyFont="1" applyFill="1" applyAlignment="1">
      <alignment horizontal="center" vertical="center"/>
    </xf>
    <xf numFmtId="4" fontId="6" fillId="0" borderId="0" xfId="2" applyNumberFormat="1" applyFont="1" applyFill="1" applyAlignment="1">
      <alignment horizontal="center" vertical="center"/>
    </xf>
    <xf numFmtId="10" fontId="6" fillId="0" borderId="0" xfId="5" applyNumberFormat="1" applyFont="1" applyFill="1" applyAlignment="1">
      <alignment vertical="center"/>
    </xf>
    <xf numFmtId="49" fontId="6" fillId="0" borderId="0" xfId="0" applyNumberFormat="1" applyFont="1" applyAlignment="1">
      <alignment horizontal="center" vertical="center"/>
    </xf>
    <xf numFmtId="10" fontId="7" fillId="0" borderId="0" xfId="5" applyNumberFormat="1" applyFont="1" applyFill="1" applyAlignment="1">
      <alignment vertical="center"/>
    </xf>
    <xf numFmtId="0" fontId="5" fillId="0" borderId="0" xfId="0" applyFont="1"/>
    <xf numFmtId="49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/>
    <xf numFmtId="49" fontId="1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" fontId="6" fillId="0" borderId="0" xfId="1" applyNumberFormat="1" applyFont="1" applyFill="1" applyAlignment="1">
      <alignment vertical="center"/>
    </xf>
    <xf numFmtId="43" fontId="14" fillId="0" borderId="0" xfId="1" applyFont="1" applyFill="1" applyAlignment="1">
      <alignment horizontal="center" vertical="center"/>
    </xf>
    <xf numFmtId="10" fontId="7" fillId="4" borderId="20" xfId="5" applyNumberFormat="1" applyFont="1" applyFill="1" applyBorder="1" applyAlignment="1">
      <alignment vertical="center"/>
    </xf>
    <xf numFmtId="0" fontId="5" fillId="4" borderId="10" xfId="0" applyFont="1" applyFill="1" applyBorder="1" applyAlignment="1">
      <alignment vertical="center"/>
    </xf>
    <xf numFmtId="0" fontId="5" fillId="4" borderId="20" xfId="0" applyFont="1" applyFill="1" applyBorder="1" applyAlignment="1">
      <alignment vertical="center"/>
    </xf>
    <xf numFmtId="43" fontId="14" fillId="4" borderId="21" xfId="1" applyFont="1" applyFill="1" applyBorder="1" applyAlignment="1">
      <alignment horizontal="center" vertical="center"/>
    </xf>
    <xf numFmtId="43" fontId="16" fillId="0" borderId="0" xfId="1" applyFont="1" applyFill="1" applyBorder="1" applyAlignment="1">
      <alignment horizontal="right"/>
    </xf>
    <xf numFmtId="0" fontId="5" fillId="4" borderId="21" xfId="0" applyFont="1" applyFill="1" applyBorder="1" applyAlignment="1">
      <alignment vertical="center"/>
    </xf>
    <xf numFmtId="10" fontId="7" fillId="4" borderId="21" xfId="5" applyNumberFormat="1" applyFont="1" applyFill="1" applyBorder="1" applyAlignment="1">
      <alignment vertical="center"/>
    </xf>
    <xf numFmtId="0" fontId="15" fillId="0" borderId="0" xfId="0" applyFont="1" applyAlignment="1">
      <alignment horizontal="right"/>
    </xf>
    <xf numFmtId="9" fontId="33" fillId="0" borderId="0" xfId="5" applyFont="1" applyFill="1" applyAlignment="1">
      <alignment horizontal="center"/>
    </xf>
    <xf numFmtId="0" fontId="14" fillId="0" borderId="0" xfId="0" applyFont="1" applyAlignment="1">
      <alignment horizontal="right" vertical="center"/>
    </xf>
    <xf numFmtId="4" fontId="14" fillId="0" borderId="0" xfId="1" applyNumberFormat="1" applyFont="1" applyFill="1" applyAlignment="1">
      <alignment vertical="center"/>
    </xf>
    <xf numFmtId="4" fontId="14" fillId="0" borderId="0" xfId="2" applyNumberFormat="1" applyFont="1" applyAlignment="1">
      <alignment horizontal="center" vertical="center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/>
    </xf>
    <xf numFmtId="0" fontId="18" fillId="0" borderId="8" xfId="0" applyFont="1" applyBorder="1" applyAlignment="1">
      <alignment horizontal="right"/>
    </xf>
    <xf numFmtId="43" fontId="19" fillId="5" borderId="22" xfId="1" applyFont="1" applyFill="1" applyBorder="1" applyAlignment="1">
      <alignment horizontal="right"/>
    </xf>
    <xf numFmtId="43" fontId="19" fillId="0" borderId="0" xfId="1" applyFont="1" applyFill="1" applyBorder="1" applyAlignment="1">
      <alignment horizontal="right"/>
    </xf>
    <xf numFmtId="43" fontId="6" fillId="0" borderId="3" xfId="1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4" fontId="14" fillId="0" borderId="0" xfId="2" applyNumberFormat="1" applyFont="1" applyFill="1" applyAlignment="1">
      <alignment horizontal="center" vertical="center"/>
    </xf>
    <xf numFmtId="10" fontId="21" fillId="0" borderId="0" xfId="5" applyNumberFormat="1" applyFont="1" applyFill="1" applyAlignment="1">
      <alignment horizontal="right"/>
    </xf>
    <xf numFmtId="168" fontId="6" fillId="4" borderId="3" xfId="1" applyNumberFormat="1" applyFont="1" applyFill="1" applyBorder="1" applyAlignment="1">
      <alignment vertical="center"/>
    </xf>
    <xf numFmtId="4" fontId="5" fillId="0" borderId="0" xfId="0" applyNumberFormat="1" applyFont="1" applyAlignment="1">
      <alignment horizontal="center" vertical="center"/>
    </xf>
    <xf numFmtId="43" fontId="6" fillId="6" borderId="3" xfId="1" applyFont="1" applyFill="1" applyBorder="1" applyAlignment="1">
      <alignment vertical="center"/>
    </xf>
    <xf numFmtId="165" fontId="22" fillId="0" borderId="0" xfId="0" applyNumberFormat="1" applyFont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0" fontId="7" fillId="4" borderId="23" xfId="0" applyFont="1" applyFill="1" applyBorder="1" applyAlignment="1">
      <alignment vertical="center"/>
    </xf>
    <xf numFmtId="0" fontId="24" fillId="0" borderId="0" xfId="0" applyFont="1" applyAlignment="1">
      <alignment vertical="center"/>
    </xf>
    <xf numFmtId="2" fontId="21" fillId="0" borderId="0" xfId="1" applyNumberFormat="1" applyFont="1" applyFill="1" applyBorder="1" applyAlignment="1">
      <alignment horizontal="center"/>
    </xf>
    <xf numFmtId="2" fontId="18" fillId="0" borderId="0" xfId="1" applyNumberFormat="1" applyFont="1" applyFill="1" applyBorder="1" applyAlignment="1">
      <alignment horizontal="center"/>
    </xf>
    <xf numFmtId="0" fontId="5" fillId="4" borderId="23" xfId="0" applyFont="1" applyFill="1" applyBorder="1" applyAlignment="1">
      <alignment vertical="center"/>
    </xf>
    <xf numFmtId="10" fontId="5" fillId="0" borderId="0" xfId="5" applyNumberFormat="1" applyFont="1" applyFill="1" applyAlignment="1">
      <alignment vertical="center"/>
    </xf>
    <xf numFmtId="4" fontId="5" fillId="0" borderId="0" xfId="1" applyNumberFormat="1" applyFont="1" applyFill="1" applyAlignment="1">
      <alignment vertical="center"/>
    </xf>
    <xf numFmtId="43" fontId="19" fillId="4" borderId="10" xfId="1" applyFont="1" applyFill="1" applyBorder="1" applyAlignment="1">
      <alignment horizontal="right"/>
    </xf>
    <xf numFmtId="0" fontId="6" fillId="4" borderId="11" xfId="0" applyFont="1" applyFill="1" applyBorder="1" applyAlignment="1">
      <alignment horizontal="right" vertical="center"/>
    </xf>
    <xf numFmtId="10" fontId="25" fillId="0" borderId="0" xfId="1" applyNumberFormat="1" applyFont="1" applyFill="1" applyAlignment="1">
      <alignment vertical="center"/>
    </xf>
    <xf numFmtId="10" fontId="7" fillId="0" borderId="0" xfId="5" applyNumberFormat="1" applyFont="1" applyFill="1" applyBorder="1" applyAlignment="1">
      <alignment vertical="center"/>
    </xf>
    <xf numFmtId="165" fontId="26" fillId="0" borderId="0" xfId="0" applyNumberFormat="1" applyFont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43" fontId="27" fillId="0" borderId="0" xfId="1" applyFont="1" applyFill="1" applyAlignment="1">
      <alignment vertical="center"/>
    </xf>
    <xf numFmtId="4" fontId="28" fillId="0" borderId="0" xfId="2" applyNumberFormat="1" applyFont="1" applyFill="1" applyAlignment="1">
      <alignment horizontal="center" vertical="center" wrapText="1"/>
    </xf>
    <xf numFmtId="43" fontId="5" fillId="0" borderId="0" xfId="1" applyFont="1" applyFill="1" applyAlignment="1">
      <alignment vertical="center"/>
    </xf>
    <xf numFmtId="9" fontId="5" fillId="0" borderId="0" xfId="1" applyNumberFormat="1" applyFont="1" applyFill="1" applyAlignment="1">
      <alignment vertical="center"/>
    </xf>
    <xf numFmtId="0" fontId="1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4" fontId="6" fillId="7" borderId="22" xfId="1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43" fontId="29" fillId="0" borderId="0" xfId="1" applyFont="1" applyFill="1" applyAlignment="1">
      <alignment vertical="center"/>
    </xf>
    <xf numFmtId="9" fontId="29" fillId="0" borderId="0" xfId="1" applyNumberFormat="1" applyFont="1" applyFill="1" applyAlignment="1">
      <alignment vertical="center"/>
    </xf>
    <xf numFmtId="4" fontId="6" fillId="0" borderId="0" xfId="1" applyNumberFormat="1" applyFont="1" applyFill="1" applyAlignment="1">
      <alignment horizontal="center" vertical="center"/>
    </xf>
    <xf numFmtId="10" fontId="22" fillId="0" borderId="0" xfId="5" applyNumberFormat="1" applyFont="1" applyFill="1" applyAlignment="1">
      <alignment vertical="center"/>
    </xf>
    <xf numFmtId="43" fontId="22" fillId="0" borderId="0" xfId="1" applyFont="1" applyFill="1" applyBorder="1" applyAlignment="1">
      <alignment vertical="center"/>
    </xf>
    <xf numFmtId="4" fontId="5" fillId="0" borderId="0" xfId="0" applyNumberFormat="1" applyFont="1" applyAlignment="1">
      <alignment horizontal="center"/>
    </xf>
    <xf numFmtId="43" fontId="5" fillId="0" borderId="0" xfId="1" applyFont="1" applyFill="1" applyBorder="1"/>
    <xf numFmtId="10" fontId="22" fillId="0" borderId="0" xfId="5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43" fontId="5" fillId="0" borderId="0" xfId="1" applyFont="1" applyFill="1" applyBorder="1" applyAlignment="1">
      <alignment horizontal="center"/>
    </xf>
    <xf numFmtId="9" fontId="32" fillId="0" borderId="0" xfId="0" applyNumberFormat="1" applyFont="1" applyAlignment="1">
      <alignment horizontal="left"/>
    </xf>
    <xf numFmtId="4" fontId="6" fillId="0" borderId="0" xfId="0" applyNumberFormat="1" applyFont="1" applyAlignment="1">
      <alignment horizontal="center"/>
    </xf>
    <xf numFmtId="165" fontId="6" fillId="0" borderId="0" xfId="0" applyNumberFormat="1" applyFont="1"/>
    <xf numFmtId="0" fontId="34" fillId="2" borderId="2" xfId="4" applyFont="1" applyFill="1" applyBorder="1" applyAlignment="1">
      <alignment horizontal="center"/>
    </xf>
    <xf numFmtId="49" fontId="34" fillId="2" borderId="4" xfId="4" applyNumberFormat="1" applyFont="1" applyFill="1" applyBorder="1" applyAlignment="1">
      <alignment horizontal="center"/>
    </xf>
    <xf numFmtId="0" fontId="36" fillId="2" borderId="1" xfId="4" applyFont="1" applyFill="1" applyBorder="1" applyAlignment="1">
      <alignment horizontal="right"/>
    </xf>
    <xf numFmtId="0" fontId="36" fillId="2" borderId="3" xfId="4" applyFont="1" applyFill="1" applyBorder="1" applyAlignment="1">
      <alignment horizontal="right"/>
    </xf>
    <xf numFmtId="0" fontId="34" fillId="2" borderId="12" xfId="4" applyFont="1" applyFill="1" applyBorder="1" applyAlignment="1">
      <alignment horizontal="right"/>
    </xf>
    <xf numFmtId="0" fontId="34" fillId="2" borderId="3" xfId="4" applyFont="1" applyFill="1" applyBorder="1" applyAlignment="1">
      <alignment horizontal="right"/>
    </xf>
    <xf numFmtId="14" fontId="39" fillId="2" borderId="0" xfId="4" applyNumberFormat="1" applyFont="1" applyFill="1" applyAlignment="1">
      <alignment horizontal="center" vertical="center" wrapText="1"/>
    </xf>
    <xf numFmtId="0" fontId="36" fillId="3" borderId="2" xfId="3" applyFont="1" applyFill="1" applyBorder="1" applyAlignment="1">
      <alignment horizontal="center" vertical="center" wrapText="1"/>
    </xf>
    <xf numFmtId="1" fontId="36" fillId="3" borderId="5" xfId="3" applyNumberFormat="1" applyFont="1" applyFill="1" applyBorder="1" applyAlignment="1">
      <alignment horizontal="center"/>
    </xf>
    <xf numFmtId="1" fontId="36" fillId="3" borderId="5" xfId="3" applyNumberFormat="1" applyFont="1" applyFill="1" applyBorder="1" applyAlignment="1">
      <alignment horizontal="center" wrapText="1"/>
    </xf>
    <xf numFmtId="0" fontId="36" fillId="3" borderId="15" xfId="3" applyFont="1" applyFill="1" applyBorder="1" applyAlignment="1">
      <alignment horizontal="center"/>
    </xf>
    <xf numFmtId="0" fontId="34" fillId="2" borderId="0" xfId="3" applyFont="1" applyFill="1"/>
    <xf numFmtId="0" fontId="2" fillId="0" borderId="0" xfId="3"/>
    <xf numFmtId="0" fontId="34" fillId="2" borderId="0" xfId="3" applyFont="1" applyFill="1" applyAlignment="1">
      <alignment horizontal="left" indent="1"/>
    </xf>
    <xf numFmtId="9" fontId="34" fillId="2" borderId="0" xfId="8" applyFont="1" applyFill="1"/>
    <xf numFmtId="0" fontId="38" fillId="0" borderId="6" xfId="3" applyFont="1" applyBorder="1" applyAlignment="1">
      <alignment horizontal="center" vertical="center"/>
    </xf>
    <xf numFmtId="0" fontId="38" fillId="0" borderId="16" xfId="3" applyFont="1" applyBorder="1" applyAlignment="1">
      <alignment horizontal="center" vertical="center"/>
    </xf>
    <xf numFmtId="0" fontId="40" fillId="0" borderId="3" xfId="3" applyFont="1" applyBorder="1" applyAlignment="1">
      <alignment vertical="center"/>
    </xf>
    <xf numFmtId="0" fontId="38" fillId="0" borderId="3" xfId="3" applyFont="1" applyBorder="1" applyAlignment="1">
      <alignment horizontal="center" vertical="center"/>
    </xf>
    <xf numFmtId="1" fontId="38" fillId="0" borderId="3" xfId="3" applyNumberFormat="1" applyFont="1" applyBorder="1" applyAlignment="1">
      <alignment horizontal="center"/>
    </xf>
    <xf numFmtId="1" fontId="38" fillId="0" borderId="3" xfId="3" applyNumberFormat="1" applyFont="1" applyBorder="1" applyAlignment="1">
      <alignment horizontal="center" wrapText="1"/>
    </xf>
    <xf numFmtId="0" fontId="41" fillId="0" borderId="4" xfId="3" applyFont="1" applyBorder="1" applyAlignment="1">
      <alignment horizontal="center"/>
    </xf>
    <xf numFmtId="1" fontId="41" fillId="0" borderId="3" xfId="0" applyNumberFormat="1" applyFont="1" applyBorder="1" applyAlignment="1">
      <alignment horizontal="center"/>
    </xf>
    <xf numFmtId="0" fontId="41" fillId="0" borderId="0" xfId="0" applyFont="1" applyAlignment="1">
      <alignment horizontal="center"/>
    </xf>
    <xf numFmtId="0" fontId="41" fillId="0" borderId="3" xfId="0" applyFont="1" applyBorder="1"/>
    <xf numFmtId="16" fontId="41" fillId="0" borderId="3" xfId="0" applyNumberFormat="1" applyFont="1" applyBorder="1" applyAlignment="1">
      <alignment horizontal="center"/>
    </xf>
    <xf numFmtId="1" fontId="41" fillId="0" borderId="3" xfId="0" applyNumberFormat="1" applyFont="1" applyBorder="1" applyAlignment="1">
      <alignment horizontal="center" wrapText="1"/>
    </xf>
    <xf numFmtId="2" fontId="38" fillId="0" borderId="3" xfId="3" applyNumberFormat="1" applyFont="1" applyBorder="1" applyAlignment="1">
      <alignment horizontal="center"/>
    </xf>
    <xf numFmtId="1" fontId="41" fillId="0" borderId="0" xfId="0" applyNumberFormat="1" applyFont="1" applyAlignment="1">
      <alignment horizontal="center"/>
    </xf>
    <xf numFmtId="0" fontId="41" fillId="0" borderId="3" xfId="0" applyFont="1" applyBorder="1" applyAlignment="1">
      <alignment horizontal="center"/>
    </xf>
    <xf numFmtId="0" fontId="41" fillId="0" borderId="0" xfId="0" applyFont="1"/>
    <xf numFmtId="16" fontId="41" fillId="9" borderId="3" xfId="0" applyNumberFormat="1" applyFont="1" applyFill="1" applyBorder="1" applyAlignment="1">
      <alignment horizontal="center"/>
    </xf>
    <xf numFmtId="1" fontId="41" fillId="9" borderId="3" xfId="0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 vertical="center"/>
    </xf>
    <xf numFmtId="0" fontId="41" fillId="0" borderId="3" xfId="0" applyFont="1" applyBorder="1" applyAlignment="1">
      <alignment horizontal="left" vertical="center"/>
    </xf>
    <xf numFmtId="0" fontId="41" fillId="9" borderId="3" xfId="0" applyFont="1" applyFill="1" applyBorder="1" applyAlignment="1">
      <alignment horizontal="center"/>
    </xf>
    <xf numFmtId="166" fontId="41" fillId="0" borderId="3" xfId="0" applyNumberFormat="1" applyFont="1" applyBorder="1" applyAlignment="1">
      <alignment horizontal="center" wrapText="1"/>
    </xf>
    <xf numFmtId="0" fontId="41" fillId="0" borderId="3" xfId="0" quotePrefix="1" applyFont="1" applyBorder="1" applyAlignment="1">
      <alignment horizontal="center"/>
    </xf>
    <xf numFmtId="0" fontId="41" fillId="0" borderId="3" xfId="0" quotePrefix="1" applyFont="1" applyBorder="1"/>
    <xf numFmtId="0" fontId="41" fillId="9" borderId="3" xfId="0" applyFont="1" applyFill="1" applyBorder="1"/>
    <xf numFmtId="1" fontId="41" fillId="0" borderId="3" xfId="3" applyNumberFormat="1" applyFont="1" applyBorder="1" applyAlignment="1">
      <alignment horizontal="center"/>
    </xf>
    <xf numFmtId="1" fontId="41" fillId="0" borderId="3" xfId="3" applyNumberFormat="1" applyFont="1" applyBorder="1" applyAlignment="1">
      <alignment horizontal="center" wrapText="1"/>
    </xf>
    <xf numFmtId="49" fontId="41" fillId="0" borderId="6" xfId="3" applyNumberFormat="1" applyFont="1" applyBorder="1" applyAlignment="1">
      <alignment horizontal="center"/>
    </xf>
    <xf numFmtId="49" fontId="41" fillId="0" borderId="16" xfId="3" applyNumberFormat="1" applyFont="1" applyBorder="1" applyAlignment="1">
      <alignment horizontal="center"/>
    </xf>
    <xf numFmtId="0" fontId="38" fillId="9" borderId="3" xfId="3" applyFont="1" applyFill="1" applyBorder="1" applyAlignment="1">
      <alignment horizontal="left"/>
    </xf>
    <xf numFmtId="0" fontId="41" fillId="0" borderId="3" xfId="3" applyFont="1" applyBorder="1" applyAlignment="1">
      <alignment horizontal="center"/>
    </xf>
    <xf numFmtId="169" fontId="41" fillId="0" borderId="3" xfId="3" applyNumberFormat="1" applyFont="1" applyBorder="1" applyAlignment="1">
      <alignment horizontal="center"/>
    </xf>
    <xf numFmtId="0" fontId="41" fillId="0" borderId="6" xfId="7" applyFont="1" applyBorder="1" applyAlignment="1">
      <alignment horizontal="center"/>
    </xf>
    <xf numFmtId="0" fontId="41" fillId="9" borderId="3" xfId="7" applyFont="1" applyFill="1" applyBorder="1"/>
    <xf numFmtId="16" fontId="41" fillId="0" borderId="3" xfId="7" applyNumberFormat="1" applyFont="1" applyBorder="1" applyAlignment="1">
      <alignment horizontal="center"/>
    </xf>
    <xf numFmtId="0" fontId="41" fillId="0" borderId="3" xfId="7" applyFont="1" applyBorder="1" applyAlignment="1">
      <alignment horizontal="center"/>
    </xf>
    <xf numFmtId="1" fontId="41" fillId="0" borderId="3" xfId="7" applyNumberFormat="1" applyFont="1" applyBorder="1" applyAlignment="1">
      <alignment horizontal="center"/>
    </xf>
    <xf numFmtId="1" fontId="41" fillId="0" borderId="3" xfId="7" applyNumberFormat="1" applyFont="1" applyBorder="1" applyAlignment="1">
      <alignment horizontal="center" wrapText="1"/>
    </xf>
    <xf numFmtId="49" fontId="38" fillId="0" borderId="28" xfId="3" applyNumberFormat="1" applyFont="1" applyBorder="1" applyAlignment="1">
      <alignment horizontal="center"/>
    </xf>
    <xf numFmtId="49" fontId="38" fillId="0" borderId="46" xfId="3" applyNumberFormat="1" applyFont="1" applyBorder="1" applyAlignment="1">
      <alignment horizontal="center"/>
    </xf>
    <xf numFmtId="0" fontId="40" fillId="9" borderId="3" xfId="3" applyFont="1" applyFill="1" applyBorder="1" applyAlignment="1">
      <alignment vertical="center"/>
    </xf>
    <xf numFmtId="0" fontId="38" fillId="0" borderId="16" xfId="3" applyFont="1" applyBorder="1" applyAlignment="1">
      <alignment horizontal="center"/>
    </xf>
    <xf numFmtId="49" fontId="41" fillId="9" borderId="6" xfId="3" applyNumberFormat="1" applyFont="1" applyFill="1" applyBorder="1" applyAlignment="1">
      <alignment horizontal="center"/>
    </xf>
    <xf numFmtId="49" fontId="41" fillId="9" borderId="16" xfId="3" applyNumberFormat="1" applyFont="1" applyFill="1" applyBorder="1" applyAlignment="1">
      <alignment horizontal="center"/>
    </xf>
    <xf numFmtId="49" fontId="41" fillId="9" borderId="3" xfId="3" applyNumberFormat="1" applyFont="1" applyFill="1" applyBorder="1"/>
    <xf numFmtId="12" fontId="41" fillId="0" borderId="3" xfId="3" applyNumberFormat="1" applyFont="1" applyBorder="1" applyAlignment="1">
      <alignment horizontal="center"/>
    </xf>
    <xf numFmtId="49" fontId="41" fillId="0" borderId="3" xfId="3" applyNumberFormat="1" applyFont="1" applyBorder="1"/>
    <xf numFmtId="49" fontId="42" fillId="2" borderId="7" xfId="3" applyNumberFormat="1" applyFont="1" applyFill="1" applyBorder="1" applyAlignment="1">
      <alignment horizontal="center" vertical="center"/>
    </xf>
    <xf numFmtId="49" fontId="42" fillId="2" borderId="0" xfId="3" applyNumberFormat="1" applyFont="1" applyFill="1" applyAlignment="1">
      <alignment horizontal="center" vertical="center"/>
    </xf>
    <xf numFmtId="0" fontId="41" fillId="2" borderId="0" xfId="3" applyFont="1" applyFill="1"/>
    <xf numFmtId="1" fontId="41" fillId="2" borderId="0" xfId="3" applyNumberFormat="1" applyFont="1" applyFill="1" applyAlignment="1">
      <alignment horizontal="center"/>
    </xf>
    <xf numFmtId="166" fontId="41" fillId="2" borderId="0" xfId="3" applyNumberFormat="1" applyFont="1" applyFill="1" applyAlignment="1">
      <alignment horizontal="center" wrapText="1"/>
    </xf>
    <xf numFmtId="0" fontId="41" fillId="2" borderId="8" xfId="3" applyFont="1" applyFill="1" applyBorder="1" applyAlignment="1">
      <alignment horizontal="center"/>
    </xf>
    <xf numFmtId="0" fontId="41" fillId="3" borderId="9" xfId="3" applyFont="1" applyFill="1" applyBorder="1" applyAlignment="1">
      <alignment horizontal="center"/>
    </xf>
    <xf numFmtId="0" fontId="41" fillId="3" borderId="10" xfId="3" applyFont="1" applyFill="1" applyBorder="1" applyAlignment="1">
      <alignment horizontal="center"/>
    </xf>
    <xf numFmtId="0" fontId="41" fillId="3" borderId="10" xfId="3" applyFont="1" applyFill="1" applyBorder="1"/>
    <xf numFmtId="0" fontId="38" fillId="3" borderId="10" xfId="3" applyFont="1" applyFill="1" applyBorder="1" applyAlignment="1">
      <alignment horizontal="center"/>
    </xf>
    <xf numFmtId="1" fontId="38" fillId="3" borderId="10" xfId="3" applyNumberFormat="1" applyFont="1" applyFill="1" applyBorder="1" applyAlignment="1">
      <alignment horizontal="center"/>
    </xf>
    <xf numFmtId="166" fontId="41" fillId="3" borderId="10" xfId="3" applyNumberFormat="1" applyFont="1" applyFill="1" applyBorder="1" applyAlignment="1">
      <alignment horizontal="center" wrapText="1"/>
    </xf>
    <xf numFmtId="0" fontId="41" fillId="3" borderId="11" xfId="3" applyFont="1" applyFill="1" applyBorder="1" applyAlignment="1">
      <alignment horizontal="center"/>
    </xf>
    <xf numFmtId="1" fontId="41" fillId="0" borderId="12" xfId="0" applyNumberFormat="1" applyFont="1" applyBorder="1" applyAlignment="1">
      <alignment horizontal="center"/>
    </xf>
    <xf numFmtId="0" fontId="41" fillId="0" borderId="13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1" fontId="41" fillId="0" borderId="5" xfId="0" applyNumberFormat="1" applyFont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1" fillId="0" borderId="47" xfId="3" applyFont="1" applyBorder="1" applyAlignment="1">
      <alignment horizontal="left"/>
    </xf>
    <xf numFmtId="0" fontId="41" fillId="0" borderId="48" xfId="3" applyFont="1" applyBorder="1" applyAlignment="1">
      <alignment horizontal="left"/>
    </xf>
    <xf numFmtId="0" fontId="41" fillId="0" borderId="33" xfId="3" applyFont="1" applyBorder="1" applyAlignment="1">
      <alignment horizontal="left"/>
    </xf>
    <xf numFmtId="0" fontId="38" fillId="11" borderId="55" xfId="4" applyFont="1" applyFill="1" applyBorder="1" applyAlignment="1">
      <alignment horizontal="center"/>
    </xf>
    <xf numFmtId="0" fontId="38" fillId="11" borderId="35" xfId="4" applyFont="1" applyFill="1" applyBorder="1" applyAlignment="1">
      <alignment horizontal="center"/>
    </xf>
    <xf numFmtId="0" fontId="41" fillId="2" borderId="56" xfId="4" applyFont="1" applyFill="1" applyBorder="1" applyAlignment="1">
      <alignment horizontal="left"/>
    </xf>
    <xf numFmtId="0" fontId="41" fillId="2" borderId="0" xfId="4" applyFont="1" applyFill="1" applyAlignment="1">
      <alignment horizontal="left"/>
    </xf>
    <xf numFmtId="0" fontId="41" fillId="0" borderId="6" xfId="0" applyFont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3" fillId="0" borderId="29" xfId="0" applyFont="1" applyBorder="1"/>
    <xf numFmtId="0" fontId="43" fillId="0" borderId="46" xfId="0" applyFont="1" applyBorder="1"/>
    <xf numFmtId="0" fontId="43" fillId="0" borderId="16" xfId="0" applyFont="1" applyBorder="1"/>
    <xf numFmtId="0" fontId="41" fillId="0" borderId="36" xfId="0" applyFont="1" applyBorder="1" applyAlignment="1">
      <alignment horizontal="left" wrapText="1"/>
    </xf>
    <xf numFmtId="0" fontId="41" fillId="0" borderId="25" xfId="0" applyFont="1" applyBorder="1" applyAlignment="1">
      <alignment horizontal="left" wrapText="1"/>
    </xf>
    <xf numFmtId="0" fontId="41" fillId="0" borderId="12" xfId="0" applyFont="1" applyBorder="1" applyAlignment="1">
      <alignment horizontal="left" wrapText="1"/>
    </xf>
    <xf numFmtId="0" fontId="41" fillId="0" borderId="14" xfId="0" applyFont="1" applyBorder="1" applyAlignment="1">
      <alignment horizontal="left" wrapText="1"/>
    </xf>
    <xf numFmtId="0" fontId="41" fillId="0" borderId="28" xfId="0" applyFont="1" applyBorder="1" applyAlignment="1">
      <alignment horizontal="left"/>
    </xf>
    <xf numFmtId="0" fontId="41" fillId="0" borderId="46" xfId="0" applyFont="1" applyBorder="1" applyAlignment="1">
      <alignment horizontal="left"/>
    </xf>
    <xf numFmtId="0" fontId="41" fillId="0" borderId="30" xfId="0" applyFont="1" applyBorder="1" applyAlignment="1">
      <alignment horizontal="left"/>
    </xf>
    <xf numFmtId="0" fontId="41" fillId="0" borderId="28" xfId="3" applyFont="1" applyBorder="1" applyAlignment="1">
      <alignment horizontal="left" wrapText="1"/>
    </xf>
    <xf numFmtId="0" fontId="41" fillId="0" borderId="46" xfId="3" applyFont="1" applyBorder="1" applyAlignment="1">
      <alignment horizontal="left" wrapText="1"/>
    </xf>
    <xf numFmtId="0" fontId="41" fillId="0" borderId="30" xfId="3" applyFont="1" applyBorder="1" applyAlignment="1">
      <alignment horizontal="left" wrapText="1"/>
    </xf>
    <xf numFmtId="0" fontId="38" fillId="0" borderId="28" xfId="3" applyFont="1" applyBorder="1" applyAlignment="1">
      <alignment horizontal="right"/>
    </xf>
    <xf numFmtId="0" fontId="38" fillId="0" borderId="46" xfId="3" applyFont="1" applyBorder="1" applyAlignment="1">
      <alignment horizontal="right"/>
    </xf>
    <xf numFmtId="0" fontId="38" fillId="0" borderId="16" xfId="3" applyFont="1" applyBorder="1" applyAlignment="1">
      <alignment horizontal="right"/>
    </xf>
    <xf numFmtId="0" fontId="41" fillId="0" borderId="3" xfId="3" applyFont="1" applyBorder="1" applyAlignment="1">
      <alignment horizontal="right"/>
    </xf>
    <xf numFmtId="166" fontId="41" fillId="0" borderId="29" xfId="3" applyNumberFormat="1" applyFont="1" applyBorder="1" applyAlignment="1">
      <alignment horizontal="center"/>
    </xf>
    <xf numFmtId="166" fontId="41" fillId="0" borderId="30" xfId="3" applyNumberFormat="1" applyFont="1" applyBorder="1" applyAlignment="1">
      <alignment horizontal="center"/>
    </xf>
    <xf numFmtId="166" fontId="41" fillId="0" borderId="29" xfId="3" applyNumberFormat="1" applyFont="1" applyBorder="1" applyAlignment="1">
      <alignment horizontal="right" wrapText="1"/>
    </xf>
    <xf numFmtId="166" fontId="41" fillId="0" borderId="16" xfId="3" applyNumberFormat="1" applyFont="1" applyBorder="1" applyAlignment="1">
      <alignment horizontal="right" wrapText="1"/>
    </xf>
    <xf numFmtId="0" fontId="38" fillId="0" borderId="27" xfId="3" applyFont="1" applyBorder="1" applyAlignment="1">
      <alignment horizontal="right"/>
    </xf>
    <xf numFmtId="0" fontId="38" fillId="0" borderId="49" xfId="3" applyFont="1" applyBorder="1" applyAlignment="1">
      <alignment horizontal="right"/>
    </xf>
    <xf numFmtId="0" fontId="38" fillId="0" borderId="5" xfId="3" applyFont="1" applyBorder="1" applyAlignment="1">
      <alignment horizontal="right"/>
    </xf>
    <xf numFmtId="0" fontId="41" fillId="0" borderId="5" xfId="3" applyFont="1" applyBorder="1" applyAlignment="1">
      <alignment horizontal="right"/>
    </xf>
    <xf numFmtId="166" fontId="41" fillId="0" borderId="32" xfId="3" applyNumberFormat="1" applyFont="1" applyBorder="1" applyAlignment="1">
      <alignment horizontal="center"/>
    </xf>
    <xf numFmtId="166" fontId="41" fillId="0" borderId="33" xfId="3" applyNumberFormat="1" applyFont="1" applyBorder="1" applyAlignment="1">
      <alignment horizontal="center"/>
    </xf>
    <xf numFmtId="0" fontId="38" fillId="3" borderId="9" xfId="3" applyFont="1" applyFill="1" applyBorder="1" applyAlignment="1">
      <alignment horizontal="center"/>
    </xf>
    <xf numFmtId="0" fontId="38" fillId="3" borderId="10" xfId="3" applyFont="1" applyFill="1" applyBorder="1" applyAlignment="1">
      <alignment horizontal="center"/>
    </xf>
    <xf numFmtId="0" fontId="38" fillId="3" borderId="11" xfId="3" applyFont="1" applyFill="1" applyBorder="1" applyAlignment="1">
      <alignment horizontal="center"/>
    </xf>
    <xf numFmtId="0" fontId="41" fillId="0" borderId="26" xfId="0" applyFont="1" applyBorder="1" applyAlignment="1">
      <alignment horizontal="left"/>
    </xf>
    <xf numFmtId="0" fontId="41" fillId="0" borderId="44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8" fillId="0" borderId="52" xfId="3" applyFont="1" applyBorder="1" applyAlignment="1">
      <alignment horizontal="right"/>
    </xf>
    <xf numFmtId="0" fontId="38" fillId="0" borderId="53" xfId="3" applyFont="1" applyBorder="1" applyAlignment="1">
      <alignment horizontal="right"/>
    </xf>
    <xf numFmtId="0" fontId="38" fillId="0" borderId="25" xfId="3" applyFont="1" applyBorder="1" applyAlignment="1">
      <alignment horizontal="right"/>
    </xf>
    <xf numFmtId="166" fontId="41" fillId="0" borderId="12" xfId="3" applyNumberFormat="1" applyFont="1" applyBorder="1" applyAlignment="1">
      <alignment horizontal="right"/>
    </xf>
    <xf numFmtId="0" fontId="41" fillId="2" borderId="13" xfId="3" applyFont="1" applyFill="1" applyBorder="1" applyAlignment="1">
      <alignment horizontal="center"/>
    </xf>
    <xf numFmtId="0" fontId="41" fillId="2" borderId="54" xfId="3" applyFont="1" applyFill="1" applyBorder="1" applyAlignment="1">
      <alignment horizontal="center"/>
    </xf>
    <xf numFmtId="0" fontId="38" fillId="2" borderId="0" xfId="4" applyFont="1" applyFill="1" applyAlignment="1">
      <alignment horizontal="right"/>
    </xf>
    <xf numFmtId="0" fontId="39" fillId="2" borderId="24" xfId="4" applyFont="1" applyFill="1" applyBorder="1" applyAlignment="1">
      <alignment horizontal="center"/>
    </xf>
    <xf numFmtId="0" fontId="38" fillId="2" borderId="0" xfId="4" applyFont="1" applyFill="1"/>
    <xf numFmtId="0" fontId="36" fillId="3" borderId="26" xfId="3" applyFont="1" applyFill="1" applyBorder="1" applyAlignment="1">
      <alignment horizontal="center" vertical="center"/>
    </xf>
    <xf numFmtId="0" fontId="36" fillId="3" borderId="27" xfId="3" applyFont="1" applyFill="1" applyBorder="1" applyAlignment="1">
      <alignment horizontal="center" vertical="center"/>
    </xf>
    <xf numFmtId="0" fontId="36" fillId="3" borderId="26" xfId="3" applyFont="1" applyFill="1" applyBorder="1" applyAlignment="1">
      <alignment horizontal="center" vertical="center" wrapText="1"/>
    </xf>
    <xf numFmtId="0" fontId="36" fillId="3" borderId="27" xfId="3" applyFont="1" applyFill="1" applyBorder="1" applyAlignment="1">
      <alignment horizontal="center" vertical="center" wrapText="1"/>
    </xf>
    <xf numFmtId="0" fontId="36" fillId="3" borderId="1" xfId="3" applyFont="1" applyFill="1" applyBorder="1" applyAlignment="1">
      <alignment horizontal="center" vertical="center"/>
    </xf>
    <xf numFmtId="0" fontId="36" fillId="3" borderId="5" xfId="3" applyFont="1" applyFill="1" applyBorder="1" applyAlignment="1">
      <alignment horizontal="center" vertical="center"/>
    </xf>
    <xf numFmtId="14" fontId="34" fillId="2" borderId="50" xfId="4" applyNumberFormat="1" applyFont="1" applyFill="1" applyBorder="1" applyAlignment="1">
      <alignment horizontal="center" vertical="center" wrapText="1"/>
    </xf>
    <xf numFmtId="14" fontId="34" fillId="2" borderId="51" xfId="4" applyNumberFormat="1" applyFont="1" applyFill="1" applyBorder="1" applyAlignment="1">
      <alignment horizontal="center" vertical="center" wrapText="1"/>
    </xf>
    <xf numFmtId="14" fontId="34" fillId="2" borderId="14" xfId="4" applyNumberFormat="1" applyFont="1" applyFill="1" applyBorder="1" applyAlignment="1">
      <alignment horizontal="center" vertical="center" wrapText="1"/>
    </xf>
    <xf numFmtId="0" fontId="34" fillId="2" borderId="45" xfId="4" applyFont="1" applyFill="1" applyBorder="1" applyAlignment="1">
      <alignment horizontal="left"/>
    </xf>
    <xf numFmtId="0" fontId="34" fillId="2" borderId="39" xfId="4" applyFont="1" applyFill="1" applyBorder="1" applyAlignment="1">
      <alignment horizontal="left"/>
    </xf>
    <xf numFmtId="0" fontId="34" fillId="2" borderId="44" xfId="4" applyFont="1" applyFill="1" applyBorder="1" applyAlignment="1">
      <alignment horizontal="left"/>
    </xf>
    <xf numFmtId="0" fontId="34" fillId="2" borderId="29" xfId="4" applyFont="1" applyFill="1" applyBorder="1" applyAlignment="1">
      <alignment horizontal="left"/>
    </xf>
    <xf numFmtId="0" fontId="34" fillId="2" borderId="46" xfId="4" applyFont="1" applyFill="1" applyBorder="1" applyAlignment="1">
      <alignment horizontal="left"/>
    </xf>
    <xf numFmtId="0" fontId="34" fillId="2" borderId="16" xfId="4" applyFont="1" applyFill="1" applyBorder="1" applyAlignment="1">
      <alignment horizontal="left"/>
    </xf>
    <xf numFmtId="0" fontId="34" fillId="2" borderId="34" xfId="4" applyFont="1" applyFill="1" applyBorder="1" applyAlignment="1">
      <alignment horizontal="center"/>
    </xf>
    <xf numFmtId="0" fontId="34" fillId="2" borderId="35" xfId="4" applyFont="1" applyFill="1" applyBorder="1" applyAlignment="1">
      <alignment horizontal="center"/>
    </xf>
    <xf numFmtId="0" fontId="34" fillId="2" borderId="7" xfId="4" applyFont="1" applyFill="1" applyBorder="1" applyAlignment="1">
      <alignment horizontal="center"/>
    </xf>
    <xf numFmtId="0" fontId="34" fillId="2" borderId="0" xfId="4" applyFont="1" applyFill="1" applyAlignment="1">
      <alignment horizontal="center"/>
    </xf>
    <xf numFmtId="0" fontId="34" fillId="2" borderId="52" xfId="4" applyFont="1" applyFill="1" applyBorder="1" applyAlignment="1">
      <alignment horizontal="center"/>
    </xf>
    <xf numFmtId="0" fontId="34" fillId="2" borderId="53" xfId="4" applyFont="1" applyFill="1" applyBorder="1" applyAlignment="1">
      <alignment horizontal="center"/>
    </xf>
    <xf numFmtId="0" fontId="37" fillId="2" borderId="1" xfId="4" applyFont="1" applyFill="1" applyBorder="1" applyAlignment="1">
      <alignment horizontal="center"/>
    </xf>
    <xf numFmtId="0" fontId="37" fillId="2" borderId="37" xfId="4" applyFont="1" applyFill="1" applyBorder="1" applyAlignment="1">
      <alignment horizontal="center"/>
    </xf>
    <xf numFmtId="0" fontId="35" fillId="5" borderId="38" xfId="4" applyFont="1" applyFill="1" applyBorder="1" applyAlignment="1">
      <alignment horizontal="center" vertical="center" wrapText="1"/>
    </xf>
    <xf numFmtId="0" fontId="35" fillId="5" borderId="39" xfId="4" applyFont="1" applyFill="1" applyBorder="1" applyAlignment="1">
      <alignment horizontal="center" vertical="center" wrapText="1"/>
    </xf>
    <xf numFmtId="0" fontId="35" fillId="5" borderId="40" xfId="4" applyFont="1" applyFill="1" applyBorder="1" applyAlignment="1">
      <alignment horizontal="center" vertical="center" wrapText="1"/>
    </xf>
    <xf numFmtId="0" fontId="36" fillId="2" borderId="41" xfId="4" applyFont="1" applyFill="1" applyBorder="1" applyAlignment="1">
      <alignment horizontal="right" vertical="top" wrapText="1"/>
    </xf>
    <xf numFmtId="0" fontId="36" fillId="2" borderId="42" xfId="4" applyFont="1" applyFill="1" applyBorder="1" applyAlignment="1">
      <alignment horizontal="right" vertical="top" wrapText="1"/>
    </xf>
    <xf numFmtId="0" fontId="36" fillId="2" borderId="43" xfId="4" applyFont="1" applyFill="1" applyBorder="1" applyAlignment="1">
      <alignment horizontal="right" vertical="top" wrapText="1"/>
    </xf>
    <xf numFmtId="0" fontId="9" fillId="0" borderId="24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0" borderId="34" xfId="0" applyFont="1" applyBorder="1" applyAlignment="1">
      <alignment horizontal="right"/>
    </xf>
    <xf numFmtId="0" fontId="15" fillId="0" borderId="35" xfId="0" applyFont="1" applyBorder="1" applyAlignment="1">
      <alignment horizontal="right"/>
    </xf>
    <xf numFmtId="0" fontId="15" fillId="0" borderId="0" xfId="0" applyFont="1" applyAlignment="1">
      <alignment horizontal="right"/>
    </xf>
    <xf numFmtId="0" fontId="5" fillId="0" borderId="3" xfId="0" applyFont="1" applyBorder="1" applyAlignment="1">
      <alignment horizontal="right" vertical="center"/>
    </xf>
    <xf numFmtId="0" fontId="22" fillId="0" borderId="3" xfId="0" applyFont="1" applyBorder="1" applyAlignment="1">
      <alignment horizontal="right" vertical="center"/>
    </xf>
    <xf numFmtId="0" fontId="23" fillId="0" borderId="7" xfId="0" applyFont="1" applyBorder="1" applyAlignment="1">
      <alignment horizontal="right"/>
    </xf>
    <xf numFmtId="0" fontId="23" fillId="0" borderId="0" xfId="0" applyFont="1" applyAlignment="1">
      <alignment horizontal="right"/>
    </xf>
    <xf numFmtId="0" fontId="23" fillId="0" borderId="8" xfId="0" applyFont="1" applyBorder="1" applyAlignment="1">
      <alignment horizontal="right"/>
    </xf>
    <xf numFmtId="0" fontId="21" fillId="0" borderId="24" xfId="0" applyFont="1" applyBorder="1" applyAlignment="1">
      <alignment horizontal="right"/>
    </xf>
    <xf numFmtId="0" fontId="14" fillId="0" borderId="0" xfId="0" applyFont="1" applyAlignment="1">
      <alignment horizontal="right" vertical="center"/>
    </xf>
    <xf numFmtId="0" fontId="19" fillId="4" borderId="9" xfId="0" applyFont="1" applyFill="1" applyBorder="1" applyAlignment="1">
      <alignment horizontal="right"/>
    </xf>
    <xf numFmtId="0" fontId="19" fillId="4" borderId="10" xfId="0" applyFont="1" applyFill="1" applyBorder="1" applyAlignment="1">
      <alignment horizontal="right"/>
    </xf>
    <xf numFmtId="0" fontId="5" fillId="0" borderId="0" xfId="0" applyFont="1" applyAlignment="1">
      <alignment horizontal="right" vertical="center"/>
    </xf>
    <xf numFmtId="0" fontId="31" fillId="0" borderId="0" xfId="0" applyFont="1" applyAlignment="1">
      <alignment horizontal="right"/>
    </xf>
    <xf numFmtId="0" fontId="6" fillId="0" borderId="24" xfId="0" applyFont="1" applyBorder="1" applyAlignment="1">
      <alignment horizontal="right" vertical="center"/>
    </xf>
    <xf numFmtId="0" fontId="6" fillId="0" borderId="31" xfId="0" applyFont="1" applyBorder="1" applyAlignment="1">
      <alignment horizontal="right" vertical="center"/>
    </xf>
    <xf numFmtId="0" fontId="6" fillId="8" borderId="9" xfId="0" applyFont="1" applyFill="1" applyBorder="1" applyAlignment="1">
      <alignment horizontal="right" vertical="center"/>
    </xf>
    <xf numFmtId="0" fontId="6" fillId="8" borderId="10" xfId="0" applyFont="1" applyFill="1" applyBorder="1" applyAlignment="1">
      <alignment horizontal="right" vertical="center"/>
    </xf>
    <xf numFmtId="0" fontId="6" fillId="8" borderId="11" xfId="0" applyFont="1" applyFill="1" applyBorder="1" applyAlignment="1">
      <alignment horizontal="right" vertical="center"/>
    </xf>
    <xf numFmtId="4" fontId="28" fillId="0" borderId="0" xfId="2" applyNumberFormat="1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0" fillId="0" borderId="9" xfId="0" applyFont="1" applyBorder="1" applyAlignment="1">
      <alignment horizontal="right" vertical="center"/>
    </xf>
    <xf numFmtId="0" fontId="30" fillId="0" borderId="10" xfId="0" applyFont="1" applyBorder="1" applyAlignment="1">
      <alignment horizontal="right" vertical="center"/>
    </xf>
    <xf numFmtId="0" fontId="30" fillId="0" borderId="11" xfId="0" applyFont="1" applyBorder="1" applyAlignment="1">
      <alignment horizontal="right" vertical="center"/>
    </xf>
  </cellXfs>
  <cellStyles count="9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 3 2" xfId="7" xr:uid="{84CC3496-E992-47FE-9D77-6689FB06FCB3}"/>
    <cellStyle name="Normal 5 3" xfId="6" xr:uid="{FEBADB6F-E8F4-4364-8034-2329676B52AD}"/>
    <cellStyle name="Normal_CRITERIOS DE EVALUACION PT DE GB 2" xfId="4" xr:uid="{00000000-0005-0000-0000-000004000000}"/>
    <cellStyle name="Porcentaje 2" xfId="5" xr:uid="{00000000-0005-0000-0000-000005000000}"/>
    <cellStyle name="Porcentaje 2 2" xfId="8" xr:uid="{3922F0B3-BCF5-4494-AE04-4B0C7E013D3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105834</xdr:colOff>
      <xdr:row>0</xdr:row>
      <xdr:rowOff>63499</xdr:rowOff>
    </xdr:from>
    <xdr:to>
      <xdr:col>1</xdr:col>
      <xdr:colOff>920751</xdr:colOff>
      <xdr:row>4</xdr:row>
      <xdr:rowOff>153724</xdr:rowOff>
    </xdr:to>
    <xdr:pic>
      <xdr:nvPicPr>
        <xdr:cNvPr id="3" name="Imagen 13">
          <a:extLst>
            <a:ext uri="{FF2B5EF4-FFF2-40B4-BE49-F238E27FC236}">
              <a16:creationId xmlns:a16="http://schemas.microsoft.com/office/drawing/2014/main" id="{1B7A7786-8591-4DF5-8695-D652A36FA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4" y="63499"/>
          <a:ext cx="1841500" cy="1010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ase%20datos%20costos%2020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OS%202013\Industria\Planta\Planta%20Subrecetas\Pollos\96463%20-%20EMPAQUE%20CALDO%20DE%20POLLO%20CARCAS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STOS%202013\Erick%20Costos\Recetas%20Premezclas\Almidon%20modificado%205000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463 REC EMP"/>
      <sheetName val="COSTEO"/>
    </sheetNames>
    <sheetDataSet>
      <sheetData sheetId="0"/>
      <sheetData sheetId="1">
        <row r="62">
          <cell r="E62">
            <v>0.48542953114893606</v>
          </cell>
        </row>
        <row r="67">
          <cell r="E67">
            <v>4.6744680851063834E-2</v>
          </cell>
        </row>
        <row r="69">
          <cell r="E69">
            <v>1.1806954232353934E-2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 FAS"/>
      <sheetName val="COSTEO EMP"/>
    </sheetNames>
    <sheetDataSet>
      <sheetData sheetId="0"/>
      <sheetData sheetId="1">
        <row r="62">
          <cell r="E62">
            <v>1.6833180000000001</v>
          </cell>
        </row>
        <row r="67">
          <cell r="E67">
            <v>1.0999999999999999E-2</v>
          </cell>
        </row>
        <row r="69">
          <cell r="E69">
            <v>6.8837714285714295E-3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88B-47BB-44AB-A810-2ADCAA0DA6E7}">
  <sheetPr>
    <pageSetUpPr fitToPage="1"/>
  </sheetPr>
  <dimension ref="A1:M59"/>
  <sheetViews>
    <sheetView tabSelected="1" zoomScale="90" zoomScaleNormal="90" workbookViewId="0">
      <selection activeCell="C1" sqref="C1:G1"/>
    </sheetView>
  </sheetViews>
  <sheetFormatPr baseColWidth="10" defaultRowHeight="12.75" x14ac:dyDescent="0.2"/>
  <cols>
    <col min="1" max="1" width="15.42578125" bestFit="1" customWidth="1"/>
    <col min="2" max="2" width="15.7109375" customWidth="1"/>
    <col min="3" max="3" width="52" customWidth="1"/>
    <col min="4" max="4" width="20.7109375" customWidth="1"/>
    <col min="5" max="5" width="11.5703125" bestFit="1" customWidth="1"/>
    <col min="7" max="7" width="17.85546875" customWidth="1"/>
    <col min="8" max="8" width="16.28515625" customWidth="1"/>
    <col min="9" max="9" width="18.7109375" bestFit="1" customWidth="1"/>
  </cols>
  <sheetData>
    <row r="1" spans="1:9" ht="15.75" x14ac:dyDescent="0.25">
      <c r="A1" s="246"/>
      <c r="B1" s="247"/>
      <c r="C1" s="252" t="s">
        <v>0</v>
      </c>
      <c r="D1" s="252"/>
      <c r="E1" s="252"/>
      <c r="F1" s="252"/>
      <c r="G1" s="252"/>
      <c r="H1" s="99" t="s">
        <v>1</v>
      </c>
      <c r="I1" s="97" t="s">
        <v>153</v>
      </c>
    </row>
    <row r="2" spans="1:9" ht="16.5" thickBot="1" x14ac:dyDescent="0.3">
      <c r="A2" s="248"/>
      <c r="B2" s="249"/>
      <c r="C2" s="253" t="s">
        <v>2</v>
      </c>
      <c r="D2" s="253"/>
      <c r="E2" s="253"/>
      <c r="F2" s="253"/>
      <c r="G2" s="253"/>
      <c r="H2" s="100" t="s">
        <v>3</v>
      </c>
      <c r="I2" s="98" t="s">
        <v>137</v>
      </c>
    </row>
    <row r="3" spans="1:9" ht="27" customHeight="1" thickBot="1" x14ac:dyDescent="0.25">
      <c r="A3" s="248"/>
      <c r="B3" s="249"/>
      <c r="C3" s="254" t="s">
        <v>136</v>
      </c>
      <c r="D3" s="255"/>
      <c r="E3" s="255"/>
      <c r="F3" s="255"/>
      <c r="G3" s="256"/>
      <c r="H3" s="257" t="s">
        <v>4</v>
      </c>
      <c r="I3" s="237">
        <v>45610</v>
      </c>
    </row>
    <row r="4" spans="1:9" ht="13.5" x14ac:dyDescent="0.25">
      <c r="A4" s="248"/>
      <c r="B4" s="249"/>
      <c r="C4" s="101" t="s">
        <v>5</v>
      </c>
      <c r="D4" s="240" t="s">
        <v>138</v>
      </c>
      <c r="E4" s="241"/>
      <c r="F4" s="241"/>
      <c r="G4" s="242"/>
      <c r="H4" s="258"/>
      <c r="I4" s="238"/>
    </row>
    <row r="5" spans="1:9" ht="14.25" thickBot="1" x14ac:dyDescent="0.3">
      <c r="A5" s="250"/>
      <c r="B5" s="251"/>
      <c r="C5" s="102" t="s">
        <v>6</v>
      </c>
      <c r="D5" s="243" t="s">
        <v>120</v>
      </c>
      <c r="E5" s="244"/>
      <c r="F5" s="244"/>
      <c r="G5" s="245"/>
      <c r="H5" s="259"/>
      <c r="I5" s="239"/>
    </row>
    <row r="6" spans="1:9" ht="18.75" thickBot="1" x14ac:dyDescent="0.3">
      <c r="A6" s="228" t="s">
        <v>7</v>
      </c>
      <c r="B6" s="228"/>
      <c r="C6" s="228"/>
      <c r="D6" s="229" t="s">
        <v>139</v>
      </c>
      <c r="E6" s="229"/>
      <c r="F6" s="229"/>
      <c r="G6" s="230" t="s">
        <v>8</v>
      </c>
      <c r="H6" s="230"/>
      <c r="I6" s="103" t="s">
        <v>9</v>
      </c>
    </row>
    <row r="7" spans="1:9" x14ac:dyDescent="0.2">
      <c r="A7" s="231" t="s">
        <v>10</v>
      </c>
      <c r="B7" s="233" t="s">
        <v>140</v>
      </c>
      <c r="C7" s="235" t="s">
        <v>11</v>
      </c>
      <c r="D7" s="235" t="s">
        <v>12</v>
      </c>
      <c r="E7" s="235" t="s">
        <v>13</v>
      </c>
      <c r="F7" s="235"/>
      <c r="G7" s="235" t="s">
        <v>14</v>
      </c>
      <c r="H7" s="235"/>
      <c r="I7" s="104" t="s">
        <v>15</v>
      </c>
    </row>
    <row r="8" spans="1:9" ht="26.25" thickBot="1" x14ac:dyDescent="0.25">
      <c r="A8" s="232"/>
      <c r="B8" s="234"/>
      <c r="C8" s="236"/>
      <c r="D8" s="236"/>
      <c r="E8" s="105" t="s">
        <v>16</v>
      </c>
      <c r="F8" s="106" t="s">
        <v>17</v>
      </c>
      <c r="G8" s="105" t="s">
        <v>16</v>
      </c>
      <c r="H8" s="106" t="s">
        <v>17</v>
      </c>
      <c r="I8" s="107" t="s">
        <v>18</v>
      </c>
    </row>
    <row r="9" spans="1:9" ht="18" x14ac:dyDescent="0.25">
      <c r="A9" s="112"/>
      <c r="B9" s="113"/>
      <c r="C9" s="114" t="s">
        <v>141</v>
      </c>
      <c r="D9" s="115"/>
      <c r="E9" s="116"/>
      <c r="F9" s="117"/>
      <c r="G9" s="116"/>
      <c r="H9" s="117"/>
      <c r="I9" s="118"/>
    </row>
    <row r="10" spans="1:9" ht="18" x14ac:dyDescent="0.25">
      <c r="A10" s="119">
        <v>10100050</v>
      </c>
      <c r="B10" s="120" t="s">
        <v>125</v>
      </c>
      <c r="C10" s="121" t="s">
        <v>142</v>
      </c>
      <c r="D10" s="122" t="s">
        <v>21</v>
      </c>
      <c r="E10" s="119">
        <v>25</v>
      </c>
      <c r="F10" s="123" t="s">
        <v>22</v>
      </c>
      <c r="G10" s="124"/>
      <c r="H10" s="117"/>
      <c r="I10" s="118"/>
    </row>
    <row r="11" spans="1:9" ht="18" x14ac:dyDescent="0.25">
      <c r="A11" s="125">
        <v>512319</v>
      </c>
      <c r="B11" s="126" t="s">
        <v>126</v>
      </c>
      <c r="C11" s="127" t="s">
        <v>143</v>
      </c>
      <c r="D11" s="122" t="s">
        <v>25</v>
      </c>
      <c r="E11" s="119">
        <v>20</v>
      </c>
      <c r="F11" s="123" t="s">
        <v>22</v>
      </c>
      <c r="G11" s="124"/>
      <c r="H11" s="117"/>
      <c r="I11" s="118"/>
    </row>
    <row r="12" spans="1:9" ht="18" x14ac:dyDescent="0.25">
      <c r="A12" s="119">
        <v>101035</v>
      </c>
      <c r="B12" s="120" t="s">
        <v>127</v>
      </c>
      <c r="C12" s="121" t="s">
        <v>144</v>
      </c>
      <c r="D12" s="122" t="s">
        <v>25</v>
      </c>
      <c r="E12" s="119">
        <v>130</v>
      </c>
      <c r="F12" s="123" t="s">
        <v>22</v>
      </c>
      <c r="G12" s="124"/>
      <c r="H12" s="117"/>
      <c r="I12" s="118"/>
    </row>
    <row r="13" spans="1:9" ht="18" x14ac:dyDescent="0.25">
      <c r="A13" s="125">
        <v>101073</v>
      </c>
      <c r="B13" s="126" t="s">
        <v>128</v>
      </c>
      <c r="C13" s="121" t="s">
        <v>145</v>
      </c>
      <c r="D13" s="122" t="s">
        <v>25</v>
      </c>
      <c r="E13" s="119">
        <v>130</v>
      </c>
      <c r="F13" s="123" t="s">
        <v>22</v>
      </c>
      <c r="G13" s="124"/>
      <c r="H13" s="117"/>
      <c r="I13" s="118"/>
    </row>
    <row r="14" spans="1:9" ht="18" x14ac:dyDescent="0.25">
      <c r="A14" s="126">
        <v>90100257</v>
      </c>
      <c r="B14" s="126"/>
      <c r="C14" s="121" t="s">
        <v>26</v>
      </c>
      <c r="D14" s="128" t="s">
        <v>27</v>
      </c>
      <c r="E14" s="129">
        <v>1400</v>
      </c>
      <c r="F14" s="123" t="s">
        <v>22</v>
      </c>
      <c r="G14" s="124"/>
      <c r="H14" s="117"/>
      <c r="I14" s="118"/>
    </row>
    <row r="15" spans="1:9" ht="18" x14ac:dyDescent="0.25">
      <c r="A15" s="130"/>
      <c r="B15" s="130" t="s">
        <v>135</v>
      </c>
      <c r="C15" s="131" t="s">
        <v>146</v>
      </c>
      <c r="D15" s="132" t="s">
        <v>29</v>
      </c>
      <c r="E15" s="129">
        <v>650</v>
      </c>
      <c r="F15" s="133" t="s">
        <v>22</v>
      </c>
      <c r="G15" s="124"/>
      <c r="H15" s="117"/>
      <c r="I15" s="118"/>
    </row>
    <row r="16" spans="1:9" ht="18" x14ac:dyDescent="0.25">
      <c r="A16" s="130">
        <v>90100142</v>
      </c>
      <c r="B16" s="130" t="s">
        <v>129</v>
      </c>
      <c r="C16" s="131" t="s">
        <v>147</v>
      </c>
      <c r="D16" s="128" t="s">
        <v>27</v>
      </c>
      <c r="E16" s="129">
        <v>14</v>
      </c>
      <c r="F16" s="123" t="s">
        <v>22</v>
      </c>
      <c r="G16" s="124"/>
      <c r="H16" s="117"/>
      <c r="I16" s="118"/>
    </row>
    <row r="17" spans="1:9" ht="18" x14ac:dyDescent="0.25">
      <c r="A17" s="134">
        <v>105000001</v>
      </c>
      <c r="B17" s="126" t="s">
        <v>130</v>
      </c>
      <c r="C17" s="135" t="s">
        <v>148</v>
      </c>
      <c r="D17" s="122" t="s">
        <v>31</v>
      </c>
      <c r="E17" s="119">
        <v>1</v>
      </c>
      <c r="F17" s="123" t="s">
        <v>22</v>
      </c>
      <c r="G17" s="124"/>
      <c r="H17" s="117"/>
      <c r="I17" s="118"/>
    </row>
    <row r="18" spans="1:9" ht="18" x14ac:dyDescent="0.25">
      <c r="A18" s="126">
        <v>90100129</v>
      </c>
      <c r="B18" s="126" t="s">
        <v>131</v>
      </c>
      <c r="C18" s="121" t="s">
        <v>149</v>
      </c>
      <c r="D18" s="128" t="s">
        <v>27</v>
      </c>
      <c r="E18" s="129">
        <v>80</v>
      </c>
      <c r="F18" s="123" t="s">
        <v>22</v>
      </c>
      <c r="G18" s="124"/>
      <c r="H18" s="117"/>
      <c r="I18" s="118"/>
    </row>
    <row r="19" spans="1:9" ht="18" x14ac:dyDescent="0.25">
      <c r="A19" s="130">
        <v>1212412</v>
      </c>
      <c r="B19" s="130" t="s">
        <v>132</v>
      </c>
      <c r="C19" s="131" t="s">
        <v>150</v>
      </c>
      <c r="D19" s="132" t="s">
        <v>33</v>
      </c>
      <c r="E19" s="129">
        <v>3</v>
      </c>
      <c r="F19" s="133" t="s">
        <v>22</v>
      </c>
      <c r="G19" s="124"/>
      <c r="H19" s="117"/>
      <c r="I19" s="118"/>
    </row>
    <row r="20" spans="1:9" ht="18" x14ac:dyDescent="0.25">
      <c r="A20" s="130"/>
      <c r="B20" s="130"/>
      <c r="C20" s="131"/>
      <c r="D20" s="128"/>
      <c r="E20" s="129"/>
      <c r="F20" s="123"/>
      <c r="G20" s="124"/>
      <c r="H20" s="117"/>
      <c r="I20" s="118"/>
    </row>
    <row r="21" spans="1:9" ht="18" x14ac:dyDescent="0.25">
      <c r="A21" s="134"/>
      <c r="B21" s="126"/>
      <c r="C21" s="135"/>
      <c r="D21" s="122"/>
      <c r="E21" s="119"/>
      <c r="F21" s="123"/>
      <c r="G21" s="124"/>
      <c r="H21" s="117"/>
      <c r="I21" s="118"/>
    </row>
    <row r="22" spans="1:9" ht="18" x14ac:dyDescent="0.25">
      <c r="A22" s="134"/>
      <c r="B22" s="126"/>
      <c r="C22" s="135"/>
      <c r="D22" s="122"/>
      <c r="E22" s="119"/>
      <c r="F22" s="123"/>
      <c r="G22" s="116"/>
      <c r="H22" s="117"/>
      <c r="I22" s="118"/>
    </row>
    <row r="23" spans="1:9" ht="18" x14ac:dyDescent="0.25">
      <c r="A23" s="126"/>
      <c r="B23" s="126"/>
      <c r="C23" s="136"/>
      <c r="D23" s="137"/>
      <c r="E23" s="137"/>
      <c r="F23" s="138"/>
      <c r="G23" s="116"/>
      <c r="H23" s="117"/>
      <c r="I23" s="118"/>
    </row>
    <row r="24" spans="1:9" ht="18" x14ac:dyDescent="0.25">
      <c r="A24" s="139"/>
      <c r="B24" s="140"/>
      <c r="C24" s="141" t="s">
        <v>151</v>
      </c>
      <c r="D24" s="142"/>
      <c r="E24" s="143"/>
      <c r="F24" s="138"/>
      <c r="G24" s="116"/>
      <c r="H24" s="117"/>
      <c r="I24" s="118"/>
    </row>
    <row r="25" spans="1:9" ht="18" x14ac:dyDescent="0.25">
      <c r="A25" s="144"/>
      <c r="B25" s="142"/>
      <c r="C25" s="145"/>
      <c r="D25" s="146"/>
      <c r="E25" s="137"/>
      <c r="F25" s="138"/>
      <c r="G25" s="116"/>
      <c r="H25" s="117"/>
      <c r="I25" s="118"/>
    </row>
    <row r="26" spans="1:9" ht="18" x14ac:dyDescent="0.25">
      <c r="A26" s="126"/>
      <c r="B26" s="126"/>
      <c r="C26" s="136"/>
      <c r="D26" s="146"/>
      <c r="E26" s="137"/>
      <c r="F26" s="138"/>
      <c r="G26" s="116"/>
      <c r="H26" s="117"/>
      <c r="I26" s="118"/>
    </row>
    <row r="27" spans="1:9" ht="18" x14ac:dyDescent="0.25">
      <c r="A27" s="147"/>
      <c r="B27" s="147"/>
      <c r="C27" s="145"/>
      <c r="D27" s="146"/>
      <c r="E27" s="137"/>
      <c r="F27" s="138"/>
      <c r="G27" s="116"/>
      <c r="H27" s="117"/>
      <c r="I27" s="118"/>
    </row>
    <row r="28" spans="1:9" ht="18" x14ac:dyDescent="0.25">
      <c r="A28" s="126"/>
      <c r="B28" s="126"/>
      <c r="C28" s="136"/>
      <c r="D28" s="137"/>
      <c r="E28" s="142"/>
      <c r="F28" s="138"/>
      <c r="G28" s="116"/>
      <c r="H28" s="117"/>
      <c r="I28" s="118"/>
    </row>
    <row r="29" spans="1:9" ht="18" x14ac:dyDescent="0.25">
      <c r="A29" s="126"/>
      <c r="B29" s="126"/>
      <c r="C29" s="136"/>
      <c r="D29" s="122"/>
      <c r="E29" s="148"/>
      <c r="F29" s="149"/>
      <c r="G29" s="116"/>
      <c r="H29" s="117"/>
      <c r="I29" s="118"/>
    </row>
    <row r="30" spans="1:9" ht="18" x14ac:dyDescent="0.25">
      <c r="A30" s="150"/>
      <c r="B30" s="151"/>
      <c r="C30" s="152" t="s">
        <v>9</v>
      </c>
      <c r="D30" s="153"/>
      <c r="E30" s="116"/>
      <c r="F30" s="117"/>
      <c r="G30" s="116"/>
      <c r="H30" s="117"/>
      <c r="I30" s="118"/>
    </row>
    <row r="31" spans="1:9" ht="18" x14ac:dyDescent="0.25">
      <c r="A31" s="119">
        <v>702123</v>
      </c>
      <c r="B31" s="126" t="s">
        <v>133</v>
      </c>
      <c r="C31" s="121" t="s">
        <v>134</v>
      </c>
      <c r="D31" s="122"/>
      <c r="E31" s="119">
        <v>1</v>
      </c>
      <c r="F31" s="123" t="s">
        <v>22</v>
      </c>
      <c r="G31" s="124"/>
      <c r="H31" s="117"/>
      <c r="I31" s="118"/>
    </row>
    <row r="32" spans="1:9" ht="18" x14ac:dyDescent="0.25">
      <c r="A32" s="119"/>
      <c r="B32" s="126"/>
      <c r="C32" s="127"/>
      <c r="D32" s="122"/>
      <c r="E32" s="119"/>
      <c r="F32" s="123"/>
      <c r="G32" s="116"/>
      <c r="H32" s="117"/>
      <c r="I32" s="118"/>
    </row>
    <row r="33" spans="1:13" ht="18" x14ac:dyDescent="0.25">
      <c r="A33" s="119"/>
      <c r="B33" s="120"/>
      <c r="C33" s="121"/>
      <c r="D33" s="122"/>
      <c r="E33" s="119"/>
      <c r="F33" s="123"/>
      <c r="G33" s="116"/>
      <c r="H33" s="117"/>
      <c r="I33" s="118"/>
    </row>
    <row r="34" spans="1:13" ht="18" x14ac:dyDescent="0.25">
      <c r="A34" s="119"/>
      <c r="B34" s="126"/>
      <c r="C34" s="121"/>
      <c r="D34" s="122"/>
      <c r="E34" s="119"/>
      <c r="F34" s="123"/>
      <c r="G34" s="116"/>
      <c r="H34" s="117"/>
      <c r="I34" s="118"/>
    </row>
    <row r="35" spans="1:13" ht="18" x14ac:dyDescent="0.25">
      <c r="A35" s="130"/>
      <c r="B35" s="130"/>
      <c r="C35" s="131"/>
      <c r="D35" s="146"/>
      <c r="E35" s="148"/>
      <c r="F35" s="149"/>
      <c r="G35" s="116"/>
      <c r="H35" s="117"/>
      <c r="I35" s="118"/>
    </row>
    <row r="36" spans="1:13" ht="18" x14ac:dyDescent="0.25">
      <c r="A36" s="154"/>
      <c r="B36" s="155"/>
      <c r="C36" s="156"/>
      <c r="D36" s="142"/>
      <c r="E36" s="137"/>
      <c r="F36" s="138"/>
      <c r="G36" s="157"/>
      <c r="H36" s="142"/>
      <c r="I36" s="118"/>
    </row>
    <row r="37" spans="1:13" ht="18" x14ac:dyDescent="0.25">
      <c r="A37" s="139"/>
      <c r="B37" s="140"/>
      <c r="C37" s="158"/>
      <c r="D37" s="142"/>
      <c r="E37" s="137"/>
      <c r="F37" s="138"/>
      <c r="G37" s="137"/>
      <c r="H37" s="142"/>
      <c r="I37" s="118"/>
    </row>
    <row r="38" spans="1:13" ht="18" x14ac:dyDescent="0.25">
      <c r="A38" s="139"/>
      <c r="B38" s="140"/>
      <c r="C38" s="158"/>
      <c r="D38" s="142"/>
      <c r="E38" s="137"/>
      <c r="F38" s="138"/>
      <c r="G38" s="137"/>
      <c r="H38" s="138"/>
      <c r="I38" s="118"/>
    </row>
    <row r="39" spans="1:13" ht="18" x14ac:dyDescent="0.25">
      <c r="A39" s="139"/>
      <c r="B39" s="140"/>
      <c r="C39" s="158"/>
      <c r="D39" s="142"/>
      <c r="E39" s="142"/>
      <c r="F39" s="138"/>
      <c r="G39" s="142"/>
      <c r="H39" s="142"/>
      <c r="I39" s="118"/>
    </row>
    <row r="40" spans="1:13" ht="18.75" thickBot="1" x14ac:dyDescent="0.3">
      <c r="A40" s="159"/>
      <c r="B40" s="160"/>
      <c r="C40" s="161"/>
      <c r="D40" s="161"/>
      <c r="E40" s="162"/>
      <c r="F40" s="163"/>
      <c r="G40" s="161"/>
      <c r="H40" s="161"/>
      <c r="I40" s="164"/>
      <c r="J40" s="109"/>
      <c r="K40" s="109"/>
      <c r="L40" s="110"/>
      <c r="M40" s="109"/>
    </row>
    <row r="41" spans="1:13" ht="18.75" thickBot="1" x14ac:dyDescent="0.3">
      <c r="A41" s="165"/>
      <c r="B41" s="166"/>
      <c r="C41" s="167"/>
      <c r="D41" s="168" t="s">
        <v>16</v>
      </c>
      <c r="E41" s="169" t="s">
        <v>34</v>
      </c>
      <c r="F41" s="170"/>
      <c r="G41" s="167"/>
      <c r="H41" s="167"/>
      <c r="I41" s="171"/>
      <c r="J41" s="109"/>
      <c r="K41" s="109"/>
      <c r="L41" s="110"/>
      <c r="M41" s="109"/>
    </row>
    <row r="42" spans="1:13" ht="18" x14ac:dyDescent="0.25">
      <c r="A42" s="222" t="s">
        <v>35</v>
      </c>
      <c r="B42" s="223"/>
      <c r="C42" s="224"/>
      <c r="D42" s="172">
        <v>2000</v>
      </c>
      <c r="E42" s="173" t="s">
        <v>22</v>
      </c>
      <c r="F42" s="225" t="s">
        <v>121</v>
      </c>
      <c r="G42" s="225"/>
      <c r="H42" s="226"/>
      <c r="I42" s="227"/>
      <c r="J42" s="109"/>
      <c r="K42" s="109"/>
      <c r="L42" s="110"/>
      <c r="M42" s="109"/>
    </row>
    <row r="43" spans="1:13" ht="18" x14ac:dyDescent="0.25">
      <c r="A43" s="201" t="s">
        <v>36</v>
      </c>
      <c r="B43" s="202"/>
      <c r="C43" s="203"/>
      <c r="D43" s="174">
        <v>10</v>
      </c>
      <c r="E43" s="126" t="s">
        <v>37</v>
      </c>
      <c r="F43" s="204" t="s">
        <v>122</v>
      </c>
      <c r="G43" s="204"/>
      <c r="H43" s="205"/>
      <c r="I43" s="206"/>
      <c r="J43" s="109"/>
      <c r="K43" s="109"/>
      <c r="L43" s="110"/>
      <c r="M43" s="109"/>
    </row>
    <row r="44" spans="1:13" ht="18" x14ac:dyDescent="0.25">
      <c r="A44" s="201" t="s">
        <v>38</v>
      </c>
      <c r="B44" s="202"/>
      <c r="C44" s="203"/>
      <c r="D44" s="126">
        <v>10</v>
      </c>
      <c r="E44" s="126" t="s">
        <v>39</v>
      </c>
      <c r="F44" s="204" t="s">
        <v>123</v>
      </c>
      <c r="G44" s="204"/>
      <c r="H44" s="205"/>
      <c r="I44" s="206"/>
      <c r="J44" s="109"/>
      <c r="K44" s="109"/>
      <c r="L44" s="110"/>
      <c r="M44" s="109"/>
    </row>
    <row r="45" spans="1:13" ht="18" x14ac:dyDescent="0.25">
      <c r="A45" s="201" t="s">
        <v>40</v>
      </c>
      <c r="B45" s="202"/>
      <c r="C45" s="203"/>
      <c r="D45" s="119">
        <v>200</v>
      </c>
      <c r="E45" s="126" t="s">
        <v>22</v>
      </c>
      <c r="F45" s="207" t="s">
        <v>124</v>
      </c>
      <c r="G45" s="208"/>
      <c r="H45" s="205"/>
      <c r="I45" s="206"/>
      <c r="J45" s="109"/>
      <c r="K45" s="109"/>
      <c r="L45" s="110"/>
      <c r="M45" s="111"/>
    </row>
    <row r="46" spans="1:13" ht="18.75" thickBot="1" x14ac:dyDescent="0.3">
      <c r="A46" s="209" t="s">
        <v>41</v>
      </c>
      <c r="B46" s="210"/>
      <c r="C46" s="211"/>
      <c r="D46" s="175">
        <v>453</v>
      </c>
      <c r="E46" s="176" t="s">
        <v>22</v>
      </c>
      <c r="F46" s="212"/>
      <c r="G46" s="212"/>
      <c r="H46" s="213"/>
      <c r="I46" s="214"/>
      <c r="J46" s="108"/>
      <c r="K46" s="108"/>
      <c r="L46" s="110"/>
      <c r="M46" s="108"/>
    </row>
    <row r="47" spans="1:13" ht="18.75" thickBot="1" x14ac:dyDescent="0.3">
      <c r="A47" s="215" t="s">
        <v>42</v>
      </c>
      <c r="B47" s="216"/>
      <c r="C47" s="216"/>
      <c r="D47" s="216"/>
      <c r="E47" s="216"/>
      <c r="F47" s="216"/>
      <c r="G47" s="216"/>
      <c r="H47" s="216"/>
      <c r="I47" s="217"/>
      <c r="J47" s="109"/>
      <c r="K47" s="109"/>
      <c r="L47" s="109"/>
      <c r="M47" s="109"/>
    </row>
    <row r="48" spans="1:13" ht="18" x14ac:dyDescent="0.25">
      <c r="A48" s="218" t="s">
        <v>43</v>
      </c>
      <c r="B48" s="219"/>
      <c r="C48" s="220"/>
      <c r="D48" s="220"/>
      <c r="E48" s="220"/>
      <c r="F48" s="220"/>
      <c r="G48" s="220"/>
      <c r="H48" s="220"/>
      <c r="I48" s="221"/>
      <c r="J48" s="109"/>
      <c r="K48" s="109"/>
      <c r="L48" s="109"/>
      <c r="M48" s="109"/>
    </row>
    <row r="49" spans="1:13" ht="18" x14ac:dyDescent="0.25">
      <c r="A49" s="195" t="s">
        <v>44</v>
      </c>
      <c r="B49" s="196"/>
      <c r="C49" s="196"/>
      <c r="D49" s="196"/>
      <c r="E49" s="196"/>
      <c r="F49" s="196"/>
      <c r="G49" s="196"/>
      <c r="H49" s="196"/>
      <c r="I49" s="197"/>
      <c r="J49" s="109"/>
      <c r="K49" s="109"/>
      <c r="L49" s="109"/>
      <c r="M49" s="109"/>
    </row>
    <row r="50" spans="1:13" ht="18" x14ac:dyDescent="0.25">
      <c r="A50" s="184" t="s">
        <v>45</v>
      </c>
      <c r="B50" s="185"/>
      <c r="C50" s="186"/>
      <c r="D50" s="186"/>
      <c r="E50" s="186"/>
      <c r="F50" s="186"/>
      <c r="G50" s="186"/>
      <c r="H50" s="186"/>
      <c r="I50" s="187"/>
      <c r="J50" s="109"/>
      <c r="K50" s="109"/>
      <c r="L50" s="109"/>
      <c r="M50" s="109"/>
    </row>
    <row r="51" spans="1:13" ht="18" x14ac:dyDescent="0.25">
      <c r="A51" s="188" t="s">
        <v>46</v>
      </c>
      <c r="B51" s="189"/>
      <c r="C51" s="189"/>
      <c r="D51" s="189"/>
      <c r="E51" s="189"/>
      <c r="F51" s="189"/>
      <c r="G51" s="189"/>
      <c r="H51" s="189"/>
      <c r="I51" s="190"/>
      <c r="J51" s="109"/>
      <c r="K51" s="109"/>
      <c r="L51" s="109"/>
      <c r="M51" s="109"/>
    </row>
    <row r="52" spans="1:13" ht="18" x14ac:dyDescent="0.25">
      <c r="A52" s="191" t="s">
        <v>47</v>
      </c>
      <c r="B52" s="192"/>
      <c r="C52" s="193"/>
      <c r="D52" s="193"/>
      <c r="E52" s="193"/>
      <c r="F52" s="193"/>
      <c r="G52" s="193"/>
      <c r="H52" s="193"/>
      <c r="I52" s="194"/>
      <c r="J52" s="109"/>
      <c r="K52" s="109"/>
      <c r="L52" s="109"/>
      <c r="M52" s="109"/>
    </row>
    <row r="53" spans="1:13" ht="18" x14ac:dyDescent="0.25">
      <c r="A53" s="195"/>
      <c r="B53" s="196"/>
      <c r="C53" s="196"/>
      <c r="D53" s="196"/>
      <c r="E53" s="196"/>
      <c r="F53" s="196"/>
      <c r="G53" s="196"/>
      <c r="H53" s="196"/>
      <c r="I53" s="197"/>
      <c r="J53" s="109"/>
      <c r="K53" s="109"/>
      <c r="L53" s="109"/>
      <c r="M53" s="109"/>
    </row>
    <row r="54" spans="1:13" ht="18" customHeight="1" x14ac:dyDescent="0.25">
      <c r="A54" s="195"/>
      <c r="B54" s="196"/>
      <c r="C54" s="196"/>
      <c r="D54" s="196"/>
      <c r="E54" s="196"/>
      <c r="F54" s="196"/>
      <c r="G54" s="196"/>
      <c r="H54" s="196"/>
      <c r="I54" s="197"/>
      <c r="J54" s="109"/>
      <c r="K54" s="109"/>
      <c r="L54" s="109"/>
      <c r="M54" s="109"/>
    </row>
    <row r="55" spans="1:13" ht="18" x14ac:dyDescent="0.25">
      <c r="A55" s="198"/>
      <c r="B55" s="199"/>
      <c r="C55" s="199"/>
      <c r="D55" s="199"/>
      <c r="E55" s="199"/>
      <c r="F55" s="199"/>
      <c r="G55" s="199"/>
      <c r="H55" s="199"/>
      <c r="I55" s="200"/>
      <c r="J55" s="109"/>
      <c r="K55" s="109"/>
      <c r="L55" s="109"/>
      <c r="M55" s="109"/>
    </row>
    <row r="56" spans="1:13" ht="18.75" thickBot="1" x14ac:dyDescent="0.3">
      <c r="A56" s="177"/>
      <c r="B56" s="178"/>
      <c r="C56" s="178"/>
      <c r="D56" s="178"/>
      <c r="E56" s="178"/>
      <c r="F56" s="178"/>
      <c r="G56" s="178"/>
      <c r="H56" s="178"/>
      <c r="I56" s="179"/>
      <c r="J56" s="109"/>
      <c r="K56" s="109"/>
      <c r="L56" s="109"/>
      <c r="M56" s="109"/>
    </row>
    <row r="57" spans="1:13" ht="18" x14ac:dyDescent="0.25">
      <c r="A57" s="180" t="s">
        <v>152</v>
      </c>
      <c r="B57" s="181"/>
      <c r="C57" s="181"/>
      <c r="D57" s="181"/>
      <c r="E57" s="181"/>
      <c r="F57" s="181"/>
      <c r="G57" s="181"/>
      <c r="H57" s="181"/>
      <c r="I57" s="181"/>
      <c r="J57" s="109"/>
      <c r="K57" s="109"/>
      <c r="L57" s="109"/>
      <c r="M57" s="109"/>
    </row>
    <row r="58" spans="1:13" ht="18" x14ac:dyDescent="0.25">
      <c r="A58" s="182"/>
      <c r="B58" s="183"/>
      <c r="C58" s="183"/>
      <c r="D58" s="183"/>
      <c r="E58" s="183"/>
      <c r="F58" s="183"/>
      <c r="G58" s="183"/>
      <c r="H58" s="183"/>
      <c r="I58" s="183"/>
      <c r="J58" s="109"/>
      <c r="K58" s="109"/>
      <c r="L58" s="109"/>
      <c r="M58" s="109"/>
    </row>
    <row r="59" spans="1:13" ht="18" x14ac:dyDescent="0.25">
      <c r="A59" s="182"/>
      <c r="B59" s="183"/>
      <c r="C59" s="183"/>
      <c r="D59" s="183"/>
      <c r="E59" s="183"/>
      <c r="F59" s="183"/>
      <c r="G59" s="183"/>
      <c r="H59" s="183"/>
      <c r="I59" s="18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scale="51" orientation="portrait" r:id="rId1"/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8"/>
  <sheetViews>
    <sheetView workbookViewId="0">
      <selection activeCell="D57" sqref="D57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7" bestFit="1" customWidth="1"/>
    <col min="8" max="8" width="10.42578125" style="78" bestFit="1" customWidth="1"/>
    <col min="9" max="9" width="4.5703125" style="78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48</v>
      </c>
      <c r="F1" s="3" t="s">
        <v>49</v>
      </c>
      <c r="G1" s="3" t="s">
        <v>50</v>
      </c>
      <c r="H1" s="3" t="s">
        <v>51</v>
      </c>
      <c r="I1" s="4"/>
    </row>
    <row r="2" spans="1:10" ht="30.75" customHeight="1" x14ac:dyDescent="0.2">
      <c r="A2" s="1"/>
      <c r="B2" s="1"/>
      <c r="C2" s="1"/>
      <c r="D2" s="1"/>
      <c r="E2" s="7">
        <f>IFERROR(O59,"")</f>
        <v>457.10145745320813</v>
      </c>
      <c r="F2" s="7">
        <f>IFERROR(H50,"")</f>
        <v>281.88480256085109</v>
      </c>
      <c r="G2" s="7">
        <f>IFERROR(H51,"")</f>
        <v>1.9127437639581224</v>
      </c>
      <c r="H2" s="7">
        <f>IFERROR(H53,"")</f>
        <v>61.632255319148932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10"/>
    </row>
    <row r="5" spans="1:10" ht="19.5" customHeight="1" thickBot="1" x14ac:dyDescent="0.25">
      <c r="A5" s="261" t="s">
        <v>52</v>
      </c>
      <c r="B5" s="262"/>
      <c r="C5" s="262"/>
      <c r="D5" s="262"/>
      <c r="E5" s="262"/>
      <c r="F5" s="262"/>
      <c r="G5" s="262"/>
      <c r="H5" s="263"/>
      <c r="I5" s="11"/>
    </row>
    <row r="6" spans="1:10" ht="19.5" thickBot="1" x14ac:dyDescent="0.25">
      <c r="A6" s="11"/>
      <c r="B6" s="11"/>
      <c r="C6" s="11"/>
      <c r="D6" s="11"/>
      <c r="E6" s="11"/>
      <c r="F6" s="264" t="s">
        <v>53</v>
      </c>
      <c r="G6" s="264"/>
      <c r="H6" s="12">
        <f ca="1">TODAY()</f>
        <v>45846</v>
      </c>
      <c r="I6" s="12"/>
    </row>
    <row r="7" spans="1:10" ht="26.25" thickBot="1" x14ac:dyDescent="0.25">
      <c r="A7" s="13" t="s">
        <v>54</v>
      </c>
      <c r="B7" s="14" t="s">
        <v>55</v>
      </c>
      <c r="C7" s="14" t="s">
        <v>54</v>
      </c>
      <c r="D7" s="15" t="s">
        <v>56</v>
      </c>
      <c r="E7" s="15" t="s">
        <v>57</v>
      </c>
      <c r="F7" s="15" t="s">
        <v>58</v>
      </c>
      <c r="G7" s="15" t="s">
        <v>59</v>
      </c>
      <c r="H7" s="16" t="s">
        <v>60</v>
      </c>
      <c r="I7" s="17"/>
    </row>
    <row r="8" spans="1:10" ht="13.5" x14ac:dyDescent="0.25">
      <c r="A8" s="18">
        <v>25</v>
      </c>
      <c r="B8" s="6" t="s">
        <v>20</v>
      </c>
      <c r="C8" s="19">
        <f>+A8</f>
        <v>25</v>
      </c>
      <c r="D8" s="20" t="s">
        <v>61</v>
      </c>
      <c r="E8" s="20">
        <v>0.73</v>
      </c>
      <c r="F8" s="20">
        <f>IFERROR(C8*E8,"")</f>
        <v>18.25</v>
      </c>
      <c r="G8" s="21">
        <f>IFERROR(F8/$F$63,"")</f>
        <v>5.2985286505833635E-3</v>
      </c>
      <c r="H8" s="22" t="s">
        <v>19</v>
      </c>
      <c r="I8" s="22"/>
      <c r="J8" s="23"/>
    </row>
    <row r="9" spans="1:10" ht="13.5" x14ac:dyDescent="0.25">
      <c r="A9" s="18">
        <v>20</v>
      </c>
      <c r="B9" s="6" t="s">
        <v>24</v>
      </c>
      <c r="C9" s="19">
        <f t="shared" ref="C9:C18" si="0">+A9</f>
        <v>20</v>
      </c>
      <c r="D9" s="20" t="str">
        <f>IFERROR(VLOOKUP($H9,'[1]MP PLANTA'!$A$2:$F$500,5,0),"")</f>
        <v>Gramo</v>
      </c>
      <c r="E9" s="20">
        <f>IFERROR(VLOOKUP($H9,'[1]MP PLANTA'!$A$2:$F$500,6,0),"")</f>
        <v>4.2939999999999996</v>
      </c>
      <c r="F9" s="20">
        <f t="shared" ref="F9:F18" si="1">IFERROR(C9*E9,"")</f>
        <v>85.88</v>
      </c>
      <c r="G9" s="21">
        <f t="shared" ref="G9:G18" si="2">IFERROR(F9/$F$63,"")</f>
        <v>2.4933569343128726E-2</v>
      </c>
      <c r="H9" s="22" t="s">
        <v>23</v>
      </c>
      <c r="I9" s="22"/>
      <c r="J9" s="23"/>
    </row>
    <row r="10" spans="1:10" ht="13.5" x14ac:dyDescent="0.25">
      <c r="A10" s="18">
        <v>130</v>
      </c>
      <c r="B10" s="6" t="s">
        <v>62</v>
      </c>
      <c r="C10" s="19">
        <f t="shared" si="0"/>
        <v>130</v>
      </c>
      <c r="D10" s="20" t="s">
        <v>63</v>
      </c>
      <c r="E10" s="20">
        <v>1.71</v>
      </c>
      <c r="F10" s="20">
        <f t="shared" si="1"/>
        <v>222.29999999999998</v>
      </c>
      <c r="G10" s="21">
        <f t="shared" si="2"/>
        <v>6.4540433919160631E-2</v>
      </c>
      <c r="H10" s="22" t="s">
        <v>64</v>
      </c>
      <c r="I10" s="22"/>
      <c r="J10" s="23"/>
    </row>
    <row r="11" spans="1:10" ht="13.5" x14ac:dyDescent="0.25">
      <c r="A11" s="18">
        <v>130</v>
      </c>
      <c r="B11" s="6" t="s">
        <v>65</v>
      </c>
      <c r="C11" s="19">
        <f t="shared" si="0"/>
        <v>130</v>
      </c>
      <c r="D11" s="20" t="s">
        <v>63</v>
      </c>
      <c r="E11" s="20">
        <f>IFERROR(VLOOKUP($H11,'[1]MP PLANTA'!$A$2:$F$500,6,0),"")</f>
        <v>2.6000900000000002</v>
      </c>
      <c r="F11" s="20">
        <f t="shared" si="1"/>
        <v>338.01170000000002</v>
      </c>
      <c r="G11" s="21">
        <f t="shared" si="2"/>
        <v>9.8135050777117191E-2</v>
      </c>
      <c r="H11" s="22" t="s">
        <v>66</v>
      </c>
      <c r="I11" s="22"/>
      <c r="J11" s="23"/>
    </row>
    <row r="12" spans="1:10" ht="13.5" x14ac:dyDescent="0.25">
      <c r="A12" s="18">
        <v>650</v>
      </c>
      <c r="B12" s="6" t="s">
        <v>28</v>
      </c>
      <c r="C12" s="19">
        <f t="shared" si="0"/>
        <v>650</v>
      </c>
      <c r="D12" s="20" t="s">
        <v>63</v>
      </c>
      <c r="E12" s="20">
        <v>2.02</v>
      </c>
      <c r="F12" s="20">
        <f t="shared" si="1"/>
        <v>1313</v>
      </c>
      <c r="G12" s="21">
        <f t="shared" si="2"/>
        <v>0.38120373250498391</v>
      </c>
      <c r="H12" s="22" t="s">
        <v>67</v>
      </c>
      <c r="I12" s="22"/>
      <c r="J12" s="23"/>
    </row>
    <row r="13" spans="1:10" ht="13.5" x14ac:dyDescent="0.25">
      <c r="A13" s="18">
        <v>14</v>
      </c>
      <c r="B13" s="6" t="s">
        <v>68</v>
      </c>
      <c r="C13" s="19">
        <f t="shared" si="0"/>
        <v>14</v>
      </c>
      <c r="D13" s="20" t="s">
        <v>63</v>
      </c>
      <c r="E13" s="20">
        <v>0.19</v>
      </c>
      <c r="F13" s="20">
        <f t="shared" si="1"/>
        <v>2.66</v>
      </c>
      <c r="G13" s="21">
        <f t="shared" si="2"/>
        <v>7.722786964685889E-4</v>
      </c>
      <c r="H13" s="22" t="s">
        <v>30</v>
      </c>
      <c r="I13" s="22"/>
      <c r="J13" s="23"/>
    </row>
    <row r="14" spans="1:10" ht="13.5" x14ac:dyDescent="0.25">
      <c r="A14" s="18">
        <v>1</v>
      </c>
      <c r="B14" s="6" t="s">
        <v>69</v>
      </c>
      <c r="C14" s="19">
        <f t="shared" si="0"/>
        <v>1</v>
      </c>
      <c r="D14" s="20" t="s">
        <v>63</v>
      </c>
      <c r="E14" s="20">
        <v>5.65</v>
      </c>
      <c r="F14" s="20">
        <f t="shared" si="1"/>
        <v>5.65</v>
      </c>
      <c r="G14" s="21">
        <f t="shared" si="2"/>
        <v>1.6403664041532058E-3</v>
      </c>
      <c r="H14" s="22" t="s">
        <v>70</v>
      </c>
      <c r="I14" s="22"/>
      <c r="J14" s="23"/>
    </row>
    <row r="15" spans="1:10" ht="13.5" hidden="1" x14ac:dyDescent="0.25">
      <c r="A15" s="18"/>
      <c r="B15" s="6" t="str">
        <f>IFERROR(VLOOKUP($H15,'[1]MP PLANTA'!$A$2:$F$500,2,0),"")</f>
        <v/>
      </c>
      <c r="C15" s="19">
        <f t="shared" si="0"/>
        <v>0</v>
      </c>
      <c r="D15" s="20" t="str">
        <f>IFERROR(VLOOKUP($H15,'[1]MP PLANTA'!$A$2:$F$500,5,0),"")</f>
        <v/>
      </c>
      <c r="E15" s="20" t="str">
        <f>IFERROR(VLOOKUP($H15,'[1]MP PLANTA'!$A$2:$F$500,6,0),"")</f>
        <v/>
      </c>
      <c r="F15" s="20" t="str">
        <f t="shared" si="1"/>
        <v/>
      </c>
      <c r="G15" s="21" t="str">
        <f t="shared" si="2"/>
        <v/>
      </c>
      <c r="H15" s="22"/>
      <c r="I15" s="22"/>
      <c r="J15" s="23"/>
    </row>
    <row r="16" spans="1:10" ht="13.5" x14ac:dyDescent="0.25">
      <c r="A16" s="18">
        <v>3</v>
      </c>
      <c r="B16" s="6" t="str">
        <f>IFERROR(VLOOKUP($H16,'[1]MP PLANTA'!$A$2:$F$500,2,0),"")</f>
        <v>PRESERVANTE 1017 (PAQ=5 KILO)</v>
      </c>
      <c r="C16" s="19">
        <f t="shared" si="0"/>
        <v>3</v>
      </c>
      <c r="D16" s="20" t="str">
        <f>IFERROR(VLOOKUP($H16,'[1]MP PLANTA'!$A$2:$F$500,5,0),"")</f>
        <v>Gramo</v>
      </c>
      <c r="E16" s="20">
        <f>IFERROR(VLOOKUP($H16,'[1]MP PLANTA'!$A$2:$F$500,6,0),"")</f>
        <v>6.2765139999999997</v>
      </c>
      <c r="F16" s="20">
        <f t="shared" si="1"/>
        <v>18.829542</v>
      </c>
      <c r="G16" s="21">
        <f t="shared" si="2"/>
        <v>5.4667872747596038E-3</v>
      </c>
      <c r="H16" s="22" t="s">
        <v>71</v>
      </c>
      <c r="I16" s="22"/>
      <c r="J16" s="23"/>
    </row>
    <row r="17" spans="1:12" ht="13.5" x14ac:dyDescent="0.25">
      <c r="A17" s="18"/>
      <c r="B17" s="6" t="str">
        <f>IFERROR(VLOOKUP($H17,'[1]MP PLANTA'!$A$2:$F$500,2,0),"")</f>
        <v/>
      </c>
      <c r="C17" s="19">
        <f t="shared" si="0"/>
        <v>0</v>
      </c>
      <c r="D17" s="20" t="str">
        <f>IFERROR(VLOOKUP($H17,'[1]MP PLANTA'!$A$2:$F$500,5,0),"")</f>
        <v/>
      </c>
      <c r="E17" s="20" t="str">
        <f>IFERROR(VLOOKUP($H17,'[1]MP PLANTA'!$A$2:$F$500,6,0),"")</f>
        <v/>
      </c>
      <c r="F17" s="20" t="str">
        <f t="shared" si="1"/>
        <v/>
      </c>
      <c r="G17" s="21" t="str">
        <f t="shared" si="2"/>
        <v/>
      </c>
      <c r="H17" s="22"/>
      <c r="I17" s="22"/>
      <c r="J17" s="23"/>
    </row>
    <row r="18" spans="1:12" ht="13.5" x14ac:dyDescent="0.25">
      <c r="A18" s="18"/>
      <c r="B18" s="6" t="str">
        <f>IFERROR(VLOOKUP($H18,'[1]MP PLANTA'!$A$2:$F$500,2,0),"")</f>
        <v/>
      </c>
      <c r="C18" s="19">
        <f t="shared" si="0"/>
        <v>0</v>
      </c>
      <c r="D18" s="20" t="str">
        <f>IFERROR(VLOOKUP($H18,'[1]MP PLANTA'!$A$2:$F$500,5,0),"")</f>
        <v/>
      </c>
      <c r="E18" s="20" t="str">
        <f>IFERROR(VLOOKUP($H18,'[1]MP PLANTA'!$A$2:$F$500,6,0),"")</f>
        <v/>
      </c>
      <c r="F18" s="20" t="str">
        <f t="shared" si="1"/>
        <v/>
      </c>
      <c r="G18" s="21" t="str">
        <f t="shared" si="2"/>
        <v/>
      </c>
      <c r="H18" s="22"/>
      <c r="I18" s="22"/>
      <c r="J18" s="23"/>
    </row>
    <row r="19" spans="1:12" ht="14.25" thickBot="1" x14ac:dyDescent="0.3">
      <c r="A19" s="18"/>
      <c r="C19" s="19"/>
      <c r="D19" s="20"/>
      <c r="E19" s="20"/>
      <c r="F19" s="20"/>
      <c r="G19" s="21"/>
      <c r="H19" s="22"/>
      <c r="I19" s="22"/>
      <c r="J19" s="23"/>
    </row>
    <row r="20" spans="1:12" ht="26.25" thickBot="1" x14ac:dyDescent="0.25">
      <c r="A20" s="13" t="s">
        <v>54</v>
      </c>
      <c r="B20" s="14" t="s">
        <v>72</v>
      </c>
      <c r="C20" s="14" t="s">
        <v>54</v>
      </c>
      <c r="D20" s="15" t="s">
        <v>56</v>
      </c>
      <c r="E20" s="15" t="s">
        <v>57</v>
      </c>
      <c r="F20" s="15" t="s">
        <v>58</v>
      </c>
      <c r="G20" s="15" t="s">
        <v>59</v>
      </c>
      <c r="H20" s="16" t="s">
        <v>60</v>
      </c>
      <c r="I20" s="17"/>
      <c r="J20" s="23"/>
    </row>
    <row r="21" spans="1:12" ht="13.5" x14ac:dyDescent="0.25">
      <c r="A21" s="18">
        <v>1400</v>
      </c>
      <c r="B21" s="6" t="s">
        <v>73</v>
      </c>
      <c r="C21" s="19">
        <f>+A21</f>
        <v>1400</v>
      </c>
      <c r="D21" s="19" t="s">
        <v>74</v>
      </c>
      <c r="E21" s="20">
        <f>+[2]COSTEO!$E$62</f>
        <v>0.48542953114893606</v>
      </c>
      <c r="F21" s="20">
        <f>IFERROR(E21*C21,"")</f>
        <v>679.60134360851043</v>
      </c>
      <c r="G21" s="21">
        <f>IFERROR(F21/$F$63,"")</f>
        <v>0.19730888712792555</v>
      </c>
      <c r="H21" s="22" t="s">
        <v>75</v>
      </c>
      <c r="I21" s="22"/>
      <c r="J21" s="23"/>
    </row>
    <row r="22" spans="1:12" ht="13.5" x14ac:dyDescent="0.25">
      <c r="A22" s="18">
        <v>80</v>
      </c>
      <c r="B22" s="6" t="s">
        <v>76</v>
      </c>
      <c r="C22" s="19">
        <f>+A22</f>
        <v>80</v>
      </c>
      <c r="D22" s="19" t="s">
        <v>74</v>
      </c>
      <c r="E22" s="20">
        <f>+'[3]COSTEO EMP'!$E$62</f>
        <v>1.6833180000000001</v>
      </c>
      <c r="F22" s="20">
        <f>IFERROR(E22*C22,"")</f>
        <v>134.66544000000002</v>
      </c>
      <c r="G22" s="21">
        <f>IFERROR(F22/$F$63,"")</f>
        <v>3.9097462579913152E-2</v>
      </c>
      <c r="H22" s="22" t="s">
        <v>32</v>
      </c>
      <c r="I22" s="22"/>
      <c r="J22" s="23"/>
    </row>
    <row r="23" spans="1:12" ht="13.5" hidden="1" x14ac:dyDescent="0.25">
      <c r="A23" s="18"/>
      <c r="B23" s="6" t="str">
        <f>IFERROR(VLOOKUP($H23,[1]SEMIELABORADOS!$A$1:$J$999,2,0),"")</f>
        <v/>
      </c>
      <c r="C23" s="19">
        <f>+A23</f>
        <v>0</v>
      </c>
      <c r="D23" s="19" t="str">
        <f>IFERROR(VLOOKUP($H23,[1]SEMIELABORADOS!$A$1:$J$999,4,0),"")</f>
        <v/>
      </c>
      <c r="E23" s="20" t="str">
        <f>IFERROR(VLOOKUP($H23,[1]SEMIELABORADOS!$A$1:$J$999,6,0),"")</f>
        <v/>
      </c>
      <c r="F23" s="20" t="str">
        <f>IFERROR(E23*C23,"")</f>
        <v/>
      </c>
      <c r="G23" s="21" t="str">
        <f>IFERROR(F23/$F$63,"")</f>
        <v/>
      </c>
      <c r="H23" s="22"/>
      <c r="I23" s="22"/>
      <c r="J23" s="23"/>
    </row>
    <row r="24" spans="1:12" ht="13.5" hidden="1" x14ac:dyDescent="0.25">
      <c r="A24" s="18"/>
      <c r="B24" s="6" t="str">
        <f>IFERROR(VLOOKUP($H24,[1]SEMIELABORADOS!$A$1:$J$999,2,0),"")</f>
        <v/>
      </c>
      <c r="C24" s="19">
        <f>+A24</f>
        <v>0</v>
      </c>
      <c r="D24" s="19" t="str">
        <f>IFERROR(VLOOKUP($H24,[1]SEMIELABORADOS!$A$1:$J$999,4,0),"")</f>
        <v/>
      </c>
      <c r="E24" s="20" t="str">
        <f>IFERROR(VLOOKUP($H24,[1]SEMIELABORADOS!$A$1:$J$999,6,0),"")</f>
        <v/>
      </c>
      <c r="F24" s="20" t="str">
        <f>IFERROR(E24*C24,"")</f>
        <v/>
      </c>
      <c r="G24" s="21" t="str">
        <f>IFERROR(F24/$F$63,"")</f>
        <v/>
      </c>
      <c r="H24" s="22"/>
      <c r="I24" s="22"/>
      <c r="J24" s="23"/>
    </row>
    <row r="25" spans="1:12" ht="13.5" hidden="1" x14ac:dyDescent="0.25">
      <c r="A25" s="18"/>
      <c r="B25" s="6" t="str">
        <f>IFERROR(VLOOKUP($H25,[1]SEMIELABORADOS!$A$1:$J$999,2,0),"")</f>
        <v/>
      </c>
      <c r="C25" s="19">
        <f>+A25</f>
        <v>0</v>
      </c>
      <c r="D25" s="19" t="str">
        <f>IFERROR(VLOOKUP($H25,[1]SEMIELABORADOS!$A$1:$J$999,4,0),"")</f>
        <v/>
      </c>
      <c r="E25" s="20" t="str">
        <f>IFERROR(VLOOKUP($H25,[1]SEMIELABORADOS!$A$1:$J$999,6,0),"")</f>
        <v/>
      </c>
      <c r="F25" s="20" t="str">
        <f>IFERROR(E25*C25,"")</f>
        <v/>
      </c>
      <c r="G25" s="21" t="str">
        <f>IFERROR(F25/$F$63,"")</f>
        <v/>
      </c>
      <c r="H25" s="22"/>
      <c r="I25" s="22"/>
      <c r="J25" s="23"/>
    </row>
    <row r="26" spans="1:12" ht="14.25" thickBot="1" x14ac:dyDescent="0.3">
      <c r="A26" s="18"/>
      <c r="C26" s="19"/>
      <c r="D26" s="19"/>
      <c r="E26" s="20"/>
      <c r="F26" s="20"/>
      <c r="G26" s="21"/>
      <c r="H26" s="22"/>
      <c r="I26" s="22"/>
      <c r="J26" s="23"/>
    </row>
    <row r="27" spans="1:12" ht="26.25" thickBot="1" x14ac:dyDescent="0.25">
      <c r="A27" s="13" t="s">
        <v>54</v>
      </c>
      <c r="B27" s="14" t="s">
        <v>77</v>
      </c>
      <c r="C27" s="14" t="s">
        <v>54</v>
      </c>
      <c r="D27" s="15" t="s">
        <v>56</v>
      </c>
      <c r="E27" s="15" t="s">
        <v>57</v>
      </c>
      <c r="F27" s="15" t="s">
        <v>58</v>
      </c>
      <c r="G27" s="15" t="s">
        <v>59</v>
      </c>
      <c r="H27" s="16" t="s">
        <v>60</v>
      </c>
      <c r="I27" s="17"/>
    </row>
    <row r="28" spans="1:12" ht="13.5" x14ac:dyDescent="0.25">
      <c r="A28" s="18">
        <v>1</v>
      </c>
      <c r="B28" s="24" t="str">
        <f>IFERROR(VLOOKUP($H28,'[1]EMP PLANTA'!$A$2:$F$500,2,0),"")</f>
        <v>ETIQ.BLANCA 1 13/16 * 1 7/8</v>
      </c>
      <c r="C28" s="19">
        <f t="shared" ref="C28:C33" si="3">+A28</f>
        <v>1</v>
      </c>
      <c r="D28" s="20" t="str">
        <f>IFERROR(VLOOKUP($H28,'[1]EMP PLANTA'!$A$2:$F$500,5,0),"")</f>
        <v>UND</v>
      </c>
      <c r="E28" s="20">
        <f>IFERROR(VLOOKUP($H28,'[1]EMP PLANTA'!$A$2:$F$500,6,0),"")</f>
        <v>2.0470000000000002</v>
      </c>
      <c r="F28" s="20">
        <f t="shared" ref="F28:F33" si="4">IFERROR(E28*C28,"")</f>
        <v>2.0470000000000002</v>
      </c>
      <c r="G28" s="21">
        <f t="shared" ref="G28:G33" si="5">IFERROR(F28/$F$63,"")</f>
        <v>5.9430619987639155E-4</v>
      </c>
      <c r="H28" s="25" t="s">
        <v>78</v>
      </c>
      <c r="I28" s="25"/>
      <c r="J28" s="23"/>
      <c r="K28" s="265"/>
      <c r="L28" s="265"/>
    </row>
    <row r="29" spans="1:12" ht="13.5" hidden="1" x14ac:dyDescent="0.25">
      <c r="A29" s="18"/>
      <c r="B29" s="24" t="str">
        <f>IFERROR(VLOOKUP($H29,'[1]EMP PLANTA'!$A$2:$F$500,2,0),"")</f>
        <v/>
      </c>
      <c r="C29" s="19">
        <f t="shared" si="3"/>
        <v>0</v>
      </c>
      <c r="D29" s="20" t="str">
        <f>IFERROR(VLOOKUP($H29,'[1]EMP PLANTA'!$A$2:$F$500,5,0),"")</f>
        <v/>
      </c>
      <c r="E29" s="20" t="str">
        <f>IFERROR(VLOOKUP($H29,'[1]EMP PLANTA'!$A$2:$F$500,6,0),"")</f>
        <v/>
      </c>
      <c r="F29" s="20" t="str">
        <f t="shared" si="4"/>
        <v/>
      </c>
      <c r="G29" s="21" t="str">
        <f t="shared" si="5"/>
        <v/>
      </c>
      <c r="H29" s="25"/>
      <c r="I29" s="25"/>
      <c r="J29" s="23"/>
      <c r="K29" s="265"/>
      <c r="L29" s="265"/>
    </row>
    <row r="30" spans="1:12" ht="13.5" hidden="1" x14ac:dyDescent="0.25">
      <c r="A30" s="18"/>
      <c r="B30" s="24" t="str">
        <f>IFERROR(VLOOKUP($H30,'[1]EMP PLANTA'!$A$2:$F$500,2,0),"")</f>
        <v/>
      </c>
      <c r="C30" s="19">
        <f t="shared" si="3"/>
        <v>0</v>
      </c>
      <c r="D30" s="20" t="str">
        <f>IFERROR(VLOOKUP($H30,'[1]EMP PLANTA'!$A$2:$F$500,5,0),"")</f>
        <v/>
      </c>
      <c r="E30" s="20" t="str">
        <f>IFERROR(VLOOKUP($H30,'[1]EMP PLANTA'!$A$2:$F$500,6,0),"")</f>
        <v/>
      </c>
      <c r="F30" s="20" t="str">
        <f t="shared" si="4"/>
        <v/>
      </c>
      <c r="G30" s="21" t="str">
        <f t="shared" si="5"/>
        <v/>
      </c>
      <c r="H30" s="25"/>
      <c r="I30" s="25"/>
      <c r="J30" s="23"/>
      <c r="K30" s="265"/>
      <c r="L30" s="265"/>
    </row>
    <row r="31" spans="1:12" ht="13.5" hidden="1" x14ac:dyDescent="0.25">
      <c r="A31" s="18"/>
      <c r="B31" s="24" t="str">
        <f>IFERROR(VLOOKUP($H31,'[1]EMP PLANTA'!$A$2:$F$500,2,0),"")</f>
        <v/>
      </c>
      <c r="C31" s="19">
        <f t="shared" si="3"/>
        <v>0</v>
      </c>
      <c r="D31" s="20" t="str">
        <f>IFERROR(VLOOKUP($H31,'[1]EMP PLANTA'!$A$2:$F$500,5,0),"")</f>
        <v/>
      </c>
      <c r="E31" s="20" t="str">
        <f>IFERROR(VLOOKUP($H31,'[1]EMP PLANTA'!$A$2:$F$500,6,0),"")</f>
        <v/>
      </c>
      <c r="F31" s="20" t="str">
        <f t="shared" si="4"/>
        <v/>
      </c>
      <c r="G31" s="21" t="str">
        <f t="shared" si="5"/>
        <v/>
      </c>
      <c r="H31" s="25"/>
      <c r="I31" s="25"/>
      <c r="J31" s="23"/>
      <c r="K31" s="265"/>
      <c r="L31" s="265"/>
    </row>
    <row r="32" spans="1:12" ht="13.5" hidden="1" x14ac:dyDescent="0.25">
      <c r="A32" s="18"/>
      <c r="B32" s="24" t="str">
        <f>IFERROR(VLOOKUP($H32,'[1]EMP PLANTA'!$A$2:$F$500,2,0),"")</f>
        <v/>
      </c>
      <c r="C32" s="19">
        <f t="shared" si="3"/>
        <v>0</v>
      </c>
      <c r="D32" s="20" t="str">
        <f>IFERROR(VLOOKUP($H32,'[1]EMP PLANTA'!$A$2:$F$500,5,0),"")</f>
        <v/>
      </c>
      <c r="E32" s="20" t="str">
        <f>IFERROR(VLOOKUP($H32,'[1]EMP PLANTA'!$A$2:$F$500,6,0),"")</f>
        <v/>
      </c>
      <c r="F32" s="20" t="str">
        <f t="shared" si="4"/>
        <v/>
      </c>
      <c r="G32" s="21" t="str">
        <f t="shared" si="5"/>
        <v/>
      </c>
      <c r="H32" s="25"/>
      <c r="I32" s="25"/>
      <c r="J32" s="23"/>
      <c r="K32" s="26"/>
      <c r="L32" s="27"/>
    </row>
    <row r="33" spans="1:10" ht="13.5" hidden="1" x14ac:dyDescent="0.25">
      <c r="A33" s="18"/>
      <c r="B33" s="24" t="str">
        <f>IFERROR(VLOOKUP($H33,'[1]EMP PLANTA'!$A$2:$F$500,2,0),"")</f>
        <v/>
      </c>
      <c r="C33" s="19">
        <f t="shared" si="3"/>
        <v>0</v>
      </c>
      <c r="D33" s="20" t="str">
        <f>IFERROR(VLOOKUP($H33,'[1]EMP PLANTA'!$A$2:$F$500,5,0),"")</f>
        <v/>
      </c>
      <c r="E33" s="20" t="str">
        <f>IFERROR(VLOOKUP($H33,'[1]EMP PLANTA'!$A$2:$F$500,6,0),"")</f>
        <v/>
      </c>
      <c r="F33" s="20" t="str">
        <f t="shared" si="4"/>
        <v/>
      </c>
      <c r="G33" s="21" t="str">
        <f t="shared" si="5"/>
        <v/>
      </c>
      <c r="H33" s="25"/>
      <c r="I33" s="25"/>
      <c r="J33" s="23"/>
    </row>
    <row r="34" spans="1:10" ht="14.25" thickBot="1" x14ac:dyDescent="0.3">
      <c r="A34" s="18"/>
      <c r="B34" s="24"/>
      <c r="C34" s="19"/>
      <c r="D34" s="20"/>
      <c r="E34" s="20"/>
      <c r="F34" s="20"/>
      <c r="G34" s="21"/>
      <c r="H34" s="25"/>
      <c r="I34" s="25"/>
      <c r="J34" s="23"/>
    </row>
    <row r="35" spans="1:10" ht="26.25" thickBot="1" x14ac:dyDescent="0.25">
      <c r="A35" s="13" t="s">
        <v>54</v>
      </c>
      <c r="B35" s="14" t="s">
        <v>79</v>
      </c>
      <c r="C35" s="14" t="s">
        <v>54</v>
      </c>
      <c r="D35" s="15" t="s">
        <v>56</v>
      </c>
      <c r="E35" s="15" t="s">
        <v>57</v>
      </c>
      <c r="F35" s="15" t="s">
        <v>58</v>
      </c>
      <c r="G35" s="15" t="s">
        <v>59</v>
      </c>
      <c r="H35" s="16" t="s">
        <v>60</v>
      </c>
      <c r="I35" s="17"/>
      <c r="J35" s="23"/>
    </row>
    <row r="36" spans="1:10" ht="13.5" x14ac:dyDescent="0.25">
      <c r="A36" s="18">
        <f>+A21</f>
        <v>1400</v>
      </c>
      <c r="B36" s="24" t="s">
        <v>73</v>
      </c>
      <c r="C36" s="19">
        <f>+A36</f>
        <v>1400</v>
      </c>
      <c r="D36" s="20" t="s">
        <v>80</v>
      </c>
      <c r="E36" s="20">
        <f>+[2]COSTEO!$E$69</f>
        <v>1.1806954232353934E-2</v>
      </c>
      <c r="F36" s="20">
        <f>IFERROR(E36*C36,"")</f>
        <v>16.529735925295508</v>
      </c>
      <c r="G36" s="21">
        <f>IFERROR(F36/$F$62,"")</f>
        <v>3.0054065318719105E-2</v>
      </c>
      <c r="H36" s="25" t="s">
        <v>81</v>
      </c>
      <c r="I36" s="25"/>
      <c r="J36" s="23"/>
    </row>
    <row r="37" spans="1:10" ht="13.5" x14ac:dyDescent="0.25">
      <c r="A37" s="18">
        <f>+A22</f>
        <v>80</v>
      </c>
      <c r="B37" s="6" t="s">
        <v>76</v>
      </c>
      <c r="C37" s="19">
        <f>+A37</f>
        <v>80</v>
      </c>
      <c r="D37" s="20" t="s">
        <v>80</v>
      </c>
      <c r="E37" s="20">
        <f>+'[3]COSTEO EMP'!$E$69</f>
        <v>6.8837714285714295E-3</v>
      </c>
      <c r="F37" s="20">
        <f>IFERROR(E37*C37,"")</f>
        <v>0.55070171428571435</v>
      </c>
      <c r="G37" s="21">
        <f>IFERROR(F37/$F$62,"")</f>
        <v>1.0012758441558442E-3</v>
      </c>
      <c r="H37" s="25"/>
      <c r="I37" s="25"/>
      <c r="J37" s="23"/>
    </row>
    <row r="38" spans="1:10" ht="13.5" hidden="1" x14ac:dyDescent="0.25">
      <c r="A38" s="18">
        <f>+A23</f>
        <v>0</v>
      </c>
      <c r="B38" s="24"/>
      <c r="C38" s="19">
        <f>+A38</f>
        <v>0</v>
      </c>
      <c r="D38" s="20" t="s">
        <v>80</v>
      </c>
      <c r="E38" s="20" t="str">
        <f>IFERROR(VLOOKUP($H38,[1]SEMIELABORADOS!$A$1:$J$999,8,0),"")</f>
        <v/>
      </c>
      <c r="F38" s="20" t="str">
        <f>IFERROR(E38*C38,"")</f>
        <v/>
      </c>
      <c r="G38" s="21" t="str">
        <f>IFERROR(F38/$F$62,"")</f>
        <v/>
      </c>
      <c r="H38" s="25"/>
      <c r="I38" s="25"/>
      <c r="J38" s="23"/>
    </row>
    <row r="39" spans="1:10" ht="13.5" hidden="1" x14ac:dyDescent="0.25">
      <c r="A39" s="18">
        <f>+A24</f>
        <v>0</v>
      </c>
      <c r="B39" s="24"/>
      <c r="C39" s="19">
        <f>+A39</f>
        <v>0</v>
      </c>
      <c r="D39" s="20" t="s">
        <v>80</v>
      </c>
      <c r="E39" s="20" t="str">
        <f>IFERROR(VLOOKUP($H39,[1]SEMIELABORADOS!$A$1:$J$999,8,0),"")</f>
        <v/>
      </c>
      <c r="F39" s="20" t="str">
        <f>IFERROR(E39*C39,"")</f>
        <v/>
      </c>
      <c r="G39" s="21" t="str">
        <f>IFERROR(F39/$F$62,"")</f>
        <v/>
      </c>
      <c r="H39" s="25"/>
      <c r="I39" s="25"/>
      <c r="J39" s="23"/>
    </row>
    <row r="40" spans="1:10" ht="13.5" hidden="1" x14ac:dyDescent="0.25">
      <c r="A40" s="18">
        <f>+A25</f>
        <v>0</v>
      </c>
      <c r="B40" s="24"/>
      <c r="C40" s="19">
        <f>+A40</f>
        <v>0</v>
      </c>
      <c r="D40" s="20" t="s">
        <v>80</v>
      </c>
      <c r="E40" s="20" t="str">
        <f>IFERROR(VLOOKUP($H40,[1]SEMIELABORADOS!$A$1:$J$999,8,0),"")</f>
        <v/>
      </c>
      <c r="F40" s="20" t="str">
        <f>IFERROR(E40*C40,"")</f>
        <v/>
      </c>
      <c r="G40" s="21" t="str">
        <f>IFERROR(F40/$F$62,"")</f>
        <v/>
      </c>
      <c r="H40" s="25"/>
      <c r="I40" s="25"/>
      <c r="J40" s="23"/>
    </row>
    <row r="41" spans="1:10" ht="14.25" thickBot="1" x14ac:dyDescent="0.3">
      <c r="A41" s="18"/>
      <c r="B41" s="24"/>
      <c r="C41" s="19"/>
      <c r="D41" s="20"/>
      <c r="E41" s="20"/>
      <c r="F41" s="20"/>
      <c r="G41" s="21"/>
      <c r="H41" s="25"/>
      <c r="I41" s="25"/>
      <c r="J41" s="23"/>
    </row>
    <row r="42" spans="1:10" ht="26.25" thickBot="1" x14ac:dyDescent="0.25">
      <c r="A42" s="13" t="s">
        <v>54</v>
      </c>
      <c r="B42" s="14" t="s">
        <v>82</v>
      </c>
      <c r="C42" s="14" t="s">
        <v>54</v>
      </c>
      <c r="D42" s="14"/>
      <c r="E42" s="15" t="s">
        <v>57</v>
      </c>
      <c r="F42" s="15" t="s">
        <v>58</v>
      </c>
      <c r="G42" s="15" t="s">
        <v>59</v>
      </c>
      <c r="H42" s="16" t="s">
        <v>60</v>
      </c>
      <c r="I42" s="17"/>
      <c r="J42" s="23"/>
    </row>
    <row r="43" spans="1:10" ht="13.5" x14ac:dyDescent="0.25">
      <c r="A43" s="18">
        <f>+A21</f>
        <v>1400</v>
      </c>
      <c r="B43" s="28" t="s">
        <v>73</v>
      </c>
      <c r="C43" s="19">
        <f t="shared" ref="C43:C48" si="6">+A43</f>
        <v>1400</v>
      </c>
      <c r="D43" s="19" t="s">
        <v>80</v>
      </c>
      <c r="E43" s="20">
        <f>+[2]COSTEO!$E$67</f>
        <v>4.6744680851063834E-2</v>
      </c>
      <c r="F43" s="20">
        <f t="shared" ref="F43:F48" si="7">IFERROR(C43*E43,"")</f>
        <v>65.442553191489367</v>
      </c>
      <c r="G43" s="21">
        <f t="shared" ref="G43:G48" si="8">IFERROR(F43/$F$63,"")</f>
        <v>1.8999958523420939E-2</v>
      </c>
      <c r="H43" s="29"/>
      <c r="I43" s="29"/>
      <c r="J43" s="23"/>
    </row>
    <row r="44" spans="1:10" ht="13.5" x14ac:dyDescent="0.25">
      <c r="A44" s="18">
        <f>+A22</f>
        <v>80</v>
      </c>
      <c r="B44" s="6" t="s">
        <v>76</v>
      </c>
      <c r="C44" s="19">
        <f t="shared" si="6"/>
        <v>80</v>
      </c>
      <c r="D44" s="19" t="s">
        <v>80</v>
      </c>
      <c r="E44" s="20">
        <f>+'[3]COSTEO EMP'!$E$67</f>
        <v>1.0999999999999999E-2</v>
      </c>
      <c r="F44" s="20">
        <f t="shared" si="7"/>
        <v>0.87999999999999989</v>
      </c>
      <c r="G44" s="21">
        <f t="shared" si="8"/>
        <v>2.5549069657607447E-4</v>
      </c>
      <c r="H44" s="29"/>
      <c r="I44" s="29"/>
      <c r="J44" s="23"/>
    </row>
    <row r="45" spans="1:10" ht="13.5" hidden="1" x14ac:dyDescent="0.25">
      <c r="A45" s="18">
        <f>+A23</f>
        <v>0</v>
      </c>
      <c r="B45" s="28"/>
      <c r="C45" s="19">
        <f t="shared" si="6"/>
        <v>0</v>
      </c>
      <c r="D45" s="19" t="s">
        <v>80</v>
      </c>
      <c r="E45" s="20" t="str">
        <f>IFERROR(VLOOKUP($H45,[1]SEMIELABORADOS!$A$1:$J$999,10,0),"")</f>
        <v/>
      </c>
      <c r="F45" s="20" t="str">
        <f t="shared" si="7"/>
        <v/>
      </c>
      <c r="G45" s="21" t="str">
        <f t="shared" si="8"/>
        <v/>
      </c>
      <c r="H45" s="29"/>
      <c r="I45" s="29"/>
      <c r="J45" s="23"/>
    </row>
    <row r="46" spans="1:10" ht="13.5" hidden="1" x14ac:dyDescent="0.25">
      <c r="A46" s="18">
        <f>+A24</f>
        <v>0</v>
      </c>
      <c r="B46" s="28"/>
      <c r="C46" s="19">
        <f t="shared" si="6"/>
        <v>0</v>
      </c>
      <c r="D46" s="19" t="s">
        <v>80</v>
      </c>
      <c r="E46" s="20" t="str">
        <f>IFERROR(VLOOKUP($H46,[1]SEMIELABORADOS!$A$1:$J$999,10,0),"")</f>
        <v/>
      </c>
      <c r="F46" s="20" t="str">
        <f t="shared" si="7"/>
        <v/>
      </c>
      <c r="G46" s="21" t="str">
        <f t="shared" si="8"/>
        <v/>
      </c>
      <c r="H46" s="29"/>
      <c r="I46" s="29"/>
      <c r="J46" s="23"/>
    </row>
    <row r="47" spans="1:10" ht="13.5" hidden="1" x14ac:dyDescent="0.25">
      <c r="A47" s="18">
        <f>+A25</f>
        <v>0</v>
      </c>
      <c r="B47" s="28"/>
      <c r="C47" s="19">
        <f t="shared" si="6"/>
        <v>0</v>
      </c>
      <c r="D47" s="19" t="s">
        <v>80</v>
      </c>
      <c r="E47" s="20" t="str">
        <f>IFERROR(VLOOKUP($H47,[1]SEMIELABORADOS!$A$1:$J$999,10,0),"")</f>
        <v/>
      </c>
      <c r="F47" s="20" t="str">
        <f t="shared" si="7"/>
        <v/>
      </c>
      <c r="G47" s="21" t="str">
        <f t="shared" si="8"/>
        <v/>
      </c>
      <c r="H47" s="29"/>
      <c r="I47" s="29"/>
      <c r="J47" s="23"/>
    </row>
    <row r="48" spans="1:10" ht="13.5" x14ac:dyDescent="0.25">
      <c r="A48" s="18">
        <v>1</v>
      </c>
      <c r="B48" s="24" t="s">
        <v>83</v>
      </c>
      <c r="C48" s="19">
        <f t="shared" si="6"/>
        <v>1</v>
      </c>
      <c r="D48" s="19" t="s">
        <v>80</v>
      </c>
      <c r="E48" s="20">
        <f>+F62</f>
        <v>550</v>
      </c>
      <c r="F48" s="20">
        <f t="shared" si="7"/>
        <v>550</v>
      </c>
      <c r="G48" s="21">
        <f t="shared" si="8"/>
        <v>0.15968168536004657</v>
      </c>
      <c r="H48" s="29"/>
      <c r="I48" s="29"/>
      <c r="J48" s="23"/>
    </row>
    <row r="49" spans="1:17" ht="14.25" thickBot="1" x14ac:dyDescent="0.3">
      <c r="A49" s="18"/>
      <c r="B49" s="24"/>
      <c r="C49" s="19"/>
      <c r="D49" s="19"/>
      <c r="E49" s="20"/>
      <c r="F49" s="20"/>
      <c r="G49" s="21"/>
      <c r="H49" s="29"/>
      <c r="I49" s="29"/>
      <c r="J49" s="23"/>
    </row>
    <row r="50" spans="1:17" ht="13.5" thickBot="1" x14ac:dyDescent="0.25">
      <c r="A50" s="30"/>
      <c r="B50" s="266" t="s">
        <v>84</v>
      </c>
      <c r="C50" s="266"/>
      <c r="D50" s="266"/>
      <c r="E50" s="266"/>
      <c r="F50" s="32">
        <f>SUM(F8:F18,F21:F25)</f>
        <v>2818.8480256085109</v>
      </c>
      <c r="G50" s="21">
        <f>+F50/$F$63</f>
        <v>0.81839709727819399</v>
      </c>
      <c r="H50" s="33">
        <f>+F50/$D$57</f>
        <v>281.88480256085109</v>
      </c>
      <c r="I50" s="33"/>
      <c r="J50" s="34"/>
      <c r="K50" s="35"/>
      <c r="L50" s="35"/>
      <c r="M50" s="35"/>
      <c r="N50" s="35"/>
      <c r="O50" s="35"/>
      <c r="P50" s="35"/>
      <c r="Q50" s="36"/>
    </row>
    <row r="51" spans="1:17" x14ac:dyDescent="0.2">
      <c r="A51" s="30"/>
      <c r="B51" s="266" t="s">
        <v>85</v>
      </c>
      <c r="C51" s="266"/>
      <c r="D51" s="266"/>
      <c r="E51" s="266"/>
      <c r="F51" s="32">
        <f>SUM(F28:F33,F36:F40)</f>
        <v>19.127437639581224</v>
      </c>
      <c r="G51" s="21">
        <f>+F51/$F$63</f>
        <v>5.553275416195492E-3</v>
      </c>
      <c r="H51" s="33">
        <f>+F51/$D$57</f>
        <v>1.9127437639581224</v>
      </c>
      <c r="I51" s="33"/>
      <c r="J51" s="37"/>
      <c r="K51" s="267" t="s">
        <v>86</v>
      </c>
      <c r="L51" s="268"/>
      <c r="M51" s="268"/>
      <c r="N51" s="268"/>
      <c r="O51" s="38">
        <f>+F52</f>
        <v>2837.9754632480922</v>
      </c>
      <c r="P51" s="38"/>
      <c r="Q51" s="39"/>
    </row>
    <row r="52" spans="1:17" x14ac:dyDescent="0.2">
      <c r="A52" s="30"/>
      <c r="B52" s="266" t="s">
        <v>87</v>
      </c>
      <c r="C52" s="266"/>
      <c r="D52" s="266"/>
      <c r="E52" s="266"/>
      <c r="F52" s="32">
        <f>+F50+F51</f>
        <v>2837.9754632480922</v>
      </c>
      <c r="G52" s="21">
        <f>+F52/$F$63</f>
        <v>0.82395037269438953</v>
      </c>
      <c r="H52" s="33">
        <f>+F52/$D$57</f>
        <v>283.79754632480922</v>
      </c>
      <c r="I52" s="33"/>
      <c r="J52" s="40"/>
      <c r="K52" s="41"/>
      <c r="L52" s="269" t="s">
        <v>88</v>
      </c>
      <c r="M52" s="269"/>
      <c r="N52" s="269"/>
      <c r="O52" s="38">
        <f>+F53</f>
        <v>616.32255319148931</v>
      </c>
      <c r="P52" s="38"/>
      <c r="Q52" s="39"/>
    </row>
    <row r="53" spans="1:17" ht="13.5" thickBot="1" x14ac:dyDescent="0.25">
      <c r="A53" s="30"/>
      <c r="B53" s="31"/>
      <c r="C53" s="266" t="s">
        <v>89</v>
      </c>
      <c r="D53" s="266"/>
      <c r="E53" s="266"/>
      <c r="F53" s="32">
        <f>SUM(F43:F48)</f>
        <v>616.32255319148931</v>
      </c>
      <c r="G53" s="21">
        <f>+F53/$F$63</f>
        <v>0.17893713458004357</v>
      </c>
      <c r="H53" s="33">
        <f>+F53/$D$57</f>
        <v>61.632255319148932</v>
      </c>
      <c r="I53" s="33"/>
      <c r="J53" s="40"/>
      <c r="K53" s="41"/>
      <c r="L53" s="41"/>
      <c r="M53" s="41" t="s">
        <v>90</v>
      </c>
      <c r="N53" s="42">
        <v>0.01</v>
      </c>
      <c r="O53" s="38">
        <f>O51*N53</f>
        <v>28.379754632480921</v>
      </c>
      <c r="P53" s="38"/>
      <c r="Q53" s="39"/>
    </row>
    <row r="54" spans="1:17" ht="13.5" thickBot="1" x14ac:dyDescent="0.25">
      <c r="A54" s="30"/>
      <c r="B54" s="43"/>
      <c r="C54" s="43"/>
      <c r="D54" s="43"/>
      <c r="E54" s="43"/>
      <c r="F54" s="44"/>
      <c r="G54" s="21"/>
      <c r="H54" s="45"/>
      <c r="I54" s="33"/>
      <c r="J54" s="40"/>
      <c r="K54" s="46"/>
      <c r="M54" s="47" t="s">
        <v>91</v>
      </c>
      <c r="N54" s="48"/>
      <c r="O54" s="49">
        <f>SUM(O51:O53)</f>
        <v>3482.6777710720621</v>
      </c>
      <c r="P54" s="50"/>
      <c r="Q54" s="39"/>
    </row>
    <row r="55" spans="1:17" x14ac:dyDescent="0.2">
      <c r="B55" s="270" t="s">
        <v>92</v>
      </c>
      <c r="C55" s="270"/>
      <c r="D55" s="51">
        <v>2000</v>
      </c>
      <c r="E55" s="52"/>
      <c r="G55" s="21"/>
      <c r="H55" s="45"/>
      <c r="I55" s="53"/>
      <c r="J55" s="40"/>
      <c r="K55" s="46"/>
      <c r="L55" s="41"/>
      <c r="M55" s="41" t="s">
        <v>93</v>
      </c>
      <c r="N55" s="54">
        <v>0.25</v>
      </c>
      <c r="O55" s="38">
        <f>+O54*N55</f>
        <v>870.66944276801553</v>
      </c>
      <c r="P55" s="38"/>
      <c r="Q55" s="39"/>
    </row>
    <row r="56" spans="1:17" x14ac:dyDescent="0.2">
      <c r="B56" s="270" t="s">
        <v>94</v>
      </c>
      <c r="C56" s="270"/>
      <c r="D56" s="55">
        <v>200</v>
      </c>
      <c r="E56" s="52"/>
      <c r="G56" s="21"/>
      <c r="H56" s="45"/>
      <c r="I56" s="53"/>
      <c r="J56" s="40"/>
      <c r="K56" s="46"/>
      <c r="L56" s="41"/>
      <c r="M56" s="269" t="s">
        <v>91</v>
      </c>
      <c r="N56" s="269"/>
      <c r="O56" s="38">
        <f>SUM(O54:O55)</f>
        <v>4353.3472138400775</v>
      </c>
      <c r="P56" s="38"/>
      <c r="Q56" s="39"/>
    </row>
    <row r="57" spans="1:17" ht="13.5" thickBot="1" x14ac:dyDescent="0.25">
      <c r="B57" s="271" t="s">
        <v>95</v>
      </c>
      <c r="C57" s="271"/>
      <c r="D57" s="51">
        <f>+D55/D56</f>
        <v>10</v>
      </c>
      <c r="E57" s="52"/>
      <c r="F57" s="56"/>
      <c r="G57" s="21"/>
      <c r="H57" s="45"/>
      <c r="I57" s="53"/>
      <c r="J57" s="40"/>
      <c r="K57" s="46"/>
      <c r="L57" s="269" t="s">
        <v>96</v>
      </c>
      <c r="M57" s="269"/>
      <c r="N57" s="54">
        <v>0.05</v>
      </c>
      <c r="O57" s="38">
        <f>+O56*N57</f>
        <v>217.66736069200388</v>
      </c>
      <c r="P57" s="38"/>
      <c r="Q57" s="39"/>
    </row>
    <row r="58" spans="1:17" ht="13.5" thickBot="1" x14ac:dyDescent="0.25">
      <c r="B58" s="271" t="s">
        <v>97</v>
      </c>
      <c r="C58" s="271"/>
      <c r="D58" s="57"/>
      <c r="E58" s="52"/>
      <c r="F58" s="56"/>
      <c r="G58" s="21"/>
      <c r="H58" s="45"/>
      <c r="I58" s="53"/>
      <c r="J58" s="40"/>
      <c r="K58" s="272" t="s">
        <v>98</v>
      </c>
      <c r="L58" s="273"/>
      <c r="M58" s="273"/>
      <c r="N58" s="274"/>
      <c r="O58" s="49">
        <f>SUM(O56:O57)</f>
        <v>4571.0145745320815</v>
      </c>
      <c r="P58" s="58" t="s">
        <v>99</v>
      </c>
      <c r="Q58" s="39"/>
    </row>
    <row r="59" spans="1:17" ht="13.5" thickBot="1" x14ac:dyDescent="0.25">
      <c r="C59" s="30" t="s">
        <v>100</v>
      </c>
      <c r="D59" s="59"/>
      <c r="E59" s="4" t="s">
        <v>101</v>
      </c>
      <c r="F59" s="60" t="s">
        <v>102</v>
      </c>
      <c r="G59" s="21"/>
      <c r="H59" s="45"/>
      <c r="I59" s="53"/>
      <c r="J59" s="61"/>
      <c r="K59" s="62"/>
      <c r="L59" s="275" t="s">
        <v>103</v>
      </c>
      <c r="M59" s="275"/>
      <c r="N59" s="275"/>
      <c r="O59" s="63">
        <f>+O58/D57</f>
        <v>457.10145745320813</v>
      </c>
      <c r="P59" s="64">
        <f>+O59/D56</f>
        <v>2.2855072872660407</v>
      </c>
      <c r="Q59" s="65"/>
    </row>
    <row r="60" spans="1:17" ht="13.5" thickBot="1" x14ac:dyDescent="0.25">
      <c r="B60" s="276" t="s">
        <v>87</v>
      </c>
      <c r="C60" s="276"/>
      <c r="D60" s="276"/>
      <c r="E60" s="66">
        <f>+F60/F60</f>
        <v>1</v>
      </c>
      <c r="F60" s="67">
        <f>SUM(F52)</f>
        <v>2837.9754632480922</v>
      </c>
      <c r="G60" s="21">
        <f>+F60/$F$63</f>
        <v>0.82395037269438953</v>
      </c>
      <c r="H60" s="45"/>
      <c r="I60" s="53"/>
      <c r="K60" s="277"/>
      <c r="L60" s="278"/>
      <c r="M60" s="278"/>
      <c r="N60" s="278"/>
      <c r="O60" s="68"/>
      <c r="P60" s="69"/>
    </row>
    <row r="61" spans="1:17" ht="13.5" thickBot="1" x14ac:dyDescent="0.25">
      <c r="B61" s="279" t="s">
        <v>104</v>
      </c>
      <c r="C61" s="279"/>
      <c r="D61" s="279"/>
      <c r="E61" s="70">
        <v>0.02</v>
      </c>
      <c r="F61" s="67">
        <f>+F50*E61</f>
        <v>56.376960512170221</v>
      </c>
      <c r="G61" s="21">
        <f>+F61/$F$63</f>
        <v>1.6367941945563881E-2</v>
      </c>
      <c r="H61" s="33"/>
      <c r="I61" s="53"/>
      <c r="J61" s="71"/>
      <c r="O61" s="72"/>
      <c r="P61" s="31"/>
    </row>
    <row r="62" spans="1:17" ht="13.5" thickBot="1" x14ac:dyDescent="0.25">
      <c r="B62" s="281" t="s">
        <v>105</v>
      </c>
      <c r="C62" s="282"/>
      <c r="D62" s="73">
        <v>10</v>
      </c>
      <c r="E62" s="74">
        <v>55</v>
      </c>
      <c r="F62" s="67">
        <f>+E62*D62</f>
        <v>550</v>
      </c>
      <c r="G62" s="21">
        <f>+F62/$F$63</f>
        <v>0.15968168536004657</v>
      </c>
      <c r="H62" s="33"/>
      <c r="I62" s="33"/>
      <c r="J62" s="23"/>
    </row>
    <row r="63" spans="1:17" ht="13.5" thickBot="1" x14ac:dyDescent="0.25">
      <c r="B63" s="283" t="s">
        <v>106</v>
      </c>
      <c r="C63" s="284"/>
      <c r="D63" s="284"/>
      <c r="E63" s="285"/>
      <c r="F63" s="44">
        <f>SUM(F60:F62)</f>
        <v>3444.3524237602624</v>
      </c>
      <c r="G63" s="21">
        <f>+F63/$F$63</f>
        <v>1</v>
      </c>
      <c r="H63" s="286"/>
      <c r="I63" s="33"/>
      <c r="J63" s="23"/>
    </row>
    <row r="64" spans="1:17" x14ac:dyDescent="0.2">
      <c r="C64" s="76"/>
      <c r="D64" s="76"/>
      <c r="E64" s="77"/>
      <c r="F64" s="67"/>
      <c r="G64" s="21"/>
      <c r="H64" s="286"/>
      <c r="I64" s="75"/>
      <c r="J64" s="6"/>
    </row>
    <row r="65" spans="2:10" ht="13.5" thickBot="1" x14ac:dyDescent="0.25">
      <c r="B65" s="287" t="s">
        <v>107</v>
      </c>
      <c r="C65" s="287"/>
      <c r="D65" s="287"/>
      <c r="E65" s="287"/>
      <c r="F65" s="287"/>
      <c r="G65" s="21"/>
      <c r="H65" s="79"/>
      <c r="I65" s="75"/>
      <c r="J65" s="6"/>
    </row>
    <row r="66" spans="2:10" ht="13.5" thickBot="1" x14ac:dyDescent="0.25">
      <c r="B66" s="80" t="s">
        <v>108</v>
      </c>
      <c r="C66" s="81">
        <f>+F50</f>
        <v>2818.8480256085109</v>
      </c>
      <c r="D66" s="81">
        <f>+D55</f>
        <v>2000</v>
      </c>
      <c r="E66" s="82">
        <f>+C66/D66</f>
        <v>1.4094240128042554</v>
      </c>
      <c r="F66" s="21"/>
      <c r="G66" s="79"/>
      <c r="H66" s="23"/>
      <c r="I66" s="79"/>
      <c r="J66" s="6"/>
    </row>
    <row r="67" spans="2:10" x14ac:dyDescent="0.2">
      <c r="B67" s="83"/>
      <c r="C67" s="84"/>
      <c r="D67" s="85"/>
      <c r="E67" s="67"/>
      <c r="F67" s="21"/>
      <c r="G67" s="79"/>
      <c r="H67" s="23"/>
      <c r="I67" s="23"/>
      <c r="J67" s="6"/>
    </row>
    <row r="68" spans="2:10" x14ac:dyDescent="0.2">
      <c r="B68" s="80" t="s">
        <v>109</v>
      </c>
      <c r="C68" s="81">
        <f>SUM(F60:F61)</f>
        <v>2894.3524237602624</v>
      </c>
      <c r="D68" s="81">
        <f>+D55</f>
        <v>2000</v>
      </c>
      <c r="E68" s="86">
        <f>+C68/D68</f>
        <v>1.4471762118801312</v>
      </c>
      <c r="F68" s="21"/>
      <c r="G68" s="79"/>
      <c r="H68" s="23"/>
      <c r="I68" s="23"/>
      <c r="J68" s="6"/>
    </row>
    <row r="69" spans="2:10" x14ac:dyDescent="0.2">
      <c r="B69" s="80"/>
      <c r="C69" s="81"/>
      <c r="D69" s="81"/>
      <c r="E69" s="86"/>
      <c r="F69" s="21"/>
      <c r="G69" s="79"/>
      <c r="H69" s="23"/>
      <c r="I69" s="23"/>
      <c r="J69" s="6"/>
    </row>
    <row r="70" spans="2:10" ht="13.5" thickBot="1" x14ac:dyDescent="0.25">
      <c r="B70" s="80" t="s">
        <v>110</v>
      </c>
      <c r="C70" s="81">
        <f>+F62</f>
        <v>550</v>
      </c>
      <c r="D70" s="81">
        <f>+D55</f>
        <v>2000</v>
      </c>
      <c r="E70" s="86">
        <f>+C70/D70</f>
        <v>0.27500000000000002</v>
      </c>
      <c r="F70" s="21"/>
      <c r="G70" s="79"/>
      <c r="H70" s="23"/>
      <c r="I70" s="23"/>
      <c r="J70" s="6"/>
    </row>
    <row r="71" spans="2:10" ht="13.5" thickBot="1" x14ac:dyDescent="0.25">
      <c r="B71" s="80" t="s">
        <v>111</v>
      </c>
      <c r="C71" s="81">
        <f>+F53</f>
        <v>616.32255319148931</v>
      </c>
      <c r="D71" s="81">
        <f>+D70</f>
        <v>2000</v>
      </c>
      <c r="E71" s="82">
        <f>+C71/D71</f>
        <v>0.30816127659574466</v>
      </c>
      <c r="F71" s="21"/>
      <c r="G71" s="79"/>
      <c r="H71" s="23"/>
      <c r="I71" s="23"/>
      <c r="J71" s="6"/>
    </row>
    <row r="72" spans="2:10" ht="13.5" thickBot="1" x14ac:dyDescent="0.25">
      <c r="B72" s="43"/>
      <c r="C72" s="44"/>
      <c r="D72" s="44"/>
      <c r="E72" s="86"/>
      <c r="F72" s="21"/>
      <c r="G72" s="79"/>
      <c r="H72" s="23"/>
      <c r="I72" s="23"/>
      <c r="J72" s="6"/>
    </row>
    <row r="73" spans="2:10" ht="13.5" thickBot="1" x14ac:dyDescent="0.25">
      <c r="B73" s="80" t="s">
        <v>112</v>
      </c>
      <c r="C73" s="81">
        <f>+F51</f>
        <v>19.127437639581224</v>
      </c>
      <c r="D73" s="81">
        <f>+D71</f>
        <v>2000</v>
      </c>
      <c r="E73" s="82">
        <f>+C73/D73</f>
        <v>9.5637188197906127E-3</v>
      </c>
      <c r="F73" s="21"/>
      <c r="G73" s="79"/>
      <c r="H73" s="23"/>
      <c r="I73" s="23"/>
      <c r="J73" s="23"/>
    </row>
    <row r="74" spans="2:10" ht="13.5" thickBot="1" x14ac:dyDescent="0.25">
      <c r="B74" s="43"/>
      <c r="C74" s="44"/>
      <c r="D74" s="44"/>
      <c r="E74" s="86"/>
      <c r="F74" s="21"/>
      <c r="G74" s="79"/>
      <c r="H74" s="23"/>
      <c r="I74" s="23"/>
    </row>
    <row r="75" spans="2:10" ht="13.5" thickBot="1" x14ac:dyDescent="0.25">
      <c r="B75" s="288" t="s">
        <v>113</v>
      </c>
      <c r="C75" s="289"/>
      <c r="D75" s="290"/>
      <c r="E75" s="82">
        <f>+E66+E71</f>
        <v>1.7175852894000001</v>
      </c>
      <c r="G75" s="21"/>
      <c r="H75" s="79"/>
      <c r="I75" s="23"/>
      <c r="J75" s="86"/>
    </row>
    <row r="76" spans="2:10" x14ac:dyDescent="0.2">
      <c r="I76" s="79"/>
      <c r="J76" s="6"/>
    </row>
    <row r="77" spans="2:10" ht="13.5" thickBot="1" x14ac:dyDescent="0.25">
      <c r="B77" s="287" t="s">
        <v>114</v>
      </c>
      <c r="C77" s="287"/>
      <c r="D77" s="287"/>
      <c r="E77" s="287"/>
      <c r="F77" s="287"/>
      <c r="G77" s="21"/>
      <c r="H77" s="79"/>
      <c r="J77" s="6"/>
    </row>
    <row r="78" spans="2:10" ht="13.5" thickBot="1" x14ac:dyDescent="0.25">
      <c r="B78" s="80" t="s">
        <v>108</v>
      </c>
      <c r="C78" s="81">
        <f>+C66</f>
        <v>2818.8480256085109</v>
      </c>
      <c r="D78" s="81">
        <f>+D57</f>
        <v>10</v>
      </c>
      <c r="E78" s="82">
        <f>+C78/D78</f>
        <v>281.88480256085109</v>
      </c>
      <c r="F78" s="21"/>
      <c r="G78" s="79"/>
      <c r="H78" s="23"/>
      <c r="I78" s="79"/>
      <c r="J78" s="6"/>
    </row>
    <row r="79" spans="2:10" x14ac:dyDescent="0.2">
      <c r="B79" s="83"/>
      <c r="C79" s="84"/>
      <c r="D79" s="85"/>
      <c r="E79" s="67"/>
      <c r="F79" s="21"/>
      <c r="G79" s="79"/>
      <c r="H79" s="23"/>
      <c r="I79" s="23"/>
      <c r="J79" s="6"/>
    </row>
    <row r="80" spans="2:10" x14ac:dyDescent="0.2">
      <c r="B80" s="80" t="s">
        <v>109</v>
      </c>
      <c r="C80" s="81">
        <f>+C68</f>
        <v>2894.3524237602624</v>
      </c>
      <c r="D80" s="81">
        <f>+D57</f>
        <v>10</v>
      </c>
      <c r="E80" s="86">
        <f>+C80/D80</f>
        <v>289.43524237602622</v>
      </c>
      <c r="F80" s="21"/>
      <c r="G80" s="79"/>
      <c r="H80" s="23"/>
      <c r="I80" s="23"/>
      <c r="J80" s="6"/>
    </row>
    <row r="81" spans="1:10" x14ac:dyDescent="0.2">
      <c r="B81" s="80"/>
      <c r="C81" s="81"/>
      <c r="D81" s="81"/>
      <c r="E81" s="86"/>
      <c r="F81" s="21"/>
      <c r="G81" s="79"/>
      <c r="H81" s="23"/>
      <c r="I81" s="23"/>
      <c r="J81" s="6"/>
    </row>
    <row r="82" spans="1:10" ht="13.5" thickBot="1" x14ac:dyDescent="0.25">
      <c r="B82" s="80" t="s">
        <v>111</v>
      </c>
      <c r="C82" s="81">
        <f>+C70</f>
        <v>550</v>
      </c>
      <c r="D82" s="81">
        <f>+D57</f>
        <v>10</v>
      </c>
      <c r="E82" s="86">
        <f>+C82/D82</f>
        <v>55</v>
      </c>
      <c r="F82" s="88"/>
      <c r="G82" s="78"/>
      <c r="H82" s="5"/>
      <c r="I82" s="23"/>
    </row>
    <row r="83" spans="1:10" ht="13.5" thickBot="1" x14ac:dyDescent="0.25">
      <c r="B83" s="80" t="s">
        <v>111</v>
      </c>
      <c r="C83" s="81">
        <f>+C71</f>
        <v>616.32255319148931</v>
      </c>
      <c r="D83" s="81">
        <f>+D82</f>
        <v>10</v>
      </c>
      <c r="E83" s="82">
        <f>+C83/D83</f>
        <v>61.632255319148932</v>
      </c>
      <c r="F83" s="87"/>
      <c r="G83" s="78"/>
      <c r="H83" s="5"/>
      <c r="I83" s="5"/>
    </row>
    <row r="84" spans="1:10" x14ac:dyDescent="0.2">
      <c r="I84" s="5"/>
    </row>
    <row r="85" spans="1:10" x14ac:dyDescent="0.2">
      <c r="A85" s="280"/>
      <c r="B85" s="280"/>
      <c r="C85" s="89"/>
      <c r="D85" s="89"/>
      <c r="E85" s="90"/>
      <c r="G85" s="91"/>
    </row>
    <row r="86" spans="1:10" x14ac:dyDescent="0.2">
      <c r="A86" s="24"/>
      <c r="B86" s="92"/>
      <c r="C86" s="93"/>
      <c r="D86" s="93"/>
      <c r="E86" s="94"/>
      <c r="G86" s="91"/>
    </row>
    <row r="87" spans="1:10" x14ac:dyDescent="0.2">
      <c r="A87" s="24"/>
      <c r="B87" s="92"/>
      <c r="C87" s="95"/>
      <c r="D87" s="95"/>
      <c r="E87" s="24"/>
      <c r="G87" s="91"/>
    </row>
    <row r="88" spans="1:10" x14ac:dyDescent="0.2">
      <c r="A88" s="24"/>
      <c r="B88" s="92"/>
      <c r="C88" s="96"/>
      <c r="D88" s="96"/>
      <c r="E88" s="24"/>
      <c r="G88" s="91"/>
    </row>
  </sheetData>
  <mergeCells count="31">
    <mergeCell ref="B60:D60"/>
    <mergeCell ref="K60:N60"/>
    <mergeCell ref="B61:D61"/>
    <mergeCell ref="A85:B85"/>
    <mergeCell ref="B62:C62"/>
    <mergeCell ref="B63:E63"/>
    <mergeCell ref="H63:H64"/>
    <mergeCell ref="B65:F65"/>
    <mergeCell ref="B75:D75"/>
    <mergeCell ref="B77:F77"/>
    <mergeCell ref="B57:C57"/>
    <mergeCell ref="L57:M57"/>
    <mergeCell ref="B58:C58"/>
    <mergeCell ref="K58:N58"/>
    <mergeCell ref="L59:N59"/>
    <mergeCell ref="B52:E52"/>
    <mergeCell ref="L52:N52"/>
    <mergeCell ref="C53:E53"/>
    <mergeCell ref="B55:C55"/>
    <mergeCell ref="B56:C56"/>
    <mergeCell ref="M56:N56"/>
    <mergeCell ref="K30:L30"/>
    <mergeCell ref="K31:L31"/>
    <mergeCell ref="B50:E50"/>
    <mergeCell ref="B51:E51"/>
    <mergeCell ref="K51:N51"/>
    <mergeCell ref="A4:H4"/>
    <mergeCell ref="A5:H5"/>
    <mergeCell ref="F6:G6"/>
    <mergeCell ref="K28:L28"/>
    <mergeCell ref="K29:L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4"/>
  <sheetViews>
    <sheetView topLeftCell="A23" workbookViewId="0">
      <selection activeCell="M23" sqref="M23"/>
    </sheetView>
  </sheetViews>
  <sheetFormatPr baseColWidth="10" defaultColWidth="8.42578125" defaultRowHeight="12.75" x14ac:dyDescent="0.2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7" bestFit="1" customWidth="1"/>
    <col min="8" max="8" width="10.42578125" style="78" bestFit="1" customWidth="1"/>
    <col min="9" max="9" width="4.5703125" style="78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16384" width="8.42578125" style="6"/>
  </cols>
  <sheetData>
    <row r="1" spans="1:10" ht="27.75" customHeight="1" x14ac:dyDescent="0.2">
      <c r="A1" s="1"/>
      <c r="B1" s="1"/>
      <c r="C1" s="1"/>
      <c r="D1" s="1"/>
      <c r="E1" s="2" t="s">
        <v>48</v>
      </c>
      <c r="F1" s="3" t="s">
        <v>49</v>
      </c>
      <c r="G1" s="3" t="s">
        <v>50</v>
      </c>
      <c r="H1" s="3" t="s">
        <v>51</v>
      </c>
      <c r="I1" s="4"/>
    </row>
    <row r="2" spans="1:10" ht="30.75" customHeight="1" x14ac:dyDescent="0.2">
      <c r="A2" s="1"/>
      <c r="B2" s="1"/>
      <c r="C2" s="1"/>
      <c r="D2" s="1"/>
      <c r="E2" s="7">
        <f>IFERROR(O55,"")</f>
        <v>536.07062888254961</v>
      </c>
      <c r="F2" s="7">
        <f>IFERROR(H46,"")</f>
        <v>281.88480256085109</v>
      </c>
      <c r="G2" s="7">
        <f>IFERROR(H47,"")</f>
        <v>7.0285732250359665</v>
      </c>
      <c r="H2" s="7">
        <f>IFERROR(H49,"")</f>
        <v>116.63225531914892</v>
      </c>
      <c r="I2" s="8"/>
    </row>
    <row r="3" spans="1:10" ht="15" customHeight="1" x14ac:dyDescent="0.2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25">
      <c r="A4" s="260"/>
      <c r="B4" s="260"/>
      <c r="C4" s="260"/>
      <c r="D4" s="260"/>
      <c r="E4" s="260"/>
      <c r="F4" s="260"/>
      <c r="G4" s="260"/>
      <c r="H4" s="260"/>
      <c r="I4" s="10"/>
    </row>
    <row r="5" spans="1:10" ht="19.5" customHeight="1" thickBot="1" x14ac:dyDescent="0.25">
      <c r="A5" s="261" t="s">
        <v>52</v>
      </c>
      <c r="B5" s="262"/>
      <c r="C5" s="262"/>
      <c r="D5" s="262"/>
      <c r="E5" s="262"/>
      <c r="F5" s="262"/>
      <c r="G5" s="262"/>
      <c r="H5" s="263"/>
      <c r="I5" s="11"/>
    </row>
    <row r="6" spans="1:10" ht="19.5" thickBot="1" x14ac:dyDescent="0.25">
      <c r="A6" s="11"/>
      <c r="B6" s="11"/>
      <c r="C6" s="11"/>
      <c r="D6" s="11"/>
      <c r="E6" s="11"/>
      <c r="F6" s="264" t="s">
        <v>53</v>
      </c>
      <c r="G6" s="264"/>
      <c r="H6" s="12">
        <f ca="1">TODAY()</f>
        <v>45846</v>
      </c>
      <c r="I6" s="12"/>
    </row>
    <row r="7" spans="1:10" ht="26.25" hidden="1" thickBot="1" x14ac:dyDescent="0.25">
      <c r="A7" s="13" t="s">
        <v>54</v>
      </c>
      <c r="B7" s="14" t="s">
        <v>55</v>
      </c>
      <c r="C7" s="14" t="s">
        <v>54</v>
      </c>
      <c r="D7" s="15" t="s">
        <v>56</v>
      </c>
      <c r="E7" s="15" t="s">
        <v>57</v>
      </c>
      <c r="F7" s="15" t="s">
        <v>58</v>
      </c>
      <c r="G7" s="15" t="s">
        <v>59</v>
      </c>
      <c r="H7" s="16" t="s">
        <v>60</v>
      </c>
      <c r="I7" s="17"/>
    </row>
    <row r="8" spans="1:10" ht="13.5" hidden="1" x14ac:dyDescent="0.25">
      <c r="A8" s="18"/>
      <c r="B8" s="6" t="str">
        <f>IFERROR(VLOOKUP($H8,'[1]MP PLANTA'!$A$2:$F$500,2,0),"")</f>
        <v/>
      </c>
      <c r="C8" s="19">
        <f>+A8</f>
        <v>0</v>
      </c>
      <c r="D8" s="20" t="str">
        <f>IFERROR(VLOOKUP($H8,'[1]MP PLANTA'!$A$2:$F$500,5,0),"")</f>
        <v/>
      </c>
      <c r="E8" s="20" t="str">
        <f>IFERROR(VLOOKUP($H8,'[1]MP PLANTA'!$A$2:$F$500,6,0),"")</f>
        <v/>
      </c>
      <c r="F8" s="20" t="str">
        <f>IFERROR(C8*E8,"")</f>
        <v/>
      </c>
      <c r="G8" s="21" t="str">
        <f>IFERROR(F8/$F$59,"")</f>
        <v/>
      </c>
      <c r="H8" s="22"/>
      <c r="I8" s="22"/>
      <c r="J8" s="23"/>
    </row>
    <row r="9" spans="1:10" ht="13.5" hidden="1" x14ac:dyDescent="0.25">
      <c r="A9" s="18"/>
      <c r="B9" s="6" t="str">
        <f>IFERROR(VLOOKUP($H9,'[1]MP PLANTA'!$A$2:$F$500,2,0),"")</f>
        <v/>
      </c>
      <c r="C9" s="19">
        <f t="shared" ref="C9:C14" si="0">+A9</f>
        <v>0</v>
      </c>
      <c r="D9" s="20" t="str">
        <f>IFERROR(VLOOKUP($H9,'[1]MP PLANTA'!$A$2:$F$500,5,0),"")</f>
        <v/>
      </c>
      <c r="E9" s="20" t="str">
        <f>IFERROR(VLOOKUP($H9,'[1]MP PLANTA'!$A$2:$F$500,6,0),"")</f>
        <v/>
      </c>
      <c r="F9" s="20" t="str">
        <f t="shared" ref="F9:F14" si="1">IFERROR(C9*E9,"")</f>
        <v/>
      </c>
      <c r="G9" s="21" t="str">
        <f t="shared" ref="G9:G14" si="2">IFERROR(F9/$F$59,"")</f>
        <v/>
      </c>
      <c r="H9" s="22"/>
      <c r="I9" s="22"/>
      <c r="J9" s="23"/>
    </row>
    <row r="10" spans="1:10" ht="13.5" hidden="1" x14ac:dyDescent="0.25">
      <c r="A10" s="18"/>
      <c r="B10" s="6" t="str">
        <f>IFERROR(VLOOKUP($H10,'[1]MP PLANTA'!$A$2:$F$500,2,0),"")</f>
        <v/>
      </c>
      <c r="C10" s="19">
        <f t="shared" si="0"/>
        <v>0</v>
      </c>
      <c r="D10" s="20" t="str">
        <f>IFERROR(VLOOKUP($H10,'[1]MP PLANTA'!$A$2:$F$500,5,0),"")</f>
        <v/>
      </c>
      <c r="E10" s="20" t="str">
        <f>IFERROR(VLOOKUP($H10,'[1]MP PLANTA'!$A$2:$F$500,6,0),"")</f>
        <v/>
      </c>
      <c r="F10" s="20" t="str">
        <f t="shared" si="1"/>
        <v/>
      </c>
      <c r="G10" s="21" t="str">
        <f t="shared" si="2"/>
        <v/>
      </c>
      <c r="H10" s="22"/>
      <c r="I10" s="22"/>
      <c r="J10" s="23"/>
    </row>
    <row r="11" spans="1:10" ht="13.5" hidden="1" x14ac:dyDescent="0.25">
      <c r="A11" s="18"/>
      <c r="B11" s="6" t="str">
        <f>IFERROR(VLOOKUP($H11,'[1]MP PLANTA'!$A$2:$F$500,2,0),"")</f>
        <v/>
      </c>
      <c r="C11" s="19">
        <f t="shared" si="0"/>
        <v>0</v>
      </c>
      <c r="D11" s="20" t="str">
        <f>IFERROR(VLOOKUP($H11,'[1]MP PLANTA'!$A$2:$F$500,5,0),"")</f>
        <v/>
      </c>
      <c r="E11" s="20" t="str">
        <f>IFERROR(VLOOKUP($H11,'[1]MP PLANTA'!$A$2:$F$500,6,0),"")</f>
        <v/>
      </c>
      <c r="F11" s="20" t="str">
        <f t="shared" si="1"/>
        <v/>
      </c>
      <c r="G11" s="21" t="str">
        <f t="shared" si="2"/>
        <v/>
      </c>
      <c r="H11" s="22"/>
      <c r="I11" s="22"/>
      <c r="J11" s="23"/>
    </row>
    <row r="12" spans="1:10" ht="13.5" hidden="1" x14ac:dyDescent="0.25">
      <c r="A12" s="18"/>
      <c r="B12" s="6" t="str">
        <f>IFERROR(VLOOKUP($H12,'[1]MP PLANTA'!$A$2:$F$500,2,0),"")</f>
        <v/>
      </c>
      <c r="C12" s="19">
        <f t="shared" si="0"/>
        <v>0</v>
      </c>
      <c r="D12" s="20" t="str">
        <f>IFERROR(VLOOKUP($H12,'[1]MP PLANTA'!$A$2:$F$500,5,0),"")</f>
        <v/>
      </c>
      <c r="E12" s="20" t="str">
        <f>IFERROR(VLOOKUP($H12,'[1]MP PLANTA'!$A$2:$F$500,6,0),"")</f>
        <v/>
      </c>
      <c r="F12" s="20" t="str">
        <f t="shared" si="1"/>
        <v/>
      </c>
      <c r="G12" s="21" t="str">
        <f t="shared" si="2"/>
        <v/>
      </c>
      <c r="H12" s="22"/>
      <c r="I12" s="22"/>
      <c r="J12" s="23"/>
    </row>
    <row r="13" spans="1:10" ht="13.5" hidden="1" x14ac:dyDescent="0.25">
      <c r="A13" s="18"/>
      <c r="B13" s="6" t="str">
        <f>IFERROR(VLOOKUP($H13,'[1]MP PLANTA'!$A$2:$F$500,2,0),"")</f>
        <v/>
      </c>
      <c r="C13" s="19">
        <f t="shared" si="0"/>
        <v>0</v>
      </c>
      <c r="D13" s="20" t="str">
        <f>IFERROR(VLOOKUP($H13,'[1]MP PLANTA'!$A$2:$F$500,5,0),"")</f>
        <v/>
      </c>
      <c r="E13" s="20" t="str">
        <f>IFERROR(VLOOKUP($H13,'[1]MP PLANTA'!$A$2:$F$500,6,0),"")</f>
        <v/>
      </c>
      <c r="F13" s="20" t="str">
        <f t="shared" si="1"/>
        <v/>
      </c>
      <c r="G13" s="21" t="str">
        <f t="shared" si="2"/>
        <v/>
      </c>
      <c r="H13" s="22"/>
      <c r="I13" s="22"/>
      <c r="J13" s="23"/>
    </row>
    <row r="14" spans="1:10" ht="13.5" hidden="1" x14ac:dyDescent="0.25">
      <c r="A14" s="18"/>
      <c r="B14" s="6" t="str">
        <f>IFERROR(VLOOKUP($H14,'[1]MP PLANTA'!$A$2:$F$500,2,0),"")</f>
        <v/>
      </c>
      <c r="C14" s="19">
        <f t="shared" si="0"/>
        <v>0</v>
      </c>
      <c r="D14" s="20" t="str">
        <f>IFERROR(VLOOKUP($H14,'[1]MP PLANTA'!$A$2:$F$500,5,0),"")</f>
        <v/>
      </c>
      <c r="E14" s="20" t="str">
        <f>IFERROR(VLOOKUP($H14,'[1]MP PLANTA'!$A$2:$F$500,6,0),"")</f>
        <v/>
      </c>
      <c r="F14" s="20" t="str">
        <f t="shared" si="1"/>
        <v/>
      </c>
      <c r="G14" s="21" t="str">
        <f t="shared" si="2"/>
        <v/>
      </c>
      <c r="H14" s="22"/>
      <c r="I14" s="22"/>
      <c r="J14" s="23"/>
    </row>
    <row r="15" spans="1:10" ht="14.25" hidden="1" thickBot="1" x14ac:dyDescent="0.3">
      <c r="A15" s="18"/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25">
      <c r="A16" s="13" t="s">
        <v>54</v>
      </c>
      <c r="B16" s="14" t="s">
        <v>72</v>
      </c>
      <c r="C16" s="14" t="s">
        <v>54</v>
      </c>
      <c r="D16" s="15" t="s">
        <v>56</v>
      </c>
      <c r="E16" s="15" t="s">
        <v>57</v>
      </c>
      <c r="F16" s="15" t="s">
        <v>58</v>
      </c>
      <c r="G16" s="15" t="s">
        <v>59</v>
      </c>
      <c r="H16" s="16" t="s">
        <v>60</v>
      </c>
      <c r="I16" s="17"/>
      <c r="J16" s="23"/>
    </row>
    <row r="17" spans="1:12" ht="13.5" x14ac:dyDescent="0.25">
      <c r="A17" s="18">
        <v>200</v>
      </c>
      <c r="B17" s="6" t="s">
        <v>115</v>
      </c>
      <c r="C17" s="19">
        <f>+A17</f>
        <v>200</v>
      </c>
      <c r="D17" s="19" t="s">
        <v>116</v>
      </c>
      <c r="E17" s="20">
        <f>+'Costo salsa culantro '!E66</f>
        <v>1.4094240128042554</v>
      </c>
      <c r="F17" s="20">
        <f>IFERROR(E17*C17,"")</f>
        <v>281.88480256085109</v>
      </c>
      <c r="G17" s="21">
        <f>IFERROR(F17/$F$59,"")</f>
        <v>0.80641950568017007</v>
      </c>
      <c r="H17" s="22"/>
      <c r="I17" s="22"/>
      <c r="J17" s="23"/>
    </row>
    <row r="18" spans="1:12" ht="13.5" hidden="1" x14ac:dyDescent="0.25">
      <c r="A18" s="18"/>
      <c r="B18" s="6" t="str">
        <f>IFERROR(VLOOKUP($H18,[1]SEMIELABORADOS!$A$1:$J$999,2,0),"")</f>
        <v/>
      </c>
      <c r="C18" s="19">
        <f>+A18</f>
        <v>0</v>
      </c>
      <c r="D18" s="19" t="str">
        <f>IFERROR(VLOOKUP($H18,[1]SEMIELABORADOS!$A$1:$J$999,4,0),"")</f>
        <v/>
      </c>
      <c r="E18" s="20" t="str">
        <f>IFERROR(VLOOKUP($H18,[1]SEMIELABORADOS!$A$1:$J$999,6,0),"")</f>
        <v/>
      </c>
      <c r="F18" s="20" t="str">
        <f>IFERROR(E18*C18,"")</f>
        <v/>
      </c>
      <c r="G18" s="21" t="str">
        <f>IFERROR(F18/$F$59,"")</f>
        <v/>
      </c>
      <c r="H18" s="22"/>
      <c r="I18" s="22"/>
      <c r="J18" s="23"/>
    </row>
    <row r="19" spans="1:12" ht="13.5" hidden="1" x14ac:dyDescent="0.25">
      <c r="A19" s="18"/>
      <c r="B19" s="6" t="str">
        <f>IFERROR(VLOOKUP($H19,[1]SEMIELABORADOS!$A$1:$J$999,2,0),"")</f>
        <v/>
      </c>
      <c r="C19" s="19">
        <f>+A19</f>
        <v>0</v>
      </c>
      <c r="D19" s="19" t="str">
        <f>IFERROR(VLOOKUP($H19,[1]SEMIELABORADOS!$A$1:$J$999,4,0),"")</f>
        <v/>
      </c>
      <c r="E19" s="20" t="str">
        <f>IFERROR(VLOOKUP($H19,[1]SEMIELABORADOS!$A$1:$J$999,6,0),"")</f>
        <v/>
      </c>
      <c r="F19" s="20" t="str">
        <f>IFERROR(E19*C19,"")</f>
        <v/>
      </c>
      <c r="G19" s="21" t="str">
        <f>IFERROR(F19/$F$59,"")</f>
        <v/>
      </c>
      <c r="H19" s="22"/>
      <c r="I19" s="22"/>
      <c r="J19" s="23"/>
    </row>
    <row r="20" spans="1:12" ht="13.5" hidden="1" x14ac:dyDescent="0.25">
      <c r="A20" s="18"/>
      <c r="B20" s="6" t="str">
        <f>IFERROR(VLOOKUP($H20,[1]SEMIELABORADOS!$A$1:$J$999,2,0),"")</f>
        <v/>
      </c>
      <c r="C20" s="19">
        <f>+A20</f>
        <v>0</v>
      </c>
      <c r="D20" s="19" t="str">
        <f>IFERROR(VLOOKUP($H20,[1]SEMIELABORADOS!$A$1:$J$999,4,0),"")</f>
        <v/>
      </c>
      <c r="E20" s="20" t="str">
        <f>IFERROR(VLOOKUP($H20,[1]SEMIELABORADOS!$A$1:$J$999,6,0),"")</f>
        <v/>
      </c>
      <c r="F20" s="20" t="str">
        <f>IFERROR(E20*C20,"")</f>
        <v/>
      </c>
      <c r="G20" s="21" t="str">
        <f>IFERROR(F20/$F$59,"")</f>
        <v/>
      </c>
      <c r="H20" s="22"/>
      <c r="I20" s="22"/>
      <c r="J20" s="23"/>
    </row>
    <row r="21" spans="1:12" ht="13.5" hidden="1" x14ac:dyDescent="0.25">
      <c r="A21" s="18"/>
      <c r="B21" s="6" t="str">
        <f>IFERROR(VLOOKUP($H21,[1]SEMIELABORADOS!$A$1:$J$999,2,0),"")</f>
        <v/>
      </c>
      <c r="C21" s="19">
        <f>+A21</f>
        <v>0</v>
      </c>
      <c r="D21" s="19" t="str">
        <f>IFERROR(VLOOKUP($H21,[1]SEMIELABORADOS!$A$1:$J$999,4,0),"")</f>
        <v/>
      </c>
      <c r="E21" s="20" t="str">
        <f>IFERROR(VLOOKUP($H21,[1]SEMIELABORADOS!$A$1:$J$999,6,0),"")</f>
        <v/>
      </c>
      <c r="F21" s="20" t="str">
        <f>IFERROR(E21*C21,"")</f>
        <v/>
      </c>
      <c r="G21" s="21" t="str">
        <f>IFERROR(F21/$F$59,"")</f>
        <v/>
      </c>
      <c r="H21" s="22"/>
      <c r="I21" s="22"/>
      <c r="J21" s="23"/>
    </row>
    <row r="22" spans="1:12" ht="14.25" thickBot="1" x14ac:dyDescent="0.3">
      <c r="A22" s="18"/>
      <c r="C22" s="19"/>
      <c r="D22" s="19"/>
      <c r="E22" s="20"/>
      <c r="F22" s="20"/>
      <c r="G22" s="21"/>
      <c r="H22" s="22"/>
      <c r="I22" s="22"/>
      <c r="J22" s="23"/>
    </row>
    <row r="23" spans="1:12" ht="26.25" thickBot="1" x14ac:dyDescent="0.25">
      <c r="A23" s="13" t="s">
        <v>54</v>
      </c>
      <c r="B23" s="14" t="s">
        <v>77</v>
      </c>
      <c r="C23" s="14" t="s">
        <v>54</v>
      </c>
      <c r="D23" s="15" t="s">
        <v>56</v>
      </c>
      <c r="E23" s="15" t="s">
        <v>57</v>
      </c>
      <c r="F23" s="15" t="s">
        <v>58</v>
      </c>
      <c r="G23" s="15" t="s">
        <v>59</v>
      </c>
      <c r="H23" s="16" t="s">
        <v>60</v>
      </c>
      <c r="I23" s="17"/>
    </row>
    <row r="24" spans="1:12" ht="13.5" x14ac:dyDescent="0.25">
      <c r="A24" s="18">
        <v>1</v>
      </c>
      <c r="B24" s="24" t="str">
        <f>IFERROR(VLOOKUP($H24,'[1]EMP PLANTA'!$A$2:$F$500,2,0),"")</f>
        <v>BOLSA TRANSPARENTE  6 X 10 (KILO)</v>
      </c>
      <c r="C24" s="19">
        <f t="shared" ref="C24:C29" si="3">+A24</f>
        <v>1</v>
      </c>
      <c r="D24" s="20" t="str">
        <f>IFERROR(VLOOKUP($H24,'[1]EMP PLANTA'!$A$2:$F$500,5,0),"")</f>
        <v>UND</v>
      </c>
      <c r="E24" s="20">
        <f>IFERROR(VLOOKUP($H24,'[1]EMP PLANTA'!$A$2:$F$500,6,0),"")</f>
        <v>4.0422694610778445</v>
      </c>
      <c r="F24" s="20">
        <f t="shared" ref="F24:F29" si="4">IFERROR(E24*C24,"")</f>
        <v>4.0422694610778445</v>
      </c>
      <c r="G24" s="21">
        <f t="shared" ref="G24:G29" si="5">IFERROR(F24/$F$59,"")</f>
        <v>1.1564174127211949E-2</v>
      </c>
      <c r="H24" s="25" t="s">
        <v>117</v>
      </c>
      <c r="I24" s="25"/>
      <c r="J24" s="23"/>
      <c r="K24" s="265"/>
      <c r="L24" s="265"/>
    </row>
    <row r="25" spans="1:12" ht="13.5" x14ac:dyDescent="0.25">
      <c r="A25" s="18">
        <v>1</v>
      </c>
      <c r="B25" s="24" t="str">
        <f>IFERROR(VLOOKUP($H25,'[1]EMP PLANTA'!$A$2:$F$500,2,0),"")</f>
        <v>ETIQ.BLANCA 1 1/4 * 3/4</v>
      </c>
      <c r="C25" s="19">
        <f t="shared" si="3"/>
        <v>1</v>
      </c>
      <c r="D25" s="20" t="str">
        <f>IFERROR(VLOOKUP($H25,'[1]EMP PLANTA'!$A$2:$F$500,5,0),"")</f>
        <v>UND</v>
      </c>
      <c r="E25" s="20">
        <f>IFERROR(VLOOKUP($H25,'[1]EMP PLANTA'!$A$2:$F$500,6,0),"")</f>
        <v>0.61599999999999999</v>
      </c>
      <c r="F25" s="20">
        <f t="shared" si="4"/>
        <v>0.61599999999999999</v>
      </c>
      <c r="G25" s="21">
        <f t="shared" si="5"/>
        <v>1.7622603665969161E-3</v>
      </c>
      <c r="H25" s="25" t="s">
        <v>118</v>
      </c>
      <c r="I25" s="25"/>
      <c r="J25" s="23"/>
      <c r="K25" s="265"/>
      <c r="L25" s="265"/>
    </row>
    <row r="26" spans="1:12" ht="13.5" x14ac:dyDescent="0.25">
      <c r="A26" s="18">
        <v>2</v>
      </c>
      <c r="B26" s="24" t="str">
        <f>IFERROR(VLOOKUP($H26,'[1]EMP PLANTA'!$A$2:$F$500,2,0),"")</f>
        <v>ETIQ.FECHA VENCIMIENTO BLANCO</v>
      </c>
      <c r="C26" s="19">
        <f t="shared" si="3"/>
        <v>2</v>
      </c>
      <c r="D26" s="20" t="str">
        <f>IFERROR(VLOOKUP($H26,'[1]EMP PLANTA'!$A$2:$F$500,5,0),"")</f>
        <v>UND</v>
      </c>
      <c r="E26" s="20">
        <f>IFERROR(VLOOKUP($H26,'[1]EMP PLANTA'!$A$2:$F$500,6,0),"")</f>
        <v>0.22877999999999998</v>
      </c>
      <c r="F26" s="20">
        <f t="shared" si="4"/>
        <v>0.45755999999999997</v>
      </c>
      <c r="G26" s="21">
        <f t="shared" si="5"/>
        <v>1.3089932684092287E-3</v>
      </c>
      <c r="H26" s="25" t="s">
        <v>119</v>
      </c>
      <c r="I26" s="25"/>
      <c r="J26" s="23"/>
      <c r="K26" s="265"/>
      <c r="L26" s="265"/>
    </row>
    <row r="27" spans="1:12" ht="13.5" hidden="1" x14ac:dyDescent="0.25">
      <c r="A27" s="18"/>
      <c r="B27" s="24" t="str">
        <f>IFERROR(VLOOKUP($H27,'[1]EMP PLANTA'!$A$2:$F$500,2,0),"")</f>
        <v/>
      </c>
      <c r="C27" s="19">
        <f t="shared" si="3"/>
        <v>0</v>
      </c>
      <c r="D27" s="20" t="str">
        <f>IFERROR(VLOOKUP($H27,'[1]EMP PLANTA'!$A$2:$F$500,5,0),"")</f>
        <v/>
      </c>
      <c r="E27" s="20" t="str">
        <f>IFERROR(VLOOKUP($H27,'[1]EMP PLANTA'!$A$2:$F$500,6,0),"")</f>
        <v/>
      </c>
      <c r="F27" s="20" t="str">
        <f t="shared" si="4"/>
        <v/>
      </c>
      <c r="G27" s="21" t="str">
        <f t="shared" si="5"/>
        <v/>
      </c>
      <c r="H27" s="25"/>
      <c r="I27" s="25"/>
      <c r="J27" s="23"/>
      <c r="K27" s="265"/>
      <c r="L27" s="265"/>
    </row>
    <row r="28" spans="1:12" ht="13.5" hidden="1" x14ac:dyDescent="0.25">
      <c r="A28" s="18"/>
      <c r="B28" s="24" t="str">
        <f>IFERROR(VLOOKUP($H28,'[1]EMP PLANTA'!$A$2:$F$500,2,0),"")</f>
        <v/>
      </c>
      <c r="C28" s="19">
        <f t="shared" si="3"/>
        <v>0</v>
      </c>
      <c r="D28" s="20" t="str">
        <f>IFERROR(VLOOKUP($H28,'[1]EMP PLANTA'!$A$2:$F$500,5,0),"")</f>
        <v/>
      </c>
      <c r="E28" s="20" t="str">
        <f>IFERROR(VLOOKUP($H28,'[1]EMP PLANTA'!$A$2:$F$500,6,0),"")</f>
        <v/>
      </c>
      <c r="F28" s="20" t="str">
        <f t="shared" si="4"/>
        <v/>
      </c>
      <c r="G28" s="21" t="str">
        <f t="shared" si="5"/>
        <v/>
      </c>
      <c r="H28" s="25"/>
      <c r="I28" s="25"/>
      <c r="J28" s="23"/>
      <c r="K28" s="26"/>
      <c r="L28" s="27"/>
    </row>
    <row r="29" spans="1:12" ht="13.5" hidden="1" x14ac:dyDescent="0.25">
      <c r="A29" s="18"/>
      <c r="B29" s="24" t="str">
        <f>IFERROR(VLOOKUP($H29,'[1]EMP PLANTA'!$A$2:$F$500,2,0),"")</f>
        <v/>
      </c>
      <c r="C29" s="19">
        <f t="shared" si="3"/>
        <v>0</v>
      </c>
      <c r="D29" s="20" t="str">
        <f>IFERROR(VLOOKUP($H29,'[1]EMP PLANTA'!$A$2:$F$500,5,0),"")</f>
        <v/>
      </c>
      <c r="E29" s="20" t="str">
        <f>IFERROR(VLOOKUP($H29,'[1]EMP PLANTA'!$A$2:$F$500,6,0),"")</f>
        <v/>
      </c>
      <c r="F29" s="20" t="str">
        <f t="shared" si="4"/>
        <v/>
      </c>
      <c r="G29" s="21" t="str">
        <f t="shared" si="5"/>
        <v/>
      </c>
      <c r="H29" s="25"/>
      <c r="I29" s="25"/>
      <c r="J29" s="23"/>
    </row>
    <row r="30" spans="1:12" ht="14.25" thickBot="1" x14ac:dyDescent="0.3">
      <c r="A30" s="18"/>
      <c r="B30" s="24"/>
      <c r="C30" s="19"/>
      <c r="D30" s="20"/>
      <c r="E30" s="20"/>
      <c r="F30" s="20"/>
      <c r="G30" s="21"/>
      <c r="H30" s="25"/>
      <c r="I30" s="25"/>
      <c r="J30" s="23"/>
    </row>
    <row r="31" spans="1:12" ht="26.25" thickBot="1" x14ac:dyDescent="0.25">
      <c r="A31" s="13" t="s">
        <v>54</v>
      </c>
      <c r="B31" s="14" t="s">
        <v>79</v>
      </c>
      <c r="C31" s="14" t="s">
        <v>54</v>
      </c>
      <c r="D31" s="15" t="s">
        <v>56</v>
      </c>
      <c r="E31" s="15" t="s">
        <v>57</v>
      </c>
      <c r="F31" s="15" t="s">
        <v>58</v>
      </c>
      <c r="G31" s="15" t="s">
        <v>59</v>
      </c>
      <c r="H31" s="16" t="s">
        <v>60</v>
      </c>
      <c r="I31" s="17"/>
      <c r="J31" s="23"/>
    </row>
    <row r="32" spans="1:12" ht="13.5" x14ac:dyDescent="0.25">
      <c r="A32" s="18">
        <f>+A17</f>
        <v>200</v>
      </c>
      <c r="B32" s="24" t="s">
        <v>115</v>
      </c>
      <c r="C32" s="19">
        <f>+A32</f>
        <v>200</v>
      </c>
      <c r="D32" s="20" t="s">
        <v>80</v>
      </c>
      <c r="E32" s="20">
        <f>+'Costo salsa culantro '!E73</f>
        <v>9.5637188197906127E-3</v>
      </c>
      <c r="F32" s="20">
        <f>IFERROR(E32*C32,"")</f>
        <v>1.9127437639581226</v>
      </c>
      <c r="G32" s="21">
        <f>IFERROR(F32/$F$58,"")</f>
        <v>3.4777159344693137E-2</v>
      </c>
      <c r="H32" s="25"/>
      <c r="I32" s="25"/>
      <c r="J32" s="23"/>
    </row>
    <row r="33" spans="1:17" ht="13.5" hidden="1" x14ac:dyDescent="0.25">
      <c r="A33" s="18">
        <f>+A18</f>
        <v>0</v>
      </c>
      <c r="B33" s="24"/>
      <c r="C33" s="19">
        <f>+A33</f>
        <v>0</v>
      </c>
      <c r="D33" s="20" t="s">
        <v>80</v>
      </c>
      <c r="E33" s="20" t="str">
        <f>IFERROR(VLOOKUP($H33,[1]SEMIELABORADOS!$A$1:$J$999,8,0),"")</f>
        <v/>
      </c>
      <c r="F33" s="20" t="str">
        <f>IFERROR(E33*C33,"")</f>
        <v/>
      </c>
      <c r="G33" s="21" t="str">
        <f>IFERROR(F33/$F$58,"")</f>
        <v/>
      </c>
      <c r="H33" s="25"/>
      <c r="I33" s="25"/>
      <c r="J33" s="23"/>
    </row>
    <row r="34" spans="1:17" ht="13.5" hidden="1" x14ac:dyDescent="0.25">
      <c r="A34" s="18">
        <f>+A19</f>
        <v>0</v>
      </c>
      <c r="B34" s="24"/>
      <c r="C34" s="19">
        <f>+A34</f>
        <v>0</v>
      </c>
      <c r="D34" s="20" t="s">
        <v>80</v>
      </c>
      <c r="E34" s="20" t="str">
        <f>IFERROR(VLOOKUP($H34,[1]SEMIELABORADOS!$A$1:$J$999,8,0),"")</f>
        <v/>
      </c>
      <c r="F34" s="20" t="str">
        <f>IFERROR(E34*C34,"")</f>
        <v/>
      </c>
      <c r="G34" s="21" t="str">
        <f>IFERROR(F34/$F$58,"")</f>
        <v/>
      </c>
      <c r="H34" s="25"/>
      <c r="I34" s="25"/>
      <c r="J34" s="23"/>
    </row>
    <row r="35" spans="1:17" ht="13.5" hidden="1" x14ac:dyDescent="0.25">
      <c r="A35" s="18">
        <f>+A20</f>
        <v>0</v>
      </c>
      <c r="B35" s="24"/>
      <c r="C35" s="19">
        <f>+A35</f>
        <v>0</v>
      </c>
      <c r="D35" s="20" t="s">
        <v>80</v>
      </c>
      <c r="E35" s="20" t="str">
        <f>IFERROR(VLOOKUP($H35,[1]SEMIELABORADOS!$A$1:$J$999,8,0),"")</f>
        <v/>
      </c>
      <c r="F35" s="20" t="str">
        <f>IFERROR(E35*C35,"")</f>
        <v/>
      </c>
      <c r="G35" s="21" t="str">
        <f>IFERROR(F35/$F$58,"")</f>
        <v/>
      </c>
      <c r="H35" s="25"/>
      <c r="I35" s="25"/>
      <c r="J35" s="23"/>
    </row>
    <row r="36" spans="1:17" ht="13.5" hidden="1" x14ac:dyDescent="0.25">
      <c r="A36" s="18">
        <f>+A21</f>
        <v>0</v>
      </c>
      <c r="B36" s="24"/>
      <c r="C36" s="19">
        <f>+A36</f>
        <v>0</v>
      </c>
      <c r="D36" s="20" t="s">
        <v>80</v>
      </c>
      <c r="E36" s="20" t="str">
        <f>IFERROR(VLOOKUP($H36,[1]SEMIELABORADOS!$A$1:$J$999,8,0),"")</f>
        <v/>
      </c>
      <c r="F36" s="20" t="str">
        <f>IFERROR(E36*C36,"")</f>
        <v/>
      </c>
      <c r="G36" s="21" t="str">
        <f>IFERROR(F36/$F$58,"")</f>
        <v/>
      </c>
      <c r="H36" s="25"/>
      <c r="I36" s="25"/>
      <c r="J36" s="23"/>
    </row>
    <row r="37" spans="1:17" ht="14.25" thickBot="1" x14ac:dyDescent="0.3">
      <c r="A37" s="18"/>
      <c r="B37" s="24"/>
      <c r="C37" s="19"/>
      <c r="D37" s="20"/>
      <c r="E37" s="20"/>
      <c r="F37" s="20"/>
      <c r="G37" s="21"/>
      <c r="H37" s="25"/>
      <c r="I37" s="25"/>
      <c r="J37" s="23"/>
    </row>
    <row r="38" spans="1:17" ht="26.25" thickBot="1" x14ac:dyDescent="0.25">
      <c r="A38" s="13" t="s">
        <v>54</v>
      </c>
      <c r="B38" s="14" t="s">
        <v>82</v>
      </c>
      <c r="C38" s="14" t="s">
        <v>54</v>
      </c>
      <c r="D38" s="14"/>
      <c r="E38" s="15" t="s">
        <v>57</v>
      </c>
      <c r="F38" s="15" t="s">
        <v>58</v>
      </c>
      <c r="G38" s="15" t="s">
        <v>59</v>
      </c>
      <c r="H38" s="16" t="s">
        <v>60</v>
      </c>
      <c r="I38" s="17"/>
      <c r="J38" s="23"/>
    </row>
    <row r="39" spans="1:17" ht="13.5" x14ac:dyDescent="0.25">
      <c r="A39" s="18">
        <f>+A17</f>
        <v>200</v>
      </c>
      <c r="B39" s="28" t="s">
        <v>115</v>
      </c>
      <c r="C39" s="19">
        <f t="shared" ref="C39:C44" si="6">+A39</f>
        <v>200</v>
      </c>
      <c r="D39" s="19" t="s">
        <v>80</v>
      </c>
      <c r="E39" s="20">
        <f>+'Costo salsa culantro '!E71</f>
        <v>0.30816127659574466</v>
      </c>
      <c r="F39" s="20">
        <f t="shared" ref="F39:F44" si="7">IFERROR(C39*E39,"")</f>
        <v>61.632255319148932</v>
      </c>
      <c r="G39" s="21">
        <f t="shared" ref="G39:G44" si="8">IFERROR(F39/$F$59,"")</f>
        <v>0.17631831307291904</v>
      </c>
      <c r="H39" s="29"/>
      <c r="I39" s="29"/>
      <c r="J39" s="23"/>
    </row>
    <row r="40" spans="1:17" ht="13.5" hidden="1" x14ac:dyDescent="0.25">
      <c r="A40" s="18">
        <f>+A18</f>
        <v>0</v>
      </c>
      <c r="B40" s="28"/>
      <c r="C40" s="19">
        <f t="shared" si="6"/>
        <v>0</v>
      </c>
      <c r="D40" s="19" t="s">
        <v>80</v>
      </c>
      <c r="E40" s="20" t="str">
        <f>IFERROR(VLOOKUP($H40,[1]SEMIELABORADOS!$A$1:$J$999,10,0),"")</f>
        <v/>
      </c>
      <c r="F40" s="20" t="str">
        <f t="shared" si="7"/>
        <v/>
      </c>
      <c r="G40" s="21" t="str">
        <f t="shared" si="8"/>
        <v/>
      </c>
      <c r="H40" s="29"/>
      <c r="I40" s="29"/>
      <c r="J40" s="23"/>
    </row>
    <row r="41" spans="1:17" ht="13.5" hidden="1" x14ac:dyDescent="0.25">
      <c r="A41" s="18">
        <f>+A19</f>
        <v>0</v>
      </c>
      <c r="B41" s="28"/>
      <c r="C41" s="19">
        <f t="shared" si="6"/>
        <v>0</v>
      </c>
      <c r="D41" s="19" t="s">
        <v>80</v>
      </c>
      <c r="E41" s="20" t="str">
        <f>IFERROR(VLOOKUP($H41,[1]SEMIELABORADOS!$A$1:$J$999,10,0),"")</f>
        <v/>
      </c>
      <c r="F41" s="20" t="str">
        <f t="shared" si="7"/>
        <v/>
      </c>
      <c r="G41" s="21" t="str">
        <f t="shared" si="8"/>
        <v/>
      </c>
      <c r="H41" s="29"/>
      <c r="I41" s="29"/>
      <c r="J41" s="23"/>
    </row>
    <row r="42" spans="1:17" ht="13.5" hidden="1" x14ac:dyDescent="0.25">
      <c r="A42" s="18">
        <f>+A20</f>
        <v>0</v>
      </c>
      <c r="B42" s="28"/>
      <c r="C42" s="19">
        <f t="shared" si="6"/>
        <v>0</v>
      </c>
      <c r="D42" s="19" t="s">
        <v>80</v>
      </c>
      <c r="E42" s="20" t="str">
        <f>IFERROR(VLOOKUP($H42,[1]SEMIELABORADOS!$A$1:$J$999,10,0),"")</f>
        <v/>
      </c>
      <c r="F42" s="20" t="str">
        <f t="shared" si="7"/>
        <v/>
      </c>
      <c r="G42" s="21" t="str">
        <f t="shared" si="8"/>
        <v/>
      </c>
      <c r="H42" s="29"/>
      <c r="I42" s="29"/>
      <c r="J42" s="23"/>
    </row>
    <row r="43" spans="1:17" ht="13.5" hidden="1" x14ac:dyDescent="0.25">
      <c r="A43" s="18">
        <f>+A21</f>
        <v>0</v>
      </c>
      <c r="B43" s="28"/>
      <c r="C43" s="19">
        <f t="shared" si="6"/>
        <v>0</v>
      </c>
      <c r="D43" s="19" t="s">
        <v>80</v>
      </c>
      <c r="E43" s="20" t="str">
        <f>IFERROR(VLOOKUP($H43,[1]SEMIELABORADOS!$A$1:$J$999,10,0),"")</f>
        <v/>
      </c>
      <c r="F43" s="20" t="str">
        <f t="shared" si="7"/>
        <v/>
      </c>
      <c r="G43" s="21" t="str">
        <f t="shared" si="8"/>
        <v/>
      </c>
      <c r="H43" s="29"/>
      <c r="I43" s="29"/>
      <c r="J43" s="23"/>
    </row>
    <row r="44" spans="1:17" ht="13.5" x14ac:dyDescent="0.25">
      <c r="A44" s="18">
        <v>1</v>
      </c>
      <c r="B44" s="24" t="s">
        <v>83</v>
      </c>
      <c r="C44" s="19">
        <f t="shared" si="6"/>
        <v>1</v>
      </c>
      <c r="D44" s="19" t="s">
        <v>80</v>
      </c>
      <c r="E44" s="20">
        <f>+F58</f>
        <v>55</v>
      </c>
      <c r="F44" s="20">
        <f t="shared" si="7"/>
        <v>55</v>
      </c>
      <c r="G44" s="21">
        <f t="shared" si="8"/>
        <v>0.15734467558901036</v>
      </c>
      <c r="H44" s="29"/>
      <c r="I44" s="29"/>
      <c r="J44" s="23"/>
    </row>
    <row r="45" spans="1:17" ht="14.25" thickBot="1" x14ac:dyDescent="0.3">
      <c r="A45" s="18"/>
      <c r="B45" s="24"/>
      <c r="C45" s="19"/>
      <c r="D45" s="19"/>
      <c r="E45" s="20"/>
      <c r="F45" s="20"/>
      <c r="G45" s="21"/>
      <c r="H45" s="29"/>
      <c r="I45" s="29"/>
      <c r="J45" s="23"/>
    </row>
    <row r="46" spans="1:17" ht="13.5" thickBot="1" x14ac:dyDescent="0.25">
      <c r="A46" s="30"/>
      <c r="B46" s="266" t="s">
        <v>84</v>
      </c>
      <c r="C46" s="266"/>
      <c r="D46" s="266"/>
      <c r="E46" s="266"/>
      <c r="F46" s="32">
        <f>SUM(F8:F14,F17:F21)</f>
        <v>281.88480256085109</v>
      </c>
      <c r="G46" s="21">
        <f>+F46/$F$59</f>
        <v>0.80641950568017007</v>
      </c>
      <c r="H46" s="33">
        <f>+F46/$D$53</f>
        <v>281.88480256085109</v>
      </c>
      <c r="I46" s="33"/>
      <c r="J46" s="34"/>
      <c r="K46" s="35"/>
      <c r="L46" s="35"/>
      <c r="M46" s="35"/>
      <c r="N46" s="35"/>
      <c r="O46" s="35"/>
      <c r="P46" s="35"/>
      <c r="Q46" s="36"/>
    </row>
    <row r="47" spans="1:17" x14ac:dyDescent="0.2">
      <c r="A47" s="30"/>
      <c r="B47" s="266" t="s">
        <v>85</v>
      </c>
      <c r="C47" s="266"/>
      <c r="D47" s="266"/>
      <c r="E47" s="266"/>
      <c r="F47" s="32">
        <f>SUM(F24:F29,F32:F36)</f>
        <v>7.0285732250359665</v>
      </c>
      <c r="G47" s="21">
        <f>+F47/$F$59</f>
        <v>2.0107428617216157E-2</v>
      </c>
      <c r="H47" s="33">
        <f>+F47/$D$53</f>
        <v>7.0285732250359665</v>
      </c>
      <c r="I47" s="33"/>
      <c r="J47" s="37"/>
      <c r="K47" s="267" t="s">
        <v>86</v>
      </c>
      <c r="L47" s="268"/>
      <c r="M47" s="268"/>
      <c r="N47" s="268"/>
      <c r="O47" s="38">
        <f>+F48</f>
        <v>288.91337578588707</v>
      </c>
      <c r="P47" s="38"/>
      <c r="Q47" s="39"/>
    </row>
    <row r="48" spans="1:17" x14ac:dyDescent="0.2">
      <c r="A48" s="30"/>
      <c r="B48" s="266" t="s">
        <v>87</v>
      </c>
      <c r="C48" s="266"/>
      <c r="D48" s="266"/>
      <c r="E48" s="266"/>
      <c r="F48" s="32">
        <f>+F46+F47</f>
        <v>288.91337578588707</v>
      </c>
      <c r="G48" s="21">
        <f>+F48/$F$59</f>
        <v>0.82652693429738633</v>
      </c>
      <c r="H48" s="33">
        <f>+F48/$D$53</f>
        <v>288.91337578588707</v>
      </c>
      <c r="I48" s="33"/>
      <c r="J48" s="40"/>
      <c r="K48" s="41"/>
      <c r="L48" s="269" t="s">
        <v>88</v>
      </c>
      <c r="M48" s="269"/>
      <c r="N48" s="269"/>
      <c r="O48" s="38">
        <f>+F49</f>
        <v>116.63225531914892</v>
      </c>
      <c r="P48" s="38"/>
      <c r="Q48" s="39"/>
    </row>
    <row r="49" spans="1:17" ht="13.5" thickBot="1" x14ac:dyDescent="0.25">
      <c r="A49" s="30"/>
      <c r="B49" s="31"/>
      <c r="C49" s="266" t="s">
        <v>89</v>
      </c>
      <c r="D49" s="266"/>
      <c r="E49" s="266"/>
      <c r="F49" s="32">
        <f>SUM(F39:F44)</f>
        <v>116.63225531914892</v>
      </c>
      <c r="G49" s="21">
        <f>+F49/$F$59</f>
        <v>0.33366298866192939</v>
      </c>
      <c r="H49" s="33">
        <f>+F49/$D$53</f>
        <v>116.63225531914892</v>
      </c>
      <c r="I49" s="33"/>
      <c r="J49" s="40"/>
      <c r="K49" s="41"/>
      <c r="L49" s="41"/>
      <c r="M49" s="41" t="s">
        <v>90</v>
      </c>
      <c r="N49" s="42">
        <v>0.01</v>
      </c>
      <c r="O49" s="38">
        <f>O47*N49</f>
        <v>2.8891337578588709</v>
      </c>
      <c r="P49" s="38"/>
      <c r="Q49" s="39"/>
    </row>
    <row r="50" spans="1:17" ht="13.5" thickBot="1" x14ac:dyDescent="0.25">
      <c r="A50" s="30"/>
      <c r="B50" s="43"/>
      <c r="C50" s="43"/>
      <c r="D50" s="43"/>
      <c r="E50" s="43"/>
      <c r="F50" s="44"/>
      <c r="G50" s="21"/>
      <c r="H50" s="45"/>
      <c r="I50" s="33"/>
      <c r="J50" s="40"/>
      <c r="K50" s="46"/>
      <c r="M50" s="47" t="s">
        <v>91</v>
      </c>
      <c r="N50" s="48"/>
      <c r="O50" s="49">
        <f>SUM(O47:O49)</f>
        <v>408.43476486289489</v>
      </c>
      <c r="P50" s="50"/>
      <c r="Q50" s="39"/>
    </row>
    <row r="51" spans="1:17" x14ac:dyDescent="0.2">
      <c r="B51" s="270" t="s">
        <v>92</v>
      </c>
      <c r="C51" s="270"/>
      <c r="D51" s="51">
        <v>200</v>
      </c>
      <c r="E51" s="52"/>
      <c r="G51" s="21"/>
      <c r="H51" s="45"/>
      <c r="I51" s="53"/>
      <c r="J51" s="40"/>
      <c r="K51" s="46"/>
      <c r="L51" s="41"/>
      <c r="M51" s="41" t="s">
        <v>93</v>
      </c>
      <c r="N51" s="54">
        <v>0.25</v>
      </c>
      <c r="O51" s="38">
        <f>+O50*N51</f>
        <v>102.10869121572372</v>
      </c>
      <c r="P51" s="38"/>
      <c r="Q51" s="39"/>
    </row>
    <row r="52" spans="1:17" x14ac:dyDescent="0.2">
      <c r="B52" s="270" t="s">
        <v>94</v>
      </c>
      <c r="C52" s="270"/>
      <c r="D52" s="55">
        <v>200</v>
      </c>
      <c r="E52" s="52"/>
      <c r="G52" s="21"/>
      <c r="H52" s="45"/>
      <c r="I52" s="53"/>
      <c r="J52" s="40"/>
      <c r="K52" s="46"/>
      <c r="L52" s="41"/>
      <c r="M52" s="269" t="s">
        <v>91</v>
      </c>
      <c r="N52" s="269"/>
      <c r="O52" s="38">
        <f>SUM(O50:O51)</f>
        <v>510.54345607861865</v>
      </c>
      <c r="P52" s="38"/>
      <c r="Q52" s="39"/>
    </row>
    <row r="53" spans="1:17" ht="13.5" thickBot="1" x14ac:dyDescent="0.25">
      <c r="B53" s="271" t="s">
        <v>95</v>
      </c>
      <c r="C53" s="271"/>
      <c r="D53" s="51">
        <f>+D51/D52</f>
        <v>1</v>
      </c>
      <c r="E53" s="52"/>
      <c r="F53" s="56"/>
      <c r="G53" s="21"/>
      <c r="H53" s="45"/>
      <c r="I53" s="53"/>
      <c r="J53" s="40"/>
      <c r="K53" s="46"/>
      <c r="L53" s="269" t="s">
        <v>96</v>
      </c>
      <c r="M53" s="269"/>
      <c r="N53" s="54">
        <v>0.05</v>
      </c>
      <c r="O53" s="38">
        <f>+O52*N53</f>
        <v>25.527172803930934</v>
      </c>
      <c r="P53" s="38"/>
      <c r="Q53" s="39"/>
    </row>
    <row r="54" spans="1:17" ht="13.5" thickBot="1" x14ac:dyDescent="0.25">
      <c r="B54" s="271" t="s">
        <v>97</v>
      </c>
      <c r="C54" s="271"/>
      <c r="D54" s="57"/>
      <c r="E54" s="52"/>
      <c r="F54" s="56"/>
      <c r="G54" s="21"/>
      <c r="H54" s="45"/>
      <c r="I54" s="53"/>
      <c r="J54" s="40"/>
      <c r="K54" s="272" t="s">
        <v>98</v>
      </c>
      <c r="L54" s="273"/>
      <c r="M54" s="273"/>
      <c r="N54" s="274"/>
      <c r="O54" s="49">
        <f>SUM(O52:O53)</f>
        <v>536.07062888254961</v>
      </c>
      <c r="P54" s="58" t="s">
        <v>99</v>
      </c>
      <c r="Q54" s="39"/>
    </row>
    <row r="55" spans="1:17" ht="13.5" thickBot="1" x14ac:dyDescent="0.25">
      <c r="C55" s="30" t="s">
        <v>100</v>
      </c>
      <c r="D55" s="59"/>
      <c r="E55" s="4" t="s">
        <v>101</v>
      </c>
      <c r="F55" s="60" t="s">
        <v>102</v>
      </c>
      <c r="G55" s="21"/>
      <c r="H55" s="45"/>
      <c r="I55" s="53"/>
      <c r="J55" s="61"/>
      <c r="K55" s="62"/>
      <c r="L55" s="275" t="s">
        <v>103</v>
      </c>
      <c r="M55" s="275"/>
      <c r="N55" s="275"/>
      <c r="O55" s="63">
        <f>+O54/D53</f>
        <v>536.07062888254961</v>
      </c>
      <c r="P55" s="64">
        <f>+O55/D52</f>
        <v>2.6803531444127482</v>
      </c>
      <c r="Q55" s="65"/>
    </row>
    <row r="56" spans="1:17" ht="13.5" thickBot="1" x14ac:dyDescent="0.25">
      <c r="B56" s="276" t="s">
        <v>87</v>
      </c>
      <c r="C56" s="276"/>
      <c r="D56" s="276"/>
      <c r="E56" s="66">
        <f>+F56/F56</f>
        <v>1</v>
      </c>
      <c r="F56" s="67">
        <f>SUM(F48)</f>
        <v>288.91337578588707</v>
      </c>
      <c r="G56" s="21">
        <f>+F56/$F$59</f>
        <v>0.82652693429738633</v>
      </c>
      <c r="H56" s="45"/>
      <c r="I56" s="53"/>
      <c r="K56" s="277"/>
      <c r="L56" s="278"/>
      <c r="M56" s="278"/>
      <c r="N56" s="278"/>
      <c r="O56" s="68"/>
      <c r="P56" s="69"/>
    </row>
    <row r="57" spans="1:17" ht="13.5" thickBot="1" x14ac:dyDescent="0.25">
      <c r="B57" s="279" t="s">
        <v>104</v>
      </c>
      <c r="C57" s="279"/>
      <c r="D57" s="279"/>
      <c r="E57" s="70">
        <v>0.02</v>
      </c>
      <c r="F57" s="67">
        <f>+F46*E57</f>
        <v>5.6376960512170218</v>
      </c>
      <c r="G57" s="21">
        <f>+F57/$F$59</f>
        <v>1.61283901136034E-2</v>
      </c>
      <c r="H57" s="33"/>
      <c r="I57" s="53"/>
      <c r="J57" s="71"/>
      <c r="O57" s="72"/>
      <c r="P57" s="31"/>
    </row>
    <row r="58" spans="1:17" ht="13.5" thickBot="1" x14ac:dyDescent="0.25">
      <c r="B58" s="281" t="s">
        <v>105</v>
      </c>
      <c r="C58" s="282"/>
      <c r="D58" s="73">
        <v>1</v>
      </c>
      <c r="E58" s="74">
        <v>55</v>
      </c>
      <c r="F58" s="67">
        <f>+E58*D58</f>
        <v>55</v>
      </c>
      <c r="G58" s="21">
        <f>+F58/$F$59</f>
        <v>0.15734467558901036</v>
      </c>
      <c r="H58" s="33"/>
      <c r="I58" s="33"/>
      <c r="J58" s="23"/>
    </row>
    <row r="59" spans="1:17" ht="13.5" thickBot="1" x14ac:dyDescent="0.25">
      <c r="B59" s="283" t="s">
        <v>106</v>
      </c>
      <c r="C59" s="284"/>
      <c r="D59" s="284"/>
      <c r="E59" s="285"/>
      <c r="F59" s="44">
        <f>SUM(F56:F58)</f>
        <v>349.55107183710408</v>
      </c>
      <c r="G59" s="21">
        <f>+F59/$F$59</f>
        <v>1</v>
      </c>
      <c r="H59" s="286"/>
      <c r="I59" s="33"/>
      <c r="J59" s="23"/>
    </row>
    <row r="60" spans="1:17" x14ac:dyDescent="0.2">
      <c r="C60" s="76"/>
      <c r="D60" s="76"/>
      <c r="E60" s="77"/>
      <c r="F60" s="67"/>
      <c r="G60" s="21"/>
      <c r="H60" s="286"/>
      <c r="I60" s="75"/>
      <c r="J60" s="6"/>
    </row>
    <row r="61" spans="1:17" ht="13.5" thickBot="1" x14ac:dyDescent="0.25">
      <c r="B61" s="287" t="s">
        <v>107</v>
      </c>
      <c r="C61" s="287"/>
      <c r="D61" s="287"/>
      <c r="E61" s="287"/>
      <c r="F61" s="287"/>
      <c r="G61" s="21"/>
      <c r="H61" s="79"/>
      <c r="I61" s="75"/>
      <c r="J61" s="6"/>
    </row>
    <row r="62" spans="1:17" ht="13.5" thickBot="1" x14ac:dyDescent="0.25">
      <c r="B62" s="80" t="s">
        <v>108</v>
      </c>
      <c r="C62" s="81">
        <f>+F46</f>
        <v>281.88480256085109</v>
      </c>
      <c r="D62" s="81">
        <f>+D51</f>
        <v>200</v>
      </c>
      <c r="E62" s="82">
        <f>+C62/D62</f>
        <v>1.4094240128042554</v>
      </c>
      <c r="F62" s="21"/>
      <c r="G62" s="79"/>
      <c r="H62" s="23"/>
      <c r="I62" s="79"/>
      <c r="J62" s="6"/>
    </row>
    <row r="63" spans="1:17" x14ac:dyDescent="0.2">
      <c r="B63" s="83"/>
      <c r="C63" s="84"/>
      <c r="D63" s="85"/>
      <c r="E63" s="67"/>
      <c r="F63" s="21"/>
      <c r="G63" s="79"/>
      <c r="H63" s="23"/>
      <c r="I63" s="23"/>
      <c r="J63" s="6"/>
    </row>
    <row r="64" spans="1:17" x14ac:dyDescent="0.2">
      <c r="B64" s="80" t="s">
        <v>109</v>
      </c>
      <c r="C64" s="81">
        <f>SUM(F56:F57)</f>
        <v>294.55107183710408</v>
      </c>
      <c r="D64" s="81">
        <f>+D51</f>
        <v>200</v>
      </c>
      <c r="E64" s="86">
        <f>+C64/D64</f>
        <v>1.4727553591855205</v>
      </c>
      <c r="F64" s="21"/>
      <c r="G64" s="79"/>
      <c r="H64" s="23"/>
      <c r="I64" s="23"/>
      <c r="J64" s="6"/>
    </row>
    <row r="65" spans="2:10" x14ac:dyDescent="0.2">
      <c r="B65" s="80"/>
      <c r="C65" s="81"/>
      <c r="D65" s="81"/>
      <c r="E65" s="86"/>
      <c r="F65" s="21"/>
      <c r="G65" s="79"/>
      <c r="H65" s="23"/>
      <c r="I65" s="23"/>
      <c r="J65" s="6"/>
    </row>
    <row r="66" spans="2:10" ht="13.5" thickBot="1" x14ac:dyDescent="0.25">
      <c r="B66" s="80" t="s">
        <v>110</v>
      </c>
      <c r="C66" s="81">
        <f>+F58</f>
        <v>55</v>
      </c>
      <c r="D66" s="81">
        <f>+D51</f>
        <v>200</v>
      </c>
      <c r="E66" s="86">
        <f>+C66/D66</f>
        <v>0.27500000000000002</v>
      </c>
      <c r="F66" s="21"/>
      <c r="G66" s="79"/>
      <c r="H66" s="23"/>
      <c r="I66" s="23"/>
      <c r="J66" s="6"/>
    </row>
    <row r="67" spans="2:10" ht="13.5" thickBot="1" x14ac:dyDescent="0.25">
      <c r="B67" s="80" t="s">
        <v>111</v>
      </c>
      <c r="C67" s="81">
        <f>+F49</f>
        <v>116.63225531914892</v>
      </c>
      <c r="D67" s="81">
        <f>+D66</f>
        <v>200</v>
      </c>
      <c r="E67" s="82">
        <f>+C67/D67</f>
        <v>0.58316127659574457</v>
      </c>
      <c r="F67" s="21"/>
      <c r="G67" s="79"/>
      <c r="H67" s="23"/>
      <c r="I67" s="23"/>
      <c r="J67" s="6"/>
    </row>
    <row r="68" spans="2:10" ht="13.5" thickBot="1" x14ac:dyDescent="0.25">
      <c r="B68" s="43"/>
      <c r="C68" s="44"/>
      <c r="D68" s="44"/>
      <c r="E68" s="86"/>
      <c r="F68" s="21"/>
      <c r="G68" s="79"/>
      <c r="H68" s="23"/>
      <c r="I68" s="23"/>
      <c r="J68" s="6"/>
    </row>
    <row r="69" spans="2:10" ht="13.5" thickBot="1" x14ac:dyDescent="0.25">
      <c r="B69" s="80" t="s">
        <v>112</v>
      </c>
      <c r="C69" s="81">
        <f>+F47</f>
        <v>7.0285732250359665</v>
      </c>
      <c r="D69" s="81">
        <f>+D67</f>
        <v>200</v>
      </c>
      <c r="E69" s="82">
        <f>+C69/D69</f>
        <v>3.5142866125179834E-2</v>
      </c>
      <c r="F69" s="21"/>
      <c r="G69" s="79"/>
      <c r="H69" s="23"/>
      <c r="I69" s="23"/>
      <c r="J69" s="23"/>
    </row>
    <row r="70" spans="2:10" ht="13.5" thickBot="1" x14ac:dyDescent="0.25">
      <c r="B70" s="43"/>
      <c r="C70" s="44"/>
      <c r="D70" s="44"/>
      <c r="E70" s="86"/>
      <c r="F70" s="21"/>
      <c r="G70" s="79"/>
      <c r="H70" s="23"/>
      <c r="I70" s="23"/>
    </row>
    <row r="71" spans="2:10" ht="13.5" thickBot="1" x14ac:dyDescent="0.25">
      <c r="B71" s="288" t="s">
        <v>113</v>
      </c>
      <c r="C71" s="289"/>
      <c r="D71" s="290"/>
      <c r="E71" s="82">
        <f>+E62+E67</f>
        <v>1.9925852894</v>
      </c>
      <c r="G71" s="21"/>
      <c r="H71" s="79"/>
      <c r="I71" s="23"/>
      <c r="J71" s="86"/>
    </row>
    <row r="72" spans="2:10" x14ac:dyDescent="0.2">
      <c r="I72" s="79"/>
      <c r="J72" s="6"/>
    </row>
    <row r="73" spans="2:10" ht="13.5" thickBot="1" x14ac:dyDescent="0.25">
      <c r="B73" s="287" t="s">
        <v>114</v>
      </c>
      <c r="C73" s="287"/>
      <c r="D73" s="287"/>
      <c r="E73" s="287"/>
      <c r="F73" s="287"/>
      <c r="G73" s="21"/>
      <c r="H73" s="79"/>
      <c r="J73" s="6"/>
    </row>
    <row r="74" spans="2:10" ht="13.5" thickBot="1" x14ac:dyDescent="0.25">
      <c r="B74" s="80" t="s">
        <v>108</v>
      </c>
      <c r="C74" s="81">
        <f>+C62</f>
        <v>281.88480256085109</v>
      </c>
      <c r="D74" s="81">
        <f>+D53</f>
        <v>1</v>
      </c>
      <c r="E74" s="82">
        <f>+C74/D74</f>
        <v>281.88480256085109</v>
      </c>
      <c r="F74" s="21"/>
      <c r="G74" s="79"/>
      <c r="H74" s="23"/>
      <c r="I74" s="79"/>
      <c r="J74" s="6"/>
    </row>
    <row r="75" spans="2:10" x14ac:dyDescent="0.2">
      <c r="B75" s="83"/>
      <c r="C75" s="84"/>
      <c r="D75" s="85"/>
      <c r="E75" s="67"/>
      <c r="F75" s="21"/>
      <c r="G75" s="79"/>
      <c r="H75" s="23"/>
      <c r="I75" s="23"/>
      <c r="J75" s="6"/>
    </row>
    <row r="76" spans="2:10" x14ac:dyDescent="0.2">
      <c r="B76" s="80" t="s">
        <v>109</v>
      </c>
      <c r="C76" s="81">
        <f>+C64</f>
        <v>294.55107183710408</v>
      </c>
      <c r="D76" s="81">
        <f>+D53</f>
        <v>1</v>
      </c>
      <c r="E76" s="86">
        <f>+C76/D76</f>
        <v>294.55107183710408</v>
      </c>
      <c r="F76" s="21"/>
      <c r="G76" s="79"/>
      <c r="H76" s="23"/>
      <c r="I76" s="23"/>
      <c r="J76" s="6"/>
    </row>
    <row r="77" spans="2:10" x14ac:dyDescent="0.2">
      <c r="B77" s="80"/>
      <c r="C77" s="81"/>
      <c r="D77" s="81"/>
      <c r="E77" s="86"/>
      <c r="F77" s="21"/>
      <c r="G77" s="79"/>
      <c r="H77" s="23"/>
      <c r="I77" s="23"/>
      <c r="J77" s="6"/>
    </row>
    <row r="78" spans="2:10" ht="13.5" thickBot="1" x14ac:dyDescent="0.25">
      <c r="B78" s="80" t="s">
        <v>111</v>
      </c>
      <c r="C78" s="81">
        <f>+C66</f>
        <v>55</v>
      </c>
      <c r="D78" s="81">
        <f>+D53</f>
        <v>1</v>
      </c>
      <c r="E78" s="86">
        <f>+C78/D78</f>
        <v>55</v>
      </c>
      <c r="F78" s="88"/>
      <c r="G78" s="78"/>
      <c r="H78" s="5"/>
      <c r="I78" s="23"/>
    </row>
    <row r="79" spans="2:10" ht="13.5" thickBot="1" x14ac:dyDescent="0.25">
      <c r="B79" s="80" t="s">
        <v>111</v>
      </c>
      <c r="C79" s="81">
        <f>+C67</f>
        <v>116.63225531914892</v>
      </c>
      <c r="D79" s="81">
        <f>+D78</f>
        <v>1</v>
      </c>
      <c r="E79" s="82">
        <f>+C79/D79</f>
        <v>116.63225531914892</v>
      </c>
      <c r="F79" s="87"/>
      <c r="G79" s="78"/>
      <c r="H79" s="5"/>
      <c r="I79" s="5"/>
    </row>
    <row r="80" spans="2:10" x14ac:dyDescent="0.2">
      <c r="I80" s="5"/>
    </row>
    <row r="81" spans="1:7" x14ac:dyDescent="0.2">
      <c r="A81" s="280"/>
      <c r="B81" s="280"/>
      <c r="C81" s="89"/>
      <c r="D81" s="89"/>
      <c r="E81" s="90"/>
      <c r="G81" s="91"/>
    </row>
    <row r="82" spans="1:7" x14ac:dyDescent="0.2">
      <c r="A82" s="24"/>
      <c r="B82" s="92"/>
      <c r="C82" s="93"/>
      <c r="D82" s="93"/>
      <c r="E82" s="94"/>
      <c r="G82" s="91"/>
    </row>
    <row r="83" spans="1:7" x14ac:dyDescent="0.2">
      <c r="A83" s="24"/>
      <c r="B83" s="92"/>
      <c r="C83" s="95"/>
      <c r="D83" s="95"/>
      <c r="E83" s="24"/>
      <c r="G83" s="91"/>
    </row>
    <row r="84" spans="1:7" x14ac:dyDescent="0.2">
      <c r="A84" s="24"/>
      <c r="B84" s="92"/>
      <c r="C84" s="96"/>
      <c r="D84" s="96"/>
      <c r="E84" s="24"/>
      <c r="G84" s="91"/>
    </row>
  </sheetData>
  <mergeCells count="31">
    <mergeCell ref="B56:D56"/>
    <mergeCell ref="K56:N56"/>
    <mergeCell ref="B57:D57"/>
    <mergeCell ref="A81:B81"/>
    <mergeCell ref="B58:C58"/>
    <mergeCell ref="B59:E59"/>
    <mergeCell ref="H59:H60"/>
    <mergeCell ref="B61:F61"/>
    <mergeCell ref="B71:D71"/>
    <mergeCell ref="B73:F73"/>
    <mergeCell ref="B53:C53"/>
    <mergeCell ref="L53:M53"/>
    <mergeCell ref="B54:C54"/>
    <mergeCell ref="K54:N54"/>
    <mergeCell ref="L55:N55"/>
    <mergeCell ref="B48:E48"/>
    <mergeCell ref="L48:N48"/>
    <mergeCell ref="C49:E49"/>
    <mergeCell ref="B51:C51"/>
    <mergeCell ref="B52:C52"/>
    <mergeCell ref="M52:N52"/>
    <mergeCell ref="K26:L26"/>
    <mergeCell ref="K27:L27"/>
    <mergeCell ref="B46:E46"/>
    <mergeCell ref="B47:E47"/>
    <mergeCell ref="K47:N47"/>
    <mergeCell ref="A4:H4"/>
    <mergeCell ref="A5:H5"/>
    <mergeCell ref="F6:G6"/>
    <mergeCell ref="K24:L24"/>
    <mergeCell ref="K25:L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7018BE-6A64-4619-B6A1-8D9861099711}"/>
</file>

<file path=customXml/itemProps2.xml><?xml version="1.0" encoding="utf-8"?>
<ds:datastoreItem xmlns:ds="http://schemas.openxmlformats.org/officeDocument/2006/customXml" ds:itemID="{EE377F4D-BD62-435A-A4C9-F0306420588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D38B91C3-29B5-44B9-B6E3-49461DBB7EF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54D20DB2-EC62-4D32-826A-103C8A50E32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Hoja2</vt:lpstr>
      <vt:lpstr>Costo salsa culantro </vt:lpstr>
      <vt:lpstr>Costo empaque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rsolis</dc:creator>
  <cp:keywords/>
  <dc:description/>
  <cp:lastModifiedBy>Allan Brenes</cp:lastModifiedBy>
  <cp:revision/>
  <cp:lastPrinted>2025-07-08T19:51:28Z</cp:lastPrinted>
  <dcterms:created xsi:type="dcterms:W3CDTF">2009-03-11T22:07:15Z</dcterms:created>
  <dcterms:modified xsi:type="dcterms:W3CDTF">2025-07-08T19:51:30Z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165000.000000000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
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E1C77161-A1AF-4C2B-B38C-6C5206FE40F5}" xr6:coauthVersionLast="47" xr6:coauthVersionMax="47" xr10:uidLastSave="{37A2D5D6-2A93-45F3-8648-F3905C6346F5}"/>
  <bookViews>
    <workbookView xWindow="-120" yWindow="-120" windowWidth="29040" windowHeight="15840" tabRatio="876" firstSheet="2" activeTab="2" xr2:uid="{8E3928B4-8D64-4177-A2D9-E4F5C3A53E59}"/>
  </bookViews>
  <sheets>
    <sheet name="Sopa Azteca " sheetId="5" state="hidden" r:id="rId1"/>
    <sheet name="costo Sopa Azteca" sheetId="7" state="hidden" r:id="rId2"/>
    <sheet name="Hoja1" sheetId="9" r:id="rId3"/>
    <sheet name="Costo empaque" sheetId="6" state="hidden" r:id="rId4"/>
  </sheets>
  <externalReferences>
    <externalReference r:id="rId5"/>
    <externalReference r:id="rId6"/>
  </externalReferences>
  <definedNames>
    <definedName name="_xlnm.Print_Area" localSheetId="2">Hoja1!$A$1:$I$53</definedName>
    <definedName name="_xlnm.Print_Area" localSheetId="0">'Sopa Azteca '!$A$1:$I$45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" i="6" l="1"/>
  <c r="D67" i="6"/>
  <c r="D69" i="6"/>
  <c r="D64" i="6"/>
  <c r="D62" i="6"/>
  <c r="F58" i="6"/>
  <c r="C66" i="6"/>
  <c r="D53" i="6"/>
  <c r="D74" i="6"/>
  <c r="C44" i="6"/>
  <c r="E43" i="6"/>
  <c r="A43" i="6"/>
  <c r="C43" i="6"/>
  <c r="E42" i="6"/>
  <c r="C42" i="6"/>
  <c r="A42" i="6"/>
  <c r="E41" i="6"/>
  <c r="F41" i="6"/>
  <c r="A41" i="6"/>
  <c r="C41" i="6"/>
  <c r="E40" i="6"/>
  <c r="A40" i="6"/>
  <c r="C40" i="6"/>
  <c r="A39" i="6"/>
  <c r="C39" i="6"/>
  <c r="E36" i="6"/>
  <c r="C36" i="6"/>
  <c r="A36" i="6"/>
  <c r="E35" i="6"/>
  <c r="F35" i="6"/>
  <c r="G35" i="6"/>
  <c r="A35" i="6"/>
  <c r="C35" i="6"/>
  <c r="E34" i="6"/>
  <c r="F34" i="6"/>
  <c r="G34" i="6"/>
  <c r="A34" i="6"/>
  <c r="C34" i="6"/>
  <c r="E33" i="6"/>
  <c r="A33" i="6"/>
  <c r="C33" i="6"/>
  <c r="A32" i="6"/>
  <c r="C32" i="6"/>
  <c r="B30" i="6"/>
  <c r="E29" i="6"/>
  <c r="F29" i="6"/>
  <c r="D29" i="6"/>
  <c r="C29" i="6"/>
  <c r="B29" i="6"/>
  <c r="E28" i="6"/>
  <c r="F28" i="6"/>
  <c r="D28" i="6"/>
  <c r="C28" i="6"/>
  <c r="B28" i="6"/>
  <c r="E27" i="6"/>
  <c r="F27" i="6"/>
  <c r="D27" i="6"/>
  <c r="C27" i="6"/>
  <c r="B27" i="6"/>
  <c r="C26" i="6"/>
  <c r="C25" i="6"/>
  <c r="E24" i="6"/>
  <c r="D24" i="6"/>
  <c r="C24" i="6"/>
  <c r="B24" i="6"/>
  <c r="E21" i="6"/>
  <c r="F21" i="6"/>
  <c r="D21" i="6"/>
  <c r="C21" i="6"/>
  <c r="B21" i="6"/>
  <c r="E20" i="6"/>
  <c r="F20" i="6"/>
  <c r="D20" i="6"/>
  <c r="C20" i="6"/>
  <c r="B20" i="6"/>
  <c r="E19" i="6"/>
  <c r="F19" i="6"/>
  <c r="D19" i="6"/>
  <c r="C19" i="6"/>
  <c r="B19" i="6"/>
  <c r="E18" i="6"/>
  <c r="D18" i="6"/>
  <c r="C18" i="6"/>
  <c r="B18" i="6"/>
  <c r="C17" i="6"/>
  <c r="B15" i="6"/>
  <c r="E14" i="6"/>
  <c r="F14" i="6"/>
  <c r="D14" i="6"/>
  <c r="C14" i="6"/>
  <c r="B14" i="6"/>
  <c r="E13" i="6"/>
  <c r="F13" i="6"/>
  <c r="D13" i="6"/>
  <c r="C13" i="6"/>
  <c r="B13" i="6"/>
  <c r="E12" i="6"/>
  <c r="F12" i="6"/>
  <c r="D12" i="6"/>
  <c r="C12" i="6"/>
  <c r="B12" i="6"/>
  <c r="E11" i="6"/>
  <c r="F11" i="6"/>
  <c r="D11" i="6"/>
  <c r="C11" i="6"/>
  <c r="B11" i="6"/>
  <c r="E10" i="6"/>
  <c r="F10" i="6"/>
  <c r="D10" i="6"/>
  <c r="C10" i="6"/>
  <c r="B10" i="6"/>
  <c r="E9" i="6"/>
  <c r="F9" i="6"/>
  <c r="D9" i="6"/>
  <c r="C9" i="6"/>
  <c r="B9" i="6"/>
  <c r="E8" i="6"/>
  <c r="F8" i="6"/>
  <c r="D8" i="6"/>
  <c r="C8" i="6"/>
  <c r="B8" i="6"/>
  <c r="H6" i="6"/>
  <c r="F43" i="6"/>
  <c r="F42" i="6"/>
  <c r="D76" i="6"/>
  <c r="D78" i="6"/>
  <c r="D79" i="6"/>
  <c r="F36" i="6"/>
  <c r="G36" i="6"/>
  <c r="F26" i="6"/>
  <c r="F25" i="6"/>
  <c r="F24" i="6"/>
  <c r="F40" i="6"/>
  <c r="F18" i="6"/>
  <c r="F33" i="6"/>
  <c r="G33" i="6"/>
  <c r="C78" i="6"/>
  <c r="E66" i="6"/>
  <c r="E44" i="6"/>
  <c r="F44" i="6"/>
  <c r="E78" i="6"/>
  <c r="B26" i="7"/>
  <c r="C9" i="7"/>
  <c r="E9" i="7"/>
  <c r="F9" i="7"/>
  <c r="C10" i="7"/>
  <c r="E10" i="7"/>
  <c r="C11" i="7"/>
  <c r="C12" i="7"/>
  <c r="E12" i="7"/>
  <c r="B13" i="7"/>
  <c r="C13" i="7"/>
  <c r="D13" i="7"/>
  <c r="E13" i="7"/>
  <c r="B14" i="7"/>
  <c r="C14" i="7"/>
  <c r="D14" i="7"/>
  <c r="E14" i="7"/>
  <c r="B15" i="7"/>
  <c r="C15" i="7"/>
  <c r="D15" i="7"/>
  <c r="E15" i="7"/>
  <c r="B16" i="7"/>
  <c r="C16" i="7"/>
  <c r="D16" i="7"/>
  <c r="E16" i="7"/>
  <c r="C17" i="7"/>
  <c r="D17" i="7"/>
  <c r="E17" i="7"/>
  <c r="F17" i="7"/>
  <c r="C18" i="7"/>
  <c r="D18" i="7"/>
  <c r="E18" i="7"/>
  <c r="B19" i="7"/>
  <c r="C19" i="7"/>
  <c r="D19" i="7"/>
  <c r="E19" i="7"/>
  <c r="F19" i="7"/>
  <c r="B20" i="7"/>
  <c r="C20" i="7"/>
  <c r="D20" i="7"/>
  <c r="E20" i="7"/>
  <c r="F20" i="7"/>
  <c r="B21" i="7"/>
  <c r="C21" i="7"/>
  <c r="D21" i="7"/>
  <c r="E21" i="7"/>
  <c r="F21" i="7"/>
  <c r="B22" i="7"/>
  <c r="C22" i="7"/>
  <c r="D22" i="7"/>
  <c r="E22" i="7"/>
  <c r="F22" i="7"/>
  <c r="B23" i="7"/>
  <c r="C23" i="7"/>
  <c r="D23" i="7"/>
  <c r="E23" i="7"/>
  <c r="F23" i="7"/>
  <c r="D83" i="7"/>
  <c r="D75" i="7"/>
  <c r="D76" i="7"/>
  <c r="D78" i="7"/>
  <c r="D73" i="7"/>
  <c r="D71" i="7"/>
  <c r="F67" i="7"/>
  <c r="D62" i="7"/>
  <c r="D87" i="7"/>
  <c r="D88" i="7"/>
  <c r="C53" i="7"/>
  <c r="E52" i="7"/>
  <c r="F52" i="7"/>
  <c r="C52" i="7"/>
  <c r="A52" i="7"/>
  <c r="E51" i="7"/>
  <c r="F51" i="7"/>
  <c r="A51" i="7"/>
  <c r="C51" i="7"/>
  <c r="E50" i="7"/>
  <c r="F50" i="7"/>
  <c r="A50" i="7"/>
  <c r="C50" i="7"/>
  <c r="E49" i="7"/>
  <c r="A49" i="7"/>
  <c r="C49" i="7"/>
  <c r="E48" i="7"/>
  <c r="A48" i="7"/>
  <c r="C48" i="7"/>
  <c r="E45" i="7"/>
  <c r="A45" i="7"/>
  <c r="C45" i="7"/>
  <c r="E44" i="7"/>
  <c r="F44" i="7"/>
  <c r="G44" i="7"/>
  <c r="A44" i="7"/>
  <c r="C44" i="7"/>
  <c r="E43" i="7"/>
  <c r="F43" i="7"/>
  <c r="G43" i="7"/>
  <c r="A43" i="7"/>
  <c r="C43" i="7"/>
  <c r="E42" i="7"/>
  <c r="F42" i="7"/>
  <c r="G42" i="7"/>
  <c r="A42" i="7"/>
  <c r="C42" i="7"/>
  <c r="E41" i="7"/>
  <c r="F41" i="7"/>
  <c r="G41" i="7"/>
  <c r="A41" i="7"/>
  <c r="C41" i="7"/>
  <c r="B39" i="7"/>
  <c r="E38" i="7"/>
  <c r="F38" i="7"/>
  <c r="D38" i="7"/>
  <c r="C38" i="7"/>
  <c r="B38" i="7"/>
  <c r="E37" i="7"/>
  <c r="F37" i="7"/>
  <c r="D37" i="7"/>
  <c r="C37" i="7"/>
  <c r="B37" i="7"/>
  <c r="E36" i="7"/>
  <c r="F36" i="7"/>
  <c r="D36" i="7"/>
  <c r="C36" i="7"/>
  <c r="B36" i="7"/>
  <c r="E35" i="7"/>
  <c r="F35" i="7"/>
  <c r="D35" i="7"/>
  <c r="C35" i="7"/>
  <c r="B35" i="7"/>
  <c r="E34" i="7"/>
  <c r="F34" i="7"/>
  <c r="D34" i="7"/>
  <c r="C34" i="7"/>
  <c r="B34" i="7"/>
  <c r="E33" i="7"/>
  <c r="F33" i="7"/>
  <c r="D33" i="7"/>
  <c r="C33" i="7"/>
  <c r="B33" i="7"/>
  <c r="E30" i="7"/>
  <c r="F30" i="7"/>
  <c r="D30" i="7"/>
  <c r="C30" i="7"/>
  <c r="B30" i="7"/>
  <c r="E29" i="7"/>
  <c r="F29" i="7"/>
  <c r="D29" i="7"/>
  <c r="C29" i="7"/>
  <c r="B29" i="7"/>
  <c r="E28" i="7"/>
  <c r="F28" i="7"/>
  <c r="D28" i="7"/>
  <c r="C28" i="7"/>
  <c r="B28" i="7"/>
  <c r="E27" i="7"/>
  <c r="F27" i="7"/>
  <c r="D27" i="7"/>
  <c r="C27" i="7"/>
  <c r="B27" i="7"/>
  <c r="E26" i="7"/>
  <c r="F26" i="7"/>
  <c r="D26" i="7"/>
  <c r="C26" i="7"/>
  <c r="B24" i="7"/>
  <c r="C8" i="7"/>
  <c r="H6" i="7"/>
  <c r="D32" i="5"/>
  <c r="D85" i="7"/>
  <c r="F45" i="7"/>
  <c r="G45" i="7"/>
  <c r="F15" i="7"/>
  <c r="F12" i="7"/>
  <c r="F18" i="7"/>
  <c r="F16" i="7"/>
  <c r="F13" i="7"/>
  <c r="F10" i="7"/>
  <c r="F11" i="7"/>
  <c r="F8" i="7"/>
  <c r="F49" i="7"/>
  <c r="F48" i="7"/>
  <c r="C75" i="7"/>
  <c r="E53" i="7"/>
  <c r="F53" i="7"/>
  <c r="C87" i="7"/>
  <c r="E87" i="7"/>
  <c r="E75" i="7"/>
  <c r="F14" i="7"/>
  <c r="F56" i="7"/>
  <c r="F58" i="7"/>
  <c r="F55" i="7"/>
  <c r="H55" i="7"/>
  <c r="F2" i="7"/>
  <c r="C71" i="7"/>
  <c r="F57" i="7"/>
  <c r="F66" i="7"/>
  <c r="C78" i="7"/>
  <c r="E78" i="7"/>
  <c r="E32" i="6"/>
  <c r="F32" i="6"/>
  <c r="H56" i="7"/>
  <c r="G2" i="7"/>
  <c r="O57" i="7"/>
  <c r="C76" i="7"/>
  <c r="H58" i="7"/>
  <c r="H2" i="7"/>
  <c r="O56" i="7"/>
  <c r="H57" i="7"/>
  <c r="F65" i="7"/>
  <c r="G32" i="6"/>
  <c r="F47" i="6"/>
  <c r="E76" i="7"/>
  <c r="E39" i="6"/>
  <c r="F39" i="6"/>
  <c r="C88" i="7"/>
  <c r="E88" i="7"/>
  <c r="E71" i="7"/>
  <c r="C83" i="7"/>
  <c r="E83" i="7"/>
  <c r="C73" i="7"/>
  <c r="E65" i="7"/>
  <c r="F68" i="7"/>
  <c r="F49" i="6"/>
  <c r="H47" i="6"/>
  <c r="G2" i="6"/>
  <c r="C69" i="6"/>
  <c r="E69" i="6"/>
  <c r="E17" i="6"/>
  <c r="F17" i="6"/>
  <c r="E80" i="7"/>
  <c r="O58" i="7"/>
  <c r="O59" i="7"/>
  <c r="O60" i="7"/>
  <c r="O61" i="7"/>
  <c r="G68" i="7"/>
  <c r="G8" i="7"/>
  <c r="G14" i="7"/>
  <c r="G67" i="7"/>
  <c r="G53" i="7"/>
  <c r="G16" i="7"/>
  <c r="G49" i="7"/>
  <c r="G22" i="7"/>
  <c r="G12" i="7"/>
  <c r="G11" i="7"/>
  <c r="G10" i="7"/>
  <c r="G50" i="7"/>
  <c r="G15" i="7"/>
  <c r="G13" i="7"/>
  <c r="G20" i="7"/>
  <c r="G48" i="7"/>
  <c r="G52" i="7"/>
  <c r="G38" i="7"/>
  <c r="G28" i="7"/>
  <c r="G27" i="7"/>
  <c r="G9" i="7"/>
  <c r="G19" i="7"/>
  <c r="G18" i="7"/>
  <c r="G29" i="7"/>
  <c r="G51" i="7"/>
  <c r="G30" i="7"/>
  <c r="G21" i="7"/>
  <c r="G33" i="7"/>
  <c r="G36" i="7"/>
  <c r="G23" i="7"/>
  <c r="G34" i="7"/>
  <c r="G17" i="7"/>
  <c r="G35" i="7"/>
  <c r="G37" i="7"/>
  <c r="G26" i="7"/>
  <c r="G56" i="7"/>
  <c r="G55" i="7"/>
  <c r="G58" i="7"/>
  <c r="G57" i="7"/>
  <c r="G66" i="7"/>
  <c r="F46" i="6"/>
  <c r="O48" i="6"/>
  <c r="H49" i="6"/>
  <c r="H2" i="6"/>
  <c r="C67" i="6"/>
  <c r="E73" i="7"/>
  <c r="C85" i="7"/>
  <c r="E85" i="7"/>
  <c r="G65" i="7"/>
  <c r="O62" i="7"/>
  <c r="O63" i="7"/>
  <c r="O64" i="7"/>
  <c r="E67" i="6"/>
  <c r="C79" i="6"/>
  <c r="E79" i="6"/>
  <c r="H46" i="6"/>
  <c r="F2" i="6"/>
  <c r="C62" i="6"/>
  <c r="F48" i="6"/>
  <c r="F57" i="6"/>
  <c r="H48" i="6"/>
  <c r="O47" i="6"/>
  <c r="F56" i="6"/>
  <c r="C74" i="6"/>
  <c r="E74" i="6"/>
  <c r="E62" i="6"/>
  <c r="E71" i="6"/>
  <c r="P64" i="7"/>
  <c r="E2" i="7"/>
  <c r="E56" i="6"/>
  <c r="F59" i="6"/>
  <c r="C64" i="6"/>
  <c r="G56" i="6"/>
  <c r="O49" i="6"/>
  <c r="O50" i="6"/>
  <c r="O51" i="6"/>
  <c r="O52" i="6"/>
  <c r="C76" i="6"/>
  <c r="E76" i="6"/>
  <c r="E64" i="6"/>
  <c r="G44" i="6"/>
  <c r="G59" i="6"/>
  <c r="G43" i="6"/>
  <c r="G20" i="6"/>
  <c r="G27" i="6"/>
  <c r="G12" i="6"/>
  <c r="G9" i="6"/>
  <c r="G26" i="6"/>
  <c r="G28" i="6"/>
  <c r="G11" i="6"/>
  <c r="G24" i="6"/>
  <c r="G10" i="6"/>
  <c r="G58" i="6"/>
  <c r="G25" i="6"/>
  <c r="G29" i="6"/>
  <c r="G13" i="6"/>
  <c r="G21" i="6"/>
  <c r="G41" i="6"/>
  <c r="G18" i="6"/>
  <c r="G14" i="6"/>
  <c r="G8" i="6"/>
  <c r="G19" i="6"/>
  <c r="G40" i="6"/>
  <c r="G42" i="6"/>
  <c r="G39" i="6"/>
  <c r="G47" i="6"/>
  <c r="G49" i="6"/>
  <c r="G17" i="6"/>
  <c r="G46" i="6"/>
  <c r="G57" i="6"/>
  <c r="G48" i="6"/>
  <c r="O53" i="6"/>
  <c r="O54" i="6"/>
  <c r="O55" i="6"/>
  <c r="P55" i="6"/>
  <c r="E2" i="6"/>
</calcChain>
</file>

<file path=xl/sharedStrings.xml><?xml version="1.0" encoding="utf-8"?>
<sst xmlns="http://schemas.openxmlformats.org/spreadsheetml/2006/main" count="388" uniqueCount="160">
  <si>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</si>
  <si>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</si>
  <si>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</si>
  <si>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</si>
  <si>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</si>
  <si>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</si>
  <si>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</si>
  <si>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</si>
  <si>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</si>
  <si>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</si>
  <si>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</si>
  <si>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</si>
  <si>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</si>
  <si>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</si>
  <si>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</si>
  <si>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</si>
  <si>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</si>
  <si>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</si>
  <si>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</si>
  <si>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</si>
  <si>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</si>
  <si>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</si>
  <si>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</si>
  <si>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</si>
  <si>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</si>
  <si>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Jeffry Rodriguez, Gerente de Manufactura</t>
  </si>
  <si>
    <t>Juan Pablo Brenes,chef</t>
  </si>
  <si>
    <t>g</t>
  </si>
  <si>
    <t>ud</t>
  </si>
  <si>
    <t>min</t>
  </si>
  <si>
    <t>Cocina</t>
  </si>
  <si>
    <t>Empaque</t>
  </si>
  <si>
    <t>Divela</t>
  </si>
  <si>
    <t>CALDO DE POLLO RECORTE ( BOLSA = 5000g)</t>
  </si>
  <si>
    <t>Spoon</t>
  </si>
  <si>
    <t>0101035</t>
  </si>
  <si>
    <t>CEBOLLA PICADA</t>
  </si>
  <si>
    <t>Presto</t>
  </si>
  <si>
    <t>0101115</t>
  </si>
  <si>
    <t>CHILE DULCE PICADO</t>
  </si>
  <si>
    <t>512319</t>
  </si>
  <si>
    <t>AJO MOLIDO PRESTO</t>
  </si>
  <si>
    <t>OREGANO TONES</t>
  </si>
  <si>
    <t>Tones</t>
  </si>
  <si>
    <t>0610236</t>
  </si>
  <si>
    <t>PIMIENTA NEGRA MOLIDA</t>
  </si>
  <si>
    <t>PRIMA</t>
  </si>
  <si>
    <t>0910351</t>
  </si>
  <si>
    <t>PASTA CHILE PERUANO</t>
  </si>
  <si>
    <t>Ajinka</t>
  </si>
  <si>
    <t>1212412</t>
  </si>
  <si>
    <t>PRESERVANTE 1017</t>
  </si>
  <si>
    <t>Aseal</t>
  </si>
  <si>
    <t>0510109</t>
  </si>
  <si>
    <t>AZUCAR D.MARIA CORRIENTE</t>
  </si>
  <si>
    <t>0101073</t>
  </si>
  <si>
    <t>CULANTRO DESINFECTADO</t>
  </si>
  <si>
    <t>FRESQUITA</t>
  </si>
  <si>
    <t>ESP-RE-COCS-028</t>
  </si>
  <si>
    <t>17</t>
  </si>
  <si>
    <t>NUEVO</t>
  </si>
  <si>
    <t>TOMATE PERA ROMA</t>
  </si>
  <si>
    <t>Roma</t>
  </si>
  <si>
    <t>1010009</t>
  </si>
  <si>
    <t>CHILE CHIPOTLE COSTEÑA (UND:2.9 K)</t>
  </si>
  <si>
    <t>Costeña</t>
  </si>
  <si>
    <t>1- Licuar todos los ingredientes juntos y luego agregar en una olla.</t>
  </si>
  <si>
    <t>2- Llevar a hervor y dejar 2 minutos.</t>
  </si>
  <si>
    <t>3- Sacar en bandejas y llevar a choque termico.</t>
  </si>
  <si>
    <t>SOPA AZTECA</t>
  </si>
  <si>
    <t>908000046</t>
  </si>
  <si>
    <t>COCCION POLLO RECORTE (KILO)</t>
  </si>
  <si>
    <t>1950705</t>
  </si>
  <si>
    <t>BOLSA 8x12 TRANSPARENTE KILO</t>
  </si>
  <si>
    <t>ETIQ.BLANCA 1 1/4 * 3/4 (UND)</t>
  </si>
  <si>
    <t>ETIQ.FECHA VENCIMIENTO BLANCO (ROLLO)</t>
  </si>
  <si>
    <t>2- Cerrar con nudo y etiquetar.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</si>
  <si>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</si>
  <si>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</si>
  <si>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</si>
  <si>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</si>
  <si>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</si>
  <si>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</si>
  <si>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</si>
  <si>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</si>
  <si>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</si>
  <si>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</si>
  <si>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</si>
  <si>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</si>
  <si>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</si>
  <si>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</si>
  <si>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</si>
  <si>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</si>
  <si>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</si>
  <si>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</si>
  <si>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</si>
  <si>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</si>
  <si>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</si>
  <si>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</si>
  <si>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</si>
  <si>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</si>
  <si>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</si>
  <si>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</si>
  <si>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S/MARGEN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</si>
  <si>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</si>
  <si>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</si>
  <si>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</si>
  <si>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</si>
  <si>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</si>
  <si>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</si>
  <si>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</si>
  <si>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</si>
  <si>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</si>
  <si>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</si>
  <si>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</si>
  <si>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</si>
  <si>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</si>
  <si>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</si>
  <si>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</si>
  <si>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</si>
  <si>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</si>
  <si>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</si>
  <si>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</si>
  <si>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</si>
  <si>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</si>
  <si>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</si>
  <si>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</si>
  <si>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Gramos </t>
  </si>
  <si>
    <t>101035</t>
  </si>
  <si>
    <t>101115</t>
  </si>
  <si>
    <t>105000002</t>
  </si>
  <si>
    <t>510109</t>
  </si>
  <si>
    <t>101073</t>
  </si>
  <si>
    <t>COCCION POLLO RECORTE (31600g)</t>
  </si>
  <si>
    <t>0702069</t>
  </si>
  <si>
    <t>0702007</t>
  </si>
  <si>
    <t>UND</t>
  </si>
  <si>
    <t>ETIQUETA BLANCA R-153 (UND)</t>
  </si>
  <si>
    <t>1- Empacar 380g de sopa azteca con 40g de coccion de pollo.</t>
  </si>
  <si>
    <t>Javier Tong, Chef</t>
  </si>
  <si>
    <t>Esteban Cartin, Gte Manufactura</t>
  </si>
  <si>
    <t>Sopa Azteca  95822(SE00203)</t>
  </si>
  <si>
    <t># Codigo Netsuite</t>
  </si>
  <si>
    <t xml:space="preserve"> Empaque Sopa Azteca(420g) 28002(PTL00098)</t>
  </si>
  <si>
    <t>SE00203</t>
  </si>
  <si>
    <t>EM10037</t>
  </si>
  <si>
    <t>EM10002</t>
  </si>
  <si>
    <t>EM10004</t>
  </si>
  <si>
    <t>EM10124</t>
  </si>
  <si>
    <t># Código Netsuite</t>
  </si>
  <si>
    <t>01</t>
  </si>
  <si>
    <t>Ensamble</t>
  </si>
  <si>
    <t>FAS</t>
  </si>
  <si>
    <t>Decoración</t>
  </si>
  <si>
    <t>Tiempo de Horneo:</t>
  </si>
  <si>
    <t>Horno:</t>
  </si>
  <si>
    <t>Temperatura de Horneo:</t>
  </si>
  <si>
    <t>Otros</t>
  </si>
  <si>
    <t>CONTROL DE CAMBIOS</t>
  </si>
  <si>
    <t>ESP-RE-EMPS-020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</si>
</sst>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_(* #,##0.000_);_(* \(#,##0.000\);_(* &quot;-&quot;??_);_(@_)"/>
  </numFmts>
  <fonts count="5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sz val="8"/>
      <name val="Tahoma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415">
    <xf numFmtId="0" fontId="0" fillId="0" borderId="0" xfId="0"/>
    <xf numFmtId="0" fontId="3" fillId="2" borderId="2" xfId="6" applyFont="1" applyFill="1" applyBorder="1" applyAlignment="1">
      <alignment horizontal="right"/>
    </xf>
    <xf numFmtId="0" fontId="1" fillId="2" borderId="0" xfId="0" applyFont="1" applyFill="1"/>
    <xf numFmtId="0" fontId="3" fillId="2" borderId="3" xfId="6" applyFont="1" applyFill="1" applyBorder="1" applyAlignment="1">
      <alignment horizontal="right"/>
    </xf>
    <xf numFmtId="0" fontId="3" fillId="3" borderId="4" xfId="0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/>
    </xf>
    <xf numFmtId="1" fontId="3" fillId="3" borderId="5" xfId="0" applyNumberFormat="1" applyFont="1" applyFill="1" applyBorder="1" applyAlignment="1">
      <alignment horizontal="center" wrapText="1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49" fontId="1" fillId="9" borderId="3" xfId="0" applyNumberFormat="1" applyFont="1" applyFill="1" applyBorder="1"/>
    <xf numFmtId="0" fontId="1" fillId="0" borderId="6" xfId="0" applyFont="1" applyBorder="1" applyAlignment="1">
      <alignment horizontal="center"/>
    </xf>
    <xf numFmtId="0" fontId="1" fillId="0" borderId="7" xfId="0" quotePrefix="1" applyFont="1" applyBorder="1" applyAlignment="1">
      <alignment horizontal="right"/>
    </xf>
    <xf numFmtId="0" fontId="1" fillId="0" borderId="3" xfId="0" quotePrefix="1" applyFont="1" applyBorder="1"/>
    <xf numFmtId="1" fontId="1" fillId="0" borderId="3" xfId="0" applyNumberFormat="1" applyFont="1" applyBorder="1" applyAlignment="1">
      <alignment horizontal="center" wrapText="1"/>
    </xf>
    <xf numFmtId="49" fontId="6" fillId="2" borderId="8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 wrapText="1"/>
    </xf>
    <xf numFmtId="0" fontId="1" fillId="2" borderId="9" xfId="0" applyFont="1" applyFill="1" applyBorder="1" applyAlignment="1">
      <alignment horizontal="center"/>
    </xf>
    <xf numFmtId="0" fontId="1" fillId="2" borderId="0" xfId="0" applyFont="1" applyFill="1" applyAlignment="1">
      <alignment horizontal="left" indent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/>
    <xf numFmtId="0" fontId="3" fillId="3" borderId="11" xfId="0" applyFont="1" applyFill="1" applyBorder="1" applyAlignment="1">
      <alignment horizontal="center"/>
    </xf>
    <xf numFmtId="1" fontId="3" fillId="3" borderId="11" xfId="0" applyNumberFormat="1" applyFont="1" applyFill="1" applyBorder="1" applyAlignment="1">
      <alignment horizontal="center"/>
    </xf>
    <xf numFmtId="164" fontId="1" fillId="3" borderId="11" xfId="0" applyNumberFormat="1" applyFont="1" applyFill="1" applyBorder="1" applyAlignment="1">
      <alignment horizontal="center" wrapText="1"/>
    </xf>
    <xf numFmtId="0" fontId="1" fillId="3" borderId="12" xfId="0" applyFont="1" applyFill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9" fontId="1" fillId="2" borderId="0" xfId="7" applyFill="1"/>
    <xf numFmtId="1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2" borderId="0" xfId="0" applyFont="1" applyFill="1" applyAlignment="1">
      <alignment vertical="center"/>
    </xf>
    <xf numFmtId="0" fontId="1" fillId="2" borderId="0" xfId="6" applyFont="1" applyFill="1" applyAlignment="1">
      <alignment horizontal="center"/>
    </xf>
    <xf numFmtId="0" fontId="1" fillId="2" borderId="0" xfId="6" applyFont="1" applyFill="1" applyAlignment="1">
      <alignment horizontal="right"/>
    </xf>
    <xf numFmtId="0" fontId="1" fillId="2" borderId="0" xfId="6" applyFont="1" applyFill="1" applyAlignment="1">
      <alignment horizontal="left"/>
    </xf>
    <xf numFmtId="0" fontId="3" fillId="2" borderId="0" xfId="6" applyFont="1" applyFill="1" applyAlignment="1">
      <alignment horizontal="right" vertical="top" wrapText="1"/>
    </xf>
    <xf numFmtId="14" fontId="1" fillId="2" borderId="0" xfId="6" applyNumberFormat="1" applyFont="1" applyFill="1" applyAlignment="1">
      <alignment horizontal="center" vertical="center" wrapText="1"/>
    </xf>
    <xf numFmtId="0" fontId="1" fillId="2" borderId="3" xfId="6" applyFont="1" applyFill="1" applyBorder="1" applyAlignment="1">
      <alignment horizontal="right"/>
    </xf>
    <xf numFmtId="0" fontId="1" fillId="2" borderId="5" xfId="6" applyFont="1" applyFill="1" applyBorder="1" applyAlignment="1">
      <alignment horizontal="right"/>
    </xf>
    <xf numFmtId="0" fontId="1" fillId="0" borderId="13" xfId="0" applyFont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14" fontId="41" fillId="2" borderId="0" xfId="6" applyNumberFormat="1" applyFont="1" applyFill="1" applyAlignment="1">
      <alignment horizontal="center" vertical="center" wrapText="1"/>
    </xf>
    <xf numFmtId="49" fontId="3" fillId="0" borderId="3" xfId="5" applyNumberFormat="1" applyFont="1" applyBorder="1"/>
    <xf numFmtId="49" fontId="1" fillId="0" borderId="7" xfId="5" applyNumberFormat="1" applyBorder="1" applyAlignment="1">
      <alignment horizontal="center"/>
    </xf>
    <xf numFmtId="49" fontId="1" fillId="0" borderId="3" xfId="5" applyNumberFormat="1" applyBorder="1"/>
    <xf numFmtId="16" fontId="1" fillId="0" borderId="3" xfId="5" applyNumberFormat="1" applyBorder="1" applyAlignment="1">
      <alignment horizontal="center"/>
    </xf>
    <xf numFmtId="1" fontId="1" fillId="0" borderId="3" xfId="5" applyNumberFormat="1" applyBorder="1" applyAlignment="1">
      <alignment horizontal="center"/>
    </xf>
    <xf numFmtId="1" fontId="1" fillId="0" borderId="3" xfId="5" applyNumberFormat="1" applyBorder="1" applyAlignment="1">
      <alignment horizontal="center" wrapText="1"/>
    </xf>
    <xf numFmtId="49" fontId="1" fillId="9" borderId="7" xfId="0" applyNumberFormat="1" applyFont="1" applyFill="1" applyBorder="1" applyAlignment="1">
      <alignment horizontal="right"/>
    </xf>
    <xf numFmtId="0" fontId="1" fillId="0" borderId="3" xfId="0" applyFont="1" applyBorder="1"/>
    <xf numFmtId="49" fontId="10" fillId="0" borderId="7" xfId="0" applyNumberFormat="1" applyFont="1" applyBorder="1" applyAlignment="1">
      <alignment horizontal="center"/>
    </xf>
    <xf numFmtId="49" fontId="10" fillId="0" borderId="3" xfId="0" applyNumberFormat="1" applyFont="1" applyBorder="1"/>
    <xf numFmtId="16" fontId="11" fillId="0" borderId="3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 wrapText="1"/>
    </xf>
    <xf numFmtId="0" fontId="1" fillId="0" borderId="7" xfId="0" quotePrefix="1" applyFont="1" applyBorder="1" applyAlignment="1">
      <alignment horizontal="center"/>
    </xf>
    <xf numFmtId="0" fontId="0" fillId="0" borderId="3" xfId="0" quotePrefix="1" applyBorder="1"/>
    <xf numFmtId="0" fontId="0" fillId="0" borderId="0" xfId="0" applyAlignment="1">
      <alignment horizontal="center" vertical="center"/>
    </xf>
    <xf numFmtId="0" fontId="11" fillId="0" borderId="3" xfId="0" applyFont="1" applyBorder="1"/>
    <xf numFmtId="0" fontId="11" fillId="0" borderId="3" xfId="0" applyFont="1" applyBorder="1" applyAlignment="1">
      <alignment horizontal="center"/>
    </xf>
    <xf numFmtId="0" fontId="12" fillId="2" borderId="4" xfId="6" applyFont="1" applyFill="1" applyBorder="1" applyAlignment="1">
      <alignment horizontal="center"/>
    </xf>
    <xf numFmtId="49" fontId="12" fillId="2" borderId="6" xfId="6" applyNumberFormat="1" applyFont="1" applyFill="1" applyBorder="1" applyAlignment="1">
      <alignment horizontal="center"/>
    </xf>
    <xf numFmtId="49" fontId="10" fillId="10" borderId="7" xfId="0" applyNumberFormat="1" applyFont="1" applyFill="1" applyBorder="1" applyAlignment="1">
      <alignment horizontal="center"/>
    </xf>
    <xf numFmtId="49" fontId="10" fillId="10" borderId="3" xfId="0" applyNumberFormat="1" applyFont="1" applyFill="1" applyBorder="1"/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top" wrapText="1"/>
    </xf>
    <xf numFmtId="0" fontId="1" fillId="2" borderId="4" xfId="6" applyFont="1" applyFill="1" applyBorder="1" applyAlignment="1">
      <alignment horizontal="center"/>
    </xf>
    <xf numFmtId="0" fontId="10" fillId="9" borderId="0" xfId="0" applyFont="1" applyFill="1" applyAlignment="1">
      <alignment vertical="center"/>
    </xf>
    <xf numFmtId="0" fontId="14" fillId="11" borderId="3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3" fontId="14" fillId="0" borderId="3" xfId="1" applyFont="1" applyFill="1" applyBorder="1" applyAlignment="1">
      <alignment horizontal="center" vertical="center"/>
    </xf>
    <xf numFmtId="43" fontId="14" fillId="0" borderId="0" xfId="1" applyFont="1" applyFill="1" applyBorder="1" applyAlignment="1">
      <alignment horizontal="center" vertical="center"/>
    </xf>
    <xf numFmtId="43" fontId="16" fillId="0" borderId="0" xfId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7" fontId="19" fillId="0" borderId="0" xfId="0" applyNumberFormat="1" applyFont="1" applyAlignment="1">
      <alignment horizontal="center" vertical="center" wrapText="1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 wrapText="1"/>
    </xf>
    <xf numFmtId="0" fontId="14" fillId="4" borderId="19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2" fontId="20" fillId="0" borderId="0" xfId="0" applyNumberFormat="1" applyFont="1" applyAlignment="1">
      <alignment horizontal="center"/>
    </xf>
    <xf numFmtId="4" fontId="20" fillId="0" borderId="0" xfId="2" applyNumberFormat="1" applyFont="1" applyFill="1" applyAlignment="1">
      <alignment horizontal="center" vertical="center"/>
    </xf>
    <xf numFmtId="4" fontId="14" fillId="0" borderId="0" xfId="2" applyNumberFormat="1" applyFont="1" applyFill="1" applyAlignment="1">
      <alignment horizontal="center" vertical="center"/>
    </xf>
    <xf numFmtId="10" fontId="14" fillId="0" borderId="0" xfId="7" applyNumberFormat="1" applyFont="1" applyFill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10" fontId="15" fillId="0" borderId="0" xfId="7" applyNumberFormat="1" applyFont="1" applyFill="1" applyAlignment="1">
      <alignment vertical="center"/>
    </xf>
    <xf numFmtId="0" fontId="10" fillId="0" borderId="0" xfId="0" applyFont="1"/>
    <xf numFmtId="49" fontId="14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49" fontId="10" fillId="0" borderId="0" xfId="0" applyNumberFormat="1" applyFont="1"/>
    <xf numFmtId="49" fontId="2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4" fontId="14" fillId="0" borderId="0" xfId="1" applyNumberFormat="1" applyFont="1" applyFill="1" applyAlignment="1">
      <alignment vertical="center"/>
    </xf>
    <xf numFmtId="43" fontId="22" fillId="0" borderId="0" xfId="1" applyFont="1" applyFill="1" applyAlignment="1">
      <alignment horizontal="center" vertical="center"/>
    </xf>
    <xf numFmtId="10" fontId="15" fillId="4" borderId="20" xfId="7" applyNumberFormat="1" applyFont="1" applyFill="1" applyBorder="1" applyAlignment="1">
      <alignment vertical="center"/>
    </xf>
    <xf numFmtId="0" fontId="10" fillId="4" borderId="11" xfId="0" applyFont="1" applyFill="1" applyBorder="1" applyAlignment="1">
      <alignment vertical="center"/>
    </xf>
    <xf numFmtId="0" fontId="10" fillId="4" borderId="20" xfId="0" applyFont="1" applyFill="1" applyBorder="1" applyAlignment="1">
      <alignment vertical="center"/>
    </xf>
    <xf numFmtId="43" fontId="22" fillId="4" borderId="21" xfId="1" applyFont="1" applyFill="1" applyBorder="1" applyAlignment="1">
      <alignment horizontal="center" vertical="center"/>
    </xf>
    <xf numFmtId="43" fontId="24" fillId="0" borderId="0" xfId="1" applyFont="1" applyFill="1" applyBorder="1" applyAlignment="1">
      <alignment horizontal="right"/>
    </xf>
    <xf numFmtId="0" fontId="10" fillId="4" borderId="21" xfId="0" applyFont="1" applyFill="1" applyBorder="1" applyAlignment="1">
      <alignment vertical="center"/>
    </xf>
    <xf numFmtId="10" fontId="15" fillId="4" borderId="21" xfId="7" applyNumberFormat="1" applyFont="1" applyFill="1" applyBorder="1" applyAlignment="1">
      <alignment vertical="center"/>
    </xf>
    <xf numFmtId="0" fontId="23" fillId="0" borderId="0" xfId="0" applyFont="1" applyAlignment="1">
      <alignment horizontal="right"/>
    </xf>
    <xf numFmtId="9" fontId="42" fillId="0" borderId="0" xfId="7" applyFont="1" applyFill="1" applyAlignment="1">
      <alignment horizontal="center"/>
    </xf>
    <xf numFmtId="0" fontId="22" fillId="0" borderId="0" xfId="0" applyFont="1" applyAlignment="1">
      <alignment horizontal="right" vertical="center"/>
    </xf>
    <xf numFmtId="4" fontId="22" fillId="0" borderId="0" xfId="1" applyNumberFormat="1" applyFont="1" applyFill="1" applyAlignment="1">
      <alignment vertical="center"/>
    </xf>
    <xf numFmtId="4" fontId="22" fillId="0" borderId="0" xfId="2" applyNumberFormat="1" applyFont="1" applyAlignment="1">
      <alignment horizontal="center" vertical="center"/>
    </xf>
    <xf numFmtId="0" fontId="25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0" fontId="26" fillId="0" borderId="9" xfId="0" applyFont="1" applyBorder="1" applyAlignment="1">
      <alignment horizontal="right"/>
    </xf>
    <xf numFmtId="43" fontId="27" fillId="5" borderId="22" xfId="1" applyFont="1" applyFill="1" applyBorder="1" applyAlignment="1">
      <alignment horizontal="right"/>
    </xf>
    <xf numFmtId="43" fontId="27" fillId="0" borderId="0" xfId="1" applyFont="1" applyFill="1" applyBorder="1" applyAlignment="1">
      <alignment horizontal="right"/>
    </xf>
    <xf numFmtId="43" fontId="14" fillId="0" borderId="3" xfId="1" applyFont="1" applyFill="1" applyBorder="1" applyAlignment="1">
      <alignment vertical="center"/>
    </xf>
    <xf numFmtId="0" fontId="28" fillId="0" borderId="0" xfId="0" applyFont="1" applyAlignment="1">
      <alignment horizontal="left" vertical="center"/>
    </xf>
    <xf numFmtId="4" fontId="22" fillId="0" borderId="0" xfId="2" applyNumberFormat="1" applyFont="1" applyFill="1" applyAlignment="1">
      <alignment horizontal="center" vertical="center"/>
    </xf>
    <xf numFmtId="10" fontId="29" fillId="0" borderId="0" xfId="7" applyNumberFormat="1" applyFont="1" applyFill="1" applyAlignment="1">
      <alignment horizontal="right"/>
    </xf>
    <xf numFmtId="169" fontId="14" fillId="4" borderId="3" xfId="1" applyNumberFormat="1" applyFont="1" applyFill="1" applyBorder="1" applyAlignment="1">
      <alignment vertical="center"/>
    </xf>
    <xf numFmtId="4" fontId="10" fillId="0" borderId="0" xfId="0" applyNumberFormat="1" applyFont="1" applyAlignment="1">
      <alignment horizontal="center" vertical="center"/>
    </xf>
    <xf numFmtId="43" fontId="14" fillId="6" borderId="3" xfId="1" applyFont="1" applyFill="1" applyBorder="1" applyAlignment="1">
      <alignment vertical="center"/>
    </xf>
    <xf numFmtId="166" fontId="30" fillId="0" borderId="0" xfId="0" applyNumberFormat="1" applyFont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0" fontId="15" fillId="4" borderId="23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2" fontId="29" fillId="0" borderId="0" xfId="1" applyNumberFormat="1" applyFont="1" applyFill="1" applyBorder="1" applyAlignment="1">
      <alignment horizontal="center"/>
    </xf>
    <xf numFmtId="2" fontId="26" fillId="0" borderId="0" xfId="1" applyNumberFormat="1" applyFont="1" applyFill="1" applyBorder="1" applyAlignment="1">
      <alignment horizontal="center"/>
    </xf>
    <xf numFmtId="0" fontId="10" fillId="4" borderId="23" xfId="0" applyFont="1" applyFill="1" applyBorder="1" applyAlignment="1">
      <alignment vertical="center"/>
    </xf>
    <xf numFmtId="10" fontId="10" fillId="0" borderId="0" xfId="7" applyNumberFormat="1" applyFont="1" applyFill="1" applyAlignment="1">
      <alignment vertical="center"/>
    </xf>
    <xf numFmtId="4" fontId="10" fillId="0" borderId="0" xfId="1" applyNumberFormat="1" applyFont="1" applyFill="1" applyAlignment="1">
      <alignment vertical="center"/>
    </xf>
    <xf numFmtId="43" fontId="27" fillId="4" borderId="11" xfId="1" applyFont="1" applyFill="1" applyBorder="1" applyAlignment="1">
      <alignment horizontal="right"/>
    </xf>
    <xf numFmtId="0" fontId="14" fillId="4" borderId="12" xfId="0" applyFont="1" applyFill="1" applyBorder="1" applyAlignment="1">
      <alignment horizontal="right" vertical="center"/>
    </xf>
    <xf numFmtId="10" fontId="33" fillId="0" borderId="0" xfId="1" applyNumberFormat="1" applyFont="1" applyFill="1" applyAlignment="1">
      <alignment vertical="center"/>
    </xf>
    <xf numFmtId="10" fontId="15" fillId="0" borderId="0" xfId="7" applyNumberFormat="1" applyFont="1" applyFill="1" applyBorder="1" applyAlignment="1">
      <alignment vertical="center"/>
    </xf>
    <xf numFmtId="166" fontId="34" fillId="0" borderId="0" xfId="0" applyNumberFormat="1" applyFont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43" fontId="35" fillId="0" borderId="0" xfId="1" applyFont="1" applyFill="1" applyAlignment="1">
      <alignment vertical="center"/>
    </xf>
    <xf numFmtId="4" fontId="36" fillId="0" borderId="0" xfId="2" applyNumberFormat="1" applyFont="1" applyFill="1" applyAlignment="1">
      <alignment horizontal="center" vertical="center" wrapText="1"/>
    </xf>
    <xf numFmtId="43" fontId="10" fillId="0" borderId="0" xfId="1" applyFont="1" applyFill="1" applyAlignment="1">
      <alignment vertical="center"/>
    </xf>
    <xf numFmtId="9" fontId="10" fillId="0" borderId="0" xfId="1" applyNumberFormat="1" applyFont="1" applyFill="1" applyAlignment="1">
      <alignment vertical="center"/>
    </xf>
    <xf numFmtId="0" fontId="2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21" fillId="0" borderId="0" xfId="0" applyFont="1" applyAlignment="1">
      <alignment horizontal="right" vertical="center"/>
    </xf>
    <xf numFmtId="4" fontId="21" fillId="0" borderId="0" xfId="1" applyNumberFormat="1" applyFont="1" applyFill="1" applyAlignment="1">
      <alignment vertical="center"/>
    </xf>
    <xf numFmtId="4" fontId="14" fillId="7" borderId="22" xfId="1" applyNumberFormat="1" applyFont="1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43" fontId="37" fillId="0" borderId="0" xfId="1" applyFont="1" applyFill="1" applyAlignment="1">
      <alignment vertical="center"/>
    </xf>
    <xf numFmtId="9" fontId="37" fillId="0" borderId="0" xfId="1" applyNumberFormat="1" applyFont="1" applyFill="1" applyAlignment="1">
      <alignment vertical="center"/>
    </xf>
    <xf numFmtId="4" fontId="14" fillId="0" borderId="0" xfId="1" applyNumberFormat="1" applyFont="1" applyFill="1" applyAlignment="1">
      <alignment horizontal="center" vertical="center"/>
    </xf>
    <xf numFmtId="10" fontId="30" fillId="0" borderId="0" xfId="7" applyNumberFormat="1" applyFont="1" applyFill="1" applyAlignment="1">
      <alignment vertical="center"/>
    </xf>
    <xf numFmtId="43" fontId="30" fillId="0" borderId="0" xfId="1" applyFont="1" applyFill="1" applyBorder="1" applyAlignment="1">
      <alignment vertical="center"/>
    </xf>
    <xf numFmtId="4" fontId="10" fillId="0" borderId="0" xfId="0" applyNumberFormat="1" applyFont="1" applyAlignment="1">
      <alignment horizontal="center"/>
    </xf>
    <xf numFmtId="43" fontId="10" fillId="0" borderId="0" xfId="1" applyFont="1" applyFill="1" applyBorder="1"/>
    <xf numFmtId="10" fontId="30" fillId="0" borderId="0" xfId="7" applyNumberFormat="1" applyFont="1" applyFill="1" applyBorder="1" applyAlignment="1">
      <alignment vertical="center"/>
    </xf>
    <xf numFmtId="0" fontId="30" fillId="0" borderId="0" xfId="0" applyFont="1" applyAlignment="1">
      <alignment horizontal="right"/>
    </xf>
    <xf numFmtId="43" fontId="10" fillId="0" borderId="0" xfId="1" applyFont="1" applyFill="1" applyBorder="1" applyAlignment="1">
      <alignment horizontal="center"/>
    </xf>
    <xf numFmtId="9" fontId="40" fillId="0" borderId="0" xfId="0" applyNumberFormat="1" applyFont="1" applyAlignment="1">
      <alignment horizontal="left"/>
    </xf>
    <xf numFmtId="4" fontId="14" fillId="0" borderId="0" xfId="0" applyNumberFormat="1" applyFont="1" applyAlignment="1">
      <alignment horizontal="center"/>
    </xf>
    <xf numFmtId="166" fontId="14" fillId="0" borderId="0" xfId="0" applyNumberFormat="1" applyFont="1"/>
    <xf numFmtId="0" fontId="0" fillId="0" borderId="3" xfId="0" applyBorder="1" applyAlignment="1">
      <alignment horizontal="center"/>
    </xf>
    <xf numFmtId="0" fontId="0" fillId="0" borderId="3" xfId="0" applyBorder="1"/>
    <xf numFmtId="0" fontId="1" fillId="2" borderId="24" xfId="6" applyFont="1" applyFill="1" applyBorder="1" applyAlignment="1">
      <alignment horizontal="center"/>
    </xf>
    <xf numFmtId="0" fontId="1" fillId="2" borderId="25" xfId="6" applyFont="1" applyFill="1" applyBorder="1" applyAlignment="1">
      <alignment horizontal="center"/>
    </xf>
    <xf numFmtId="0" fontId="1" fillId="2" borderId="26" xfId="6" applyFont="1" applyFill="1" applyBorder="1" applyAlignment="1">
      <alignment horizontal="center"/>
    </xf>
    <xf numFmtId="0" fontId="1" fillId="2" borderId="27" xfId="6" applyFont="1" applyFill="1" applyBorder="1" applyAlignment="1">
      <alignment horizontal="center"/>
    </xf>
    <xf numFmtId="49" fontId="10" fillId="10" borderId="25" xfId="0" applyNumberFormat="1" applyFont="1" applyFill="1" applyBorder="1" applyAlignment="1">
      <alignment horizontal="center"/>
    </xf>
    <xf numFmtId="0" fontId="1" fillId="0" borderId="25" xfId="0" quotePrefix="1" applyFont="1" applyBorder="1" applyAlignment="1">
      <alignment horizontal="center"/>
    </xf>
    <xf numFmtId="49" fontId="10" fillId="0" borderId="25" xfId="0" applyNumberFormat="1" applyFont="1" applyBorder="1" applyAlignment="1">
      <alignment horizontal="center"/>
    </xf>
    <xf numFmtId="49" fontId="1" fillId="0" borderId="25" xfId="5" applyNumberFormat="1" applyBorder="1" applyAlignment="1">
      <alignment horizontal="center"/>
    </xf>
    <xf numFmtId="49" fontId="1" fillId="9" borderId="25" xfId="0" applyNumberFormat="1" applyFont="1" applyFill="1" applyBorder="1" applyAlignment="1">
      <alignment horizontal="right"/>
    </xf>
    <xf numFmtId="0" fontId="1" fillId="0" borderId="25" xfId="0" quotePrefix="1" applyFont="1" applyBorder="1" applyAlignment="1">
      <alignment horizontal="right"/>
    </xf>
    <xf numFmtId="49" fontId="6" fillId="2" borderId="0" xfId="0" applyNumberFormat="1" applyFont="1" applyFill="1" applyAlignment="1">
      <alignment horizontal="center" vertical="center"/>
    </xf>
    <xf numFmtId="0" fontId="1" fillId="3" borderId="11" xfId="0" applyFont="1" applyFill="1" applyBorder="1" applyAlignment="1">
      <alignment horizontal="center"/>
    </xf>
    <xf numFmtId="0" fontId="44" fillId="2" borderId="2" xfId="6" applyFont="1" applyFill="1" applyBorder="1" applyAlignment="1">
      <alignment horizontal="right"/>
    </xf>
    <xf numFmtId="0" fontId="44" fillId="2" borderId="3" xfId="6" applyFont="1" applyFill="1" applyBorder="1" applyAlignment="1">
      <alignment horizontal="right"/>
    </xf>
    <xf numFmtId="0" fontId="12" fillId="2" borderId="13" xfId="6" applyFont="1" applyFill="1" applyBorder="1" applyAlignment="1">
      <alignment horizontal="right"/>
    </xf>
    <xf numFmtId="0" fontId="12" fillId="2" borderId="3" xfId="6" applyFont="1" applyFill="1" applyBorder="1" applyAlignment="1">
      <alignment horizontal="right"/>
    </xf>
    <xf numFmtId="0" fontId="44" fillId="3" borderId="4" xfId="5" applyFont="1" applyFill="1" applyBorder="1" applyAlignment="1">
      <alignment horizontal="center" vertical="center" wrapText="1"/>
    </xf>
    <xf numFmtId="1" fontId="44" fillId="3" borderId="5" xfId="5" applyNumberFormat="1" applyFont="1" applyFill="1" applyBorder="1" applyAlignment="1">
      <alignment horizontal="center"/>
    </xf>
    <xf numFmtId="1" fontId="44" fillId="3" borderId="5" xfId="5" applyNumberFormat="1" applyFont="1" applyFill="1" applyBorder="1" applyAlignment="1">
      <alignment horizontal="center" wrapText="1"/>
    </xf>
    <xf numFmtId="0" fontId="44" fillId="3" borderId="16" xfId="5" applyFont="1" applyFill="1" applyBorder="1" applyAlignment="1">
      <alignment horizontal="center"/>
    </xf>
    <xf numFmtId="0" fontId="46" fillId="0" borderId="7" xfId="5" applyFont="1" applyBorder="1" applyAlignment="1">
      <alignment horizontal="center" vertical="center"/>
    </xf>
    <xf numFmtId="0" fontId="46" fillId="0" borderId="25" xfId="5" applyFont="1" applyBorder="1" applyAlignment="1">
      <alignment horizontal="center" vertical="center"/>
    </xf>
    <xf numFmtId="0" fontId="47" fillId="0" borderId="3" xfId="5" applyFont="1" applyBorder="1" applyAlignment="1">
      <alignment vertical="center"/>
    </xf>
    <xf numFmtId="0" fontId="46" fillId="0" borderId="3" xfId="5" applyFont="1" applyBorder="1" applyAlignment="1">
      <alignment horizontal="center" vertical="center"/>
    </xf>
    <xf numFmtId="1" fontId="46" fillId="0" borderId="3" xfId="5" applyNumberFormat="1" applyFont="1" applyBorder="1" applyAlignment="1">
      <alignment horizontal="center"/>
    </xf>
    <xf numFmtId="1" fontId="46" fillId="0" borderId="3" xfId="5" applyNumberFormat="1" applyFont="1" applyBorder="1" applyAlignment="1">
      <alignment horizontal="center" wrapText="1"/>
    </xf>
    <xf numFmtId="0" fontId="11" fillId="0" borderId="6" xfId="5" applyFont="1" applyBorder="1" applyAlignment="1">
      <alignment horizontal="center"/>
    </xf>
    <xf numFmtId="49" fontId="10" fillId="0" borderId="7" xfId="0" applyNumberFormat="1" applyFont="1" applyBorder="1" applyAlignment="1">
      <alignment horizontal="center" wrapText="1"/>
    </xf>
    <xf numFmtId="49" fontId="10" fillId="0" borderId="25" xfId="0" applyNumberFormat="1" applyFont="1" applyBorder="1" applyAlignment="1">
      <alignment horizontal="center" wrapText="1"/>
    </xf>
    <xf numFmtId="0" fontId="48" fillId="0" borderId="3" xfId="0" applyFont="1" applyBorder="1" applyAlignment="1">
      <alignment vertical="center"/>
    </xf>
    <xf numFmtId="1" fontId="12" fillId="0" borderId="13" xfId="0" applyNumberFormat="1" applyFont="1" applyBorder="1" applyAlignment="1">
      <alignment horizontal="center"/>
    </xf>
    <xf numFmtId="1" fontId="44" fillId="9" borderId="54" xfId="5" applyNumberFormat="1" applyFont="1" applyFill="1" applyBorder="1" applyAlignment="1">
      <alignment horizontal="center" wrapText="1"/>
    </xf>
    <xf numFmtId="0" fontId="10" fillId="0" borderId="3" xfId="0" applyFont="1" applyBorder="1" applyAlignment="1">
      <alignment horizontal="center" vertical="center"/>
    </xf>
    <xf numFmtId="1" fontId="46" fillId="0" borderId="3" xfId="0" applyNumberFormat="1" applyFont="1" applyBorder="1" applyAlignment="1">
      <alignment horizontal="center"/>
    </xf>
    <xf numFmtId="2" fontId="46" fillId="0" borderId="3" xfId="5" applyNumberFormat="1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1" fillId="0" borderId="3" xfId="5" applyBorder="1" applyAlignment="1">
      <alignment horizontal="center"/>
    </xf>
    <xf numFmtId="2" fontId="46" fillId="0" borderId="3" xfId="5" applyNumberFormat="1" applyFont="1" applyBorder="1" applyAlignment="1">
      <alignment horizontal="center" wrapText="1"/>
    </xf>
    <xf numFmtId="0" fontId="0" fillId="0" borderId="3" xfId="0" applyBorder="1" applyAlignment="1">
      <alignment horizontal="left"/>
    </xf>
    <xf numFmtId="0" fontId="0" fillId="9" borderId="3" xfId="0" applyFill="1" applyBorder="1"/>
    <xf numFmtId="1" fontId="11" fillId="0" borderId="3" xfId="5" applyNumberFormat="1" applyFont="1" applyBorder="1" applyAlignment="1">
      <alignment horizontal="center"/>
    </xf>
    <xf numFmtId="1" fontId="11" fillId="0" borderId="3" xfId="5" applyNumberFormat="1" applyFont="1" applyBorder="1" applyAlignment="1">
      <alignment horizontal="center" wrapText="1"/>
    </xf>
    <xf numFmtId="49" fontId="11" fillId="0" borderId="7" xfId="5" applyNumberFormat="1" applyFont="1" applyBorder="1" applyAlignment="1">
      <alignment horizontal="center"/>
    </xf>
    <xf numFmtId="49" fontId="11" fillId="0" borderId="25" xfId="5" applyNumberFormat="1" applyFont="1" applyBorder="1" applyAlignment="1">
      <alignment horizontal="center"/>
    </xf>
    <xf numFmtId="0" fontId="49" fillId="9" borderId="3" xfId="5" applyFont="1" applyFill="1" applyBorder="1" applyAlignment="1">
      <alignment horizontal="left"/>
    </xf>
    <xf numFmtId="0" fontId="11" fillId="0" borderId="3" xfId="5" applyFont="1" applyBorder="1" applyAlignment="1">
      <alignment horizontal="center"/>
    </xf>
    <xf numFmtId="165" fontId="11" fillId="0" borderId="3" xfId="5" applyNumberFormat="1" applyFont="1" applyBorder="1" applyAlignment="1">
      <alignment horizontal="center"/>
    </xf>
    <xf numFmtId="0" fontId="1" fillId="0" borderId="7" xfId="8" applyBorder="1" applyAlignment="1">
      <alignment horizontal="center"/>
    </xf>
    <xf numFmtId="0" fontId="1" fillId="9" borderId="3" xfId="8" applyFill="1" applyBorder="1"/>
    <xf numFmtId="16" fontId="11" fillId="0" borderId="3" xfId="8" applyNumberFormat="1" applyFont="1" applyBorder="1" applyAlignment="1">
      <alignment horizontal="center"/>
    </xf>
    <xf numFmtId="0" fontId="1" fillId="0" borderId="3" xfId="8" applyBorder="1" applyAlignment="1">
      <alignment horizontal="center"/>
    </xf>
    <xf numFmtId="1" fontId="11" fillId="0" borderId="3" xfId="8" applyNumberFormat="1" applyFont="1" applyBorder="1" applyAlignment="1">
      <alignment horizontal="center"/>
    </xf>
    <xf numFmtId="1" fontId="11" fillId="0" borderId="3" xfId="8" applyNumberFormat="1" applyFont="1" applyBorder="1" applyAlignment="1">
      <alignment horizontal="center" wrapText="1"/>
    </xf>
    <xf numFmtId="49" fontId="46" fillId="0" borderId="40" xfId="5" applyNumberFormat="1" applyFont="1" applyBorder="1" applyAlignment="1">
      <alignment horizontal="center"/>
    </xf>
    <xf numFmtId="49" fontId="46" fillId="0" borderId="26" xfId="5" applyNumberFormat="1" applyFont="1" applyBorder="1" applyAlignment="1">
      <alignment horizontal="center"/>
    </xf>
    <xf numFmtId="0" fontId="50" fillId="9" borderId="3" xfId="5" applyFont="1" applyFill="1" applyBorder="1" applyAlignment="1">
      <alignment vertical="center"/>
    </xf>
    <xf numFmtId="0" fontId="46" fillId="0" borderId="25" xfId="5" applyFont="1" applyBorder="1" applyAlignment="1">
      <alignment horizontal="center"/>
    </xf>
    <xf numFmtId="165" fontId="46" fillId="0" borderId="3" xfId="5" applyNumberFormat="1" applyFont="1" applyBorder="1" applyAlignment="1">
      <alignment horizontal="center"/>
    </xf>
    <xf numFmtId="49" fontId="11" fillId="0" borderId="3" xfId="0" applyNumberFormat="1" applyFont="1" applyBorder="1" applyAlignment="1">
      <alignment horizontal="center"/>
    </xf>
    <xf numFmtId="170" fontId="44" fillId="9" borderId="3" xfId="1" applyNumberFormat="1" applyFont="1" applyFill="1" applyBorder="1" applyAlignment="1">
      <alignment horizontal="center"/>
    </xf>
    <xf numFmtId="0" fontId="11" fillId="0" borderId="50" xfId="0" applyFont="1" applyBorder="1" applyAlignment="1">
      <alignment horizontal="center"/>
    </xf>
    <xf numFmtId="0" fontId="51" fillId="0" borderId="7" xfId="0" quotePrefix="1" applyFont="1" applyBorder="1" applyAlignment="1">
      <alignment horizontal="center"/>
    </xf>
    <xf numFmtId="0" fontId="51" fillId="0" borderId="25" xfId="0" quotePrefix="1" applyFont="1" applyBorder="1" applyAlignment="1">
      <alignment horizontal="center"/>
    </xf>
    <xf numFmtId="0" fontId="52" fillId="0" borderId="3" xfId="0" quotePrefix="1" applyFont="1" applyBorder="1"/>
    <xf numFmtId="0" fontId="49" fillId="0" borderId="3" xfId="0" applyFont="1" applyBorder="1" applyAlignment="1">
      <alignment horizontal="center"/>
    </xf>
    <xf numFmtId="165" fontId="53" fillId="0" borderId="3" xfId="0" applyNumberFormat="1" applyFont="1" applyBorder="1" applyAlignment="1">
      <alignment horizontal="center"/>
    </xf>
    <xf numFmtId="1" fontId="44" fillId="9" borderId="3" xfId="5" applyNumberFormat="1" applyFont="1" applyFill="1" applyBorder="1" applyAlignment="1">
      <alignment horizontal="center" wrapText="1"/>
    </xf>
    <xf numFmtId="0" fontId="44" fillId="9" borderId="3" xfId="0" applyFont="1" applyFill="1" applyBorder="1" applyAlignment="1">
      <alignment horizontal="center" vertical="center"/>
    </xf>
    <xf numFmtId="1" fontId="12" fillId="9" borderId="3" xfId="0" applyNumberFormat="1" applyFont="1" applyFill="1" applyBorder="1" applyAlignment="1">
      <alignment horizontal="center"/>
    </xf>
    <xf numFmtId="1" fontId="12" fillId="9" borderId="3" xfId="0" applyNumberFormat="1" applyFont="1" applyFill="1" applyBorder="1" applyAlignment="1">
      <alignment horizontal="center" wrapText="1"/>
    </xf>
    <xf numFmtId="49" fontId="11" fillId="9" borderId="7" xfId="5" applyNumberFormat="1" applyFont="1" applyFill="1" applyBorder="1" applyAlignment="1">
      <alignment horizontal="center"/>
    </xf>
    <xf numFmtId="49" fontId="11" fillId="9" borderId="25" xfId="5" applyNumberFormat="1" applyFont="1" applyFill="1" applyBorder="1" applyAlignment="1">
      <alignment horizontal="center"/>
    </xf>
    <xf numFmtId="49" fontId="10" fillId="9" borderId="3" xfId="5" applyNumberFormat="1" applyFont="1" applyFill="1" applyBorder="1"/>
    <xf numFmtId="0" fontId="53" fillId="0" borderId="3" xfId="5" applyFont="1" applyBorder="1" applyAlignment="1">
      <alignment horizontal="center"/>
    </xf>
    <xf numFmtId="12" fontId="11" fillId="0" borderId="3" xfId="5" applyNumberFormat="1" applyFont="1" applyBorder="1" applyAlignment="1">
      <alignment horizontal="center"/>
    </xf>
    <xf numFmtId="49" fontId="10" fillId="0" borderId="3" xfId="5" applyNumberFormat="1" applyFont="1" applyBorder="1"/>
    <xf numFmtId="1" fontId="53" fillId="0" borderId="3" xfId="5" applyNumberFormat="1" applyFont="1" applyBorder="1" applyAlignment="1">
      <alignment horizontal="center"/>
    </xf>
    <xf numFmtId="49" fontId="54" fillId="2" borderId="8" xfId="5" applyNumberFormat="1" applyFont="1" applyFill="1" applyBorder="1" applyAlignment="1">
      <alignment horizontal="center" vertical="center"/>
    </xf>
    <xf numFmtId="49" fontId="54" fillId="2" borderId="0" xfId="5" applyNumberFormat="1" applyFont="1" applyFill="1" applyAlignment="1">
      <alignment horizontal="center" vertical="center"/>
    </xf>
    <xf numFmtId="0" fontId="12" fillId="2" borderId="0" xfId="5" applyFont="1" applyFill="1"/>
    <xf numFmtId="1" fontId="12" fillId="2" borderId="0" xfId="5" applyNumberFormat="1" applyFont="1" applyFill="1" applyAlignment="1">
      <alignment horizontal="center"/>
    </xf>
    <xf numFmtId="164" fontId="12" fillId="2" borderId="0" xfId="5" applyNumberFormat="1" applyFont="1" applyFill="1" applyAlignment="1">
      <alignment horizontal="center" wrapText="1"/>
    </xf>
    <xf numFmtId="0" fontId="12" fillId="2" borderId="9" xfId="5" applyFont="1" applyFill="1" applyBorder="1" applyAlignment="1">
      <alignment horizontal="center"/>
    </xf>
    <xf numFmtId="0" fontId="1" fillId="0" borderId="0" xfId="5"/>
    <xf numFmtId="0" fontId="12" fillId="2" borderId="0" xfId="5" applyFont="1" applyFill="1" applyAlignment="1">
      <alignment horizontal="left" indent="1"/>
    </xf>
    <xf numFmtId="0" fontId="12" fillId="3" borderId="10" xfId="5" applyFont="1" applyFill="1" applyBorder="1" applyAlignment="1">
      <alignment horizontal="center"/>
    </xf>
    <xf numFmtId="0" fontId="12" fillId="3" borderId="11" xfId="5" applyFont="1" applyFill="1" applyBorder="1" applyAlignment="1">
      <alignment horizontal="center"/>
    </xf>
    <xf numFmtId="0" fontId="12" fillId="3" borderId="11" xfId="5" applyFont="1" applyFill="1" applyBorder="1"/>
    <xf numFmtId="0" fontId="44" fillId="3" borderId="11" xfId="5" applyFont="1" applyFill="1" applyBorder="1" applyAlignment="1">
      <alignment horizontal="center"/>
    </xf>
    <xf numFmtId="1" fontId="44" fillId="3" borderId="11" xfId="5" applyNumberFormat="1" applyFont="1" applyFill="1" applyBorder="1" applyAlignment="1">
      <alignment horizontal="center"/>
    </xf>
    <xf numFmtId="164" fontId="12" fillId="3" borderId="11" xfId="5" applyNumberFormat="1" applyFont="1" applyFill="1" applyBorder="1" applyAlignment="1">
      <alignment horizontal="center" wrapText="1"/>
    </xf>
    <xf numFmtId="0" fontId="12" fillId="3" borderId="12" xfId="5" applyFont="1" applyFill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9" fontId="12" fillId="2" borderId="0" xfId="9" applyFont="1" applyFill="1"/>
    <xf numFmtId="0" fontId="5" fillId="0" borderId="42" xfId="5" applyFont="1" applyBorder="1" applyAlignment="1">
      <alignment horizontal="left"/>
    </xf>
    <xf numFmtId="0" fontId="5" fillId="0" borderId="33" xfId="5" applyFont="1" applyBorder="1" applyAlignment="1">
      <alignment horizontal="left"/>
    </xf>
    <xf numFmtId="0" fontId="5" fillId="0" borderId="43" xfId="5" applyFont="1" applyBorder="1" applyAlignment="1">
      <alignment horizontal="left"/>
    </xf>
    <xf numFmtId="0" fontId="3" fillId="0" borderId="39" xfId="0" applyFont="1" applyBorder="1" applyAlignment="1">
      <alignment horizontal="right"/>
    </xf>
    <xf numFmtId="0" fontId="3" fillId="0" borderId="27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164" fontId="1" fillId="0" borderId="44" xfId="0" applyNumberFormat="1" applyFont="1" applyBorder="1" applyAlignment="1">
      <alignment horizontal="center"/>
    </xf>
    <xf numFmtId="164" fontId="1" fillId="0" borderId="45" xfId="0" applyNumberFormat="1" applyFont="1" applyBorder="1" applyAlignment="1">
      <alignment horizontal="center"/>
    </xf>
    <xf numFmtId="0" fontId="7" fillId="0" borderId="34" xfId="5" applyFont="1" applyBorder="1" applyAlignment="1">
      <alignment horizontal="left" wrapText="1"/>
    </xf>
    <xf numFmtId="0" fontId="7" fillId="0" borderId="35" xfId="5" applyFont="1" applyBorder="1" applyAlignment="1">
      <alignment horizontal="left" wrapText="1"/>
    </xf>
    <xf numFmtId="0" fontId="7" fillId="0" borderId="37" xfId="5" applyFont="1" applyBorder="1" applyAlignment="1">
      <alignment horizontal="left" wrapText="1"/>
    </xf>
    <xf numFmtId="0" fontId="5" fillId="0" borderId="34" xfId="5" applyFont="1" applyBorder="1" applyAlignment="1">
      <alignment horizontal="left"/>
    </xf>
    <xf numFmtId="0" fontId="5" fillId="0" borderId="35" xfId="5" applyFont="1" applyBorder="1" applyAlignment="1">
      <alignment horizontal="left"/>
    </xf>
    <xf numFmtId="0" fontId="5" fillId="0" borderId="37" xfId="5" applyFont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164" fontId="1" fillId="0" borderId="32" xfId="0" applyNumberFormat="1" applyFont="1" applyBorder="1" applyAlignment="1">
      <alignment horizontal="right" wrapText="1"/>
    </xf>
    <xf numFmtId="164" fontId="1" fillId="0" borderId="25" xfId="0" applyNumberFormat="1" applyFont="1" applyBorder="1" applyAlignment="1">
      <alignment horizontal="right" wrapText="1"/>
    </xf>
    <xf numFmtId="164" fontId="1" fillId="0" borderId="32" xfId="0" applyNumberFormat="1" applyFont="1" applyBorder="1" applyAlignment="1">
      <alignment horizontal="center"/>
    </xf>
    <xf numFmtId="164" fontId="1" fillId="0" borderId="41" xfId="0" applyNumberFormat="1" applyFont="1" applyBorder="1" applyAlignment="1">
      <alignment horizontal="center"/>
    </xf>
    <xf numFmtId="0" fontId="3" fillId="0" borderId="40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25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3" fillId="0" borderId="34" xfId="0" applyFont="1" applyBorder="1" applyAlignment="1">
      <alignment horizontal="right"/>
    </xf>
    <xf numFmtId="0" fontId="3" fillId="0" borderId="35" xfId="0" applyFont="1" applyBorder="1" applyAlignment="1">
      <alignment horizontal="right"/>
    </xf>
    <xf numFmtId="0" fontId="3" fillId="0" borderId="36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2" borderId="14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38" xfId="6" applyFont="1" applyFill="1" applyBorder="1" applyAlignment="1">
      <alignment horizontal="center"/>
    </xf>
    <xf numFmtId="0" fontId="1" fillId="2" borderId="7" xfId="6" applyFont="1" applyFill="1" applyBorder="1" applyAlignment="1">
      <alignment horizontal="center"/>
    </xf>
    <xf numFmtId="0" fontId="1" fillId="2" borderId="39" xfId="6" applyFont="1" applyFill="1" applyBorder="1" applyAlignment="1">
      <alignment horizontal="center"/>
    </xf>
    <xf numFmtId="0" fontId="3" fillId="3" borderId="38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" fillId="2" borderId="3" xfId="6" applyFont="1" applyFill="1" applyBorder="1" applyAlignment="1">
      <alignment horizontal="left"/>
    </xf>
    <xf numFmtId="0" fontId="3" fillId="3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14" fontId="12" fillId="2" borderId="30" xfId="6" applyNumberFormat="1" applyFont="1" applyFill="1" applyBorder="1" applyAlignment="1">
      <alignment horizontal="center" vertical="center" wrapText="1"/>
    </xf>
    <xf numFmtId="14" fontId="12" fillId="2" borderId="31" xfId="6" applyNumberFormat="1" applyFont="1" applyFill="1" applyBorder="1" applyAlignment="1">
      <alignment horizontal="center" vertical="center" wrapText="1"/>
    </xf>
    <xf numFmtId="0" fontId="1" fillId="2" borderId="5" xfId="6" applyFont="1" applyFill="1" applyBorder="1" applyAlignment="1">
      <alignment horizontal="left"/>
    </xf>
    <xf numFmtId="0" fontId="4" fillId="2" borderId="2" xfId="6" applyFont="1" applyFill="1" applyBorder="1" applyAlignment="1">
      <alignment horizontal="center"/>
    </xf>
    <xf numFmtId="0" fontId="4" fillId="2" borderId="3" xfId="6" applyFont="1" applyFill="1" applyBorder="1" applyAlignment="1">
      <alignment horizontal="center"/>
    </xf>
    <xf numFmtId="0" fontId="8" fillId="5" borderId="32" xfId="6" applyFont="1" applyFill="1" applyBorder="1" applyAlignment="1">
      <alignment horizontal="center" vertical="center" wrapText="1"/>
    </xf>
    <xf numFmtId="0" fontId="8" fillId="5" borderId="26" xfId="6" applyFont="1" applyFill="1" applyBorder="1" applyAlignment="1">
      <alignment horizontal="center" vertical="center" wrapText="1"/>
    </xf>
    <xf numFmtId="0" fontId="8" fillId="5" borderId="25" xfId="6" applyFont="1" applyFill="1" applyBorder="1" applyAlignment="1">
      <alignment horizontal="center" vertical="center" wrapText="1"/>
    </xf>
    <xf numFmtId="0" fontId="4" fillId="2" borderId="0" xfId="6" applyFont="1" applyFill="1" applyAlignment="1">
      <alignment horizontal="right"/>
    </xf>
    <xf numFmtId="0" fontId="41" fillId="2" borderId="33" xfId="6" applyFont="1" applyFill="1" applyBorder="1" applyAlignment="1">
      <alignment horizontal="center"/>
    </xf>
    <xf numFmtId="0" fontId="4" fillId="2" borderId="0" xfId="6" applyFont="1" applyFill="1"/>
    <xf numFmtId="0" fontId="3" fillId="2" borderId="3" xfId="6" applyFont="1" applyFill="1" applyBorder="1" applyAlignment="1">
      <alignment horizontal="right" vertical="top" wrapText="1"/>
    </xf>
    <xf numFmtId="0" fontId="3" fillId="2" borderId="5" xfId="6" applyFont="1" applyFill="1" applyBorder="1" applyAlignment="1">
      <alignment horizontal="right" vertical="top" wrapText="1"/>
    </xf>
    <xf numFmtId="0" fontId="14" fillId="0" borderId="0" xfId="0" applyFont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right" vertical="center" wrapText="1"/>
    </xf>
    <xf numFmtId="0" fontId="14" fillId="0" borderId="0" xfId="0" applyFont="1" applyAlignment="1">
      <alignment horizontal="right" vertical="center"/>
    </xf>
    <xf numFmtId="0" fontId="23" fillId="0" borderId="46" xfId="0" applyFont="1" applyBorder="1" applyAlignment="1">
      <alignment horizontal="right"/>
    </xf>
    <xf numFmtId="0" fontId="23" fillId="0" borderId="47" xfId="0" applyFont="1" applyBorder="1" applyAlignment="1">
      <alignment horizontal="right"/>
    </xf>
    <xf numFmtId="0" fontId="23" fillId="0" borderId="0" xfId="0" applyFont="1" applyAlignment="1">
      <alignment horizontal="right"/>
    </xf>
    <xf numFmtId="0" fontId="10" fillId="0" borderId="0" xfId="0" applyFont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0" fontId="30" fillId="0" borderId="3" xfId="0" applyFont="1" applyBorder="1" applyAlignment="1">
      <alignment horizontal="right" vertical="center"/>
    </xf>
    <xf numFmtId="0" fontId="31" fillId="0" borderId="8" xfId="0" applyFont="1" applyBorder="1" applyAlignment="1">
      <alignment horizontal="right"/>
    </xf>
    <xf numFmtId="0" fontId="31" fillId="0" borderId="0" xfId="0" applyFont="1" applyAlignment="1">
      <alignment horizontal="right"/>
    </xf>
    <xf numFmtId="0" fontId="31" fillId="0" borderId="9" xfId="0" applyFont="1" applyBorder="1" applyAlignment="1">
      <alignment horizontal="right"/>
    </xf>
    <xf numFmtId="0" fontId="29" fillId="0" borderId="33" xfId="0" applyFont="1" applyBorder="1" applyAlignment="1">
      <alignment horizontal="right"/>
    </xf>
    <xf numFmtId="0" fontId="22" fillId="0" borderId="0" xfId="0" applyFont="1" applyAlignment="1">
      <alignment horizontal="right" vertical="center"/>
    </xf>
    <xf numFmtId="0" fontId="27" fillId="4" borderId="10" xfId="0" applyFont="1" applyFill="1" applyBorder="1" applyAlignment="1">
      <alignment horizontal="right"/>
    </xf>
    <xf numFmtId="0" fontId="27" fillId="4" borderId="11" xfId="0" applyFont="1" applyFill="1" applyBorder="1" applyAlignment="1">
      <alignment horizontal="right"/>
    </xf>
    <xf numFmtId="0" fontId="39" fillId="0" borderId="0" xfId="0" applyFont="1" applyAlignment="1">
      <alignment horizontal="right"/>
    </xf>
    <xf numFmtId="0" fontId="14" fillId="0" borderId="33" xfId="0" applyFont="1" applyBorder="1" applyAlignment="1">
      <alignment horizontal="right" vertical="center"/>
    </xf>
    <xf numFmtId="0" fontId="14" fillId="0" borderId="43" xfId="0" applyFont="1" applyBorder="1" applyAlignment="1">
      <alignment horizontal="right" vertical="center"/>
    </xf>
    <xf numFmtId="0" fontId="14" fillId="8" borderId="10" xfId="0" applyFont="1" applyFill="1" applyBorder="1" applyAlignment="1">
      <alignment horizontal="right" vertical="center"/>
    </xf>
    <xf numFmtId="0" fontId="14" fillId="8" borderId="11" xfId="0" applyFont="1" applyFill="1" applyBorder="1" applyAlignment="1">
      <alignment horizontal="right" vertical="center"/>
    </xf>
    <xf numFmtId="0" fontId="14" fillId="8" borderId="12" xfId="0" applyFont="1" applyFill="1" applyBorder="1" applyAlignment="1">
      <alignment horizontal="right" vertical="center"/>
    </xf>
    <xf numFmtId="4" fontId="36" fillId="0" borderId="0" xfId="2" applyNumberFormat="1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38" fillId="0" borderId="10" xfId="0" applyFont="1" applyBorder="1" applyAlignment="1">
      <alignment horizontal="right" vertical="center"/>
    </xf>
    <xf numFmtId="0" fontId="38" fillId="0" borderId="11" xfId="0" applyFont="1" applyBorder="1" applyAlignment="1">
      <alignment horizontal="right" vertical="center"/>
    </xf>
    <xf numFmtId="0" fontId="38" fillId="0" borderId="12" xfId="0" applyFont="1" applyBorder="1" applyAlignment="1">
      <alignment horizontal="right" vertical="center"/>
    </xf>
    <xf numFmtId="14" fontId="12" fillId="2" borderId="15" xfId="6" applyNumberFormat="1" applyFont="1" applyFill="1" applyBorder="1" applyAlignment="1">
      <alignment horizontal="center" vertical="center" wrapText="1"/>
    </xf>
    <xf numFmtId="0" fontId="12" fillId="2" borderId="52" xfId="6" applyFont="1" applyFill="1" applyBorder="1" applyAlignment="1">
      <alignment horizontal="left"/>
    </xf>
    <xf numFmtId="0" fontId="12" fillId="2" borderId="53" xfId="6" applyFont="1" applyFill="1" applyBorder="1" applyAlignment="1">
      <alignment horizontal="left"/>
    </xf>
    <xf numFmtId="0" fontId="12" fillId="2" borderId="24" xfId="6" applyFont="1" applyFill="1" applyBorder="1" applyAlignment="1">
      <alignment horizontal="left"/>
    </xf>
    <xf numFmtId="0" fontId="12" fillId="2" borderId="32" xfId="6" applyFont="1" applyFill="1" applyBorder="1" applyAlignment="1">
      <alignment horizontal="left"/>
    </xf>
    <xf numFmtId="0" fontId="12" fillId="2" borderId="26" xfId="6" applyFont="1" applyFill="1" applyBorder="1" applyAlignment="1">
      <alignment horizontal="left"/>
    </xf>
    <xf numFmtId="0" fontId="12" fillId="2" borderId="25" xfId="6" applyFont="1" applyFill="1" applyBorder="1" applyAlignment="1">
      <alignment horizontal="left"/>
    </xf>
    <xf numFmtId="0" fontId="12" fillId="2" borderId="46" xfId="6" applyFont="1" applyFill="1" applyBorder="1" applyAlignment="1">
      <alignment horizontal="center"/>
    </xf>
    <xf numFmtId="0" fontId="12" fillId="2" borderId="47" xfId="6" applyFont="1" applyFill="1" applyBorder="1" applyAlignment="1">
      <alignment horizontal="center"/>
    </xf>
    <xf numFmtId="0" fontId="12" fillId="2" borderId="8" xfId="6" applyFont="1" applyFill="1" applyBorder="1" applyAlignment="1">
      <alignment horizontal="center"/>
    </xf>
    <xf numFmtId="0" fontId="12" fillId="2" borderId="0" xfId="6" applyFont="1" applyFill="1" applyAlignment="1">
      <alignment horizontal="center"/>
    </xf>
    <xf numFmtId="0" fontId="12" fillId="2" borderId="34" xfId="6" applyFont="1" applyFill="1" applyBorder="1" applyAlignment="1">
      <alignment horizontal="center"/>
    </xf>
    <xf numFmtId="0" fontId="12" fillId="2" borderId="35" xfId="6" applyFont="1" applyFill="1" applyBorder="1" applyAlignment="1">
      <alignment horizontal="center"/>
    </xf>
    <xf numFmtId="0" fontId="43" fillId="2" borderId="2" xfId="6" applyFont="1" applyFill="1" applyBorder="1" applyAlignment="1">
      <alignment horizontal="center"/>
    </xf>
    <xf numFmtId="0" fontId="43" fillId="2" borderId="50" xfId="6" applyFont="1" applyFill="1" applyBorder="1" applyAlignment="1">
      <alignment horizontal="center"/>
    </xf>
    <xf numFmtId="0" fontId="45" fillId="5" borderId="10" xfId="6" applyFont="1" applyFill="1" applyBorder="1" applyAlignment="1">
      <alignment horizontal="center" vertical="center" wrapText="1"/>
    </xf>
    <xf numFmtId="0" fontId="45" fillId="5" borderId="11" xfId="6" applyFont="1" applyFill="1" applyBorder="1" applyAlignment="1">
      <alignment horizontal="center" vertical="center" wrapText="1"/>
    </xf>
    <xf numFmtId="0" fontId="45" fillId="5" borderId="12" xfId="6" applyFont="1" applyFill="1" applyBorder="1" applyAlignment="1">
      <alignment horizontal="center" vertical="center" wrapText="1"/>
    </xf>
    <xf numFmtId="0" fontId="44" fillId="2" borderId="51" xfId="6" applyFont="1" applyFill="1" applyBorder="1" applyAlignment="1">
      <alignment horizontal="right" vertical="top" wrapText="1"/>
    </xf>
    <xf numFmtId="0" fontId="44" fillId="2" borderId="48" xfId="6" applyFont="1" applyFill="1" applyBorder="1" applyAlignment="1">
      <alignment horizontal="right" vertical="top" wrapText="1"/>
    </xf>
    <xf numFmtId="0" fontId="44" fillId="2" borderId="49" xfId="6" applyFont="1" applyFill="1" applyBorder="1" applyAlignment="1">
      <alignment horizontal="right" vertical="top" wrapText="1"/>
    </xf>
    <xf numFmtId="0" fontId="44" fillId="3" borderId="38" xfId="5" applyFont="1" applyFill="1" applyBorder="1" applyAlignment="1">
      <alignment horizontal="center" vertical="center"/>
    </xf>
    <xf numFmtId="0" fontId="44" fillId="3" borderId="39" xfId="5" applyFont="1" applyFill="1" applyBorder="1" applyAlignment="1">
      <alignment horizontal="center" vertical="center"/>
    </xf>
    <xf numFmtId="0" fontId="44" fillId="3" borderId="38" xfId="5" applyFont="1" applyFill="1" applyBorder="1" applyAlignment="1">
      <alignment horizontal="center" vertical="center" wrapText="1"/>
    </xf>
    <xf numFmtId="0" fontId="44" fillId="3" borderId="39" xfId="5" applyFont="1" applyFill="1" applyBorder="1" applyAlignment="1">
      <alignment horizontal="center" vertical="center" wrapText="1"/>
    </xf>
    <xf numFmtId="0" fontId="44" fillId="3" borderId="2" xfId="5" applyFont="1" applyFill="1" applyBorder="1" applyAlignment="1">
      <alignment horizontal="center" vertical="center"/>
    </xf>
    <xf numFmtId="0" fontId="44" fillId="3" borderId="5" xfId="5" applyFont="1" applyFill="1" applyBorder="1" applyAlignment="1">
      <alignment horizontal="center" vertical="center"/>
    </xf>
    <xf numFmtId="0" fontId="44" fillId="0" borderId="34" xfId="5" applyFont="1" applyBorder="1" applyAlignment="1">
      <alignment horizontal="right"/>
    </xf>
    <xf numFmtId="0" fontId="44" fillId="0" borderId="35" xfId="5" applyFont="1" applyBorder="1" applyAlignment="1">
      <alignment horizontal="right"/>
    </xf>
    <xf numFmtId="0" fontId="44" fillId="0" borderId="36" xfId="5" applyFont="1" applyBorder="1" applyAlignment="1">
      <alignment horizontal="right"/>
    </xf>
    <xf numFmtId="164" fontId="12" fillId="0" borderId="13" xfId="5" applyNumberFormat="1" applyFont="1" applyBorder="1" applyAlignment="1">
      <alignment horizontal="right"/>
    </xf>
    <xf numFmtId="0" fontId="12" fillId="2" borderId="14" xfId="5" applyFont="1" applyFill="1" applyBorder="1" applyAlignment="1">
      <alignment horizontal="center"/>
    </xf>
    <xf numFmtId="0" fontId="12" fillId="2" borderId="37" xfId="5" applyFont="1" applyFill="1" applyBorder="1" applyAlignment="1">
      <alignment horizontal="center"/>
    </xf>
    <xf numFmtId="0" fontId="44" fillId="0" borderId="40" xfId="5" applyFont="1" applyBorder="1" applyAlignment="1">
      <alignment horizontal="right"/>
    </xf>
    <xf numFmtId="0" fontId="44" fillId="0" borderId="26" xfId="5" applyFont="1" applyBorder="1" applyAlignment="1">
      <alignment horizontal="right"/>
    </xf>
    <xf numFmtId="0" fontId="44" fillId="0" borderId="25" xfId="5" applyFont="1" applyBorder="1" applyAlignment="1">
      <alignment horizontal="right"/>
    </xf>
    <xf numFmtId="0" fontId="12" fillId="0" borderId="3" xfId="5" applyFont="1" applyBorder="1" applyAlignment="1">
      <alignment horizontal="right"/>
    </xf>
    <xf numFmtId="164" fontId="12" fillId="0" borderId="32" xfId="5" applyNumberFormat="1" applyFont="1" applyBorder="1" applyAlignment="1">
      <alignment horizontal="center"/>
    </xf>
    <xf numFmtId="164" fontId="12" fillId="0" borderId="41" xfId="5" applyNumberFormat="1" applyFont="1" applyBorder="1" applyAlignment="1">
      <alignment horizontal="center"/>
    </xf>
    <xf numFmtId="164" fontId="12" fillId="0" borderId="32" xfId="5" applyNumberFormat="1" applyFont="1" applyBorder="1" applyAlignment="1">
      <alignment horizontal="right" wrapText="1"/>
    </xf>
    <xf numFmtId="164" fontId="12" fillId="0" borderId="25" xfId="5" applyNumberFormat="1" applyFont="1" applyBorder="1" applyAlignment="1">
      <alignment horizontal="right" wrapText="1"/>
    </xf>
    <xf numFmtId="0" fontId="44" fillId="0" borderId="39" xfId="5" applyFont="1" applyBorder="1" applyAlignment="1">
      <alignment horizontal="right"/>
    </xf>
    <xf numFmtId="0" fontId="44" fillId="0" borderId="27" xfId="5" applyFont="1" applyBorder="1" applyAlignment="1">
      <alignment horizontal="right"/>
    </xf>
    <xf numFmtId="0" fontId="44" fillId="0" borderId="5" xfId="5" applyFont="1" applyBorder="1" applyAlignment="1">
      <alignment horizontal="right"/>
    </xf>
    <xf numFmtId="0" fontId="12" fillId="0" borderId="5" xfId="5" applyFont="1" applyBorder="1" applyAlignment="1">
      <alignment horizontal="right"/>
    </xf>
    <xf numFmtId="164" fontId="12" fillId="0" borderId="44" xfId="5" applyNumberFormat="1" applyFont="1" applyBorder="1" applyAlignment="1">
      <alignment horizontal="center"/>
    </xf>
    <xf numFmtId="164" fontId="12" fillId="0" borderId="45" xfId="5" applyNumberFormat="1" applyFont="1" applyBorder="1" applyAlignment="1">
      <alignment horizontal="center"/>
    </xf>
    <xf numFmtId="0" fontId="44" fillId="3" borderId="10" xfId="5" applyFont="1" applyFill="1" applyBorder="1" applyAlignment="1">
      <alignment horizontal="left"/>
    </xf>
    <xf numFmtId="0" fontId="44" fillId="3" borderId="11" xfId="5" applyFont="1" applyFill="1" applyBorder="1" applyAlignment="1">
      <alignment horizontal="left"/>
    </xf>
    <xf numFmtId="0" fontId="44" fillId="3" borderId="12" xfId="5" applyFont="1" applyFill="1" applyBorder="1" applyAlignment="1">
      <alignment horizontal="left"/>
    </xf>
    <xf numFmtId="0" fontId="12" fillId="0" borderId="56" xfId="5" applyFont="1" applyBorder="1" applyAlignment="1">
      <alignment horizontal="left"/>
    </xf>
    <xf numFmtId="0" fontId="12" fillId="0" borderId="57" xfId="5" applyFont="1" applyBorder="1" applyAlignment="1">
      <alignment horizontal="left"/>
    </xf>
    <xf numFmtId="0" fontId="12" fillId="0" borderId="45" xfId="5" applyFont="1" applyBorder="1" applyAlignment="1">
      <alignment horizontal="left"/>
    </xf>
    <xf numFmtId="0" fontId="44" fillId="12" borderId="58" xfId="6" applyFont="1" applyFill="1" applyBorder="1" applyAlignment="1">
      <alignment horizontal="center"/>
    </xf>
    <xf numFmtId="0" fontId="44" fillId="12" borderId="47" xfId="6" applyFont="1" applyFill="1" applyBorder="1" applyAlignment="1">
      <alignment horizontal="center"/>
    </xf>
    <xf numFmtId="0" fontId="12" fillId="2" borderId="59" xfId="6" applyFont="1" applyFill="1" applyBorder="1" applyAlignment="1">
      <alignment horizontal="left"/>
    </xf>
    <xf numFmtId="0" fontId="12" fillId="2" borderId="0" xfId="6" applyFont="1" applyFill="1" applyAlignment="1">
      <alignment horizontal="left"/>
    </xf>
    <xf numFmtId="0" fontId="11" fillId="0" borderId="26" xfId="0" applyFont="1" applyBorder="1" applyAlignment="1">
      <alignment horizontal="left"/>
    </xf>
    <xf numFmtId="0" fontId="12" fillId="0" borderId="55" xfId="0" applyFont="1" applyBorder="1" applyAlignment="1">
      <alignment horizontal="left" wrapText="1"/>
    </xf>
    <xf numFmtId="0" fontId="12" fillId="0" borderId="36" xfId="0" applyFont="1" applyBorder="1" applyAlignment="1">
      <alignment horizontal="left" wrapText="1"/>
    </xf>
    <xf numFmtId="0" fontId="12" fillId="0" borderId="13" xfId="0" applyFont="1" applyBorder="1" applyAlignment="1">
      <alignment horizontal="left" wrapText="1"/>
    </xf>
    <xf numFmtId="0" fontId="12" fillId="0" borderId="15" xfId="0" applyFont="1" applyBorder="1" applyAlignment="1">
      <alignment horizontal="left" wrapText="1"/>
    </xf>
    <xf numFmtId="0" fontId="10" fillId="0" borderId="40" xfId="0" applyFont="1" applyBorder="1" applyAlignment="1">
      <alignment horizontal="left"/>
    </xf>
    <xf numFmtId="0" fontId="10" fillId="0" borderId="26" xfId="0" applyFont="1" applyBorder="1" applyAlignment="1">
      <alignment horizontal="left"/>
    </xf>
    <xf numFmtId="0" fontId="10" fillId="0" borderId="41" xfId="0" applyFont="1" applyBorder="1" applyAlignment="1">
      <alignment horizontal="left"/>
    </xf>
    <xf numFmtId="0" fontId="12" fillId="0" borderId="40" xfId="5" applyFont="1" applyBorder="1" applyAlignment="1">
      <alignment horizontal="left" wrapText="1"/>
    </xf>
    <xf numFmtId="0" fontId="12" fillId="0" borderId="26" xfId="5" applyFont="1" applyBorder="1" applyAlignment="1">
      <alignment horizontal="left" wrapText="1"/>
    </xf>
    <xf numFmtId="0" fontId="12" fillId="0" borderId="41" xfId="5" applyFont="1" applyBorder="1" applyAlignment="1">
      <alignment horizontal="left" wrapText="1"/>
    </xf>
  </cellXfs>
  <cellStyles count="10">
    <cellStyle name="Millares" xfId="1" builtinId="3"/>
    <cellStyle name="Millares [0]" xfId="2" builtinId="6"/>
    <cellStyle name="Millares [0] 2" xfId="3" xr:uid="{92B550F6-54F9-4AA4-B84A-09B313D27BFC}"/>
    <cellStyle name="Millares 2" xfId="4" xr:uid="{0ABD1B8E-2006-4638-AB43-61C0176E4AD6}"/>
    <cellStyle name="Normal" xfId="0" builtinId="0"/>
    <cellStyle name="Normal 2" xfId="5" xr:uid="{FF6A604A-058F-4B44-856D-3997B71886F8}"/>
    <cellStyle name="Normal 3 2" xfId="8" xr:uid="{BEF99479-5A0C-4702-A884-FEDFBAA536E0}"/>
    <cellStyle name="Normal_CRITERIOS DE EVALUACION PT DE GB 2" xfId="6" xr:uid="{EEB90535-1FFE-4E0B-BFFC-CF78C9DD2C6F}"/>
    <cellStyle name="Porcentaje 2" xfId="7" xr:uid="{18C2E0E7-F593-4CF2-A7C8-EEF1D2028B15}"/>
    <cellStyle name="Porcentaje 2 2" xfId="9" xr:uid="{249ACD62-A81A-4071-8877-EFB9AD4D641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00" name="Picture 2">
          <a:extLst>
            <a:ext uri="{FF2B5EF4-FFF2-40B4-BE49-F238E27FC236}">
              <a16:creationId xmlns:a16="http://schemas.microsoft.com/office/drawing/2014/main" id="{273997AB-7380-03ED-8F35-2A2F62AE8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01" name="Picture 3">
          <a:extLst>
            <a:ext uri="{FF2B5EF4-FFF2-40B4-BE49-F238E27FC236}">
              <a16:creationId xmlns:a16="http://schemas.microsoft.com/office/drawing/2014/main" id="{E60A3E64-1FE0-C783-AF06-64A84191E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02" name="Picture 5">
          <a:extLst>
            <a:ext uri="{FF2B5EF4-FFF2-40B4-BE49-F238E27FC236}">
              <a16:creationId xmlns:a16="http://schemas.microsoft.com/office/drawing/2014/main" id="{FD11F3B3-A015-060B-9B4A-4B2F5E7ED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03" name="Picture 6">
          <a:extLst>
            <a:ext uri="{FF2B5EF4-FFF2-40B4-BE49-F238E27FC236}">
              <a16:creationId xmlns:a16="http://schemas.microsoft.com/office/drawing/2014/main" id="{D314FAE2-BCFB-D2A2-5E95-21501F1E0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04" name="Picture 7">
          <a:extLst>
            <a:ext uri="{FF2B5EF4-FFF2-40B4-BE49-F238E27FC236}">
              <a16:creationId xmlns:a16="http://schemas.microsoft.com/office/drawing/2014/main" id="{690F69A4-EDCF-A10F-092F-7DC1941BA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05" name="Picture 8">
          <a:extLst>
            <a:ext uri="{FF2B5EF4-FFF2-40B4-BE49-F238E27FC236}">
              <a16:creationId xmlns:a16="http://schemas.microsoft.com/office/drawing/2014/main" id="{ED4FEE8A-1F27-2E1B-BBC5-6E05D98EC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06" name="Picture 9">
          <a:extLst>
            <a:ext uri="{FF2B5EF4-FFF2-40B4-BE49-F238E27FC236}">
              <a16:creationId xmlns:a16="http://schemas.microsoft.com/office/drawing/2014/main" id="{172A9486-7E15-6D21-F3E9-6D4048273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07" name="Picture 10">
          <a:extLst>
            <a:ext uri="{FF2B5EF4-FFF2-40B4-BE49-F238E27FC236}">
              <a16:creationId xmlns:a16="http://schemas.microsoft.com/office/drawing/2014/main" id="{AC35B66B-6BF5-25A5-9A0E-708E28983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08" name="Picture 11">
          <a:extLst>
            <a:ext uri="{FF2B5EF4-FFF2-40B4-BE49-F238E27FC236}">
              <a16:creationId xmlns:a16="http://schemas.microsoft.com/office/drawing/2014/main" id="{ECF79D6B-C8E8-EF23-11A1-A3A4D2883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09" name="Picture 12">
          <a:extLst>
            <a:ext uri="{FF2B5EF4-FFF2-40B4-BE49-F238E27FC236}">
              <a16:creationId xmlns:a16="http://schemas.microsoft.com/office/drawing/2014/main" id="{C309292F-52ED-B44E-65B4-E23B30224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10" name="Picture 14">
          <a:extLst>
            <a:ext uri="{FF2B5EF4-FFF2-40B4-BE49-F238E27FC236}">
              <a16:creationId xmlns:a16="http://schemas.microsoft.com/office/drawing/2014/main" id="{88E1632A-E527-8081-DB17-854A89D93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11" name="Picture 15">
          <a:extLst>
            <a:ext uri="{FF2B5EF4-FFF2-40B4-BE49-F238E27FC236}">
              <a16:creationId xmlns:a16="http://schemas.microsoft.com/office/drawing/2014/main" id="{159B6FDA-7598-3B2A-7B5E-0EAB26342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12" name="Picture 16">
          <a:extLst>
            <a:ext uri="{FF2B5EF4-FFF2-40B4-BE49-F238E27FC236}">
              <a16:creationId xmlns:a16="http://schemas.microsoft.com/office/drawing/2014/main" id="{8EE0C6AD-DCCC-0906-D081-C2AA01244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13" name="Picture 17">
          <a:extLst>
            <a:ext uri="{FF2B5EF4-FFF2-40B4-BE49-F238E27FC236}">
              <a16:creationId xmlns:a16="http://schemas.microsoft.com/office/drawing/2014/main" id="{0F83C82B-00B3-25CB-CEB7-161ECC680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14" name="Picture 18">
          <a:extLst>
            <a:ext uri="{FF2B5EF4-FFF2-40B4-BE49-F238E27FC236}">
              <a16:creationId xmlns:a16="http://schemas.microsoft.com/office/drawing/2014/main" id="{41BCE0F9-A420-4D3D-EA4D-5F3F960E5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15" name="Picture 19">
          <a:extLst>
            <a:ext uri="{FF2B5EF4-FFF2-40B4-BE49-F238E27FC236}">
              <a16:creationId xmlns:a16="http://schemas.microsoft.com/office/drawing/2014/main" id="{CBA49525-B6F5-EA57-3AD1-A658097AC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16" name="Picture 20">
          <a:extLst>
            <a:ext uri="{FF2B5EF4-FFF2-40B4-BE49-F238E27FC236}">
              <a16:creationId xmlns:a16="http://schemas.microsoft.com/office/drawing/2014/main" id="{81ECCBA5-C5CF-E084-2B3C-1034DD487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17" name="Picture 21">
          <a:extLst>
            <a:ext uri="{FF2B5EF4-FFF2-40B4-BE49-F238E27FC236}">
              <a16:creationId xmlns:a16="http://schemas.microsoft.com/office/drawing/2014/main" id="{BB1E1D87-C5E0-0EA0-757D-AE82BF28B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18" name="Picture 22">
          <a:extLst>
            <a:ext uri="{FF2B5EF4-FFF2-40B4-BE49-F238E27FC236}">
              <a16:creationId xmlns:a16="http://schemas.microsoft.com/office/drawing/2014/main" id="{574B07B9-C1C6-E3B0-C763-AC2068CAB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19" name="Picture 23">
          <a:extLst>
            <a:ext uri="{FF2B5EF4-FFF2-40B4-BE49-F238E27FC236}">
              <a16:creationId xmlns:a16="http://schemas.microsoft.com/office/drawing/2014/main" id="{768D4F6B-90F8-ED24-039F-45B399EA8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20" name="Picture 24">
          <a:extLst>
            <a:ext uri="{FF2B5EF4-FFF2-40B4-BE49-F238E27FC236}">
              <a16:creationId xmlns:a16="http://schemas.microsoft.com/office/drawing/2014/main" id="{FC6D1D7A-4DF7-343B-07EA-F26013D76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21" name="Picture 25">
          <a:extLst>
            <a:ext uri="{FF2B5EF4-FFF2-40B4-BE49-F238E27FC236}">
              <a16:creationId xmlns:a16="http://schemas.microsoft.com/office/drawing/2014/main" id="{14200954-619E-6CB9-1794-11C7F062C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22" name="Picture 27">
          <a:extLst>
            <a:ext uri="{FF2B5EF4-FFF2-40B4-BE49-F238E27FC236}">
              <a16:creationId xmlns:a16="http://schemas.microsoft.com/office/drawing/2014/main" id="{CA0C198D-EEBB-F737-7BD2-B35D90F0D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23" name="Picture 28">
          <a:extLst>
            <a:ext uri="{FF2B5EF4-FFF2-40B4-BE49-F238E27FC236}">
              <a16:creationId xmlns:a16="http://schemas.microsoft.com/office/drawing/2014/main" id="{63E39755-1050-714B-F6CE-A8B58AFF2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24" name="Picture 29">
          <a:extLst>
            <a:ext uri="{FF2B5EF4-FFF2-40B4-BE49-F238E27FC236}">
              <a16:creationId xmlns:a16="http://schemas.microsoft.com/office/drawing/2014/main" id="{879EC5C5-D2A0-9CA8-8462-D7069E22E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725" name="Picture 30">
          <a:extLst>
            <a:ext uri="{FF2B5EF4-FFF2-40B4-BE49-F238E27FC236}">
              <a16:creationId xmlns:a16="http://schemas.microsoft.com/office/drawing/2014/main" id="{AAB0770F-2C4A-3DA4-6815-631C46235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139700</xdr:colOff>
      <xdr:row>0</xdr:row>
      <xdr:rowOff>95250</xdr:rowOff>
    </xdr:from>
    <xdr:to>
      <xdr:col>0</xdr:col>
      <xdr:colOff>958850</xdr:colOff>
      <xdr:row>2</xdr:row>
      <xdr:rowOff>387350</xdr:rowOff>
    </xdr:to>
    <xdr:pic>
      <xdr:nvPicPr>
        <xdr:cNvPr id="1726" name="Picture 1" descr="LOGO FINAL">
          <a:extLst>
            <a:ext uri="{FF2B5EF4-FFF2-40B4-BE49-F238E27FC236}">
              <a16:creationId xmlns:a16="http://schemas.microsoft.com/office/drawing/2014/main" id="{97CAFB9F-1B1A-AABE-97AA-BEA252E52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9700" y="95250"/>
          <a:ext cx="81915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%20datos%20costos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</sheetNames>
    <sheetDataSet>
      <sheetData sheetId="0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  <row r="590">
          <cell r="A590" t="str">
            <v>1160001</v>
          </cell>
          <cell r="B590" t="str">
            <v>GOMA XANTAN (KILO)</v>
          </cell>
          <cell r="C590" t="str">
            <v>KILO</v>
          </cell>
          <cell r="E590">
            <v>3276</v>
          </cell>
          <cell r="F590" t="str">
            <v>Gramo</v>
          </cell>
          <cell r="G590">
            <v>3.2759999999999998</v>
          </cell>
        </row>
        <row r="591">
          <cell r="A591" t="str">
            <v>1212438</v>
          </cell>
          <cell r="B591" t="str">
            <v>ESTABILIZANTE FRUTAS (SACO:25 K) 97178</v>
          </cell>
          <cell r="C591" t="str">
            <v>SACO</v>
          </cell>
          <cell r="E591">
            <v>125818</v>
          </cell>
          <cell r="F591" t="str">
            <v>Gramo</v>
          </cell>
          <cell r="G591">
            <v>5.0327200000000003</v>
          </cell>
        </row>
        <row r="592">
          <cell r="A592" t="str">
            <v>10400007</v>
          </cell>
          <cell r="B592" t="str">
            <v>COLORANTE GEL ELECTRIC ORANGE (UND=130m)</v>
          </cell>
          <cell r="C592" t="str">
            <v>UND</v>
          </cell>
          <cell r="E592">
            <v>2400</v>
          </cell>
          <cell r="F592" t="str">
            <v>Gramo</v>
          </cell>
          <cell r="G592">
            <v>18.46153846153846</v>
          </cell>
        </row>
        <row r="593">
          <cell r="A593" t="str">
            <v>105000013</v>
          </cell>
          <cell r="B593" t="str">
            <v>PIMIENTA NEGRA MOLIDA ( PAQ: 5000 g )</v>
          </cell>
          <cell r="C593" t="str">
            <v>PAQ</v>
          </cell>
          <cell r="E593">
            <v>35170</v>
          </cell>
          <cell r="F593" t="str">
            <v>Gramo</v>
          </cell>
          <cell r="G593">
            <v>7.0339999999999998</v>
          </cell>
        </row>
      </sheetData>
      <sheetData sheetId="1">
        <row r="2">
          <cell r="A2" t="str">
            <v>10261</v>
          </cell>
          <cell r="B2" t="str">
            <v>BOLSAS TRANSP GRANDE (KILO)</v>
          </cell>
          <cell r="D2" t="str">
            <v>KILO</v>
          </cell>
          <cell r="F2">
            <v>1250</v>
          </cell>
          <cell r="G2" t="str">
            <v>UND</v>
          </cell>
          <cell r="H2">
            <v>83.333333333333329</v>
          </cell>
        </row>
        <row r="3">
          <cell r="A3" t="str">
            <v>56009</v>
          </cell>
          <cell r="B3" t="str">
            <v>CANDELAS MAGICAS (PAQ:24 UND)</v>
          </cell>
          <cell r="C3" t="str">
            <v>56009</v>
          </cell>
          <cell r="D3" t="str">
            <v>1 PAQUETE</v>
          </cell>
          <cell r="E3" t="str">
            <v>14/12/2019</v>
          </cell>
          <cell r="F3">
            <v>750</v>
          </cell>
        </row>
        <row r="4">
          <cell r="A4" t="str">
            <v>109254</v>
          </cell>
          <cell r="B4" t="str">
            <v>VASO 3.25 ONZ (PAQ*200)</v>
          </cell>
          <cell r="C4" t="str">
            <v>109254</v>
          </cell>
          <cell r="D4" t="str">
            <v>1 PAQUETE</v>
          </cell>
          <cell r="E4" t="str">
            <v>04/03/2020</v>
          </cell>
          <cell r="F4">
            <v>12.797000000000001</v>
          </cell>
        </row>
        <row r="5">
          <cell r="A5" t="str">
            <v>109254</v>
          </cell>
          <cell r="B5" t="str">
            <v>VASO 3.25 ONZ (PAQ*200)</v>
          </cell>
          <cell r="C5" t="str">
            <v>0162101</v>
          </cell>
          <cell r="D5" t="str">
            <v>1 PAQUETE</v>
          </cell>
          <cell r="E5" t="str">
            <v>05/03/2020</v>
          </cell>
          <cell r="F5">
            <v>12.797000000000001</v>
          </cell>
        </row>
        <row r="6">
          <cell r="A6" t="str">
            <v>109401</v>
          </cell>
          <cell r="B6" t="str">
            <v>CONTENED PAPEL BLANCO 8 ONZ (PAQ:50 UND)</v>
          </cell>
          <cell r="C6" t="str">
            <v>109401</v>
          </cell>
          <cell r="D6" t="str">
            <v>1 PAQUETE</v>
          </cell>
          <cell r="E6" t="str">
            <v>11/11/2019</v>
          </cell>
          <cell r="F6">
            <v>35.72</v>
          </cell>
        </row>
        <row r="7">
          <cell r="A7" t="str">
            <v>121208</v>
          </cell>
          <cell r="B7" t="str">
            <v>QUEQUERA PLAST 12 CENT (CAJA:250UND)</v>
          </cell>
          <cell r="C7" t="str">
            <v>121208</v>
          </cell>
          <cell r="D7" t="str">
            <v>1 CAJA</v>
          </cell>
          <cell r="E7" t="str">
            <v>05/03/2020</v>
          </cell>
          <cell r="F7">
            <v>16021</v>
          </cell>
          <cell r="G7" t="str">
            <v>UND</v>
          </cell>
          <cell r="H7">
            <v>64.084000000000003</v>
          </cell>
        </row>
        <row r="8">
          <cell r="A8" t="str">
            <v>121603</v>
          </cell>
          <cell r="B8" t="str">
            <v>QUEQUERA RED  BASE/DOMO 10 (CAJA:50)</v>
          </cell>
          <cell r="C8" t="str">
            <v>121603</v>
          </cell>
          <cell r="D8" t="str">
            <v>1 CAJA</v>
          </cell>
          <cell r="E8" t="str">
            <v>05/03/2020</v>
          </cell>
          <cell r="F8">
            <v>16386</v>
          </cell>
          <cell r="G8" t="str">
            <v>UND</v>
          </cell>
          <cell r="H8">
            <v>327.72</v>
          </cell>
        </row>
        <row r="9">
          <cell r="A9" t="str">
            <v>0702169</v>
          </cell>
          <cell r="B9" t="str">
            <v>CARTULINA KRAFT 2.5 X 31 -8 (UND)</v>
          </cell>
          <cell r="C9" t="str">
            <v>0702169</v>
          </cell>
          <cell r="D9" t="str">
            <v>1 UND</v>
          </cell>
          <cell r="E9" t="str">
            <v>21/02/2020</v>
          </cell>
          <cell r="F9">
            <v>15</v>
          </cell>
        </row>
        <row r="10">
          <cell r="A10" t="str">
            <v>703020</v>
          </cell>
          <cell r="B10" t="str">
            <v>CINTA ADHESIVA TRANSPARENTE 2*100 MTS</v>
          </cell>
          <cell r="C10" t="str">
            <v>0703020</v>
          </cell>
          <cell r="D10" t="str">
            <v>1 UND</v>
          </cell>
          <cell r="E10" t="str">
            <v>14/02/2020</v>
          </cell>
          <cell r="F10">
            <v>1450</v>
          </cell>
          <cell r="G10" t="str">
            <v>Centimetros</v>
          </cell>
          <cell r="H10">
            <v>0.14499999999999999</v>
          </cell>
        </row>
        <row r="11">
          <cell r="A11" t="str">
            <v>0703204</v>
          </cell>
          <cell r="B11" t="str">
            <v>TARJETA SPOONER PVC</v>
          </cell>
          <cell r="C11" t="str">
            <v>0703204</v>
          </cell>
          <cell r="D11" t="str">
            <v>1 UND</v>
          </cell>
          <cell r="E11" t="str">
            <v>24/01/2020</v>
          </cell>
          <cell r="F11">
            <v>72.249600000000001</v>
          </cell>
        </row>
        <row r="12">
          <cell r="A12" t="str">
            <v>703205</v>
          </cell>
          <cell r="B12" t="str">
            <v>BROCHURE P/TARJETAS SPOONERS</v>
          </cell>
          <cell r="C12" t="str">
            <v>703205</v>
          </cell>
          <cell r="D12" t="str">
            <v>1 UND</v>
          </cell>
          <cell r="E12" t="str">
            <v>21/01/2020</v>
          </cell>
          <cell r="F12">
            <v>44.05057</v>
          </cell>
        </row>
        <row r="13">
          <cell r="A13" t="str">
            <v>0906036</v>
          </cell>
          <cell r="B13" t="str">
            <v>PAPEL MANTEQUILLA (CAJA= 1000 UND)</v>
          </cell>
          <cell r="C13" t="str">
            <v>0906036</v>
          </cell>
          <cell r="D13" t="str">
            <v>1 CAJA</v>
          </cell>
          <cell r="E13" t="str">
            <v>03/03/2020</v>
          </cell>
          <cell r="F13">
            <v>32000</v>
          </cell>
          <cell r="G13" t="str">
            <v>UND</v>
          </cell>
          <cell r="H13">
            <v>32</v>
          </cell>
        </row>
        <row r="14">
          <cell r="A14" t="str">
            <v>1210415</v>
          </cell>
          <cell r="B14" t="str">
            <v>PABILO ROLLO</v>
          </cell>
          <cell r="C14" t="str">
            <v>1210415</v>
          </cell>
          <cell r="D14" t="str">
            <v>1 UND</v>
          </cell>
          <cell r="E14" t="str">
            <v>01/11/2019</v>
          </cell>
          <cell r="F14">
            <v>8990</v>
          </cell>
        </row>
        <row r="15">
          <cell r="A15" t="str">
            <v>1840640</v>
          </cell>
          <cell r="B15" t="str">
            <v>BOLSAS TRANSP EXTRAGRANDE 37x55 KILO</v>
          </cell>
          <cell r="C15" t="str">
            <v>1840640</v>
          </cell>
          <cell r="D15" t="str">
            <v>1 KILO</v>
          </cell>
          <cell r="E15" t="str">
            <v>02/03/2020</v>
          </cell>
          <cell r="F15">
            <v>1350</v>
          </cell>
          <cell r="G15" t="str">
            <v>UND</v>
          </cell>
          <cell r="H15">
            <v>90</v>
          </cell>
        </row>
        <row r="16">
          <cell r="A16" t="str">
            <v>1942315</v>
          </cell>
          <cell r="B16" t="str">
            <v>QUEQUERA 10" MEDIA (CAJA:66 UND)</v>
          </cell>
          <cell r="C16" t="str">
            <v>1942315</v>
          </cell>
          <cell r="D16" t="str">
            <v>1 CAJA</v>
          </cell>
          <cell r="E16" t="str">
            <v>05/03/2020</v>
          </cell>
          <cell r="F16">
            <v>20685.060000000001</v>
          </cell>
          <cell r="G16" t="str">
            <v>UND</v>
          </cell>
          <cell r="H16">
            <v>313.41000000000003</v>
          </cell>
        </row>
        <row r="17">
          <cell r="A17" t="str">
            <v>1950387</v>
          </cell>
          <cell r="B17" t="str">
            <v>CONO P/AGUA (CAJA:5000 UND)</v>
          </cell>
          <cell r="C17" t="str">
            <v>1950387</v>
          </cell>
          <cell r="D17" t="str">
            <v>1 UND</v>
          </cell>
          <cell r="E17" t="str">
            <v>14/02/2020</v>
          </cell>
          <cell r="F17">
            <v>5.68</v>
          </cell>
        </row>
        <row r="18">
          <cell r="A18" t="str">
            <v>1950409</v>
          </cell>
          <cell r="B18" t="str">
            <v>TAPA P/FONDO CAJA BLANCA UND</v>
          </cell>
          <cell r="C18" t="str">
            <v>1950409</v>
          </cell>
          <cell r="D18" t="str">
            <v>1 UND</v>
          </cell>
          <cell r="E18" t="str">
            <v>21/02/2020</v>
          </cell>
          <cell r="F18">
            <v>53</v>
          </cell>
          <cell r="G18" t="str">
            <v>UND</v>
          </cell>
          <cell r="H18">
            <v>53</v>
          </cell>
        </row>
        <row r="19">
          <cell r="A19" t="str">
            <v>1950413</v>
          </cell>
          <cell r="B19" t="str">
            <v>BANDA PVC 300x50 (UND)</v>
          </cell>
          <cell r="C19" t="str">
            <v>1950413</v>
          </cell>
          <cell r="D19" t="str">
            <v>1 UND</v>
          </cell>
          <cell r="E19" t="str">
            <v>27/11/2019</v>
          </cell>
          <cell r="F19">
            <v>32.85</v>
          </cell>
        </row>
        <row r="20">
          <cell r="A20" t="str">
            <v>1950414</v>
          </cell>
          <cell r="B20" t="str">
            <v>BANDA PVC 228x50 (UND)</v>
          </cell>
          <cell r="C20" t="str">
            <v>1950414</v>
          </cell>
          <cell r="D20" t="str">
            <v>1 UND</v>
          </cell>
          <cell r="E20" t="str">
            <v>27/11/2019</v>
          </cell>
          <cell r="F20">
            <v>23.62</v>
          </cell>
        </row>
        <row r="21">
          <cell r="A21" t="str">
            <v>1950672</v>
          </cell>
          <cell r="B21" t="str">
            <v>CONT.48 ON TRAN.TAPA PLANA (CAJA:200UND)</v>
          </cell>
          <cell r="C21" t="str">
            <v>1950672</v>
          </cell>
          <cell r="D21" t="str">
            <v>1 CAJA</v>
          </cell>
          <cell r="E21" t="str">
            <v>22/02/2020</v>
          </cell>
          <cell r="F21">
            <v>47140</v>
          </cell>
          <cell r="G21" t="str">
            <v>UND</v>
          </cell>
          <cell r="H21">
            <v>235.7</v>
          </cell>
        </row>
        <row r="22">
          <cell r="A22" t="str">
            <v>1950682</v>
          </cell>
          <cell r="B22" t="str">
            <v>CONTEN LBH 692 PRALINE (CAJA:200 UND)</v>
          </cell>
          <cell r="C22" t="str">
            <v>1950682</v>
          </cell>
          <cell r="D22" t="str">
            <v xml:space="preserve">1 CAJA </v>
          </cell>
          <cell r="E22" t="str">
            <v>05/03/2020</v>
          </cell>
          <cell r="F22">
            <v>40795</v>
          </cell>
          <cell r="G22" t="str">
            <v>UND</v>
          </cell>
          <cell r="H22">
            <v>203.97499999999999</v>
          </cell>
        </row>
        <row r="23">
          <cell r="A23" t="str">
            <v>1950692</v>
          </cell>
          <cell r="B23" t="str">
            <v>ORLA CARTON 10" DORADA UND</v>
          </cell>
          <cell r="C23" t="str">
            <v>1950692</v>
          </cell>
          <cell r="D23" t="str">
            <v>1 UND</v>
          </cell>
          <cell r="E23" t="str">
            <v>02/03/2020</v>
          </cell>
          <cell r="F23">
            <v>111</v>
          </cell>
          <cell r="G23" t="str">
            <v>UND</v>
          </cell>
          <cell r="H23">
            <v>111</v>
          </cell>
        </row>
        <row r="24">
          <cell r="A24" t="str">
            <v>1950693</v>
          </cell>
          <cell r="B24" t="str">
            <v>ORLA #9  DORADA UND</v>
          </cell>
          <cell r="C24" t="str">
            <v>1950693</v>
          </cell>
          <cell r="D24" t="str">
            <v>1 UND</v>
          </cell>
          <cell r="E24" t="str">
            <v>21/02/2020</v>
          </cell>
          <cell r="F24">
            <v>105</v>
          </cell>
          <cell r="G24" t="str">
            <v>UND</v>
          </cell>
          <cell r="H24">
            <v>105</v>
          </cell>
        </row>
        <row r="25">
          <cell r="A25" t="str">
            <v>1950699</v>
          </cell>
          <cell r="B25" t="str">
            <v>BASE PARA ROSQUETE UND</v>
          </cell>
          <cell r="C25" t="str">
            <v>1950699</v>
          </cell>
          <cell r="D25" t="str">
            <v>1 UND</v>
          </cell>
          <cell r="E25" t="str">
            <v>05/03/2020</v>
          </cell>
          <cell r="F25">
            <v>125</v>
          </cell>
          <cell r="G25" t="str">
            <v>UND</v>
          </cell>
          <cell r="H25">
            <v>125</v>
          </cell>
        </row>
        <row r="26">
          <cell r="A26" t="str">
            <v>1950702</v>
          </cell>
          <cell r="B26" t="str">
            <v>BOLSA 12x18 TRANSP KILO</v>
          </cell>
          <cell r="C26" t="str">
            <v>1950702</v>
          </cell>
          <cell r="D26" t="str">
            <v xml:space="preserve">1 KILO </v>
          </cell>
          <cell r="E26" t="str">
            <v>02/03/2020</v>
          </cell>
          <cell r="F26">
            <v>1400</v>
          </cell>
          <cell r="G26" t="str">
            <v>UND</v>
          </cell>
          <cell r="H26">
            <v>11.2</v>
          </cell>
        </row>
        <row r="27">
          <cell r="A27" t="str">
            <v>1950703</v>
          </cell>
          <cell r="B27" t="str">
            <v>BOLSA IMP. SPOON CAMI 8*16 KILO</v>
          </cell>
          <cell r="C27" t="str">
            <v>1950703</v>
          </cell>
          <cell r="D27" t="str">
            <v>1 KILO</v>
          </cell>
          <cell r="E27" t="str">
            <v>14/02/2020</v>
          </cell>
          <cell r="F27">
            <v>1400</v>
          </cell>
        </row>
        <row r="28">
          <cell r="A28" t="str">
            <v>1950704</v>
          </cell>
          <cell r="B28" t="str">
            <v>BOLSA 5x8 TRANSPARENTE KILO</v>
          </cell>
          <cell r="C28" t="str">
            <v>1950704</v>
          </cell>
          <cell r="D28" t="str">
            <v xml:space="preserve">1 KILO </v>
          </cell>
          <cell r="E28" t="str">
            <v>04/03/2020</v>
          </cell>
          <cell r="F28">
            <v>1400</v>
          </cell>
          <cell r="G28" t="str">
            <v>UND</v>
          </cell>
          <cell r="H28">
            <v>2.8</v>
          </cell>
        </row>
        <row r="29">
          <cell r="A29" t="str">
            <v>1950705</v>
          </cell>
          <cell r="B29" t="str">
            <v>BOLSA 8x12 TRANSPARENTE KILO</v>
          </cell>
          <cell r="C29" t="str">
            <v>1950705</v>
          </cell>
          <cell r="D29" t="str">
            <v xml:space="preserve">1 KILO  </v>
          </cell>
          <cell r="E29" t="str">
            <v>02/03/2020</v>
          </cell>
          <cell r="F29">
            <v>1400</v>
          </cell>
          <cell r="G29" t="str">
            <v>UND</v>
          </cell>
          <cell r="H29">
            <v>7</v>
          </cell>
        </row>
        <row r="30">
          <cell r="A30" t="str">
            <v>1950708</v>
          </cell>
          <cell r="B30" t="str">
            <v>BOLSA 17x25 TRANSP KILO</v>
          </cell>
          <cell r="C30" t="str">
            <v>1950708</v>
          </cell>
          <cell r="D30" t="str">
            <v>1 KILO</v>
          </cell>
          <cell r="E30" t="str">
            <v>21/02/2020</v>
          </cell>
          <cell r="F30">
            <v>1400</v>
          </cell>
          <cell r="G30" t="str">
            <v>UND</v>
          </cell>
          <cell r="H30">
            <v>33.333333333333336</v>
          </cell>
        </row>
        <row r="31">
          <cell r="A31" t="str">
            <v>1950715</v>
          </cell>
          <cell r="B31" t="str">
            <v>CAPSULA # 2 BLANCA (UND)</v>
          </cell>
          <cell r="C31" t="str">
            <v>1950715</v>
          </cell>
          <cell r="D31" t="str">
            <v>1 UND</v>
          </cell>
          <cell r="E31" t="str">
            <v>30/11/2019</v>
          </cell>
          <cell r="F31">
            <v>2.7397999999999998</v>
          </cell>
        </row>
        <row r="32">
          <cell r="A32" t="str">
            <v>1950716</v>
          </cell>
          <cell r="B32" t="str">
            <v>BANDEJA  94121 24 OZ (CAJA:200 UND)</v>
          </cell>
          <cell r="C32" t="str">
            <v>1950716</v>
          </cell>
          <cell r="D32" t="str">
            <v>1 CAJA</v>
          </cell>
          <cell r="E32" t="str">
            <v>04/03/2020</v>
          </cell>
          <cell r="F32">
            <v>21981</v>
          </cell>
          <cell r="G32" t="str">
            <v>UND</v>
          </cell>
          <cell r="H32">
            <v>109.905</v>
          </cell>
        </row>
        <row r="33">
          <cell r="A33" t="str">
            <v>1950725</v>
          </cell>
          <cell r="B33" t="str">
            <v>CAJA TROQUELADA # 25 (UND)</v>
          </cell>
          <cell r="C33" t="str">
            <v>1950725</v>
          </cell>
          <cell r="D33" t="str">
            <v>1 UND</v>
          </cell>
          <cell r="E33" t="str">
            <v>26/12/2019</v>
          </cell>
          <cell r="F33">
            <v>3.1474000000000002</v>
          </cell>
        </row>
        <row r="34">
          <cell r="A34" t="str">
            <v>1950729</v>
          </cell>
          <cell r="B34" t="str">
            <v>CAJA BLANCA MEDIANA UND</v>
          </cell>
          <cell r="C34" t="str">
            <v>1950729</v>
          </cell>
          <cell r="D34" t="str">
            <v>1 UND</v>
          </cell>
          <cell r="E34" t="str">
            <v>03/03/2020</v>
          </cell>
          <cell r="F34">
            <v>40</v>
          </cell>
          <cell r="G34" t="str">
            <v>UND</v>
          </cell>
          <cell r="H34">
            <v>40</v>
          </cell>
        </row>
        <row r="35">
          <cell r="A35" t="str">
            <v>1950730</v>
          </cell>
          <cell r="B35" t="str">
            <v>CAJA BLANCA PEQUEÑA UND</v>
          </cell>
          <cell r="C35" t="str">
            <v>1950730</v>
          </cell>
          <cell r="D35" t="str">
            <v>1 UND</v>
          </cell>
          <cell r="E35" t="str">
            <v>03/03/2020</v>
          </cell>
          <cell r="F35">
            <v>24.5</v>
          </cell>
          <cell r="G35" t="str">
            <v>UND</v>
          </cell>
          <cell r="H35">
            <v>24.5</v>
          </cell>
        </row>
        <row r="36">
          <cell r="A36" t="str">
            <v>1950731</v>
          </cell>
          <cell r="B36" t="str">
            <v>CAPSULA # 3 LOGO UND</v>
          </cell>
          <cell r="C36" t="str">
            <v>1950731</v>
          </cell>
          <cell r="D36" t="str">
            <v>1 UND</v>
          </cell>
          <cell r="E36" t="str">
            <v>25/02/2020</v>
          </cell>
          <cell r="F36">
            <v>7.52</v>
          </cell>
          <cell r="G36" t="str">
            <v>UND</v>
          </cell>
          <cell r="H36">
            <v>7.52</v>
          </cell>
        </row>
        <row r="37">
          <cell r="A37" t="str">
            <v>1950732</v>
          </cell>
          <cell r="B37" t="str">
            <v>CAPSULA # 3 BLANCA (UND)</v>
          </cell>
          <cell r="C37" t="str">
            <v>1950732</v>
          </cell>
          <cell r="D37" t="str">
            <v>1 UND</v>
          </cell>
          <cell r="E37" t="str">
            <v>16/12/2019</v>
          </cell>
          <cell r="F37">
            <v>3.3578000000000001</v>
          </cell>
          <cell r="G37" t="str">
            <v>UND</v>
          </cell>
          <cell r="H37">
            <v>3.3578000000000001</v>
          </cell>
        </row>
        <row r="38">
          <cell r="A38" t="str">
            <v>1950733</v>
          </cell>
          <cell r="B38" t="str">
            <v>CAPSULA # 10 BLANCA (UND)</v>
          </cell>
          <cell r="C38" t="str">
            <v>1950733</v>
          </cell>
          <cell r="D38" t="str">
            <v>1 UND</v>
          </cell>
          <cell r="E38" t="str">
            <v>15/02/2020</v>
          </cell>
          <cell r="F38">
            <v>5.9534000000000002</v>
          </cell>
        </row>
        <row r="39">
          <cell r="A39" t="str">
            <v>1950735</v>
          </cell>
          <cell r="B39" t="str">
            <v>CAPSULA # 5 LOGO UND</v>
          </cell>
          <cell r="C39" t="str">
            <v>1950735</v>
          </cell>
          <cell r="D39" t="str">
            <v>1 UND</v>
          </cell>
          <cell r="E39" t="str">
            <v>02/03/2020</v>
          </cell>
          <cell r="F39">
            <v>9.35</v>
          </cell>
          <cell r="G39" t="str">
            <v>UND</v>
          </cell>
          <cell r="H39">
            <v>9.35</v>
          </cell>
        </row>
        <row r="40">
          <cell r="A40" t="str">
            <v>1950741</v>
          </cell>
          <cell r="B40" t="str">
            <v>VASO 3.25 OZ (PAQ*200 UND)</v>
          </cell>
          <cell r="C40" t="str">
            <v>1950741</v>
          </cell>
          <cell r="D40" t="str">
            <v>1 PAQUETE</v>
          </cell>
          <cell r="E40" t="str">
            <v>25/11/2019</v>
          </cell>
          <cell r="F40">
            <v>2053</v>
          </cell>
        </row>
        <row r="41">
          <cell r="A41" t="str">
            <v>1950752</v>
          </cell>
          <cell r="B41" t="str">
            <v>CAJA MINI BLANCA (100xPaq)</v>
          </cell>
          <cell r="C41" t="str">
            <v>1950752</v>
          </cell>
          <cell r="D41" t="str">
            <v>1 UND</v>
          </cell>
          <cell r="E41" t="str">
            <v>29/11/2019</v>
          </cell>
          <cell r="F41">
            <v>19.606999999999999</v>
          </cell>
          <cell r="G41" t="str">
            <v>UND</v>
          </cell>
          <cell r="H41">
            <v>19.606999999999999</v>
          </cell>
        </row>
        <row r="42">
          <cell r="A42" t="str">
            <v>1950752</v>
          </cell>
          <cell r="B42" t="str">
            <v>CAJA BLANCA MINI UND</v>
          </cell>
          <cell r="C42" t="str">
            <v>1959752</v>
          </cell>
          <cell r="D42" t="str">
            <v>1 UND</v>
          </cell>
          <cell r="E42" t="str">
            <v>21/02/2020</v>
          </cell>
          <cell r="F42">
            <v>21</v>
          </cell>
        </row>
        <row r="43">
          <cell r="A43" t="str">
            <v>1950756</v>
          </cell>
          <cell r="B43" t="str">
            <v>BANDEJA ALUM DESE #4040 6 POR (UND)</v>
          </cell>
          <cell r="C43" t="str">
            <v>1950756</v>
          </cell>
          <cell r="D43" t="str">
            <v>1 UND</v>
          </cell>
          <cell r="E43" t="str">
            <v>05/03/2020</v>
          </cell>
          <cell r="F43">
            <v>199.696</v>
          </cell>
          <cell r="G43" t="str">
            <v>UND</v>
          </cell>
          <cell r="H43">
            <v>199.696</v>
          </cell>
        </row>
        <row r="44">
          <cell r="A44" t="str">
            <v>1950765</v>
          </cell>
          <cell r="B44" t="str">
            <v>PLASTICO  AUTOAD (UND: 18 * 2000 M)</v>
          </cell>
          <cell r="C44" t="str">
            <v>1950765</v>
          </cell>
          <cell r="D44" t="str">
            <v>1 UND</v>
          </cell>
          <cell r="E44" t="str">
            <v>03/03/2020</v>
          </cell>
          <cell r="F44">
            <v>9813</v>
          </cell>
          <cell r="G44" t="str">
            <v>Cm</v>
          </cell>
          <cell r="H44">
            <v>0.49064999999999998</v>
          </cell>
        </row>
        <row r="45">
          <cell r="A45" t="str">
            <v>1950767</v>
          </cell>
          <cell r="B45" t="str">
            <v>PAPEL ALUMINIO 12 * 1000 (CAJA)</v>
          </cell>
          <cell r="C45" t="str">
            <v>1950767</v>
          </cell>
          <cell r="D45" t="str">
            <v>1 CAJA</v>
          </cell>
          <cell r="E45" t="str">
            <v>16/01/2020</v>
          </cell>
          <cell r="F45">
            <v>14758</v>
          </cell>
        </row>
        <row r="46">
          <cell r="A46" t="str">
            <v>1950771</v>
          </cell>
          <cell r="B46" t="str">
            <v>PAPEL ENCERADO 10X10 (CAJA)</v>
          </cell>
          <cell r="C46" t="str">
            <v>1950771</v>
          </cell>
          <cell r="D46" t="str">
            <v>1 CAJA</v>
          </cell>
          <cell r="E46" t="str">
            <v>27/02/2020</v>
          </cell>
          <cell r="F46">
            <v>2774</v>
          </cell>
          <cell r="G46" t="str">
            <v>Und</v>
          </cell>
          <cell r="H46">
            <v>5.0436363636363639</v>
          </cell>
        </row>
        <row r="47">
          <cell r="A47" t="str">
            <v>1950772</v>
          </cell>
          <cell r="B47" t="str">
            <v>PAPEL ENCERADO 12 X 10 (CAJA:500 UND)</v>
          </cell>
          <cell r="C47" t="str">
            <v>1950772</v>
          </cell>
          <cell r="D47" t="str">
            <v>1 CAJA</v>
          </cell>
          <cell r="E47" t="str">
            <v>22/02/2020</v>
          </cell>
          <cell r="F47">
            <v>3497</v>
          </cell>
          <cell r="G47" t="str">
            <v>UND</v>
          </cell>
          <cell r="H47">
            <v>6.9939999999999998</v>
          </cell>
        </row>
        <row r="48">
          <cell r="A48" t="str">
            <v>1950786</v>
          </cell>
          <cell r="B48" t="str">
            <v>BOLSA IMP. SPOON CAMI 12*25 KILO</v>
          </cell>
          <cell r="C48" t="str">
            <v>1950786</v>
          </cell>
          <cell r="D48" t="str">
            <v>1 KILO</v>
          </cell>
          <cell r="E48" t="str">
            <v>02/03/2020</v>
          </cell>
          <cell r="F48">
            <v>1850</v>
          </cell>
        </row>
        <row r="49">
          <cell r="A49" t="str">
            <v>1950797</v>
          </cell>
          <cell r="B49" t="str">
            <v>VASO PLAST. TRASL 16OZ (PAQ:50 UND)</v>
          </cell>
          <cell r="C49" t="str">
            <v>1950797</v>
          </cell>
          <cell r="D49" t="str">
            <v>1 PAQUETE</v>
          </cell>
          <cell r="E49" t="str">
            <v>22/02/2020</v>
          </cell>
          <cell r="F49">
            <v>4024</v>
          </cell>
        </row>
        <row r="50">
          <cell r="A50" t="str">
            <v>1950808</v>
          </cell>
          <cell r="B50" t="str">
            <v>ORLA CARTON  8" DORADA (UND )</v>
          </cell>
          <cell r="C50" t="str">
            <v>1950808</v>
          </cell>
          <cell r="D50" t="str">
            <v>1 UND</v>
          </cell>
          <cell r="E50" t="str">
            <v>02/03/2020</v>
          </cell>
          <cell r="F50">
            <v>77</v>
          </cell>
          <cell r="G50" t="str">
            <v>UND</v>
          </cell>
          <cell r="H50">
            <v>77</v>
          </cell>
        </row>
        <row r="51">
          <cell r="A51" t="str">
            <v>1950811</v>
          </cell>
          <cell r="B51" t="str">
            <v>BASE CARTON 15 PORCIONES UND</v>
          </cell>
          <cell r="C51" t="str">
            <v>1950811</v>
          </cell>
          <cell r="D51" t="str">
            <v>1 UND</v>
          </cell>
          <cell r="E51" t="str">
            <v>02/03/2020</v>
          </cell>
          <cell r="F51">
            <v>165</v>
          </cell>
        </row>
        <row r="52">
          <cell r="A52" t="str">
            <v>1950818</v>
          </cell>
          <cell r="B52" t="str">
            <v>QUEQUERA RECT. T41 (CAJA:50 UND)</v>
          </cell>
          <cell r="C52" t="str">
            <v>1950818</v>
          </cell>
          <cell r="D52" t="str">
            <v>1 CAJA</v>
          </cell>
          <cell r="E52" t="str">
            <v>03/03/2020</v>
          </cell>
          <cell r="F52">
            <v>39213</v>
          </cell>
        </row>
        <row r="53">
          <cell r="A53" t="str">
            <v>1950829</v>
          </cell>
          <cell r="B53" t="str">
            <v>BASE CARTON 30 PORCIONES UND</v>
          </cell>
          <cell r="C53" t="str">
            <v>1950829</v>
          </cell>
          <cell r="D53" t="str">
            <v>1 UND</v>
          </cell>
          <cell r="E53" t="str">
            <v>02/03/2020</v>
          </cell>
          <cell r="F53">
            <v>212</v>
          </cell>
        </row>
        <row r="54">
          <cell r="A54" t="str">
            <v>1950837</v>
          </cell>
          <cell r="B54" t="str">
            <v>FONDO P/CAJA BLANCA ( UND)</v>
          </cell>
          <cell r="C54" t="str">
            <v>1950837</v>
          </cell>
          <cell r="D54" t="str">
            <v>1 UND</v>
          </cell>
          <cell r="E54" t="str">
            <v>21/02/2020</v>
          </cell>
          <cell r="F54">
            <v>53</v>
          </cell>
          <cell r="G54" t="str">
            <v>UND</v>
          </cell>
          <cell r="H54">
            <v>53</v>
          </cell>
        </row>
        <row r="55">
          <cell r="A55" t="str">
            <v>1950853</v>
          </cell>
          <cell r="B55" t="str">
            <v>VASO 9oz SUNDA TS9 PAQ:50(CAJA:1000 UND)</v>
          </cell>
          <cell r="C55" t="str">
            <v>1950853</v>
          </cell>
          <cell r="D55" t="str">
            <v>1 CAJA</v>
          </cell>
          <cell r="E55" t="str">
            <v>26/02/2020</v>
          </cell>
          <cell r="F55">
            <v>41500</v>
          </cell>
        </row>
        <row r="56">
          <cell r="A56" t="str">
            <v>1950854</v>
          </cell>
          <cell r="B56" t="str">
            <v>TAPA VASO 9oz P/SUN PAQ:50 (CAJA:2000UN)</v>
          </cell>
          <cell r="C56" t="str">
            <v>1950854</v>
          </cell>
          <cell r="D56" t="str">
            <v>1 CAJA</v>
          </cell>
          <cell r="E56" t="str">
            <v>26/02/2020</v>
          </cell>
          <cell r="F56">
            <v>39500</v>
          </cell>
        </row>
        <row r="57">
          <cell r="A57" t="str">
            <v>1950865</v>
          </cell>
          <cell r="B57" t="str">
            <v>QUEQUERA 8 ALTA (CAJA:70 UND)</v>
          </cell>
          <cell r="C57" t="str">
            <v>1950865</v>
          </cell>
          <cell r="D57" t="str">
            <v>1 CAJA</v>
          </cell>
          <cell r="E57" t="str">
            <v>05/03/2020</v>
          </cell>
          <cell r="F57">
            <v>16752.04</v>
          </cell>
          <cell r="G57" t="str">
            <v>UND</v>
          </cell>
          <cell r="H57">
            <v>239.31485714285716</v>
          </cell>
        </row>
        <row r="58">
          <cell r="A58" t="str">
            <v>1950873</v>
          </cell>
          <cell r="B58" t="str">
            <v>BOLSA CELOFAN 30X45 (KILO)</v>
          </cell>
          <cell r="C58" t="str">
            <v>1950873</v>
          </cell>
          <cell r="D58" t="str">
            <v>1 KILO</v>
          </cell>
          <cell r="E58" t="str">
            <v>15/01/2020</v>
          </cell>
          <cell r="F58">
            <v>4254.79</v>
          </cell>
        </row>
        <row r="59">
          <cell r="A59" t="str">
            <v>1950879</v>
          </cell>
          <cell r="B59" t="str">
            <v>BANDEJA PLAST 3 DIV (CAJA:250 UND)</v>
          </cell>
          <cell r="C59" t="str">
            <v>1950879</v>
          </cell>
          <cell r="D59" t="str">
            <v>1 UND</v>
          </cell>
          <cell r="E59" t="str">
            <v>15/02/2020</v>
          </cell>
          <cell r="F59">
            <v>114.648</v>
          </cell>
        </row>
        <row r="60">
          <cell r="A60" t="str">
            <v>1950880</v>
          </cell>
          <cell r="B60" t="str">
            <v>TAPA BANDEJA PLAST 3 DIV (CAJA:250 UND)</v>
          </cell>
          <cell r="C60" t="str">
            <v>1950880</v>
          </cell>
          <cell r="D60" t="str">
            <v>1 UND</v>
          </cell>
          <cell r="E60" t="str">
            <v>15/02/2020</v>
          </cell>
          <cell r="F60">
            <v>87.215999999999994</v>
          </cell>
        </row>
        <row r="61">
          <cell r="A61" t="str">
            <v>1950886</v>
          </cell>
          <cell r="B61" t="str">
            <v>PLATO 10 COMPOSTABLE CAJA:500 (UND)</v>
          </cell>
          <cell r="C61" t="str">
            <v>1950886</v>
          </cell>
          <cell r="D61" t="str">
            <v>1 UND</v>
          </cell>
          <cell r="E61" t="str">
            <v>12/11/2019</v>
          </cell>
          <cell r="F61">
            <v>82.49</v>
          </cell>
        </row>
        <row r="62">
          <cell r="A62" t="str">
            <v>1950887</v>
          </cell>
          <cell r="B62" t="str">
            <v>PLATO 9 COMPOSTABLE CAJA:500 (UND)</v>
          </cell>
          <cell r="C62" t="str">
            <v>1950887</v>
          </cell>
          <cell r="D62" t="str">
            <v>1 UND</v>
          </cell>
          <cell r="E62" t="str">
            <v>25/02/2020</v>
          </cell>
          <cell r="F62">
            <v>61</v>
          </cell>
        </row>
        <row r="63">
          <cell r="A63" t="str">
            <v>1950888</v>
          </cell>
          <cell r="B63" t="str">
            <v>PLATO  6 COMPOSTABLE (CAJA:1000 UND)</v>
          </cell>
          <cell r="C63" t="str">
            <v>1950888</v>
          </cell>
          <cell r="D63" t="str">
            <v>1 UND</v>
          </cell>
          <cell r="E63" t="str">
            <v>25/02/2020</v>
          </cell>
          <cell r="F63">
            <v>29.945</v>
          </cell>
        </row>
        <row r="64">
          <cell r="A64" t="str">
            <v>1950895</v>
          </cell>
          <cell r="B64" t="str">
            <v>BOLSA CELOFAN 6 X 9 (KILO)</v>
          </cell>
          <cell r="C64" t="str">
            <v>1950895</v>
          </cell>
          <cell r="D64" t="str">
            <v>1 KILO</v>
          </cell>
          <cell r="E64" t="str">
            <v>27/02/2020</v>
          </cell>
          <cell r="F64">
            <v>4227.38</v>
          </cell>
        </row>
        <row r="65">
          <cell r="A65" t="str">
            <v>1950896</v>
          </cell>
          <cell r="B65" t="str">
            <v>BANDEJA 17-1 NEGRA (PAQ:500 UND)</v>
          </cell>
          <cell r="C65" t="str">
            <v>1950896</v>
          </cell>
          <cell r="D65" t="str">
            <v>1 PAQUETE</v>
          </cell>
          <cell r="E65" t="str">
            <v>27/01/2020</v>
          </cell>
          <cell r="F65">
            <v>15040</v>
          </cell>
        </row>
        <row r="66">
          <cell r="A66" t="str">
            <v>1950904</v>
          </cell>
          <cell r="B66" t="str">
            <v>BOLSA TRANSPARENTE  6 X 10 KILO</v>
          </cell>
          <cell r="C66" t="str">
            <v>1950904</v>
          </cell>
          <cell r="D66" t="str">
            <v>1 KILO</v>
          </cell>
          <cell r="E66" t="str">
            <v>02/03/2020</v>
          </cell>
          <cell r="F66">
            <v>1400</v>
          </cell>
          <cell r="G66" t="str">
            <v>UND</v>
          </cell>
          <cell r="H66">
            <v>4.1916167664670656</v>
          </cell>
        </row>
        <row r="67">
          <cell r="A67" t="str">
            <v>1950909</v>
          </cell>
          <cell r="B67" t="str">
            <v>CONT.24 ONZ.TAPA PLANA (PAQ:100 UND)</v>
          </cell>
          <cell r="C67" t="str">
            <v>1950909</v>
          </cell>
          <cell r="D67" t="str">
            <v>1 CAJA</v>
          </cell>
          <cell r="E67" t="str">
            <v>31/01/2020</v>
          </cell>
          <cell r="F67">
            <v>40470</v>
          </cell>
          <cell r="G67" t="str">
            <v>UND</v>
          </cell>
          <cell r="H67">
            <v>202.35</v>
          </cell>
        </row>
        <row r="68">
          <cell r="A68" t="str">
            <v>1950914</v>
          </cell>
          <cell r="B68" t="str">
            <v>PORTA VASO 4 CAVIDADES (UND)</v>
          </cell>
          <cell r="C68" t="str">
            <v>1950914</v>
          </cell>
          <cell r="D68" t="str">
            <v>1 UND</v>
          </cell>
          <cell r="E68" t="str">
            <v>03/03/2020</v>
          </cell>
          <cell r="F68">
            <v>61.946666666666701</v>
          </cell>
        </row>
        <row r="69">
          <cell r="A69" t="str">
            <v>1950921</v>
          </cell>
          <cell r="B69" t="str">
            <v>TAPA SUFLE PLAS 5/.75/1 OZ (PAQ:100 UND)</v>
          </cell>
          <cell r="C69" t="str">
            <v>1950921</v>
          </cell>
          <cell r="D69" t="str">
            <v>1 PAQUETE</v>
          </cell>
          <cell r="E69" t="str">
            <v>04/03/2020</v>
          </cell>
          <cell r="F69">
            <v>537.08000000000004</v>
          </cell>
          <cell r="G69" t="str">
            <v>UND</v>
          </cell>
          <cell r="H69">
            <v>5.3708</v>
          </cell>
        </row>
        <row r="70">
          <cell r="A70" t="str">
            <v>1950928</v>
          </cell>
          <cell r="B70" t="str">
            <v>BOLSA TRANSPARENTE 56X96X1.80 KILO</v>
          </cell>
          <cell r="C70" t="str">
            <v>1950928</v>
          </cell>
          <cell r="D70" t="str">
            <v>1 KILO</v>
          </cell>
          <cell r="E70" t="str">
            <v>21/02/2020</v>
          </cell>
          <cell r="F70">
            <v>1400</v>
          </cell>
          <cell r="G70" t="str">
            <v>UND</v>
          </cell>
          <cell r="H70">
            <v>50</v>
          </cell>
        </row>
        <row r="71">
          <cell r="A71" t="str">
            <v>1950942</v>
          </cell>
          <cell r="B71" t="str">
            <v>ORLA #4 AZUL REDONDA (UND)</v>
          </cell>
          <cell r="C71" t="str">
            <v>1950942</v>
          </cell>
          <cell r="D71" t="str">
            <v>1 UND</v>
          </cell>
          <cell r="E71" t="str">
            <v>02/03/2020</v>
          </cell>
          <cell r="F71">
            <v>33</v>
          </cell>
          <cell r="G71" t="str">
            <v>UND</v>
          </cell>
          <cell r="H71">
            <v>33</v>
          </cell>
        </row>
        <row r="72">
          <cell r="A72" t="str">
            <v>1950958</v>
          </cell>
          <cell r="B72" t="str">
            <v>ORLA #2 P/LATA NAVIDEÑA (UND)</v>
          </cell>
          <cell r="C72" t="str">
            <v>1950958</v>
          </cell>
          <cell r="D72" t="str">
            <v>1 UND</v>
          </cell>
          <cell r="E72" t="str">
            <v>09/01/2020</v>
          </cell>
          <cell r="F72">
            <v>115</v>
          </cell>
        </row>
        <row r="73">
          <cell r="A73" t="str">
            <v>1950959</v>
          </cell>
          <cell r="B73" t="str">
            <v>TAPA PLASTI SUFLE 3.25 onz (PAQ:120 UND)</v>
          </cell>
          <cell r="C73" t="str">
            <v>1950959</v>
          </cell>
          <cell r="D73" t="str">
            <v>1 PAQUETE</v>
          </cell>
          <cell r="E73" t="str">
            <v>13/02/2020</v>
          </cell>
          <cell r="F73">
            <v>1126.8</v>
          </cell>
        </row>
        <row r="74">
          <cell r="A74" t="str">
            <v>1952393</v>
          </cell>
          <cell r="B74" t="str">
            <v>BOLSA AL VACIO 8*10 ( 100 * PAQ )</v>
          </cell>
          <cell r="C74" t="str">
            <v>1952393</v>
          </cell>
          <cell r="D74" t="str">
            <v>1 UND</v>
          </cell>
          <cell r="E74" t="str">
            <v>08/11/2019</v>
          </cell>
          <cell r="F74">
            <v>30</v>
          </cell>
        </row>
        <row r="75">
          <cell r="A75" t="str">
            <v>1952400</v>
          </cell>
          <cell r="B75" t="str">
            <v>BOLSA BUCCA PALMERITAS (10*20CM)( KILO )</v>
          </cell>
          <cell r="C75" t="str">
            <v>1952400</v>
          </cell>
          <cell r="D75" t="str">
            <v>1 KILO</v>
          </cell>
          <cell r="E75" t="str">
            <v>01/02/2020</v>
          </cell>
          <cell r="F75">
            <v>3916.8</v>
          </cell>
        </row>
        <row r="76">
          <cell r="A76" t="str">
            <v>1952409</v>
          </cell>
          <cell r="B76" t="str">
            <v>BANDEJA ALUMINIO A-42 (4POR)(CAJA:500 U)</v>
          </cell>
          <cell r="C76" t="str">
            <v>1952409</v>
          </cell>
          <cell r="D76" t="str">
            <v>1 UND</v>
          </cell>
          <cell r="E76" t="str">
            <v>03/02/2020</v>
          </cell>
          <cell r="F76">
            <v>83</v>
          </cell>
          <cell r="G76" t="str">
            <v>UND</v>
          </cell>
          <cell r="H76">
            <v>83</v>
          </cell>
        </row>
        <row r="77">
          <cell r="A77" t="str">
            <v>1952410</v>
          </cell>
          <cell r="B77" t="str">
            <v>TAPA CONTE.ALUMI A-42 (4 POR) (CAJA:500)</v>
          </cell>
          <cell r="C77" t="str">
            <v>1952410</v>
          </cell>
          <cell r="D77" t="str">
            <v>1 UND</v>
          </cell>
          <cell r="E77" t="str">
            <v>03/02/2020</v>
          </cell>
          <cell r="F77">
            <v>59.6</v>
          </cell>
          <cell r="G77" t="str">
            <v>UND</v>
          </cell>
          <cell r="H77">
            <v>59.6</v>
          </cell>
        </row>
        <row r="78">
          <cell r="A78" t="str">
            <v>1952432</v>
          </cell>
          <cell r="B78" t="str">
            <v>TAPA BAND ALUM. DESE 4040 (UND)</v>
          </cell>
          <cell r="C78" t="str">
            <v>1952432</v>
          </cell>
          <cell r="D78" t="str">
            <v>1 UND</v>
          </cell>
          <cell r="E78" t="str">
            <v>05/03/2020</v>
          </cell>
          <cell r="F78">
            <v>81.391999999999996</v>
          </cell>
          <cell r="G78" t="str">
            <v>UND</v>
          </cell>
          <cell r="H78">
            <v>81.391999999999996</v>
          </cell>
        </row>
        <row r="79">
          <cell r="A79" t="str">
            <v>1952434</v>
          </cell>
          <cell r="B79" t="str">
            <v>CAJA SPOON #1 (20 UND) (INDUSTRIA)</v>
          </cell>
          <cell r="C79" t="str">
            <v>1952434</v>
          </cell>
          <cell r="D79" t="str">
            <v>1 UND</v>
          </cell>
          <cell r="E79" t="str">
            <v>05/03/2020</v>
          </cell>
          <cell r="F79">
            <v>460</v>
          </cell>
        </row>
        <row r="80">
          <cell r="A80" t="str">
            <v>1952445</v>
          </cell>
          <cell r="B80" t="str">
            <v>CAJA SIX PACK MUSMANNI (UND)</v>
          </cell>
          <cell r="C80" t="str">
            <v>1952445</v>
          </cell>
          <cell r="D80" t="str">
            <v>1 UND</v>
          </cell>
          <cell r="E80" t="str">
            <v>02/03/2020</v>
          </cell>
          <cell r="F80">
            <v>185</v>
          </cell>
          <cell r="G80" t="str">
            <v>UND</v>
          </cell>
          <cell r="H80">
            <v>185</v>
          </cell>
        </row>
        <row r="81">
          <cell r="A81" t="str">
            <v>1952826</v>
          </cell>
          <cell r="B81" t="str">
            <v>TAPA DOMO P/VASO TRASL 16onz ( PAQ*100)</v>
          </cell>
          <cell r="C81" t="str">
            <v>1952826</v>
          </cell>
          <cell r="D81" t="str">
            <v>1 PAQUETE</v>
          </cell>
          <cell r="E81" t="str">
            <v>22/02/2020</v>
          </cell>
          <cell r="F81">
            <v>4361</v>
          </cell>
        </row>
        <row r="82">
          <cell r="A82" t="str">
            <v>1952831</v>
          </cell>
          <cell r="B82" t="str">
            <v>TAPA NESCAFE 12/14/16  ONZ (PAQ:100 UND)</v>
          </cell>
          <cell r="C82" t="str">
            <v>1952831</v>
          </cell>
          <cell r="D82" t="str">
            <v>1 PAQUETE</v>
          </cell>
          <cell r="E82" t="str">
            <v>27/12/2019</v>
          </cell>
          <cell r="F82">
            <v>2490</v>
          </cell>
        </row>
        <row r="83">
          <cell r="A83" t="str">
            <v>1952851</v>
          </cell>
          <cell r="B83" t="str">
            <v>CONTENEDOR CUADRADO 9X9X5 (CAJA:600 UND)</v>
          </cell>
          <cell r="C83" t="str">
            <v>1952851</v>
          </cell>
          <cell r="D83" t="str">
            <v>1 CAJA</v>
          </cell>
          <cell r="E83" t="str">
            <v>09/12/2019</v>
          </cell>
          <cell r="F83">
            <v>30816</v>
          </cell>
        </row>
        <row r="84">
          <cell r="A84" t="str">
            <v>1952856</v>
          </cell>
          <cell r="B84" t="str">
            <v>BOLSA TRANSPARENTE 76X24X210 (KILO)</v>
          </cell>
          <cell r="C84" t="str">
            <v>1952856</v>
          </cell>
          <cell r="D84" t="str">
            <v>1 KILO</v>
          </cell>
          <cell r="E84" t="str">
            <v>21/02/2020</v>
          </cell>
          <cell r="F84">
            <v>3930.4</v>
          </cell>
        </row>
        <row r="85">
          <cell r="A85" t="str">
            <v>1952874</v>
          </cell>
          <cell r="B85" t="str">
            <v>ORLA #8 BUCCA UND</v>
          </cell>
          <cell r="C85" t="str">
            <v>1952874</v>
          </cell>
          <cell r="D85" t="str">
            <v>1 UND</v>
          </cell>
          <cell r="E85" t="str">
            <v>02/03/2020</v>
          </cell>
          <cell r="F85">
            <v>77</v>
          </cell>
        </row>
        <row r="86">
          <cell r="A86" t="str">
            <v>1952875</v>
          </cell>
          <cell r="B86" t="str">
            <v>ORLA # 10 BUCCA UND</v>
          </cell>
          <cell r="C86" t="str">
            <v>1952875</v>
          </cell>
          <cell r="D86" t="str">
            <v>1 UND</v>
          </cell>
          <cell r="E86" t="str">
            <v>02/03/2020</v>
          </cell>
          <cell r="F86">
            <v>111</v>
          </cell>
          <cell r="G86" t="str">
            <v>UND</v>
          </cell>
          <cell r="H86">
            <v>111</v>
          </cell>
        </row>
        <row r="87">
          <cell r="A87" t="str">
            <v>1952910</v>
          </cell>
          <cell r="B87" t="str">
            <v>CAJA CARTON GRANDE</v>
          </cell>
          <cell r="C87" t="str">
            <v>1952910</v>
          </cell>
          <cell r="D87" t="str">
            <v>1 UND</v>
          </cell>
          <cell r="E87" t="str">
            <v>05/03/2020</v>
          </cell>
          <cell r="F87">
            <v>550</v>
          </cell>
        </row>
        <row r="88">
          <cell r="A88" t="str">
            <v>1952912</v>
          </cell>
          <cell r="B88" t="str">
            <v>CONTENEDOR TRIANGU ALTO (CAJA:200 UND)</v>
          </cell>
          <cell r="C88" t="str">
            <v>1952912</v>
          </cell>
          <cell r="D88" t="str">
            <v>1 CAJA</v>
          </cell>
          <cell r="E88" t="str">
            <v>22/02/2020</v>
          </cell>
          <cell r="F88">
            <v>14270</v>
          </cell>
        </row>
        <row r="89">
          <cell r="A89" t="str">
            <v>1952915</v>
          </cell>
          <cell r="B89" t="str">
            <v>BANDEJA CONCHA TRANSPAR 4X4 (CJ=500 UND)</v>
          </cell>
          <cell r="C89" t="str">
            <v>1952915</v>
          </cell>
          <cell r="D89" t="str">
            <v>1 UND</v>
          </cell>
          <cell r="E89" t="str">
            <v>04/03/2020</v>
          </cell>
          <cell r="F89">
            <v>51</v>
          </cell>
          <cell r="G89" t="str">
            <v>UND</v>
          </cell>
          <cell r="H89">
            <v>51</v>
          </cell>
        </row>
        <row r="90">
          <cell r="A90" t="str">
            <v>1952919</v>
          </cell>
          <cell r="B90" t="str">
            <v>CAJA PRALINE 2 (UND)</v>
          </cell>
          <cell r="C90" t="str">
            <v>1952919</v>
          </cell>
          <cell r="D90" t="str">
            <v>1 UND</v>
          </cell>
          <cell r="E90" t="str">
            <v>03/03/2020</v>
          </cell>
          <cell r="F90">
            <v>325</v>
          </cell>
          <cell r="G90" t="str">
            <v>UND</v>
          </cell>
          <cell r="H90">
            <v>325</v>
          </cell>
        </row>
        <row r="91">
          <cell r="A91" t="str">
            <v>5062011</v>
          </cell>
          <cell r="B91" t="str">
            <v>BURBUJA # 5 (CAJA:3/125UND)</v>
          </cell>
          <cell r="C91" t="str">
            <v>5062011</v>
          </cell>
          <cell r="D91" t="str">
            <v>1 CAJA</v>
          </cell>
          <cell r="E91" t="str">
            <v>05/03/2020</v>
          </cell>
          <cell r="F91">
            <v>18190</v>
          </cell>
          <cell r="G91" t="str">
            <v>UND</v>
          </cell>
          <cell r="H91">
            <v>66.145454545454541</v>
          </cell>
        </row>
        <row r="92">
          <cell r="A92" t="str">
            <v>11000006</v>
          </cell>
          <cell r="B92" t="str">
            <v>ORLA 6.5'' (UND)</v>
          </cell>
          <cell r="C92" t="str">
            <v>11000006</v>
          </cell>
          <cell r="D92" t="str">
            <v>1 UND</v>
          </cell>
          <cell r="E92" t="str">
            <v>17/01/2020</v>
          </cell>
          <cell r="F92">
            <v>69</v>
          </cell>
        </row>
        <row r="93">
          <cell r="A93" t="str">
            <v>12050040</v>
          </cell>
          <cell r="B93" t="str">
            <v>MUG SPOON UND</v>
          </cell>
          <cell r="C93" t="str">
            <v>12050040</v>
          </cell>
          <cell r="D93" t="str">
            <v>1 Uds.</v>
          </cell>
          <cell r="E93" t="str">
            <v>07/02/2020</v>
          </cell>
          <cell r="F93">
            <v>8.9700000000000006</v>
          </cell>
        </row>
        <row r="94">
          <cell r="A94" t="str">
            <v>50100028</v>
          </cell>
          <cell r="B94" t="str">
            <v>BANDEJA ALUM 34*25 108 ONZ 394 (CJ:100)</v>
          </cell>
          <cell r="C94" t="str">
            <v>50100028</v>
          </cell>
          <cell r="D94" t="str">
            <v>1 UND</v>
          </cell>
          <cell r="E94" t="str">
            <v>13/02/2020</v>
          </cell>
          <cell r="F94">
            <v>348.46</v>
          </cell>
          <cell r="G94" t="str">
            <v>UND</v>
          </cell>
          <cell r="H94">
            <v>348.46</v>
          </cell>
        </row>
        <row r="95">
          <cell r="A95" t="str">
            <v>50100031</v>
          </cell>
          <cell r="B95" t="str">
            <v>RECIPIENTE DELI DARNEL 24OZ (CAJA:225 U)</v>
          </cell>
          <cell r="D95" t="str">
            <v>CAJA</v>
          </cell>
          <cell r="F95">
            <v>26170</v>
          </cell>
          <cell r="G95" t="str">
            <v>UND</v>
          </cell>
          <cell r="H95">
            <v>116.31111111111112</v>
          </cell>
        </row>
        <row r="96">
          <cell r="A96" t="str">
            <v>50100035</v>
          </cell>
          <cell r="B96" t="str">
            <v>TAPA CONT ALUMINIO 16 ONZ (CAJA:500 UND)</v>
          </cell>
          <cell r="C96" t="str">
            <v>50100035</v>
          </cell>
          <cell r="D96" t="str">
            <v>1 CAJA</v>
          </cell>
          <cell r="E96" t="str">
            <v>22/01/2020</v>
          </cell>
          <cell r="F96">
            <v>17230</v>
          </cell>
        </row>
        <row r="97">
          <cell r="A97" t="str">
            <v>50100036</v>
          </cell>
          <cell r="B97" t="str">
            <v>MOLDE ALUMINIO 16 ONZ (CAJA:500 UND)</v>
          </cell>
          <cell r="C97" t="str">
            <v>50100036</v>
          </cell>
          <cell r="D97" t="str">
            <v>1 CAJA</v>
          </cell>
          <cell r="E97" t="str">
            <v>22/01/2020</v>
          </cell>
          <cell r="F97">
            <v>27100</v>
          </cell>
          <cell r="G97" t="str">
            <v>UND</v>
          </cell>
          <cell r="H97">
            <v>54.2</v>
          </cell>
        </row>
        <row r="98">
          <cell r="A98" t="str">
            <v>50400003</v>
          </cell>
          <cell r="B98" t="str">
            <v>CAJA MUSMANNI #2 (UND)</v>
          </cell>
          <cell r="C98" t="str">
            <v>50400003</v>
          </cell>
          <cell r="D98" t="str">
            <v>1 UND</v>
          </cell>
          <cell r="E98" t="str">
            <v>13/02/2020</v>
          </cell>
          <cell r="F98">
            <v>195</v>
          </cell>
          <cell r="G98" t="str">
            <v>UND</v>
          </cell>
          <cell r="H98">
            <v>195</v>
          </cell>
        </row>
        <row r="99">
          <cell r="A99" t="str">
            <v>50400014</v>
          </cell>
          <cell r="B99" t="str">
            <v>CAJA PEQUEÑA OFFICE BREAK (CAJA:625 UND)</v>
          </cell>
          <cell r="C99" t="str">
            <v>50400014</v>
          </cell>
          <cell r="D99" t="str">
            <v>1 CAJA</v>
          </cell>
          <cell r="E99" t="str">
            <v>02/03/2020</v>
          </cell>
          <cell r="F99">
            <v>40312.5</v>
          </cell>
        </row>
        <row r="100">
          <cell r="A100" t="str">
            <v>50400015</v>
          </cell>
          <cell r="B100" t="str">
            <v>CAJA MEDIANA OFFICE BREAK (CAJA:400 UND)</v>
          </cell>
          <cell r="C100" t="str">
            <v>50400015</v>
          </cell>
          <cell r="D100" t="str">
            <v>1 CAJA</v>
          </cell>
          <cell r="E100" t="str">
            <v>21/02/2020</v>
          </cell>
          <cell r="F100">
            <v>31600</v>
          </cell>
        </row>
        <row r="101">
          <cell r="A101" t="str">
            <v>50400016</v>
          </cell>
          <cell r="B101" t="str">
            <v>CAJA GRANDE OFFICE BREAK (CAJA:280 UND)</v>
          </cell>
          <cell r="C101" t="str">
            <v>50400016</v>
          </cell>
          <cell r="D101" t="str">
            <v>1 CAJA</v>
          </cell>
          <cell r="E101" t="str">
            <v>02/03/2020</v>
          </cell>
          <cell r="F101">
            <v>32760</v>
          </cell>
        </row>
        <row r="102">
          <cell r="A102" t="str">
            <v>50400017</v>
          </cell>
          <cell r="B102" t="str">
            <v>CAJA PORCION OFFICE BREAK (CAJA:950 UND)</v>
          </cell>
          <cell r="C102" t="str">
            <v>50400017</v>
          </cell>
          <cell r="D102" t="str">
            <v>1 CAJA</v>
          </cell>
          <cell r="E102" t="str">
            <v>24/01/2020</v>
          </cell>
          <cell r="F102">
            <v>51870</v>
          </cell>
        </row>
        <row r="103">
          <cell r="A103" t="str">
            <v>50500001</v>
          </cell>
          <cell r="B103" t="str">
            <v>CANDELA  FIGURA SURTIDAS MINION (UND)</v>
          </cell>
          <cell r="C103" t="str">
            <v>50500001</v>
          </cell>
          <cell r="D103" t="str">
            <v>1 UND</v>
          </cell>
          <cell r="E103" t="str">
            <v>29/11/2019</v>
          </cell>
          <cell r="F103">
            <v>745</v>
          </cell>
        </row>
        <row r="104">
          <cell r="A104" t="str">
            <v>50500003</v>
          </cell>
          <cell r="B104" t="str">
            <v>CANDELA CARITAS COLORES (UND)</v>
          </cell>
          <cell r="C104" t="str">
            <v>50500003</v>
          </cell>
          <cell r="D104" t="str">
            <v>1 UND</v>
          </cell>
          <cell r="E104" t="str">
            <v>02/03/2020</v>
          </cell>
          <cell r="F104">
            <v>765</v>
          </cell>
        </row>
        <row r="105">
          <cell r="A105" t="str">
            <v>50500004</v>
          </cell>
          <cell r="B105" t="str">
            <v>CANDELA GLOBOS SURTIDO COLORES (UND)</v>
          </cell>
          <cell r="C105" t="str">
            <v>50500004</v>
          </cell>
          <cell r="D105" t="str">
            <v>1 UND</v>
          </cell>
          <cell r="E105" t="str">
            <v>04/03/2020</v>
          </cell>
          <cell r="F105">
            <v>550</v>
          </cell>
        </row>
        <row r="106">
          <cell r="A106" t="str">
            <v>50500005</v>
          </cell>
          <cell r="B106" t="str">
            <v>CANDELA FELIZ ESCARCHA SURTIDA (UND)</v>
          </cell>
          <cell r="C106" t="str">
            <v>50500005</v>
          </cell>
          <cell r="D106" t="str">
            <v>1 UND</v>
          </cell>
          <cell r="E106" t="str">
            <v>04/03/2020</v>
          </cell>
          <cell r="F106">
            <v>745</v>
          </cell>
        </row>
        <row r="107">
          <cell r="A107" t="str">
            <v>50600003</v>
          </cell>
          <cell r="B107" t="str">
            <v>CAPSULA # 5 BLANCA (PAQ:1000 UND)</v>
          </cell>
          <cell r="C107" t="str">
            <v>50600003</v>
          </cell>
          <cell r="D107" t="str">
            <v>1 PAQUETE</v>
          </cell>
          <cell r="E107" t="str">
            <v>27/12/2019</v>
          </cell>
          <cell r="F107">
            <v>8600</v>
          </cell>
        </row>
        <row r="108">
          <cell r="A108" t="str">
            <v>50700006</v>
          </cell>
          <cell r="B108" t="str">
            <v xml:space="preserve">CONTENEDOR FOAM KFC 8OZ (CAJA:1000 UND) </v>
          </cell>
          <cell r="C108" t="str">
            <v>50700006</v>
          </cell>
          <cell r="D108" t="str">
            <v>1 CAJA</v>
          </cell>
          <cell r="E108" t="str">
            <v>05/03/2020</v>
          </cell>
          <cell r="F108">
            <v>23587</v>
          </cell>
        </row>
        <row r="109">
          <cell r="A109" t="str">
            <v>50700007</v>
          </cell>
          <cell r="B109" t="str">
            <v>TAPA PLAST CONT KFC 4-8-16OZ (CAJA:1000)</v>
          </cell>
          <cell r="C109" t="str">
            <v>50700007</v>
          </cell>
          <cell r="D109" t="str">
            <v>1 CAJA</v>
          </cell>
          <cell r="E109" t="str">
            <v>05/03/2020</v>
          </cell>
          <cell r="F109">
            <v>13351</v>
          </cell>
        </row>
        <row r="110">
          <cell r="A110" t="str">
            <v>50700016</v>
          </cell>
          <cell r="B110" t="str">
            <v>CONT.24 ONZ.TAPA PLANA (CAJA:200 UND)</v>
          </cell>
          <cell r="C110" t="str">
            <v>50700016</v>
          </cell>
          <cell r="D110" t="str">
            <v>1 CAJA</v>
          </cell>
          <cell r="E110" t="str">
            <v>14/02/2020</v>
          </cell>
          <cell r="F110">
            <v>40470</v>
          </cell>
          <cell r="G110" t="str">
            <v>UND</v>
          </cell>
          <cell r="H110">
            <v>202.35</v>
          </cell>
        </row>
        <row r="111">
          <cell r="A111" t="str">
            <v>50700017</v>
          </cell>
          <cell r="B111" t="str">
            <v>CAJA MEDIANA OFFICE BREAK UND</v>
          </cell>
          <cell r="C111" t="str">
            <v>50700017</v>
          </cell>
          <cell r="D111" t="str">
            <v>1 UND</v>
          </cell>
          <cell r="E111" t="str">
            <v>25/11/2019</v>
          </cell>
          <cell r="F111">
            <v>75.44</v>
          </cell>
        </row>
        <row r="112">
          <cell r="A112" t="str">
            <v>50700024</v>
          </cell>
          <cell r="B112" t="str">
            <v>CONTENEDOR PAPEL 12 ONZAS (PAQ:50 UND)</v>
          </cell>
          <cell r="C112" t="str">
            <v>50700024</v>
          </cell>
          <cell r="D112" t="str">
            <v>1 PAQUETE</v>
          </cell>
          <cell r="E112" t="str">
            <v>29/11/2019</v>
          </cell>
          <cell r="F112">
            <v>1784.3</v>
          </cell>
        </row>
        <row r="113">
          <cell r="A113" t="str">
            <v>50700026</v>
          </cell>
          <cell r="B113" t="str">
            <v>TAPA CONTE PAPEL BLANCO 8 ONZ (PAQ:50)</v>
          </cell>
          <cell r="C113" t="str">
            <v>50700026</v>
          </cell>
          <cell r="D113" t="str">
            <v>1 PAQUETE</v>
          </cell>
          <cell r="E113" t="str">
            <v>29/11/2019</v>
          </cell>
          <cell r="F113">
            <v>1143.55</v>
          </cell>
        </row>
        <row r="114">
          <cell r="A114" t="str">
            <v>50700027</v>
          </cell>
          <cell r="B114" t="str">
            <v>TAPA PLAST P/CONT PAPEL 12 ONZ(PAQ:50)</v>
          </cell>
          <cell r="C114" t="str">
            <v>50700027</v>
          </cell>
          <cell r="D114" t="str">
            <v>1 PAQ</v>
          </cell>
          <cell r="E114" t="str">
            <v>29/11/2019</v>
          </cell>
          <cell r="F114">
            <v>1657.1880000000001</v>
          </cell>
        </row>
        <row r="115">
          <cell r="A115" t="str">
            <v>50700028</v>
          </cell>
          <cell r="B115" t="str">
            <v>CONTENEDOR PLAS SUFLE 1 OZ (PAQ:200 UND)</v>
          </cell>
          <cell r="C115" t="str">
            <v>50700028</v>
          </cell>
          <cell r="D115" t="str">
            <v>1 PAQUETE</v>
          </cell>
          <cell r="E115" t="str">
            <v>05/03/2020</v>
          </cell>
          <cell r="F115">
            <v>1199.2</v>
          </cell>
          <cell r="G115" t="str">
            <v>UND</v>
          </cell>
          <cell r="H115">
            <v>5.9960000000000004</v>
          </cell>
        </row>
        <row r="116">
          <cell r="A116" t="str">
            <v>50700029</v>
          </cell>
          <cell r="B116" t="str">
            <v>CONTENEDOR SUFLE 2 ONZ (PAQ:200 UND)</v>
          </cell>
          <cell r="C116" t="str">
            <v>50700029</v>
          </cell>
          <cell r="D116" t="str">
            <v>1 PAQUETE</v>
          </cell>
          <cell r="E116" t="str">
            <v>05/03/2020</v>
          </cell>
          <cell r="F116">
            <v>1480.5833333333301</v>
          </cell>
        </row>
        <row r="117">
          <cell r="A117" t="str">
            <v>50700039</v>
          </cell>
          <cell r="B117" t="str">
            <v>TAPA UNIVERL POLI BOTE 16PP (CJ:500 UND)</v>
          </cell>
          <cell r="C117" t="str">
            <v>50700039</v>
          </cell>
          <cell r="D117" t="str">
            <v>1 CAJA</v>
          </cell>
          <cell r="E117" t="str">
            <v>28/01/2020</v>
          </cell>
          <cell r="F117">
            <v>10825.22</v>
          </cell>
          <cell r="G117" t="str">
            <v>UND</v>
          </cell>
          <cell r="H117">
            <v>21.65044</v>
          </cell>
        </row>
        <row r="118">
          <cell r="A118" t="str">
            <v>50700040</v>
          </cell>
          <cell r="B118" t="str">
            <v>CONTENEDOR PLAST  4 OZ  (15/200 UND)</v>
          </cell>
          <cell r="C118" t="str">
            <v>50700040</v>
          </cell>
          <cell r="D118" t="str">
            <v>1 PAQUETE</v>
          </cell>
          <cell r="E118" t="str">
            <v>16/01/2020</v>
          </cell>
          <cell r="F118">
            <v>3255.4666666666699</v>
          </cell>
        </row>
        <row r="119">
          <cell r="A119" t="str">
            <v>50700042</v>
          </cell>
          <cell r="B119" t="str">
            <v>CONT COSTILLA BASE DOMO OP3 (CJ:250 UND)</v>
          </cell>
          <cell r="C119" t="str">
            <v>50700042</v>
          </cell>
          <cell r="D119" t="str">
            <v>1 CAJA</v>
          </cell>
          <cell r="E119" t="str">
            <v>27/02/2020</v>
          </cell>
          <cell r="F119">
            <v>23825.1</v>
          </cell>
          <cell r="G119" t="str">
            <v>UND</v>
          </cell>
          <cell r="H119">
            <v>95.300399999999996</v>
          </cell>
        </row>
        <row r="120">
          <cell r="A120" t="str">
            <v>50700043</v>
          </cell>
          <cell r="B120" t="str">
            <v>BISAGRA P/PASTEL ROSCA (CAJA: 180 UND)</v>
          </cell>
          <cell r="C120" t="str">
            <v>50700043</v>
          </cell>
          <cell r="D120" t="str">
            <v>1 CAJA</v>
          </cell>
          <cell r="E120" t="str">
            <v>20/02/2020</v>
          </cell>
          <cell r="F120">
            <v>39375.800000000003</v>
          </cell>
        </row>
        <row r="121">
          <cell r="A121" t="str">
            <v>50700044</v>
          </cell>
          <cell r="B121" t="str">
            <v>CONTENEDOR POLIPROP 8 ONZ (CJ:500 UND)</v>
          </cell>
          <cell r="C121" t="str">
            <v>50700044</v>
          </cell>
          <cell r="D121" t="str">
            <v>1 CAJA</v>
          </cell>
          <cell r="E121" t="str">
            <v>28/01/2020</v>
          </cell>
          <cell r="F121">
            <v>16576.87</v>
          </cell>
          <cell r="G121" t="str">
            <v>UND</v>
          </cell>
          <cell r="H121">
            <v>33.153739999999999</v>
          </cell>
        </row>
        <row r="122">
          <cell r="A122" t="str">
            <v>50700045</v>
          </cell>
          <cell r="B122" t="str">
            <v>BISAGRA 6 MANTECADA 24*16*8 (CJ:250 UND)</v>
          </cell>
          <cell r="C122" t="str">
            <v>50700045</v>
          </cell>
          <cell r="D122" t="str">
            <v>1 CAJA</v>
          </cell>
          <cell r="E122" t="str">
            <v>20/02/2020</v>
          </cell>
          <cell r="F122">
            <v>28769.96</v>
          </cell>
        </row>
        <row r="123">
          <cell r="A123" t="str">
            <v>51000003</v>
          </cell>
          <cell r="B123" t="str">
            <v>ORLA 14.5" UND</v>
          </cell>
          <cell r="C123" t="str">
            <v>51000003</v>
          </cell>
          <cell r="D123" t="str">
            <v>1 UND</v>
          </cell>
          <cell r="E123" t="str">
            <v>20/12/2019</v>
          </cell>
          <cell r="F123">
            <v>305</v>
          </cell>
        </row>
        <row r="124">
          <cell r="A124" t="str">
            <v>51100018</v>
          </cell>
          <cell r="B124" t="str">
            <v>PAPEL ENCERADO 12X12 (PAQ:1000 UND)</v>
          </cell>
          <cell r="C124" t="str">
            <v>51100018</v>
          </cell>
          <cell r="D124" t="str">
            <v>1 PAQUETE</v>
          </cell>
          <cell r="E124" t="str">
            <v>04/03/2020</v>
          </cell>
          <cell r="F124">
            <v>20570</v>
          </cell>
          <cell r="G124" t="str">
            <v>UND</v>
          </cell>
          <cell r="H124">
            <v>20.57</v>
          </cell>
        </row>
        <row r="125">
          <cell r="A125" t="str">
            <v>51400001</v>
          </cell>
          <cell r="B125" t="str">
            <v>QUEQUERA RECTANGULAR 1/2 (CAJA:35 UND)</v>
          </cell>
          <cell r="C125" t="str">
            <v>51400001</v>
          </cell>
          <cell r="D125" t="str">
            <v>1 CAJA</v>
          </cell>
          <cell r="E125" t="str">
            <v>29/02/2020</v>
          </cell>
          <cell r="F125">
            <v>40766</v>
          </cell>
        </row>
        <row r="126">
          <cell r="A126" t="str">
            <v>51400015</v>
          </cell>
          <cell r="B126" t="str">
            <v>QUEQUERA CHILENA (CAJA:50 UND)</v>
          </cell>
          <cell r="C126" t="str">
            <v>51400015</v>
          </cell>
          <cell r="D126" t="str">
            <v>1 CAJA</v>
          </cell>
          <cell r="E126" t="str">
            <v>05/03/2020</v>
          </cell>
          <cell r="F126">
            <v>12896</v>
          </cell>
          <cell r="G126" t="str">
            <v>UND</v>
          </cell>
          <cell r="H126">
            <v>257.92</v>
          </cell>
        </row>
        <row r="127">
          <cell r="A127" t="str">
            <v>51400016</v>
          </cell>
          <cell r="B127" t="str">
            <v>DOMO QUEQUERA 8" ALTA (CAJA:100 UND)</v>
          </cell>
          <cell r="C127" t="str">
            <v>51400016</v>
          </cell>
          <cell r="D127" t="str">
            <v>1 CAJA</v>
          </cell>
          <cell r="E127" t="str">
            <v>03/03/2020</v>
          </cell>
          <cell r="F127">
            <v>15551</v>
          </cell>
          <cell r="G127" t="str">
            <v>UND</v>
          </cell>
          <cell r="H127">
            <v>155.51</v>
          </cell>
        </row>
        <row r="128">
          <cell r="A128" t="str">
            <v>51400017</v>
          </cell>
          <cell r="B128" t="str">
            <v>BASE QUEQUERA 8" ALTA (CAJA:200 UND)</v>
          </cell>
          <cell r="C128" t="str">
            <v>51400017</v>
          </cell>
          <cell r="D128" t="str">
            <v>1 CAJA</v>
          </cell>
          <cell r="E128" t="str">
            <v>03/03/2020</v>
          </cell>
          <cell r="F128">
            <v>18316</v>
          </cell>
          <cell r="G128" t="str">
            <v>UND</v>
          </cell>
          <cell r="H128">
            <v>91.58</v>
          </cell>
        </row>
        <row r="129">
          <cell r="A129" t="str">
            <v>51400019</v>
          </cell>
          <cell r="B129" t="str">
            <v>QUEQUERA 10 BAJA LOGO (CAJA:66 UND)</v>
          </cell>
          <cell r="C129" t="str">
            <v>51400019</v>
          </cell>
          <cell r="D129" t="str">
            <v>1 CAJA</v>
          </cell>
          <cell r="E129" t="str">
            <v>28/11/2019</v>
          </cell>
          <cell r="F129">
            <v>23500</v>
          </cell>
        </row>
        <row r="130">
          <cell r="A130" t="str">
            <v>51400020</v>
          </cell>
          <cell r="B130" t="str">
            <v>BURBUJA I-3 ALTA (CAJA:250 UND)</v>
          </cell>
          <cell r="C130" t="str">
            <v>51400020</v>
          </cell>
          <cell r="D130" t="str">
            <v>1 CAJA</v>
          </cell>
          <cell r="E130" t="str">
            <v>11/02/2020</v>
          </cell>
          <cell r="F130">
            <v>7035.81</v>
          </cell>
          <cell r="G130" t="str">
            <v>UND</v>
          </cell>
          <cell r="H130">
            <v>28.143240000000002</v>
          </cell>
        </row>
        <row r="131">
          <cell r="A131" t="str">
            <v>51400021</v>
          </cell>
          <cell r="B131" t="str">
            <v>QUEQUERA RED C/BASE ALTA 9" (CAJA:100 U)</v>
          </cell>
          <cell r="C131" t="str">
            <v>51400021</v>
          </cell>
          <cell r="D131" t="str">
            <v>1 CAJA</v>
          </cell>
          <cell r="E131" t="str">
            <v>03/03/2020</v>
          </cell>
          <cell r="F131">
            <v>24065</v>
          </cell>
          <cell r="G131" t="str">
            <v>UND</v>
          </cell>
          <cell r="H131">
            <v>240.65</v>
          </cell>
        </row>
        <row r="132">
          <cell r="A132" t="str">
            <v>51400022</v>
          </cell>
          <cell r="B132" t="str">
            <v>BOWL FIBRA 24 ONZ COMPOST (PAQ:125 UND)</v>
          </cell>
          <cell r="C132" t="str">
            <v>51400022</v>
          </cell>
          <cell r="D132" t="str">
            <v>1 PAQUETE</v>
          </cell>
          <cell r="E132" t="str">
            <v>05/03/2020</v>
          </cell>
          <cell r="F132">
            <v>127.8</v>
          </cell>
        </row>
        <row r="133">
          <cell r="A133" t="str">
            <v>51400023</v>
          </cell>
          <cell r="B133" t="str">
            <v>BOWL FIBRA 32 ONZ COMPOST (PAQ:125 UND)</v>
          </cell>
          <cell r="C133" t="str">
            <v>51400023</v>
          </cell>
          <cell r="D133" t="str">
            <v>1 PAQUETE</v>
          </cell>
          <cell r="E133" t="str">
            <v>05/03/2020</v>
          </cell>
          <cell r="F133">
            <v>178.88</v>
          </cell>
        </row>
        <row r="134">
          <cell r="A134" t="str">
            <v>51400024</v>
          </cell>
          <cell r="B134" t="str">
            <v>TAPA  BOWL 16/24/32 ONZ (PAQ:125 UND)</v>
          </cell>
          <cell r="C134" t="str">
            <v>51400024</v>
          </cell>
          <cell r="D134" t="str">
            <v>1 PAQUETE</v>
          </cell>
          <cell r="E134" t="str">
            <v>05/03/2020</v>
          </cell>
          <cell r="F134">
            <v>89.447999999999993</v>
          </cell>
        </row>
        <row r="135">
          <cell r="A135" t="str">
            <v>51400025</v>
          </cell>
          <cell r="B135" t="str">
            <v>BANDEJA FIBRA 2 DIVISIONES (PAQ:50 UND)</v>
          </cell>
          <cell r="C135" t="str">
            <v>51400025</v>
          </cell>
          <cell r="D135" t="str">
            <v>1 PAQUETE</v>
          </cell>
          <cell r="E135" t="str">
            <v>21/01/2020</v>
          </cell>
          <cell r="F135">
            <v>127.78</v>
          </cell>
        </row>
        <row r="136">
          <cell r="A136" t="str">
            <v>51400026</v>
          </cell>
          <cell r="B136" t="str">
            <v>BANDEJA FIBRA 3 DIVISIONES (PAQ:50 UND)</v>
          </cell>
          <cell r="C136" t="str">
            <v>51400026</v>
          </cell>
          <cell r="D136" t="str">
            <v>1 PAQUETE</v>
          </cell>
          <cell r="E136" t="str">
            <v>04/03/2020</v>
          </cell>
          <cell r="F136">
            <v>146.94</v>
          </cell>
        </row>
        <row r="137">
          <cell r="A137" t="str">
            <v>51400027</v>
          </cell>
          <cell r="B137" t="str">
            <v>TAPA BOWL SOPA 8 ONZ (PAQ:50 UND)</v>
          </cell>
          <cell r="C137" t="str">
            <v>51400027</v>
          </cell>
          <cell r="D137" t="str">
            <v>1 PAQUETE</v>
          </cell>
          <cell r="E137" t="str">
            <v>04/03/2020</v>
          </cell>
          <cell r="F137">
            <v>57.5</v>
          </cell>
        </row>
        <row r="138">
          <cell r="A138" t="str">
            <v>51400028</v>
          </cell>
          <cell r="B138" t="str">
            <v>BOWL FIBRA SOPA 16 ONZ (PAQ:50 UND)</v>
          </cell>
          <cell r="C138" t="str">
            <v>51400028</v>
          </cell>
          <cell r="D138" t="str">
            <v>1 PAQUETE</v>
          </cell>
          <cell r="E138" t="str">
            <v>05/03/2020</v>
          </cell>
          <cell r="F138">
            <v>95.82</v>
          </cell>
        </row>
        <row r="139">
          <cell r="A139" t="str">
            <v>51400029</v>
          </cell>
          <cell r="B139" t="str">
            <v>BOWL FIBRA 16 ONZ COMPOST (PAQ:125 UND)</v>
          </cell>
          <cell r="C139" t="str">
            <v>51400029</v>
          </cell>
          <cell r="D139" t="str">
            <v>1 PAQUETE</v>
          </cell>
          <cell r="E139" t="str">
            <v>04/03/2020</v>
          </cell>
          <cell r="F139">
            <v>83.055999999999997</v>
          </cell>
        </row>
        <row r="140">
          <cell r="A140" t="str">
            <v>51400030</v>
          </cell>
          <cell r="B140" t="str">
            <v>TAPA FIBRA BANDEJA 2 DIV (PAQ:50 UND)</v>
          </cell>
          <cell r="C140" t="str">
            <v>51400030</v>
          </cell>
          <cell r="D140" t="str">
            <v>1 PAQUETE</v>
          </cell>
          <cell r="E140" t="str">
            <v>04/02/2020</v>
          </cell>
          <cell r="F140">
            <v>102.22</v>
          </cell>
        </row>
        <row r="141">
          <cell r="A141" t="str">
            <v>51400031</v>
          </cell>
          <cell r="B141" t="str">
            <v>TAPA FIBRA BANDEJA 3 DIV  (PAQ:50 UND)</v>
          </cell>
          <cell r="C141" t="str">
            <v>51400031</v>
          </cell>
          <cell r="D141" t="str">
            <v>1 PAQUETE</v>
          </cell>
          <cell r="E141" t="str">
            <v>04/03/2020</v>
          </cell>
          <cell r="F141">
            <v>127.78</v>
          </cell>
        </row>
        <row r="142">
          <cell r="A142" t="str">
            <v>51400032</v>
          </cell>
          <cell r="B142" t="str">
            <v>BOWL FIBRA SOPA 12 ONZ (PAQ:25 UND)</v>
          </cell>
          <cell r="C142" t="str">
            <v>51400032</v>
          </cell>
          <cell r="D142" t="str">
            <v>1 PAQUETE</v>
          </cell>
          <cell r="E142" t="str">
            <v>04/03/2020</v>
          </cell>
          <cell r="F142">
            <v>89.44</v>
          </cell>
        </row>
        <row r="143">
          <cell r="A143" t="str">
            <v>51400033</v>
          </cell>
          <cell r="B143" t="str">
            <v>TAPA BOWL SOPA 12/16/32 ONZ (PAQ:50 UND)</v>
          </cell>
          <cell r="C143" t="str">
            <v>51400033</v>
          </cell>
          <cell r="D143" t="str">
            <v>1 PAQUETE</v>
          </cell>
          <cell r="E143" t="str">
            <v>05/03/2020</v>
          </cell>
          <cell r="F143">
            <v>89.44</v>
          </cell>
        </row>
        <row r="144">
          <cell r="A144" t="str">
            <v>51400034</v>
          </cell>
          <cell r="B144" t="str">
            <v>BOWL FIBRA SOPA 8 ONZ (PAQ:50 UND)</v>
          </cell>
          <cell r="C144" t="str">
            <v>51400034</v>
          </cell>
          <cell r="D144" t="str">
            <v>1 PAQUETE</v>
          </cell>
          <cell r="E144" t="str">
            <v>04/03/2020</v>
          </cell>
          <cell r="F144">
            <v>57.5</v>
          </cell>
        </row>
        <row r="145">
          <cell r="A145" t="str">
            <v>51400035</v>
          </cell>
          <cell r="B145" t="str">
            <v>QUEQUERA PLAST RED 12" ALTA (CJ:50 UND)</v>
          </cell>
          <cell r="C145" t="str">
            <v>51400035</v>
          </cell>
          <cell r="D145" t="str">
            <v>1 CAJA</v>
          </cell>
          <cell r="E145" t="str">
            <v>29/02/2020</v>
          </cell>
          <cell r="F145">
            <v>47456</v>
          </cell>
          <cell r="G145" t="str">
            <v>UND</v>
          </cell>
          <cell r="H145">
            <v>949.12</v>
          </cell>
        </row>
        <row r="146">
          <cell r="A146" t="str">
            <v>51400036</v>
          </cell>
          <cell r="B146" t="str">
            <v>QUEQUERA PLAST RECT 48*13*11 (CJ:25 UND)</v>
          </cell>
          <cell r="C146" t="str">
            <v>51400036</v>
          </cell>
          <cell r="D146" t="str">
            <v>1 CAJA</v>
          </cell>
          <cell r="E146" t="str">
            <v>15/02/2020</v>
          </cell>
          <cell r="F146">
            <v>33564</v>
          </cell>
        </row>
        <row r="147">
          <cell r="A147" t="str">
            <v>51500012</v>
          </cell>
          <cell r="B147" t="str">
            <v>VASO BIODEGRADABLE 12 ONZ (PAQ:25 UND)</v>
          </cell>
          <cell r="C147" t="str">
            <v>51500012</v>
          </cell>
          <cell r="D147" t="str">
            <v>1 PAQUETE</v>
          </cell>
          <cell r="E147" t="str">
            <v>05/03/2020</v>
          </cell>
          <cell r="F147">
            <v>1496.7</v>
          </cell>
        </row>
        <row r="148">
          <cell r="A148" t="str">
            <v>51500013</v>
          </cell>
          <cell r="B148" t="str">
            <v>TAPA VASO BIODEGR 12,16 onz (PAQ:50 UND)</v>
          </cell>
          <cell r="C148" t="str">
            <v>51500013</v>
          </cell>
          <cell r="D148" t="str">
            <v>1 PAQ</v>
          </cell>
          <cell r="E148" t="str">
            <v>05/03/2020</v>
          </cell>
          <cell r="F148">
            <v>894.9</v>
          </cell>
        </row>
        <row r="149">
          <cell r="A149" t="str">
            <v>51500014</v>
          </cell>
          <cell r="B149" t="str">
            <v>VASO BIODEGRADABLE 8 onz (PAQ:25 UND)</v>
          </cell>
          <cell r="C149" t="str">
            <v>51500014</v>
          </cell>
          <cell r="D149" t="str">
            <v>1 PAQUETE</v>
          </cell>
          <cell r="E149" t="str">
            <v>05/03/2020</v>
          </cell>
          <cell r="F149">
            <v>1484.75</v>
          </cell>
        </row>
        <row r="150">
          <cell r="A150" t="str">
            <v>51500015</v>
          </cell>
          <cell r="B150" t="str">
            <v>TAPA VASO BIO 8 ONZ (PAQ:50 UND)</v>
          </cell>
          <cell r="C150" t="str">
            <v>51500015</v>
          </cell>
          <cell r="D150" t="str">
            <v>1 PAQUETE</v>
          </cell>
          <cell r="E150" t="str">
            <v>27/02/2020</v>
          </cell>
          <cell r="F150">
            <v>788.25</v>
          </cell>
        </row>
        <row r="151">
          <cell r="A151" t="str">
            <v>51500026</v>
          </cell>
          <cell r="B151" t="str">
            <v>VASO SOUFLE 3.25 OZ ASB325 1/2500</v>
          </cell>
          <cell r="C151" t="str">
            <v>51500026</v>
          </cell>
          <cell r="D151" t="str">
            <v>1 PAQUETE</v>
          </cell>
          <cell r="E151" t="str">
            <v>25/11/2019</v>
          </cell>
          <cell r="F151">
            <v>15.029</v>
          </cell>
        </row>
        <row r="152">
          <cell r="A152" t="str">
            <v>51500027</v>
          </cell>
          <cell r="B152" t="str">
            <v>VASO A-9 OZ APC9 (CAJA:1000/PAQ:50 UND)</v>
          </cell>
          <cell r="C152" t="str">
            <v>51500027</v>
          </cell>
          <cell r="D152" t="str">
            <v>1 PAQ</v>
          </cell>
          <cell r="E152" t="str">
            <v>29/11/2019</v>
          </cell>
          <cell r="F152">
            <v>1710.5</v>
          </cell>
        </row>
        <row r="153">
          <cell r="A153" t="str">
            <v>51500028</v>
          </cell>
          <cell r="B153" t="str">
            <v>TAPA DOMO A-9/12/20 SOUFFLE (UND)</v>
          </cell>
          <cell r="C153" t="str">
            <v>51500028</v>
          </cell>
          <cell r="D153" t="str">
            <v>1 UND</v>
          </cell>
          <cell r="E153" t="str">
            <v>29/11/2019</v>
          </cell>
          <cell r="F153">
            <v>24.56</v>
          </cell>
        </row>
        <row r="154">
          <cell r="A154" t="str">
            <v>51500032</v>
          </cell>
          <cell r="B154" t="str">
            <v>TAPA SUFLE 1,5-2-2,5 (PAQ:100 UND)</v>
          </cell>
          <cell r="C154" t="str">
            <v>51500032</v>
          </cell>
          <cell r="D154" t="str">
            <v>1 PAQUETE</v>
          </cell>
          <cell r="E154" t="str">
            <v>05/03/2020</v>
          </cell>
          <cell r="F154">
            <v>8.32</v>
          </cell>
        </row>
        <row r="155">
          <cell r="A155" t="str">
            <v>51500033</v>
          </cell>
          <cell r="B155" t="str">
            <v>VASO PLASTICO FABRIKAL 9 ONZ (20/50 UND)</v>
          </cell>
          <cell r="C155" t="str">
            <v>51500033</v>
          </cell>
          <cell r="D155" t="str">
            <v>1 PAQUETE</v>
          </cell>
          <cell r="E155" t="str">
            <v>16/01/2020</v>
          </cell>
          <cell r="F155">
            <v>1647.9</v>
          </cell>
        </row>
        <row r="156">
          <cell r="A156" t="str">
            <v>51500034</v>
          </cell>
          <cell r="B156" t="str">
            <v>TAPA PLAST DOMO SUNDAE POLAR 9 (10/100)</v>
          </cell>
          <cell r="C156" t="str">
            <v>51500034</v>
          </cell>
          <cell r="D156" t="str">
            <v>1 PAQUETE</v>
          </cell>
          <cell r="E156" t="str">
            <v>20/01/2020</v>
          </cell>
          <cell r="F156">
            <v>2472.3000000000002</v>
          </cell>
        </row>
        <row r="157">
          <cell r="A157" t="str">
            <v>51500035</v>
          </cell>
          <cell r="B157" t="str">
            <v>TAPA DOMO PLAST BAND ALUM 394 (CJ:100)</v>
          </cell>
          <cell r="C157" t="str">
            <v>51500035</v>
          </cell>
          <cell r="D157" t="str">
            <v>1 UND</v>
          </cell>
          <cell r="E157" t="str">
            <v>13/02/2020</v>
          </cell>
          <cell r="F157">
            <v>233.22</v>
          </cell>
        </row>
        <row r="158">
          <cell r="A158" t="str">
            <v>51500036</v>
          </cell>
          <cell r="B158" t="str">
            <v xml:space="preserve">TAPA PLAS PLANA S/HOYO 9/12/20 (10/100) </v>
          </cell>
          <cell r="C158" t="str">
            <v>51500036</v>
          </cell>
          <cell r="D158" t="str">
            <v>1 PAQUETE</v>
          </cell>
          <cell r="E158" t="str">
            <v>05/03/2020</v>
          </cell>
          <cell r="F158">
            <v>1449.7</v>
          </cell>
        </row>
        <row r="159">
          <cell r="A159" t="str">
            <v>51600004</v>
          </cell>
          <cell r="B159" t="str">
            <v>LAZOS ROJOS (UND)</v>
          </cell>
          <cell r="C159" t="str">
            <v>51600004</v>
          </cell>
          <cell r="D159" t="str">
            <v>1 UND</v>
          </cell>
          <cell r="E159" t="str">
            <v>19/02/2020</v>
          </cell>
          <cell r="F159">
            <v>20</v>
          </cell>
        </row>
        <row r="160">
          <cell r="A160" t="str">
            <v>51600006</v>
          </cell>
          <cell r="B160" t="str">
            <v>ROLLO CINTA RASO 45 MTS COLOR ORO (UND)</v>
          </cell>
          <cell r="C160" t="str">
            <v>51600006</v>
          </cell>
          <cell r="D160" t="str">
            <v>1 UND</v>
          </cell>
          <cell r="E160" t="str">
            <v>06/01/2020</v>
          </cell>
          <cell r="F160">
            <v>5950</v>
          </cell>
        </row>
        <row r="161">
          <cell r="A161" t="str">
            <v>51600015</v>
          </cell>
          <cell r="B161" t="str">
            <v>CINTA TRANS 1X40 (DELGADA)</v>
          </cell>
          <cell r="C161" t="str">
            <v>51600015</v>
          </cell>
          <cell r="D161" t="str">
            <v>1 UND</v>
          </cell>
          <cell r="E161" t="str">
            <v>07/02/2020</v>
          </cell>
          <cell r="F161">
            <v>190</v>
          </cell>
        </row>
        <row r="162">
          <cell r="A162" t="str">
            <v>51600021</v>
          </cell>
          <cell r="B162" t="str">
            <v>ROLLO POS 16" 1067MTS  (UND)</v>
          </cell>
          <cell r="C162" t="str">
            <v>51600021</v>
          </cell>
          <cell r="D162" t="str">
            <v>1 UND</v>
          </cell>
          <cell r="E162" t="str">
            <v>27/11/2019</v>
          </cell>
          <cell r="F162">
            <v>72459.820000000007</v>
          </cell>
        </row>
        <row r="163">
          <cell r="A163" t="str">
            <v>51600025</v>
          </cell>
          <cell r="B163" t="str">
            <v>ROLLOS PUNTO DE VENTA 3X3X2 (ROLLO)</v>
          </cell>
          <cell r="C163" t="str">
            <v>51600025</v>
          </cell>
          <cell r="D163" t="str">
            <v>1 ROLLO</v>
          </cell>
          <cell r="E163" t="str">
            <v>05/03/2020</v>
          </cell>
          <cell r="F163">
            <v>594</v>
          </cell>
        </row>
        <row r="164">
          <cell r="A164" t="str">
            <v>60100014</v>
          </cell>
          <cell r="B164" t="str">
            <v>ETIQUETA LOGO SPOON DORADO (ROLLO:1000)</v>
          </cell>
          <cell r="D164" t="str">
            <v>ROLLO</v>
          </cell>
          <cell r="F164">
            <v>6000</v>
          </cell>
          <cell r="G164" t="str">
            <v>UND</v>
          </cell>
          <cell r="H164">
            <v>6</v>
          </cell>
        </row>
        <row r="165">
          <cell r="A165" t="str">
            <v>401000002</v>
          </cell>
          <cell r="B165" t="str">
            <v>BOLSA TRANSPARENTE 6X6X4 KILO</v>
          </cell>
          <cell r="C165" t="str">
            <v>401000002</v>
          </cell>
          <cell r="D165" t="str">
            <v>1 KILO</v>
          </cell>
          <cell r="E165" t="str">
            <v>29/01/2020</v>
          </cell>
          <cell r="F165">
            <v>1400</v>
          </cell>
          <cell r="G165" t="str">
            <v>UND</v>
          </cell>
          <cell r="H165">
            <v>3.2558139534883721</v>
          </cell>
        </row>
        <row r="166">
          <cell r="A166" t="str">
            <v>401000003</v>
          </cell>
          <cell r="B166" t="str">
            <v>BOLSA TRANSPARENTE 6X8X4 KILO</v>
          </cell>
          <cell r="C166" t="str">
            <v>401000003</v>
          </cell>
          <cell r="D166" t="str">
            <v>1 KILO</v>
          </cell>
          <cell r="E166" t="str">
            <v>14/02/2020</v>
          </cell>
          <cell r="F166">
            <v>1400</v>
          </cell>
        </row>
        <row r="167">
          <cell r="A167" t="str">
            <v>401000004</v>
          </cell>
          <cell r="B167" t="str">
            <v>BOLSA TRANSPARENTE 7X9X4 KILO</v>
          </cell>
          <cell r="C167" t="str">
            <v>401000004</v>
          </cell>
          <cell r="D167" t="str">
            <v>1 KILO</v>
          </cell>
          <cell r="E167" t="str">
            <v>27/01/2020</v>
          </cell>
          <cell r="F167">
            <v>1400</v>
          </cell>
        </row>
        <row r="168">
          <cell r="A168" t="str">
            <v>401000005</v>
          </cell>
          <cell r="B168" t="str">
            <v>BOLSA TRANSPARENTE 8X10X4 KILO</v>
          </cell>
          <cell r="C168" t="str">
            <v>401000005</v>
          </cell>
          <cell r="D168" t="str">
            <v>1 KILO</v>
          </cell>
          <cell r="E168" t="str">
            <v>07/02/2020</v>
          </cell>
          <cell r="F168">
            <v>1400</v>
          </cell>
        </row>
        <row r="169">
          <cell r="A169" t="str">
            <v>401000006</v>
          </cell>
          <cell r="B169" t="str">
            <v>BOLSA TRANSPARENTE 10X12X4 KILO</v>
          </cell>
          <cell r="C169" t="str">
            <v>401000006</v>
          </cell>
          <cell r="D169" t="str">
            <v>1 KILO</v>
          </cell>
          <cell r="E169" t="str">
            <v>27/01/2020</v>
          </cell>
          <cell r="F169">
            <v>1400</v>
          </cell>
        </row>
        <row r="170">
          <cell r="A170" t="str">
            <v>503000006</v>
          </cell>
          <cell r="B170" t="str">
            <v>BOLSA AL VACIO 10X15 UND</v>
          </cell>
          <cell r="C170" t="str">
            <v>503000006</v>
          </cell>
          <cell r="D170" t="str">
            <v>1 UND</v>
          </cell>
          <cell r="E170" t="str">
            <v>20/11/2019</v>
          </cell>
          <cell r="F170">
            <v>78</v>
          </cell>
        </row>
        <row r="171">
          <cell r="A171" t="str">
            <v>507000012</v>
          </cell>
          <cell r="B171" t="str">
            <v>TAPA PLAST P/CONT. PAPEL 12 ONZ (PAQ=50)</v>
          </cell>
          <cell r="C171" t="str">
            <v>507000012</v>
          </cell>
          <cell r="D171" t="str">
            <v>1 PAQUETE</v>
          </cell>
          <cell r="E171" t="str">
            <v>11/11/2019</v>
          </cell>
          <cell r="F171">
            <v>34.72</v>
          </cell>
        </row>
        <row r="172">
          <cell r="A172" t="str">
            <v>507000013</v>
          </cell>
          <cell r="B172" t="str">
            <v>CONTENEDOR PAPEL 12 ONZAS (PAQ=50 UND) C</v>
          </cell>
          <cell r="C172" t="str">
            <v>507000013</v>
          </cell>
          <cell r="D172" t="str">
            <v>1 PAQUETE</v>
          </cell>
          <cell r="E172" t="str">
            <v>02/11/2019</v>
          </cell>
          <cell r="F172">
            <v>34.72</v>
          </cell>
        </row>
        <row r="173">
          <cell r="A173" t="str">
            <v>510000013</v>
          </cell>
          <cell r="B173" t="str">
            <v>ORLA 13" C163 (UND)</v>
          </cell>
          <cell r="C173" t="str">
            <v>510000013</v>
          </cell>
          <cell r="D173" t="str">
            <v>1 UND</v>
          </cell>
          <cell r="E173" t="str">
            <v>06/01/2020</v>
          </cell>
          <cell r="F173">
            <v>235</v>
          </cell>
        </row>
        <row r="174">
          <cell r="A174" t="str">
            <v>510000014</v>
          </cell>
          <cell r="B174" t="str">
            <v>BASE CARTON ALUMINIO REDONDA # 12 (UND)</v>
          </cell>
          <cell r="C174" t="str">
            <v>510000014</v>
          </cell>
          <cell r="D174" t="str">
            <v>1 UND</v>
          </cell>
          <cell r="E174" t="str">
            <v>28/01/2020</v>
          </cell>
          <cell r="F174">
            <v>275</v>
          </cell>
          <cell r="G174" t="str">
            <v>UND</v>
          </cell>
          <cell r="H174">
            <v>275</v>
          </cell>
        </row>
        <row r="175">
          <cell r="A175" t="str">
            <v>510000015</v>
          </cell>
          <cell r="B175" t="str">
            <v>BASE RECTAGULAR GRANDE (UND)</v>
          </cell>
          <cell r="C175" t="str">
            <v>510000015</v>
          </cell>
          <cell r="D175" t="str">
            <v xml:space="preserve">1 UND </v>
          </cell>
          <cell r="E175" t="str">
            <v>28/01/2020</v>
          </cell>
          <cell r="F175">
            <v>220</v>
          </cell>
        </row>
        <row r="176">
          <cell r="A176" t="str">
            <v>510000016</v>
          </cell>
          <cell r="B176" t="str">
            <v>CARTON RECTA PEQ 1/2 QUEQUE CRISTAL(UND)</v>
          </cell>
          <cell r="C176" t="str">
            <v>510000016</v>
          </cell>
          <cell r="D176" t="str">
            <v>1 UND</v>
          </cell>
          <cell r="E176" t="str">
            <v>28/01/2020</v>
          </cell>
          <cell r="F176">
            <v>180</v>
          </cell>
        </row>
        <row r="177">
          <cell r="A177" t="str">
            <v>512000001</v>
          </cell>
          <cell r="B177" t="str">
            <v>PLASTICO P PALETIZAR 18X1500</v>
          </cell>
          <cell r="C177" t="str">
            <v>512000001</v>
          </cell>
          <cell r="D177" t="str">
            <v>1 UND</v>
          </cell>
          <cell r="E177" t="str">
            <v>07/02/2020</v>
          </cell>
          <cell r="F177">
            <v>4800</v>
          </cell>
        </row>
        <row r="178">
          <cell r="A178" t="str">
            <v>515000012</v>
          </cell>
          <cell r="B178" t="str">
            <v>VASO CARTON NESCAFE 8OZ (PAQ:50 UND)</v>
          </cell>
          <cell r="C178" t="str">
            <v>515000012</v>
          </cell>
          <cell r="D178" t="str">
            <v>1 PAQUETE</v>
          </cell>
          <cell r="E178" t="str">
            <v>22/02/2020</v>
          </cell>
          <cell r="F178">
            <v>1666</v>
          </cell>
        </row>
        <row r="179">
          <cell r="A179" t="str">
            <v>516000002</v>
          </cell>
          <cell r="B179" t="str">
            <v>LAMINA ACETATO (UND)</v>
          </cell>
          <cell r="C179" t="str">
            <v>516000002</v>
          </cell>
          <cell r="D179" t="str">
            <v>1 UND</v>
          </cell>
          <cell r="E179" t="str">
            <v>26/12/2019</v>
          </cell>
          <cell r="F179">
            <v>155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  <sheetName val="Base datos costos 2016"/>
      <sheetName val="calculo"/>
      <sheetName val="MUNDP LOCALES"/>
    </sheetNames>
    <sheetDataSet>
      <sheetData sheetId="0"/>
      <sheetData sheetId="1">
        <row r="2">
          <cell r="A2" t="str">
            <v>99999</v>
          </cell>
        </row>
      </sheetData>
      <sheetData sheetId="2">
        <row r="2">
          <cell r="A2" t="str">
            <v>0702006</v>
          </cell>
        </row>
      </sheetData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95001</v>
          </cell>
          <cell r="B2" t="str">
            <v>PASTA DE HOJALDRE (33644g)</v>
          </cell>
          <cell r="C2" t="str">
            <v>KILO</v>
          </cell>
          <cell r="D2" t="str">
            <v>GRAMO</v>
          </cell>
          <cell r="E2">
            <v>584.85363651792932</v>
          </cell>
          <cell r="F2">
            <v>0.58485363651792932</v>
          </cell>
          <cell r="G2">
            <v>3.2665845367991899</v>
          </cell>
          <cell r="H2">
            <v>3.2665845367991901E-3</v>
          </cell>
          <cell r="I2">
            <v>98.116434338150142</v>
          </cell>
          <cell r="J2">
            <v>9.8116434338150149E-2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(23.3 Kg)</v>
          </cell>
          <cell r="C4" t="str">
            <v>KILO</v>
          </cell>
          <cell r="D4" t="str">
            <v>GRAMO</v>
          </cell>
          <cell r="E4">
            <v>948.40396783549795</v>
          </cell>
          <cell r="F4">
            <v>0.94840396783549796</v>
          </cell>
          <cell r="G4">
            <v>2.792724716553288</v>
          </cell>
          <cell r="H4">
            <v>2.792724716553288E-3</v>
          </cell>
          <cell r="I4">
            <v>23.809523809523807</v>
          </cell>
          <cell r="J4">
            <v>2.3809523809523808E-2</v>
          </cell>
        </row>
        <row r="5">
          <cell r="A5" t="str">
            <v>95017</v>
          </cell>
          <cell r="B5" t="str">
            <v>PLATANOS MADUROS FRITOS (23.950g)</v>
          </cell>
          <cell r="C5" t="str">
            <v>KILO</v>
          </cell>
          <cell r="D5" t="str">
            <v>GRAMO</v>
          </cell>
          <cell r="E5">
            <v>1277.9170454545454</v>
          </cell>
          <cell r="F5">
            <v>1.2779170454545454</v>
          </cell>
          <cell r="G5">
            <v>0</v>
          </cell>
          <cell r="H5">
            <v>0</v>
          </cell>
          <cell r="I5">
            <v>53.030303030303031</v>
          </cell>
          <cell r="J5">
            <v>5.3030303030303032E-2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KILO</v>
          </cell>
          <cell r="D6" t="str">
            <v>GRAMO</v>
          </cell>
          <cell r="E6">
            <v>299.02126133333331</v>
          </cell>
          <cell r="F6">
            <v>0.29902126133333329</v>
          </cell>
          <cell r="G6">
            <v>0</v>
          </cell>
          <cell r="H6">
            <v>0</v>
          </cell>
          <cell r="I6">
            <v>11.2</v>
          </cell>
          <cell r="J6">
            <v>1.12E-2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KILO</v>
          </cell>
          <cell r="D9" t="str">
            <v>GRAMO</v>
          </cell>
          <cell r="E9">
            <v>2109.7364485981311</v>
          </cell>
          <cell r="F9">
            <v>2.1097364485981309</v>
          </cell>
          <cell r="G9">
            <v>2.8935507995846312</v>
          </cell>
          <cell r="H9">
            <v>2.8935507995846311E-3</v>
          </cell>
          <cell r="I9">
            <v>31.401869158878508</v>
          </cell>
          <cell r="J9">
            <v>3.1401869158878506E-2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793.83436830892322</v>
          </cell>
          <cell r="F10">
            <v>793.83436830892322</v>
          </cell>
          <cell r="G10">
            <v>15.868516243916272</v>
          </cell>
          <cell r="H10">
            <v>15.868516243916272</v>
          </cell>
          <cell r="I10">
            <v>31.608908872505264</v>
          </cell>
          <cell r="J10">
            <v>31.608908872505264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1238.6712159554729</v>
          </cell>
          <cell r="F11">
            <v>1.2386712159554729</v>
          </cell>
          <cell r="G11">
            <v>3.0026979415142683</v>
          </cell>
          <cell r="H11">
            <v>3.0026979415142684E-3</v>
          </cell>
          <cell r="I11">
            <v>20.408163265306122</v>
          </cell>
          <cell r="J11">
            <v>2.0408163265306121E-2</v>
          </cell>
        </row>
        <row r="12">
          <cell r="A12" t="str">
            <v>95091</v>
          </cell>
          <cell r="B12" t="str">
            <v>BATIDO VAINILLA PURATOS BUCCA (21750g)</v>
          </cell>
          <cell r="C12" t="str">
            <v>KILO</v>
          </cell>
          <cell r="D12" t="str">
            <v>GRAMO</v>
          </cell>
          <cell r="E12">
            <v>990.29529845433274</v>
          </cell>
          <cell r="F12">
            <v>0.99029529845433273</v>
          </cell>
          <cell r="G12">
            <v>2.1484353072376492</v>
          </cell>
          <cell r="H12">
            <v>2.1484353072376491E-3</v>
          </cell>
          <cell r="I12">
            <v>15.456674473067917</v>
          </cell>
          <cell r="J12">
            <v>1.5456674473067917E-2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666.50514499999986</v>
          </cell>
          <cell r="F22">
            <v>0.66650514499999991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KILO</v>
          </cell>
          <cell r="D23" t="str">
            <v>GRAMO</v>
          </cell>
          <cell r="E23">
            <v>2467.9194567499999</v>
          </cell>
          <cell r="F23">
            <v>2.4679194567499998</v>
          </cell>
          <cell r="G23">
            <v>1.5184587222651222</v>
          </cell>
          <cell r="H23">
            <v>1.5184587222651222E-3</v>
          </cell>
          <cell r="I23">
            <v>88.351351351351354</v>
          </cell>
          <cell r="J23">
            <v>8.8351351351351359E-2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683.6534171611188</v>
          </cell>
          <cell r="F24">
            <v>683.6534171611188</v>
          </cell>
          <cell r="G24">
            <v>10.058780857638652</v>
          </cell>
          <cell r="H24">
            <v>10.058780857638652</v>
          </cell>
          <cell r="I24">
            <v>25.201607762170244</v>
          </cell>
          <cell r="J24">
            <v>25.201607762170244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970.90652724668178</v>
          </cell>
          <cell r="F25">
            <v>0.97090652724668181</v>
          </cell>
          <cell r="G25">
            <v>4.6256774435915551</v>
          </cell>
          <cell r="H25">
            <v>4.6256774435915549E-3</v>
          </cell>
          <cell r="I25">
            <v>70.847709087107518</v>
          </cell>
          <cell r="J25">
            <v>7.0847709087107524E-2</v>
          </cell>
        </row>
        <row r="26">
          <cell r="A26" t="str">
            <v>95149</v>
          </cell>
          <cell r="B26" t="str">
            <v>COCCION FRIJOLES MOLIDOS (14.450g)</v>
          </cell>
          <cell r="C26" t="str">
            <v>KILO</v>
          </cell>
          <cell r="D26" t="str">
            <v>GRAMO</v>
          </cell>
          <cell r="E26">
            <v>1225.7643839241489</v>
          </cell>
          <cell r="F26">
            <v>1.225764383924149</v>
          </cell>
          <cell r="G26">
            <v>2.686637232010189</v>
          </cell>
          <cell r="H26">
            <v>2.6866372320101888E-3</v>
          </cell>
          <cell r="I26">
            <v>97.290030425245874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3307.9748571428568</v>
          </cell>
          <cell r="F28">
            <v>3.3079748571428569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95167</v>
          </cell>
          <cell r="B29" t="str">
            <v>COCCION POLLO RECORTE (31600g)</v>
          </cell>
          <cell r="C29" t="str">
            <v>KILO</v>
          </cell>
          <cell r="D29" t="str">
            <v>GRAMO</v>
          </cell>
          <cell r="E29">
            <v>3244.1848639240507</v>
          </cell>
          <cell r="F29">
            <v>3.2441848639240507</v>
          </cell>
          <cell r="G29">
            <v>0</v>
          </cell>
          <cell r="H29">
            <v>0</v>
          </cell>
          <cell r="I29">
            <v>71.360759493670898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KILO</v>
          </cell>
          <cell r="D36" t="str">
            <v>GRAMO</v>
          </cell>
          <cell r="E36">
            <v>2120.5222677290203</v>
          </cell>
          <cell r="F36">
            <v>2.1205222677290205</v>
          </cell>
          <cell r="G36">
            <v>10.596546310832027</v>
          </cell>
          <cell r="H36">
            <v>1.0596546310832027E-2</v>
          </cell>
          <cell r="I36">
            <v>133.09284607530222</v>
          </cell>
          <cell r="J36">
            <v>0.13309284607530222</v>
          </cell>
        </row>
        <row r="37">
          <cell r="A37" t="str">
            <v>95214</v>
          </cell>
          <cell r="B37" t="str">
            <v>RELLENO P/TORTA CHOCOFRESA (23500g)</v>
          </cell>
          <cell r="C37" t="str">
            <v>KILO</v>
          </cell>
          <cell r="D37" t="str">
            <v>GRAMO</v>
          </cell>
          <cell r="E37">
            <v>1872.9511215744681</v>
          </cell>
          <cell r="F37">
            <v>1.8729511215744681</v>
          </cell>
          <cell r="G37">
            <v>5.335342806484296</v>
          </cell>
          <cell r="H37">
            <v>5.3353428064842959E-3</v>
          </cell>
          <cell r="I37">
            <v>42.127659574468083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9.3388131113481965</v>
          </cell>
          <cell r="F38">
            <v>9.3388131113481965</v>
          </cell>
          <cell r="G38">
            <v>0</v>
          </cell>
          <cell r="H38">
            <v>0</v>
          </cell>
          <cell r="I38">
            <v>4.1694385216773275</v>
          </cell>
          <cell r="J38">
            <v>4.1694385216773275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151.65326877623079</v>
          </cell>
          <cell r="F40">
            <v>151.65326877623079</v>
          </cell>
          <cell r="G40">
            <v>0.54627869180329502</v>
          </cell>
          <cell r="H40">
            <v>0.54627869180329502</v>
          </cell>
          <cell r="I40">
            <v>33.70166083016521</v>
          </cell>
          <cell r="J40">
            <v>33.70166083016521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19.567969144266296</v>
          </cell>
          <cell r="F41">
            <v>19.567969144266296</v>
          </cell>
          <cell r="G41">
            <v>0.1047391636438969</v>
          </cell>
          <cell r="H41">
            <v>0.1047391636438969</v>
          </cell>
          <cell r="I41">
            <v>8.4185917284465823</v>
          </cell>
          <cell r="J41">
            <v>8.4185917284465823</v>
          </cell>
        </row>
        <row r="42">
          <cell r="A42" t="str">
            <v>95250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1297.2533308306129</v>
          </cell>
          <cell r="F42">
            <v>1297.2533308306129</v>
          </cell>
          <cell r="G42">
            <v>70.788359435540642</v>
          </cell>
          <cell r="H42">
            <v>70.788359435540642</v>
          </cell>
          <cell r="I42">
            <v>158.6154586129754</v>
          </cell>
          <cell r="J42">
            <v>158.6154586129754</v>
          </cell>
        </row>
        <row r="43">
          <cell r="A43" t="str">
            <v>95256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7933.5487464300013</v>
          </cell>
          <cell r="F43">
            <v>7933.5487464300013</v>
          </cell>
          <cell r="G43">
            <v>28.963056999999999</v>
          </cell>
          <cell r="H43">
            <v>28.963056999999999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(12680g)</v>
          </cell>
          <cell r="C45" t="str">
            <v>KILO</v>
          </cell>
          <cell r="D45" t="str">
            <v>GRAMO</v>
          </cell>
          <cell r="E45">
            <v>509.90339415287065</v>
          </cell>
          <cell r="F45">
            <v>0.50990339415287067</v>
          </cell>
          <cell r="G45">
            <v>19.238843783022187</v>
          </cell>
          <cell r="H45">
            <v>1.9238843783022187E-2</v>
          </cell>
          <cell r="I45">
            <v>38.746037337090527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1753.4719664914771</v>
          </cell>
          <cell r="F46">
            <v>1.7534719664914771</v>
          </cell>
          <cell r="G46">
            <v>14.051182974025975</v>
          </cell>
          <cell r="H46">
            <v>1.4051182974025975E-2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KILO</v>
          </cell>
          <cell r="D47" t="str">
            <v>GRAMO</v>
          </cell>
          <cell r="E47">
            <v>684.79922046276204</v>
          </cell>
          <cell r="F47">
            <v>0.68479922046276198</v>
          </cell>
          <cell r="G47">
            <v>8.0169969631236455</v>
          </cell>
          <cell r="H47">
            <v>8.0169969631236453E-3</v>
          </cell>
          <cell r="I47">
            <v>60.737527114967456</v>
          </cell>
          <cell r="J47">
            <v>6.0737527114967459E-2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647.65550580645174</v>
          </cell>
          <cell r="F50">
            <v>0.6476555058064517</v>
          </cell>
          <cell r="G50">
            <v>12.197808870967741</v>
          </cell>
          <cell r="H50">
            <v>1.2197808870967742E-2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KILO</v>
          </cell>
          <cell r="D51" t="str">
            <v>GRAMO</v>
          </cell>
          <cell r="E51">
            <v>569.29152371342082</v>
          </cell>
          <cell r="F51">
            <v>0.56929152371342084</v>
          </cell>
          <cell r="G51">
            <v>3.8406655398587279</v>
          </cell>
          <cell r="H51">
            <v>3.8406655398587281E-3</v>
          </cell>
          <cell r="I51">
            <v>28.254288597376387</v>
          </cell>
          <cell r="J51">
            <v>2.8254288597376387E-2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KILO</v>
          </cell>
          <cell r="D52" t="str">
            <v>GRAMO</v>
          </cell>
          <cell r="E52">
            <v>1082.8636379845727</v>
          </cell>
          <cell r="F52">
            <v>1.0828636379845726</v>
          </cell>
          <cell r="G52">
            <v>18.813585167644479</v>
          </cell>
          <cell r="H52">
            <v>1.8813585167644479E-2</v>
          </cell>
          <cell r="I52">
            <v>131.96794124853756</v>
          </cell>
          <cell r="J52">
            <v>0.13196794124853756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KILO</v>
          </cell>
          <cell r="D53" t="str">
            <v>GRAMO</v>
          </cell>
          <cell r="E53">
            <v>3656.2497406250004</v>
          </cell>
          <cell r="F53">
            <v>3.6562497406250003</v>
          </cell>
          <cell r="G53">
            <v>0</v>
          </cell>
          <cell r="H53">
            <v>0</v>
          </cell>
          <cell r="I53">
            <v>154.6875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KILO</v>
          </cell>
          <cell r="D54" t="str">
            <v>GRAMO</v>
          </cell>
          <cell r="E54">
            <v>2396.9071813186811</v>
          </cell>
          <cell r="F54">
            <v>2.3969071813186811</v>
          </cell>
          <cell r="G54">
            <v>46.169972527472524</v>
          </cell>
          <cell r="H54">
            <v>4.6169972527472521E-2</v>
          </cell>
          <cell r="I54">
            <v>60.439560439560438</v>
          </cell>
          <cell r="J54">
            <v>6.043956043956044E-2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767.32043160682326</v>
          </cell>
          <cell r="F59">
            <v>767.32043160682326</v>
          </cell>
          <cell r="G59">
            <v>7.0299872128901688</v>
          </cell>
          <cell r="H59">
            <v>7.0299872128901688</v>
          </cell>
          <cell r="I59">
            <v>47.41185682326622</v>
          </cell>
          <cell r="J59">
            <v>47.41185682326622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4703.7801359999994</v>
          </cell>
          <cell r="F61">
            <v>0.9875666882217089</v>
          </cell>
          <cell r="G61">
            <v>64.769083809523821</v>
          </cell>
          <cell r="H61">
            <v>1.3598379972606304E-2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(1.498g)</v>
          </cell>
          <cell r="C62" t="str">
            <v>TANDA</v>
          </cell>
          <cell r="D62" t="str">
            <v>GRAMO</v>
          </cell>
          <cell r="E62">
            <v>601.8134419999999</v>
          </cell>
          <cell r="F62">
            <v>0.60181344199999987</v>
          </cell>
          <cell r="G62">
            <v>27.00001</v>
          </cell>
          <cell r="H62">
            <v>2.7000009999999998E-2</v>
          </cell>
          <cell r="I62">
            <v>55</v>
          </cell>
          <cell r="J62">
            <v>5.5E-2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5709.5266739999988</v>
          </cell>
          <cell r="F63">
            <v>0.59252041033623903</v>
          </cell>
          <cell r="G63">
            <v>64.73816761904763</v>
          </cell>
          <cell r="H63">
            <v>6.7183652572693677E-3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15091.605450999999</v>
          </cell>
          <cell r="F65">
            <v>1.6343519006930907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22.268273333333333</v>
          </cell>
          <cell r="H66">
            <v>4.6586345885634584E-3</v>
          </cell>
          <cell r="I66">
            <v>168</v>
          </cell>
          <cell r="J66">
            <v>3.5146443514644354E-2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8572.8293130000002</v>
          </cell>
          <cell r="F67">
            <v>1.3592562728714128</v>
          </cell>
          <cell r="G67">
            <v>32.365582698412702</v>
          </cell>
          <cell r="H67">
            <v>5.1316921988921356E-3</v>
          </cell>
          <cell r="I67">
            <v>82.5</v>
          </cell>
          <cell r="J67">
            <v>1.308070397970509E-2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18952.719329999996</v>
          </cell>
          <cell r="F69">
            <v>1.0345370813318775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KILO</v>
          </cell>
          <cell r="D72" t="str">
            <v>GRAMO</v>
          </cell>
          <cell r="E72">
            <v>1571.1600631712397</v>
          </cell>
          <cell r="F72">
            <v>1.5711600631712397</v>
          </cell>
          <cell r="G72">
            <v>0</v>
          </cell>
          <cell r="H72">
            <v>0</v>
          </cell>
          <cell r="I72">
            <v>17.929910350448246</v>
          </cell>
          <cell r="J72">
            <v>1.7929910350448247E-2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KILO</v>
          </cell>
          <cell r="D74" t="str">
            <v>GRAMO</v>
          </cell>
          <cell r="E74">
            <v>6309.2999666666665</v>
          </cell>
          <cell r="F74">
            <v>6.309299966666666</v>
          </cell>
          <cell r="G74">
            <v>44.379882456140351</v>
          </cell>
          <cell r="H74">
            <v>4.437988245614035E-2</v>
          </cell>
          <cell r="I74">
            <v>221.36695906432749</v>
          </cell>
          <cell r="J74">
            <v>0.22136695906432749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KILO</v>
          </cell>
          <cell r="D75" t="str">
            <v>GRAMO</v>
          </cell>
          <cell r="E75">
            <v>2590.2078588744589</v>
          </cell>
          <cell r="F75">
            <v>2.590207858874459</v>
          </cell>
          <cell r="G75">
            <v>19.771527272727273</v>
          </cell>
          <cell r="H75">
            <v>1.9771527272727272E-2</v>
          </cell>
          <cell r="I75">
            <v>190.47619047619045</v>
          </cell>
          <cell r="J75">
            <v>0.19047619047619047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117.43575905671182</v>
          </cell>
          <cell r="F77">
            <v>117.43575905671182</v>
          </cell>
          <cell r="G77">
            <v>0.9310591617952928</v>
          </cell>
          <cell r="H77">
            <v>0.9310591617952928</v>
          </cell>
          <cell r="I77">
            <v>23.308078817733989</v>
          </cell>
          <cell r="J77">
            <v>23.308078817733989</v>
          </cell>
        </row>
        <row r="78">
          <cell r="A78" t="str">
            <v>95478</v>
          </cell>
          <cell r="B78" t="str">
            <v>TRIANGULO PALMITO (UND)</v>
          </cell>
          <cell r="C78" t="str">
            <v>UND</v>
          </cell>
          <cell r="D78" t="str">
            <v>UND</v>
          </cell>
          <cell r="E78">
            <v>62.391946592877211</v>
          </cell>
          <cell r="F78">
            <v>62.391946592877211</v>
          </cell>
          <cell r="G78">
            <v>1.8165973221979714</v>
          </cell>
          <cell r="H78">
            <v>1.8165973221979714</v>
          </cell>
          <cell r="I78">
            <v>28.884304007653984</v>
          </cell>
          <cell r="J78">
            <v>28.884304007653984</v>
          </cell>
        </row>
        <row r="79">
          <cell r="A79" t="str">
            <v>95485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284.48865127795523</v>
          </cell>
          <cell r="F79">
            <v>0.28448865127795525</v>
          </cell>
          <cell r="G79">
            <v>5.4044722044728424</v>
          </cell>
          <cell r="H79">
            <v>5.4044722044728427E-3</v>
          </cell>
          <cell r="I79">
            <v>26.837060702875398</v>
          </cell>
          <cell r="J79">
            <v>2.68370607028754E-2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(11500g)</v>
          </cell>
          <cell r="C81" t="str">
            <v>KILO</v>
          </cell>
          <cell r="D81" t="str">
            <v>GRAMO</v>
          </cell>
          <cell r="E81">
            <v>812.38193146551714</v>
          </cell>
          <cell r="F81">
            <v>0.81238193146551718</v>
          </cell>
          <cell r="G81">
            <v>6.5109032293377114</v>
          </cell>
          <cell r="H81">
            <v>6.5109032293377113E-3</v>
          </cell>
          <cell r="I81">
            <v>53.103448275862064</v>
          </cell>
          <cell r="J81">
            <v>5.3103448275862067E-2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95539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768.32905857936305</v>
          </cell>
          <cell r="F85">
            <v>768.32905857936305</v>
          </cell>
          <cell r="G85">
            <v>11.782994976749775</v>
          </cell>
          <cell r="H85">
            <v>11.782994976749775</v>
          </cell>
          <cell r="I85">
            <v>96.580617261110319</v>
          </cell>
          <cell r="J85">
            <v>96.580617261110319</v>
          </cell>
        </row>
        <row r="86">
          <cell r="A86" t="str">
            <v>95555</v>
          </cell>
          <cell r="B86" t="str">
            <v>BASE PREMEZCLA CHILENA (11.637g)</v>
          </cell>
          <cell r="C86" t="str">
            <v>TANDA</v>
          </cell>
          <cell r="D86" t="str">
            <v>GRAMO</v>
          </cell>
          <cell r="E86">
            <v>9424.6852049999998</v>
          </cell>
          <cell r="F86">
            <v>0.80988959396751736</v>
          </cell>
          <cell r="G86">
            <v>64.728212063492066</v>
          </cell>
          <cell r="H86">
            <v>5.5622765372082212E-3</v>
          </cell>
          <cell r="I86">
            <v>112</v>
          </cell>
          <cell r="J86">
            <v>9.6244736615966314E-3</v>
          </cell>
        </row>
        <row r="87">
          <cell r="A87" t="str">
            <v>95559</v>
          </cell>
          <cell r="B87" t="str">
            <v>PASTA FROLA (6400g)</v>
          </cell>
          <cell r="C87" t="str">
            <v>KILO</v>
          </cell>
          <cell r="D87" t="str">
            <v>GRAMO</v>
          </cell>
          <cell r="E87">
            <v>840.04416647851303</v>
          </cell>
          <cell r="F87">
            <v>0.84004416647851299</v>
          </cell>
          <cell r="G87">
            <v>14.636299569575705</v>
          </cell>
          <cell r="H87">
            <v>1.4636299569575704E-2</v>
          </cell>
          <cell r="I87">
            <v>86.927071573718678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7257.1164360000002</v>
          </cell>
          <cell r="F88">
            <v>1.208311094905095</v>
          </cell>
          <cell r="G88">
            <v>32.363238730158727</v>
          </cell>
          <cell r="H88">
            <v>5.3884846370560648E-3</v>
          </cell>
          <cell r="I88">
            <v>112</v>
          </cell>
          <cell r="J88">
            <v>1.8648018648018648E-2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(5588g)</v>
          </cell>
          <cell r="C91" t="str">
            <v>TANDA</v>
          </cell>
          <cell r="D91" t="str">
            <v>GRAMO</v>
          </cell>
          <cell r="E91">
            <v>5156.7229370000005</v>
          </cell>
          <cell r="F91">
            <v>0.92282085486757348</v>
          </cell>
          <cell r="G91">
            <v>11.021531111111111</v>
          </cell>
          <cell r="H91">
            <v>1.9723570349160901E-3</v>
          </cell>
          <cell r="I91">
            <v>168</v>
          </cell>
          <cell r="J91">
            <v>3.0064423765211165E-2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21504.613643000001</v>
          </cell>
          <cell r="F92">
            <v>0.92057421416952057</v>
          </cell>
          <cell r="G92">
            <v>64.511940952380954</v>
          </cell>
          <cell r="H92">
            <v>2.7616413078930201E-3</v>
          </cell>
          <cell r="I92">
            <v>220</v>
          </cell>
          <cell r="J92">
            <v>9.4178082191780817E-3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18452.244969999996</v>
          </cell>
          <cell r="F93">
            <v>0.7615453970284769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9735.8883400000013</v>
          </cell>
          <cell r="F94">
            <v>0.90314363079777382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(12900g)</v>
          </cell>
          <cell r="C96" t="str">
            <v>KILO</v>
          </cell>
          <cell r="D96" t="str">
            <v>GRAMO</v>
          </cell>
          <cell r="E96">
            <v>555.27255142460046</v>
          </cell>
          <cell r="F96">
            <v>0.55527255142460041</v>
          </cell>
          <cell r="G96">
            <v>9.0680071230020829</v>
          </cell>
          <cell r="H96">
            <v>9.0680071230020837E-3</v>
          </cell>
          <cell r="I96">
            <v>30.576789437109102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(1630g)</v>
          </cell>
          <cell r="C97" t="str">
            <v>KILO</v>
          </cell>
          <cell r="D97" t="str">
            <v>GRAMO</v>
          </cell>
          <cell r="E97">
            <v>1253.9992172776592</v>
          </cell>
          <cell r="F97">
            <v>1.2539992172776593</v>
          </cell>
          <cell r="G97">
            <v>0</v>
          </cell>
          <cell r="H97">
            <v>0</v>
          </cell>
          <cell r="I97">
            <v>63.937562058905606</v>
          </cell>
          <cell r="J97">
            <v>6.3937562058905606E-2</v>
          </cell>
        </row>
        <row r="98">
          <cell r="A98" t="str">
            <v>95630</v>
          </cell>
          <cell r="B98" t="str">
            <v>ENSAMBLE PECHUGA RELLENAS (4220g)</v>
          </cell>
          <cell r="C98" t="str">
            <v>KILO</v>
          </cell>
          <cell r="D98" t="str">
            <v>GRAMO</v>
          </cell>
          <cell r="E98">
            <v>5854.0162985454544</v>
          </cell>
          <cell r="F98">
            <v>5.8540162985454547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(41940g)</v>
          </cell>
          <cell r="C99" t="str">
            <v>KILO</v>
          </cell>
          <cell r="D99" t="str">
            <v>GRAMO</v>
          </cell>
          <cell r="E99">
            <v>2768.6223719033878</v>
          </cell>
          <cell r="F99">
            <v>2.7686223719033878</v>
          </cell>
          <cell r="G99">
            <v>3.0528611621086759</v>
          </cell>
          <cell r="H99">
            <v>3.0528611621086759E-3</v>
          </cell>
          <cell r="I99">
            <v>19.670489497150761</v>
          </cell>
          <cell r="J99">
            <v>1.9670489497150761E-2</v>
          </cell>
        </row>
        <row r="100">
          <cell r="A100" t="str">
            <v>95643</v>
          </cell>
          <cell r="B100" t="str">
            <v>QUESO PARMESANO RALLADO (7400g)</v>
          </cell>
          <cell r="C100" t="str">
            <v>KILO</v>
          </cell>
          <cell r="D100" t="str">
            <v>GRAMO</v>
          </cell>
          <cell r="E100">
            <v>9225.5450000000001</v>
          </cell>
          <cell r="F100">
            <v>9.2255450000000003</v>
          </cell>
          <cell r="G100">
            <v>7.3218353400585752</v>
          </cell>
          <cell r="H100">
            <v>7.3218353400585755E-3</v>
          </cell>
          <cell r="I100">
            <v>125.28473804100229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KILO</v>
          </cell>
          <cell r="D102" t="str">
            <v>GRAMO</v>
          </cell>
          <cell r="E102">
            <v>1409.4139578205657</v>
          </cell>
          <cell r="F102">
            <v>1.4094139578205656</v>
          </cell>
          <cell r="G102">
            <v>17.647261779348639</v>
          </cell>
          <cell r="H102">
            <v>1.7647261779348639E-2</v>
          </cell>
          <cell r="I102">
            <v>160.61555153707053</v>
          </cell>
          <cell r="J102">
            <v>0.16061555153707052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KILO</v>
          </cell>
          <cell r="D103" t="str">
            <v>GRAMO</v>
          </cell>
          <cell r="E103">
            <v>1739.1296426850838</v>
          </cell>
          <cell r="F103">
            <v>1.7391296426850837</v>
          </cell>
          <cell r="G103">
            <v>0</v>
          </cell>
          <cell r="H103">
            <v>0</v>
          </cell>
          <cell r="I103">
            <v>76.76410146400913</v>
          </cell>
          <cell r="J103">
            <v>7.6764101464009124E-2</v>
          </cell>
        </row>
        <row r="104">
          <cell r="A104" t="str">
            <v>95653</v>
          </cell>
          <cell r="B104" t="str">
            <v>RELLENO CARNE P/ LASAGÑA (21000g)</v>
          </cell>
          <cell r="C104" t="str">
            <v>KILO</v>
          </cell>
          <cell r="D104" t="str">
            <v>GRAMO</v>
          </cell>
          <cell r="E104">
            <v>2559.1263787931034</v>
          </cell>
          <cell r="F104">
            <v>2.5591263787931036</v>
          </cell>
          <cell r="G104">
            <v>0</v>
          </cell>
          <cell r="H104">
            <v>0</v>
          </cell>
          <cell r="I104">
            <v>82.974137931034491</v>
          </cell>
          <cell r="J104">
            <v>8.2974137931034489E-2</v>
          </cell>
        </row>
        <row r="105">
          <cell r="A105" t="str">
            <v>95658</v>
          </cell>
          <cell r="B105" t="str">
            <v>RELLENO POLLO CREPA (22110g)</v>
          </cell>
          <cell r="C105" t="str">
            <v>KILO</v>
          </cell>
          <cell r="D105" t="str">
            <v>GRAMO</v>
          </cell>
          <cell r="E105">
            <v>2660.688358043979</v>
          </cell>
          <cell r="F105">
            <v>2.6606883580439789</v>
          </cell>
          <cell r="G105">
            <v>0</v>
          </cell>
          <cell r="H105">
            <v>0</v>
          </cell>
          <cell r="I105">
            <v>145.58224975687065</v>
          </cell>
          <cell r="J105">
            <v>0.14558224975687065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KILO</v>
          </cell>
          <cell r="D106" t="str">
            <v>GRAMO</v>
          </cell>
          <cell r="E106">
            <v>4063.1987740259738</v>
          </cell>
          <cell r="F106">
            <v>4.0631987740259738</v>
          </cell>
          <cell r="G106">
            <v>0</v>
          </cell>
          <cell r="H106">
            <v>0</v>
          </cell>
          <cell r="I106">
            <v>428.57142857142856</v>
          </cell>
          <cell r="J106">
            <v>0.42857142857142855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4049.814453658536</v>
          </cell>
          <cell r="F107">
            <v>4.0498144536585361</v>
          </cell>
          <cell r="G107">
            <v>23.942232493224932</v>
          </cell>
          <cell r="H107">
            <v>2.394223249322493E-2</v>
          </cell>
          <cell r="I107">
            <v>214.63414634146341</v>
          </cell>
          <cell r="J107">
            <v>0.21463414634146341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KILO</v>
          </cell>
          <cell r="D109" t="str">
            <v>GRAMO</v>
          </cell>
          <cell r="E109">
            <v>1710.6626765571432</v>
          </cell>
          <cell r="F109">
            <v>1.7106626765571431</v>
          </cell>
          <cell r="G109">
            <v>0</v>
          </cell>
          <cell r="H109">
            <v>0</v>
          </cell>
          <cell r="I109">
            <v>20.952380952380953</v>
          </cell>
          <cell r="J109">
            <v>2.0952380952380951E-2</v>
          </cell>
        </row>
        <row r="110">
          <cell r="A110" t="str">
            <v>95666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1760.9872389770026</v>
          </cell>
          <cell r="F110">
            <v>1.7609872389770025</v>
          </cell>
          <cell r="G110">
            <v>39.074754143683727</v>
          </cell>
          <cell r="H110">
            <v>3.9074754143683728E-2</v>
          </cell>
          <cell r="I110">
            <v>109.84800422944751</v>
          </cell>
          <cell r="J110">
            <v>0.10984800422944752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(38.600g)</v>
          </cell>
          <cell r="C112" t="str">
            <v>KILO</v>
          </cell>
          <cell r="D112" t="str">
            <v>GRAMO</v>
          </cell>
          <cell r="E112">
            <v>2115.6424392621952</v>
          </cell>
          <cell r="F112">
            <v>2.1156424392621953</v>
          </cell>
          <cell r="G112">
            <v>6.4920155758807594</v>
          </cell>
          <cell r="H112">
            <v>6.4920155758807592E-3</v>
          </cell>
          <cell r="I112">
            <v>121.37784552845528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</v>
          </cell>
          <cell r="C113" t="str">
            <v>KILO</v>
          </cell>
          <cell r="D113" t="str">
            <v>GRAMO</v>
          </cell>
          <cell r="E113">
            <v>2513.4827373616895</v>
          </cell>
          <cell r="F113">
            <v>2.5134827373616897</v>
          </cell>
          <cell r="G113">
            <v>6.0606404585955271</v>
          </cell>
          <cell r="H113">
            <v>6.060640458595527E-3</v>
          </cell>
          <cell r="I113">
            <v>183.62216169213232</v>
          </cell>
          <cell r="J113">
            <v>0.18362216169213233</v>
          </cell>
        </row>
        <row r="114">
          <cell r="A114" t="str">
            <v>95670</v>
          </cell>
          <cell r="B114" t="str">
            <v>RELLENO POLLO PASTEL (22.7 k)</v>
          </cell>
          <cell r="C114" t="str">
            <v>KILO</v>
          </cell>
          <cell r="D114" t="str">
            <v>GRAMO</v>
          </cell>
          <cell r="E114">
            <v>2703.686224716992</v>
          </cell>
          <cell r="F114">
            <v>2.7036862247169919</v>
          </cell>
          <cell r="G114">
            <v>4.0075103703703707</v>
          </cell>
          <cell r="H114">
            <v>4.0075103703703704E-3</v>
          </cell>
          <cell r="I114">
            <v>179.98153288568301</v>
          </cell>
          <cell r="J114">
            <v>0.179981532885683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(5.550g)</v>
          </cell>
          <cell r="C116" t="str">
            <v>KILO</v>
          </cell>
          <cell r="D116" t="str">
            <v>GRAMO</v>
          </cell>
          <cell r="E116">
            <v>1729.6271186440677</v>
          </cell>
          <cell r="F116">
            <v>1.7296271186440677</v>
          </cell>
          <cell r="G116">
            <v>0</v>
          </cell>
          <cell r="H116">
            <v>0</v>
          </cell>
          <cell r="I116">
            <v>46.610169491525426</v>
          </cell>
          <cell r="J116">
            <v>4.6610169491525424E-2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KILO</v>
          </cell>
          <cell r="D117" t="str">
            <v>GRAMO</v>
          </cell>
          <cell r="E117">
            <v>2155.207538893691</v>
          </cell>
          <cell r="F117">
            <v>2.1552075388936909</v>
          </cell>
          <cell r="G117">
            <v>0</v>
          </cell>
          <cell r="H117">
            <v>0</v>
          </cell>
          <cell r="I117">
            <v>95.073465859982718</v>
          </cell>
          <cell r="J117">
            <v>9.507346585998272E-2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772.08662258648451</v>
          </cell>
          <cell r="F118">
            <v>0.77208662258648453</v>
          </cell>
          <cell r="G118">
            <v>14.38705991552634</v>
          </cell>
          <cell r="H118">
            <v>1.4387059915526339E-2</v>
          </cell>
          <cell r="I118">
            <v>351.50525510854789</v>
          </cell>
          <cell r="J118">
            <v>0.35150525510854791</v>
          </cell>
        </row>
        <row r="119">
          <cell r="A119" t="str">
            <v>95688</v>
          </cell>
          <cell r="B119" t="str">
            <v>BASE GALLETA P/CHESSE CAKE (9 Kg)</v>
          </cell>
          <cell r="C119" t="str">
            <v>KILO</v>
          </cell>
          <cell r="D119" t="str">
            <v>GRAMO</v>
          </cell>
          <cell r="E119">
            <v>2063.2433992014589</v>
          </cell>
          <cell r="F119">
            <v>2.0632433992014589</v>
          </cell>
          <cell r="G119">
            <v>0</v>
          </cell>
          <cell r="H119">
            <v>0</v>
          </cell>
          <cell r="I119">
            <v>100</v>
          </cell>
          <cell r="J119">
            <v>0.1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95692</v>
          </cell>
          <cell r="B123" t="str">
            <v>JUGO DE LIMON (7.9 Litros)</v>
          </cell>
          <cell r="C123" t="str">
            <v>LITRO</v>
          </cell>
          <cell r="D123" t="str">
            <v>Mililitro</v>
          </cell>
          <cell r="E123">
            <v>420.62845454545459</v>
          </cell>
          <cell r="F123">
            <v>0.42062845454545461</v>
          </cell>
          <cell r="G123">
            <v>2.2753401010101006</v>
          </cell>
          <cell r="H123">
            <v>2.2753401010101007E-3</v>
          </cell>
          <cell r="I123">
            <v>15.272727272727273</v>
          </cell>
          <cell r="J123">
            <v>1.5272727272727273E-2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KILO</v>
          </cell>
          <cell r="D124" t="str">
            <v>GRAMO</v>
          </cell>
          <cell r="E124">
            <v>1851.745370786517</v>
          </cell>
          <cell r="F124">
            <v>1.851745370786517</v>
          </cell>
          <cell r="G124">
            <v>0</v>
          </cell>
          <cell r="H124">
            <v>0</v>
          </cell>
          <cell r="I124">
            <v>100.67415730337079</v>
          </cell>
          <cell r="J124">
            <v>0.10067415730337079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95708</v>
          </cell>
          <cell r="B126" t="str">
            <v>RELLENO QUESO P/TORTA ZANAHORIA (11100g)</v>
          </cell>
          <cell r="C126" t="str">
            <v>KILO</v>
          </cell>
          <cell r="D126" t="str">
            <v>GRAMO</v>
          </cell>
          <cell r="E126">
            <v>2622.3874716756759</v>
          </cell>
          <cell r="F126">
            <v>2.6223874716756761</v>
          </cell>
          <cell r="G126">
            <v>0</v>
          </cell>
          <cell r="H126">
            <v>0</v>
          </cell>
          <cell r="I126">
            <v>29.72972972972973</v>
          </cell>
          <cell r="J126">
            <v>2.9729729729729731E-2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KILO</v>
          </cell>
          <cell r="D127" t="str">
            <v>GRAMO</v>
          </cell>
          <cell r="E127">
            <v>1321.0764681203009</v>
          </cell>
          <cell r="F127">
            <v>1.3210764681203009</v>
          </cell>
          <cell r="G127">
            <v>9.8510435851533611</v>
          </cell>
          <cell r="H127">
            <v>9.8510435851533618E-3</v>
          </cell>
          <cell r="I127">
            <v>78.571428571428569</v>
          </cell>
          <cell r="J127">
            <v>7.857142857142857E-2</v>
          </cell>
        </row>
        <row r="128">
          <cell r="A128" t="str">
            <v>95715</v>
          </cell>
          <cell r="B128" t="str">
            <v>CREMA CHANTILLY CHOCOLATE BUCCA (23.3 Kg)</v>
          </cell>
          <cell r="C128" t="str">
            <v>KILO</v>
          </cell>
          <cell r="D128" t="str">
            <v>GRAMO</v>
          </cell>
          <cell r="E128">
            <v>1582.5535660944206</v>
          </cell>
          <cell r="F128">
            <v>1.5825535660944205</v>
          </cell>
          <cell r="G128">
            <v>4.2961373390557937E-2</v>
          </cell>
          <cell r="H128">
            <v>4.2961373390557938E-5</v>
          </cell>
          <cell r="I128">
            <v>24.0343347639485</v>
          </cell>
          <cell r="J128">
            <v>2.4034334763948499E-2</v>
          </cell>
        </row>
        <row r="129">
          <cell r="A129" t="str">
            <v>95716</v>
          </cell>
          <cell r="B129" t="str">
            <v>CREMA CHANTILLY FIGURITAS (6000g)</v>
          </cell>
          <cell r="C129" t="str">
            <v>KILO</v>
          </cell>
          <cell r="D129" t="str">
            <v>GRAMO</v>
          </cell>
          <cell r="E129">
            <v>1668.6120000000001</v>
          </cell>
          <cell r="F129">
            <v>1.668612</v>
          </cell>
          <cell r="G129">
            <v>0</v>
          </cell>
          <cell r="H129">
            <v>0</v>
          </cell>
          <cell r="I129">
            <v>46.666666666666671</v>
          </cell>
          <cell r="J129">
            <v>4.6666666666666669E-2</v>
          </cell>
        </row>
        <row r="130">
          <cell r="A130" t="str">
            <v>95717</v>
          </cell>
          <cell r="B130" t="str">
            <v>CREMA CHANTILLY BLANCA SPOON-IND (20800g)</v>
          </cell>
          <cell r="C130" t="str">
            <v>KILO</v>
          </cell>
          <cell r="D130" t="str">
            <v>GRAMO</v>
          </cell>
          <cell r="E130">
            <v>1578.4318454326924</v>
          </cell>
          <cell r="F130">
            <v>1.5784318454326924</v>
          </cell>
          <cell r="G130">
            <v>4.8124999999999994E-2</v>
          </cell>
          <cell r="H130">
            <v>4.8124999999999997E-5</v>
          </cell>
          <cell r="I130">
            <v>26.442307692307693</v>
          </cell>
          <cell r="J130">
            <v>2.6442307692307692E-2</v>
          </cell>
        </row>
        <row r="131">
          <cell r="A131" t="str">
            <v>95718</v>
          </cell>
          <cell r="B131" t="str">
            <v>CREMA CHANTILLY CHOCO (SPOON-IND)(24875g)</v>
          </cell>
          <cell r="C131" t="str">
            <v>KILO</v>
          </cell>
          <cell r="D131" t="str">
            <v>GRAMO</v>
          </cell>
          <cell r="E131">
            <v>1776.2515933668342</v>
          </cell>
          <cell r="F131">
            <v>1.7762515933668341</v>
          </cell>
          <cell r="G131">
            <v>0</v>
          </cell>
          <cell r="H131">
            <v>0</v>
          </cell>
          <cell r="I131">
            <v>13.266331658291458</v>
          </cell>
          <cell r="J131">
            <v>1.3266331658291457E-2</v>
          </cell>
        </row>
        <row r="132">
          <cell r="A132" t="str">
            <v>95719</v>
          </cell>
          <cell r="B132" t="str">
            <v>CREMA CHANTILLY CAFE (21 Kg)</v>
          </cell>
          <cell r="C132" t="str">
            <v>KILO</v>
          </cell>
          <cell r="D132" t="str">
            <v>GRAMO</v>
          </cell>
          <cell r="E132">
            <v>1592.5735355450238</v>
          </cell>
          <cell r="F132">
            <v>1.5925735355450237</v>
          </cell>
          <cell r="G132">
            <v>0</v>
          </cell>
          <cell r="H132">
            <v>0</v>
          </cell>
          <cell r="I132">
            <v>26.540284360189574</v>
          </cell>
          <cell r="J132">
            <v>2.6540284360189573E-2</v>
          </cell>
        </row>
        <row r="133">
          <cell r="A133" t="str">
            <v>95720</v>
          </cell>
          <cell r="B133" t="str">
            <v>MEZCLA ENGRASE MOLDES (29800g)</v>
          </cell>
          <cell r="C133" t="str">
            <v>KILO</v>
          </cell>
          <cell r="D133" t="str">
            <v>GRAMO</v>
          </cell>
          <cell r="E133">
            <v>868.45385906040258</v>
          </cell>
          <cell r="F133">
            <v>0.86845385906040262</v>
          </cell>
          <cell r="G133">
            <v>11.341300671140942</v>
          </cell>
          <cell r="H133">
            <v>1.1341300671140942E-2</v>
          </cell>
          <cell r="I133">
            <v>55.369127516778526</v>
          </cell>
          <cell r="J133">
            <v>5.5369127516778527E-2</v>
          </cell>
        </row>
        <row r="134">
          <cell r="A134" t="str">
            <v>95721</v>
          </cell>
          <cell r="B134" t="str">
            <v>BASE PREMEZCLA P/SUSPIRO (4055g)</v>
          </cell>
          <cell r="C134" t="str">
            <v>TANDA</v>
          </cell>
          <cell r="D134" t="str">
            <v>GRAMO</v>
          </cell>
          <cell r="E134">
            <v>10200.690200000001</v>
          </cell>
          <cell r="F134">
            <v>2.5155832799013567</v>
          </cell>
          <cell r="G134">
            <v>11.020357777777779</v>
          </cell>
          <cell r="H134">
            <v>2.7177207836689959E-3</v>
          </cell>
          <cell r="I134">
            <v>112</v>
          </cell>
          <cell r="J134">
            <v>2.7620221948212082E-2</v>
          </cell>
        </row>
        <row r="135">
          <cell r="A135" t="str">
            <v>95722</v>
          </cell>
          <cell r="B135" t="str">
            <v>ROSQUETE VAINILLA PURATOS (350g)</v>
          </cell>
          <cell r="C135" t="str">
            <v>UND</v>
          </cell>
          <cell r="D135" t="str">
            <v>UND</v>
          </cell>
          <cell r="E135">
            <v>352.8318835193088</v>
          </cell>
          <cell r="F135">
            <v>352.8318835193088</v>
          </cell>
          <cell r="G135">
            <v>7.645747840647199</v>
          </cell>
          <cell r="H135">
            <v>7.645747840647199</v>
          </cell>
          <cell r="I135">
            <v>15.083449363446784</v>
          </cell>
          <cell r="J135">
            <v>15.083449363446784</v>
          </cell>
        </row>
        <row r="136">
          <cell r="A136" t="str">
            <v>95723</v>
          </cell>
          <cell r="B136" t="str">
            <v>ROSQUETE CHOCOLATE BUCCA  (425g)</v>
          </cell>
          <cell r="C136" t="str">
            <v>UND</v>
          </cell>
          <cell r="D136" t="str">
            <v>UND</v>
          </cell>
          <cell r="E136">
            <v>474.88237784340049</v>
          </cell>
          <cell r="F136">
            <v>474.88237784340049</v>
          </cell>
          <cell r="G136">
            <v>9.1301279333483265</v>
          </cell>
          <cell r="H136">
            <v>9.1301279333483265</v>
          </cell>
          <cell r="I136">
            <v>46.30613969674372</v>
          </cell>
          <cell r="J136">
            <v>46.30613969674372</v>
          </cell>
        </row>
        <row r="137">
          <cell r="A137" t="str">
            <v>95732</v>
          </cell>
          <cell r="B137" t="str">
            <v>PLANCHA ROSQUETE ZANAHORIA (900g)</v>
          </cell>
          <cell r="C137" t="str">
            <v>UND</v>
          </cell>
          <cell r="D137" t="str">
            <v>UND</v>
          </cell>
          <cell r="E137">
            <v>1631.6073961350182</v>
          </cell>
          <cell r="F137">
            <v>1631.6073961350182</v>
          </cell>
          <cell r="G137">
            <v>33.643738712590341</v>
          </cell>
          <cell r="H137">
            <v>33.643738712590341</v>
          </cell>
          <cell r="I137">
            <v>179.32800631662062</v>
          </cell>
          <cell r="J137">
            <v>179.32800631662062</v>
          </cell>
        </row>
        <row r="138">
          <cell r="A138" t="str">
            <v>95736</v>
          </cell>
          <cell r="B138" t="str">
            <v>SALSA FRESA (1980g)</v>
          </cell>
          <cell r="C138" t="str">
            <v>KILO</v>
          </cell>
          <cell r="D138" t="str">
            <v>GRAMO</v>
          </cell>
          <cell r="E138">
            <v>2524.4494736842103</v>
          </cell>
          <cell r="F138">
            <v>2.5244494736842102</v>
          </cell>
          <cell r="G138">
            <v>2.8421052631578951</v>
          </cell>
          <cell r="H138">
            <v>2.8421052631578949E-3</v>
          </cell>
          <cell r="I138">
            <v>57.89473684210526</v>
          </cell>
          <cell r="J138">
            <v>5.7894736842105263E-2</v>
          </cell>
        </row>
        <row r="139">
          <cell r="A139" t="str">
            <v>95739</v>
          </cell>
          <cell r="B139" t="str">
            <v>COCCION PAPA P/PURE (1000g)</v>
          </cell>
          <cell r="C139" t="str">
            <v>KILO</v>
          </cell>
          <cell r="D139" t="str">
            <v>GRAMO</v>
          </cell>
          <cell r="E139">
            <v>1505.085</v>
          </cell>
          <cell r="F139">
            <v>1.505085</v>
          </cell>
          <cell r="G139">
            <v>10.958269000000001</v>
          </cell>
          <cell r="H139">
            <v>1.0958269000000001E-2</v>
          </cell>
          <cell r="I139">
            <v>110</v>
          </cell>
          <cell r="J139">
            <v>0.11</v>
          </cell>
        </row>
        <row r="140">
          <cell r="A140" t="str">
            <v>95742</v>
          </cell>
          <cell r="B140" t="str">
            <v>ADEREZO ALCAPARRAS Y ANCHOAS (1280g)</v>
          </cell>
          <cell r="C140" t="str">
            <v>KILO</v>
          </cell>
          <cell r="D140" t="str">
            <v>GRAMO</v>
          </cell>
          <cell r="E140">
            <v>3186.3497932995865</v>
          </cell>
          <cell r="F140">
            <v>3.1863497932995863</v>
          </cell>
          <cell r="G140">
            <v>10.480755004741077</v>
          </cell>
          <cell r="H140">
            <v>1.0480755004741077E-2</v>
          </cell>
          <cell r="I140">
            <v>220.34519033879377</v>
          </cell>
          <cell r="J140">
            <v>0.22034519033879377</v>
          </cell>
        </row>
        <row r="141">
          <cell r="A141" t="str">
            <v>95743</v>
          </cell>
          <cell r="B141" t="str">
            <v>ADEREZO TEJANO (700g)</v>
          </cell>
          <cell r="C141" t="str">
            <v>KILO</v>
          </cell>
          <cell r="D141" t="str">
            <v>GRAMO</v>
          </cell>
          <cell r="E141">
            <v>1519.4840372487097</v>
          </cell>
          <cell r="F141">
            <v>1.5194840372487097</v>
          </cell>
          <cell r="G141">
            <v>0</v>
          </cell>
          <cell r="H141">
            <v>0</v>
          </cell>
          <cell r="I141">
            <v>380.61649851794556</v>
          </cell>
          <cell r="J141">
            <v>0.38061649851794555</v>
          </cell>
        </row>
        <row r="142">
          <cell r="A142" t="str">
            <v>95745</v>
          </cell>
          <cell r="B142" t="str">
            <v>CARNE MECHADA ARREGLADA (3170g)</v>
          </cell>
          <cell r="C142" t="str">
            <v>KILO</v>
          </cell>
          <cell r="D142" t="str">
            <v>GRAMO</v>
          </cell>
          <cell r="E142">
            <v>4022.521239392076</v>
          </cell>
          <cell r="F142">
            <v>4.0225212393920762</v>
          </cell>
          <cell r="G142">
            <v>42.743247032468886</v>
          </cell>
          <cell r="H142">
            <v>4.2743247032468887E-2</v>
          </cell>
          <cell r="I142">
            <v>256.04155281028466</v>
          </cell>
          <cell r="J142">
            <v>0.25604155281028468</v>
          </cell>
        </row>
        <row r="143">
          <cell r="A143" t="str">
            <v>95776</v>
          </cell>
          <cell r="B143" t="str">
            <v>BASE PREMEZCLA VAINILLA PURATOS (12522g)</v>
          </cell>
          <cell r="C143" t="str">
            <v>KILO</v>
          </cell>
          <cell r="D143" t="str">
            <v>GRAMO</v>
          </cell>
          <cell r="E143">
            <v>13543.394102</v>
          </cell>
          <cell r="F143">
            <v>1.0815679685353778</v>
          </cell>
          <cell r="G143">
            <v>45.869093809523811</v>
          </cell>
          <cell r="H143">
            <v>3.6630804831116284E-3</v>
          </cell>
          <cell r="I143">
            <v>110</v>
          </cell>
          <cell r="J143">
            <v>8.7845392109886598E-3</v>
          </cell>
        </row>
        <row r="144">
          <cell r="A144" t="str">
            <v>95781</v>
          </cell>
          <cell r="B144" t="str">
            <v>BASE PREMEZCLA GALLETA JENGIBRE (10081g)</v>
          </cell>
          <cell r="C144" t="str">
            <v>TANDA</v>
          </cell>
          <cell r="D144" t="str">
            <v>GRAMO</v>
          </cell>
          <cell r="E144">
            <v>8815.3442730000006</v>
          </cell>
          <cell r="F144">
            <v>0.87445137119333405</v>
          </cell>
          <cell r="G144">
            <v>53.963805396825393</v>
          </cell>
          <cell r="H144">
            <v>5.3530210690234496E-3</v>
          </cell>
          <cell r="I144">
            <v>280</v>
          </cell>
          <cell r="J144">
            <v>2.7775022319214363E-2</v>
          </cell>
        </row>
        <row r="145">
          <cell r="A145" t="str">
            <v>95784</v>
          </cell>
          <cell r="B145" t="str">
            <v>EMPAQUE SALSA ROJA SPOON (2000g)</v>
          </cell>
          <cell r="C145" t="str">
            <v>KILO</v>
          </cell>
          <cell r="D145" t="str">
            <v>GRAMO</v>
          </cell>
          <cell r="E145">
            <v>1108.6450457952756</v>
          </cell>
          <cell r="F145">
            <v>1.1086450457952757</v>
          </cell>
          <cell r="G145">
            <v>10.458209017206181</v>
          </cell>
          <cell r="H145">
            <v>1.0458209017206182E-2</v>
          </cell>
          <cell r="I145">
            <v>59.029002624671918</v>
          </cell>
          <cell r="J145">
            <v>5.9029002624671915E-2</v>
          </cell>
        </row>
        <row r="146">
          <cell r="A146" t="str">
            <v>95785</v>
          </cell>
          <cell r="B146" t="str">
            <v>COCCION BERENJENA EMPARRILLADA (2880g)</v>
          </cell>
          <cell r="C146" t="str">
            <v>KILO</v>
          </cell>
          <cell r="D146" t="str">
            <v>GRAMO</v>
          </cell>
          <cell r="E146">
            <v>2635.993496521739</v>
          </cell>
          <cell r="F146">
            <v>2.6359934965217389</v>
          </cell>
          <cell r="G146">
            <v>0</v>
          </cell>
          <cell r="H146">
            <v>0</v>
          </cell>
          <cell r="I146">
            <v>486.95652173913044</v>
          </cell>
          <cell r="J146">
            <v>0.48695652173913045</v>
          </cell>
        </row>
        <row r="147">
          <cell r="A147" t="str">
            <v>95786</v>
          </cell>
          <cell r="B147" t="str">
            <v>COCCION ZUCCINI EMPARRILLADO (1600g)</v>
          </cell>
          <cell r="C147" t="str">
            <v>KILO</v>
          </cell>
          <cell r="D147" t="str">
            <v>GRAMO</v>
          </cell>
          <cell r="E147">
            <v>5064.2918999999993</v>
          </cell>
          <cell r="F147">
            <v>5.0642918999999988</v>
          </cell>
          <cell r="G147">
            <v>0</v>
          </cell>
          <cell r="H147">
            <v>0</v>
          </cell>
          <cell r="I147">
            <v>687.5</v>
          </cell>
          <cell r="J147">
            <v>0.6875</v>
          </cell>
        </row>
        <row r="148">
          <cell r="A148" t="str">
            <v>95789</v>
          </cell>
          <cell r="B148" t="str">
            <v>CREMA CON MANJAR (21000g)</v>
          </cell>
          <cell r="C148" t="str">
            <v>KILO</v>
          </cell>
          <cell r="D148" t="str">
            <v>GRAMO</v>
          </cell>
          <cell r="E148">
            <v>1874.0260666666668</v>
          </cell>
          <cell r="F148">
            <v>1.8740260666666668</v>
          </cell>
          <cell r="G148">
            <v>4.7666666666666663E-2</v>
          </cell>
          <cell r="H148">
            <v>4.7666666666666662E-5</v>
          </cell>
          <cell r="I148">
            <v>26.666666666666668</v>
          </cell>
          <cell r="J148">
            <v>2.6666666666666668E-2</v>
          </cell>
        </row>
        <row r="149">
          <cell r="A149" t="str">
            <v>95790</v>
          </cell>
          <cell r="B149" t="str">
            <v>CALDO P/SOPA NEGRA (1.780g)</v>
          </cell>
          <cell r="C149" t="str">
            <v>KILO</v>
          </cell>
          <cell r="D149" t="str">
            <v>GRAMO</v>
          </cell>
          <cell r="E149">
            <v>752.71955666666668</v>
          </cell>
          <cell r="F149">
            <v>0.75271955666666668</v>
          </cell>
          <cell r="G149">
            <v>0</v>
          </cell>
          <cell r="H149">
            <v>0</v>
          </cell>
          <cell r="I149">
            <v>137.5</v>
          </cell>
          <cell r="J149">
            <v>0.13750000000000001</v>
          </cell>
        </row>
        <row r="150">
          <cell r="A150" t="str">
            <v>95793</v>
          </cell>
          <cell r="B150" t="str">
            <v>ALMIBAR DE CAFE (12.1 Kg)</v>
          </cell>
          <cell r="C150" t="str">
            <v>KILO</v>
          </cell>
          <cell r="D150" t="str">
            <v>GRAMO</v>
          </cell>
          <cell r="E150">
            <v>408.48461283764158</v>
          </cell>
          <cell r="F150">
            <v>0.40848461283764159</v>
          </cell>
          <cell r="G150">
            <v>7.6222862358408356</v>
          </cell>
          <cell r="H150">
            <v>7.6222862358408354E-3</v>
          </cell>
          <cell r="I150">
            <v>49.755762680537586</v>
          </cell>
          <cell r="J150">
            <v>4.9755762680537587E-2</v>
          </cell>
        </row>
        <row r="151">
          <cell r="A151" t="str">
            <v>95795</v>
          </cell>
          <cell r="B151" t="str">
            <v>BASE PREMEZCLA P/ PAN BLANCO (8156g)</v>
          </cell>
          <cell r="C151" t="str">
            <v>TANDA</v>
          </cell>
          <cell r="D151" t="str">
            <v>GRAMO</v>
          </cell>
          <cell r="E151">
            <v>10933.471006</v>
          </cell>
          <cell r="F151">
            <v>0.67926633983598406</v>
          </cell>
          <cell r="G151">
            <v>45.865592698412698</v>
          </cell>
          <cell r="H151">
            <v>2.8495025284799142E-3</v>
          </cell>
          <cell r="I151">
            <v>110</v>
          </cell>
          <cell r="J151">
            <v>6.8339960238568585E-3</v>
          </cell>
        </row>
        <row r="152">
          <cell r="A152" t="str">
            <v>95797</v>
          </cell>
          <cell r="B152" t="str">
            <v>BOLLETA PAN BLANCO 140G (UND)</v>
          </cell>
          <cell r="C152" t="str">
            <v>UND</v>
          </cell>
          <cell r="D152" t="str">
            <v>UND</v>
          </cell>
          <cell r="E152">
            <v>71.121492454165036</v>
          </cell>
          <cell r="F152">
            <v>71.121492454165036</v>
          </cell>
          <cell r="G152">
            <v>0.27852989712318466</v>
          </cell>
          <cell r="H152">
            <v>0.27852989712318466</v>
          </cell>
          <cell r="I152">
            <v>18.51807179710579</v>
          </cell>
          <cell r="J152">
            <v>18.51807179710579</v>
          </cell>
        </row>
        <row r="153">
          <cell r="A153" t="str">
            <v>95803</v>
          </cell>
          <cell r="B153" t="str">
            <v>GALLETA P/ALFAJOR MEDIANO (UND)</v>
          </cell>
          <cell r="C153" t="str">
            <v>UND</v>
          </cell>
          <cell r="D153" t="str">
            <v>UND</v>
          </cell>
          <cell r="E153">
            <v>14.642681142857146</v>
          </cell>
          <cell r="F153">
            <v>14.642681142857146</v>
          </cell>
          <cell r="G153">
            <v>7.4189052360338056E-2</v>
          </cell>
          <cell r="H153">
            <v>7.4189052360338056E-2</v>
          </cell>
          <cell r="I153">
            <v>16.863636363636363</v>
          </cell>
          <cell r="J153">
            <v>16.863636363636363</v>
          </cell>
        </row>
        <row r="154">
          <cell r="A154" t="str">
            <v>95805</v>
          </cell>
          <cell r="B154" t="str">
            <v>ROSQUETE CHOCOLATE SPOON RED  (440g)</v>
          </cell>
          <cell r="C154" t="str">
            <v>UND</v>
          </cell>
          <cell r="D154" t="str">
            <v>UND</v>
          </cell>
          <cell r="E154">
            <v>558.9814924235036</v>
          </cell>
          <cell r="F154">
            <v>558.9814924235036</v>
          </cell>
          <cell r="G154">
            <v>8.3304650306402905</v>
          </cell>
          <cell r="H154">
            <v>8.3304650306402905</v>
          </cell>
          <cell r="I154">
            <v>20.892096973017395</v>
          </cell>
          <cell r="J154">
            <v>20.892096973017395</v>
          </cell>
        </row>
        <row r="155">
          <cell r="A155" t="str">
            <v>95812</v>
          </cell>
          <cell r="B155" t="str">
            <v>TOCINETA FRITA (265g)</v>
          </cell>
          <cell r="C155" t="str">
            <v>KILO</v>
          </cell>
          <cell r="D155" t="str">
            <v>GRAMO</v>
          </cell>
          <cell r="E155">
            <v>10598.679245283018</v>
          </cell>
          <cell r="F155">
            <v>10.598679245283018</v>
          </cell>
          <cell r="G155">
            <v>0</v>
          </cell>
          <cell r="H155">
            <v>0</v>
          </cell>
          <cell r="I155">
            <v>1056.6037735849056</v>
          </cell>
          <cell r="J155">
            <v>1.0566037735849056</v>
          </cell>
        </row>
        <row r="156">
          <cell r="A156" t="str">
            <v>95817</v>
          </cell>
          <cell r="B156" t="str">
            <v>MEZCLA TRES LECHES PASTEURIZADA (36130 ml)</v>
          </cell>
          <cell r="C156" t="str">
            <v>LITRO</v>
          </cell>
          <cell r="D156" t="str">
            <v>Mililitro</v>
          </cell>
          <cell r="E156">
            <v>1262.4053961958332</v>
          </cell>
          <cell r="F156">
            <v>1.2624053961958333</v>
          </cell>
          <cell r="G156">
            <v>0</v>
          </cell>
          <cell r="H156">
            <v>0</v>
          </cell>
          <cell r="I156">
            <v>11.203703703703704</v>
          </cell>
          <cell r="J156">
            <v>1.1203703703703704E-2</v>
          </cell>
        </row>
        <row r="157">
          <cell r="A157" t="str">
            <v>95820</v>
          </cell>
          <cell r="B157" t="str">
            <v>CALDO P/SOPA POLLO (1150g)</v>
          </cell>
          <cell r="C157" t="str">
            <v>KILO</v>
          </cell>
          <cell r="D157" t="str">
            <v>GRAMO</v>
          </cell>
          <cell r="E157">
            <v>545.74586700000009</v>
          </cell>
          <cell r="F157">
            <v>0.54574586700000005</v>
          </cell>
          <cell r="G157">
            <v>12.604402499999999</v>
          </cell>
          <cell r="H157">
            <v>1.2604402499999999E-2</v>
          </cell>
          <cell r="I157">
            <v>275</v>
          </cell>
          <cell r="J157">
            <v>0.27500000000000002</v>
          </cell>
        </row>
        <row r="158">
          <cell r="A158" t="str">
            <v>95821</v>
          </cell>
          <cell r="B158" t="str">
            <v>COCCION CREMA BROCOLI (4000g)</v>
          </cell>
          <cell r="C158" t="str">
            <v>KILO</v>
          </cell>
          <cell r="D158" t="str">
            <v>GRAMO</v>
          </cell>
          <cell r="E158">
            <v>1126.8274617431762</v>
          </cell>
          <cell r="F158">
            <v>1.1268274617431762</v>
          </cell>
          <cell r="G158">
            <v>0</v>
          </cell>
          <cell r="H158">
            <v>0</v>
          </cell>
          <cell r="I158">
            <v>66.532258064516128</v>
          </cell>
          <cell r="J158">
            <v>6.6532258064516125E-2</v>
          </cell>
        </row>
        <row r="159">
          <cell r="A159" t="str">
            <v>95822</v>
          </cell>
          <cell r="B159" t="str">
            <v>CALDO P/SOPA AZTECA (37010g)</v>
          </cell>
          <cell r="C159" t="str">
            <v>KILO</v>
          </cell>
          <cell r="D159" t="str">
            <v>GRAMO</v>
          </cell>
          <cell r="E159">
            <v>890.86645346260389</v>
          </cell>
          <cell r="F159">
            <v>0.89086645346260385</v>
          </cell>
          <cell r="G159">
            <v>0</v>
          </cell>
          <cell r="H159">
            <v>0</v>
          </cell>
          <cell r="I159">
            <v>45.706371191135737</v>
          </cell>
          <cell r="J159">
            <v>4.5706371191135735E-2</v>
          </cell>
        </row>
        <row r="160">
          <cell r="A160" t="str">
            <v>95827</v>
          </cell>
          <cell r="B160" t="str">
            <v>TEMPERADO CHOCOLATE LECHE BELCOLADE (4900g)</v>
          </cell>
          <cell r="C160" t="str">
            <v>KILO</v>
          </cell>
          <cell r="D160" t="str">
            <v>GRAMO</v>
          </cell>
          <cell r="E160">
            <v>6636.7346938775509</v>
          </cell>
          <cell r="F160">
            <v>6.6367346938775507</v>
          </cell>
          <cell r="G160">
            <v>1.8918510204081629</v>
          </cell>
          <cell r="H160">
            <v>1.891851020408163E-3</v>
          </cell>
          <cell r="I160">
            <v>57.142857142857139</v>
          </cell>
          <cell r="J160">
            <v>5.7142857142857141E-2</v>
          </cell>
        </row>
        <row r="161">
          <cell r="A161" t="str">
            <v>95828</v>
          </cell>
          <cell r="B161" t="str">
            <v>TEMPERADO CHOCOLATE BLANCO (3200g)</v>
          </cell>
          <cell r="C161" t="str">
            <v>KILO</v>
          </cell>
          <cell r="D161" t="str">
            <v>GRAMO</v>
          </cell>
          <cell r="E161">
            <v>4534.6199374999997</v>
          </cell>
          <cell r="F161">
            <v>4.5346199374999996</v>
          </cell>
          <cell r="G161">
            <v>2.9559371874999996</v>
          </cell>
          <cell r="H161">
            <v>2.9559371874999995E-3</v>
          </cell>
          <cell r="I161">
            <v>87.5</v>
          </cell>
          <cell r="J161">
            <v>8.7499999999999994E-2</v>
          </cell>
        </row>
        <row r="162">
          <cell r="A162" t="str">
            <v>95829</v>
          </cell>
          <cell r="B162" t="str">
            <v>GLACE BLANCO PURO (7495g)</v>
          </cell>
          <cell r="C162" t="str">
            <v>KILO</v>
          </cell>
          <cell r="D162" t="str">
            <v>GRAMO</v>
          </cell>
          <cell r="E162">
            <v>1609.9631754503</v>
          </cell>
          <cell r="F162">
            <v>1.6099631754503001</v>
          </cell>
          <cell r="G162">
            <v>4.8027942628418954</v>
          </cell>
          <cell r="H162">
            <v>4.8027942628418949E-3</v>
          </cell>
          <cell r="I162">
            <v>89.659773182121413</v>
          </cell>
          <cell r="J162">
            <v>8.9659773182121413E-2</v>
          </cell>
        </row>
        <row r="163">
          <cell r="A163" t="str">
            <v>95831</v>
          </cell>
          <cell r="B163" t="str">
            <v>BASE PREMEZCLA RELLENO CHOCOFRESA (5400g)</v>
          </cell>
          <cell r="C163" t="str">
            <v>TANDA</v>
          </cell>
          <cell r="D163" t="str">
            <v>GRAMO</v>
          </cell>
          <cell r="E163">
            <v>16091.9946</v>
          </cell>
          <cell r="F163">
            <v>2.9799989999999998</v>
          </cell>
          <cell r="G163">
            <v>73.961945952380958</v>
          </cell>
          <cell r="H163">
            <v>1.3696656657848326E-2</v>
          </cell>
          <cell r="I163">
            <v>55</v>
          </cell>
          <cell r="J163">
            <v>1.0185185185185186E-2</v>
          </cell>
        </row>
        <row r="164">
          <cell r="A164" t="str">
            <v>95832</v>
          </cell>
          <cell r="B164" t="str">
            <v>GALLETAS P/CAFE (UND)</v>
          </cell>
          <cell r="C164" t="str">
            <v>UND</v>
          </cell>
          <cell r="D164" t="str">
            <v>UND</v>
          </cell>
          <cell r="E164">
            <v>17.543326118605066</v>
          </cell>
          <cell r="F164">
            <v>19.72</v>
          </cell>
          <cell r="G164">
            <v>8.5832025117739422E-2</v>
          </cell>
          <cell r="H164">
            <v>0.1</v>
          </cell>
          <cell r="I164">
            <v>4.4380520532099474</v>
          </cell>
          <cell r="J164">
            <v>4.4380520532099474</v>
          </cell>
        </row>
        <row r="165">
          <cell r="A165" t="str">
            <v>95834</v>
          </cell>
          <cell r="B165" t="str">
            <v>FLAN CARAMELO MINI P/FLAN TRES LECHES (UND=500g)</v>
          </cell>
          <cell r="C165" t="str">
            <v>UND</v>
          </cell>
          <cell r="D165" t="str">
            <v>UND</v>
          </cell>
          <cell r="E165">
            <v>871.41789396866682</v>
          </cell>
          <cell r="F165">
            <v>871.41789396866682</v>
          </cell>
          <cell r="G165">
            <v>24.008873999999999</v>
          </cell>
          <cell r="H165">
            <v>24.008873999999999</v>
          </cell>
          <cell r="I165">
            <v>77.400000000000006</v>
          </cell>
          <cell r="J165">
            <v>77.400000000000006</v>
          </cell>
        </row>
        <row r="166">
          <cell r="A166" t="str">
            <v>95846</v>
          </cell>
          <cell r="B166" t="str">
            <v>COCCION SALSA ROJA SPOON (31750g)</v>
          </cell>
          <cell r="C166" t="str">
            <v>KILO</v>
          </cell>
          <cell r="D166" t="str">
            <v>GRAMO</v>
          </cell>
          <cell r="E166">
            <v>1109.7791323464567</v>
          </cell>
          <cell r="F166">
            <v>1.1097791323464568</v>
          </cell>
          <cell r="G166">
            <v>1.1959131968503938</v>
          </cell>
          <cell r="H166">
            <v>1.1959131968503937E-3</v>
          </cell>
          <cell r="I166">
            <v>34.645669291338585</v>
          </cell>
          <cell r="J166">
            <v>3.4645669291338582E-2</v>
          </cell>
        </row>
        <row r="167">
          <cell r="A167" t="str">
            <v>95854</v>
          </cell>
          <cell r="B167" t="str">
            <v>COCCION CREMA DE AYOTE (30800g)</v>
          </cell>
          <cell r="C167" t="str">
            <v>KILO</v>
          </cell>
          <cell r="D167" t="str">
            <v>GRAMO</v>
          </cell>
          <cell r="E167">
            <v>973.63387899999998</v>
          </cell>
          <cell r="F167">
            <v>0.97363387899999998</v>
          </cell>
          <cell r="G167">
            <v>0.11219635918148582</v>
          </cell>
          <cell r="H167">
            <v>1.1219635918148582E-4</v>
          </cell>
          <cell r="I167">
            <v>50.449216132922416</v>
          </cell>
          <cell r="J167">
            <v>5.0449216132922414E-2</v>
          </cell>
        </row>
        <row r="168">
          <cell r="A168" t="str">
            <v>95858</v>
          </cell>
          <cell r="B168" t="str">
            <v>COCCION PECHUGA PARRILLA (UND)</v>
          </cell>
          <cell r="C168" t="str">
            <v>UND</v>
          </cell>
          <cell r="D168" t="str">
            <v>UND</v>
          </cell>
          <cell r="E168">
            <v>440.72822681667395</v>
          </cell>
          <cell r="F168">
            <v>440.72822681667395</v>
          </cell>
          <cell r="G168">
            <v>1.5807835482255743</v>
          </cell>
          <cell r="H168">
            <v>1.5807835482255743</v>
          </cell>
          <cell r="I168">
            <v>9.8454027664768109</v>
          </cell>
          <cell r="J168">
            <v>9.8454027664768109</v>
          </cell>
        </row>
        <row r="169">
          <cell r="A169" t="str">
            <v>95863</v>
          </cell>
          <cell r="B169" t="str">
            <v>BASE PREMEZCLA PURE DE PAPA (4000g)</v>
          </cell>
          <cell r="C169" t="str">
            <v>TANDA</v>
          </cell>
          <cell r="D169" t="str">
            <v>GRAMO</v>
          </cell>
          <cell r="E169">
            <v>6221.9480000000003</v>
          </cell>
          <cell r="F169">
            <v>1.5554870000000001</v>
          </cell>
          <cell r="G169">
            <v>32.142857142857146</v>
          </cell>
          <cell r="H169">
            <v>8.0357142857142867E-3</v>
          </cell>
          <cell r="I169">
            <v>56</v>
          </cell>
          <cell r="J169">
            <v>1.4E-2</v>
          </cell>
        </row>
        <row r="170">
          <cell r="A170" t="str">
            <v>95874</v>
          </cell>
          <cell r="B170" t="str">
            <v>SALSA TAMARINDO (2905g)</v>
          </cell>
          <cell r="C170" t="str">
            <v>KILO</v>
          </cell>
          <cell r="D170" t="str">
            <v>GRAMO</v>
          </cell>
          <cell r="E170">
            <v>673.94177435714289</v>
          </cell>
          <cell r="F170">
            <v>0.67394177435714286</v>
          </cell>
          <cell r="G170">
            <v>2.6672902380952381</v>
          </cell>
          <cell r="H170">
            <v>2.6672902380952381E-3</v>
          </cell>
          <cell r="I170">
            <v>65.476190476190482</v>
          </cell>
          <cell r="J170">
            <v>6.5476190476190479E-2</v>
          </cell>
        </row>
        <row r="171">
          <cell r="A171" t="str">
            <v>95878</v>
          </cell>
          <cell r="B171" t="str">
            <v>SALSA LIMON Y ALCAPARRAS (1200g)</v>
          </cell>
          <cell r="C171" t="str">
            <v>KILO</v>
          </cell>
          <cell r="D171" t="str">
            <v>GRAMO</v>
          </cell>
          <cell r="E171">
            <v>1960.6105894221296</v>
          </cell>
          <cell r="F171">
            <v>1.9606105894221295</v>
          </cell>
          <cell r="G171">
            <v>9.8570690296466451E-2</v>
          </cell>
          <cell r="H171">
            <v>9.8570690296466445E-5</v>
          </cell>
          <cell r="I171">
            <v>119.79520840170659</v>
          </cell>
          <cell r="J171">
            <v>0.11979520840170658</v>
          </cell>
        </row>
        <row r="172">
          <cell r="A172" t="str">
            <v>95879</v>
          </cell>
          <cell r="B172" t="str">
            <v>RELLENO CARNE SOMBRERO PERUANO (2057g)</v>
          </cell>
          <cell r="C172" t="str">
            <v>KILO</v>
          </cell>
          <cell r="D172" t="str">
            <v>GRAMO</v>
          </cell>
          <cell r="E172">
            <v>2820.5823037963492</v>
          </cell>
          <cell r="F172">
            <v>2.8205823037963493</v>
          </cell>
          <cell r="G172">
            <v>0</v>
          </cell>
          <cell r="H172">
            <v>0</v>
          </cell>
          <cell r="I172">
            <v>401.06951871657753</v>
          </cell>
          <cell r="J172">
            <v>0.40106951871657753</v>
          </cell>
        </row>
        <row r="173">
          <cell r="A173" t="str">
            <v>95882</v>
          </cell>
          <cell r="B173" t="str">
            <v>BATIDO GENOVESA (22320g)</v>
          </cell>
          <cell r="C173" t="str">
            <v>KILO</v>
          </cell>
          <cell r="D173" t="str">
            <v>GRAMO</v>
          </cell>
          <cell r="E173">
            <v>1132.0095804101459</v>
          </cell>
          <cell r="F173">
            <v>1.1320095804101458</v>
          </cell>
          <cell r="G173">
            <v>0</v>
          </cell>
          <cell r="H173">
            <v>0</v>
          </cell>
          <cell r="I173">
            <v>19.78773160640403</v>
          </cell>
          <cell r="J173">
            <v>1.9787731606404031E-2</v>
          </cell>
        </row>
        <row r="174">
          <cell r="A174" t="str">
            <v>95883</v>
          </cell>
          <cell r="B174" t="str">
            <v>BASE GALLETA P/BARRA PECANAS (400g)</v>
          </cell>
          <cell r="C174" t="str">
            <v>UND</v>
          </cell>
          <cell r="D174" t="str">
            <v>UND</v>
          </cell>
          <cell r="E174">
            <v>829.59735667114091</v>
          </cell>
          <cell r="F174">
            <v>829.59735667114091</v>
          </cell>
          <cell r="G174">
            <v>14.519826875838925</v>
          </cell>
          <cell r="H174">
            <v>14.519826875838925</v>
          </cell>
          <cell r="I174">
            <v>113.1275167785235</v>
          </cell>
          <cell r="J174">
            <v>113.1275167785235</v>
          </cell>
        </row>
        <row r="175">
          <cell r="A175" t="str">
            <v>95884</v>
          </cell>
          <cell r="B175" t="str">
            <v>RELLENO PECANAS P/BARRAS (3975g)</v>
          </cell>
          <cell r="C175" t="str">
            <v>KILO</v>
          </cell>
          <cell r="D175" t="str">
            <v>GRAMO</v>
          </cell>
          <cell r="E175">
            <v>1745.5228490566042</v>
          </cell>
          <cell r="F175">
            <v>1.7455228490566042</v>
          </cell>
          <cell r="G175">
            <v>0</v>
          </cell>
          <cell r="H175">
            <v>0</v>
          </cell>
          <cell r="I175">
            <v>140.88050314465409</v>
          </cell>
          <cell r="J175">
            <v>0.14088050314465408</v>
          </cell>
        </row>
        <row r="176">
          <cell r="A176" t="str">
            <v>95885</v>
          </cell>
          <cell r="B176" t="str">
            <v>PLANCHA BARRA DE PECANAS (1425g)</v>
          </cell>
          <cell r="C176" t="str">
            <v>UND</v>
          </cell>
          <cell r="D176" t="str">
            <v>UND</v>
          </cell>
          <cell r="E176">
            <v>4546.1427989352915</v>
          </cell>
          <cell r="F176">
            <v>4546.1427989352915</v>
          </cell>
          <cell r="G176">
            <v>14.519826875838925</v>
          </cell>
          <cell r="H176">
            <v>14.519826875838925</v>
          </cell>
          <cell r="I176">
            <v>335.01430923135365</v>
          </cell>
          <cell r="J176">
            <v>335.01430923135365</v>
          </cell>
        </row>
        <row r="177">
          <cell r="A177" t="str">
            <v>95890</v>
          </cell>
          <cell r="B177" t="str">
            <v>REBANADA CROSTINIS PARMESANO (UND)</v>
          </cell>
          <cell r="C177" t="str">
            <v>UND</v>
          </cell>
          <cell r="D177" t="str">
            <v>UND</v>
          </cell>
          <cell r="E177">
            <v>46.419747183579176</v>
          </cell>
          <cell r="F177">
            <v>46.419747183579176</v>
          </cell>
          <cell r="G177">
            <v>0.12270622458169364</v>
          </cell>
          <cell r="H177">
            <v>0.12270622458169364</v>
          </cell>
          <cell r="I177">
            <v>26.868729026942543</v>
          </cell>
          <cell r="J177">
            <v>26.868729026942543</v>
          </cell>
        </row>
        <row r="178">
          <cell r="A178" t="str">
            <v>95892</v>
          </cell>
          <cell r="B178" t="str">
            <v>REBANADA CROSTINIS TOMATE (UND)</v>
          </cell>
          <cell r="C178" t="str">
            <v>UND</v>
          </cell>
          <cell r="D178" t="str">
            <v>UND</v>
          </cell>
          <cell r="E178">
            <v>46.975118392240581</v>
          </cell>
          <cell r="F178">
            <v>46.975118392240581</v>
          </cell>
          <cell r="G178">
            <v>0.11339934089754986</v>
          </cell>
          <cell r="H178">
            <v>0.11339934089754986</v>
          </cell>
          <cell r="I178">
            <v>27.088700707050897</v>
          </cell>
          <cell r="J178">
            <v>27.088700707050897</v>
          </cell>
        </row>
        <row r="179">
          <cell r="A179" t="str">
            <v>95893</v>
          </cell>
          <cell r="B179" t="str">
            <v>GALLETA CHOCOLATE BLANCO/MACADAMIA (UND)</v>
          </cell>
          <cell r="C179" t="str">
            <v>UND</v>
          </cell>
          <cell r="D179" t="str">
            <v>UND</v>
          </cell>
          <cell r="E179">
            <v>243.35316090966765</v>
          </cell>
          <cell r="F179">
            <v>243.35316090966765</v>
          </cell>
          <cell r="G179">
            <v>0.34567573662551443</v>
          </cell>
          <cell r="H179">
            <v>0.34567573662551443</v>
          </cell>
          <cell r="I179">
            <v>20.657777777777778</v>
          </cell>
          <cell r="J179">
            <v>20.657777777777778</v>
          </cell>
        </row>
        <row r="180">
          <cell r="A180" t="str">
            <v>95894</v>
          </cell>
          <cell r="B180" t="str">
            <v>BASE PREMEZCLA GALLETA CHOCOLATE CHIPS (663g)</v>
          </cell>
          <cell r="C180" t="str">
            <v>TANDA</v>
          </cell>
          <cell r="D180" t="str">
            <v>GRAMO</v>
          </cell>
          <cell r="E180">
            <v>4845.6445659999999</v>
          </cell>
          <cell r="F180">
            <v>0.70206383164300201</v>
          </cell>
          <cell r="G180">
            <v>17.771546111111114</v>
          </cell>
          <cell r="H180">
            <v>2.5748400624617668E-3</v>
          </cell>
          <cell r="I180">
            <v>112</v>
          </cell>
          <cell r="J180">
            <v>1.6227180527383367E-2</v>
          </cell>
        </row>
        <row r="181">
          <cell r="A181" t="str">
            <v>95920</v>
          </cell>
          <cell r="B181" t="str">
            <v>CREMA CHOCOLATE CON AGUA (900g)</v>
          </cell>
          <cell r="C181" t="str">
            <v>Kilo</v>
          </cell>
          <cell r="D181" t="str">
            <v>Gramo</v>
          </cell>
          <cell r="E181">
            <v>1350.8181999999999</v>
          </cell>
          <cell r="F181">
            <v>1.3508182</v>
          </cell>
          <cell r="G181">
            <v>7.6890899999999993</v>
          </cell>
          <cell r="H181">
            <v>7.6890899999999991E-3</v>
          </cell>
          <cell r="I181">
            <v>50.909090909090914</v>
          </cell>
          <cell r="J181">
            <v>5.0909090909090911E-2</v>
          </cell>
        </row>
        <row r="182">
          <cell r="A182" t="str">
            <v>95930</v>
          </cell>
          <cell r="B182" t="str">
            <v>TIQUEÑOS DE QUESO (UND)</v>
          </cell>
          <cell r="C182" t="str">
            <v>UND</v>
          </cell>
          <cell r="D182" t="str">
            <v>UND</v>
          </cell>
          <cell r="E182">
            <v>69.895097488372087</v>
          </cell>
          <cell r="F182">
            <v>69.895097488372087</v>
          </cell>
          <cell r="G182">
            <v>1.0934808139534881E-2</v>
          </cell>
          <cell r="H182">
            <v>1.0934808139534881E-2</v>
          </cell>
          <cell r="I182">
            <v>7.7703488372093021</v>
          </cell>
          <cell r="J182">
            <v>7.7703488372093021</v>
          </cell>
        </row>
        <row r="183">
          <cell r="A183" t="str">
            <v>95966</v>
          </cell>
          <cell r="B183" t="str">
            <v>COCCION HONGOS SALTEADOS  (2790g)</v>
          </cell>
          <cell r="C183" t="str">
            <v>KILO</v>
          </cell>
          <cell r="D183" t="str">
            <v>GRAMO</v>
          </cell>
          <cell r="E183">
            <v>3629.3204697024025</v>
          </cell>
          <cell r="F183">
            <v>3.6293204697024026</v>
          </cell>
          <cell r="G183">
            <v>0</v>
          </cell>
          <cell r="H183">
            <v>0</v>
          </cell>
          <cell r="I183">
            <v>197.20329867335963</v>
          </cell>
          <cell r="J183">
            <v>0.19720329867335962</v>
          </cell>
        </row>
        <row r="184">
          <cell r="A184" t="str">
            <v>95968</v>
          </cell>
          <cell r="B184" t="str">
            <v>ADEREZO MOSTAZA MIEL (4450g)</v>
          </cell>
          <cell r="C184" t="str">
            <v>KILO</v>
          </cell>
          <cell r="D184" t="str">
            <v>GRAMO</v>
          </cell>
          <cell r="E184">
            <v>2339.5513111855466</v>
          </cell>
          <cell r="F184">
            <v>2.3395513111855468</v>
          </cell>
          <cell r="G184">
            <v>11.950525782111065</v>
          </cell>
          <cell r="H184">
            <v>1.1950525782111065E-2</v>
          </cell>
          <cell r="I184">
            <v>89.434579176999804</v>
          </cell>
          <cell r="J184">
            <v>8.9434579176999804E-2</v>
          </cell>
        </row>
        <row r="185">
          <cell r="A185" t="str">
            <v>95990</v>
          </cell>
          <cell r="B185" t="str">
            <v>TARTALETA OVALADA DULCE (UND)</v>
          </cell>
          <cell r="C185" t="str">
            <v>UND</v>
          </cell>
          <cell r="D185" t="str">
            <v>UND</v>
          </cell>
          <cell r="E185">
            <v>52.843058724812039</v>
          </cell>
          <cell r="F185">
            <v>52.843058724812039</v>
          </cell>
          <cell r="G185">
            <v>0.39404174340613446</v>
          </cell>
          <cell r="H185">
            <v>0.39404174340613446</v>
          </cell>
          <cell r="I185">
            <v>17.809523809523807</v>
          </cell>
          <cell r="J185">
            <v>17.809523809523807</v>
          </cell>
        </row>
        <row r="186">
          <cell r="A186" t="str">
            <v>96022</v>
          </cell>
          <cell r="B186" t="str">
            <v>RELLENO JAMON-QUESO CREMA P/EMPANADA (420g)</v>
          </cell>
          <cell r="C186" t="str">
            <v>Kilo</v>
          </cell>
          <cell r="D186" t="str">
            <v>Gramo</v>
          </cell>
          <cell r="E186">
            <v>3527.5846928571427</v>
          </cell>
          <cell r="F186">
            <v>3.5275846928571428</v>
          </cell>
          <cell r="G186">
            <v>20.062483333333333</v>
          </cell>
          <cell r="H186">
            <v>2.0062483333333332E-2</v>
          </cell>
          <cell r="I186">
            <v>261.90476190476193</v>
          </cell>
          <cell r="J186">
            <v>0.26190476190476192</v>
          </cell>
        </row>
        <row r="187">
          <cell r="A187" t="str">
            <v>96032</v>
          </cell>
          <cell r="B187" t="str">
            <v>CARAMELO AZUCAR P/FLAN (900g)</v>
          </cell>
          <cell r="C187" t="str">
            <v>KILO</v>
          </cell>
          <cell r="D187" t="str">
            <v>GRAMO</v>
          </cell>
          <cell r="E187">
            <v>401.04444444444442</v>
          </cell>
          <cell r="F187">
            <v>0.40104444444444443</v>
          </cell>
          <cell r="G187">
            <v>0</v>
          </cell>
          <cell r="H187">
            <v>0</v>
          </cell>
          <cell r="I187">
            <v>373.33333333333337</v>
          </cell>
          <cell r="J187">
            <v>0.37333333333333335</v>
          </cell>
        </row>
        <row r="188">
          <cell r="A188" t="str">
            <v>96037</v>
          </cell>
          <cell r="B188" t="str">
            <v>RELLENO CEBOLLA Y QUESO P/EMPANADA (1000g)</v>
          </cell>
          <cell r="C188" t="str">
            <v>KILO</v>
          </cell>
          <cell r="D188" t="str">
            <v>GRAMO</v>
          </cell>
          <cell r="E188">
            <v>3182.9953504999999</v>
          </cell>
          <cell r="F188">
            <v>3.1829953504999997</v>
          </cell>
          <cell r="G188">
            <v>23.595589314028313</v>
          </cell>
          <cell r="H188">
            <v>2.3595589314028314E-2</v>
          </cell>
          <cell r="I188">
            <v>337.89189189189187</v>
          </cell>
          <cell r="J188">
            <v>0.33789189189189189</v>
          </cell>
        </row>
        <row r="189">
          <cell r="A189" t="str">
            <v>96038</v>
          </cell>
          <cell r="B189" t="str">
            <v>EMPANADA CEBOLLA Y QUESO LAVAZZA (UND)</v>
          </cell>
          <cell r="C189" t="str">
            <v>UND</v>
          </cell>
          <cell r="D189" t="str">
            <v>UND</v>
          </cell>
          <cell r="E189">
            <v>154.8772280327008</v>
          </cell>
          <cell r="F189">
            <v>154.8772280327008</v>
          </cell>
          <cell r="G189">
            <v>2.1859325422494185</v>
          </cell>
          <cell r="H189">
            <v>2.1859325422494185</v>
          </cell>
          <cell r="I189">
            <v>62.028973598034135</v>
          </cell>
          <cell r="J189">
            <v>62.028973598034135</v>
          </cell>
        </row>
        <row r="190">
          <cell r="A190" t="str">
            <v>96039</v>
          </cell>
          <cell r="B190" t="str">
            <v>EMPANADA JAMON Y PETTI POIS FAS (UND)</v>
          </cell>
          <cell r="C190" t="str">
            <v>UND</v>
          </cell>
          <cell r="D190" t="str">
            <v>UND</v>
          </cell>
          <cell r="E190">
            <v>127.0016258582545</v>
          </cell>
          <cell r="F190">
            <v>127.0016258582545</v>
          </cell>
          <cell r="G190">
            <v>0.73652764234903134</v>
          </cell>
          <cell r="H190">
            <v>0.73652764234903134</v>
          </cell>
          <cell r="I190">
            <v>67.901510178238496</v>
          </cell>
          <cell r="J190">
            <v>67.901510178238496</v>
          </cell>
        </row>
        <row r="191">
          <cell r="A191" t="str">
            <v>96055</v>
          </cell>
          <cell r="B191" t="str">
            <v>EMPANADA CARNE MECHADA IND (UND)</v>
          </cell>
          <cell r="C191" t="str">
            <v>UND</v>
          </cell>
          <cell r="D191" t="str">
            <v>UND</v>
          </cell>
          <cell r="E191">
            <v>244.93062478975185</v>
          </cell>
          <cell r="F191">
            <v>244.93062478975185</v>
          </cell>
          <cell r="G191">
            <v>2.8525404214828645</v>
          </cell>
          <cell r="H191">
            <v>2.8525404214828645</v>
          </cell>
          <cell r="I191">
            <v>44.052602441043518</v>
          </cell>
          <cell r="J191">
            <v>44.052602441043518</v>
          </cell>
        </row>
        <row r="192">
          <cell r="A192" t="str">
            <v>96058</v>
          </cell>
          <cell r="B192" t="str">
            <v>BASE PREMEZCLA YOGURT CAKE  (1804g)</v>
          </cell>
          <cell r="C192" t="str">
            <v>TANDA</v>
          </cell>
          <cell r="D192" t="str">
            <v>GRAMO</v>
          </cell>
          <cell r="E192">
            <v>3078.0217600000001</v>
          </cell>
          <cell r="F192">
            <v>1.7062204878048781</v>
          </cell>
          <cell r="G192">
            <v>11.020357777777779</v>
          </cell>
          <cell r="H192">
            <v>6.1088457748213849E-3</v>
          </cell>
          <cell r="I192">
            <v>112</v>
          </cell>
          <cell r="J192">
            <v>6.2084257206208429E-2</v>
          </cell>
        </row>
        <row r="193">
          <cell r="A193" t="str">
            <v>96059</v>
          </cell>
          <cell r="B193" t="str">
            <v>ROSQUETE YOGURT CAKE (400g)</v>
          </cell>
          <cell r="C193" t="str">
            <v>UND</v>
          </cell>
          <cell r="D193" t="str">
            <v>UND</v>
          </cell>
          <cell r="E193">
            <v>566.44048035760045</v>
          </cell>
          <cell r="F193">
            <v>566.44048035760045</v>
          </cell>
          <cell r="G193">
            <v>7.6925275956760082</v>
          </cell>
          <cell r="H193">
            <v>7.6925275956760082</v>
          </cell>
          <cell r="I193">
            <v>45.229776115579696</v>
          </cell>
          <cell r="J193">
            <v>45.229776115579696</v>
          </cell>
        </row>
        <row r="194">
          <cell r="A194" t="str">
            <v>96076</v>
          </cell>
          <cell r="B194" t="str">
            <v>RELLENO CARNE MECHA-COMINO-ROMERO (1000g)</v>
          </cell>
          <cell r="C194" t="str">
            <v>Kilo</v>
          </cell>
          <cell r="D194" t="str">
            <v>Gramo</v>
          </cell>
          <cell r="E194">
            <v>3486.6073803027475</v>
          </cell>
          <cell r="F194">
            <v>3.4866073803027473</v>
          </cell>
          <cell r="G194">
            <v>33.528991908140348</v>
          </cell>
          <cell r="H194">
            <v>3.3528991908140349E-2</v>
          </cell>
          <cell r="I194">
            <v>230.83623001068085</v>
          </cell>
          <cell r="J194">
            <v>0.23083623001068085</v>
          </cell>
        </row>
        <row r="195">
          <cell r="A195" t="str">
            <v>96098</v>
          </cell>
          <cell r="B195" t="str">
            <v>ADEREZO PEPINILLOS Y ANCHOAS (390g)</v>
          </cell>
          <cell r="C195" t="str">
            <v>KILO</v>
          </cell>
          <cell r="D195" t="str">
            <v>GRAMO</v>
          </cell>
          <cell r="E195">
            <v>2774.9748658519438</v>
          </cell>
          <cell r="F195">
            <v>2.7749748658519438</v>
          </cell>
          <cell r="G195">
            <v>22.677630516055928</v>
          </cell>
          <cell r="H195">
            <v>2.2677630516055928E-2</v>
          </cell>
          <cell r="I195">
            <v>727.77511757705349</v>
          </cell>
          <cell r="J195">
            <v>0.72777511757705349</v>
          </cell>
        </row>
        <row r="196">
          <cell r="A196" t="str">
            <v>96100</v>
          </cell>
          <cell r="B196" t="str">
            <v>COCCION QUINUA BLANCA (600g)</v>
          </cell>
          <cell r="C196" t="str">
            <v>KILO</v>
          </cell>
          <cell r="D196" t="str">
            <v>GRAMO</v>
          </cell>
          <cell r="E196">
            <v>2098.3056844444445</v>
          </cell>
          <cell r="F196">
            <v>2.0983056844444445</v>
          </cell>
          <cell r="G196">
            <v>0</v>
          </cell>
          <cell r="H196">
            <v>0</v>
          </cell>
          <cell r="I196">
            <v>183.33333333333331</v>
          </cell>
          <cell r="J196">
            <v>0.18333333333333332</v>
          </cell>
        </row>
        <row r="197">
          <cell r="A197" t="str">
            <v>96108</v>
          </cell>
          <cell r="B197" t="str">
            <v>CEBOLLA CARAMELIZADA (1516g)</v>
          </cell>
          <cell r="C197" t="str">
            <v>KILO</v>
          </cell>
          <cell r="D197" t="str">
            <v>GRAMO</v>
          </cell>
          <cell r="E197">
            <v>3038.1794284166672</v>
          </cell>
          <cell r="F197">
            <v>3.038179428416667</v>
          </cell>
          <cell r="G197">
            <v>0</v>
          </cell>
          <cell r="H197">
            <v>0</v>
          </cell>
          <cell r="I197">
            <v>160.41666666666669</v>
          </cell>
          <cell r="J197">
            <v>0.16041666666666668</v>
          </cell>
        </row>
        <row r="198">
          <cell r="A198" t="str">
            <v>96136</v>
          </cell>
          <cell r="B198" t="str">
            <v>MERENGUE P/SUSPIROS (5040g)</v>
          </cell>
          <cell r="C198" t="str">
            <v>KILO</v>
          </cell>
          <cell r="D198" t="str">
            <v>GRAMO</v>
          </cell>
          <cell r="E198">
            <v>1988.6052257444767</v>
          </cell>
          <cell r="F198">
            <v>1.9886052257444766</v>
          </cell>
          <cell r="G198">
            <v>2.1172637421282956</v>
          </cell>
          <cell r="H198">
            <v>2.1172637421282958E-3</v>
          </cell>
          <cell r="I198">
            <v>150.62439961575407</v>
          </cell>
          <cell r="J198">
            <v>0.15062439961575408</v>
          </cell>
        </row>
        <row r="199">
          <cell r="A199" t="str">
            <v>96170</v>
          </cell>
          <cell r="B199" t="str">
            <v>EMPANADA CARNE PERUANA GRANDE (UND)</v>
          </cell>
          <cell r="C199" t="str">
            <v>UND</v>
          </cell>
          <cell r="D199" t="str">
            <v>UND</v>
          </cell>
          <cell r="E199">
            <v>184.75896482753404</v>
          </cell>
          <cell r="F199">
            <v>184.75896482753404</v>
          </cell>
          <cell r="G199">
            <v>1.8487279947561979</v>
          </cell>
          <cell r="H199">
            <v>1.8487279947561979</v>
          </cell>
          <cell r="I199">
            <v>58.297288149715087</v>
          </cell>
          <cell r="J199">
            <v>58.297288149715087</v>
          </cell>
        </row>
        <row r="200">
          <cell r="A200" t="str">
            <v>96170</v>
          </cell>
          <cell r="B200" t="str">
            <v>EMPANADA CARNE PERUANA GRANDE (UND)</v>
          </cell>
          <cell r="C200" t="str">
            <v>UND</v>
          </cell>
          <cell r="D200" t="str">
            <v>UND</v>
          </cell>
          <cell r="E200">
            <v>184.75896482753404</v>
          </cell>
          <cell r="F200">
            <v>184.75896482753404</v>
          </cell>
          <cell r="G200">
            <v>1.8487279947561979</v>
          </cell>
          <cell r="H200">
            <v>1.8487279947561979</v>
          </cell>
          <cell r="I200">
            <v>58.297288149715087</v>
          </cell>
          <cell r="J200">
            <v>58.297288149715087</v>
          </cell>
        </row>
        <row r="201">
          <cell r="A201" t="str">
            <v>96180</v>
          </cell>
          <cell r="B201" t="str">
            <v>RELLENO DELIZZIA (7.150 Kg)</v>
          </cell>
          <cell r="C201" t="str">
            <v>KILO</v>
          </cell>
          <cell r="D201" t="str">
            <v>GRAMO</v>
          </cell>
          <cell r="E201">
            <v>1901.6339954888927</v>
          </cell>
          <cell r="F201">
            <v>1.9016339954888926</v>
          </cell>
          <cell r="G201">
            <v>1.5039062499999999E-2</v>
          </cell>
          <cell r="H201">
            <v>1.5039062499999999E-5</v>
          </cell>
          <cell r="I201">
            <v>77.01322115384616</v>
          </cell>
          <cell r="J201">
            <v>7.7013221153846165E-2</v>
          </cell>
        </row>
        <row r="202">
          <cell r="A202" t="str">
            <v>96192</v>
          </cell>
          <cell r="B202" t="str">
            <v>ACEITE DE AJO Y PEREJIL (1000g)</v>
          </cell>
          <cell r="C202" t="str">
            <v>KILO</v>
          </cell>
          <cell r="D202" t="str">
            <v>GRAMO</v>
          </cell>
          <cell r="E202">
            <v>1720.8381377272729</v>
          </cell>
          <cell r="F202">
            <v>1.7208381377272728</v>
          </cell>
          <cell r="G202">
            <v>12.925640710606059</v>
          </cell>
          <cell r="H202">
            <v>1.2925640710606059E-2</v>
          </cell>
          <cell r="I202">
            <v>221.60363636363635</v>
          </cell>
          <cell r="J202">
            <v>0.22160363636363636</v>
          </cell>
        </row>
        <row r="203">
          <cell r="A203" t="str">
            <v>96197</v>
          </cell>
          <cell r="B203" t="str">
            <v>MEZCLA DE YEMA PARA PINTAR (1430g)</v>
          </cell>
          <cell r="C203" t="str">
            <v>KILO</v>
          </cell>
          <cell r="D203" t="str">
            <v>GRAMO</v>
          </cell>
          <cell r="E203">
            <v>2409.9551000000001</v>
          </cell>
          <cell r="F203">
            <v>2.4099551000000003</v>
          </cell>
          <cell r="G203">
            <v>0</v>
          </cell>
          <cell r="H203">
            <v>0</v>
          </cell>
          <cell r="I203">
            <v>56</v>
          </cell>
          <cell r="J203">
            <v>5.6000000000000001E-2</v>
          </cell>
        </row>
        <row r="204">
          <cell r="A204" t="str">
            <v>96199</v>
          </cell>
          <cell r="B204" t="str">
            <v>COBERTURA CHOCOLATE LECHE RALLADO (4700g)</v>
          </cell>
          <cell r="C204" t="str">
            <v>KILO</v>
          </cell>
          <cell r="D204" t="str">
            <v>GRAMO</v>
          </cell>
          <cell r="E204">
            <v>4752.793617021277</v>
          </cell>
          <cell r="F204">
            <v>4.7527936170212772</v>
          </cell>
          <cell r="G204">
            <v>0.21297872340425528</v>
          </cell>
          <cell r="H204">
            <v>2.1297872340425529E-4</v>
          </cell>
          <cell r="I204">
            <v>83.404255319148945</v>
          </cell>
          <cell r="J204">
            <v>8.340425531914894E-2</v>
          </cell>
        </row>
        <row r="205">
          <cell r="A205" t="str">
            <v>96223</v>
          </cell>
          <cell r="B205" t="str">
            <v>GANACHE DE DULCE LECHE (4800g)</v>
          </cell>
          <cell r="C205" t="str">
            <v>KILO</v>
          </cell>
          <cell r="D205" t="str">
            <v>GRAMO</v>
          </cell>
          <cell r="E205">
            <v>2483.106770833333</v>
          </cell>
          <cell r="F205">
            <v>2.483106770833333</v>
          </cell>
          <cell r="G205">
            <v>0</v>
          </cell>
          <cell r="H205">
            <v>0</v>
          </cell>
          <cell r="I205">
            <v>116.66666666666667</v>
          </cell>
          <cell r="J205">
            <v>0.11666666666666667</v>
          </cell>
        </row>
        <row r="206">
          <cell r="A206" t="str">
            <v>96242</v>
          </cell>
          <cell r="B206" t="str">
            <v>PURE PAPA (2000g)</v>
          </cell>
          <cell r="C206" t="str">
            <v>KILO</v>
          </cell>
          <cell r="D206" t="str">
            <v>GRAMO</v>
          </cell>
          <cell r="E206">
            <v>1389.1041269999998</v>
          </cell>
          <cell r="F206">
            <v>1.3891041269999997</v>
          </cell>
          <cell r="G206">
            <v>11.336887714285714</v>
          </cell>
          <cell r="H206">
            <v>1.1336887714285714E-2</v>
          </cell>
          <cell r="I206">
            <v>165.7</v>
          </cell>
          <cell r="J206">
            <v>0.16569999999999999</v>
          </cell>
        </row>
        <row r="207">
          <cell r="A207" t="str">
            <v>96251</v>
          </cell>
          <cell r="B207" t="str">
            <v>GALLETA P/TORTA CHILENA FAS (210g)</v>
          </cell>
          <cell r="C207" t="str">
            <v>UND</v>
          </cell>
          <cell r="D207" t="str">
            <v>UND</v>
          </cell>
          <cell r="E207">
            <v>226.41733244134201</v>
          </cell>
          <cell r="F207">
            <v>226.41733244134201</v>
          </cell>
          <cell r="G207">
            <v>0.65629030839002267</v>
          </cell>
          <cell r="H207">
            <v>0.65629030839002267</v>
          </cell>
          <cell r="I207">
            <v>27.595238095238095</v>
          </cell>
          <cell r="J207">
            <v>27.595238095238095</v>
          </cell>
        </row>
        <row r="208">
          <cell r="A208" t="str">
            <v>96252</v>
          </cell>
          <cell r="B208" t="str">
            <v>RELLENO CHEESE CAKE INDUSTRIA (8700g)</v>
          </cell>
          <cell r="C208" t="str">
            <v>KILO</v>
          </cell>
          <cell r="D208" t="str">
            <v>GRAMO</v>
          </cell>
          <cell r="E208">
            <v>1829.8089595444446</v>
          </cell>
          <cell r="F208">
            <v>1.8298089595444447</v>
          </cell>
          <cell r="G208">
            <v>1.2833333333333334E-2</v>
          </cell>
          <cell r="H208">
            <v>1.2833333333333333E-5</v>
          </cell>
          <cell r="I208">
            <v>100.51282051282051</v>
          </cell>
          <cell r="J208">
            <v>0.10051282051282051</v>
          </cell>
        </row>
        <row r="209">
          <cell r="A209" t="str">
            <v>96263</v>
          </cell>
          <cell r="B209" t="str">
            <v>QUESO PARMESANO LAMINADO (8580g)</v>
          </cell>
          <cell r="C209" t="str">
            <v>KILO</v>
          </cell>
          <cell r="D209" t="str">
            <v>GRAMO</v>
          </cell>
          <cell r="E209">
            <v>9408.3355186480203</v>
          </cell>
          <cell r="F209">
            <v>9.4083355186480198</v>
          </cell>
          <cell r="G209">
            <v>3.0547558275058275</v>
          </cell>
          <cell r="H209">
            <v>3.0547558275058275E-3</v>
          </cell>
          <cell r="I209">
            <v>32.051282051282051</v>
          </cell>
          <cell r="J209">
            <v>3.2051282051282048E-2</v>
          </cell>
        </row>
        <row r="210">
          <cell r="A210" t="str">
            <v>96266</v>
          </cell>
          <cell r="B210" t="str">
            <v>LAMINA AZUCAR ESCANEADA (UND)</v>
          </cell>
          <cell r="C210" t="str">
            <v>UND</v>
          </cell>
          <cell r="D210" t="str">
            <v>UND</v>
          </cell>
          <cell r="E210">
            <v>1387.384</v>
          </cell>
          <cell r="F210">
            <v>1387.384</v>
          </cell>
          <cell r="G210">
            <v>0</v>
          </cell>
          <cell r="H210">
            <v>0</v>
          </cell>
          <cell r="I210">
            <v>275</v>
          </cell>
          <cell r="J210">
            <v>275</v>
          </cell>
        </row>
        <row r="211">
          <cell r="A211" t="str">
            <v>96267</v>
          </cell>
          <cell r="B211" t="str">
            <v>ROSQUETE CHOCOLATE BUCCA (320g)</v>
          </cell>
          <cell r="C211" t="str">
            <v>UND</v>
          </cell>
          <cell r="D211" t="str">
            <v>UND</v>
          </cell>
          <cell r="E211">
            <v>355.25335753863862</v>
          </cell>
          <cell r="F211">
            <v>355.25335753863862</v>
          </cell>
          <cell r="G211">
            <v>8.2092643814880741</v>
          </cell>
          <cell r="H211">
            <v>8.2092643814880741</v>
          </cell>
          <cell r="I211">
            <v>35.876510067114097</v>
          </cell>
          <cell r="J211">
            <v>35.876510067114097</v>
          </cell>
        </row>
        <row r="212">
          <cell r="A212" t="str">
            <v>96270</v>
          </cell>
          <cell r="B212" t="str">
            <v>ROSQUETE MELOCOTON PURATOS (360g)</v>
          </cell>
          <cell r="C212" t="str">
            <v>UND</v>
          </cell>
          <cell r="D212" t="str">
            <v>UND</v>
          </cell>
          <cell r="E212">
            <v>447.66176290350978</v>
          </cell>
          <cell r="F212">
            <v>447.66176290350978</v>
          </cell>
          <cell r="G212">
            <v>8.3417280087138295</v>
          </cell>
          <cell r="H212">
            <v>8.3417280087138295</v>
          </cell>
          <cell r="I212">
            <v>18.709296952359995</v>
          </cell>
          <cell r="J212">
            <v>18.709296952359995</v>
          </cell>
        </row>
        <row r="213">
          <cell r="A213" t="str">
            <v>96271</v>
          </cell>
          <cell r="B213" t="str">
            <v>CORTE  P/GALLETA ESC (UND)</v>
          </cell>
          <cell r="C213" t="str">
            <v>UND</v>
          </cell>
          <cell r="D213" t="str">
            <v>UND</v>
          </cell>
          <cell r="E213">
            <v>21.349894497743044</v>
          </cell>
          <cell r="F213">
            <v>21.349894497743044</v>
          </cell>
          <cell r="G213">
            <v>0</v>
          </cell>
          <cell r="H213">
            <v>0</v>
          </cell>
          <cell r="I213">
            <v>10.686239816064377</v>
          </cell>
          <cell r="J213">
            <v>10.686239816064377</v>
          </cell>
        </row>
        <row r="214">
          <cell r="A214" t="str">
            <v>96272</v>
          </cell>
          <cell r="B214" t="str">
            <v>EMPANADA POLLO C/AJONJOLI (UND)</v>
          </cell>
          <cell r="C214" t="str">
            <v>UND</v>
          </cell>
          <cell r="D214" t="str">
            <v>UND</v>
          </cell>
          <cell r="E214">
            <v>185.40642008823716</v>
          </cell>
          <cell r="F214">
            <v>185.40642008823716</v>
          </cell>
          <cell r="G214">
            <v>1.7940720010640245</v>
          </cell>
          <cell r="H214">
            <v>1.7940720010640245</v>
          </cell>
          <cell r="I214">
            <v>45.17753744451764</v>
          </cell>
          <cell r="J214">
            <v>45.17753744451764</v>
          </cell>
        </row>
        <row r="215">
          <cell r="A215" t="str">
            <v>96275</v>
          </cell>
          <cell r="B215" t="str">
            <v>GALLETA CHOCOLATE CHIPS STARBUCKS (UND)</v>
          </cell>
          <cell r="C215" t="str">
            <v>UND</v>
          </cell>
          <cell r="D215" t="str">
            <v>UND</v>
          </cell>
          <cell r="E215">
            <v>142.47345146308726</v>
          </cell>
          <cell r="F215">
            <v>142.47345146308726</v>
          </cell>
          <cell r="G215">
            <v>0.13315657482254814</v>
          </cell>
          <cell r="H215">
            <v>0.13315657482254814</v>
          </cell>
          <cell r="I215">
            <v>9.8643519761372112</v>
          </cell>
          <cell r="J215">
            <v>9.8643519761372112</v>
          </cell>
        </row>
        <row r="216">
          <cell r="A216" t="str">
            <v>96276</v>
          </cell>
          <cell r="B216" t="str">
            <v>ROSQUETE CARAMELO PURATOS (335g)</v>
          </cell>
          <cell r="C216" t="str">
            <v>UND</v>
          </cell>
          <cell r="D216" t="str">
            <v>UND</v>
          </cell>
          <cell r="E216">
            <v>446.846888464561</v>
          </cell>
          <cell r="F216">
            <v>446.846888464561</v>
          </cell>
          <cell r="G216">
            <v>7.6483473744357671</v>
          </cell>
          <cell r="H216">
            <v>7.6483473744357671</v>
          </cell>
          <cell r="I216">
            <v>5.5005424229143616</v>
          </cell>
          <cell r="J216">
            <v>5.5005424229143616</v>
          </cell>
        </row>
        <row r="217">
          <cell r="A217" t="str">
            <v>96277</v>
          </cell>
          <cell r="B217" t="str">
            <v>ARREGLADOS GRANDE (UND)</v>
          </cell>
          <cell r="C217" t="str">
            <v>UND</v>
          </cell>
          <cell r="D217" t="str">
            <v>UND</v>
          </cell>
          <cell r="E217">
            <v>63.791154345074041</v>
          </cell>
          <cell r="F217">
            <v>63.791154345074041</v>
          </cell>
          <cell r="G217">
            <v>0.33880285996871001</v>
          </cell>
          <cell r="H217">
            <v>0.33880285996871001</v>
          </cell>
          <cell r="I217">
            <v>13.452585776402852</v>
          </cell>
          <cell r="J217">
            <v>13.452585776402852</v>
          </cell>
        </row>
        <row r="218">
          <cell r="A218" t="str">
            <v>96280</v>
          </cell>
          <cell r="B218" t="str">
            <v>OREJITAS DULCES (5409g)</v>
          </cell>
          <cell r="C218" t="str">
            <v>KILO</v>
          </cell>
          <cell r="D218" t="str">
            <v>GRAMO</v>
          </cell>
          <cell r="E218">
            <v>935.32970759169018</v>
          </cell>
          <cell r="F218">
            <v>0.93532970759169021</v>
          </cell>
          <cell r="G218">
            <v>4.3075589700960348</v>
          </cell>
          <cell r="H218">
            <v>4.3075589700960351E-3</v>
          </cell>
          <cell r="I218">
            <v>625.67426218810954</v>
          </cell>
          <cell r="J218">
            <v>0.62567426218810951</v>
          </cell>
        </row>
        <row r="219">
          <cell r="A219" t="str">
            <v>96284</v>
          </cell>
          <cell r="B219" t="str">
            <v>CROISSANT SPOON 110g (UND)</v>
          </cell>
          <cell r="C219" t="str">
            <v>UND</v>
          </cell>
          <cell r="D219" t="str">
            <v>UND</v>
          </cell>
          <cell r="E219">
            <v>123.89697454065589</v>
          </cell>
          <cell r="F219">
            <v>123.89697454065589</v>
          </cell>
          <cell r="G219">
            <v>0.39982959433249193</v>
          </cell>
          <cell r="H219">
            <v>0.39982959433249193</v>
          </cell>
          <cell r="I219">
            <v>46.883423180592985</v>
          </cell>
          <cell r="J219">
            <v>46.883423180592985</v>
          </cell>
        </row>
        <row r="220">
          <cell r="A220" t="str">
            <v>96292</v>
          </cell>
          <cell r="B220" t="str">
            <v>ROSQUETE TRES LECHES RED. (150g)</v>
          </cell>
          <cell r="C220" t="str">
            <v>UND</v>
          </cell>
          <cell r="D220" t="str">
            <v>UND</v>
          </cell>
          <cell r="E220">
            <v>161.62757625425056</v>
          </cell>
          <cell r="F220">
            <v>161.62757625425056</v>
          </cell>
          <cell r="G220">
            <v>1.7718978079258554</v>
          </cell>
          <cell r="H220">
            <v>1.7718978079258554</v>
          </cell>
          <cell r="I220">
            <v>29.720637583892618</v>
          </cell>
          <cell r="J220">
            <v>29.720637583892618</v>
          </cell>
        </row>
        <row r="221">
          <cell r="A221" t="str">
            <v>96293</v>
          </cell>
          <cell r="B221" t="str">
            <v>BATIDO P/ROSQUETE TRES LECHES (16700g)</v>
          </cell>
          <cell r="C221" t="str">
            <v>KILO</v>
          </cell>
          <cell r="D221" t="str">
            <v>GRAMO</v>
          </cell>
          <cell r="E221">
            <v>974.43102043715862</v>
          </cell>
          <cell r="F221">
            <v>0.97443102043715857</v>
          </cell>
          <cell r="G221">
            <v>3.5376047879260999</v>
          </cell>
          <cell r="H221">
            <v>3.5376047879261E-3</v>
          </cell>
          <cell r="I221">
            <v>24.043715846994537</v>
          </cell>
          <cell r="J221">
            <v>2.4043715846994537E-2</v>
          </cell>
        </row>
        <row r="222">
          <cell r="A222" t="str">
            <v>96296</v>
          </cell>
          <cell r="B222" t="str">
            <v>BATIDO P/ROSQUETE CHOCOLATE BUCCA (11475g)</v>
          </cell>
          <cell r="C222" t="str">
            <v>KILO</v>
          </cell>
          <cell r="D222" t="str">
            <v>GRAMO</v>
          </cell>
          <cell r="E222">
            <v>1057.7837416993466</v>
          </cell>
          <cell r="F222">
            <v>1.0577837416993465</v>
          </cell>
          <cell r="G222">
            <v>2.8203258152643773</v>
          </cell>
          <cell r="H222">
            <v>2.8203258152643771E-3</v>
          </cell>
          <cell r="I222">
            <v>48.104575163398692</v>
          </cell>
          <cell r="J222">
            <v>4.8104575163398694E-2</v>
          </cell>
        </row>
        <row r="223">
          <cell r="A223" t="str">
            <v>96299</v>
          </cell>
          <cell r="B223" t="str">
            <v>CROISSANT C/JAMON STB (UND)</v>
          </cell>
          <cell r="C223" t="str">
            <v>UND</v>
          </cell>
          <cell r="D223" t="str">
            <v>UND</v>
          </cell>
          <cell r="E223">
            <v>307.09518973819553</v>
          </cell>
          <cell r="F223">
            <v>307.09518973819553</v>
          </cell>
          <cell r="G223">
            <v>0.73358858788922221</v>
          </cell>
          <cell r="H223">
            <v>0.73358858788922221</v>
          </cell>
          <cell r="I223">
            <v>50.787974886339036</v>
          </cell>
          <cell r="J223">
            <v>50.787974886339036</v>
          </cell>
        </row>
        <row r="224">
          <cell r="A224" t="str">
            <v>96305</v>
          </cell>
          <cell r="B224" t="str">
            <v>BATIDO P/BROWNIE SPOON (6000g)</v>
          </cell>
          <cell r="C224" t="str">
            <v>KILO</v>
          </cell>
          <cell r="D224" t="str">
            <v>GRAMO</v>
          </cell>
          <cell r="E224">
            <v>1517.20092525</v>
          </cell>
          <cell r="F224">
            <v>1.5172009252500001</v>
          </cell>
          <cell r="G224">
            <v>16.075130953749998</v>
          </cell>
          <cell r="H224">
            <v>8.9306283076388878E-3</v>
          </cell>
          <cell r="I224">
            <v>67.12062499999999</v>
          </cell>
          <cell r="J224">
            <v>3.7289236111111103E-2</v>
          </cell>
        </row>
        <row r="225">
          <cell r="A225" t="str">
            <v>96306</v>
          </cell>
          <cell r="B225" t="str">
            <v>BATIDO P/COCADA SPOON (21647g)</v>
          </cell>
          <cell r="C225" t="str">
            <v>KILO</v>
          </cell>
          <cell r="D225" t="str">
            <v>GRAMO</v>
          </cell>
          <cell r="E225">
            <v>1832.4797084720931</v>
          </cell>
          <cell r="F225">
            <v>1.8324797084720932</v>
          </cell>
          <cell r="G225">
            <v>0</v>
          </cell>
          <cell r="H225">
            <v>0</v>
          </cell>
          <cell r="I225">
            <v>25.581395348837209</v>
          </cell>
          <cell r="J225">
            <v>2.5581395348837209E-2</v>
          </cell>
        </row>
        <row r="226">
          <cell r="A226" t="str">
            <v>96311</v>
          </cell>
          <cell r="B226" t="str">
            <v>ROSQUETE CHOCOLATE RED. (700g)</v>
          </cell>
          <cell r="C226" t="str">
            <v>UND</v>
          </cell>
          <cell r="D226" t="str">
            <v>UND</v>
          </cell>
          <cell r="E226">
            <v>852.46206408625835</v>
          </cell>
          <cell r="F226">
            <v>852.46206408625835</v>
          </cell>
          <cell r="G226">
            <v>15.921994095213645</v>
          </cell>
          <cell r="H226">
            <v>15.921994095213645</v>
          </cell>
          <cell r="I226">
            <v>29.022774782704367</v>
          </cell>
          <cell r="J226">
            <v>29.022774782704367</v>
          </cell>
        </row>
        <row r="227">
          <cell r="A227" t="str">
            <v>96322</v>
          </cell>
          <cell r="B227" t="str">
            <v>BATIDO P/ROSQUETE CARAMELO (18150g)</v>
          </cell>
          <cell r="C227" t="str">
            <v>KILO</v>
          </cell>
          <cell r="D227" t="str">
            <v>GRAMO</v>
          </cell>
          <cell r="E227">
            <v>1190.2698842975205</v>
          </cell>
          <cell r="F227">
            <v>1.1902698842975206</v>
          </cell>
          <cell r="G227">
            <v>0</v>
          </cell>
          <cell r="H227">
            <v>0</v>
          </cell>
          <cell r="I227">
            <v>15.426997245179065</v>
          </cell>
          <cell r="J227">
            <v>1.5426997245179064E-2</v>
          </cell>
        </row>
        <row r="228">
          <cell r="A228" t="str">
            <v>96324</v>
          </cell>
          <cell r="B228" t="str">
            <v>ROSQUETE CARAMELO PURATOS (1060g)</v>
          </cell>
          <cell r="C228" t="str">
            <v>UND</v>
          </cell>
          <cell r="D228" t="str">
            <v>UND</v>
          </cell>
          <cell r="E228">
            <v>1440.5810135573906</v>
          </cell>
          <cell r="F228">
            <v>1440.5810135573906</v>
          </cell>
          <cell r="G228">
            <v>19.769060411482837</v>
          </cell>
          <cell r="H228">
            <v>19.769060411482837</v>
          </cell>
          <cell r="I228">
            <v>43.943276172306241</v>
          </cell>
          <cell r="J228">
            <v>43.943276172306241</v>
          </cell>
        </row>
        <row r="229">
          <cell r="A229" t="str">
            <v>96328</v>
          </cell>
          <cell r="B229" t="str">
            <v>ROSQUETE MELOCOTON RECT.PURATOS (3400g)</v>
          </cell>
          <cell r="C229" t="str">
            <v>UND</v>
          </cell>
          <cell r="D229" t="str">
            <v>UND</v>
          </cell>
          <cell r="E229">
            <v>4595.986369707296</v>
          </cell>
          <cell r="F229">
            <v>4595.986369707296</v>
          </cell>
          <cell r="G229">
            <v>29.641797018394229</v>
          </cell>
          <cell r="H229">
            <v>29.641797018394229</v>
          </cell>
          <cell r="I229">
            <v>140.25143489451781</v>
          </cell>
          <cell r="J229">
            <v>140.25143489451781</v>
          </cell>
        </row>
        <row r="230">
          <cell r="A230" t="str">
            <v>96329</v>
          </cell>
          <cell r="B230" t="str">
            <v>PRALINE (1380g)</v>
          </cell>
          <cell r="C230" t="str">
            <v>KILO</v>
          </cell>
          <cell r="D230" t="str">
            <v>GRAMO</v>
          </cell>
          <cell r="E230">
            <v>5776.4652173913037</v>
          </cell>
          <cell r="F230">
            <v>5.776465217391304</v>
          </cell>
          <cell r="G230">
            <v>7.8260869565217401</v>
          </cell>
          <cell r="H230">
            <v>7.8260869565217397E-3</v>
          </cell>
          <cell r="I230">
            <v>405.79710144927537</v>
          </cell>
          <cell r="J230">
            <v>0.40579710144927539</v>
          </cell>
        </row>
        <row r="231">
          <cell r="A231" t="str">
            <v>96331</v>
          </cell>
          <cell r="B231" t="str">
            <v>BOLLETA BLANCA P/CROCANTINI (80g)</v>
          </cell>
          <cell r="C231" t="str">
            <v>UND</v>
          </cell>
          <cell r="D231" t="str">
            <v>UND</v>
          </cell>
          <cell r="E231">
            <v>45.417622234316674</v>
          </cell>
          <cell r="F231">
            <v>45.417622234316674</v>
          </cell>
          <cell r="G231">
            <v>0.39930195657604239</v>
          </cell>
          <cell r="H231">
            <v>0.39930195657604239</v>
          </cell>
          <cell r="I231">
            <v>23.408856882257645</v>
          </cell>
          <cell r="J231">
            <v>23.408856882257645</v>
          </cell>
        </row>
        <row r="232">
          <cell r="A232" t="str">
            <v>96340</v>
          </cell>
          <cell r="B232" t="str">
            <v>CREMA MOKA C/BAILEYS (1200g)</v>
          </cell>
          <cell r="C232" t="str">
            <v>KILO</v>
          </cell>
          <cell r="D232" t="str">
            <v>GRAMO</v>
          </cell>
          <cell r="E232">
            <v>4033.7853397038107</v>
          </cell>
          <cell r="F232">
            <v>4.0337853397038108</v>
          </cell>
          <cell r="G232">
            <v>0.93512481943999726</v>
          </cell>
          <cell r="H232">
            <v>9.3512481943999726E-4</v>
          </cell>
          <cell r="I232">
            <v>249.85910983029137</v>
          </cell>
          <cell r="J232">
            <v>0.24985910983029139</v>
          </cell>
        </row>
        <row r="233">
          <cell r="A233" t="str">
            <v>96341</v>
          </cell>
          <cell r="B233" t="str">
            <v>PECANA CUBIERTA C/COCOLATE BLANCO (500g)</v>
          </cell>
          <cell r="C233" t="str">
            <v>KILO</v>
          </cell>
          <cell r="D233" t="str">
            <v>GRAMO</v>
          </cell>
          <cell r="E233">
            <v>6432.4953750000004</v>
          </cell>
          <cell r="F233">
            <v>6.4324953750000002</v>
          </cell>
          <cell r="G233">
            <v>32.96543615625</v>
          </cell>
          <cell r="H233">
            <v>3.296543615625E-2</v>
          </cell>
          <cell r="I233">
            <v>600.16666666666663</v>
          </cell>
          <cell r="J233">
            <v>0.60016666666666663</v>
          </cell>
        </row>
        <row r="234">
          <cell r="A234" t="str">
            <v>96342</v>
          </cell>
          <cell r="B234" t="str">
            <v>MEZCLA DE TRES LECHES C/BAILEYS (3600g)</v>
          </cell>
          <cell r="C234" t="str">
            <v>LITRO</v>
          </cell>
          <cell r="D234" t="str">
            <v>GRAMO</v>
          </cell>
          <cell r="E234">
            <v>6479.2919439704865</v>
          </cell>
          <cell r="F234">
            <v>6.4792919439704866</v>
          </cell>
          <cell r="G234">
            <v>2.6780055555555555</v>
          </cell>
          <cell r="H234">
            <v>2.6780055555555553E-3</v>
          </cell>
          <cell r="I234">
            <v>35.223765432098766</v>
          </cell>
          <cell r="J234">
            <v>3.5223765432098764E-2</v>
          </cell>
        </row>
        <row r="235">
          <cell r="A235" t="str">
            <v>96343</v>
          </cell>
          <cell r="B235" t="str">
            <v>GANACHE BAILEYS (700g)</v>
          </cell>
          <cell r="C235" t="str">
            <v>KILO</v>
          </cell>
          <cell r="D235" t="str">
            <v>GRAMO</v>
          </cell>
          <cell r="E235">
            <v>4033.9998857142855</v>
          </cell>
          <cell r="F235">
            <v>4.0339998857142856</v>
          </cell>
          <cell r="G235">
            <v>13.772599999999999</v>
          </cell>
          <cell r="H235">
            <v>1.3772599999999999E-2</v>
          </cell>
          <cell r="I235">
            <v>392.85714285714283</v>
          </cell>
          <cell r="J235">
            <v>0.39285714285714285</v>
          </cell>
        </row>
        <row r="236">
          <cell r="A236" t="str">
            <v>96344</v>
          </cell>
          <cell r="B236" t="str">
            <v>CREMA DULCE LECHE (24500g)</v>
          </cell>
          <cell r="C236" t="str">
            <v>KILO</v>
          </cell>
          <cell r="D236" t="str">
            <v>GRAMO</v>
          </cell>
          <cell r="E236">
            <v>1870.7287253877548</v>
          </cell>
          <cell r="F236">
            <v>1.8707287253877549</v>
          </cell>
          <cell r="G236">
            <v>0</v>
          </cell>
          <cell r="H236">
            <v>0</v>
          </cell>
          <cell r="I236">
            <v>11.224489795918366</v>
          </cell>
          <cell r="J236">
            <v>1.1224489795918367E-2</v>
          </cell>
        </row>
        <row r="237">
          <cell r="A237" t="str">
            <v>96349</v>
          </cell>
          <cell r="B237" t="str">
            <v>BATIDO P/ROSQUETE ZANAHORIA (10200g)</v>
          </cell>
          <cell r="C237" t="str">
            <v>KILO</v>
          </cell>
          <cell r="D237" t="str">
            <v>GRAMO</v>
          </cell>
          <cell r="E237">
            <v>1637.0907680285959</v>
          </cell>
          <cell r="F237">
            <v>1.637090768028596</v>
          </cell>
          <cell r="G237">
            <v>0.92457834152809126</v>
          </cell>
          <cell r="H237">
            <v>9.245783415280913E-4</v>
          </cell>
          <cell r="I237">
            <v>95.821209739325496</v>
          </cell>
          <cell r="J237">
            <v>9.5821209739325494E-2</v>
          </cell>
        </row>
        <row r="238">
          <cell r="A238" t="str">
            <v>96352</v>
          </cell>
          <cell r="B238" t="str">
            <v>GALLETA P/TORTA CHILENA BUCCA</v>
          </cell>
          <cell r="C238" t="str">
            <v>UND</v>
          </cell>
          <cell r="D238" t="str">
            <v>UND</v>
          </cell>
          <cell r="E238">
            <v>59.974259271360751</v>
          </cell>
          <cell r="F238">
            <v>59.974259271360751</v>
          </cell>
          <cell r="G238">
            <v>0.46606528812537668</v>
          </cell>
          <cell r="H238">
            <v>0.46606528812537668</v>
          </cell>
          <cell r="I238">
            <v>15.320253164556961</v>
          </cell>
          <cell r="J238">
            <v>15.320253164556961</v>
          </cell>
        </row>
        <row r="239">
          <cell r="A239" t="str">
            <v>96356</v>
          </cell>
          <cell r="B239" t="str">
            <v>ROSQUETE VAINILLA PURATOS  (1000g)</v>
          </cell>
          <cell r="C239" t="str">
            <v>UND</v>
          </cell>
          <cell r="D239" t="str">
            <v>UND</v>
          </cell>
          <cell r="E239">
            <v>1023.982802590923</v>
          </cell>
          <cell r="F239">
            <v>1023.982802590923</v>
          </cell>
          <cell r="G239">
            <v>24.187790337380832</v>
          </cell>
          <cell r="H239">
            <v>24.187790337380832</v>
          </cell>
          <cell r="I239">
            <v>34.421435367327526</v>
          </cell>
          <cell r="J239">
            <v>34.421435367327526</v>
          </cell>
        </row>
        <row r="240">
          <cell r="A240" t="str">
            <v>96357</v>
          </cell>
          <cell r="B240" t="str">
            <v>ROSQUETE CHOCOLATE SPOON  (280g)</v>
          </cell>
          <cell r="C240" t="str">
            <v>UND</v>
          </cell>
          <cell r="D240" t="str">
            <v>UND</v>
          </cell>
          <cell r="E240">
            <v>346.31448108981016</v>
          </cell>
          <cell r="F240">
            <v>346.31448108981016</v>
          </cell>
          <cell r="G240">
            <v>5.1702547117871935</v>
          </cell>
          <cell r="H240">
            <v>5.1702547117871935</v>
          </cell>
          <cell r="I240">
            <v>14.846672462552155</v>
          </cell>
          <cell r="J240">
            <v>14.846672462552155</v>
          </cell>
        </row>
        <row r="241">
          <cell r="A241" t="str">
            <v>96360</v>
          </cell>
          <cell r="B241" t="str">
            <v>COCCION PALMITO P/ENSALADA (1900g)</v>
          </cell>
          <cell r="C241" t="str">
            <v>KILO</v>
          </cell>
          <cell r="D241" t="str">
            <v>GRAMO</v>
          </cell>
          <cell r="E241">
            <v>2347.4006557894736</v>
          </cell>
          <cell r="F241">
            <v>2.3474006557894738</v>
          </cell>
          <cell r="G241">
            <v>44.225973684210523</v>
          </cell>
          <cell r="H241">
            <v>4.4225973684210523E-2</v>
          </cell>
          <cell r="I241">
            <v>86.842105263157904</v>
          </cell>
          <cell r="J241">
            <v>8.6842105263157901E-2</v>
          </cell>
        </row>
        <row r="242">
          <cell r="A242" t="str">
            <v>96361</v>
          </cell>
          <cell r="B242" t="str">
            <v>BATIDO YOGURT CAKE (10500g)</v>
          </cell>
          <cell r="C242" t="str">
            <v>KILO</v>
          </cell>
          <cell r="D242" t="str">
            <v>GRAMO</v>
          </cell>
          <cell r="E242">
            <v>1356.717147051859</v>
          </cell>
          <cell r="F242">
            <v>1.3567171470518591</v>
          </cell>
          <cell r="G242">
            <v>3.1315248243744573</v>
          </cell>
          <cell r="H242">
            <v>3.1315248243744573E-3</v>
          </cell>
          <cell r="I242">
            <v>47.738574473123371</v>
          </cell>
          <cell r="J242">
            <v>4.7738574473123373E-2</v>
          </cell>
        </row>
        <row r="243">
          <cell r="A243" t="str">
            <v>96362</v>
          </cell>
          <cell r="B243" t="str">
            <v>ADEREZO CULANTRO RANCH (500g)</v>
          </cell>
          <cell r="C243" t="str">
            <v>KILO</v>
          </cell>
          <cell r="D243" t="str">
            <v>GRAMO</v>
          </cell>
          <cell r="E243">
            <v>1313.3792668857036</v>
          </cell>
          <cell r="F243">
            <v>1.3133792668857036</v>
          </cell>
          <cell r="G243">
            <v>64.31460317543943</v>
          </cell>
          <cell r="H243">
            <v>6.4314603175439425E-2</v>
          </cell>
          <cell r="I243">
            <v>604.54374873079269</v>
          </cell>
          <cell r="J243">
            <v>0.60454374873079264</v>
          </cell>
        </row>
        <row r="244">
          <cell r="A244" t="str">
            <v>96367</v>
          </cell>
          <cell r="B244" t="str">
            <v>ADEREZO PESTO ALBAHACA (300g)</v>
          </cell>
          <cell r="C244" t="str">
            <v>KILO</v>
          </cell>
          <cell r="D244" t="str">
            <v>GRAMO</v>
          </cell>
          <cell r="E244">
            <v>3256.399145833333</v>
          </cell>
          <cell r="F244">
            <v>3.256399145833333</v>
          </cell>
          <cell r="G244">
            <v>54.084525925925938</v>
          </cell>
          <cell r="H244">
            <v>5.4084525925925934E-2</v>
          </cell>
          <cell r="I244">
            <v>566.93693693693706</v>
          </cell>
          <cell r="J244">
            <v>0.56693693693693703</v>
          </cell>
        </row>
        <row r="245">
          <cell r="A245" t="str">
            <v>96368</v>
          </cell>
          <cell r="B245" t="str">
            <v>COCCION CARNE PHILLY (500g)</v>
          </cell>
          <cell r="C245" t="str">
            <v>KILO</v>
          </cell>
          <cell r="D245" t="str">
            <v>GRAMO</v>
          </cell>
          <cell r="E245">
            <v>11091.887170000002</v>
          </cell>
          <cell r="F245">
            <v>11.091887170000001</v>
          </cell>
          <cell r="G245">
            <v>49.338826999999995</v>
          </cell>
          <cell r="H245">
            <v>4.9338826999999995E-2</v>
          </cell>
          <cell r="I245">
            <v>560</v>
          </cell>
          <cell r="J245">
            <v>0.56000000000000005</v>
          </cell>
        </row>
        <row r="246">
          <cell r="A246" t="str">
            <v>96369</v>
          </cell>
          <cell r="B246" t="str">
            <v>COCCION CEBOLLA PHILLY (200g)</v>
          </cell>
          <cell r="C246" t="str">
            <v>KILO</v>
          </cell>
          <cell r="D246" t="str">
            <v>GRAMO</v>
          </cell>
          <cell r="E246">
            <v>7895.8827233333341</v>
          </cell>
          <cell r="F246">
            <v>7.895882723333334</v>
          </cell>
          <cell r="G246">
            <v>123.34706749999999</v>
          </cell>
          <cell r="H246">
            <v>0.12334706749999999</v>
          </cell>
          <cell r="I246">
            <v>1400</v>
          </cell>
          <cell r="J246">
            <v>1.4</v>
          </cell>
        </row>
        <row r="247">
          <cell r="A247" t="str">
            <v>96370</v>
          </cell>
          <cell r="B247" t="str">
            <v>MEZCLA CLARAS P/TORTA (1700g)</v>
          </cell>
          <cell r="C247" t="str">
            <v>KILO</v>
          </cell>
          <cell r="D247" t="str">
            <v>GRAMO</v>
          </cell>
          <cell r="E247">
            <v>2967.8659223529412</v>
          </cell>
          <cell r="F247">
            <v>2.9678659223529413</v>
          </cell>
          <cell r="G247">
            <v>0</v>
          </cell>
          <cell r="H247">
            <v>0</v>
          </cell>
          <cell r="I247">
            <v>98.823529411764696</v>
          </cell>
          <cell r="J247">
            <v>9.8823529411764699E-2</v>
          </cell>
        </row>
        <row r="248">
          <cell r="A248" t="str">
            <v>96371</v>
          </cell>
          <cell r="B248" t="str">
            <v>MEZCLA DE HUEVOS ENTEROS P/TORTA (750g)</v>
          </cell>
          <cell r="C248" t="str">
            <v>KILO</v>
          </cell>
          <cell r="D248" t="str">
            <v>GRAMO</v>
          </cell>
          <cell r="E248">
            <v>1409.0171506666668</v>
          </cell>
          <cell r="F248">
            <v>1.4090171506666669</v>
          </cell>
          <cell r="G248">
            <v>0</v>
          </cell>
          <cell r="H248">
            <v>0</v>
          </cell>
          <cell r="I248">
            <v>224</v>
          </cell>
          <cell r="J248">
            <v>0.224</v>
          </cell>
        </row>
        <row r="249">
          <cell r="A249" t="str">
            <v>96372</v>
          </cell>
          <cell r="B249" t="str">
            <v>QUESO CHEDDAR BLANCO LAMINADO Y EMPACADO (1000g)</v>
          </cell>
          <cell r="C249" t="str">
            <v>KILO</v>
          </cell>
          <cell r="D249" t="str">
            <v>GRAMO</v>
          </cell>
          <cell r="E249">
            <v>9278.7842700000001</v>
          </cell>
          <cell r="F249">
            <v>9.2787842700000009</v>
          </cell>
          <cell r="G249">
            <v>52.097924444444445</v>
          </cell>
          <cell r="H249">
            <v>5.2097924444444443E-2</v>
          </cell>
          <cell r="I249">
            <v>224</v>
          </cell>
          <cell r="J249">
            <v>0.224</v>
          </cell>
        </row>
        <row r="250">
          <cell r="A250" t="str">
            <v>96373</v>
          </cell>
          <cell r="B250" t="str">
            <v>QUESO CHEDDAR LAMINADO Y EMPACADO (1000g)</v>
          </cell>
          <cell r="C250" t="str">
            <v>KILO</v>
          </cell>
          <cell r="D250" t="str">
            <v>GRAMO</v>
          </cell>
          <cell r="E250">
            <v>9065.4797699999999</v>
          </cell>
          <cell r="F250">
            <v>9.0654797699999996</v>
          </cell>
          <cell r="G250">
            <v>52.097924444444445</v>
          </cell>
          <cell r="H250">
            <v>5.2097924444444443E-2</v>
          </cell>
          <cell r="I250">
            <v>224</v>
          </cell>
          <cell r="J250">
            <v>0.224</v>
          </cell>
        </row>
        <row r="251">
          <cell r="A251" t="str">
            <v>96374</v>
          </cell>
          <cell r="B251" t="str">
            <v>QUESO GOUDA BLANCO LAMINADO Y EMPACADO (1000g)</v>
          </cell>
          <cell r="C251" t="str">
            <v>KILO</v>
          </cell>
          <cell r="D251" t="str">
            <v>GRAMO</v>
          </cell>
          <cell r="E251">
            <v>6766.1310899999999</v>
          </cell>
          <cell r="F251">
            <v>6.76613109</v>
          </cell>
          <cell r="G251">
            <v>52.103924444444445</v>
          </cell>
          <cell r="H251">
            <v>5.2103924444444442E-2</v>
          </cell>
          <cell r="I251">
            <v>224</v>
          </cell>
          <cell r="J251">
            <v>0.224</v>
          </cell>
        </row>
        <row r="252">
          <cell r="A252" t="str">
            <v>96375</v>
          </cell>
          <cell r="B252" t="str">
            <v>QUESO MONTERREY JACK LAMINADO Y EMPACADO (1000g)</v>
          </cell>
          <cell r="C252" t="str">
            <v>KILO</v>
          </cell>
          <cell r="D252" t="str">
            <v>GRAMO</v>
          </cell>
          <cell r="E252">
            <v>6933.1377600000005</v>
          </cell>
          <cell r="F252">
            <v>6.9331377600000001</v>
          </cell>
          <cell r="G252">
            <v>52.223357777777778</v>
          </cell>
          <cell r="H252">
            <v>5.2223357777777778E-2</v>
          </cell>
          <cell r="I252">
            <v>224</v>
          </cell>
          <cell r="J252">
            <v>0.224</v>
          </cell>
        </row>
        <row r="253">
          <cell r="A253" t="str">
            <v>96376</v>
          </cell>
          <cell r="B253" t="str">
            <v>SALCHICHA AMERICANA HORNEADA (300g)</v>
          </cell>
          <cell r="C253" t="str">
            <v>UND</v>
          </cell>
          <cell r="D253" t="str">
            <v>UND</v>
          </cell>
          <cell r="E253">
            <v>263.25</v>
          </cell>
          <cell r="F253">
            <v>263.25</v>
          </cell>
          <cell r="G253">
            <v>0</v>
          </cell>
          <cell r="H253">
            <v>0</v>
          </cell>
          <cell r="I253">
            <v>16.8</v>
          </cell>
          <cell r="J253">
            <v>16.8</v>
          </cell>
        </row>
        <row r="254">
          <cell r="A254" t="str">
            <v>96376</v>
          </cell>
          <cell r="B254" t="str">
            <v>SALCHICHA AMERICANA HORNEADA (300g)</v>
          </cell>
          <cell r="C254" t="str">
            <v>KILO</v>
          </cell>
          <cell r="D254" t="str">
            <v>GRAMO</v>
          </cell>
          <cell r="E254">
            <v>263.25</v>
          </cell>
          <cell r="F254">
            <v>0.26324999999999998</v>
          </cell>
          <cell r="G254">
            <v>0</v>
          </cell>
          <cell r="H254">
            <v>0</v>
          </cell>
          <cell r="I254">
            <v>16.8</v>
          </cell>
          <cell r="J254">
            <v>1.6800000000000002E-2</v>
          </cell>
        </row>
        <row r="255">
          <cell r="A255" t="str">
            <v>96377</v>
          </cell>
          <cell r="B255" t="str">
            <v>SALSA CEBOLLA PHILLY (500g)</v>
          </cell>
          <cell r="C255" t="str">
            <v>KILO</v>
          </cell>
          <cell r="D255" t="str">
            <v>GRAMO</v>
          </cell>
          <cell r="E255">
            <v>2593.4490490000003</v>
          </cell>
          <cell r="F255">
            <v>2.5934490490000002</v>
          </cell>
          <cell r="G255">
            <v>0</v>
          </cell>
          <cell r="H255">
            <v>0</v>
          </cell>
          <cell r="I255">
            <v>560</v>
          </cell>
          <cell r="J255">
            <v>0.56000000000000005</v>
          </cell>
        </row>
        <row r="256">
          <cell r="A256" t="str">
            <v>96378</v>
          </cell>
          <cell r="B256" t="str">
            <v>TOCINETA TOSTADA (150g)</v>
          </cell>
          <cell r="C256" t="str">
            <v>KILO</v>
          </cell>
          <cell r="D256" t="str">
            <v>GRAMO</v>
          </cell>
          <cell r="E256">
            <v>10946.533333333331</v>
          </cell>
          <cell r="F256">
            <v>10.946533333333331</v>
          </cell>
          <cell r="G256">
            <v>0</v>
          </cell>
          <cell r="H256">
            <v>0</v>
          </cell>
          <cell r="I256">
            <v>1120</v>
          </cell>
          <cell r="J256">
            <v>1.1200000000000001</v>
          </cell>
        </row>
        <row r="257">
          <cell r="A257" t="str">
            <v>96379</v>
          </cell>
          <cell r="B257" t="str">
            <v>TORTA DE CLARAS (110g)</v>
          </cell>
          <cell r="C257" t="str">
            <v>UND</v>
          </cell>
          <cell r="D257" t="str">
            <v>UND</v>
          </cell>
          <cell r="E257">
            <v>508.87973196778529</v>
          </cell>
          <cell r="F257">
            <v>508.87973196778529</v>
          </cell>
          <cell r="G257">
            <v>0</v>
          </cell>
          <cell r="H257">
            <v>0</v>
          </cell>
          <cell r="I257">
            <v>33.881879194630869</v>
          </cell>
          <cell r="J257">
            <v>33.881879194630869</v>
          </cell>
        </row>
        <row r="258">
          <cell r="A258" t="str">
            <v>96380</v>
          </cell>
          <cell r="B258" t="str">
            <v>TORTA DE HUEVO (75g)</v>
          </cell>
          <cell r="C258" t="str">
            <v>UND</v>
          </cell>
          <cell r="D258" t="str">
            <v>UND</v>
          </cell>
          <cell r="E258">
            <v>107.84754888389264</v>
          </cell>
          <cell r="F258">
            <v>107.84754888389264</v>
          </cell>
          <cell r="G258">
            <v>2.838254697986577E-2</v>
          </cell>
          <cell r="H258">
            <v>2.838254697986577E-2</v>
          </cell>
          <cell r="I258">
            <v>39.340939597315433</v>
          </cell>
          <cell r="J258">
            <v>39.340939597315433</v>
          </cell>
        </row>
        <row r="259">
          <cell r="A259" t="str">
            <v>96381</v>
          </cell>
          <cell r="B259" t="str">
            <v>TORTA HUEVOS Y VEGETALES (75g)</v>
          </cell>
          <cell r="C259" t="str">
            <v>UND</v>
          </cell>
          <cell r="D259" t="str">
            <v>UND</v>
          </cell>
          <cell r="E259">
            <v>113.89141737722596</v>
          </cell>
          <cell r="F259">
            <v>113.89141737722596</v>
          </cell>
          <cell r="G259">
            <v>2.838254697986577E-2</v>
          </cell>
          <cell r="H259">
            <v>2.838254697986577E-2</v>
          </cell>
          <cell r="I259">
            <v>37.100939597315438</v>
          </cell>
          <cell r="J259">
            <v>37.100939597315438</v>
          </cell>
        </row>
        <row r="260">
          <cell r="A260" t="str">
            <v>96388</v>
          </cell>
          <cell r="B260" t="str">
            <v>BASE DE GALLETA DE CHOCOLATE (1000g)</v>
          </cell>
          <cell r="C260" t="str">
            <v>KILO</v>
          </cell>
          <cell r="D260" t="str">
            <v>GRAMO</v>
          </cell>
          <cell r="E260">
            <v>1553.7802000000001</v>
          </cell>
          <cell r="F260">
            <v>1.5537802000000001</v>
          </cell>
          <cell r="G260">
            <v>0</v>
          </cell>
          <cell r="H260">
            <v>0</v>
          </cell>
          <cell r="I260">
            <v>220</v>
          </cell>
          <cell r="J260">
            <v>0.22</v>
          </cell>
        </row>
        <row r="261">
          <cell r="A261" t="str">
            <v>96392</v>
          </cell>
          <cell r="B261" t="str">
            <v>BASTONES QUESO TURRIALBA P/TIQUEÑOS</v>
          </cell>
          <cell r="C261" t="str">
            <v>KILO</v>
          </cell>
          <cell r="D261" t="str">
            <v>GRAMO</v>
          </cell>
          <cell r="E261">
            <v>3036.3153488372091</v>
          </cell>
          <cell r="F261">
            <v>3.036315348837209</v>
          </cell>
          <cell r="G261">
            <v>1.0934808139534882</v>
          </cell>
          <cell r="H261">
            <v>1.0934808139534881E-3</v>
          </cell>
          <cell r="I261">
            <v>89.534883720930225</v>
          </cell>
          <cell r="J261">
            <v>8.9534883720930228E-2</v>
          </cell>
        </row>
        <row r="262">
          <cell r="A262" t="str">
            <v>96393</v>
          </cell>
          <cell r="B262" t="str">
            <v>BATIDO P/PAN BLANCO (24650g)</v>
          </cell>
          <cell r="C262" t="str">
            <v>KILO</v>
          </cell>
          <cell r="D262" t="str">
            <v>GRAMO</v>
          </cell>
          <cell r="E262">
            <v>496.04960787018251</v>
          </cell>
          <cell r="F262">
            <v>0.49604960787018249</v>
          </cell>
          <cell r="G262">
            <v>1.8606731317814482</v>
          </cell>
          <cell r="H262">
            <v>1.8606731317814481E-3</v>
          </cell>
          <cell r="I262">
            <v>20.081135902636916</v>
          </cell>
          <cell r="J262">
            <v>2.0081135902636917E-2</v>
          </cell>
        </row>
        <row r="263">
          <cell r="A263" t="str">
            <v>96395</v>
          </cell>
          <cell r="B263" t="str">
            <v>PRALINE C/CHOCOLATE BLANCO (2600g)</v>
          </cell>
          <cell r="C263" t="str">
            <v>KILO</v>
          </cell>
          <cell r="D263" t="str">
            <v>GRAMO</v>
          </cell>
          <cell r="E263">
            <v>4516.5968076923073</v>
          </cell>
          <cell r="F263">
            <v>4.5165968076923075</v>
          </cell>
          <cell r="G263">
            <v>8.6926923076923082</v>
          </cell>
          <cell r="H263">
            <v>8.6926923076923075E-3</v>
          </cell>
          <cell r="I263">
            <v>430.76923076923077</v>
          </cell>
          <cell r="J263">
            <v>0.43076923076923079</v>
          </cell>
        </row>
        <row r="264">
          <cell r="A264" t="str">
            <v>96396</v>
          </cell>
          <cell r="B264" t="str">
            <v>CREMA CHANTILLY BEIDGE (10400g)</v>
          </cell>
          <cell r="C264" t="str">
            <v>KILO</v>
          </cell>
          <cell r="D264" t="str">
            <v>GRAMO</v>
          </cell>
          <cell r="E264">
            <v>1565.0805096153845</v>
          </cell>
          <cell r="F264">
            <v>1.5650805096153844</v>
          </cell>
          <cell r="G264">
            <v>9.6249999999999988E-2</v>
          </cell>
          <cell r="H264">
            <v>9.6249999999999995E-5</v>
          </cell>
          <cell r="I264">
            <v>26.923076923076923</v>
          </cell>
          <cell r="J264">
            <v>2.6923076923076925E-2</v>
          </cell>
        </row>
        <row r="265">
          <cell r="A265" t="str">
            <v>96398</v>
          </cell>
          <cell r="B265" t="str">
            <v>ALMIBAR CON LICOR DE CAFE (3000g)</v>
          </cell>
          <cell r="C265" t="str">
            <v>KILO</v>
          </cell>
          <cell r="D265" t="str">
            <v>GRAMO</v>
          </cell>
          <cell r="E265">
            <v>4242.1413380324821</v>
          </cell>
          <cell r="F265">
            <v>4.2421413380324822</v>
          </cell>
          <cell r="G265">
            <v>5.1454490111229436</v>
          </cell>
          <cell r="H265">
            <v>5.1454490111229436E-3</v>
          </cell>
          <cell r="I265">
            <v>11.182108626198085</v>
          </cell>
          <cell r="J265">
            <v>1.1182108626198084E-2</v>
          </cell>
        </row>
        <row r="266">
          <cell r="A266" t="str">
            <v>96399</v>
          </cell>
          <cell r="B266" t="str">
            <v>BATIDO P/TORTA KALUA (7684g)</v>
          </cell>
          <cell r="C266" t="str">
            <v>KILO</v>
          </cell>
          <cell r="D266" t="str">
            <v>GRAMO</v>
          </cell>
          <cell r="E266">
            <v>2598.1708149431574</v>
          </cell>
          <cell r="F266">
            <v>2.5981708149431575</v>
          </cell>
          <cell r="G266">
            <v>7.0082209161000613</v>
          </cell>
          <cell r="H266">
            <v>7.0082209161000612E-3</v>
          </cell>
          <cell r="I266">
            <v>111.33659065921081</v>
          </cell>
          <cell r="J266">
            <v>0.11133659065921081</v>
          </cell>
        </row>
        <row r="267">
          <cell r="A267" t="str">
            <v>96409</v>
          </cell>
          <cell r="B267" t="str">
            <v>BASE PREMEZCLA CHOCOLATE PILLSBURY (6012g)</v>
          </cell>
          <cell r="C267" t="str">
            <v>TANDA</v>
          </cell>
          <cell r="D267" t="str">
            <v>GRAMO</v>
          </cell>
          <cell r="E267">
            <v>8989.293107999998</v>
          </cell>
          <cell r="F267">
            <v>1.4952250678642711</v>
          </cell>
          <cell r="G267">
            <v>32.369083809523815</v>
          </cell>
          <cell r="H267">
            <v>5.3840791433007011E-3</v>
          </cell>
          <cell r="I267">
            <v>110</v>
          </cell>
          <cell r="J267">
            <v>1.8296739853626082E-2</v>
          </cell>
        </row>
        <row r="268">
          <cell r="A268" t="str">
            <v>96451</v>
          </cell>
          <cell r="B268" t="str">
            <v>MEZCLA TRES LECHES C/AGUA (2000g)</v>
          </cell>
          <cell r="C268" t="str">
            <v>Kilo</v>
          </cell>
          <cell r="D268" t="str">
            <v>Gramo</v>
          </cell>
          <cell r="E268">
            <v>866.54019873768948</v>
          </cell>
          <cell r="F268">
            <v>0.8665401987376895</v>
          </cell>
          <cell r="G268">
            <v>0</v>
          </cell>
          <cell r="H268">
            <v>0</v>
          </cell>
          <cell r="I268">
            <v>67.934680321062828</v>
          </cell>
          <cell r="J268">
            <v>6.7934680321062826E-2</v>
          </cell>
        </row>
        <row r="269">
          <cell r="A269" t="str">
            <v>96464</v>
          </cell>
          <cell r="B269" t="str">
            <v>EMPAQUE SALSA BLANCA SPOON  (5000g)</v>
          </cell>
          <cell r="C269" t="str">
            <v>KILO</v>
          </cell>
          <cell r="D269" t="str">
            <v>GRAMO</v>
          </cell>
          <cell r="E269">
            <v>1571.1600631712397</v>
          </cell>
          <cell r="F269">
            <v>1.5711600631712397</v>
          </cell>
          <cell r="G269">
            <v>7.751116539682541</v>
          </cell>
          <cell r="H269">
            <v>7.7511165396825406E-3</v>
          </cell>
          <cell r="I269">
            <v>37.179910350448246</v>
          </cell>
          <cell r="J269">
            <v>3.7179910350448243E-2</v>
          </cell>
        </row>
        <row r="270">
          <cell r="A270" t="str">
            <v>96465</v>
          </cell>
          <cell r="B270" t="str">
            <v>POLLO RECORTE EMPACADO (5000g)</v>
          </cell>
          <cell r="C270" t="str">
            <v>KILO</v>
          </cell>
          <cell r="D270" t="str">
            <v>GRAMO</v>
          </cell>
          <cell r="E270">
            <v>3244.1848639240507</v>
          </cell>
          <cell r="F270">
            <v>3.2441848639240507</v>
          </cell>
          <cell r="G270">
            <v>7.6104167619047631</v>
          </cell>
          <cell r="H270">
            <v>7.6104167619047633E-3</v>
          </cell>
          <cell r="I270">
            <v>79.610759493670884</v>
          </cell>
          <cell r="J270">
            <v>7.9610759493670885E-2</v>
          </cell>
        </row>
        <row r="271">
          <cell r="A271" t="str">
            <v>96466</v>
          </cell>
          <cell r="B271" t="str">
            <v>POLLO DESMENUZADO MARMITA EMPACADO (5000g)</v>
          </cell>
          <cell r="C271" t="str">
            <v>KILO</v>
          </cell>
          <cell r="D271" t="str">
            <v>GRAMO</v>
          </cell>
          <cell r="E271">
            <v>3656.2497406250004</v>
          </cell>
          <cell r="F271">
            <v>3.6562497406250003</v>
          </cell>
          <cell r="G271">
            <v>7.6104167619047631</v>
          </cell>
          <cell r="H271">
            <v>7.6104167619047633E-3</v>
          </cell>
          <cell r="I271">
            <v>165.6875</v>
          </cell>
          <cell r="J271">
            <v>0.16568749999999999</v>
          </cell>
        </row>
        <row r="272">
          <cell r="A272" t="str">
            <v>96467</v>
          </cell>
          <cell r="B272" t="str">
            <v>ARROZ PRECOCIDO P/GALLO PINTO EMPACADO (5000g)</v>
          </cell>
          <cell r="C272" t="str">
            <v>KILO</v>
          </cell>
          <cell r="D272" t="str">
            <v>GRAMO</v>
          </cell>
          <cell r="E272">
            <v>684.71402472885029</v>
          </cell>
          <cell r="F272">
            <v>0.68471402472885035</v>
          </cell>
          <cell r="G272">
            <v>16.192352665013946</v>
          </cell>
          <cell r="H272">
            <v>1.6192352665013947E-2</v>
          </cell>
          <cell r="I272">
            <v>80.337527114967457</v>
          </cell>
          <cell r="J272">
            <v>8.0337527114967458E-2</v>
          </cell>
        </row>
        <row r="273">
          <cell r="A273" t="str">
            <v>96468</v>
          </cell>
          <cell r="B273" t="str">
            <v>FRIJOLES P/GALLO PINTO EMPACADOS (4000g)</v>
          </cell>
          <cell r="C273" t="str">
            <v>KILO</v>
          </cell>
          <cell r="D273" t="str">
            <v>GRAMO</v>
          </cell>
          <cell r="E273">
            <v>569.29152371342082</v>
          </cell>
          <cell r="F273">
            <v>0.56929152371342084</v>
          </cell>
          <cell r="G273">
            <v>7.8970049843031731</v>
          </cell>
          <cell r="H273">
            <v>7.8970049843031728E-3</v>
          </cell>
          <cell r="I273">
            <v>49.254288597376387</v>
          </cell>
          <cell r="J273">
            <v>4.9254288597376385E-2</v>
          </cell>
        </row>
        <row r="274">
          <cell r="A274" t="str">
            <v>96475</v>
          </cell>
          <cell r="B274" t="str">
            <v>COCCION CREMA TOMATE (18500g)</v>
          </cell>
          <cell r="C274" t="str">
            <v>KILO</v>
          </cell>
          <cell r="D274" t="str">
            <v>GRAMO</v>
          </cell>
          <cell r="E274">
            <v>1090.2296858739235</v>
          </cell>
          <cell r="F274">
            <v>1.0902296858739235</v>
          </cell>
          <cell r="G274">
            <v>0</v>
          </cell>
          <cell r="H274">
            <v>0</v>
          </cell>
          <cell r="I274">
            <v>29.198841698841701</v>
          </cell>
          <cell r="J274">
            <v>2.9198841698841699E-2</v>
          </cell>
        </row>
        <row r="275">
          <cell r="A275" t="str">
            <v>96476</v>
          </cell>
          <cell r="B275" t="str">
            <v>BASE PREMEZCLA P/EMPANADA STB (9456g)</v>
          </cell>
          <cell r="C275" t="str">
            <v>TANDA</v>
          </cell>
          <cell r="D275" t="str">
            <v>GRAMO</v>
          </cell>
          <cell r="E275">
            <v>3544.9617000000003</v>
          </cell>
          <cell r="F275">
            <v>0.37489019670050766</v>
          </cell>
          <cell r="G275">
            <v>35.065582698412705</v>
          </cell>
          <cell r="H275">
            <v>3.7082892024548121E-3</v>
          </cell>
          <cell r="I275">
            <v>168</v>
          </cell>
          <cell r="J275">
            <v>1.7766497461928935E-2</v>
          </cell>
        </row>
        <row r="276">
          <cell r="A276" t="str">
            <v>96477</v>
          </cell>
          <cell r="B276" t="str">
            <v>PASTA P/EMPANADA STB (16000g)</v>
          </cell>
          <cell r="C276" t="str">
            <v>KILO</v>
          </cell>
          <cell r="D276" t="str">
            <v>GRAMO</v>
          </cell>
          <cell r="E276">
            <v>798.93995025000004</v>
          </cell>
          <cell r="F276">
            <v>0.79893995025000009</v>
          </cell>
          <cell r="G276">
            <v>2.1776800595238095</v>
          </cell>
          <cell r="H276">
            <v>2.1776800595238095E-3</v>
          </cell>
          <cell r="I276">
            <v>44.875</v>
          </cell>
          <cell r="J276">
            <v>4.4874999999999998E-2</v>
          </cell>
        </row>
        <row r="277">
          <cell r="A277" t="str">
            <v>96478</v>
          </cell>
          <cell r="B277" t="str">
            <v>RECTANGULOS DE PASTA P/EMPANADA STB (UND)</v>
          </cell>
          <cell r="C277" t="str">
            <v>UND</v>
          </cell>
          <cell r="D277" t="str">
            <v>UND</v>
          </cell>
          <cell r="E277">
            <v>48.379197015000003</v>
          </cell>
          <cell r="F277">
            <v>48.379197015000003</v>
          </cell>
          <cell r="G277">
            <v>0.13066080357142856</v>
          </cell>
          <cell r="H277">
            <v>0.13066080357142856</v>
          </cell>
          <cell r="I277">
            <v>6.03</v>
          </cell>
          <cell r="J277">
            <v>6.03</v>
          </cell>
        </row>
        <row r="278">
          <cell r="A278" t="str">
            <v>96479</v>
          </cell>
          <cell r="B278" t="str">
            <v>RUEDA P/EMPANADA STB (UND)</v>
          </cell>
          <cell r="C278" t="str">
            <v>UND</v>
          </cell>
          <cell r="D278" t="str">
            <v>UND</v>
          </cell>
          <cell r="E278">
            <v>48.379249015000006</v>
          </cell>
          <cell r="F278">
            <v>48.379249015000006</v>
          </cell>
          <cell r="G278">
            <v>0.13066080357142856</v>
          </cell>
          <cell r="H278">
            <v>0.13066080357142856</v>
          </cell>
          <cell r="I278">
            <v>6.09</v>
          </cell>
          <cell r="J278">
            <v>6.09</v>
          </cell>
        </row>
        <row r="279">
          <cell r="A279" t="str">
            <v>96480</v>
          </cell>
          <cell r="B279" t="str">
            <v>RELLENO POLLO Y HONGOS STB EMPACADO (4000g)</v>
          </cell>
          <cell r="C279" t="str">
            <v>KILO</v>
          </cell>
          <cell r="D279" t="str">
            <v>GRAMO</v>
          </cell>
          <cell r="E279">
            <v>3397.7394979447758</v>
          </cell>
          <cell r="F279">
            <v>3.3977394979447757</v>
          </cell>
          <cell r="G279">
            <v>6.8891455555555563</v>
          </cell>
          <cell r="H279">
            <v>6.8891455555555566E-3</v>
          </cell>
          <cell r="I279">
            <v>241.83476259980947</v>
          </cell>
          <cell r="J279">
            <v>0.24183476259980946</v>
          </cell>
        </row>
        <row r="280">
          <cell r="A280" t="str">
            <v>96481</v>
          </cell>
          <cell r="B280" t="str">
            <v>RELLENO CAPRESSE STB EMPACADO (4000g)</v>
          </cell>
          <cell r="C280" t="str">
            <v>KILO</v>
          </cell>
          <cell r="D280" t="str">
            <v>GRAMO</v>
          </cell>
          <cell r="E280">
            <v>2734.9109968887979</v>
          </cell>
          <cell r="F280">
            <v>2.7349109968887979</v>
          </cell>
          <cell r="G280">
            <v>0.63700000000000001</v>
          </cell>
          <cell r="H280">
            <v>6.3699999999999998E-4</v>
          </cell>
          <cell r="I280">
            <v>165.82375204924509</v>
          </cell>
          <cell r="J280">
            <v>0.1658237520492451</v>
          </cell>
        </row>
        <row r="281">
          <cell r="A281" t="str">
            <v>96482</v>
          </cell>
          <cell r="B281" t="str">
            <v>RELLENO JAMON Y QUESO STB (4000g)</v>
          </cell>
          <cell r="C281" t="str">
            <v>KILO</v>
          </cell>
          <cell r="D281" t="str">
            <v>GRAMO</v>
          </cell>
          <cell r="E281">
            <v>2451.1142236052137</v>
          </cell>
          <cell r="F281">
            <v>2.4511142236052139</v>
          </cell>
          <cell r="G281">
            <v>6.7954622222222225</v>
          </cell>
          <cell r="H281">
            <v>6.7954622222222228E-3</v>
          </cell>
          <cell r="I281">
            <v>474.39387384356604</v>
          </cell>
          <cell r="J281">
            <v>0.47439387384356602</v>
          </cell>
        </row>
        <row r="282">
          <cell r="A282" t="str">
            <v>96483</v>
          </cell>
          <cell r="B282" t="str">
            <v>EMPANADA CAPRESSE STB (UND)</v>
          </cell>
          <cell r="C282" t="str">
            <v>UND</v>
          </cell>
          <cell r="D282" t="str">
            <v>UND</v>
          </cell>
          <cell r="E282">
            <v>191.24963460943991</v>
          </cell>
          <cell r="F282">
            <v>191.24963460943991</v>
          </cell>
          <cell r="G282">
            <v>0.16251080357142855</v>
          </cell>
          <cell r="H282">
            <v>0.16251080357142855</v>
          </cell>
          <cell r="I282">
            <v>35.08618760246226</v>
          </cell>
          <cell r="J282">
            <v>35.08618760246226</v>
          </cell>
        </row>
        <row r="283">
          <cell r="A283" t="str">
            <v>96484</v>
          </cell>
          <cell r="B283" t="str">
            <v>EMPANADA JAMON Y QUESO (UND)</v>
          </cell>
          <cell r="C283" t="str">
            <v>UND</v>
          </cell>
          <cell r="D283" t="str">
            <v>UND</v>
          </cell>
          <cell r="E283">
            <v>175.16650794651071</v>
          </cell>
          <cell r="F283">
            <v>175.16650794651071</v>
          </cell>
          <cell r="G283">
            <v>8.8327253432539674</v>
          </cell>
          <cell r="H283">
            <v>8.8327253432539674</v>
          </cell>
          <cell r="I283">
            <v>440.56969369217825</v>
          </cell>
          <cell r="J283">
            <v>440.56969369217825</v>
          </cell>
        </row>
        <row r="284">
          <cell r="A284" t="str">
            <v>96485</v>
          </cell>
          <cell r="B284" t="str">
            <v>EMPANADA POLLO Y HONGOS STB (UND)</v>
          </cell>
          <cell r="C284" t="str">
            <v>UND</v>
          </cell>
          <cell r="D284" t="str">
            <v>UND</v>
          </cell>
          <cell r="E284">
            <v>236.16168907253365</v>
          </cell>
          <cell r="F284">
            <v>236.16168907253365</v>
          </cell>
          <cell r="G284">
            <v>0.4704339146825397</v>
          </cell>
          <cell r="H284">
            <v>0.4704339146825397</v>
          </cell>
          <cell r="I284">
            <v>45.275087651085606</v>
          </cell>
          <cell r="J284">
            <v>45.275087651085606</v>
          </cell>
        </row>
        <row r="285">
          <cell r="A285" t="str">
            <v>96486</v>
          </cell>
          <cell r="B285" t="str">
            <v>RELLENO CARNE CON ACEITUNAS EMPACADO (2000g)</v>
          </cell>
          <cell r="C285" t="str">
            <v>KILO</v>
          </cell>
          <cell r="D285" t="str">
            <v>GRAMO</v>
          </cell>
          <cell r="E285">
            <v>3198.589746943192</v>
          </cell>
          <cell r="F285">
            <v>3.1985897469431919</v>
          </cell>
          <cell r="G285">
            <v>28.689440516707077</v>
          </cell>
          <cell r="H285">
            <v>2.8689440516707077E-2</v>
          </cell>
          <cell r="I285">
            <v>402.68474645994223</v>
          </cell>
          <cell r="J285">
            <v>0.40268474645994223</v>
          </cell>
        </row>
        <row r="286">
          <cell r="A286" t="str">
            <v>96487</v>
          </cell>
          <cell r="B286" t="str">
            <v>EMPANADA CARNE C/ACEITUNAS STB (UND)</v>
          </cell>
          <cell r="C286" t="str">
            <v>UND</v>
          </cell>
          <cell r="D286" t="str">
            <v>UND</v>
          </cell>
          <cell r="E286">
            <v>210.53312495933415</v>
          </cell>
          <cell r="F286">
            <v>210.53312495933415</v>
          </cell>
          <cell r="G286">
            <v>0.4490505549242424</v>
          </cell>
          <cell r="H286">
            <v>0.4490505549242424</v>
          </cell>
          <cell r="I286">
            <v>44.986999262860877</v>
          </cell>
          <cell r="J286">
            <v>44.986999262860877</v>
          </cell>
        </row>
        <row r="287">
          <cell r="A287" t="str">
            <v>1522355</v>
          </cell>
          <cell r="B287" t="str">
            <v>EMPAQUE MAYONESA (2000g)</v>
          </cell>
          <cell r="C287" t="str">
            <v>KILO</v>
          </cell>
          <cell r="D287" t="str">
            <v>GRAMO</v>
          </cell>
          <cell r="E287">
            <v>914.49014602822695</v>
          </cell>
          <cell r="F287">
            <v>0.91449014602822698</v>
          </cell>
          <cell r="G287">
            <v>5.5167612657726437</v>
          </cell>
          <cell r="H287">
            <v>5.5167612657726437E-3</v>
          </cell>
          <cell r="I287">
            <v>47.903698188136005</v>
          </cell>
          <cell r="J287">
            <v>4.7903698188136008E-2</v>
          </cell>
        </row>
        <row r="288">
          <cell r="A288" t="str">
            <v>96488</v>
          </cell>
          <cell r="B288" t="str">
            <v>ROSQUETE CUADRADO TRES LECHES (330g)</v>
          </cell>
          <cell r="C288" t="str">
            <v>UND</v>
          </cell>
          <cell r="D288" t="str">
            <v>UND</v>
          </cell>
          <cell r="E288">
            <v>329.13105196412442</v>
          </cell>
          <cell r="F288">
            <v>329.13105196412442</v>
          </cell>
          <cell r="G288">
            <v>1.2382540299524487</v>
          </cell>
          <cell r="H288">
            <v>1.2382540299524487</v>
          </cell>
          <cell r="I288">
            <v>28.483709579011595</v>
          </cell>
          <cell r="J288">
            <v>28.483709579011595</v>
          </cell>
        </row>
        <row r="289">
          <cell r="A289" t="str">
            <v>95356</v>
          </cell>
          <cell r="B289" t="str">
            <v>ROSQUETE TRES LECHES (1000g)</v>
          </cell>
          <cell r="C289" t="str">
            <v>UND</v>
          </cell>
          <cell r="D289" t="str">
            <v>UND</v>
          </cell>
          <cell r="E289">
            <v>875.20064786705029</v>
          </cell>
          <cell r="F289">
            <v>875.20064786705029</v>
          </cell>
          <cell r="G289">
            <v>11.131434946060155</v>
          </cell>
          <cell r="H289">
            <v>11.131434946060155</v>
          </cell>
          <cell r="I289">
            <v>48.803930968360504</v>
          </cell>
          <cell r="J289">
            <v>48.803930968360504</v>
          </cell>
        </row>
        <row r="290">
          <cell r="A290" t="str">
            <v>96389</v>
          </cell>
          <cell r="B290" t="str">
            <v>MOUSSE P/POSTRE COOKIES AND CREAM (1800g)</v>
          </cell>
          <cell r="C290" t="str">
            <v>KILO</v>
          </cell>
          <cell r="D290" t="str">
            <v>GRAMO</v>
          </cell>
          <cell r="E290">
            <v>3412.0520363595087</v>
          </cell>
          <cell r="F290">
            <v>3.4120520363595088</v>
          </cell>
          <cell r="G290">
            <v>9.090277777777777E-3</v>
          </cell>
          <cell r="H290">
            <v>9.0902777777777772E-6</v>
          </cell>
          <cell r="I290">
            <v>157.77243589743591</v>
          </cell>
          <cell r="J290">
            <v>0.15777243589743592</v>
          </cell>
        </row>
        <row r="291">
          <cell r="A291" t="str">
            <v>96390</v>
          </cell>
          <cell r="B291" t="str">
            <v>BASE CHOCOLATE Y ALMENDRAS P/MINI POSTRE (1000g)</v>
          </cell>
          <cell r="C291" t="str">
            <v>KILO</v>
          </cell>
          <cell r="D291" t="str">
            <v>GRAMO</v>
          </cell>
          <cell r="E291">
            <v>4564.1309955584647</v>
          </cell>
          <cell r="F291">
            <v>4.5641309955584646</v>
          </cell>
          <cell r="G291">
            <v>0.4859724379484196</v>
          </cell>
          <cell r="H291">
            <v>4.859724379484196E-4</v>
          </cell>
          <cell r="I291">
            <v>195.95549738219896</v>
          </cell>
          <cell r="J291">
            <v>0.19595549738219895</v>
          </cell>
        </row>
        <row r="292">
          <cell r="A292" t="str">
            <v>96391</v>
          </cell>
          <cell r="B292" t="str">
            <v>MOUSSE CHOCOLATE DARK C/COBERTURA (6000g)</v>
          </cell>
          <cell r="C292" t="str">
            <v>KILO</v>
          </cell>
          <cell r="D292" t="str">
            <v>GRAMO</v>
          </cell>
          <cell r="E292">
            <v>3291.487916666666</v>
          </cell>
          <cell r="F292">
            <v>3.2914879166666662</v>
          </cell>
          <cell r="G292">
            <v>6.3433650000000004</v>
          </cell>
          <cell r="H292">
            <v>6.3433650000000001E-3</v>
          </cell>
          <cell r="I292">
            <v>140</v>
          </cell>
          <cell r="J292">
            <v>0.14000000000000001</v>
          </cell>
        </row>
        <row r="293">
          <cell r="A293" t="str">
            <v>95584</v>
          </cell>
          <cell r="B293" t="str">
            <v>RELLENO QUESO P/CHESSE CAKE HORNEADO (12800g)</v>
          </cell>
          <cell r="C293" t="str">
            <v>KILO</v>
          </cell>
          <cell r="D293" t="str">
            <v>GRAMO</v>
          </cell>
          <cell r="E293">
            <v>2306.3680384765626</v>
          </cell>
          <cell r="F293">
            <v>2.3063680384765624</v>
          </cell>
          <cell r="G293">
            <v>0</v>
          </cell>
          <cell r="H293">
            <v>0</v>
          </cell>
          <cell r="I293">
            <v>25.78125</v>
          </cell>
          <cell r="J293">
            <v>2.5781249999999999E-2</v>
          </cell>
        </row>
        <row r="294">
          <cell r="A294" t="str">
            <v>95702</v>
          </cell>
          <cell r="B294" t="str">
            <v>RELLENO QUESO BASE P/CHESSE CAKE SPOON (7.8 Kg)</v>
          </cell>
          <cell r="C294" t="str">
            <v>KILO</v>
          </cell>
          <cell r="D294" t="str">
            <v>GRAMO</v>
          </cell>
          <cell r="E294">
            <v>1798.4060811282054</v>
          </cell>
          <cell r="F294">
            <v>1.7984060811282054</v>
          </cell>
          <cell r="G294">
            <v>0</v>
          </cell>
          <cell r="H294">
            <v>0</v>
          </cell>
          <cell r="I294">
            <v>105.76923076923077</v>
          </cell>
          <cell r="J294">
            <v>0.10576923076923077</v>
          </cell>
        </row>
        <row r="295">
          <cell r="A295" t="str">
            <v>95833</v>
          </cell>
          <cell r="B295" t="str">
            <v>ROSQUETE MELOCOTON PURATOS (300g)</v>
          </cell>
          <cell r="C295" t="str">
            <v>UND</v>
          </cell>
          <cell r="D295" t="str">
            <v>UND</v>
          </cell>
          <cell r="E295">
            <v>354.48884494634626</v>
          </cell>
          <cell r="F295">
            <v>354.48884494634626</v>
          </cell>
          <cell r="G295">
            <v>9.2045736593345016</v>
          </cell>
          <cell r="H295">
            <v>9.2045736593345016</v>
          </cell>
          <cell r="I295">
            <v>18.692332962886429</v>
          </cell>
          <cell r="J295">
            <v>18.692332962886429</v>
          </cell>
        </row>
        <row r="296">
          <cell r="A296" t="str">
            <v>95857</v>
          </cell>
          <cell r="B296" t="str">
            <v>ROSQUETE CHOCOLATE SPOON RED. (320g)</v>
          </cell>
          <cell r="C296" t="str">
            <v>UND</v>
          </cell>
          <cell r="D296" t="str">
            <v>UND</v>
          </cell>
          <cell r="E296">
            <v>395.76817663200347</v>
          </cell>
          <cell r="F296">
            <v>395.76817663200347</v>
          </cell>
          <cell r="G296">
            <v>5.8299605890354398</v>
          </cell>
          <cell r="H296">
            <v>5.8299605890354398</v>
          </cell>
          <cell r="I296">
            <v>16.8969495634217</v>
          </cell>
          <cell r="J296">
            <v>16.8969495634217</v>
          </cell>
        </row>
        <row r="297">
          <cell r="A297" t="str">
            <v>96273</v>
          </cell>
          <cell r="B297" t="str">
            <v>CORTE GALLETA PEQ P/TORTA CHILENA (UND)</v>
          </cell>
          <cell r="C297" t="str">
            <v>UND</v>
          </cell>
          <cell r="D297" t="str">
            <v>UND</v>
          </cell>
          <cell r="E297">
            <v>91.259726746921174</v>
          </cell>
          <cell r="F297">
            <v>91.259726746921174</v>
          </cell>
          <cell r="G297">
            <v>0.71619935522714828</v>
          </cell>
          <cell r="H297">
            <v>0.71619935522714828</v>
          </cell>
          <cell r="I297">
            <v>21.555665024630542</v>
          </cell>
          <cell r="J297">
            <v>21.555665024630542</v>
          </cell>
        </row>
        <row r="298">
          <cell r="A298" t="str">
            <v>95228</v>
          </cell>
          <cell r="B298" t="str">
            <v>EMPANADA DE POLLO PEQUEÑA  (UND)</v>
          </cell>
          <cell r="C298" t="str">
            <v>UND</v>
          </cell>
          <cell r="D298" t="str">
            <v>UND</v>
          </cell>
          <cell r="E298">
            <v>50.301003641910235</v>
          </cell>
          <cell r="F298">
            <v>50.301003641910235</v>
          </cell>
          <cell r="G298">
            <v>0.18561604071370563</v>
          </cell>
          <cell r="H298">
            <v>0.18561604071370563</v>
          </cell>
          <cell r="I298">
            <v>26.038033000308769</v>
          </cell>
          <cell r="J298">
            <v>26.038033000308769</v>
          </cell>
        </row>
        <row r="299">
          <cell r="A299" t="str">
            <v>96259</v>
          </cell>
          <cell r="B299" t="str">
            <v>EMPAQUE RELLENO QUESOS P/EMPANADA (2000g)</v>
          </cell>
          <cell r="C299" t="str">
            <v>KILO</v>
          </cell>
          <cell r="D299" t="str">
            <v>GRAMO</v>
          </cell>
          <cell r="E299">
            <v>4518.1805009999998</v>
          </cell>
          <cell r="F299">
            <v>4.5181805009999998</v>
          </cell>
          <cell r="G299">
            <v>9.6424850232310089</v>
          </cell>
          <cell r="H299">
            <v>9.6424850232310084E-3</v>
          </cell>
          <cell r="I299">
            <v>128.79271070615033</v>
          </cell>
          <cell r="J299">
            <v>0.12879271070615034</v>
          </cell>
        </row>
        <row r="300">
          <cell r="A300" t="str">
            <v>96262</v>
          </cell>
          <cell r="B300" t="str">
            <v>EMPANADITA TRES QUESOS (UND)</v>
          </cell>
          <cell r="C300" t="str">
            <v>UND</v>
          </cell>
          <cell r="D300" t="str">
            <v>UND</v>
          </cell>
          <cell r="E300">
            <v>108.39975543294742</v>
          </cell>
          <cell r="F300">
            <v>108.39975543294742</v>
          </cell>
          <cell r="G300">
            <v>0.55893450174345605</v>
          </cell>
          <cell r="H300">
            <v>0.55893450174345605</v>
          </cell>
          <cell r="I300">
            <v>32.685771306900534</v>
          </cell>
          <cell r="J300">
            <v>32.685771306900534</v>
          </cell>
        </row>
        <row r="301">
          <cell r="A301" t="str">
            <v>95152</v>
          </cell>
          <cell r="B301" t="str">
            <v>EMPAQUE RELLENO JAMON P/ ARROLLADO (2000g)</v>
          </cell>
          <cell r="C301" t="str">
            <v>KILO</v>
          </cell>
          <cell r="D301" t="str">
            <v>GRAMO</v>
          </cell>
          <cell r="E301">
            <v>3053.0307908769746</v>
          </cell>
          <cell r="F301">
            <v>3.0530307908769747</v>
          </cell>
          <cell r="G301">
            <v>6.1319432886334617</v>
          </cell>
          <cell r="H301">
            <v>6.1319432886334617E-3</v>
          </cell>
          <cell r="I301">
            <v>74.597701149425291</v>
          </cell>
          <cell r="J301">
            <v>7.4597701149425294E-2</v>
          </cell>
        </row>
        <row r="302">
          <cell r="A302" t="str">
            <v>95230</v>
          </cell>
          <cell r="B302" t="str">
            <v>ARROLLADO DE JAMON (UND)</v>
          </cell>
          <cell r="C302" t="str">
            <v>UND</v>
          </cell>
          <cell r="D302" t="str">
            <v>UND</v>
          </cell>
          <cell r="E302">
            <v>122.67460640985297</v>
          </cell>
          <cell r="F302">
            <v>122.67460640985297</v>
          </cell>
          <cell r="G302">
            <v>1.2535177289265251</v>
          </cell>
          <cell r="H302">
            <v>1.2535177289265251</v>
          </cell>
          <cell r="I302">
            <v>33.979038314581437</v>
          </cell>
          <cell r="J302">
            <v>33.979038314581437</v>
          </cell>
        </row>
        <row r="303">
          <cell r="A303" t="str">
            <v>95475</v>
          </cell>
          <cell r="B303" t="str">
            <v>PAÑUELO ESPINACA C/RICOTTA (UND)</v>
          </cell>
          <cell r="C303" t="str">
            <v>UND</v>
          </cell>
          <cell r="D303" t="str">
            <v>UND</v>
          </cell>
          <cell r="E303">
            <v>137.21388281956311</v>
          </cell>
          <cell r="F303">
            <v>137.21388281956311</v>
          </cell>
          <cell r="G303">
            <v>0.72944441322726261</v>
          </cell>
          <cell r="H303">
            <v>0.72944441322726261</v>
          </cell>
          <cell r="I303">
            <v>36.400315884852304</v>
          </cell>
          <cell r="J303">
            <v>36.400315884852304</v>
          </cell>
        </row>
        <row r="304">
          <cell r="A304" t="str">
            <v>95446</v>
          </cell>
          <cell r="B304" t="str">
            <v>CANASTITA DULCE S/RELLENO (UND)</v>
          </cell>
          <cell r="C304" t="str">
            <v>UND</v>
          </cell>
          <cell r="D304" t="str">
            <v>UND</v>
          </cell>
          <cell r="E304">
            <v>23.819677581492538</v>
          </cell>
          <cell r="F304">
            <v>23.819677581492538</v>
          </cell>
          <cell r="G304">
            <v>0.23133632153518124</v>
          </cell>
          <cell r="H304">
            <v>0.23133632153518124</v>
          </cell>
          <cell r="I304">
            <v>13.292338308457712</v>
          </cell>
          <cell r="J304">
            <v>13.292338308457712</v>
          </cell>
        </row>
        <row r="305">
          <cell r="A305" t="str">
            <v>95253</v>
          </cell>
          <cell r="B305" t="str">
            <v>PLANCHA BROWNIE (1950g)</v>
          </cell>
          <cell r="C305" t="str">
            <v>UND</v>
          </cell>
          <cell r="D305" t="str">
            <v>UND</v>
          </cell>
          <cell r="E305">
            <v>3135.9559502500001</v>
          </cell>
          <cell r="F305">
            <v>3135.9559502500001</v>
          </cell>
          <cell r="G305">
            <v>32.342785115277778</v>
          </cell>
          <cell r="H305">
            <v>32.342785115277778</v>
          </cell>
          <cell r="I305">
            <v>184.57847222222222</v>
          </cell>
          <cell r="J305">
            <v>184.57847222222222</v>
          </cell>
        </row>
        <row r="306">
          <cell r="A306" t="str">
            <v>95519</v>
          </cell>
          <cell r="B306" t="str">
            <v>ROSQUETE VAINILLA BUCCA (1200g)</v>
          </cell>
          <cell r="C306" t="str">
            <v>UND</v>
          </cell>
          <cell r="D306" t="str">
            <v>UND</v>
          </cell>
          <cell r="E306">
            <v>1223.9160074044096</v>
          </cell>
          <cell r="F306">
            <v>1223.9160074044096</v>
          </cell>
          <cell r="G306">
            <v>24.193430851167854</v>
          </cell>
          <cell r="H306">
            <v>24.193430851167854</v>
          </cell>
          <cell r="I306">
            <v>40.990017742806444</v>
          </cell>
          <cell r="J306">
            <v>40.990017742806444</v>
          </cell>
        </row>
        <row r="307">
          <cell r="A307" t="str">
            <v>96235</v>
          </cell>
          <cell r="B307" t="str">
            <v>CANASTA REDONDA (30g)</v>
          </cell>
          <cell r="C307" t="str">
            <v>UND</v>
          </cell>
          <cell r="D307" t="str">
            <v>UND</v>
          </cell>
          <cell r="E307">
            <v>55.485211661052638</v>
          </cell>
          <cell r="F307">
            <v>55.485211661052638</v>
          </cell>
          <cell r="G307">
            <v>0.41374383057644121</v>
          </cell>
          <cell r="H307">
            <v>0.41374383057644121</v>
          </cell>
          <cell r="I307">
            <v>20.223076923076921</v>
          </cell>
          <cell r="J307">
            <v>20.223076923076921</v>
          </cell>
        </row>
        <row r="308">
          <cell r="A308" t="str">
            <v>96285</v>
          </cell>
          <cell r="B308" t="str">
            <v>ROSQUETE CHOCOLATE (50g)</v>
          </cell>
          <cell r="C308" t="str">
            <v>UND</v>
          </cell>
          <cell r="D308" t="str">
            <v>UND</v>
          </cell>
          <cell r="E308">
            <v>64.920020827704391</v>
          </cell>
          <cell r="F308">
            <v>64.920020827704391</v>
          </cell>
          <cell r="G308">
            <v>1.6945652336553261</v>
          </cell>
          <cell r="H308">
            <v>1.6945652336553261</v>
          </cell>
          <cell r="I308">
            <v>8.6622596368573692</v>
          </cell>
          <cell r="J308">
            <v>8.6622596368573692</v>
          </cell>
        </row>
        <row r="309">
          <cell r="A309" t="str">
            <v>95372</v>
          </cell>
          <cell r="B309" t="str">
            <v>BASE PREMEZCLA TURRON ALMENDRA (3047g)</v>
          </cell>
          <cell r="C309" t="str">
            <v>TANDA</v>
          </cell>
          <cell r="D309" t="str">
            <v>GRAMO</v>
          </cell>
          <cell r="E309">
            <v>1537.6218530000001</v>
          </cell>
          <cell r="F309">
            <v>0.50463467443386945</v>
          </cell>
          <cell r="G309">
            <v>21.822725555555557</v>
          </cell>
          <cell r="H309">
            <v>7.1620366116033991E-3</v>
          </cell>
          <cell r="I309">
            <v>110</v>
          </cell>
          <cell r="J309">
            <v>3.6101083032490974E-2</v>
          </cell>
        </row>
        <row r="310">
          <cell r="A310" t="str">
            <v>96358</v>
          </cell>
          <cell r="B310" t="str">
            <v>BATIDO P/TURRON ALMENDRAS (5760g)</v>
          </cell>
          <cell r="C310" t="str">
            <v>KILO</v>
          </cell>
          <cell r="D310" t="str">
            <v>GRAMO</v>
          </cell>
          <cell r="E310">
            <v>2349.0428222222222</v>
          </cell>
          <cell r="F310">
            <v>2.3490428222222222</v>
          </cell>
          <cell r="G310">
            <v>3.7886732253086417</v>
          </cell>
          <cell r="H310">
            <v>3.7886732253086417E-3</v>
          </cell>
          <cell r="I310">
            <v>76.736111111111114</v>
          </cell>
          <cell r="J310">
            <v>7.6736111111111116E-2</v>
          </cell>
        </row>
        <row r="311">
          <cell r="A311" t="str">
            <v>95103</v>
          </cell>
          <cell r="B311" t="str">
            <v>MEDIA LUNA CUBIERTA CHOCOLATE LECHE (UND)</v>
          </cell>
          <cell r="C311" t="str">
            <v>UND</v>
          </cell>
          <cell r="D311" t="str">
            <v>UND</v>
          </cell>
          <cell r="E311">
            <v>25.479206085055701</v>
          </cell>
          <cell r="F311">
            <v>25.479206085055701</v>
          </cell>
          <cell r="G311">
            <v>0.23606913072852082</v>
          </cell>
          <cell r="H311">
            <v>0.23606913072852082</v>
          </cell>
          <cell r="I311">
            <v>4.1430462944096549</v>
          </cell>
          <cell r="J311">
            <v>4.1430462944096549</v>
          </cell>
        </row>
        <row r="312">
          <cell r="A312" t="str">
            <v>95369</v>
          </cell>
          <cell r="B312" t="str">
            <v>BASE PREMEZCLA QUEQUE SECO (3320g)</v>
          </cell>
          <cell r="C312" t="str">
            <v>TANDA</v>
          </cell>
          <cell r="D312" t="str">
            <v>GRAMO</v>
          </cell>
          <cell r="E312">
            <v>5261.1257500000002</v>
          </cell>
          <cell r="F312">
            <v>1.5846764307228915</v>
          </cell>
          <cell r="G312">
            <v>21.822757777777777</v>
          </cell>
          <cell r="H312">
            <v>6.5731198125836676E-3</v>
          </cell>
          <cell r="I312">
            <v>84</v>
          </cell>
          <cell r="J312">
            <v>2.5301204819277109E-2</v>
          </cell>
        </row>
        <row r="313">
          <cell r="A313" t="str">
            <v>95345</v>
          </cell>
          <cell r="B313" t="str">
            <v>ROSQUETE QQ SECO C/PASAS (750g)</v>
          </cell>
          <cell r="C313" t="str">
            <v>UND</v>
          </cell>
          <cell r="D313" t="str">
            <v>UND</v>
          </cell>
          <cell r="E313">
            <v>1347.2006525167783</v>
          </cell>
          <cell r="F313">
            <v>1347.2006525167783</v>
          </cell>
          <cell r="G313">
            <v>9.9081243153297116</v>
          </cell>
          <cell r="H313">
            <v>9.9081243153297116</v>
          </cell>
          <cell r="I313">
            <v>170.27037392138064</v>
          </cell>
          <cell r="J313">
            <v>170.27037392138064</v>
          </cell>
        </row>
        <row r="314">
          <cell r="A314" t="str">
            <v>95112</v>
          </cell>
          <cell r="B314" t="str">
            <v>ROSQUETE VAINILLA PERSONAL BUCCA (200g)</v>
          </cell>
          <cell r="C314" t="str">
            <v>UND</v>
          </cell>
          <cell r="D314" t="str">
            <v>UND</v>
          </cell>
          <cell r="E314">
            <v>203.19643881318322</v>
          </cell>
          <cell r="F314">
            <v>203.19643881318322</v>
          </cell>
          <cell r="G314">
            <v>4.392269724166896</v>
          </cell>
          <cell r="H314">
            <v>4.392269724166896</v>
          </cell>
          <cell r="I314">
            <v>10.814359975068081</v>
          </cell>
          <cell r="J314">
            <v>10.814359975068081</v>
          </cell>
        </row>
        <row r="315">
          <cell r="A315" t="str">
            <v>96185</v>
          </cell>
          <cell r="B315" t="str">
            <v>BASE PREMEZCLA SOUFLE (6.035 Kg)</v>
          </cell>
          <cell r="C315" t="str">
            <v>TANDA</v>
          </cell>
          <cell r="D315" t="str">
            <v>GRAMO</v>
          </cell>
          <cell r="E315">
            <v>10445.845386000001</v>
          </cell>
          <cell r="F315">
            <v>1.7311642999668546</v>
          </cell>
          <cell r="G315">
            <v>11.022725555555557</v>
          </cell>
          <cell r="H315">
            <v>1.8267692336021804E-3</v>
          </cell>
          <cell r="I315">
            <v>165</v>
          </cell>
          <cell r="J315">
            <v>2.7345044746436859E-2</v>
          </cell>
        </row>
        <row r="316">
          <cell r="A316" t="str">
            <v>96332</v>
          </cell>
          <cell r="B316" t="str">
            <v>BATIDO P/ROSQUETE SOUFFLE (11100g)</v>
          </cell>
          <cell r="C316" t="str">
            <v>KILO</v>
          </cell>
          <cell r="D316" t="str">
            <v>GRAMO</v>
          </cell>
          <cell r="E316">
            <v>1603.841223963964</v>
          </cell>
          <cell r="F316">
            <v>1.6038412239639641</v>
          </cell>
          <cell r="G316">
            <v>0.99303833833833832</v>
          </cell>
          <cell r="H316">
            <v>9.9303833833833837E-4</v>
          </cell>
          <cell r="I316">
            <v>49.549549549549553</v>
          </cell>
          <cell r="J316">
            <v>4.954954954954955E-2</v>
          </cell>
        </row>
        <row r="317">
          <cell r="A317"/>
          <cell r="B317" t="str">
            <v>RELLENO CHOCOMENTA</v>
          </cell>
          <cell r="C317"/>
          <cell r="D317"/>
          <cell r="E317"/>
          <cell r="F317"/>
          <cell r="G317"/>
          <cell r="H317"/>
          <cell r="I317"/>
          <cell r="J317"/>
        </row>
        <row r="318">
          <cell r="A318"/>
          <cell r="B318" t="str">
            <v>MEZCLA DULCE LECHE CON AGUA</v>
          </cell>
          <cell r="C318"/>
          <cell r="D318"/>
          <cell r="E318"/>
          <cell r="F318"/>
          <cell r="G318"/>
          <cell r="H318"/>
          <cell r="I318"/>
          <cell r="J318"/>
        </row>
        <row r="319">
          <cell r="A319"/>
          <cell r="B319" t="str">
            <v>SUSPIRO QUEBRADO 7650 g</v>
          </cell>
          <cell r="C319"/>
          <cell r="D319"/>
          <cell r="E319"/>
          <cell r="F319"/>
          <cell r="G319"/>
          <cell r="H319"/>
          <cell r="I319"/>
          <cell r="J319"/>
        </row>
        <row r="320">
          <cell r="A320"/>
          <cell r="B320" t="str">
            <v>SALSA NARANJA (TANDA= 500 g)</v>
          </cell>
          <cell r="C320"/>
          <cell r="D320"/>
          <cell r="E320"/>
          <cell r="F320"/>
          <cell r="G320"/>
          <cell r="H320"/>
          <cell r="I320"/>
          <cell r="J320"/>
        </row>
        <row r="321">
          <cell r="A321"/>
          <cell r="B321" t="str">
            <v>ROSQUETE CHOCOLATE BUCCA 800G</v>
          </cell>
          <cell r="C321"/>
          <cell r="D321"/>
          <cell r="E321"/>
          <cell r="F321"/>
          <cell r="G321"/>
          <cell r="H321"/>
          <cell r="I321"/>
          <cell r="J321"/>
        </row>
        <row r="322">
          <cell r="A322"/>
          <cell r="B322" t="str">
            <v>PREMEZCLA VAINILLA RICH 170G</v>
          </cell>
          <cell r="C322"/>
          <cell r="D322"/>
          <cell r="E322"/>
          <cell r="F322"/>
          <cell r="G322"/>
          <cell r="H322"/>
          <cell r="I322"/>
          <cell r="J322"/>
        </row>
        <row r="323">
          <cell r="A323"/>
          <cell r="B323" t="str">
            <v>Batido Vainilla Rich FAS 24000g</v>
          </cell>
          <cell r="C323"/>
          <cell r="D323"/>
          <cell r="E323"/>
          <cell r="F323"/>
          <cell r="G323"/>
          <cell r="H323"/>
          <cell r="I323"/>
          <cell r="J323"/>
        </row>
        <row r="324">
          <cell r="A324"/>
          <cell r="B324" t="str">
            <v>ROSQUETE VAINILLA RICH 900G</v>
          </cell>
          <cell r="C324"/>
          <cell r="D324"/>
          <cell r="E324"/>
          <cell r="F324"/>
          <cell r="G324"/>
          <cell r="H324"/>
          <cell r="I324"/>
          <cell r="J324"/>
        </row>
        <row r="325">
          <cell r="A325"/>
          <cell r="B325" t="str">
            <v xml:space="preserve">PREMEZCLA P/BATIDO CHOCO PASTELERO </v>
          </cell>
          <cell r="C325"/>
          <cell r="D325"/>
          <cell r="E325"/>
          <cell r="F325"/>
          <cell r="G325"/>
          <cell r="H325"/>
          <cell r="I325"/>
          <cell r="J325"/>
        </row>
        <row r="326">
          <cell r="A326"/>
          <cell r="B326" t="str">
            <v>BATIDO CHOCOLATE PASTELERO REAL 32400G</v>
          </cell>
          <cell r="C326"/>
          <cell r="D326"/>
          <cell r="E326"/>
          <cell r="F326"/>
          <cell r="G326"/>
          <cell r="H326"/>
          <cell r="I326"/>
          <cell r="J326"/>
        </row>
        <row r="327">
          <cell r="A327"/>
          <cell r="B327" t="str">
            <v>PLANCHA CHOCOLATE PASTELERO REAL 1300g</v>
          </cell>
          <cell r="C327"/>
          <cell r="D327"/>
          <cell r="E327"/>
          <cell r="F327"/>
          <cell r="G327"/>
          <cell r="H327"/>
          <cell r="I327"/>
          <cell r="J327"/>
        </row>
        <row r="328">
          <cell r="A328"/>
          <cell r="B328" t="str">
            <v>ROSQUETE MELOCOTON MED 300G</v>
          </cell>
          <cell r="C328"/>
          <cell r="D328"/>
          <cell r="E328"/>
          <cell r="F328"/>
          <cell r="G328"/>
          <cell r="H328"/>
          <cell r="I328"/>
          <cell r="J328"/>
        </row>
        <row r="329">
          <cell r="A329"/>
          <cell r="B329" t="str">
            <v>PREMEZCLA TORTA DE TRES LECHES RP 4527G</v>
          </cell>
          <cell r="C329"/>
          <cell r="D329"/>
          <cell r="E329"/>
          <cell r="F329"/>
          <cell r="G329"/>
          <cell r="H329"/>
          <cell r="I329"/>
          <cell r="J329"/>
        </row>
        <row r="330">
          <cell r="A330"/>
          <cell r="B330" t="str">
            <v>BATIDO TORTA DE TRES LECHES RP 9600G</v>
          </cell>
          <cell r="C330"/>
          <cell r="D330"/>
          <cell r="E330"/>
          <cell r="F330"/>
          <cell r="G330"/>
          <cell r="H330"/>
          <cell r="I330"/>
          <cell r="J330"/>
        </row>
        <row r="331">
          <cell r="A331"/>
          <cell r="B331" t="str">
            <v>ROSQUETE GUSTITO 4 LECHES 90g</v>
          </cell>
          <cell r="C331"/>
          <cell r="D331"/>
          <cell r="E331"/>
          <cell r="F331"/>
          <cell r="G331"/>
          <cell r="H331"/>
          <cell r="I331"/>
          <cell r="J331"/>
        </row>
        <row r="332">
          <cell r="A332"/>
          <cell r="B332" t="str">
            <v>PREMEZCLA TORTA QQ CRISTAL (8176g)</v>
          </cell>
          <cell r="C332"/>
          <cell r="D332"/>
          <cell r="E332"/>
          <cell r="F332"/>
          <cell r="G332"/>
          <cell r="H332"/>
          <cell r="I332"/>
          <cell r="J332"/>
        </row>
        <row r="333">
          <cell r="A333"/>
          <cell r="B333" t="str">
            <v>BATIDO CHOCOLATE 27500g</v>
          </cell>
          <cell r="C333"/>
          <cell r="D333"/>
          <cell r="E333"/>
          <cell r="F333"/>
          <cell r="G333"/>
          <cell r="H333"/>
          <cell r="I333"/>
          <cell r="J333"/>
        </row>
        <row r="334">
          <cell r="A334"/>
          <cell r="B334" t="str">
            <v>ROSQUETE DE CHOCOLATE 1100g</v>
          </cell>
          <cell r="C334"/>
          <cell r="D334"/>
          <cell r="E334"/>
          <cell r="F334"/>
          <cell r="G334"/>
          <cell r="H334"/>
          <cell r="I334"/>
          <cell r="J334"/>
        </row>
        <row r="335">
          <cell r="A335"/>
          <cell r="B335" t="str">
            <v>BORONA CHOCOLATE ROSTI POLLOS 3900G</v>
          </cell>
          <cell r="C335"/>
          <cell r="D335"/>
          <cell r="E335"/>
          <cell r="F335"/>
          <cell r="G335"/>
          <cell r="H335"/>
          <cell r="I335"/>
          <cell r="J335"/>
        </row>
        <row r="336">
          <cell r="A336"/>
          <cell r="B336" t="str">
            <v>BATIDO QUEQUE ARCOIRIS 33930</v>
          </cell>
          <cell r="C336"/>
          <cell r="D336"/>
          <cell r="E336"/>
          <cell r="F336"/>
          <cell r="G336"/>
          <cell r="H336"/>
          <cell r="I336"/>
          <cell r="J336"/>
        </row>
        <row r="337">
          <cell r="A337"/>
          <cell r="B337" t="str">
            <v>JAMON PAVO REBANADO 2870G</v>
          </cell>
          <cell r="C337"/>
          <cell r="D337"/>
          <cell r="E337"/>
          <cell r="F337"/>
          <cell r="G337"/>
          <cell r="H337"/>
          <cell r="I337"/>
          <cell r="J337"/>
        </row>
        <row r="338">
          <cell r="A338"/>
          <cell r="B338" t="str">
            <v>ROSQUETE TORTA DE TRES LECHES RP (960 gr)</v>
          </cell>
          <cell r="C338"/>
          <cell r="D338"/>
          <cell r="E338"/>
          <cell r="F338"/>
          <cell r="G338"/>
          <cell r="H338"/>
          <cell r="I338"/>
          <cell r="J338"/>
        </row>
        <row r="339">
          <cell r="A339"/>
          <cell r="B339" t="str">
            <v>MEZCLA DE TRES LECHES RP</v>
          </cell>
          <cell r="C339"/>
          <cell r="D339"/>
          <cell r="E339"/>
          <cell r="F339"/>
          <cell r="G339"/>
          <cell r="H339"/>
          <cell r="I339"/>
          <cell r="J339"/>
        </row>
        <row r="340">
          <cell r="A340"/>
          <cell r="B340" t="str">
            <v>MERENGUE PARA TRES LECHES RP</v>
          </cell>
          <cell r="C340"/>
          <cell r="D340"/>
          <cell r="E340"/>
          <cell r="F340"/>
          <cell r="G340"/>
          <cell r="H340"/>
          <cell r="I340"/>
          <cell r="J340"/>
        </row>
        <row r="341">
          <cell r="A341"/>
          <cell r="B341" t="str">
            <v xml:space="preserve">BASE PREMEZCLA P/BATIDO VAINILLA PASTELERO </v>
          </cell>
          <cell r="C341"/>
          <cell r="D341"/>
          <cell r="E341"/>
          <cell r="F341"/>
          <cell r="G341"/>
          <cell r="H341"/>
          <cell r="I341"/>
          <cell r="J341"/>
        </row>
        <row r="342">
          <cell r="A342"/>
          <cell r="B342" t="str">
            <v>Ensamble media torta chocolate</v>
          </cell>
          <cell r="C342"/>
          <cell r="D342"/>
          <cell r="E342"/>
          <cell r="F342"/>
          <cell r="G342"/>
          <cell r="H342"/>
          <cell r="I342"/>
          <cell r="J342"/>
        </row>
        <row r="343">
          <cell r="A343"/>
          <cell r="B343" t="str">
            <v>Ensamble media torta melocoton</v>
          </cell>
          <cell r="C343"/>
          <cell r="D343"/>
          <cell r="E343"/>
          <cell r="F343"/>
          <cell r="G343"/>
          <cell r="H343"/>
          <cell r="I343"/>
          <cell r="J343"/>
        </row>
        <row r="344">
          <cell r="A344"/>
          <cell r="B344" t="str">
            <v>BASE Premezcla Batidos para Rosquete Super esponja</v>
          </cell>
          <cell r="C344"/>
          <cell r="D344"/>
          <cell r="E344"/>
          <cell r="F344"/>
          <cell r="G344"/>
          <cell r="H344"/>
          <cell r="I344"/>
          <cell r="J344"/>
        </row>
        <row r="345">
          <cell r="A345"/>
          <cell r="B345" t="str">
            <v>BATIDO Super Esponja (40120g</v>
          </cell>
          <cell r="C345"/>
          <cell r="D345"/>
          <cell r="E345"/>
          <cell r="F345"/>
          <cell r="G345"/>
          <cell r="H345"/>
          <cell r="I345"/>
          <cell r="J345"/>
        </row>
        <row r="346">
          <cell r="A346"/>
          <cell r="B346" t="str">
            <v>Rosquete Super Esponja 380g</v>
          </cell>
          <cell r="C346"/>
          <cell r="D346"/>
          <cell r="E346"/>
          <cell r="F346"/>
          <cell r="G346"/>
          <cell r="H346"/>
          <cell r="I346"/>
          <cell r="J346"/>
        </row>
        <row r="347">
          <cell r="A347"/>
          <cell r="B347" t="str">
            <v>BATIDO P/ARROLLADO DULCE LECHE 3600G</v>
          </cell>
          <cell r="C347"/>
          <cell r="D347"/>
          <cell r="E347"/>
          <cell r="F347"/>
          <cell r="G347"/>
          <cell r="H347"/>
          <cell r="I347"/>
          <cell r="J347"/>
        </row>
        <row r="348">
          <cell r="A348"/>
          <cell r="B348" t="str">
            <v>RUEDA HOJALDRE EMPANADA DE POLLO PEQUEÑA</v>
          </cell>
          <cell r="C348"/>
          <cell r="D348"/>
          <cell r="E348"/>
          <cell r="F348"/>
          <cell r="G348"/>
          <cell r="H348"/>
          <cell r="I348"/>
          <cell r="J348"/>
        </row>
        <row r="349">
          <cell r="A349"/>
          <cell r="B349" t="str">
            <v>Crema de Garbanzos 10000G</v>
          </cell>
          <cell r="C349"/>
          <cell r="D349"/>
          <cell r="E349"/>
          <cell r="F349"/>
          <cell r="G349"/>
          <cell r="H349"/>
          <cell r="I349"/>
          <cell r="J349"/>
        </row>
        <row r="350">
          <cell r="A350"/>
          <cell r="B350" t="str">
            <v>Premezcla Pasta Piña(5262g) Spoon</v>
          </cell>
          <cell r="C350"/>
          <cell r="D350"/>
          <cell r="E350"/>
          <cell r="F350"/>
          <cell r="G350"/>
          <cell r="H350"/>
          <cell r="I350"/>
          <cell r="J350"/>
        </row>
        <row r="351">
          <cell r="A351"/>
          <cell r="B351" t="str">
            <v>Pasta para empanada de piña</v>
          </cell>
          <cell r="C351"/>
          <cell r="D351"/>
          <cell r="E351"/>
          <cell r="F351"/>
          <cell r="G351"/>
          <cell r="H351"/>
          <cell r="I351"/>
          <cell r="J351"/>
        </row>
        <row r="352">
          <cell r="A352"/>
          <cell r="B352" t="str">
            <v>ROSQUETE ARROLLADO 1000G</v>
          </cell>
          <cell r="C352"/>
          <cell r="D352"/>
          <cell r="E352"/>
          <cell r="F352"/>
          <cell r="G352"/>
          <cell r="H352"/>
          <cell r="I352"/>
          <cell r="J352"/>
        </row>
        <row r="353">
          <cell r="A353"/>
          <cell r="B353" t="str">
            <v>SALSA POMODORO 15000</v>
          </cell>
          <cell r="C353"/>
          <cell r="D353"/>
          <cell r="E353"/>
          <cell r="F353"/>
          <cell r="G353"/>
          <cell r="H353"/>
          <cell r="I353"/>
          <cell r="J353"/>
        </row>
        <row r="354">
          <cell r="A354"/>
          <cell r="B354" t="str">
            <v>CALDO POLLO C/CARCASA 47000</v>
          </cell>
          <cell r="C354"/>
          <cell r="D354"/>
          <cell r="E354"/>
          <cell r="F354"/>
          <cell r="G354"/>
          <cell r="H354"/>
          <cell r="I354"/>
          <cell r="J354"/>
        </row>
        <row r="355">
          <cell r="A355"/>
          <cell r="B355" t="str">
            <v>ALMIDON MODIFICADO (BOLSA:5000g)</v>
          </cell>
          <cell r="C355"/>
          <cell r="D355"/>
          <cell r="E355"/>
          <cell r="F355"/>
          <cell r="G355"/>
          <cell r="H355"/>
          <cell r="I355"/>
          <cell r="J355"/>
        </row>
        <row r="356">
          <cell r="A356"/>
          <cell r="B356" t="str">
            <v>SALSA CULANTRO 2000G</v>
          </cell>
          <cell r="C356"/>
          <cell r="D356"/>
          <cell r="E356"/>
          <cell r="F356"/>
          <cell r="G356"/>
          <cell r="H356"/>
          <cell r="I356"/>
          <cell r="J356"/>
        </row>
        <row r="357">
          <cell r="A357"/>
          <cell r="B357" t="str">
            <v>RELLENO LOMO SALTEADO 3150G</v>
          </cell>
          <cell r="C357"/>
          <cell r="D357"/>
          <cell r="E357"/>
          <cell r="F357"/>
          <cell r="G357"/>
          <cell r="H357"/>
          <cell r="I357"/>
          <cell r="J357"/>
        </row>
        <row r="358">
          <cell r="A358"/>
          <cell r="B358" t="str">
            <v>SALSA DE AJI 1400G</v>
          </cell>
          <cell r="C358"/>
          <cell r="D358"/>
          <cell r="E358"/>
          <cell r="F358"/>
          <cell r="G358"/>
          <cell r="H358"/>
          <cell r="I358"/>
          <cell r="J358"/>
        </row>
        <row r="359">
          <cell r="A359"/>
          <cell r="B359" t="str">
            <v>MEZCLA GALLO PINTO BUCCA 4000G</v>
          </cell>
          <cell r="C359"/>
          <cell r="D359"/>
          <cell r="E359"/>
          <cell r="F359"/>
          <cell r="G359"/>
          <cell r="H359"/>
          <cell r="I359"/>
          <cell r="J359"/>
        </row>
        <row r="360">
          <cell r="A360"/>
          <cell r="B360" t="str">
            <v>COCCION POLLO DIABLA TIA FLORITA 9600G</v>
          </cell>
          <cell r="C360"/>
          <cell r="D360"/>
          <cell r="E360"/>
          <cell r="F360"/>
          <cell r="G360"/>
          <cell r="H360"/>
          <cell r="I360"/>
          <cell r="J360"/>
        </row>
        <row r="361">
          <cell r="A361"/>
          <cell r="B361" t="str">
            <v>SALSA DIABLA TIA FLORITA 10025G</v>
          </cell>
          <cell r="C361"/>
          <cell r="D361"/>
          <cell r="E361"/>
          <cell r="F361"/>
          <cell r="G361"/>
          <cell r="H361"/>
          <cell r="I361"/>
          <cell r="J361"/>
        </row>
        <row r="362">
          <cell r="A362"/>
          <cell r="B362" t="str">
            <v>COCCION SALSA BOLOGNESA TIA FLORITA 8495</v>
          </cell>
          <cell r="C362"/>
          <cell r="D362"/>
          <cell r="E362"/>
          <cell r="F362"/>
          <cell r="G362"/>
          <cell r="H362"/>
          <cell r="I362"/>
          <cell r="J362"/>
        </row>
        <row r="363">
          <cell r="A363"/>
          <cell r="B363" t="str">
            <v>COCCION CARNE STROGANOFF TIA FLORITA 7000G</v>
          </cell>
          <cell r="C363"/>
          <cell r="D363"/>
          <cell r="E363"/>
          <cell r="F363"/>
          <cell r="G363"/>
          <cell r="H363"/>
          <cell r="I363"/>
          <cell r="J363"/>
        </row>
        <row r="364">
          <cell r="A364"/>
          <cell r="B364" t="str">
            <v>SALSA STROGANOFF TIA FLORITA 5400G</v>
          </cell>
          <cell r="C364"/>
          <cell r="D364"/>
          <cell r="E364"/>
          <cell r="F364"/>
          <cell r="G364"/>
          <cell r="H364"/>
          <cell r="I364"/>
          <cell r="J364"/>
        </row>
        <row r="365">
          <cell r="A365"/>
          <cell r="B365" t="str">
            <v>ESTOFADO RES TIA FLORITA</v>
          </cell>
          <cell r="C365"/>
          <cell r="D365"/>
          <cell r="E365"/>
          <cell r="F365"/>
          <cell r="G365"/>
          <cell r="H365"/>
          <cell r="I365"/>
          <cell r="J365"/>
        </row>
        <row r="366">
          <cell r="A366"/>
          <cell r="B366" t="str">
            <v>RELLENO ESPINACA-POLLO 9200G</v>
          </cell>
          <cell r="C366"/>
          <cell r="D366"/>
          <cell r="E366"/>
          <cell r="F366"/>
          <cell r="G366"/>
          <cell r="H366"/>
          <cell r="I366"/>
          <cell r="J366"/>
        </row>
        <row r="367">
          <cell r="A367"/>
          <cell r="B367" t="str">
            <v>BATIDO MELOCOTON FROM SCRATCH 21600</v>
          </cell>
          <cell r="C367"/>
          <cell r="D367"/>
          <cell r="E367"/>
          <cell r="F367"/>
          <cell r="G367"/>
          <cell r="H367"/>
          <cell r="I367"/>
          <cell r="J367"/>
        </row>
        <row r="368">
          <cell r="A368"/>
          <cell r="B368" t="str">
            <v>ROSQUETE MELOCOTON PERSONAL 180G</v>
          </cell>
          <cell r="C368"/>
          <cell r="D368"/>
          <cell r="E368"/>
          <cell r="F368"/>
          <cell r="G368"/>
          <cell r="H368"/>
          <cell r="I368"/>
          <cell r="J368"/>
        </row>
        <row r="369">
          <cell r="A369"/>
          <cell r="B369" t="str">
            <v>RELLENO LIMON PLANTA 2000G</v>
          </cell>
          <cell r="C369"/>
          <cell r="D369"/>
          <cell r="E369"/>
          <cell r="F369"/>
          <cell r="G369"/>
          <cell r="H369"/>
          <cell r="I369"/>
          <cell r="J369"/>
        </row>
        <row r="370">
          <cell r="A370"/>
          <cell r="B370" t="str">
            <v>AZUCAR BLANCO INDUSTRIAL</v>
          </cell>
          <cell r="C370"/>
          <cell r="D370"/>
          <cell r="E370"/>
          <cell r="F370"/>
          <cell r="G370"/>
          <cell r="H370"/>
          <cell r="I370"/>
          <cell r="J370"/>
        </row>
        <row r="371">
          <cell r="A371"/>
          <cell r="B371" t="str">
            <v>TOPPING MELOCOTON PLANTA 10000G</v>
          </cell>
          <cell r="C371"/>
          <cell r="D371"/>
          <cell r="E371"/>
          <cell r="F371"/>
          <cell r="G371"/>
          <cell r="H371"/>
          <cell r="I371"/>
          <cell r="J371"/>
        </row>
        <row r="372">
          <cell r="A372"/>
          <cell r="B372" t="str">
            <v>EMPAQUE TOPPING MELOCOTON PLANTA 2000G</v>
          </cell>
          <cell r="C372"/>
          <cell r="D372"/>
          <cell r="E372"/>
          <cell r="F372"/>
          <cell r="G372"/>
          <cell r="H372"/>
          <cell r="I372"/>
          <cell r="J372"/>
        </row>
        <row r="373">
          <cell r="A373"/>
          <cell r="B373" t="str">
            <v>TOPPING MELOCOON C/TOPPING 8000G PLANTA</v>
          </cell>
          <cell r="C373"/>
          <cell r="D373"/>
          <cell r="E373"/>
          <cell r="F373"/>
          <cell r="G373"/>
          <cell r="H373"/>
          <cell r="I373"/>
          <cell r="J373"/>
        </row>
        <row r="374">
          <cell r="A374"/>
          <cell r="B374" t="str">
            <v>SALSA TOMATE NUEVAPLANTA 5950G</v>
          </cell>
          <cell r="C374"/>
          <cell r="D374"/>
          <cell r="E374"/>
          <cell r="F374"/>
          <cell r="G374"/>
          <cell r="H374"/>
          <cell r="I374"/>
          <cell r="J374"/>
        </row>
        <row r="375">
          <cell r="A375"/>
          <cell r="B375" t="str">
            <v>STRIPS RP 15850G</v>
          </cell>
          <cell r="C375"/>
          <cell r="D375"/>
          <cell r="E375"/>
          <cell r="F375"/>
          <cell r="G375"/>
          <cell r="H375"/>
          <cell r="I375"/>
          <cell r="J375"/>
        </row>
        <row r="376">
          <cell r="A376"/>
          <cell r="B376" t="str">
            <v>PATACONES RP UND</v>
          </cell>
          <cell r="C376"/>
          <cell r="D376"/>
          <cell r="E376"/>
          <cell r="F376"/>
          <cell r="G376"/>
          <cell r="H376"/>
          <cell r="I376"/>
          <cell r="J376"/>
        </row>
        <row r="377">
          <cell r="A377"/>
          <cell r="B377" t="str">
            <v>REPOLLO RALLADO ROTIPOLLOS 14500G</v>
          </cell>
          <cell r="C377"/>
          <cell r="D377"/>
          <cell r="E377"/>
          <cell r="F377"/>
          <cell r="G377"/>
          <cell r="H377"/>
          <cell r="I377"/>
          <cell r="J377"/>
        </row>
        <row r="378">
          <cell r="A378"/>
          <cell r="B378" t="str">
            <v>ZANAHORIA RALLADA ROSTIPOLLOS 3700G</v>
          </cell>
          <cell r="C378"/>
          <cell r="D378"/>
          <cell r="E378"/>
          <cell r="F378"/>
          <cell r="G378"/>
          <cell r="H378"/>
          <cell r="I378"/>
          <cell r="J378"/>
        </row>
        <row r="379">
          <cell r="A379"/>
          <cell r="B379" t="str">
            <v>CHILE RALLADO RP 2400G</v>
          </cell>
          <cell r="C379"/>
          <cell r="D379"/>
          <cell r="E379"/>
          <cell r="F379"/>
          <cell r="G379"/>
          <cell r="H379"/>
          <cell r="I379"/>
          <cell r="J379"/>
        </row>
        <row r="380">
          <cell r="A380"/>
          <cell r="B380" t="str">
            <v>BATIDO DE VAINILLA RP 27500G</v>
          </cell>
          <cell r="C380"/>
          <cell r="D380"/>
          <cell r="E380"/>
          <cell r="F380"/>
          <cell r="G380"/>
          <cell r="H380"/>
          <cell r="I380"/>
          <cell r="J380"/>
        </row>
        <row r="381">
          <cell r="A381"/>
          <cell r="B381" t="str">
            <v>ROSQUETE DE VAINILLA RP (1100G)</v>
          </cell>
          <cell r="C381"/>
          <cell r="D381"/>
          <cell r="E381"/>
          <cell r="F381"/>
          <cell r="G381"/>
          <cell r="H381"/>
          <cell r="I381"/>
          <cell r="J381"/>
        </row>
        <row r="382">
          <cell r="A382"/>
          <cell r="B382" t="str">
            <v>ENSAMBLE TORTA VAINILLA RP</v>
          </cell>
          <cell r="C382"/>
          <cell r="D382"/>
          <cell r="E382"/>
          <cell r="F382"/>
          <cell r="G382"/>
          <cell r="H382"/>
          <cell r="I382"/>
          <cell r="J382"/>
        </row>
        <row r="383">
          <cell r="A383"/>
          <cell r="B383" t="str">
            <v>RELLENO MELOCOTON BUCCA  16000G</v>
          </cell>
          <cell r="C383"/>
          <cell r="D383"/>
          <cell r="E383"/>
          <cell r="F383"/>
          <cell r="G383"/>
          <cell r="H383"/>
          <cell r="I383"/>
          <cell r="J383"/>
        </row>
        <row r="384">
          <cell r="A384"/>
          <cell r="B384" t="str">
            <v>EMPAQUE RELLENO MELOCOTON BUCCA 4000G</v>
          </cell>
          <cell r="C384"/>
          <cell r="D384"/>
          <cell r="E384"/>
          <cell r="F384"/>
          <cell r="G384"/>
          <cell r="H384"/>
          <cell r="I384"/>
          <cell r="J384"/>
        </row>
        <row r="385">
          <cell r="A385"/>
          <cell r="B385" t="str">
            <v>ROSQUETE SUPER ESPONJA 250G</v>
          </cell>
          <cell r="C385"/>
          <cell r="D385"/>
          <cell r="E385"/>
          <cell r="F385"/>
          <cell r="G385"/>
          <cell r="H385"/>
          <cell r="I385"/>
          <cell r="J385"/>
        </row>
        <row r="386">
          <cell r="A386"/>
          <cell r="B386" t="str">
            <v>MEZCLA FLAN COCO SPOON 14000G</v>
          </cell>
          <cell r="C386"/>
          <cell r="D386"/>
          <cell r="E386"/>
          <cell r="F386"/>
          <cell r="G386"/>
          <cell r="H386"/>
          <cell r="I386"/>
          <cell r="J386"/>
        </row>
        <row r="387">
          <cell r="A387"/>
          <cell r="B387" t="str">
            <v>SOMBRERO PALMITO FROLA 65G</v>
          </cell>
          <cell r="C387"/>
          <cell r="D387"/>
          <cell r="E387"/>
          <cell r="F387"/>
          <cell r="G387"/>
          <cell r="H387"/>
          <cell r="I387"/>
          <cell r="J387"/>
        </row>
        <row r="388">
          <cell r="A388"/>
          <cell r="B388" t="str">
            <v>CUADRO HOJALDRE ENCHILADA PAPA</v>
          </cell>
          <cell r="C388"/>
          <cell r="D388"/>
          <cell r="E388"/>
          <cell r="F388"/>
          <cell r="G388"/>
          <cell r="H388"/>
          <cell r="I388"/>
          <cell r="J388"/>
        </row>
        <row r="389">
          <cell r="A389"/>
          <cell r="B389" t="str">
            <v>ENCHILADA PAPA Y CARNE</v>
          </cell>
          <cell r="C389"/>
          <cell r="D389"/>
          <cell r="E389"/>
          <cell r="F389"/>
          <cell r="G389"/>
          <cell r="H389"/>
          <cell r="I389"/>
          <cell r="J389"/>
        </row>
        <row r="390">
          <cell r="A390"/>
          <cell r="B390" t="str">
            <v>RELLENO PAPA CON CARNE ENCHILADA</v>
          </cell>
          <cell r="C390"/>
          <cell r="D390"/>
          <cell r="E390"/>
          <cell r="F390"/>
          <cell r="G390"/>
          <cell r="H390"/>
          <cell r="I390"/>
          <cell r="J390"/>
        </row>
        <row r="391">
          <cell r="A391"/>
          <cell r="B391" t="str">
            <v>CIRCULO HOJALDRE 6 CM</v>
          </cell>
          <cell r="C391"/>
          <cell r="D391"/>
          <cell r="E391"/>
          <cell r="F391"/>
          <cell r="G391"/>
          <cell r="H391"/>
          <cell r="I391"/>
          <cell r="J391"/>
        </row>
        <row r="392">
          <cell r="A392"/>
          <cell r="B392" t="str">
            <v>ARREGLADO MINI</v>
          </cell>
          <cell r="C392"/>
          <cell r="D392"/>
          <cell r="E392"/>
          <cell r="F392"/>
          <cell r="G392"/>
          <cell r="H392"/>
          <cell r="I392"/>
          <cell r="J392"/>
        </row>
        <row r="393">
          <cell r="A393"/>
          <cell r="B393" t="str">
            <v>BATIDO BROWNIE BLONDIE</v>
          </cell>
          <cell r="C393"/>
          <cell r="D393"/>
          <cell r="E393"/>
          <cell r="F393"/>
          <cell r="G393"/>
          <cell r="H393"/>
          <cell r="I393"/>
          <cell r="J393"/>
        </row>
        <row r="394">
          <cell r="A394"/>
          <cell r="B394" t="str">
            <v>PLANCHA BROWNIE BLONDIE</v>
          </cell>
          <cell r="C394"/>
          <cell r="D394"/>
          <cell r="E394"/>
          <cell r="F394"/>
          <cell r="G394"/>
          <cell r="H394"/>
          <cell r="I394"/>
          <cell r="J394"/>
        </row>
        <row r="395">
          <cell r="A395"/>
          <cell r="B395" t="str">
            <v>MEZCLA TRES LECHES CON DULCE LECHE</v>
          </cell>
          <cell r="C395"/>
          <cell r="D395"/>
          <cell r="E395"/>
          <cell r="F395"/>
          <cell r="G395"/>
          <cell r="H395"/>
          <cell r="I395"/>
          <cell r="J395"/>
        </row>
        <row r="396">
          <cell r="A396"/>
          <cell r="B396" t="str">
            <v>Crema Chantilly Fucsia</v>
          </cell>
          <cell r="C396"/>
          <cell r="D396"/>
          <cell r="E396"/>
          <cell r="F396"/>
          <cell r="G396"/>
          <cell r="H396"/>
          <cell r="I396"/>
          <cell r="J396"/>
        </row>
        <row r="397">
          <cell r="A397"/>
          <cell r="B397" t="str">
            <v>PASTEL PALMITO PEQ</v>
          </cell>
          <cell r="C397"/>
          <cell r="D397"/>
          <cell r="E397"/>
          <cell r="F397"/>
          <cell r="G397"/>
          <cell r="H397"/>
          <cell r="I397"/>
          <cell r="J397"/>
        </row>
        <row r="398">
          <cell r="A398"/>
          <cell r="B398" t="str">
            <v>RELLENO PASTEL ALMENDRAS 7500G</v>
          </cell>
          <cell r="C398"/>
          <cell r="D398"/>
          <cell r="E398"/>
          <cell r="F398"/>
          <cell r="G398"/>
          <cell r="H398"/>
          <cell r="I398"/>
          <cell r="J398"/>
        </row>
        <row r="399">
          <cell r="A399"/>
          <cell r="B399" t="str">
            <v>PIE ALMENDRAS Y PECANAS PERSONAL</v>
          </cell>
          <cell r="C399"/>
          <cell r="D399"/>
          <cell r="E399"/>
          <cell r="F399"/>
          <cell r="G399"/>
          <cell r="H399"/>
          <cell r="I399"/>
          <cell r="J399"/>
        </row>
        <row r="400">
          <cell r="A400"/>
          <cell r="B400" t="str">
            <v>RUEDA PASTA FROLA EMPANA POLLO Y CEBOLLA</v>
          </cell>
          <cell r="C400"/>
          <cell r="D400"/>
          <cell r="E400"/>
          <cell r="F400"/>
          <cell r="G400"/>
          <cell r="H400"/>
          <cell r="I400"/>
          <cell r="J400"/>
        </row>
        <row r="401">
          <cell r="A401"/>
          <cell r="B401" t="str">
            <v>RELLENO POLLO Y CEBOLLA 400G</v>
          </cell>
          <cell r="C401"/>
          <cell r="D401"/>
          <cell r="E401"/>
          <cell r="F401"/>
          <cell r="G401"/>
          <cell r="H401"/>
          <cell r="I401"/>
          <cell r="J401"/>
        </row>
        <row r="402">
          <cell r="A402"/>
          <cell r="B402" t="str">
            <v>EMPANADA POLLO Y CEBOLLA 72G</v>
          </cell>
          <cell r="C402"/>
          <cell r="D402"/>
          <cell r="E402"/>
          <cell r="F402"/>
          <cell r="G402"/>
          <cell r="H402"/>
          <cell r="I402"/>
          <cell r="J402"/>
        </row>
        <row r="403">
          <cell r="A403"/>
          <cell r="B403" t="str">
            <v>EMPANADA PIÑA Y COCO 85G</v>
          </cell>
          <cell r="C403"/>
          <cell r="D403"/>
          <cell r="E403"/>
          <cell r="F403"/>
          <cell r="G403"/>
          <cell r="H403"/>
          <cell r="I403"/>
          <cell r="J403"/>
        </row>
        <row r="404">
          <cell r="A404"/>
          <cell r="B404" t="str">
            <v>ADEREZO CULANTRO 2400G</v>
          </cell>
          <cell r="C404"/>
          <cell r="D404"/>
          <cell r="E404"/>
          <cell r="F404"/>
          <cell r="G404"/>
          <cell r="H404"/>
          <cell r="I404"/>
          <cell r="J404"/>
        </row>
        <row r="405">
          <cell r="A405"/>
          <cell r="B405" t="str">
            <v>ROSQUETE ZANAHORIA RECT (900g)</v>
          </cell>
          <cell r="C405"/>
          <cell r="D405"/>
          <cell r="E405"/>
          <cell r="F405"/>
          <cell r="G405"/>
          <cell r="H405"/>
          <cell r="I405"/>
          <cell r="J405"/>
        </row>
        <row r="406">
          <cell r="A406"/>
          <cell r="C406"/>
          <cell r="D406"/>
          <cell r="E406"/>
          <cell r="F406"/>
          <cell r="G406"/>
          <cell r="H406"/>
          <cell r="I406"/>
          <cell r="J406"/>
        </row>
        <row r="407">
          <cell r="A407"/>
          <cell r="C407"/>
          <cell r="D407"/>
          <cell r="E407"/>
          <cell r="F407"/>
          <cell r="G407"/>
          <cell r="H407"/>
          <cell r="I407"/>
          <cell r="J407"/>
        </row>
        <row r="408">
          <cell r="A408"/>
          <cell r="C408"/>
          <cell r="D408"/>
          <cell r="E408"/>
          <cell r="F408"/>
          <cell r="G408"/>
          <cell r="H408"/>
          <cell r="I408"/>
          <cell r="J408"/>
        </row>
        <row r="409">
          <cell r="A409"/>
          <cell r="C409"/>
          <cell r="D409"/>
          <cell r="E409"/>
          <cell r="F409"/>
          <cell r="G409"/>
          <cell r="H409"/>
          <cell r="I409"/>
          <cell r="J409"/>
        </row>
        <row r="410">
          <cell r="A410"/>
          <cell r="C410"/>
          <cell r="D410"/>
          <cell r="E410"/>
          <cell r="F410"/>
          <cell r="G410"/>
          <cell r="H410"/>
          <cell r="I410"/>
          <cell r="J410"/>
        </row>
        <row r="411">
          <cell r="A411"/>
          <cell r="C411"/>
          <cell r="D411"/>
          <cell r="E411"/>
          <cell r="F411"/>
          <cell r="G411"/>
          <cell r="H411"/>
          <cell r="I411"/>
          <cell r="J411"/>
        </row>
        <row r="412">
          <cell r="A412"/>
          <cell r="C412"/>
          <cell r="D412"/>
          <cell r="E412"/>
          <cell r="F412"/>
          <cell r="G412"/>
          <cell r="H412"/>
          <cell r="I412"/>
          <cell r="J412"/>
        </row>
        <row r="413">
          <cell r="A413"/>
          <cell r="C413"/>
          <cell r="D413"/>
          <cell r="E413"/>
          <cell r="F413"/>
          <cell r="G413"/>
          <cell r="H413"/>
          <cell r="I413"/>
          <cell r="J413"/>
        </row>
        <row r="414">
          <cell r="A414"/>
          <cell r="C414"/>
          <cell r="D414"/>
          <cell r="E414"/>
          <cell r="F414"/>
          <cell r="G414"/>
          <cell r="H414"/>
          <cell r="I414"/>
          <cell r="J414"/>
        </row>
        <row r="415">
          <cell r="A415"/>
          <cell r="C415"/>
          <cell r="D415"/>
          <cell r="E415"/>
          <cell r="F415"/>
          <cell r="G415"/>
          <cell r="H415"/>
          <cell r="I415"/>
          <cell r="J415"/>
        </row>
        <row r="416">
          <cell r="A416"/>
          <cell r="C416"/>
          <cell r="D416"/>
          <cell r="E416"/>
          <cell r="F416"/>
          <cell r="G416"/>
          <cell r="H416"/>
          <cell r="I416"/>
          <cell r="J416"/>
        </row>
        <row r="417">
          <cell r="A417"/>
          <cell r="C417"/>
          <cell r="D417"/>
          <cell r="E417"/>
          <cell r="F417"/>
          <cell r="G417"/>
          <cell r="H417"/>
          <cell r="I417"/>
          <cell r="J417"/>
        </row>
        <row r="418">
          <cell r="A418"/>
          <cell r="C418"/>
          <cell r="D418"/>
          <cell r="E418"/>
          <cell r="F418"/>
          <cell r="G418"/>
          <cell r="H418"/>
          <cell r="I418"/>
          <cell r="J418"/>
        </row>
        <row r="419">
          <cell r="A419"/>
          <cell r="C419"/>
          <cell r="D419"/>
          <cell r="E419"/>
          <cell r="F419"/>
          <cell r="G419"/>
          <cell r="H419"/>
          <cell r="I419"/>
          <cell r="J419"/>
        </row>
        <row r="420">
          <cell r="A420"/>
          <cell r="C420"/>
          <cell r="D420"/>
          <cell r="E420"/>
          <cell r="F420"/>
          <cell r="G420"/>
          <cell r="H420"/>
          <cell r="I420"/>
          <cell r="J420"/>
        </row>
        <row r="421">
          <cell r="A421"/>
          <cell r="C421"/>
          <cell r="D421"/>
          <cell r="E421"/>
          <cell r="F421"/>
          <cell r="G421"/>
          <cell r="H421"/>
          <cell r="I421"/>
          <cell r="J421"/>
        </row>
        <row r="422">
          <cell r="A422"/>
          <cell r="C422"/>
          <cell r="D422"/>
          <cell r="E422"/>
          <cell r="F422"/>
          <cell r="G422"/>
          <cell r="H422"/>
          <cell r="I422"/>
          <cell r="J422"/>
        </row>
        <row r="423">
          <cell r="A423"/>
          <cell r="C423"/>
          <cell r="D423"/>
          <cell r="E423"/>
          <cell r="F423"/>
          <cell r="G423"/>
          <cell r="H423"/>
          <cell r="I423"/>
          <cell r="J423"/>
        </row>
        <row r="424">
          <cell r="A424"/>
          <cell r="C424"/>
          <cell r="D424"/>
          <cell r="E424"/>
          <cell r="F424"/>
          <cell r="G424"/>
          <cell r="H424"/>
          <cell r="I424"/>
          <cell r="J424"/>
        </row>
        <row r="425">
          <cell r="A425"/>
          <cell r="C425"/>
          <cell r="D425"/>
          <cell r="E425"/>
          <cell r="F425"/>
          <cell r="G425"/>
          <cell r="H425"/>
          <cell r="I425"/>
          <cell r="J425"/>
        </row>
        <row r="426">
          <cell r="A426"/>
          <cell r="C426"/>
          <cell r="D426"/>
          <cell r="E426"/>
          <cell r="F426"/>
          <cell r="G426"/>
          <cell r="H426"/>
          <cell r="I426"/>
          <cell r="J426"/>
        </row>
        <row r="427">
          <cell r="A427"/>
          <cell r="C427"/>
          <cell r="D427"/>
          <cell r="E427"/>
          <cell r="F427"/>
          <cell r="G427"/>
          <cell r="H427"/>
          <cell r="I427"/>
          <cell r="J427"/>
        </row>
        <row r="428">
          <cell r="A428"/>
          <cell r="C428"/>
          <cell r="D428"/>
          <cell r="E428"/>
          <cell r="F428"/>
          <cell r="G428"/>
          <cell r="H428"/>
          <cell r="I428"/>
          <cell r="J428"/>
        </row>
        <row r="429">
          <cell r="A429"/>
          <cell r="C429"/>
          <cell r="D429"/>
          <cell r="E429"/>
          <cell r="F429"/>
          <cell r="G429"/>
          <cell r="H429"/>
          <cell r="I429"/>
          <cell r="J429"/>
        </row>
        <row r="430">
          <cell r="A430"/>
          <cell r="C430"/>
          <cell r="D430"/>
          <cell r="E430"/>
          <cell r="F430"/>
          <cell r="G430"/>
          <cell r="H430"/>
          <cell r="I430"/>
          <cell r="J430"/>
        </row>
        <row r="431">
          <cell r="A431"/>
          <cell r="C431"/>
          <cell r="D431"/>
          <cell r="E431"/>
          <cell r="F431"/>
          <cell r="G431"/>
          <cell r="H431"/>
          <cell r="I431"/>
          <cell r="J431"/>
        </row>
        <row r="432">
          <cell r="A432"/>
          <cell r="C432"/>
          <cell r="D432"/>
          <cell r="E432"/>
          <cell r="F432"/>
          <cell r="G432"/>
          <cell r="H432"/>
          <cell r="I432"/>
          <cell r="J432"/>
        </row>
        <row r="433">
          <cell r="A433"/>
          <cell r="C433"/>
          <cell r="D433"/>
          <cell r="E433"/>
          <cell r="F433"/>
          <cell r="G433"/>
          <cell r="H433"/>
          <cell r="I433"/>
          <cell r="J433"/>
        </row>
        <row r="434">
          <cell r="A434"/>
          <cell r="C434"/>
          <cell r="D434"/>
          <cell r="E434"/>
          <cell r="F434"/>
          <cell r="G434"/>
          <cell r="H434"/>
          <cell r="I434"/>
          <cell r="J434"/>
        </row>
        <row r="435">
          <cell r="A435"/>
          <cell r="C435"/>
          <cell r="D435"/>
          <cell r="E435"/>
          <cell r="F435"/>
          <cell r="G435"/>
          <cell r="H435"/>
          <cell r="I435"/>
          <cell r="J435"/>
        </row>
        <row r="436">
          <cell r="A436"/>
          <cell r="C436"/>
          <cell r="D436"/>
          <cell r="E436"/>
          <cell r="F436"/>
          <cell r="G436"/>
          <cell r="H436"/>
          <cell r="I436"/>
          <cell r="J436"/>
        </row>
        <row r="437">
          <cell r="A437"/>
          <cell r="C437"/>
          <cell r="D437"/>
          <cell r="E437"/>
          <cell r="F437"/>
          <cell r="G437"/>
          <cell r="H437"/>
          <cell r="I437"/>
          <cell r="J437"/>
        </row>
        <row r="438">
          <cell r="A438"/>
          <cell r="C438"/>
          <cell r="D438"/>
          <cell r="E438"/>
          <cell r="F438"/>
          <cell r="G438"/>
          <cell r="H438"/>
          <cell r="I438"/>
          <cell r="J438"/>
        </row>
        <row r="439">
          <cell r="A439"/>
          <cell r="C439"/>
          <cell r="D439"/>
          <cell r="E439"/>
          <cell r="F439"/>
          <cell r="G439"/>
          <cell r="H439"/>
          <cell r="I439"/>
          <cell r="J439"/>
        </row>
        <row r="440">
          <cell r="A440"/>
          <cell r="C440"/>
          <cell r="D440"/>
          <cell r="E440"/>
          <cell r="F440"/>
          <cell r="G440"/>
          <cell r="H440"/>
          <cell r="I440"/>
          <cell r="J440"/>
        </row>
        <row r="441">
          <cell r="A441"/>
          <cell r="C441"/>
          <cell r="D441"/>
          <cell r="E441"/>
          <cell r="F441"/>
          <cell r="G441"/>
          <cell r="H441"/>
          <cell r="I441"/>
          <cell r="J441"/>
        </row>
        <row r="442">
          <cell r="A442"/>
          <cell r="C442"/>
          <cell r="D442"/>
          <cell r="E442"/>
          <cell r="F442"/>
          <cell r="G442"/>
          <cell r="H442"/>
          <cell r="I442"/>
          <cell r="J442"/>
        </row>
        <row r="443">
          <cell r="A443"/>
          <cell r="C443"/>
          <cell r="D443"/>
          <cell r="E443"/>
          <cell r="F443"/>
          <cell r="G443"/>
          <cell r="H443"/>
          <cell r="I443"/>
          <cell r="J443"/>
        </row>
        <row r="444">
          <cell r="A444"/>
          <cell r="C444"/>
          <cell r="D444"/>
          <cell r="E444"/>
          <cell r="F444"/>
          <cell r="G444"/>
          <cell r="H444"/>
          <cell r="I444"/>
          <cell r="J444"/>
        </row>
        <row r="445">
          <cell r="A445"/>
          <cell r="C445"/>
          <cell r="D445"/>
          <cell r="E445"/>
          <cell r="F445"/>
          <cell r="G445"/>
          <cell r="H445"/>
          <cell r="I445"/>
          <cell r="J445"/>
        </row>
        <row r="446">
          <cell r="A446"/>
          <cell r="C446"/>
          <cell r="D446"/>
          <cell r="E446"/>
          <cell r="F446"/>
          <cell r="G446"/>
          <cell r="H446"/>
          <cell r="I446"/>
          <cell r="J446"/>
        </row>
        <row r="447">
          <cell r="A447"/>
          <cell r="C447"/>
          <cell r="D447"/>
          <cell r="E447"/>
          <cell r="F447"/>
          <cell r="G447"/>
          <cell r="H447"/>
          <cell r="I447"/>
          <cell r="J447"/>
        </row>
        <row r="448">
          <cell r="A448"/>
          <cell r="C448"/>
          <cell r="D448"/>
          <cell r="E448"/>
          <cell r="F448"/>
          <cell r="G448"/>
          <cell r="H448"/>
          <cell r="I448"/>
          <cell r="J448"/>
        </row>
        <row r="449">
          <cell r="A449"/>
          <cell r="C449"/>
          <cell r="D449"/>
          <cell r="E449"/>
          <cell r="F449"/>
          <cell r="G449"/>
          <cell r="H449"/>
          <cell r="I449"/>
          <cell r="J449"/>
        </row>
        <row r="450">
          <cell r="A450"/>
          <cell r="C450"/>
          <cell r="D450"/>
          <cell r="E450"/>
          <cell r="F450"/>
          <cell r="G450"/>
          <cell r="H450"/>
          <cell r="I450"/>
          <cell r="J450"/>
        </row>
        <row r="451">
          <cell r="A451"/>
          <cell r="C451"/>
          <cell r="D451"/>
          <cell r="E451"/>
          <cell r="F451"/>
          <cell r="G451"/>
          <cell r="H451"/>
          <cell r="I451"/>
          <cell r="J451"/>
        </row>
        <row r="452">
          <cell r="A452"/>
          <cell r="C452"/>
          <cell r="D452"/>
          <cell r="E452"/>
          <cell r="F452"/>
          <cell r="G452"/>
          <cell r="H452"/>
          <cell r="I452"/>
          <cell r="J452"/>
        </row>
        <row r="453">
          <cell r="A453"/>
          <cell r="C453"/>
          <cell r="D453"/>
          <cell r="E453"/>
          <cell r="F453"/>
          <cell r="G453"/>
          <cell r="H453"/>
          <cell r="I453"/>
          <cell r="J453"/>
        </row>
        <row r="454">
          <cell r="A454"/>
          <cell r="C454"/>
          <cell r="D454"/>
          <cell r="E454"/>
          <cell r="F454"/>
          <cell r="G454"/>
          <cell r="H454"/>
          <cell r="I454"/>
          <cell r="J454"/>
        </row>
        <row r="455">
          <cell r="A455"/>
          <cell r="C455"/>
          <cell r="D455"/>
          <cell r="E455"/>
          <cell r="F455"/>
          <cell r="G455"/>
          <cell r="H455"/>
          <cell r="I455"/>
          <cell r="J455"/>
        </row>
        <row r="456">
          <cell r="A456"/>
          <cell r="C456"/>
          <cell r="D456"/>
          <cell r="E456"/>
          <cell r="F456"/>
          <cell r="G456"/>
          <cell r="H456"/>
          <cell r="I456"/>
          <cell r="J456"/>
        </row>
        <row r="457">
          <cell r="A457"/>
          <cell r="C457"/>
          <cell r="D457"/>
          <cell r="E457"/>
          <cell r="F457"/>
          <cell r="G457"/>
          <cell r="H457"/>
          <cell r="I457"/>
          <cell r="J457"/>
        </row>
        <row r="458">
          <cell r="A458"/>
          <cell r="C458"/>
          <cell r="D458"/>
          <cell r="E458"/>
          <cell r="F458"/>
          <cell r="G458"/>
          <cell r="H458"/>
          <cell r="I458"/>
          <cell r="J458"/>
        </row>
        <row r="459">
          <cell r="A459"/>
          <cell r="C459"/>
          <cell r="D459"/>
          <cell r="E459"/>
          <cell r="F459"/>
          <cell r="G459"/>
          <cell r="H459"/>
          <cell r="I459"/>
          <cell r="J459"/>
        </row>
        <row r="460">
          <cell r="A460"/>
          <cell r="C460"/>
          <cell r="D460"/>
          <cell r="E460"/>
          <cell r="F460"/>
          <cell r="G460"/>
          <cell r="H460"/>
          <cell r="I460"/>
          <cell r="J460"/>
        </row>
        <row r="461">
          <cell r="A461"/>
          <cell r="C461"/>
          <cell r="D461"/>
          <cell r="E461"/>
          <cell r="F461"/>
          <cell r="G461"/>
          <cell r="H461"/>
          <cell r="I461"/>
          <cell r="J461"/>
        </row>
        <row r="462">
          <cell r="A462"/>
          <cell r="C462"/>
          <cell r="D462"/>
          <cell r="E462"/>
          <cell r="F462"/>
          <cell r="G462"/>
          <cell r="H462"/>
          <cell r="I462"/>
          <cell r="J462"/>
        </row>
        <row r="463">
          <cell r="A463"/>
          <cell r="C463"/>
          <cell r="D463"/>
          <cell r="E463"/>
          <cell r="F463"/>
          <cell r="G463"/>
          <cell r="H463"/>
          <cell r="I463"/>
          <cell r="J463"/>
        </row>
        <row r="464">
          <cell r="A464"/>
          <cell r="C464"/>
          <cell r="D464"/>
          <cell r="E464"/>
          <cell r="F464"/>
          <cell r="G464"/>
          <cell r="H464"/>
          <cell r="I464"/>
          <cell r="J464"/>
        </row>
        <row r="465">
          <cell r="A465"/>
          <cell r="C465"/>
          <cell r="D465"/>
          <cell r="E465"/>
          <cell r="F465"/>
          <cell r="G465"/>
          <cell r="H465"/>
          <cell r="I465"/>
          <cell r="J465"/>
        </row>
        <row r="466">
          <cell r="A466"/>
          <cell r="C466"/>
          <cell r="D466"/>
          <cell r="E466"/>
          <cell r="F466"/>
          <cell r="G466"/>
          <cell r="H466"/>
          <cell r="I466"/>
          <cell r="J466"/>
        </row>
        <row r="467">
          <cell r="A467"/>
          <cell r="C467"/>
          <cell r="D467"/>
          <cell r="E467"/>
          <cell r="F467"/>
          <cell r="G467"/>
          <cell r="H467"/>
          <cell r="I467"/>
          <cell r="J467"/>
        </row>
        <row r="468">
          <cell r="A468"/>
          <cell r="C468"/>
          <cell r="D468"/>
          <cell r="E468"/>
          <cell r="F468"/>
          <cell r="G468"/>
          <cell r="H468"/>
          <cell r="I468"/>
          <cell r="J468"/>
        </row>
        <row r="469">
          <cell r="A469"/>
          <cell r="C469"/>
          <cell r="D469"/>
          <cell r="E469"/>
          <cell r="F469"/>
          <cell r="G469"/>
          <cell r="H469"/>
          <cell r="I469"/>
          <cell r="J469"/>
        </row>
        <row r="470">
          <cell r="A470"/>
          <cell r="C470"/>
          <cell r="D470"/>
          <cell r="E470"/>
          <cell r="F470"/>
          <cell r="G470"/>
          <cell r="H470"/>
          <cell r="I470"/>
          <cell r="J470"/>
        </row>
        <row r="471">
          <cell r="A471"/>
          <cell r="C471"/>
          <cell r="D471"/>
          <cell r="E471"/>
          <cell r="F471"/>
          <cell r="G471"/>
          <cell r="H471"/>
          <cell r="I471"/>
          <cell r="J471"/>
        </row>
        <row r="472">
          <cell r="A472"/>
          <cell r="C472"/>
          <cell r="D472"/>
          <cell r="E472"/>
          <cell r="F472"/>
          <cell r="G472"/>
          <cell r="H472"/>
          <cell r="I472"/>
          <cell r="J472"/>
        </row>
        <row r="473">
          <cell r="A473"/>
          <cell r="C473"/>
          <cell r="D473"/>
          <cell r="E473"/>
          <cell r="F473"/>
          <cell r="G473"/>
          <cell r="H473"/>
          <cell r="I473"/>
          <cell r="J473"/>
        </row>
        <row r="474">
          <cell r="A474"/>
          <cell r="C474"/>
          <cell r="D474"/>
          <cell r="E474"/>
          <cell r="F474"/>
          <cell r="G474"/>
          <cell r="H474"/>
          <cell r="I474"/>
          <cell r="J474"/>
        </row>
        <row r="475">
          <cell r="A475"/>
          <cell r="C475"/>
          <cell r="D475"/>
          <cell r="E475"/>
          <cell r="F475"/>
          <cell r="G475"/>
          <cell r="H475"/>
          <cell r="I475"/>
          <cell r="J475"/>
        </row>
        <row r="476">
          <cell r="A476"/>
          <cell r="C476"/>
          <cell r="D476"/>
          <cell r="E476"/>
          <cell r="F476"/>
          <cell r="G476"/>
          <cell r="H476"/>
          <cell r="I476"/>
          <cell r="J476"/>
        </row>
        <row r="477">
          <cell r="A477"/>
          <cell r="C477"/>
          <cell r="D477"/>
          <cell r="E477"/>
          <cell r="F477"/>
          <cell r="G477"/>
          <cell r="H477"/>
          <cell r="I477"/>
          <cell r="J477"/>
        </row>
        <row r="478">
          <cell r="A478"/>
          <cell r="C478"/>
          <cell r="D478"/>
          <cell r="E478"/>
          <cell r="F478"/>
          <cell r="G478"/>
          <cell r="H478"/>
          <cell r="I478"/>
          <cell r="J478"/>
        </row>
        <row r="479">
          <cell r="A479"/>
          <cell r="C479"/>
          <cell r="D479"/>
          <cell r="E479"/>
          <cell r="F479"/>
          <cell r="G479"/>
          <cell r="H479"/>
          <cell r="I479"/>
          <cell r="J479"/>
        </row>
        <row r="480">
          <cell r="A480"/>
          <cell r="C480"/>
          <cell r="D480"/>
          <cell r="E480"/>
          <cell r="F480"/>
          <cell r="G480"/>
          <cell r="H480"/>
          <cell r="I480"/>
          <cell r="J480"/>
        </row>
        <row r="481">
          <cell r="A481"/>
          <cell r="C481"/>
          <cell r="D481"/>
          <cell r="E481"/>
          <cell r="F481"/>
          <cell r="G481"/>
          <cell r="H481"/>
          <cell r="I481"/>
          <cell r="J481"/>
        </row>
        <row r="482">
          <cell r="A482"/>
          <cell r="C482"/>
          <cell r="D482"/>
          <cell r="E482"/>
          <cell r="F482"/>
          <cell r="G482"/>
          <cell r="H482"/>
          <cell r="I482"/>
          <cell r="J482"/>
        </row>
        <row r="483">
          <cell r="A483"/>
          <cell r="C483"/>
          <cell r="D483"/>
          <cell r="E483"/>
          <cell r="F483"/>
          <cell r="G483"/>
          <cell r="H483"/>
          <cell r="I483"/>
          <cell r="J483"/>
        </row>
        <row r="484">
          <cell r="A484"/>
          <cell r="C484"/>
          <cell r="D484"/>
          <cell r="E484"/>
          <cell r="F484"/>
          <cell r="G484"/>
          <cell r="H484"/>
          <cell r="I484"/>
          <cell r="J484"/>
        </row>
        <row r="485">
          <cell r="A485"/>
          <cell r="C485"/>
          <cell r="D485"/>
          <cell r="E485"/>
          <cell r="F485"/>
          <cell r="G485"/>
          <cell r="H485"/>
          <cell r="I485"/>
          <cell r="J485"/>
        </row>
        <row r="486">
          <cell r="A486"/>
          <cell r="C486"/>
          <cell r="D486"/>
          <cell r="E486"/>
          <cell r="F486"/>
          <cell r="G486"/>
          <cell r="H486"/>
          <cell r="I486"/>
          <cell r="J486"/>
        </row>
        <row r="487">
          <cell r="A487"/>
          <cell r="C487"/>
          <cell r="D487"/>
          <cell r="E487"/>
          <cell r="F487"/>
          <cell r="G487"/>
          <cell r="H487"/>
          <cell r="I487"/>
          <cell r="J487"/>
        </row>
        <row r="488">
          <cell r="A488"/>
          <cell r="C488"/>
          <cell r="D488"/>
          <cell r="E488"/>
          <cell r="F488"/>
          <cell r="G488"/>
          <cell r="H488"/>
          <cell r="I488"/>
          <cell r="J488"/>
        </row>
        <row r="489">
          <cell r="A489"/>
          <cell r="C489"/>
          <cell r="D489"/>
          <cell r="E489"/>
          <cell r="F489"/>
          <cell r="G489"/>
          <cell r="H489"/>
          <cell r="I489"/>
          <cell r="J489"/>
        </row>
        <row r="490">
          <cell r="A490"/>
          <cell r="C490"/>
          <cell r="D490"/>
          <cell r="E490"/>
          <cell r="F490"/>
          <cell r="G490"/>
          <cell r="H490"/>
          <cell r="I490"/>
          <cell r="J490"/>
        </row>
        <row r="491">
          <cell r="A491"/>
          <cell r="C491"/>
          <cell r="D491"/>
          <cell r="E491"/>
          <cell r="F491"/>
          <cell r="G491"/>
          <cell r="H491"/>
          <cell r="I491"/>
          <cell r="J491"/>
        </row>
        <row r="492">
          <cell r="A492"/>
          <cell r="C492"/>
          <cell r="D492"/>
          <cell r="E492"/>
          <cell r="F492"/>
          <cell r="G492"/>
          <cell r="H492"/>
          <cell r="I492"/>
          <cell r="J492"/>
        </row>
        <row r="493">
          <cell r="A493"/>
          <cell r="C493"/>
          <cell r="D493"/>
          <cell r="E493"/>
          <cell r="F493"/>
          <cell r="G493"/>
          <cell r="H493"/>
          <cell r="I493"/>
          <cell r="J493"/>
        </row>
        <row r="494">
          <cell r="A494"/>
          <cell r="C494"/>
          <cell r="D494"/>
          <cell r="E494"/>
          <cell r="F494"/>
          <cell r="G494"/>
          <cell r="H494"/>
          <cell r="I494"/>
          <cell r="J494"/>
        </row>
        <row r="495">
          <cell r="A495"/>
          <cell r="C495"/>
          <cell r="D495"/>
          <cell r="E495"/>
          <cell r="F495"/>
          <cell r="G495"/>
          <cell r="H495"/>
          <cell r="I495"/>
          <cell r="J495"/>
        </row>
        <row r="496">
          <cell r="A496"/>
          <cell r="C496"/>
          <cell r="D496"/>
          <cell r="E496"/>
          <cell r="F496"/>
          <cell r="G496"/>
          <cell r="H496"/>
          <cell r="I496"/>
          <cell r="J496"/>
        </row>
      </sheetData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3334-55AF-41E4-B03A-CF408D211F87}">
  <dimension ref="A1:M44"/>
  <sheetViews>
    <sheetView topLeftCell="A11" zoomScaleNormal="100" workbookViewId="0">
      <selection activeCell="A17" sqref="A17"/>
    </sheetView>
  </sheetViews>
  <sheetFormatPr baseColWidth="10" defaultColWidth="11.42578125" defaultRowHeight="12.75" x14ac:dyDescent="0.2"/>
  <cols>
    <col min="1" max="1" width="16.140625" style="2" customWidth="1"/>
    <col min="2" max="2" width="24.5703125" style="2" customWidth="1"/>
    <col min="3" max="3" width="40.5703125" style="2" customWidth="1"/>
    <col min="4" max="4" width="15.5703125" style="2" customWidth="1"/>
    <col min="5" max="5" width="11.42578125" style="2"/>
    <col min="6" max="6" width="13.140625" style="2" customWidth="1"/>
    <col min="7" max="7" width="12.5703125" style="2" customWidth="1"/>
    <col min="8" max="8" width="15.5703125" style="2" customWidth="1"/>
    <col min="9" max="9" width="16" style="2" customWidth="1"/>
    <col min="10" max="16384" width="11.42578125" style="2"/>
  </cols>
  <sheetData>
    <row r="1" spans="1:9" ht="18" x14ac:dyDescent="0.25">
      <c r="A1" s="293"/>
      <c r="B1" s="167"/>
      <c r="C1" s="306" t="s">
        <v>22</v>
      </c>
      <c r="D1" s="306"/>
      <c r="E1" s="306"/>
      <c r="F1" s="306"/>
      <c r="G1" s="306"/>
      <c r="H1" s="1" t="s">
        <v>21</v>
      </c>
      <c r="I1" s="62" t="s">
        <v>58</v>
      </c>
    </row>
    <row r="2" spans="1:9" ht="18" x14ac:dyDescent="0.25">
      <c r="A2" s="294"/>
      <c r="B2" s="168"/>
      <c r="C2" s="307" t="s">
        <v>0</v>
      </c>
      <c r="D2" s="307"/>
      <c r="E2" s="307"/>
      <c r="F2" s="307"/>
      <c r="G2" s="307"/>
      <c r="H2" s="3" t="s">
        <v>20</v>
      </c>
      <c r="I2" s="63" t="s">
        <v>59</v>
      </c>
    </row>
    <row r="3" spans="1:9" ht="50.1" customHeight="1" x14ac:dyDescent="0.2">
      <c r="A3" s="294"/>
      <c r="B3" s="169"/>
      <c r="C3" s="308" t="s">
        <v>141</v>
      </c>
      <c r="D3" s="309"/>
      <c r="E3" s="309"/>
      <c r="F3" s="309"/>
      <c r="G3" s="310"/>
      <c r="H3" s="314" t="s">
        <v>19</v>
      </c>
      <c r="I3" s="303">
        <v>43207</v>
      </c>
    </row>
    <row r="4" spans="1:9" x14ac:dyDescent="0.2">
      <c r="A4" s="294"/>
      <c r="B4" s="168"/>
      <c r="C4" s="38" t="s">
        <v>18</v>
      </c>
      <c r="D4" s="300" t="s">
        <v>26</v>
      </c>
      <c r="E4" s="300"/>
      <c r="F4" s="300"/>
      <c r="G4" s="300"/>
      <c r="H4" s="314"/>
      <c r="I4" s="304"/>
    </row>
    <row r="5" spans="1:9" ht="15" customHeight="1" thickBot="1" x14ac:dyDescent="0.25">
      <c r="A5" s="295"/>
      <c r="B5" s="170"/>
      <c r="C5" s="39" t="s">
        <v>17</v>
      </c>
      <c r="D5" s="305" t="s">
        <v>25</v>
      </c>
      <c r="E5" s="305"/>
      <c r="F5" s="305"/>
      <c r="G5" s="305"/>
      <c r="H5" s="315"/>
      <c r="I5" s="304"/>
    </row>
    <row r="6" spans="1:9" ht="15" customHeight="1" x14ac:dyDescent="0.2">
      <c r="A6" s="33"/>
      <c r="B6" s="33"/>
      <c r="C6" s="34"/>
      <c r="D6" s="35"/>
      <c r="E6" s="35"/>
      <c r="F6" s="35"/>
      <c r="G6" s="35"/>
      <c r="H6" s="36"/>
      <c r="I6" s="37"/>
    </row>
    <row r="7" spans="1:9" ht="21" customHeight="1" thickBot="1" x14ac:dyDescent="0.3">
      <c r="A7" s="311" t="s">
        <v>23</v>
      </c>
      <c r="B7" s="311"/>
      <c r="C7" s="311"/>
      <c r="D7" s="312" t="s">
        <v>30</v>
      </c>
      <c r="E7" s="312"/>
      <c r="F7" s="312"/>
      <c r="G7" s="313" t="s">
        <v>24</v>
      </c>
      <c r="H7" s="313"/>
      <c r="I7" s="43" t="s">
        <v>31</v>
      </c>
    </row>
    <row r="8" spans="1:9" ht="25.5" x14ac:dyDescent="0.2">
      <c r="A8" s="296" t="s">
        <v>1</v>
      </c>
      <c r="B8" s="301" t="s">
        <v>142</v>
      </c>
      <c r="C8" s="298" t="s">
        <v>2</v>
      </c>
      <c r="D8" s="298" t="s">
        <v>3</v>
      </c>
      <c r="E8" s="298" t="s">
        <v>4</v>
      </c>
      <c r="F8" s="298"/>
      <c r="G8" s="298" t="s">
        <v>16</v>
      </c>
      <c r="H8" s="298"/>
      <c r="I8" s="4" t="s">
        <v>5</v>
      </c>
    </row>
    <row r="9" spans="1:9" ht="26.25" thickBot="1" x14ac:dyDescent="0.25">
      <c r="A9" s="297"/>
      <c r="B9" s="302"/>
      <c r="C9" s="299"/>
      <c r="D9" s="299"/>
      <c r="E9" s="5" t="s">
        <v>6</v>
      </c>
      <c r="F9" s="6" t="s">
        <v>7</v>
      </c>
      <c r="G9" s="5" t="s">
        <v>6</v>
      </c>
      <c r="H9" s="6" t="s">
        <v>7</v>
      </c>
      <c r="I9" s="42" t="s">
        <v>8</v>
      </c>
    </row>
    <row r="10" spans="1:9" ht="15" x14ac:dyDescent="0.25">
      <c r="A10" s="64" t="s">
        <v>60</v>
      </c>
      <c r="B10" s="171"/>
      <c r="C10" s="65" t="s">
        <v>61</v>
      </c>
      <c r="D10" s="54" t="s">
        <v>62</v>
      </c>
      <c r="E10" s="55">
        <v>2370</v>
      </c>
      <c r="F10" s="56" t="s">
        <v>27</v>
      </c>
      <c r="G10" s="26"/>
      <c r="H10" s="40"/>
      <c r="I10" s="41"/>
    </row>
    <row r="11" spans="1:9" ht="15" x14ac:dyDescent="0.25">
      <c r="A11" s="57">
        <v>95120</v>
      </c>
      <c r="B11" s="172"/>
      <c r="C11" s="58" t="s">
        <v>33</v>
      </c>
      <c r="D11" s="54" t="s">
        <v>34</v>
      </c>
      <c r="E11" s="59">
        <v>2600</v>
      </c>
      <c r="F11" s="56" t="s">
        <v>27</v>
      </c>
      <c r="G11" s="26"/>
      <c r="H11" s="40"/>
      <c r="I11" s="41"/>
    </row>
    <row r="12" spans="1:9" ht="15" x14ac:dyDescent="0.25">
      <c r="A12" s="52" t="s">
        <v>35</v>
      </c>
      <c r="B12" s="173"/>
      <c r="C12" s="53" t="s">
        <v>36</v>
      </c>
      <c r="D12" s="54" t="s">
        <v>37</v>
      </c>
      <c r="E12" s="55">
        <v>290</v>
      </c>
      <c r="F12" s="56" t="s">
        <v>27</v>
      </c>
      <c r="G12" s="26"/>
      <c r="H12" s="40"/>
      <c r="I12" s="41"/>
    </row>
    <row r="13" spans="1:9" ht="15" x14ac:dyDescent="0.25">
      <c r="A13" s="52" t="s">
        <v>38</v>
      </c>
      <c r="B13" s="173"/>
      <c r="C13" s="53" t="s">
        <v>39</v>
      </c>
      <c r="D13" s="54" t="s">
        <v>37</v>
      </c>
      <c r="E13" s="55">
        <v>220</v>
      </c>
      <c r="F13" s="56" t="s">
        <v>27</v>
      </c>
      <c r="G13" s="26"/>
      <c r="H13" s="40"/>
      <c r="I13" s="41"/>
    </row>
    <row r="14" spans="1:9" ht="15" x14ac:dyDescent="0.25">
      <c r="A14" s="52" t="s">
        <v>40</v>
      </c>
      <c r="B14" s="173"/>
      <c r="C14" s="53" t="s">
        <v>41</v>
      </c>
      <c r="D14" s="54" t="s">
        <v>34</v>
      </c>
      <c r="E14" s="55">
        <v>8</v>
      </c>
      <c r="F14" s="56" t="s">
        <v>27</v>
      </c>
      <c r="G14" s="26"/>
      <c r="H14" s="40"/>
      <c r="I14" s="41"/>
    </row>
    <row r="15" spans="1:9" ht="15" x14ac:dyDescent="0.25">
      <c r="A15" s="52" t="s">
        <v>130</v>
      </c>
      <c r="B15" s="173"/>
      <c r="C15" s="53" t="s">
        <v>42</v>
      </c>
      <c r="D15" s="54" t="s">
        <v>43</v>
      </c>
      <c r="E15" s="55">
        <v>1</v>
      </c>
      <c r="F15" s="56" t="s">
        <v>27</v>
      </c>
      <c r="G15" s="26"/>
      <c r="H15" s="40"/>
      <c r="I15" s="41"/>
    </row>
    <row r="16" spans="1:9" ht="15" x14ac:dyDescent="0.25">
      <c r="A16" s="52" t="s">
        <v>44</v>
      </c>
      <c r="B16" s="173"/>
      <c r="C16" s="53" t="s">
        <v>45</v>
      </c>
      <c r="D16" s="54" t="s">
        <v>46</v>
      </c>
      <c r="E16" s="55">
        <v>1</v>
      </c>
      <c r="F16" s="56" t="s">
        <v>27</v>
      </c>
      <c r="G16" s="26"/>
      <c r="H16" s="40"/>
      <c r="I16" s="41"/>
    </row>
    <row r="17" spans="1:13" ht="15" x14ac:dyDescent="0.25">
      <c r="A17" s="52" t="s">
        <v>47</v>
      </c>
      <c r="B17" s="173"/>
      <c r="C17" s="53" t="s">
        <v>48</v>
      </c>
      <c r="D17" s="54" t="s">
        <v>49</v>
      </c>
      <c r="E17" s="55">
        <v>15</v>
      </c>
      <c r="F17" s="56" t="s">
        <v>27</v>
      </c>
      <c r="G17" s="26"/>
      <c r="H17" s="40"/>
      <c r="I17" s="41"/>
    </row>
    <row r="18" spans="1:13" ht="15" x14ac:dyDescent="0.25">
      <c r="A18" s="67" t="s">
        <v>63</v>
      </c>
      <c r="B18" s="67"/>
      <c r="C18" s="66" t="s">
        <v>64</v>
      </c>
      <c r="D18" s="54" t="s">
        <v>65</v>
      </c>
      <c r="E18" s="55">
        <v>30</v>
      </c>
      <c r="F18" s="56" t="s">
        <v>27</v>
      </c>
      <c r="G18" s="26"/>
      <c r="H18" s="40"/>
      <c r="I18" s="41"/>
    </row>
    <row r="19" spans="1:13" ht="15" x14ac:dyDescent="0.25">
      <c r="A19" s="52" t="s">
        <v>50</v>
      </c>
      <c r="B19" s="173"/>
      <c r="C19" s="60" t="s">
        <v>51</v>
      </c>
      <c r="D19" s="54" t="s">
        <v>52</v>
      </c>
      <c r="E19" s="55">
        <v>1</v>
      </c>
      <c r="F19" s="56" t="s">
        <v>27</v>
      </c>
      <c r="G19" s="26"/>
      <c r="H19" s="40"/>
      <c r="I19" s="41"/>
    </row>
    <row r="20" spans="1:13" ht="15" x14ac:dyDescent="0.25">
      <c r="A20" s="52" t="s">
        <v>53</v>
      </c>
      <c r="B20" s="173"/>
      <c r="C20" s="53" t="s">
        <v>54</v>
      </c>
      <c r="D20" s="61" t="s">
        <v>32</v>
      </c>
      <c r="E20" s="55">
        <v>15</v>
      </c>
      <c r="F20" s="56" t="s">
        <v>27</v>
      </c>
      <c r="G20" s="26"/>
      <c r="H20" s="40"/>
      <c r="I20" s="41"/>
    </row>
    <row r="21" spans="1:13" ht="13.5" customHeight="1" x14ac:dyDescent="0.25">
      <c r="A21" s="52" t="s">
        <v>55</v>
      </c>
      <c r="B21" s="173"/>
      <c r="C21" s="53" t="s">
        <v>56</v>
      </c>
      <c r="D21" s="61" t="s">
        <v>57</v>
      </c>
      <c r="E21" s="55">
        <v>90</v>
      </c>
      <c r="F21" s="56" t="s">
        <v>27</v>
      </c>
      <c r="G21" s="7"/>
      <c r="H21" s="8"/>
      <c r="I21" s="9"/>
    </row>
    <row r="22" spans="1:13" x14ac:dyDescent="0.2">
      <c r="A22" s="45"/>
      <c r="B22" s="174"/>
      <c r="C22" s="46"/>
      <c r="D22" s="47"/>
      <c r="E22" s="48"/>
      <c r="F22" s="49"/>
      <c r="G22" s="7"/>
      <c r="H22" s="8"/>
      <c r="I22" s="9"/>
    </row>
    <row r="23" spans="1:13" x14ac:dyDescent="0.2">
      <c r="A23" s="45"/>
      <c r="B23" s="174"/>
      <c r="C23" s="44"/>
      <c r="D23" s="47"/>
      <c r="E23" s="48"/>
      <c r="F23" s="49"/>
      <c r="G23" s="7"/>
      <c r="H23" s="8"/>
      <c r="I23" s="9"/>
    </row>
    <row r="24" spans="1:13" x14ac:dyDescent="0.2">
      <c r="A24" s="50"/>
      <c r="B24" s="175"/>
      <c r="C24" s="10"/>
      <c r="D24" s="51"/>
      <c r="E24" s="8"/>
      <c r="F24" s="8"/>
      <c r="G24" s="7"/>
      <c r="H24" s="8"/>
      <c r="I24" s="11"/>
    </row>
    <row r="25" spans="1:13" x14ac:dyDescent="0.2">
      <c r="A25" s="12"/>
      <c r="B25" s="176"/>
      <c r="C25" s="13"/>
      <c r="D25" s="51"/>
      <c r="E25" s="14"/>
      <c r="F25" s="14"/>
      <c r="G25" s="14"/>
      <c r="H25" s="14"/>
      <c r="I25" s="11"/>
    </row>
    <row r="26" spans="1:13" ht="13.5" thickBot="1" x14ac:dyDescent="0.25">
      <c r="A26" s="15"/>
      <c r="B26" s="177"/>
      <c r="E26" s="16"/>
      <c r="F26" s="17"/>
      <c r="I26" s="18"/>
      <c r="L26" s="19"/>
    </row>
    <row r="27" spans="1:13" ht="13.5" thickBot="1" x14ac:dyDescent="0.25">
      <c r="A27" s="20"/>
      <c r="B27" s="178"/>
      <c r="C27" s="21"/>
      <c r="D27" s="22" t="s">
        <v>6</v>
      </c>
      <c r="E27" s="23" t="s">
        <v>15</v>
      </c>
      <c r="F27" s="24"/>
      <c r="G27" s="21"/>
      <c r="H27" s="21"/>
      <c r="I27" s="25"/>
      <c r="L27" s="19"/>
    </row>
    <row r="28" spans="1:13" x14ac:dyDescent="0.2">
      <c r="A28" s="287" t="s">
        <v>10</v>
      </c>
      <c r="B28" s="288"/>
      <c r="C28" s="289"/>
      <c r="D28" s="26">
        <v>4695</v>
      </c>
      <c r="E28" s="27" t="s">
        <v>27</v>
      </c>
      <c r="F28" s="290"/>
      <c r="G28" s="290"/>
      <c r="H28" s="291"/>
      <c r="I28" s="292"/>
      <c r="L28" s="19"/>
    </row>
    <row r="29" spans="1:13" x14ac:dyDescent="0.2">
      <c r="A29" s="283" t="s">
        <v>9</v>
      </c>
      <c r="B29" s="284"/>
      <c r="C29" s="285"/>
      <c r="D29" s="28">
        <v>10</v>
      </c>
      <c r="E29" s="8" t="s">
        <v>29</v>
      </c>
      <c r="F29" s="286"/>
      <c r="G29" s="286"/>
      <c r="H29" s="281"/>
      <c r="I29" s="282"/>
      <c r="L29" s="19"/>
    </row>
    <row r="30" spans="1:13" x14ac:dyDescent="0.2">
      <c r="A30" s="283" t="s">
        <v>14</v>
      </c>
      <c r="B30" s="284"/>
      <c r="C30" s="285"/>
      <c r="D30" s="7">
        <v>1</v>
      </c>
      <c r="E30" s="8" t="s">
        <v>28</v>
      </c>
      <c r="F30" s="286"/>
      <c r="G30" s="286"/>
      <c r="H30" s="281"/>
      <c r="I30" s="282"/>
      <c r="L30" s="19"/>
    </row>
    <row r="31" spans="1:13" x14ac:dyDescent="0.2">
      <c r="A31" s="283" t="s">
        <v>13</v>
      </c>
      <c r="B31" s="284"/>
      <c r="C31" s="285"/>
      <c r="D31" s="7">
        <v>4695</v>
      </c>
      <c r="E31" s="8" t="s">
        <v>27</v>
      </c>
      <c r="F31" s="279"/>
      <c r="G31" s="280"/>
      <c r="H31" s="281"/>
      <c r="I31" s="282"/>
      <c r="L31" s="19"/>
      <c r="M31" s="29"/>
    </row>
    <row r="32" spans="1:13" ht="13.5" thickBot="1" x14ac:dyDescent="0.25">
      <c r="A32" s="264" t="s">
        <v>12</v>
      </c>
      <c r="B32" s="265"/>
      <c r="C32" s="266"/>
      <c r="D32" s="30">
        <f>SUM(E10:E21)-D28</f>
        <v>946</v>
      </c>
      <c r="E32" s="31" t="s">
        <v>27</v>
      </c>
      <c r="F32" s="267"/>
      <c r="G32" s="267"/>
      <c r="H32" s="268"/>
      <c r="I32" s="269"/>
      <c r="L32" s="19"/>
    </row>
    <row r="33" spans="1:9" ht="13.5" thickBot="1" x14ac:dyDescent="0.25">
      <c r="A33" s="276" t="s">
        <v>11</v>
      </c>
      <c r="B33" s="277"/>
      <c r="C33" s="277"/>
      <c r="D33" s="277"/>
      <c r="E33" s="277"/>
      <c r="F33" s="277"/>
      <c r="G33" s="277"/>
      <c r="H33" s="277"/>
      <c r="I33" s="278"/>
    </row>
    <row r="34" spans="1:9" ht="15" x14ac:dyDescent="0.25">
      <c r="A34" s="270" t="s">
        <v>66</v>
      </c>
      <c r="B34" s="271"/>
      <c r="C34" s="271"/>
      <c r="D34" s="271"/>
      <c r="E34" s="271"/>
      <c r="F34" s="271"/>
      <c r="G34" s="271"/>
      <c r="H34" s="271"/>
      <c r="I34" s="272"/>
    </row>
    <row r="35" spans="1:9" ht="15" x14ac:dyDescent="0.25">
      <c r="A35" s="270" t="s">
        <v>67</v>
      </c>
      <c r="B35" s="271"/>
      <c r="C35" s="271"/>
      <c r="D35" s="271"/>
      <c r="E35" s="271"/>
      <c r="F35" s="271"/>
      <c r="G35" s="271"/>
      <c r="H35" s="271"/>
      <c r="I35" s="272"/>
    </row>
    <row r="36" spans="1:9" ht="15" x14ac:dyDescent="0.25">
      <c r="A36" s="270" t="s">
        <v>68</v>
      </c>
      <c r="B36" s="271"/>
      <c r="C36" s="271"/>
      <c r="D36" s="271"/>
      <c r="E36" s="271"/>
      <c r="F36" s="271"/>
      <c r="G36" s="271"/>
      <c r="H36" s="271"/>
      <c r="I36" s="272"/>
    </row>
    <row r="37" spans="1:9" ht="15" x14ac:dyDescent="0.25">
      <c r="A37" s="270"/>
      <c r="B37" s="271"/>
      <c r="C37" s="271"/>
      <c r="D37" s="271"/>
      <c r="E37" s="271"/>
      <c r="F37" s="271"/>
      <c r="G37" s="271"/>
      <c r="H37" s="271"/>
      <c r="I37" s="272"/>
    </row>
    <row r="38" spans="1:9" ht="15" x14ac:dyDescent="0.25">
      <c r="A38" s="270"/>
      <c r="B38" s="271"/>
      <c r="C38" s="271"/>
      <c r="D38" s="271"/>
      <c r="E38" s="271"/>
      <c r="F38" s="271"/>
      <c r="G38" s="271"/>
      <c r="H38" s="271"/>
      <c r="I38" s="272"/>
    </row>
    <row r="39" spans="1:9" ht="15" x14ac:dyDescent="0.25">
      <c r="A39" s="270"/>
      <c r="B39" s="271"/>
      <c r="C39" s="271"/>
      <c r="D39" s="271"/>
      <c r="E39" s="271"/>
      <c r="F39" s="271"/>
      <c r="G39" s="271"/>
      <c r="H39" s="271"/>
      <c r="I39" s="272"/>
    </row>
    <row r="40" spans="1:9" ht="16.5" customHeight="1" x14ac:dyDescent="0.2">
      <c r="A40" s="273"/>
      <c r="B40" s="274"/>
      <c r="C40" s="274"/>
      <c r="D40" s="274"/>
      <c r="E40" s="274"/>
      <c r="F40" s="274"/>
      <c r="G40" s="274"/>
      <c r="H40" s="274"/>
      <c r="I40" s="275"/>
    </row>
    <row r="41" spans="1:9" ht="16.5" customHeight="1" x14ac:dyDescent="0.2">
      <c r="A41" s="273"/>
      <c r="B41" s="274"/>
      <c r="C41" s="274"/>
      <c r="D41" s="274"/>
      <c r="E41" s="274"/>
      <c r="F41" s="274"/>
      <c r="G41" s="274"/>
      <c r="H41" s="274"/>
      <c r="I41" s="275"/>
    </row>
    <row r="42" spans="1:9" ht="16.5" customHeight="1" thickBot="1" x14ac:dyDescent="0.25">
      <c r="A42" s="261"/>
      <c r="B42" s="262"/>
      <c r="C42" s="262"/>
      <c r="D42" s="262"/>
      <c r="E42" s="262"/>
      <c r="F42" s="262"/>
      <c r="G42" s="262"/>
      <c r="H42" s="262"/>
      <c r="I42" s="263"/>
    </row>
    <row r="44" spans="1:9" x14ac:dyDescent="0.2">
      <c r="A44" s="32"/>
      <c r="B44" s="32"/>
      <c r="C44" s="32"/>
    </row>
  </sheetData>
  <mergeCells count="42">
    <mergeCell ref="D7:F7"/>
    <mergeCell ref="G7:H7"/>
    <mergeCell ref="H3:H5"/>
    <mergeCell ref="G8:H8"/>
    <mergeCell ref="A28:C28"/>
    <mergeCell ref="F28:G28"/>
    <mergeCell ref="H28:I28"/>
    <mergeCell ref="A1:A5"/>
    <mergeCell ref="A8:A9"/>
    <mergeCell ref="C8:C9"/>
    <mergeCell ref="D8:D9"/>
    <mergeCell ref="E8:F8"/>
    <mergeCell ref="D4:G4"/>
    <mergeCell ref="B8:B9"/>
    <mergeCell ref="I3:I5"/>
    <mergeCell ref="D5:G5"/>
    <mergeCell ref="C1:G1"/>
    <mergeCell ref="C2:G2"/>
    <mergeCell ref="C3:G3"/>
    <mergeCell ref="A7:C7"/>
    <mergeCell ref="A29:C29"/>
    <mergeCell ref="F29:G29"/>
    <mergeCell ref="H29:I29"/>
    <mergeCell ref="A30:C30"/>
    <mergeCell ref="F30:G30"/>
    <mergeCell ref="H30:I30"/>
    <mergeCell ref="F31:G31"/>
    <mergeCell ref="A35:I35"/>
    <mergeCell ref="A39:I39"/>
    <mergeCell ref="A36:I36"/>
    <mergeCell ref="A37:I37"/>
    <mergeCell ref="A38:I38"/>
    <mergeCell ref="H31:I31"/>
    <mergeCell ref="A31:C31"/>
    <mergeCell ref="A42:I42"/>
    <mergeCell ref="A32:C32"/>
    <mergeCell ref="F32:G32"/>
    <mergeCell ref="H32:I32"/>
    <mergeCell ref="A34:I34"/>
    <mergeCell ref="A40:I40"/>
    <mergeCell ref="A41:I41"/>
    <mergeCell ref="A33:I33"/>
  </mergeCells>
  <pageMargins left="0.15748031496063" right="0" top="0.98425196850393704" bottom="0.98425196850393704" header="0" footer="0"/>
  <pageSetup scale="7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07485-CAA1-48CA-857E-F6B766BB2D96}">
  <dimension ref="A1:Q93"/>
  <sheetViews>
    <sheetView topLeftCell="A16" workbookViewId="0">
      <selection activeCell="A14" sqref="A14:IV14"/>
    </sheetView>
  </sheetViews>
  <sheetFormatPr baseColWidth="10" defaultColWidth="8.42578125" defaultRowHeight="12.75" x14ac:dyDescent="0.2"/>
  <cols>
    <col min="1" max="1" width="10" style="74" bestFit="1" customWidth="1"/>
    <col min="2" max="2" width="44.28515625" style="74" bestFit="1" customWidth="1"/>
    <col min="3" max="3" width="10.42578125" style="74" bestFit="1" customWidth="1"/>
    <col min="4" max="4" width="10.42578125" style="74" customWidth="1"/>
    <col min="5" max="5" width="9.7109375" style="74" bestFit="1" customWidth="1"/>
    <col min="6" max="6" width="9.5703125" style="74" bestFit="1" customWidth="1"/>
    <col min="7" max="7" width="9.5703125" style="155" bestFit="1" customWidth="1"/>
    <col min="8" max="8" width="10.42578125" style="146" bestFit="1" customWidth="1"/>
    <col min="9" max="9" width="4.5703125" style="146" customWidth="1"/>
    <col min="10" max="10" width="1.85546875" style="73" customWidth="1"/>
    <col min="11" max="11" width="7" style="74" bestFit="1" customWidth="1"/>
    <col min="12" max="12" width="6.28515625" style="74" customWidth="1"/>
    <col min="13" max="13" width="20.42578125" style="74" customWidth="1"/>
    <col min="14" max="14" width="6.42578125" style="74" bestFit="1" customWidth="1"/>
    <col min="15" max="16" width="8.42578125" style="74"/>
    <col min="17" max="17" width="3.28515625" style="74" customWidth="1"/>
    <col min="18" max="16384" width="8.42578125" style="74"/>
  </cols>
  <sheetData>
    <row r="1" spans="1:10" ht="27.75" customHeight="1" x14ac:dyDescent="0.2">
      <c r="A1" s="69"/>
      <c r="B1" s="69"/>
      <c r="C1" s="69"/>
      <c r="D1" s="69"/>
      <c r="E1" s="70" t="s">
        <v>77</v>
      </c>
      <c r="F1" s="71" t="s">
        <v>78</v>
      </c>
      <c r="G1" s="71" t="s">
        <v>79</v>
      </c>
      <c r="H1" s="71" t="s">
        <v>80</v>
      </c>
      <c r="I1" s="72"/>
    </row>
    <row r="2" spans="1:10" ht="30.75" customHeight="1" x14ac:dyDescent="0.2">
      <c r="A2" s="69"/>
      <c r="B2" s="69"/>
      <c r="C2" s="69"/>
      <c r="D2" s="69"/>
      <c r="E2" s="75">
        <f>IFERROR(O64,"")</f>
        <v>7030.5840520940819</v>
      </c>
      <c r="F2" s="75">
        <f>IFERROR(H55,"")</f>
        <v>4759.0450180813441</v>
      </c>
      <c r="G2" s="75">
        <f>IFERROR(H56,"")</f>
        <v>0</v>
      </c>
      <c r="H2" s="75">
        <f>IFERROR(H58,"")</f>
        <v>550</v>
      </c>
      <c r="I2" s="76"/>
    </row>
    <row r="3" spans="1:10" ht="15" customHeight="1" x14ac:dyDescent="0.2">
      <c r="A3" s="69"/>
      <c r="B3" s="69"/>
      <c r="C3" s="69"/>
      <c r="D3" s="69"/>
      <c r="E3" s="69"/>
      <c r="F3" s="77"/>
      <c r="G3" s="77"/>
      <c r="H3" s="77"/>
      <c r="I3" s="77"/>
    </row>
    <row r="4" spans="1:10" ht="24.75" customHeight="1" thickBot="1" x14ac:dyDescent="0.25">
      <c r="A4" s="317"/>
      <c r="B4" s="317"/>
      <c r="C4" s="317"/>
      <c r="D4" s="317"/>
      <c r="E4" s="317"/>
      <c r="F4" s="317"/>
      <c r="G4" s="317"/>
      <c r="H4" s="317"/>
      <c r="I4" s="78"/>
    </row>
    <row r="5" spans="1:10" ht="19.5" customHeight="1" thickBot="1" x14ac:dyDescent="0.25">
      <c r="A5" s="318" t="s">
        <v>81</v>
      </c>
      <c r="B5" s="319"/>
      <c r="C5" s="319"/>
      <c r="D5" s="319"/>
      <c r="E5" s="319"/>
      <c r="F5" s="319"/>
      <c r="G5" s="319"/>
      <c r="H5" s="320"/>
      <c r="I5" s="79"/>
    </row>
    <row r="6" spans="1:10" ht="19.5" thickBot="1" x14ac:dyDescent="0.25">
      <c r="A6" s="79"/>
      <c r="B6" s="79"/>
      <c r="C6" s="79"/>
      <c r="D6" s="79"/>
      <c r="E6" s="79"/>
      <c r="F6" s="321" t="s">
        <v>82</v>
      </c>
      <c r="G6" s="321"/>
      <c r="H6" s="80">
        <f ca="1">TODAY()</f>
        <v>45743</v>
      </c>
      <c r="I6" s="80"/>
    </row>
    <row r="7" spans="1:10" ht="26.25" thickBot="1" x14ac:dyDescent="0.25">
      <c r="A7" s="81" t="s">
        <v>83</v>
      </c>
      <c r="B7" s="82" t="s">
        <v>84</v>
      </c>
      <c r="C7" s="82" t="s">
        <v>83</v>
      </c>
      <c r="D7" s="83" t="s">
        <v>85</v>
      </c>
      <c r="E7" s="83" t="s">
        <v>86</v>
      </c>
      <c r="F7" s="83" t="s">
        <v>87</v>
      </c>
      <c r="G7" s="83" t="s">
        <v>88</v>
      </c>
      <c r="H7" s="84" t="s">
        <v>89</v>
      </c>
      <c r="I7" s="85"/>
    </row>
    <row r="8" spans="1:10" ht="13.5" x14ac:dyDescent="0.25">
      <c r="A8" s="86">
        <v>2370</v>
      </c>
      <c r="B8" s="74" t="s">
        <v>61</v>
      </c>
      <c r="C8" s="87">
        <f>+A8</f>
        <v>2370</v>
      </c>
      <c r="D8" s="88" t="s">
        <v>127</v>
      </c>
      <c r="E8" s="88">
        <v>1.38</v>
      </c>
      <c r="F8" s="88">
        <f>IFERROR(C8*E8,"")</f>
        <v>3270.6</v>
      </c>
      <c r="G8" s="89">
        <f>IFERROR(F8/$F$68,"")</f>
        <v>0.60519305620411645</v>
      </c>
      <c r="H8" s="90" t="s">
        <v>60</v>
      </c>
      <c r="I8" s="90"/>
      <c r="J8" s="91"/>
    </row>
    <row r="9" spans="1:10" ht="13.5" x14ac:dyDescent="0.25">
      <c r="A9" s="86">
        <v>290</v>
      </c>
      <c r="B9" s="74" t="s">
        <v>36</v>
      </c>
      <c r="C9" s="87">
        <f t="shared" ref="C9:C23" si="0">+A9</f>
        <v>290</v>
      </c>
      <c r="D9" s="88" t="s">
        <v>127</v>
      </c>
      <c r="E9" s="88">
        <f>IFERROR(VLOOKUP(H9,'[1]ARTICULOS MP PLANTA'!$A$2:$G$2000,7,0),"")</f>
        <v>1.9750000000000001</v>
      </c>
      <c r="F9" s="88">
        <f t="shared" ref="F9:F23" si="1">IFERROR(C9*E9,"")</f>
        <v>572.75</v>
      </c>
      <c r="G9" s="89">
        <f t="shared" ref="G9:G23" si="2">IFERROR(F9/$F$68,"")</f>
        <v>0.1059818757845373</v>
      </c>
      <c r="H9" s="90" t="s">
        <v>128</v>
      </c>
      <c r="I9" s="90"/>
      <c r="J9" s="91"/>
    </row>
    <row r="10" spans="1:10" ht="13.5" x14ac:dyDescent="0.25">
      <c r="A10" s="86">
        <v>220</v>
      </c>
      <c r="B10" s="74" t="s">
        <v>39</v>
      </c>
      <c r="C10" s="87">
        <f t="shared" si="0"/>
        <v>220</v>
      </c>
      <c r="D10" s="88" t="s">
        <v>127</v>
      </c>
      <c r="E10" s="88">
        <f>IFERROR(VLOOKUP(H10,'[1]ARTICULOS MP PLANTA'!$A$2:$G$2000,7,0),"")</f>
        <v>2.2434000000000003</v>
      </c>
      <c r="F10" s="88">
        <f t="shared" si="1"/>
        <v>493.54800000000006</v>
      </c>
      <c r="G10" s="89">
        <f t="shared" si="2"/>
        <v>9.1326307865049014E-2</v>
      </c>
      <c r="H10" s="90" t="s">
        <v>129</v>
      </c>
      <c r="I10" s="90"/>
      <c r="J10" s="91"/>
    </row>
    <row r="11" spans="1:10" ht="13.5" x14ac:dyDescent="0.25">
      <c r="A11" s="86">
        <v>8</v>
      </c>
      <c r="B11" s="74" t="s">
        <v>41</v>
      </c>
      <c r="C11" s="87">
        <f t="shared" si="0"/>
        <v>8</v>
      </c>
      <c r="D11" s="88" t="s">
        <v>127</v>
      </c>
      <c r="E11" s="88">
        <v>4.46</v>
      </c>
      <c r="F11" s="88">
        <f t="shared" si="1"/>
        <v>35.68</v>
      </c>
      <c r="G11" s="89">
        <f t="shared" si="2"/>
        <v>6.6022406425007259E-3</v>
      </c>
      <c r="H11" s="90" t="s">
        <v>40</v>
      </c>
      <c r="I11" s="90"/>
      <c r="J11" s="91"/>
    </row>
    <row r="12" spans="1:10" ht="13.5" x14ac:dyDescent="0.25">
      <c r="A12" s="86">
        <v>1</v>
      </c>
      <c r="B12" s="74" t="s">
        <v>42</v>
      </c>
      <c r="C12" s="87">
        <f t="shared" si="0"/>
        <v>1</v>
      </c>
      <c r="D12" s="88" t="s">
        <v>127</v>
      </c>
      <c r="E12" s="88">
        <f>IFERROR(VLOOKUP(H12,'[1]ARTICULOS MP PLANTA'!$A$2:$G$2000,7,0),"")</f>
        <v>11.314102564102564</v>
      </c>
      <c r="F12" s="88">
        <f t="shared" si="1"/>
        <v>11.314102564102564</v>
      </c>
      <c r="G12" s="89">
        <f t="shared" si="2"/>
        <v>2.0935658010689355E-3</v>
      </c>
      <c r="H12" s="90" t="s">
        <v>130</v>
      </c>
      <c r="I12" s="90"/>
      <c r="J12" s="91"/>
    </row>
    <row r="13" spans="1:10" ht="13.5" x14ac:dyDescent="0.25">
      <c r="A13" s="86">
        <v>1</v>
      </c>
      <c r="B13" s="74" t="str">
        <f>IFERROR(VLOOKUP(H13,'[1]ARTICULOS MP PLANTA'!$A$2:$G$2000,2,0),"")</f>
        <v>PIMIENTA NEGRA MOLIDA (PAQ: 5 K)</v>
      </c>
      <c r="C13" s="87">
        <f t="shared" si="0"/>
        <v>1</v>
      </c>
      <c r="D13" s="88" t="str">
        <f>IFERROR(VLOOKUP(H13,'[1]ARTICULOS MP PLANTA'!$A$2:$G$2000,6,0),"")</f>
        <v>Gramo</v>
      </c>
      <c r="E13" s="88">
        <f>IFERROR(VLOOKUP(H13,'[1]ARTICULOS MP PLANTA'!$A$2:$G$2000,7,0),"")</f>
        <v>5.9224699999999997</v>
      </c>
      <c r="F13" s="88">
        <f t="shared" si="1"/>
        <v>5.9224699999999997</v>
      </c>
      <c r="G13" s="89">
        <f t="shared" si="2"/>
        <v>1.0958960801006523E-3</v>
      </c>
      <c r="H13" s="90" t="s">
        <v>44</v>
      </c>
      <c r="I13" s="90"/>
      <c r="J13" s="91"/>
    </row>
    <row r="14" spans="1:10" ht="13.5" hidden="1" x14ac:dyDescent="0.25">
      <c r="A14" s="86">
        <v>0</v>
      </c>
      <c r="B14" s="74" t="str">
        <f>IFERROR(VLOOKUP(H14,'[1]ARTICULOS MP PLANTA'!$A$2:$G$2000,2,0),"")</f>
        <v>SALSA CHILE AJI (PAQ:1 KILO)</v>
      </c>
      <c r="C14" s="87">
        <f t="shared" si="0"/>
        <v>0</v>
      </c>
      <c r="D14" s="88" t="str">
        <f>IFERROR(VLOOKUP(H14,'[1]ARTICULOS MP PLANTA'!$A$2:$G$2000,6,0),"")</f>
        <v>Gramo</v>
      </c>
      <c r="E14" s="88">
        <f>IFERROR(VLOOKUP(H14,'[1]ARTICULOS MP PLANTA'!$A$2:$G$2000,7,0),"")</f>
        <v>5.8982299999999999</v>
      </c>
      <c r="F14" s="88">
        <f t="shared" si="1"/>
        <v>0</v>
      </c>
      <c r="G14" s="89">
        <f t="shared" si="2"/>
        <v>0</v>
      </c>
      <c r="H14" s="90" t="s">
        <v>47</v>
      </c>
      <c r="I14" s="90"/>
      <c r="J14" s="91"/>
    </row>
    <row r="15" spans="1:10" ht="13.5" x14ac:dyDescent="0.25">
      <c r="A15" s="86">
        <v>30</v>
      </c>
      <c r="B15" s="74" t="str">
        <f>IFERROR(VLOOKUP(H15,'[1]ARTICULOS MP PLANTA'!$A$2:$G$2000,2,0),"")</f>
        <v>CHILE CHIPOTLE COSTEÑA (UND:2.9 K)</v>
      </c>
      <c r="C15" s="87">
        <f t="shared" si="0"/>
        <v>30</v>
      </c>
      <c r="D15" s="88" t="str">
        <f>IFERROR(VLOOKUP(H15,'[1]ARTICULOS MP PLANTA'!$A$2:$G$2000,6,0),"")</f>
        <v>Gramo</v>
      </c>
      <c r="E15" s="88">
        <f>IFERROR(VLOOKUP(H15,'[1]ARTICULOS MP PLANTA'!$A$2:$G$2000,7,0),"")</f>
        <v>3.7689655172413792</v>
      </c>
      <c r="F15" s="88">
        <f t="shared" si="1"/>
        <v>113.06896551724138</v>
      </c>
      <c r="G15" s="89">
        <f t="shared" si="2"/>
        <v>2.0922323978235544E-2</v>
      </c>
      <c r="H15" s="90" t="s">
        <v>63</v>
      </c>
      <c r="I15" s="90"/>
      <c r="J15" s="91"/>
    </row>
    <row r="16" spans="1:10" ht="13.5" x14ac:dyDescent="0.25">
      <c r="A16" s="86">
        <v>1</v>
      </c>
      <c r="B16" s="74" t="str">
        <f>IFERROR(VLOOKUP(H16,'[1]ARTICULOS MP PLANTA'!$A$2:$G$2000,2,0),"")</f>
        <v>PRESERVANTE 1017S (PAQ=5 KILO)</v>
      </c>
      <c r="C16" s="87">
        <f t="shared" si="0"/>
        <v>1</v>
      </c>
      <c r="D16" s="88" t="str">
        <f>IFERROR(VLOOKUP(H16,'[1]ARTICULOS MP PLANTA'!$A$2:$G$2000,6,0),"")</f>
        <v>Gramo</v>
      </c>
      <c r="E16" s="88">
        <f>IFERROR(VLOOKUP(H16,'[1]ARTICULOS MP PLANTA'!$A$2:$G$2000,7,0),"")</f>
        <v>6.3214799999999993</v>
      </c>
      <c r="F16" s="88">
        <f t="shared" si="1"/>
        <v>6.3214799999999993</v>
      </c>
      <c r="G16" s="89">
        <f t="shared" si="2"/>
        <v>1.1697290408283487E-3</v>
      </c>
      <c r="H16" s="90" t="s">
        <v>50</v>
      </c>
      <c r="I16" s="90"/>
      <c r="J16" s="91"/>
    </row>
    <row r="17" spans="1:10" ht="13.5" x14ac:dyDescent="0.25">
      <c r="A17" s="86">
        <v>15</v>
      </c>
      <c r="B17" s="74" t="s">
        <v>54</v>
      </c>
      <c r="C17" s="87">
        <f t="shared" si="0"/>
        <v>15</v>
      </c>
      <c r="D17" s="88" t="str">
        <f>IFERROR(VLOOKUP(H17,'[1]ARTICULOS MP PLANTA'!$A$2:$G$2000,6,0),"")</f>
        <v>Gramo</v>
      </c>
      <c r="E17" s="88">
        <f>IFERROR(VLOOKUP(H17,'[1]ARTICULOS MP PLANTA'!$A$2:$G$2000,7,0),"")</f>
        <v>0.64800000000000002</v>
      </c>
      <c r="F17" s="88">
        <f t="shared" si="1"/>
        <v>9.7200000000000006</v>
      </c>
      <c r="G17" s="89">
        <f t="shared" si="2"/>
        <v>1.7985924620265432E-3</v>
      </c>
      <c r="H17" s="90" t="s">
        <v>131</v>
      </c>
      <c r="I17" s="90"/>
      <c r="J17" s="91"/>
    </row>
    <row r="18" spans="1:10" ht="13.5" x14ac:dyDescent="0.25">
      <c r="A18" s="86">
        <v>90</v>
      </c>
      <c r="B18" s="74" t="s">
        <v>56</v>
      </c>
      <c r="C18" s="87">
        <f t="shared" si="0"/>
        <v>90</v>
      </c>
      <c r="D18" s="88" t="str">
        <f>IFERROR(VLOOKUP(H18,'[1]ARTICULOS MP PLANTA'!$A$2:$G$2000,6,0),"")</f>
        <v>Gramo</v>
      </c>
      <c r="E18" s="88">
        <f>IFERROR(VLOOKUP(H18,'[1]ARTICULOS MP PLANTA'!$A$2:$G$2000,7,0),"")</f>
        <v>2.6680000000000001</v>
      </c>
      <c r="F18" s="88">
        <f t="shared" si="1"/>
        <v>240.12</v>
      </c>
      <c r="G18" s="89">
        <f t="shared" si="2"/>
        <v>4.4431895265618679E-2</v>
      </c>
      <c r="H18" s="90" t="s">
        <v>132</v>
      </c>
      <c r="I18" s="90"/>
      <c r="J18" s="91"/>
    </row>
    <row r="19" spans="1:10" ht="13.5" hidden="1" x14ac:dyDescent="0.25">
      <c r="A19" s="86"/>
      <c r="B19" s="74" t="str">
        <f>IFERROR(VLOOKUP(H19,'[1]ARTICULOS MP PLANTA'!$A$2:$G$2000,2,0),"")</f>
        <v/>
      </c>
      <c r="C19" s="87">
        <f t="shared" si="0"/>
        <v>0</v>
      </c>
      <c r="D19" s="88" t="str">
        <f>IFERROR(VLOOKUP(H19,'[1]ARTICULOS MP PLANTA'!$A$2:$G$2000,6,0),"")</f>
        <v/>
      </c>
      <c r="E19" s="88" t="str">
        <f>IFERROR(VLOOKUP(H19,'[1]ARTICULOS MP PLANTA'!$A$2:$G$2000,7,0),"")</f>
        <v/>
      </c>
      <c r="F19" s="88" t="str">
        <f t="shared" si="1"/>
        <v/>
      </c>
      <c r="G19" s="89" t="str">
        <f t="shared" si="2"/>
        <v/>
      </c>
      <c r="H19" s="90"/>
      <c r="I19" s="90"/>
      <c r="J19" s="91"/>
    </row>
    <row r="20" spans="1:10" ht="13.5" hidden="1" x14ac:dyDescent="0.25">
      <c r="A20" s="86"/>
      <c r="B20" s="74" t="str">
        <f>IFERROR(VLOOKUP(H20,'[1]ARTICULOS MP PLANTA'!$A$2:$G$2000,2,0),"")</f>
        <v/>
      </c>
      <c r="C20" s="87">
        <f t="shared" si="0"/>
        <v>0</v>
      </c>
      <c r="D20" s="88" t="str">
        <f>IFERROR(VLOOKUP(H20,'[1]ARTICULOS MP PLANTA'!$A$2:$G$2000,6,0),"")</f>
        <v/>
      </c>
      <c r="E20" s="88" t="str">
        <f>IFERROR(VLOOKUP(H20,'[1]ARTICULOS MP PLANTA'!$A$2:$G$2000,7,0),"")</f>
        <v/>
      </c>
      <c r="F20" s="88" t="str">
        <f t="shared" si="1"/>
        <v/>
      </c>
      <c r="G20" s="89" t="str">
        <f t="shared" si="2"/>
        <v/>
      </c>
      <c r="H20" s="90"/>
      <c r="I20" s="90"/>
      <c r="J20" s="91"/>
    </row>
    <row r="21" spans="1:10" ht="13.5" hidden="1" x14ac:dyDescent="0.25">
      <c r="A21" s="86"/>
      <c r="B21" s="74" t="str">
        <f>IFERROR(VLOOKUP(H21,'[1]ARTICULOS MP PLANTA'!$A$2:$G$2000,2,0),"")</f>
        <v/>
      </c>
      <c r="C21" s="87">
        <f t="shared" si="0"/>
        <v>0</v>
      </c>
      <c r="D21" s="88" t="str">
        <f>IFERROR(VLOOKUP(H21,'[1]ARTICULOS MP PLANTA'!$A$2:$G$2000,6,0),"")</f>
        <v/>
      </c>
      <c r="E21" s="88" t="str">
        <f>IFERROR(VLOOKUP(H21,'[1]ARTICULOS MP PLANTA'!$A$2:$G$2000,7,0),"")</f>
        <v/>
      </c>
      <c r="F21" s="88" t="str">
        <f t="shared" si="1"/>
        <v/>
      </c>
      <c r="G21" s="89" t="str">
        <f t="shared" si="2"/>
        <v/>
      </c>
      <c r="H21" s="90"/>
      <c r="I21" s="90"/>
      <c r="J21" s="91"/>
    </row>
    <row r="22" spans="1:10" ht="13.5" hidden="1" x14ac:dyDescent="0.25">
      <c r="A22" s="86"/>
      <c r="B22" s="74" t="str">
        <f>IFERROR(VLOOKUP(H22,'[1]ARTICULOS MP PLANTA'!$A$2:$G$2000,2,0),"")</f>
        <v/>
      </c>
      <c r="C22" s="87">
        <f t="shared" si="0"/>
        <v>0</v>
      </c>
      <c r="D22" s="88" t="str">
        <f>IFERROR(VLOOKUP(H22,'[1]ARTICULOS MP PLANTA'!$A$2:$G$2000,6,0),"")</f>
        <v/>
      </c>
      <c r="E22" s="88" t="str">
        <f>IFERROR(VLOOKUP(H22,'[1]ARTICULOS MP PLANTA'!$A$2:$G$2000,7,0),"")</f>
        <v/>
      </c>
      <c r="F22" s="88" t="str">
        <f t="shared" si="1"/>
        <v/>
      </c>
      <c r="G22" s="89" t="str">
        <f t="shared" si="2"/>
        <v/>
      </c>
      <c r="H22" s="90"/>
      <c r="I22" s="90"/>
      <c r="J22" s="91"/>
    </row>
    <row r="23" spans="1:10" ht="13.5" hidden="1" x14ac:dyDescent="0.25">
      <c r="A23" s="86"/>
      <c r="B23" s="74" t="str">
        <f>IFERROR(VLOOKUP(H23,'[1]ARTICULOS MP PLANTA'!$A$2:$G$2000,2,0),"")</f>
        <v/>
      </c>
      <c r="C23" s="87">
        <f t="shared" si="0"/>
        <v>0</v>
      </c>
      <c r="D23" s="88" t="str">
        <f>IFERROR(VLOOKUP(H23,'[1]ARTICULOS MP PLANTA'!$A$2:$G$2000,6,0),"")</f>
        <v/>
      </c>
      <c r="E23" s="88" t="str">
        <f>IFERROR(VLOOKUP(H23,'[1]ARTICULOS MP PLANTA'!$A$2:$G$2000,7,0),"")</f>
        <v/>
      </c>
      <c r="F23" s="88" t="str">
        <f t="shared" si="1"/>
        <v/>
      </c>
      <c r="G23" s="89" t="str">
        <f t="shared" si="2"/>
        <v/>
      </c>
      <c r="H23" s="90"/>
      <c r="I23" s="90"/>
      <c r="J23" s="91"/>
    </row>
    <row r="24" spans="1:10" ht="14.25" thickBot="1" x14ac:dyDescent="0.3">
      <c r="A24" s="86"/>
      <c r="B24" s="74" t="str">
        <f>IFERROR(VLOOKUP(H24,'[1]ARTICULOS MP PLANTA'!$A$2:$G$589,2,0),"")</f>
        <v/>
      </c>
      <c r="C24" s="87"/>
      <c r="D24" s="88"/>
      <c r="E24" s="88"/>
      <c r="F24" s="88"/>
      <c r="G24" s="89"/>
      <c r="H24" s="90"/>
      <c r="I24" s="90"/>
      <c r="J24" s="91"/>
    </row>
    <row r="25" spans="1:10" ht="26.25" hidden="1" thickBot="1" x14ac:dyDescent="0.25">
      <c r="A25" s="81" t="s">
        <v>83</v>
      </c>
      <c r="B25" s="82" t="s">
        <v>90</v>
      </c>
      <c r="C25" s="82" t="s">
        <v>83</v>
      </c>
      <c r="D25" s="83" t="s">
        <v>85</v>
      </c>
      <c r="E25" s="83" t="s">
        <v>86</v>
      </c>
      <c r="F25" s="83" t="s">
        <v>87</v>
      </c>
      <c r="G25" s="83" t="s">
        <v>88</v>
      </c>
      <c r="H25" s="84" t="s">
        <v>89</v>
      </c>
      <c r="I25" s="85"/>
      <c r="J25" s="91"/>
    </row>
    <row r="26" spans="1:10" ht="13.5" hidden="1" x14ac:dyDescent="0.25">
      <c r="A26" s="86"/>
      <c r="B26" s="74" t="str">
        <f>IFERROR(VLOOKUP($H26,[2]SEMIELABORADOS!$A$1:$J$998,2,0),"")</f>
        <v/>
      </c>
      <c r="C26" s="87">
        <f>+A26</f>
        <v>0</v>
      </c>
      <c r="D26" s="87" t="str">
        <f>IFERROR(VLOOKUP($H26,[2]SEMIELABORADOS!$A$1:$J$998,4,0),"")</f>
        <v/>
      </c>
      <c r="E26" s="88" t="str">
        <f>IFERROR(VLOOKUP($H26,[2]SEMIELABORADOS!$A$1:$J$998,6,0),"")</f>
        <v/>
      </c>
      <c r="F26" s="88" t="str">
        <f>IFERROR(E26*C26,"")</f>
        <v/>
      </c>
      <c r="G26" s="89" t="str">
        <f>IFERROR(F26/$F$68,"")</f>
        <v/>
      </c>
      <c r="H26" s="90"/>
      <c r="I26" s="90"/>
      <c r="J26" s="91"/>
    </row>
    <row r="27" spans="1:10" ht="13.5" hidden="1" x14ac:dyDescent="0.25">
      <c r="A27" s="86"/>
      <c r="B27" s="74" t="str">
        <f>IFERROR(VLOOKUP($H27,[2]SEMIELABORADOS!$A$1:$J$998,2,0),"")</f>
        <v/>
      </c>
      <c r="C27" s="87">
        <f>+A27</f>
        <v>0</v>
      </c>
      <c r="D27" s="87" t="str">
        <f>IFERROR(VLOOKUP($H27,[2]SEMIELABORADOS!$A$1:$J$998,4,0),"")</f>
        <v/>
      </c>
      <c r="E27" s="88" t="str">
        <f>IFERROR(VLOOKUP($H27,[2]SEMIELABORADOS!$A$1:$J$998,6,0),"")</f>
        <v/>
      </c>
      <c r="F27" s="88" t="str">
        <f>IFERROR(E27*C27,"")</f>
        <v/>
      </c>
      <c r="G27" s="89" t="str">
        <f>IFERROR(F27/$F$68,"")</f>
        <v/>
      </c>
      <c r="H27" s="90"/>
      <c r="I27" s="90"/>
      <c r="J27" s="91"/>
    </row>
    <row r="28" spans="1:10" ht="13.5" hidden="1" x14ac:dyDescent="0.25">
      <c r="A28" s="86"/>
      <c r="B28" s="74" t="str">
        <f>IFERROR(VLOOKUP($H28,[2]SEMIELABORADOS!$A$1:$J$998,2,0),"")</f>
        <v/>
      </c>
      <c r="C28" s="87">
        <f>+A28</f>
        <v>0</v>
      </c>
      <c r="D28" s="87" t="str">
        <f>IFERROR(VLOOKUP($H28,[2]SEMIELABORADOS!$A$1:$J$998,4,0),"")</f>
        <v/>
      </c>
      <c r="E28" s="88" t="str">
        <f>IFERROR(VLOOKUP($H28,[2]SEMIELABORADOS!$A$1:$J$998,6,0),"")</f>
        <v/>
      </c>
      <c r="F28" s="88" t="str">
        <f>IFERROR(E28*C28,"")</f>
        <v/>
      </c>
      <c r="G28" s="89" t="str">
        <f>IFERROR(F28/$F$68,"")</f>
        <v/>
      </c>
      <c r="H28" s="90"/>
      <c r="I28" s="90"/>
      <c r="J28" s="91"/>
    </row>
    <row r="29" spans="1:10" ht="13.5" hidden="1" x14ac:dyDescent="0.25">
      <c r="A29" s="86"/>
      <c r="B29" s="74" t="str">
        <f>IFERROR(VLOOKUP($H29,[2]SEMIELABORADOS!$A$1:$J$998,2,0),"")</f>
        <v/>
      </c>
      <c r="C29" s="87">
        <f>+A29</f>
        <v>0</v>
      </c>
      <c r="D29" s="87" t="str">
        <f>IFERROR(VLOOKUP($H29,[2]SEMIELABORADOS!$A$1:$J$998,4,0),"")</f>
        <v/>
      </c>
      <c r="E29" s="88" t="str">
        <f>IFERROR(VLOOKUP($H29,[2]SEMIELABORADOS!$A$1:$J$998,6,0),"")</f>
        <v/>
      </c>
      <c r="F29" s="88" t="str">
        <f>IFERROR(E29*C29,"")</f>
        <v/>
      </c>
      <c r="G29" s="89" t="str">
        <f>IFERROR(F29/$F$68,"")</f>
        <v/>
      </c>
      <c r="H29" s="90"/>
      <c r="I29" s="90"/>
      <c r="J29" s="91"/>
    </row>
    <row r="30" spans="1:10" ht="13.5" hidden="1" x14ac:dyDescent="0.25">
      <c r="A30" s="86"/>
      <c r="B30" s="74" t="str">
        <f>IFERROR(VLOOKUP($H30,[2]SEMIELABORADOS!$A$1:$J$998,2,0),"")</f>
        <v/>
      </c>
      <c r="C30" s="87">
        <f>+A30</f>
        <v>0</v>
      </c>
      <c r="D30" s="87" t="str">
        <f>IFERROR(VLOOKUP($H30,[2]SEMIELABORADOS!$A$1:$J$998,4,0),"")</f>
        <v/>
      </c>
      <c r="E30" s="88" t="str">
        <f>IFERROR(VLOOKUP($H30,[2]SEMIELABORADOS!$A$1:$J$998,6,0),"")</f>
        <v/>
      </c>
      <c r="F30" s="88" t="str">
        <f>IFERROR(E30*C30,"")</f>
        <v/>
      </c>
      <c r="G30" s="89" t="str">
        <f>IFERROR(F30/$F$68,"")</f>
        <v/>
      </c>
      <c r="H30" s="90"/>
      <c r="I30" s="90"/>
      <c r="J30" s="91"/>
    </row>
    <row r="31" spans="1:10" ht="14.25" hidden="1" thickBot="1" x14ac:dyDescent="0.3">
      <c r="A31" s="86"/>
      <c r="C31" s="87"/>
      <c r="D31" s="87"/>
      <c r="E31" s="88"/>
      <c r="F31" s="88"/>
      <c r="G31" s="89"/>
      <c r="H31" s="90"/>
      <c r="I31" s="90"/>
      <c r="J31" s="91"/>
    </row>
    <row r="32" spans="1:10" ht="26.25" hidden="1" thickBot="1" x14ac:dyDescent="0.25">
      <c r="A32" s="81" t="s">
        <v>83</v>
      </c>
      <c r="B32" s="82" t="s">
        <v>91</v>
      </c>
      <c r="C32" s="82" t="s">
        <v>83</v>
      </c>
      <c r="D32" s="83" t="s">
        <v>85</v>
      </c>
      <c r="E32" s="83" t="s">
        <v>86</v>
      </c>
      <c r="F32" s="83" t="s">
        <v>87</v>
      </c>
      <c r="G32" s="83" t="s">
        <v>88</v>
      </c>
      <c r="H32" s="84" t="s">
        <v>89</v>
      </c>
      <c r="I32" s="85"/>
    </row>
    <row r="33" spans="1:12" ht="13.5" hidden="1" x14ac:dyDescent="0.25">
      <c r="A33" s="86"/>
      <c r="B33" s="92" t="str">
        <f>IFERROR(VLOOKUP(H33,'[1]EMPAQUE PLANTA'!$A$2:$H$1000,2,0),"")</f>
        <v/>
      </c>
      <c r="C33" s="87">
        <f t="shared" ref="C33:C38" si="3">+A33</f>
        <v>0</v>
      </c>
      <c r="D33" s="88" t="str">
        <f>IFERROR(VLOOKUP(H33,'[1]EMPAQUE PLANTA'!$A$2:$H$1000,7,0),"")</f>
        <v/>
      </c>
      <c r="E33" s="88" t="str">
        <f>IFERROR(VLOOKUP(H33,'[1]EMPAQUE PLANTA'!$A$2:$H$1000,8,0),"")</f>
        <v/>
      </c>
      <c r="F33" s="88" t="str">
        <f t="shared" ref="F33:F38" si="4">IFERROR(E33*C33,"")</f>
        <v/>
      </c>
      <c r="G33" s="89" t="str">
        <f t="shared" ref="G33:G38" si="5">IFERROR(F33/$F$68,"")</f>
        <v/>
      </c>
      <c r="H33" s="93"/>
      <c r="I33" s="93"/>
      <c r="J33" s="91"/>
      <c r="K33" s="316"/>
      <c r="L33" s="316"/>
    </row>
    <row r="34" spans="1:12" ht="13.5" hidden="1" x14ac:dyDescent="0.25">
      <c r="A34" s="86"/>
      <c r="B34" s="92" t="str">
        <f>IFERROR(VLOOKUP(H34,'[1]EMPAQUE PLANTA'!$A$2:$H$1000,2,0),"")</f>
        <v/>
      </c>
      <c r="C34" s="87">
        <f t="shared" si="3"/>
        <v>0</v>
      </c>
      <c r="D34" s="88" t="str">
        <f>IFERROR(VLOOKUP(H34,'[1]EMPAQUE PLANTA'!$A$2:$H$1000,7,0),"")</f>
        <v/>
      </c>
      <c r="E34" s="88" t="str">
        <f>IFERROR(VLOOKUP(H34,'[1]EMPAQUE PLANTA'!$A$2:$H$1000,8,0),"")</f>
        <v/>
      </c>
      <c r="F34" s="88" t="str">
        <f t="shared" si="4"/>
        <v/>
      </c>
      <c r="G34" s="89" t="str">
        <f t="shared" si="5"/>
        <v/>
      </c>
      <c r="H34" s="93"/>
      <c r="I34" s="93"/>
      <c r="J34" s="91"/>
      <c r="K34" s="316"/>
      <c r="L34" s="316"/>
    </row>
    <row r="35" spans="1:12" ht="13.5" hidden="1" x14ac:dyDescent="0.25">
      <c r="A35" s="86"/>
      <c r="B35" s="92" t="str">
        <f>IFERROR(VLOOKUP(H35,'[1]EMPAQUE PLANTA'!$A$2:$H$1000,2,0),"")</f>
        <v/>
      </c>
      <c r="C35" s="87">
        <f t="shared" si="3"/>
        <v>0</v>
      </c>
      <c r="D35" s="88" t="str">
        <f>IFERROR(VLOOKUP(H35,'[1]EMPAQUE PLANTA'!$A$2:$H$1000,7,0),"")</f>
        <v/>
      </c>
      <c r="E35" s="88" t="str">
        <f>IFERROR(VLOOKUP(H35,'[1]EMPAQUE PLANTA'!$A$2:$H$1000,8,0),"")</f>
        <v/>
      </c>
      <c r="F35" s="88" t="str">
        <f t="shared" si="4"/>
        <v/>
      </c>
      <c r="G35" s="89" t="str">
        <f t="shared" si="5"/>
        <v/>
      </c>
      <c r="H35" s="93"/>
      <c r="I35" s="93"/>
      <c r="J35" s="91"/>
      <c r="K35" s="316"/>
      <c r="L35" s="316"/>
    </row>
    <row r="36" spans="1:12" ht="13.5" hidden="1" x14ac:dyDescent="0.25">
      <c r="A36" s="86"/>
      <c r="B36" s="92" t="str">
        <f>IFERROR(VLOOKUP(H36,'[1]EMPAQUE PLANTA'!$A$2:$H$1000,2,0),"")</f>
        <v/>
      </c>
      <c r="C36" s="87">
        <f t="shared" si="3"/>
        <v>0</v>
      </c>
      <c r="D36" s="88" t="str">
        <f>IFERROR(VLOOKUP(H36,'[1]EMPAQUE PLANTA'!$A$2:$H$1000,7,0),"")</f>
        <v/>
      </c>
      <c r="E36" s="88" t="str">
        <f>IFERROR(VLOOKUP(H36,'[1]EMPAQUE PLANTA'!$A$2:$H$1000,8,0),"")</f>
        <v/>
      </c>
      <c r="F36" s="88" t="str">
        <f t="shared" si="4"/>
        <v/>
      </c>
      <c r="G36" s="89" t="str">
        <f t="shared" si="5"/>
        <v/>
      </c>
      <c r="H36" s="93"/>
      <c r="I36" s="93"/>
      <c r="J36" s="91"/>
      <c r="K36" s="316"/>
      <c r="L36" s="316"/>
    </row>
    <row r="37" spans="1:12" ht="13.5" hidden="1" x14ac:dyDescent="0.25">
      <c r="A37" s="86"/>
      <c r="B37" s="92" t="str">
        <f>IFERROR(VLOOKUP(H37,'[1]EMPAQUE PLANTA'!$A$2:$H$1000,2,0),"")</f>
        <v/>
      </c>
      <c r="C37" s="87">
        <f t="shared" si="3"/>
        <v>0</v>
      </c>
      <c r="D37" s="88" t="str">
        <f>IFERROR(VLOOKUP(H37,'[1]EMPAQUE PLANTA'!$A$2:$H$1000,7,0),"")</f>
        <v/>
      </c>
      <c r="E37" s="88" t="str">
        <f>IFERROR(VLOOKUP(H37,'[1]EMPAQUE PLANTA'!$A$2:$H$1000,8,0),"")</f>
        <v/>
      </c>
      <c r="F37" s="88" t="str">
        <f t="shared" si="4"/>
        <v/>
      </c>
      <c r="G37" s="89" t="str">
        <f t="shared" si="5"/>
        <v/>
      </c>
      <c r="H37" s="93"/>
      <c r="I37" s="93"/>
      <c r="J37" s="91"/>
      <c r="K37" s="94"/>
      <c r="L37" s="95"/>
    </row>
    <row r="38" spans="1:12" ht="13.5" hidden="1" x14ac:dyDescent="0.25">
      <c r="A38" s="86"/>
      <c r="B38" s="92" t="str">
        <f>IFERROR(VLOOKUP(H38,'[1]EMPAQUE PLANTA'!$A$2:$H$1000,2,0),"")</f>
        <v/>
      </c>
      <c r="C38" s="87">
        <f t="shared" si="3"/>
        <v>0</v>
      </c>
      <c r="D38" s="88" t="str">
        <f>IFERROR(VLOOKUP(H38,'[1]EMPAQUE PLANTA'!$A$2:$H$1000,7,0),"")</f>
        <v/>
      </c>
      <c r="E38" s="88" t="str">
        <f>IFERROR(VLOOKUP(H38,'[1]EMPAQUE PLANTA'!$A$2:$H$1000,8,0),"")</f>
        <v/>
      </c>
      <c r="F38" s="88" t="str">
        <f t="shared" si="4"/>
        <v/>
      </c>
      <c r="G38" s="89" t="str">
        <f t="shared" si="5"/>
        <v/>
      </c>
      <c r="H38" s="93"/>
      <c r="I38" s="93"/>
      <c r="J38" s="91"/>
    </row>
    <row r="39" spans="1:12" ht="14.25" hidden="1" thickBot="1" x14ac:dyDescent="0.3">
      <c r="A39" s="86"/>
      <c r="B39" s="92" t="str">
        <f>IFERROR(VLOOKUP(H39,'[1]EMPAQUE PLANTA'!$A$2:$H$176,2,0),"")</f>
        <v/>
      </c>
      <c r="C39" s="87"/>
      <c r="D39" s="88"/>
      <c r="E39" s="88"/>
      <c r="F39" s="88"/>
      <c r="G39" s="89"/>
      <c r="H39" s="93"/>
      <c r="I39" s="93"/>
      <c r="J39" s="91"/>
    </row>
    <row r="40" spans="1:12" ht="26.25" hidden="1" thickBot="1" x14ac:dyDescent="0.25">
      <c r="A40" s="81" t="s">
        <v>83</v>
      </c>
      <c r="B40" s="82" t="s">
        <v>92</v>
      </c>
      <c r="C40" s="82" t="s">
        <v>83</v>
      </c>
      <c r="D40" s="83" t="s">
        <v>85</v>
      </c>
      <c r="E40" s="83" t="s">
        <v>86</v>
      </c>
      <c r="F40" s="83" t="s">
        <v>87</v>
      </c>
      <c r="G40" s="83" t="s">
        <v>88</v>
      </c>
      <c r="H40" s="84" t="s">
        <v>89</v>
      </c>
      <c r="I40" s="85"/>
      <c r="J40" s="91"/>
    </row>
    <row r="41" spans="1:12" ht="13.5" hidden="1" x14ac:dyDescent="0.25">
      <c r="A41" s="86">
        <f>+A26</f>
        <v>0</v>
      </c>
      <c r="B41" s="92"/>
      <c r="C41" s="87">
        <f>+A41</f>
        <v>0</v>
      </c>
      <c r="D41" s="88" t="s">
        <v>93</v>
      </c>
      <c r="E41" s="88" t="str">
        <f>IFERROR(VLOOKUP($H41,[2]SEMIELABORADOS!$A$1:$J$998,8,0),"")</f>
        <v/>
      </c>
      <c r="F41" s="88" t="str">
        <f>IFERROR(E41*C41,"")</f>
        <v/>
      </c>
      <c r="G41" s="89" t="str">
        <f>IFERROR(F41/$F$67,"")</f>
        <v/>
      </c>
      <c r="H41" s="93"/>
      <c r="I41" s="93"/>
      <c r="J41" s="91"/>
    </row>
    <row r="42" spans="1:12" ht="13.5" hidden="1" x14ac:dyDescent="0.25">
      <c r="A42" s="86">
        <f>+A27</f>
        <v>0</v>
      </c>
      <c r="B42" s="92"/>
      <c r="C42" s="87">
        <f>+A42</f>
        <v>0</v>
      </c>
      <c r="D42" s="88" t="s">
        <v>93</v>
      </c>
      <c r="E42" s="88" t="str">
        <f>IFERROR(VLOOKUP($H42,[2]SEMIELABORADOS!$A$1:$J$998,8,0),"")</f>
        <v/>
      </c>
      <c r="F42" s="88" t="str">
        <f>IFERROR(E42*C42,"")</f>
        <v/>
      </c>
      <c r="G42" s="89" t="str">
        <f>IFERROR(F42/$F$67,"")</f>
        <v/>
      </c>
      <c r="H42" s="93"/>
      <c r="I42" s="93"/>
      <c r="J42" s="91"/>
    </row>
    <row r="43" spans="1:12" ht="13.5" hidden="1" x14ac:dyDescent="0.25">
      <c r="A43" s="86">
        <f>+A28</f>
        <v>0</v>
      </c>
      <c r="B43" s="92"/>
      <c r="C43" s="87">
        <f>+A43</f>
        <v>0</v>
      </c>
      <c r="D43" s="88" t="s">
        <v>93</v>
      </c>
      <c r="E43" s="88" t="str">
        <f>IFERROR(VLOOKUP($H43,[2]SEMIELABORADOS!$A$1:$J$998,8,0),"")</f>
        <v/>
      </c>
      <c r="F43" s="88" t="str">
        <f>IFERROR(E43*C43,"")</f>
        <v/>
      </c>
      <c r="G43" s="89" t="str">
        <f>IFERROR(F43/$F$67,"")</f>
        <v/>
      </c>
      <c r="H43" s="93"/>
      <c r="I43" s="93"/>
      <c r="J43" s="91"/>
    </row>
    <row r="44" spans="1:12" ht="13.5" hidden="1" x14ac:dyDescent="0.25">
      <c r="A44" s="86">
        <f>+A29</f>
        <v>0</v>
      </c>
      <c r="B44" s="92"/>
      <c r="C44" s="87">
        <f>+A44</f>
        <v>0</v>
      </c>
      <c r="D44" s="88" t="s">
        <v>93</v>
      </c>
      <c r="E44" s="88" t="str">
        <f>IFERROR(VLOOKUP($H44,[2]SEMIELABORADOS!$A$1:$J$998,8,0),"")</f>
        <v/>
      </c>
      <c r="F44" s="88" t="str">
        <f>IFERROR(E44*C44,"")</f>
        <v/>
      </c>
      <c r="G44" s="89" t="str">
        <f>IFERROR(F44/$F$67,"")</f>
        <v/>
      </c>
      <c r="H44" s="93"/>
      <c r="I44" s="93"/>
      <c r="J44" s="91"/>
    </row>
    <row r="45" spans="1:12" ht="13.5" hidden="1" x14ac:dyDescent="0.25">
      <c r="A45" s="86">
        <f>+A30</f>
        <v>0</v>
      </c>
      <c r="B45" s="92"/>
      <c r="C45" s="87">
        <f>+A45</f>
        <v>0</v>
      </c>
      <c r="D45" s="88" t="s">
        <v>93</v>
      </c>
      <c r="E45" s="88" t="str">
        <f>IFERROR(VLOOKUP($H45,[2]SEMIELABORADOS!$A$1:$J$998,8,0),"")</f>
        <v/>
      </c>
      <c r="F45" s="88" t="str">
        <f>IFERROR(E45*C45,"")</f>
        <v/>
      </c>
      <c r="G45" s="89" t="str">
        <f>IFERROR(F45/$F$67,"")</f>
        <v/>
      </c>
      <c r="H45" s="93"/>
      <c r="I45" s="93"/>
      <c r="J45" s="91"/>
    </row>
    <row r="46" spans="1:12" ht="14.25" hidden="1" thickBot="1" x14ac:dyDescent="0.3">
      <c r="A46" s="86"/>
      <c r="B46" s="92"/>
      <c r="C46" s="87"/>
      <c r="D46" s="88"/>
      <c r="E46" s="88"/>
      <c r="F46" s="88"/>
      <c r="G46" s="89"/>
      <c r="H46" s="93"/>
      <c r="I46" s="93"/>
      <c r="J46" s="91"/>
    </row>
    <row r="47" spans="1:12" ht="26.25" thickBot="1" x14ac:dyDescent="0.25">
      <c r="A47" s="81" t="s">
        <v>83</v>
      </c>
      <c r="B47" s="82" t="s">
        <v>94</v>
      </c>
      <c r="C47" s="82" t="s">
        <v>83</v>
      </c>
      <c r="D47" s="82"/>
      <c r="E47" s="83" t="s">
        <v>86</v>
      </c>
      <c r="F47" s="83" t="s">
        <v>87</v>
      </c>
      <c r="G47" s="83" t="s">
        <v>88</v>
      </c>
      <c r="H47" s="84" t="s">
        <v>89</v>
      </c>
      <c r="I47" s="85"/>
      <c r="J47" s="91"/>
    </row>
    <row r="48" spans="1:12" ht="13.5" hidden="1" x14ac:dyDescent="0.25">
      <c r="A48" s="86">
        <f>+A26</f>
        <v>0</v>
      </c>
      <c r="B48" s="96"/>
      <c r="C48" s="87">
        <f t="shared" ref="C48:C53" si="6">+A48</f>
        <v>0</v>
      </c>
      <c r="D48" s="87" t="s">
        <v>93</v>
      </c>
      <c r="E48" s="88" t="str">
        <f>IFERROR(VLOOKUP($H48,[2]SEMIELABORADOS!$A$1:$J$998,10,0),"")</f>
        <v/>
      </c>
      <c r="F48" s="88" t="str">
        <f t="shared" ref="F48:F53" si="7">IFERROR(C48*E48,"")</f>
        <v/>
      </c>
      <c r="G48" s="89" t="str">
        <f t="shared" ref="G48:G53" si="8">IFERROR(F48/$F$68,"")</f>
        <v/>
      </c>
      <c r="H48" s="97"/>
      <c r="I48" s="97"/>
      <c r="J48" s="91"/>
    </row>
    <row r="49" spans="1:17" ht="13.5" hidden="1" x14ac:dyDescent="0.25">
      <c r="A49" s="86">
        <f>+A27</f>
        <v>0</v>
      </c>
      <c r="B49" s="96"/>
      <c r="C49" s="87">
        <f t="shared" si="6"/>
        <v>0</v>
      </c>
      <c r="D49" s="87" t="s">
        <v>93</v>
      </c>
      <c r="E49" s="88" t="str">
        <f>IFERROR(VLOOKUP($H49,[2]SEMIELABORADOS!$A$1:$J$998,10,0),"")</f>
        <v/>
      </c>
      <c r="F49" s="88" t="str">
        <f t="shared" si="7"/>
        <v/>
      </c>
      <c r="G49" s="89" t="str">
        <f t="shared" si="8"/>
        <v/>
      </c>
      <c r="H49" s="97"/>
      <c r="I49" s="97"/>
      <c r="J49" s="91"/>
    </row>
    <row r="50" spans="1:17" ht="13.5" hidden="1" x14ac:dyDescent="0.25">
      <c r="A50" s="86">
        <f>+A28</f>
        <v>0</v>
      </c>
      <c r="B50" s="96"/>
      <c r="C50" s="87">
        <f t="shared" si="6"/>
        <v>0</v>
      </c>
      <c r="D50" s="87" t="s">
        <v>93</v>
      </c>
      <c r="E50" s="88" t="str">
        <f>IFERROR(VLOOKUP($H50,[2]SEMIELABORADOS!$A$1:$J$998,10,0),"")</f>
        <v/>
      </c>
      <c r="F50" s="88" t="str">
        <f t="shared" si="7"/>
        <v/>
      </c>
      <c r="G50" s="89" t="str">
        <f t="shared" si="8"/>
        <v/>
      </c>
      <c r="H50" s="97"/>
      <c r="I50" s="97"/>
      <c r="J50" s="91"/>
    </row>
    <row r="51" spans="1:17" ht="13.5" hidden="1" x14ac:dyDescent="0.25">
      <c r="A51" s="86">
        <f>+A29</f>
        <v>0</v>
      </c>
      <c r="B51" s="96"/>
      <c r="C51" s="87">
        <f t="shared" si="6"/>
        <v>0</v>
      </c>
      <c r="D51" s="87" t="s">
        <v>93</v>
      </c>
      <c r="E51" s="88" t="str">
        <f>IFERROR(VLOOKUP($H51,[2]SEMIELABORADOS!$A$1:$J$998,10,0),"")</f>
        <v/>
      </c>
      <c r="F51" s="88" t="str">
        <f t="shared" si="7"/>
        <v/>
      </c>
      <c r="G51" s="89" t="str">
        <f t="shared" si="8"/>
        <v/>
      </c>
      <c r="H51" s="97"/>
      <c r="I51" s="97"/>
      <c r="J51" s="91"/>
    </row>
    <row r="52" spans="1:17" ht="13.5" hidden="1" x14ac:dyDescent="0.25">
      <c r="A52" s="86">
        <f>+A30</f>
        <v>0</v>
      </c>
      <c r="B52" s="96"/>
      <c r="C52" s="87">
        <f t="shared" si="6"/>
        <v>0</v>
      </c>
      <c r="D52" s="87" t="s">
        <v>93</v>
      </c>
      <c r="E52" s="88" t="str">
        <f>IFERROR(VLOOKUP($H52,[2]SEMIELABORADOS!$A$1:$J$998,10,0),"")</f>
        <v/>
      </c>
      <c r="F52" s="88" t="str">
        <f t="shared" si="7"/>
        <v/>
      </c>
      <c r="G52" s="89" t="str">
        <f t="shared" si="8"/>
        <v/>
      </c>
      <c r="H52" s="97"/>
      <c r="I52" s="97"/>
      <c r="J52" s="91"/>
    </row>
    <row r="53" spans="1:17" ht="13.5" x14ac:dyDescent="0.25">
      <c r="A53" s="86">
        <v>1</v>
      </c>
      <c r="B53" s="92" t="s">
        <v>95</v>
      </c>
      <c r="C53" s="87">
        <f t="shared" si="6"/>
        <v>1</v>
      </c>
      <c r="D53" s="87" t="s">
        <v>93</v>
      </c>
      <c r="E53" s="88">
        <f>+F67</f>
        <v>550</v>
      </c>
      <c r="F53" s="88">
        <f t="shared" si="7"/>
        <v>550</v>
      </c>
      <c r="G53" s="89">
        <f t="shared" si="8"/>
        <v>0.10177220721343608</v>
      </c>
      <c r="H53" s="97"/>
      <c r="I53" s="97"/>
      <c r="J53" s="91"/>
    </row>
    <row r="54" spans="1:17" ht="14.25" thickBot="1" x14ac:dyDescent="0.3">
      <c r="A54" s="86"/>
      <c r="B54" s="92"/>
      <c r="C54" s="87"/>
      <c r="D54" s="87"/>
      <c r="E54" s="88"/>
      <c r="F54" s="88"/>
      <c r="G54" s="89"/>
      <c r="H54" s="97"/>
      <c r="I54" s="97"/>
      <c r="J54" s="91"/>
    </row>
    <row r="55" spans="1:17" ht="13.5" thickBot="1" x14ac:dyDescent="0.25">
      <c r="A55" s="98"/>
      <c r="B55" s="322" t="s">
        <v>96</v>
      </c>
      <c r="C55" s="322"/>
      <c r="D55" s="322"/>
      <c r="E55" s="322"/>
      <c r="F55" s="100">
        <f>SUM(F8:F23,F26:F30)</f>
        <v>4759.0450180813441</v>
      </c>
      <c r="G55" s="89">
        <f>+F55/$F$68</f>
        <v>0.88061548312408222</v>
      </c>
      <c r="H55" s="101">
        <f>+F55/$D$62</f>
        <v>4759.0450180813441</v>
      </c>
      <c r="I55" s="101"/>
      <c r="J55" s="102"/>
      <c r="K55" s="103"/>
      <c r="L55" s="103"/>
      <c r="M55" s="103"/>
      <c r="N55" s="103"/>
      <c r="O55" s="103"/>
      <c r="P55" s="103"/>
      <c r="Q55" s="104"/>
    </row>
    <row r="56" spans="1:17" x14ac:dyDescent="0.2">
      <c r="A56" s="98"/>
      <c r="B56" s="322" t="s">
        <v>97</v>
      </c>
      <c r="C56" s="322"/>
      <c r="D56" s="322"/>
      <c r="E56" s="322"/>
      <c r="F56" s="100">
        <f>SUM(F33:F38,F41:F45)</f>
        <v>0</v>
      </c>
      <c r="G56" s="89">
        <f>+F56/$F$68</f>
        <v>0</v>
      </c>
      <c r="H56" s="101">
        <f>+F56/$D$62</f>
        <v>0</v>
      </c>
      <c r="I56" s="101"/>
      <c r="J56" s="105"/>
      <c r="K56" s="323" t="s">
        <v>98</v>
      </c>
      <c r="L56" s="324"/>
      <c r="M56" s="324"/>
      <c r="N56" s="324"/>
      <c r="O56" s="106">
        <f>+F57</f>
        <v>4759.0450180813441</v>
      </c>
      <c r="P56" s="106"/>
      <c r="Q56" s="107"/>
    </row>
    <row r="57" spans="1:17" x14ac:dyDescent="0.2">
      <c r="A57" s="98"/>
      <c r="B57" s="322" t="s">
        <v>99</v>
      </c>
      <c r="C57" s="322"/>
      <c r="D57" s="322"/>
      <c r="E57" s="322"/>
      <c r="F57" s="100">
        <f>+F55+F56</f>
        <v>4759.0450180813441</v>
      </c>
      <c r="G57" s="89">
        <f>+F57/$F$68</f>
        <v>0.88061548312408222</v>
      </c>
      <c r="H57" s="101">
        <f>+F57/$D$62</f>
        <v>4759.0450180813441</v>
      </c>
      <c r="I57" s="101"/>
      <c r="J57" s="108"/>
      <c r="K57" s="109"/>
      <c r="L57" s="325" t="s">
        <v>100</v>
      </c>
      <c r="M57" s="325"/>
      <c r="N57" s="325"/>
      <c r="O57" s="106">
        <f>+F58</f>
        <v>550</v>
      </c>
      <c r="P57" s="106"/>
      <c r="Q57" s="107"/>
    </row>
    <row r="58" spans="1:17" ht="13.5" thickBot="1" x14ac:dyDescent="0.25">
      <c r="A58" s="98"/>
      <c r="B58" s="99"/>
      <c r="C58" s="322" t="s">
        <v>101</v>
      </c>
      <c r="D58" s="322"/>
      <c r="E58" s="322"/>
      <c r="F58" s="100">
        <f>SUM(F48:F53)</f>
        <v>550</v>
      </c>
      <c r="G58" s="89">
        <f>+F58/$F$68</f>
        <v>0.10177220721343608</v>
      </c>
      <c r="H58" s="101">
        <f>+F58/$D$62</f>
        <v>550</v>
      </c>
      <c r="I58" s="101"/>
      <c r="J58" s="108"/>
      <c r="K58" s="109"/>
      <c r="L58" s="109"/>
      <c r="M58" s="109" t="s">
        <v>102</v>
      </c>
      <c r="N58" s="110">
        <v>0.01</v>
      </c>
      <c r="O58" s="106">
        <f>O56*N58</f>
        <v>47.590450180813441</v>
      </c>
      <c r="P58" s="106"/>
      <c r="Q58" s="107"/>
    </row>
    <row r="59" spans="1:17" ht="13.5" thickBot="1" x14ac:dyDescent="0.25">
      <c r="A59" s="98"/>
      <c r="B59" s="111"/>
      <c r="C59" s="111"/>
      <c r="D59" s="111"/>
      <c r="E59" s="111"/>
      <c r="F59" s="112"/>
      <c r="G59" s="89"/>
      <c r="H59" s="113"/>
      <c r="I59" s="101"/>
      <c r="J59" s="108"/>
      <c r="K59" s="114"/>
      <c r="M59" s="115" t="s">
        <v>103</v>
      </c>
      <c r="N59" s="116"/>
      <c r="O59" s="117">
        <f>SUM(O56:O58)</f>
        <v>5356.6354682621577</v>
      </c>
      <c r="P59" s="118"/>
      <c r="Q59" s="107"/>
    </row>
    <row r="60" spans="1:17" x14ac:dyDescent="0.2">
      <c r="B60" s="327" t="s">
        <v>104</v>
      </c>
      <c r="C60" s="327"/>
      <c r="D60" s="119">
        <v>4695</v>
      </c>
      <c r="E60" s="120"/>
      <c r="G60" s="89"/>
      <c r="H60" s="113"/>
      <c r="I60" s="121"/>
      <c r="J60" s="108"/>
      <c r="K60" s="114"/>
      <c r="L60" s="109"/>
      <c r="M60" s="109" t="s">
        <v>105</v>
      </c>
      <c r="N60" s="122">
        <v>0.25</v>
      </c>
      <c r="O60" s="106">
        <f>+O59*N60</f>
        <v>1339.1588670655394</v>
      </c>
      <c r="P60" s="106"/>
      <c r="Q60" s="107"/>
    </row>
    <row r="61" spans="1:17" x14ac:dyDescent="0.2">
      <c r="B61" s="327" t="s">
        <v>106</v>
      </c>
      <c r="C61" s="327"/>
      <c r="D61" s="123">
        <v>4695</v>
      </c>
      <c r="E61" s="120"/>
      <c r="G61" s="89"/>
      <c r="H61" s="113"/>
      <c r="I61" s="121"/>
      <c r="J61" s="108"/>
      <c r="K61" s="114"/>
      <c r="L61" s="109"/>
      <c r="M61" s="325" t="s">
        <v>87</v>
      </c>
      <c r="N61" s="325"/>
      <c r="O61" s="106">
        <f>SUM(O59:O60)</f>
        <v>6695.7943353276969</v>
      </c>
      <c r="P61" s="106"/>
      <c r="Q61" s="107"/>
    </row>
    <row r="62" spans="1:17" ht="13.5" thickBot="1" x14ac:dyDescent="0.25">
      <c r="B62" s="328" t="s">
        <v>107</v>
      </c>
      <c r="C62" s="328"/>
      <c r="D62" s="119">
        <f>+D60/D61</f>
        <v>1</v>
      </c>
      <c r="E62" s="120"/>
      <c r="F62" s="124"/>
      <c r="G62" s="89"/>
      <c r="H62" s="113"/>
      <c r="I62" s="121"/>
      <c r="J62" s="108"/>
      <c r="K62" s="114"/>
      <c r="L62" s="325" t="s">
        <v>108</v>
      </c>
      <c r="M62" s="325"/>
      <c r="N62" s="122">
        <v>0.05</v>
      </c>
      <c r="O62" s="106">
        <f>+O61*N62</f>
        <v>334.78971676638486</v>
      </c>
      <c r="P62" s="106"/>
      <c r="Q62" s="107"/>
    </row>
    <row r="63" spans="1:17" ht="13.5" thickBot="1" x14ac:dyDescent="0.25">
      <c r="B63" s="328" t="s">
        <v>109</v>
      </c>
      <c r="C63" s="328"/>
      <c r="D63" s="125"/>
      <c r="E63" s="120"/>
      <c r="F63" s="124"/>
      <c r="G63" s="89"/>
      <c r="H63" s="113"/>
      <c r="I63" s="121"/>
      <c r="J63" s="108"/>
      <c r="K63" s="329" t="s">
        <v>110</v>
      </c>
      <c r="L63" s="330"/>
      <c r="M63" s="330"/>
      <c r="N63" s="331"/>
      <c r="O63" s="117">
        <f>SUM(O61:O62)</f>
        <v>7030.5840520940819</v>
      </c>
      <c r="P63" s="126" t="s">
        <v>111</v>
      </c>
      <c r="Q63" s="107"/>
    </row>
    <row r="64" spans="1:17" ht="13.5" thickBot="1" x14ac:dyDescent="0.25">
      <c r="C64" s="98" t="s">
        <v>112</v>
      </c>
      <c r="D64" s="127"/>
      <c r="E64" s="72" t="s">
        <v>113</v>
      </c>
      <c r="F64" s="128" t="s">
        <v>114</v>
      </c>
      <c r="G64" s="89"/>
      <c r="H64" s="113"/>
      <c r="I64" s="121"/>
      <c r="J64" s="129"/>
      <c r="K64" s="130"/>
      <c r="L64" s="332" t="s">
        <v>115</v>
      </c>
      <c r="M64" s="332"/>
      <c r="N64" s="332"/>
      <c r="O64" s="131">
        <f>+O63/D62</f>
        <v>7030.5840520940819</v>
      </c>
      <c r="P64" s="132">
        <f>+O64/D61</f>
        <v>1.4974619919263221</v>
      </c>
      <c r="Q64" s="133"/>
    </row>
    <row r="65" spans="2:16" ht="13.5" thickBot="1" x14ac:dyDescent="0.25">
      <c r="B65" s="333" t="s">
        <v>99</v>
      </c>
      <c r="C65" s="333"/>
      <c r="D65" s="333"/>
      <c r="E65" s="134">
        <f>+F65/F65</f>
        <v>1</v>
      </c>
      <c r="F65" s="135">
        <f>SUM(F57)</f>
        <v>4759.0450180813441</v>
      </c>
      <c r="G65" s="89">
        <f>+F65/$F$68</f>
        <v>0.88061548312408222</v>
      </c>
      <c r="H65" s="113"/>
      <c r="I65" s="121"/>
      <c r="K65" s="334"/>
      <c r="L65" s="335"/>
      <c r="M65" s="335"/>
      <c r="N65" s="335"/>
      <c r="O65" s="136"/>
      <c r="P65" s="137"/>
    </row>
    <row r="66" spans="2:16" ht="13.5" thickBot="1" x14ac:dyDescent="0.25">
      <c r="B66" s="326" t="s">
        <v>116</v>
      </c>
      <c r="C66" s="326"/>
      <c r="D66" s="326"/>
      <c r="E66" s="138">
        <v>0.02</v>
      </c>
      <c r="F66" s="135">
        <f>+F55*E66</f>
        <v>95.180900361626882</v>
      </c>
      <c r="G66" s="89">
        <f>+F66/$F$68</f>
        <v>1.7612309662481646E-2</v>
      </c>
      <c r="H66" s="101"/>
      <c r="I66" s="121"/>
      <c r="J66" s="139"/>
      <c r="O66" s="140"/>
      <c r="P66" s="99"/>
    </row>
    <row r="67" spans="2:16" ht="13.5" thickBot="1" x14ac:dyDescent="0.25">
      <c r="B67" s="337" t="s">
        <v>117</v>
      </c>
      <c r="C67" s="338"/>
      <c r="D67" s="141">
        <v>10</v>
      </c>
      <c r="E67" s="142">
        <v>55</v>
      </c>
      <c r="F67" s="135">
        <f>+E67*D67</f>
        <v>550</v>
      </c>
      <c r="G67" s="89">
        <f>+F67/$F$68</f>
        <v>0.10177220721343608</v>
      </c>
      <c r="H67" s="101"/>
      <c r="I67" s="101"/>
      <c r="J67" s="91"/>
    </row>
    <row r="68" spans="2:16" ht="13.5" thickBot="1" x14ac:dyDescent="0.25">
      <c r="B68" s="339" t="s">
        <v>118</v>
      </c>
      <c r="C68" s="340"/>
      <c r="D68" s="340"/>
      <c r="E68" s="341"/>
      <c r="F68" s="112">
        <f>SUM(F65:F67)</f>
        <v>5404.2259184429713</v>
      </c>
      <c r="G68" s="89">
        <f>+F68/$F$68</f>
        <v>1</v>
      </c>
      <c r="H68" s="342"/>
      <c r="I68" s="101"/>
      <c r="J68" s="91"/>
    </row>
    <row r="69" spans="2:16" x14ac:dyDescent="0.2">
      <c r="C69" s="144"/>
      <c r="D69" s="144"/>
      <c r="E69" s="145"/>
      <c r="F69" s="135"/>
      <c r="G69" s="89"/>
      <c r="H69" s="342"/>
      <c r="I69" s="143"/>
      <c r="J69" s="74"/>
    </row>
    <row r="70" spans="2:16" ht="13.5" thickBot="1" x14ac:dyDescent="0.25">
      <c r="B70" s="343" t="s">
        <v>119</v>
      </c>
      <c r="C70" s="343"/>
      <c r="D70" s="343"/>
      <c r="E70" s="343"/>
      <c r="F70" s="343"/>
      <c r="G70" s="89"/>
      <c r="H70" s="147"/>
      <c r="I70" s="143"/>
      <c r="J70" s="74"/>
    </row>
    <row r="71" spans="2:16" ht="13.5" thickBot="1" x14ac:dyDescent="0.25">
      <c r="B71" s="148" t="s">
        <v>120</v>
      </c>
      <c r="C71" s="149">
        <f>+F55</f>
        <v>4759.0450180813441</v>
      </c>
      <c r="D71" s="149">
        <f>+D60</f>
        <v>4695</v>
      </c>
      <c r="E71" s="150">
        <f>+C71/D71</f>
        <v>1.0136411114124269</v>
      </c>
      <c r="F71" s="89"/>
      <c r="G71" s="147"/>
      <c r="H71" s="91"/>
      <c r="I71" s="147"/>
      <c r="J71" s="74"/>
    </row>
    <row r="72" spans="2:16" x14ac:dyDescent="0.2">
      <c r="B72" s="151"/>
      <c r="C72" s="152"/>
      <c r="D72" s="153"/>
      <c r="E72" s="135"/>
      <c r="F72" s="89"/>
      <c r="G72" s="147"/>
      <c r="H72" s="91"/>
      <c r="I72" s="91"/>
      <c r="J72" s="74"/>
    </row>
    <row r="73" spans="2:16" x14ac:dyDescent="0.2">
      <c r="B73" s="148" t="s">
        <v>121</v>
      </c>
      <c r="C73" s="149">
        <f>SUM(F65:F66)</f>
        <v>4854.2259184429713</v>
      </c>
      <c r="D73" s="149">
        <f>+D60</f>
        <v>4695</v>
      </c>
      <c r="E73" s="154">
        <f>+C73/D73</f>
        <v>1.0339139336406755</v>
      </c>
      <c r="F73" s="89"/>
      <c r="G73" s="147"/>
      <c r="H73" s="91"/>
      <c r="I73" s="91"/>
      <c r="J73" s="74"/>
    </row>
    <row r="74" spans="2:16" x14ac:dyDescent="0.2">
      <c r="B74" s="148"/>
      <c r="C74" s="149"/>
      <c r="D74" s="149"/>
      <c r="E74" s="154"/>
      <c r="F74" s="89"/>
      <c r="G74" s="147"/>
      <c r="H74" s="91"/>
      <c r="I74" s="91"/>
      <c r="J74" s="74"/>
    </row>
    <row r="75" spans="2:16" ht="13.5" thickBot="1" x14ac:dyDescent="0.25">
      <c r="B75" s="148" t="s">
        <v>122</v>
      </c>
      <c r="C75" s="149">
        <f>+F67</f>
        <v>550</v>
      </c>
      <c r="D75" s="149">
        <f>+D60</f>
        <v>4695</v>
      </c>
      <c r="E75" s="154">
        <f>+C75/D75</f>
        <v>0.11714589989350373</v>
      </c>
      <c r="F75" s="89"/>
      <c r="G75" s="147"/>
      <c r="H75" s="91"/>
      <c r="I75" s="91"/>
      <c r="J75" s="74"/>
    </row>
    <row r="76" spans="2:16" ht="13.5" thickBot="1" x14ac:dyDescent="0.25">
      <c r="B76" s="148" t="s">
        <v>123</v>
      </c>
      <c r="C76" s="149">
        <f>+F58</f>
        <v>550</v>
      </c>
      <c r="D76" s="149">
        <f>+D75</f>
        <v>4695</v>
      </c>
      <c r="E76" s="150">
        <f>+C76/D76</f>
        <v>0.11714589989350373</v>
      </c>
      <c r="F76" s="89"/>
      <c r="G76" s="147"/>
      <c r="H76" s="91"/>
      <c r="I76" s="91"/>
      <c r="J76" s="74"/>
    </row>
    <row r="77" spans="2:16" ht="13.5" thickBot="1" x14ac:dyDescent="0.25">
      <c r="B77" s="111"/>
      <c r="C77" s="112"/>
      <c r="D77" s="112"/>
      <c r="E77" s="154"/>
      <c r="F77" s="89"/>
      <c r="G77" s="147"/>
      <c r="H77" s="91"/>
      <c r="I77" s="91"/>
      <c r="J77" s="74"/>
    </row>
    <row r="78" spans="2:16" ht="13.5" thickBot="1" x14ac:dyDescent="0.25">
      <c r="B78" s="148" t="s">
        <v>124</v>
      </c>
      <c r="C78" s="149">
        <f>+F56</f>
        <v>0</v>
      </c>
      <c r="D78" s="149">
        <f>+D76</f>
        <v>4695</v>
      </c>
      <c r="E78" s="150">
        <f>+C78/D78</f>
        <v>0</v>
      </c>
      <c r="F78" s="89"/>
      <c r="G78" s="147"/>
      <c r="H78" s="91"/>
      <c r="I78" s="91"/>
      <c r="J78" s="91"/>
    </row>
    <row r="79" spans="2:16" ht="13.5" thickBot="1" x14ac:dyDescent="0.25">
      <c r="B79" s="111"/>
      <c r="C79" s="112"/>
      <c r="D79" s="112"/>
      <c r="E79" s="154"/>
      <c r="F79" s="89"/>
      <c r="G79" s="147"/>
      <c r="H79" s="91"/>
      <c r="I79" s="91"/>
    </row>
    <row r="80" spans="2:16" ht="13.5" thickBot="1" x14ac:dyDescent="0.25">
      <c r="B80" s="344" t="s">
        <v>125</v>
      </c>
      <c r="C80" s="345"/>
      <c r="D80" s="346"/>
      <c r="E80" s="150">
        <f>+E71+E76</f>
        <v>1.1307870113059306</v>
      </c>
      <c r="G80" s="89"/>
      <c r="H80" s="147"/>
      <c r="I80" s="91"/>
      <c r="J80" s="154"/>
    </row>
    <row r="81" spans="1:10" x14ac:dyDescent="0.2">
      <c r="I81" s="147"/>
      <c r="J81" s="74"/>
    </row>
    <row r="82" spans="1:10" ht="13.5" thickBot="1" x14ac:dyDescent="0.25">
      <c r="B82" s="343" t="s">
        <v>126</v>
      </c>
      <c r="C82" s="343"/>
      <c r="D82" s="343"/>
      <c r="E82" s="343"/>
      <c r="F82" s="343"/>
      <c r="G82" s="89"/>
      <c r="H82" s="147"/>
      <c r="J82" s="74"/>
    </row>
    <row r="83" spans="1:10" ht="13.5" thickBot="1" x14ac:dyDescent="0.25">
      <c r="B83" s="148" t="s">
        <v>120</v>
      </c>
      <c r="C83" s="149">
        <f>+C71</f>
        <v>4759.0450180813441</v>
      </c>
      <c r="D83" s="149">
        <f>+D62</f>
        <v>1</v>
      </c>
      <c r="E83" s="150">
        <f>+C83/D83</f>
        <v>4759.0450180813441</v>
      </c>
      <c r="F83" s="89"/>
      <c r="G83" s="147"/>
      <c r="H83" s="91"/>
      <c r="I83" s="147"/>
      <c r="J83" s="74"/>
    </row>
    <row r="84" spans="1:10" x14ac:dyDescent="0.2">
      <c r="B84" s="151"/>
      <c r="C84" s="152"/>
      <c r="D84" s="153"/>
      <c r="E84" s="135"/>
      <c r="F84" s="89"/>
      <c r="G84" s="147"/>
      <c r="H84" s="91"/>
      <c r="I84" s="91"/>
      <c r="J84" s="74"/>
    </row>
    <row r="85" spans="1:10" x14ac:dyDescent="0.2">
      <c r="B85" s="148" t="s">
        <v>121</v>
      </c>
      <c r="C85" s="149">
        <f>+C73</f>
        <v>4854.2259184429713</v>
      </c>
      <c r="D85" s="149">
        <f>+D62</f>
        <v>1</v>
      </c>
      <c r="E85" s="154">
        <f>+C85/D85</f>
        <v>4854.2259184429713</v>
      </c>
      <c r="F85" s="89"/>
      <c r="G85" s="147"/>
      <c r="H85" s="91"/>
      <c r="I85" s="91"/>
      <c r="J85" s="74"/>
    </row>
    <row r="86" spans="1:10" x14ac:dyDescent="0.2">
      <c r="B86" s="148"/>
      <c r="C86" s="149"/>
      <c r="D86" s="149"/>
      <c r="E86" s="154"/>
      <c r="F86" s="89"/>
      <c r="G86" s="147"/>
      <c r="H86" s="91"/>
      <c r="I86" s="91"/>
      <c r="J86" s="74"/>
    </row>
    <row r="87" spans="1:10" ht="13.5" thickBot="1" x14ac:dyDescent="0.25">
      <c r="B87" s="148" t="s">
        <v>123</v>
      </c>
      <c r="C87" s="149">
        <f>+C75</f>
        <v>550</v>
      </c>
      <c r="D87" s="149">
        <f>+D62</f>
        <v>1</v>
      </c>
      <c r="E87" s="154">
        <f>+C87/D87</f>
        <v>550</v>
      </c>
      <c r="F87" s="156"/>
      <c r="G87" s="146"/>
      <c r="H87" s="73"/>
      <c r="I87" s="91"/>
    </row>
    <row r="88" spans="1:10" ht="13.5" thickBot="1" x14ac:dyDescent="0.25">
      <c r="B88" s="148" t="s">
        <v>123</v>
      </c>
      <c r="C88" s="149">
        <f>+C76</f>
        <v>550</v>
      </c>
      <c r="D88" s="149">
        <f>+D87</f>
        <v>1</v>
      </c>
      <c r="E88" s="150">
        <f>+C88/D88</f>
        <v>550</v>
      </c>
      <c r="F88" s="155"/>
      <c r="G88" s="146"/>
      <c r="H88" s="73"/>
      <c r="I88" s="73"/>
    </row>
    <row r="89" spans="1:10" x14ac:dyDescent="0.2">
      <c r="I89" s="73"/>
    </row>
    <row r="90" spans="1:10" x14ac:dyDescent="0.2">
      <c r="A90" s="336"/>
      <c r="B90" s="336"/>
      <c r="C90" s="157"/>
      <c r="D90" s="157"/>
      <c r="E90" s="158"/>
      <c r="G90" s="159"/>
    </row>
    <row r="91" spans="1:10" x14ac:dyDescent="0.2">
      <c r="A91" s="92"/>
      <c r="B91" s="160"/>
      <c r="C91" s="161"/>
      <c r="D91" s="161"/>
      <c r="E91" s="162"/>
      <c r="G91" s="159"/>
    </row>
    <row r="92" spans="1:10" x14ac:dyDescent="0.2">
      <c r="A92" s="92"/>
      <c r="B92" s="160"/>
      <c r="C92" s="163"/>
      <c r="D92" s="163"/>
      <c r="E92" s="92"/>
      <c r="G92" s="159"/>
    </row>
    <row r="93" spans="1:10" x14ac:dyDescent="0.2">
      <c r="A93" s="92"/>
      <c r="B93" s="160"/>
      <c r="C93" s="164"/>
      <c r="D93" s="164"/>
      <c r="E93" s="92"/>
      <c r="G93" s="159"/>
    </row>
  </sheetData>
  <mergeCells count="31">
    <mergeCell ref="A90:B90"/>
    <mergeCell ref="B67:C67"/>
    <mergeCell ref="B68:E68"/>
    <mergeCell ref="H68:H69"/>
    <mergeCell ref="B70:F70"/>
    <mergeCell ref="B80:D80"/>
    <mergeCell ref="B82:F82"/>
    <mergeCell ref="B66:D66"/>
    <mergeCell ref="C58:E58"/>
    <mergeCell ref="B60:C60"/>
    <mergeCell ref="B61:C61"/>
    <mergeCell ref="M61:N61"/>
    <mergeCell ref="B62:C62"/>
    <mergeCell ref="L62:M62"/>
    <mergeCell ref="B63:C63"/>
    <mergeCell ref="K63:N63"/>
    <mergeCell ref="L64:N64"/>
    <mergeCell ref="B65:D65"/>
    <mergeCell ref="K65:N65"/>
    <mergeCell ref="K36:L36"/>
    <mergeCell ref="B55:E55"/>
    <mergeCell ref="B56:E56"/>
    <mergeCell ref="K56:N56"/>
    <mergeCell ref="B57:E57"/>
    <mergeCell ref="L57:N57"/>
    <mergeCell ref="K35:L35"/>
    <mergeCell ref="A4:H4"/>
    <mergeCell ref="A5:H5"/>
    <mergeCell ref="F6:G6"/>
    <mergeCell ref="K33:L33"/>
    <mergeCell ref="K34:L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D00B-8788-4360-9D7D-384193C7DF83}">
  <dimension ref="A1:M53"/>
  <sheetViews>
    <sheetView tabSelected="1" view="pageBreakPreview" zoomScale="60" zoomScaleNormal="70" workbookViewId="0">
      <selection activeCell="C15" sqref="C1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9" bestFit="1" customWidth="1"/>
  </cols>
  <sheetData>
    <row r="1" spans="1:9" ht="15" x14ac:dyDescent="0.2">
      <c r="A1" s="354"/>
      <c r="B1" s="355"/>
      <c r="C1" s="360" t="s">
        <v>22</v>
      </c>
      <c r="D1" s="360"/>
      <c r="E1" s="360"/>
      <c r="F1" s="360"/>
      <c r="G1" s="360"/>
      <c r="H1" s="179" t="s">
        <v>21</v>
      </c>
      <c r="I1" s="68" t="s">
        <v>159</v>
      </c>
    </row>
    <row r="2" spans="1:9" ht="16.5" thickBot="1" x14ac:dyDescent="0.3">
      <c r="A2" s="356"/>
      <c r="B2" s="357"/>
      <c r="C2" s="361" t="s">
        <v>0</v>
      </c>
      <c r="D2" s="361"/>
      <c r="E2" s="361"/>
      <c r="F2" s="361"/>
      <c r="G2" s="361"/>
      <c r="H2" s="180" t="s">
        <v>20</v>
      </c>
      <c r="I2" s="63" t="s">
        <v>150</v>
      </c>
    </row>
    <row r="3" spans="1:9" ht="15.95" customHeight="1" thickBot="1" x14ac:dyDescent="0.25">
      <c r="A3" s="356"/>
      <c r="B3" s="357"/>
      <c r="C3" s="362" t="s">
        <v>143</v>
      </c>
      <c r="D3" s="363"/>
      <c r="E3" s="363"/>
      <c r="F3" s="363"/>
      <c r="G3" s="364"/>
      <c r="H3" s="365" t="s">
        <v>19</v>
      </c>
      <c r="I3" s="303">
        <v>45610</v>
      </c>
    </row>
    <row r="4" spans="1:9" ht="13.5" x14ac:dyDescent="0.25">
      <c r="A4" s="356"/>
      <c r="B4" s="357"/>
      <c r="C4" s="181" t="s">
        <v>18</v>
      </c>
      <c r="D4" s="348" t="s">
        <v>139</v>
      </c>
      <c r="E4" s="349"/>
      <c r="F4" s="349"/>
      <c r="G4" s="350"/>
      <c r="H4" s="366"/>
      <c r="I4" s="304"/>
    </row>
    <row r="5" spans="1:9" ht="14.25" thickBot="1" x14ac:dyDescent="0.3">
      <c r="A5" s="358"/>
      <c r="B5" s="359"/>
      <c r="C5" s="182" t="s">
        <v>17</v>
      </c>
      <c r="D5" s="351" t="s">
        <v>140</v>
      </c>
      <c r="E5" s="352"/>
      <c r="F5" s="352"/>
      <c r="G5" s="353"/>
      <c r="H5" s="367"/>
      <c r="I5" s="347"/>
    </row>
    <row r="6" spans="1:9" ht="18.75" thickBot="1" x14ac:dyDescent="0.3">
      <c r="A6" s="311" t="s">
        <v>23</v>
      </c>
      <c r="B6" s="311"/>
      <c r="C6" s="311"/>
      <c r="D6" s="312" t="s">
        <v>30</v>
      </c>
      <c r="E6" s="312"/>
      <c r="F6" s="312"/>
      <c r="G6" s="313" t="s">
        <v>24</v>
      </c>
      <c r="H6" s="313"/>
      <c r="I6" s="43" t="s">
        <v>31</v>
      </c>
    </row>
    <row r="7" spans="1:9" ht="25.5" x14ac:dyDescent="0.2">
      <c r="A7" s="368" t="s">
        <v>1</v>
      </c>
      <c r="B7" s="370" t="s">
        <v>149</v>
      </c>
      <c r="C7" s="372" t="s">
        <v>2</v>
      </c>
      <c r="D7" s="372" t="s">
        <v>3</v>
      </c>
      <c r="E7" s="372" t="s">
        <v>4</v>
      </c>
      <c r="F7" s="372"/>
      <c r="G7" s="372" t="s">
        <v>16</v>
      </c>
      <c r="H7" s="372"/>
      <c r="I7" s="183" t="s">
        <v>5</v>
      </c>
    </row>
    <row r="8" spans="1:9" ht="26.25" thickBot="1" x14ac:dyDescent="0.25">
      <c r="A8" s="369"/>
      <c r="B8" s="371"/>
      <c r="C8" s="373"/>
      <c r="D8" s="373"/>
      <c r="E8" s="184" t="s">
        <v>6</v>
      </c>
      <c r="F8" s="185" t="s">
        <v>7</v>
      </c>
      <c r="G8" s="184" t="s">
        <v>6</v>
      </c>
      <c r="H8" s="185" t="s">
        <v>7</v>
      </c>
      <c r="I8" s="186" t="s">
        <v>8</v>
      </c>
    </row>
    <row r="9" spans="1:9" ht="15" x14ac:dyDescent="0.25">
      <c r="A9" s="187"/>
      <c r="B9" s="188"/>
      <c r="C9" s="189" t="s">
        <v>151</v>
      </c>
      <c r="D9" s="190"/>
      <c r="E9" s="191"/>
      <c r="F9" s="192"/>
      <c r="G9" s="191"/>
      <c r="H9" s="192"/>
      <c r="I9" s="193"/>
    </row>
    <row r="10" spans="1:9" ht="15" x14ac:dyDescent="0.25">
      <c r="A10" s="194">
        <v>95822</v>
      </c>
      <c r="B10" s="195" t="s">
        <v>144</v>
      </c>
      <c r="C10" s="196" t="s">
        <v>69</v>
      </c>
      <c r="D10" s="54" t="s">
        <v>152</v>
      </c>
      <c r="E10" s="55">
        <v>380</v>
      </c>
      <c r="F10" s="56" t="s">
        <v>27</v>
      </c>
      <c r="G10" s="197"/>
      <c r="H10" s="198"/>
      <c r="I10" s="193"/>
    </row>
    <row r="11" spans="1:9" ht="15" x14ac:dyDescent="0.25">
      <c r="A11" s="199">
        <v>908000046</v>
      </c>
      <c r="B11" s="199"/>
      <c r="C11" s="196" t="s">
        <v>71</v>
      </c>
      <c r="D11" s="54" t="s">
        <v>152</v>
      </c>
      <c r="E11" s="200">
        <v>40</v>
      </c>
      <c r="F11" s="56" t="s">
        <v>27</v>
      </c>
      <c r="G11" s="201"/>
      <c r="H11" s="198"/>
      <c r="I11" s="193"/>
    </row>
    <row r="12" spans="1:9" ht="15" x14ac:dyDescent="0.25">
      <c r="A12" s="202"/>
      <c r="B12" s="165"/>
      <c r="C12" s="166"/>
      <c r="D12" s="203"/>
      <c r="E12" s="203"/>
      <c r="F12" s="203"/>
      <c r="G12" s="201"/>
      <c r="H12" s="204"/>
      <c r="I12" s="193"/>
    </row>
    <row r="13" spans="1:9" ht="15" x14ac:dyDescent="0.25">
      <c r="A13" s="202"/>
      <c r="B13" s="165"/>
      <c r="C13" s="166"/>
      <c r="D13" s="203"/>
      <c r="E13" s="203"/>
      <c r="F13" s="203"/>
      <c r="G13" s="201"/>
      <c r="H13" s="204"/>
      <c r="I13" s="193"/>
    </row>
    <row r="14" spans="1:9" ht="15" x14ac:dyDescent="0.25">
      <c r="A14" s="202"/>
      <c r="B14" s="165"/>
      <c r="C14" s="205"/>
      <c r="D14" s="203"/>
      <c r="E14" s="203"/>
      <c r="F14" s="203"/>
      <c r="G14" s="201"/>
      <c r="H14" s="204"/>
      <c r="I14" s="193"/>
    </row>
    <row r="15" spans="1:9" ht="15" x14ac:dyDescent="0.25">
      <c r="A15" s="202"/>
      <c r="B15" s="165"/>
      <c r="C15" s="166"/>
      <c r="D15" s="203"/>
      <c r="E15" s="203"/>
      <c r="F15" s="203"/>
      <c r="G15" s="201"/>
      <c r="H15" s="204"/>
      <c r="I15" s="193"/>
    </row>
    <row r="16" spans="1:9" ht="15" x14ac:dyDescent="0.25">
      <c r="A16" s="202"/>
      <c r="B16" s="165"/>
      <c r="C16" s="166"/>
      <c r="D16" s="203"/>
      <c r="E16" s="203"/>
      <c r="F16" s="203"/>
      <c r="G16" s="201"/>
      <c r="H16" s="204"/>
      <c r="I16" s="193"/>
    </row>
    <row r="17" spans="1:9" ht="15" x14ac:dyDescent="0.25">
      <c r="A17" s="165"/>
      <c r="B17" s="165"/>
      <c r="C17" s="206"/>
      <c r="D17" s="207"/>
      <c r="E17" s="207"/>
      <c r="F17" s="208"/>
      <c r="G17" s="191"/>
      <c r="H17" s="192"/>
      <c r="I17" s="193"/>
    </row>
    <row r="18" spans="1:9" ht="15.75" x14ac:dyDescent="0.25">
      <c r="A18" s="209"/>
      <c r="B18" s="210"/>
      <c r="C18" s="211" t="s">
        <v>153</v>
      </c>
      <c r="D18" s="212"/>
      <c r="E18" s="213"/>
      <c r="F18" s="208"/>
      <c r="G18" s="191"/>
      <c r="H18" s="192"/>
      <c r="I18" s="193"/>
    </row>
    <row r="19" spans="1:9" ht="15" x14ac:dyDescent="0.25">
      <c r="A19" s="214"/>
      <c r="B19" s="203"/>
      <c r="C19" s="215"/>
      <c r="D19" s="216"/>
      <c r="E19" s="207"/>
      <c r="F19" s="208"/>
      <c r="G19" s="191"/>
      <c r="H19" s="192"/>
      <c r="I19" s="193"/>
    </row>
    <row r="20" spans="1:9" ht="15" x14ac:dyDescent="0.25">
      <c r="A20" s="165"/>
      <c r="B20" s="165"/>
      <c r="C20" s="206"/>
      <c r="D20" s="216"/>
      <c r="E20" s="207"/>
      <c r="F20" s="208"/>
      <c r="G20" s="191"/>
      <c r="H20" s="192"/>
      <c r="I20" s="193"/>
    </row>
    <row r="21" spans="1:9" ht="15" x14ac:dyDescent="0.25">
      <c r="A21" s="217"/>
      <c r="B21" s="217"/>
      <c r="C21" s="215"/>
      <c r="D21" s="216"/>
      <c r="E21" s="207"/>
      <c r="F21" s="208"/>
      <c r="G21" s="191"/>
      <c r="H21" s="192"/>
      <c r="I21" s="193"/>
    </row>
    <row r="22" spans="1:9" ht="15" x14ac:dyDescent="0.25">
      <c r="A22" s="165"/>
      <c r="B22" s="165"/>
      <c r="C22" s="206"/>
      <c r="D22" s="207"/>
      <c r="E22" s="212"/>
      <c r="F22" s="208"/>
      <c r="G22" s="191"/>
      <c r="H22" s="192"/>
      <c r="I22" s="193"/>
    </row>
    <row r="23" spans="1:9" ht="15" x14ac:dyDescent="0.25">
      <c r="A23" s="165"/>
      <c r="B23" s="165"/>
      <c r="C23" s="206"/>
      <c r="D23" s="54"/>
      <c r="E23" s="218"/>
      <c r="F23" s="219"/>
      <c r="G23" s="191"/>
      <c r="H23" s="192"/>
      <c r="I23" s="193"/>
    </row>
    <row r="24" spans="1:9" ht="15.75" x14ac:dyDescent="0.25">
      <c r="A24" s="220"/>
      <c r="B24" s="221"/>
      <c r="C24" s="222" t="s">
        <v>31</v>
      </c>
      <c r="D24" s="223"/>
      <c r="E24" s="224"/>
      <c r="F24" s="192"/>
      <c r="G24" s="191"/>
      <c r="I24" s="193"/>
    </row>
    <row r="25" spans="1:9" ht="15" x14ac:dyDescent="0.25">
      <c r="A25" s="225">
        <v>1950705</v>
      </c>
      <c r="B25" s="225" t="s">
        <v>145</v>
      </c>
      <c r="C25" s="53" t="s">
        <v>73</v>
      </c>
      <c r="D25" s="54"/>
      <c r="E25" s="55">
        <v>1</v>
      </c>
      <c r="F25" s="56" t="s">
        <v>28</v>
      </c>
      <c r="G25" s="226"/>
      <c r="H25" s="192"/>
      <c r="I25" s="193"/>
    </row>
    <row r="26" spans="1:9" ht="15" x14ac:dyDescent="0.25">
      <c r="A26" s="225">
        <v>702069</v>
      </c>
      <c r="B26" s="225" t="s">
        <v>146</v>
      </c>
      <c r="C26" s="53" t="s">
        <v>74</v>
      </c>
      <c r="D26" s="54"/>
      <c r="E26" s="55">
        <v>1</v>
      </c>
      <c r="F26" s="56" t="s">
        <v>28</v>
      </c>
      <c r="G26" s="226"/>
      <c r="H26" s="192"/>
      <c r="I26" s="193"/>
    </row>
    <row r="27" spans="1:9" ht="15" x14ac:dyDescent="0.25">
      <c r="A27" s="225">
        <v>702007</v>
      </c>
      <c r="B27" s="225" t="s">
        <v>147</v>
      </c>
      <c r="C27" s="53" t="s">
        <v>75</v>
      </c>
      <c r="D27" s="227"/>
      <c r="E27" s="55">
        <v>1</v>
      </c>
      <c r="F27" s="56" t="s">
        <v>28</v>
      </c>
      <c r="G27" s="226"/>
      <c r="H27" s="192"/>
      <c r="I27" s="193"/>
    </row>
    <row r="28" spans="1:9" ht="15.75" x14ac:dyDescent="0.25">
      <c r="A28" s="228">
        <v>701096</v>
      </c>
      <c r="B28" s="229" t="s">
        <v>148</v>
      </c>
      <c r="C28" s="230" t="s">
        <v>137</v>
      </c>
      <c r="D28" s="231"/>
      <c r="E28" s="55">
        <v>1</v>
      </c>
      <c r="F28" s="232" t="s">
        <v>28</v>
      </c>
      <c r="G28" s="191"/>
      <c r="H28" s="233"/>
      <c r="I28" s="193"/>
    </row>
    <row r="29" spans="1:9" ht="15" x14ac:dyDescent="0.25">
      <c r="A29" s="228"/>
      <c r="B29" s="229"/>
      <c r="C29" s="230"/>
      <c r="D29" s="234"/>
      <c r="E29" s="235"/>
      <c r="F29" s="236"/>
      <c r="G29" s="191"/>
      <c r="H29" s="192"/>
      <c r="I29" s="193"/>
    </row>
    <row r="30" spans="1:9" ht="15.75" x14ac:dyDescent="0.25">
      <c r="A30" s="237"/>
      <c r="B30" s="238"/>
      <c r="C30" s="239"/>
      <c r="D30" s="240"/>
      <c r="E30" s="207"/>
      <c r="F30" s="208"/>
      <c r="G30" s="241"/>
      <c r="H30" s="212"/>
      <c r="I30" s="193"/>
    </row>
    <row r="31" spans="1:9" ht="15.75" x14ac:dyDescent="0.25">
      <c r="A31" s="209"/>
      <c r="B31" s="210"/>
      <c r="C31" s="242"/>
      <c r="D31" s="240"/>
      <c r="E31" s="207"/>
      <c r="F31" s="208"/>
      <c r="G31" s="207"/>
      <c r="H31" s="212"/>
      <c r="I31" s="193"/>
    </row>
    <row r="32" spans="1:9" ht="15.75" x14ac:dyDescent="0.25">
      <c r="A32" s="209"/>
      <c r="B32" s="210"/>
      <c r="C32" s="242"/>
      <c r="D32" s="240"/>
      <c r="E32" s="207"/>
      <c r="F32" s="208"/>
      <c r="G32" s="243"/>
      <c r="H32" s="208"/>
      <c r="I32" s="193"/>
    </row>
    <row r="33" spans="1:13" ht="15.75" x14ac:dyDescent="0.25">
      <c r="A33" s="209"/>
      <c r="B33" s="210"/>
      <c r="C33" s="242"/>
      <c r="D33" s="212"/>
      <c r="E33" s="212"/>
      <c r="F33" s="208"/>
      <c r="G33" s="240"/>
      <c r="H33" s="240"/>
      <c r="I33" s="193"/>
    </row>
    <row r="34" spans="1:13" ht="14.25" thickBot="1" x14ac:dyDescent="0.3">
      <c r="A34" s="244"/>
      <c r="B34" s="245"/>
      <c r="C34" s="246"/>
      <c r="D34" s="246"/>
      <c r="E34" s="247"/>
      <c r="F34" s="248"/>
      <c r="G34" s="246"/>
      <c r="H34" s="246"/>
      <c r="I34" s="249"/>
      <c r="J34" s="250"/>
      <c r="K34" s="250"/>
      <c r="L34" s="251"/>
      <c r="M34" s="250"/>
    </row>
    <row r="35" spans="1:13" ht="14.25" thickBot="1" x14ac:dyDescent="0.3">
      <c r="A35" s="252"/>
      <c r="B35" s="253"/>
      <c r="C35" s="254"/>
      <c r="D35" s="255" t="s">
        <v>6</v>
      </c>
      <c r="E35" s="256" t="s">
        <v>15</v>
      </c>
      <c r="F35" s="257"/>
      <c r="G35" s="254"/>
      <c r="H35" s="254"/>
      <c r="I35" s="258"/>
      <c r="J35" s="250"/>
      <c r="K35" s="250"/>
      <c r="L35" s="251"/>
      <c r="M35" s="250"/>
    </row>
    <row r="36" spans="1:13" ht="13.5" x14ac:dyDescent="0.25">
      <c r="A36" s="374" t="s">
        <v>10</v>
      </c>
      <c r="B36" s="375"/>
      <c r="C36" s="376"/>
      <c r="D36" s="26">
        <v>420</v>
      </c>
      <c r="E36" s="27" t="s">
        <v>27</v>
      </c>
      <c r="F36" s="377" t="s">
        <v>154</v>
      </c>
      <c r="G36" s="377"/>
      <c r="H36" s="378"/>
      <c r="I36" s="379"/>
      <c r="J36" s="250"/>
      <c r="K36" s="250"/>
      <c r="L36" s="251"/>
      <c r="M36" s="250"/>
    </row>
    <row r="37" spans="1:13" ht="13.5" x14ac:dyDescent="0.25">
      <c r="A37" s="380" t="s">
        <v>9</v>
      </c>
      <c r="B37" s="381"/>
      <c r="C37" s="382"/>
      <c r="D37" s="259">
        <v>0.5</v>
      </c>
      <c r="E37" s="8" t="s">
        <v>29</v>
      </c>
      <c r="F37" s="383" t="s">
        <v>155</v>
      </c>
      <c r="G37" s="383"/>
      <c r="H37" s="384"/>
      <c r="I37" s="385"/>
      <c r="J37" s="250"/>
      <c r="K37" s="250"/>
      <c r="L37" s="251"/>
      <c r="M37" s="250"/>
    </row>
    <row r="38" spans="1:13" ht="13.5" x14ac:dyDescent="0.25">
      <c r="A38" s="380" t="s">
        <v>14</v>
      </c>
      <c r="B38" s="381"/>
      <c r="C38" s="382"/>
      <c r="D38" s="8">
        <v>1</v>
      </c>
      <c r="E38" s="8" t="s">
        <v>28</v>
      </c>
      <c r="F38" s="383" t="s">
        <v>156</v>
      </c>
      <c r="G38" s="383"/>
      <c r="H38" s="384"/>
      <c r="I38" s="385"/>
      <c r="J38" s="250"/>
      <c r="K38" s="250"/>
      <c r="L38" s="251"/>
      <c r="M38" s="250"/>
    </row>
    <row r="39" spans="1:13" ht="13.5" x14ac:dyDescent="0.25">
      <c r="A39" s="380" t="s">
        <v>13</v>
      </c>
      <c r="B39" s="381"/>
      <c r="C39" s="382"/>
      <c r="D39" s="7">
        <v>420</v>
      </c>
      <c r="E39" s="8" t="s">
        <v>27</v>
      </c>
      <c r="F39" s="386" t="s">
        <v>157</v>
      </c>
      <c r="G39" s="387"/>
      <c r="H39" s="384"/>
      <c r="I39" s="385"/>
      <c r="J39" s="250"/>
      <c r="K39" s="250"/>
      <c r="L39" s="251"/>
      <c r="M39" s="260"/>
    </row>
    <row r="40" spans="1:13" ht="14.25" thickBot="1" x14ac:dyDescent="0.3">
      <c r="A40" s="388" t="s">
        <v>12</v>
      </c>
      <c r="B40" s="389"/>
      <c r="C40" s="390"/>
      <c r="D40" s="30">
        <v>0</v>
      </c>
      <c r="E40" s="31" t="s">
        <v>27</v>
      </c>
      <c r="F40" s="391"/>
      <c r="G40" s="391"/>
      <c r="H40" s="392"/>
      <c r="I40" s="393"/>
      <c r="J40" s="246"/>
      <c r="K40" s="246"/>
      <c r="L40" s="251"/>
      <c r="M40" s="246"/>
    </row>
    <row r="41" spans="1:13" ht="13.5" thickBot="1" x14ac:dyDescent="0.25">
      <c r="A41" s="394" t="s">
        <v>11</v>
      </c>
      <c r="B41" s="395"/>
      <c r="C41" s="395"/>
      <c r="D41" s="395"/>
      <c r="E41" s="395"/>
      <c r="F41" s="395"/>
      <c r="G41" s="395"/>
      <c r="H41" s="395"/>
      <c r="I41" s="396"/>
      <c r="J41" s="250"/>
      <c r="K41" s="250"/>
      <c r="L41" s="250"/>
      <c r="M41" s="250"/>
    </row>
    <row r="42" spans="1:13" ht="18.600000000000001" customHeight="1" x14ac:dyDescent="0.25">
      <c r="A42" s="270" t="s">
        <v>138</v>
      </c>
      <c r="B42" s="271"/>
      <c r="C42" s="271"/>
      <c r="D42" s="271"/>
      <c r="E42" s="271"/>
      <c r="F42" s="271"/>
      <c r="G42" s="271"/>
      <c r="H42" s="271"/>
      <c r="I42" s="272"/>
      <c r="J42" s="250"/>
      <c r="K42" s="250"/>
      <c r="L42" s="250"/>
      <c r="M42" s="250"/>
    </row>
    <row r="43" spans="1:13" ht="14.45" customHeight="1" x14ac:dyDescent="0.25">
      <c r="A43" s="270" t="s">
        <v>76</v>
      </c>
      <c r="B43" s="271"/>
      <c r="C43" s="271"/>
      <c r="D43" s="271"/>
      <c r="E43" s="271"/>
      <c r="F43" s="271"/>
      <c r="G43" s="271"/>
      <c r="H43" s="271"/>
      <c r="I43" s="272"/>
      <c r="J43" s="250"/>
      <c r="K43" s="250"/>
      <c r="L43" s="250"/>
      <c r="M43" s="250"/>
    </row>
    <row r="44" spans="1:13" ht="14.45" customHeight="1" x14ac:dyDescent="0.25">
      <c r="A44" s="270"/>
      <c r="B44" s="271"/>
      <c r="C44" s="271"/>
      <c r="D44" s="271"/>
      <c r="E44" s="271"/>
      <c r="F44" s="271"/>
      <c r="G44" s="271"/>
      <c r="H44" s="271"/>
      <c r="I44" s="272"/>
      <c r="J44" s="250"/>
      <c r="K44" s="250"/>
      <c r="L44" s="250"/>
      <c r="M44" s="250"/>
    </row>
    <row r="45" spans="1:13" ht="14.45" customHeight="1" x14ac:dyDescent="0.25">
      <c r="A45" s="404"/>
      <c r="B45" s="404"/>
      <c r="C45" s="404"/>
      <c r="D45" s="404"/>
      <c r="E45" s="404"/>
      <c r="F45" s="404"/>
      <c r="G45" s="404"/>
      <c r="H45" s="404"/>
      <c r="I45" s="404"/>
      <c r="J45" s="250"/>
      <c r="K45" s="250"/>
      <c r="L45" s="250"/>
      <c r="M45" s="250"/>
    </row>
    <row r="46" spans="1:13" ht="14.45" customHeight="1" x14ac:dyDescent="0.25">
      <c r="A46" s="405"/>
      <c r="B46" s="406"/>
      <c r="C46" s="407"/>
      <c r="D46" s="407"/>
      <c r="E46" s="407"/>
      <c r="F46" s="407"/>
      <c r="G46" s="407"/>
      <c r="H46" s="407"/>
      <c r="I46" s="408"/>
      <c r="J46" s="250"/>
      <c r="K46" s="250"/>
      <c r="L46" s="250"/>
      <c r="M46" s="250"/>
    </row>
    <row r="47" spans="1:13" ht="15" x14ac:dyDescent="0.25">
      <c r="A47" s="270"/>
      <c r="B47" s="271"/>
      <c r="C47" s="271"/>
      <c r="D47" s="271"/>
      <c r="E47" s="271"/>
      <c r="F47" s="271"/>
      <c r="G47" s="271"/>
      <c r="H47" s="271"/>
      <c r="I47" s="272"/>
      <c r="J47" s="250"/>
      <c r="K47" s="250"/>
      <c r="L47" s="250"/>
      <c r="M47" s="250"/>
    </row>
    <row r="48" spans="1:13" ht="18" customHeight="1" x14ac:dyDescent="0.2">
      <c r="A48" s="409"/>
      <c r="B48" s="410"/>
      <c r="C48" s="410"/>
      <c r="D48" s="410"/>
      <c r="E48" s="410"/>
      <c r="F48" s="410"/>
      <c r="G48" s="410"/>
      <c r="H48" s="410"/>
      <c r="I48" s="411"/>
      <c r="J48" s="250"/>
      <c r="K48" s="250"/>
      <c r="L48" s="250"/>
      <c r="M48" s="250"/>
    </row>
    <row r="49" spans="1:13" ht="13.5" x14ac:dyDescent="0.25">
      <c r="A49" s="412"/>
      <c r="B49" s="413"/>
      <c r="C49" s="413"/>
      <c r="D49" s="413"/>
      <c r="E49" s="413"/>
      <c r="F49" s="413"/>
      <c r="G49" s="413"/>
      <c r="H49" s="413"/>
      <c r="I49" s="414"/>
      <c r="J49" s="250"/>
      <c r="K49" s="250"/>
      <c r="L49" s="250"/>
      <c r="M49" s="250"/>
    </row>
    <row r="50" spans="1:13" ht="14.25" thickBot="1" x14ac:dyDescent="0.3">
      <c r="A50" s="397"/>
      <c r="B50" s="398"/>
      <c r="C50" s="398"/>
      <c r="D50" s="398"/>
      <c r="E50" s="398"/>
      <c r="F50" s="398"/>
      <c r="G50" s="398"/>
      <c r="H50" s="398"/>
      <c r="I50" s="399"/>
      <c r="J50" s="250"/>
      <c r="K50" s="250"/>
      <c r="L50" s="250"/>
      <c r="M50" s="250"/>
    </row>
    <row r="51" spans="1:13" x14ac:dyDescent="0.2">
      <c r="A51" s="400" t="s">
        <v>158</v>
      </c>
      <c r="B51" s="401"/>
      <c r="C51" s="401"/>
      <c r="D51" s="401"/>
      <c r="E51" s="401"/>
      <c r="F51" s="401"/>
      <c r="G51" s="401"/>
      <c r="H51" s="401"/>
      <c r="I51" s="401"/>
      <c r="J51" s="250"/>
      <c r="K51" s="250"/>
      <c r="L51" s="250"/>
      <c r="M51" s="250"/>
    </row>
    <row r="52" spans="1:13" ht="13.5" x14ac:dyDescent="0.25">
      <c r="A52" s="402"/>
      <c r="B52" s="403"/>
      <c r="C52" s="403"/>
      <c r="D52" s="403"/>
      <c r="E52" s="403"/>
      <c r="F52" s="403"/>
      <c r="G52" s="403"/>
      <c r="H52" s="403"/>
      <c r="I52" s="403"/>
      <c r="J52" s="250"/>
      <c r="K52" s="250"/>
      <c r="L52" s="250"/>
      <c r="M52" s="250"/>
    </row>
    <row r="53" spans="1:13" ht="13.5" x14ac:dyDescent="0.25">
      <c r="A53" s="402"/>
      <c r="B53" s="403"/>
      <c r="C53" s="403"/>
      <c r="D53" s="403"/>
      <c r="E53" s="403"/>
      <c r="F53" s="403"/>
      <c r="G53" s="403"/>
      <c r="H53" s="403"/>
      <c r="I53" s="403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B0C4F-6EC9-4B29-B1DC-F65D5BF270BC}">
  <dimension ref="A1:Q84"/>
  <sheetViews>
    <sheetView topLeftCell="A18" workbookViewId="0">
      <selection activeCell="F24" sqref="F24"/>
    </sheetView>
  </sheetViews>
  <sheetFormatPr baseColWidth="10" defaultColWidth="8.42578125" defaultRowHeight="12.75" x14ac:dyDescent="0.2"/>
  <cols>
    <col min="1" max="1" width="10" style="74" bestFit="1" customWidth="1"/>
    <col min="2" max="2" width="44.28515625" style="74" bestFit="1" customWidth="1"/>
    <col min="3" max="3" width="10.42578125" style="74" bestFit="1" customWidth="1"/>
    <col min="4" max="4" width="10.42578125" style="74" customWidth="1"/>
    <col min="5" max="5" width="9.7109375" style="74" bestFit="1" customWidth="1"/>
    <col min="6" max="6" width="9.5703125" style="74" bestFit="1" customWidth="1"/>
    <col min="7" max="7" width="9.5703125" style="155" bestFit="1" customWidth="1"/>
    <col min="8" max="8" width="10.42578125" style="146" bestFit="1" customWidth="1"/>
    <col min="9" max="9" width="4.5703125" style="146" customWidth="1"/>
    <col min="10" max="10" width="1.85546875" style="73" customWidth="1"/>
    <col min="11" max="11" width="7" style="74" bestFit="1" customWidth="1"/>
    <col min="12" max="12" width="6.28515625" style="74" customWidth="1"/>
    <col min="13" max="13" width="20.42578125" style="74" customWidth="1"/>
    <col min="14" max="14" width="6.42578125" style="74" bestFit="1" customWidth="1"/>
    <col min="15" max="16" width="8.42578125" style="74"/>
    <col min="17" max="17" width="3.28515625" style="74" customWidth="1"/>
    <col min="18" max="16384" width="8.42578125" style="74"/>
  </cols>
  <sheetData>
    <row r="1" spans="1:10" ht="27.75" customHeight="1" x14ac:dyDescent="0.2">
      <c r="A1" s="69"/>
      <c r="B1" s="69"/>
      <c r="C1" s="69"/>
      <c r="D1" s="69"/>
      <c r="E1" s="70" t="s">
        <v>77</v>
      </c>
      <c r="F1" s="71" t="s">
        <v>78</v>
      </c>
      <c r="G1" s="71" t="s">
        <v>79</v>
      </c>
      <c r="H1" s="71" t="s">
        <v>80</v>
      </c>
      <c r="I1" s="72"/>
    </row>
    <row r="2" spans="1:10" ht="30.75" customHeight="1" x14ac:dyDescent="0.2">
      <c r="A2" s="69"/>
      <c r="B2" s="69"/>
      <c r="C2" s="69"/>
      <c r="D2" s="69"/>
      <c r="E2" s="75">
        <f>IFERROR(O55,"")</f>
        <v>616.18501943200226</v>
      </c>
      <c r="F2" s="75">
        <f>IFERROR(H46,"")</f>
        <v>385.18362233672218</v>
      </c>
      <c r="G2" s="75">
        <f>IFERROR(H47,"")</f>
        <v>8.34</v>
      </c>
      <c r="H2" s="75">
        <f>IFERROR(H49,"")</f>
        <v>72.015441959531415</v>
      </c>
      <c r="I2" s="76"/>
    </row>
    <row r="3" spans="1:10" ht="15" customHeight="1" x14ac:dyDescent="0.2">
      <c r="A3" s="69"/>
      <c r="B3" s="69"/>
      <c r="C3" s="69"/>
      <c r="D3" s="69"/>
      <c r="E3" s="69"/>
      <c r="F3" s="77"/>
      <c r="G3" s="77"/>
      <c r="H3" s="77"/>
      <c r="I3" s="77"/>
    </row>
    <row r="4" spans="1:10" ht="24.75" customHeight="1" thickBot="1" x14ac:dyDescent="0.25">
      <c r="A4" s="317"/>
      <c r="B4" s="317"/>
      <c r="C4" s="317"/>
      <c r="D4" s="317"/>
      <c r="E4" s="317"/>
      <c r="F4" s="317"/>
      <c r="G4" s="317"/>
      <c r="H4" s="317"/>
      <c r="I4" s="78"/>
    </row>
    <row r="5" spans="1:10" ht="19.5" customHeight="1" thickBot="1" x14ac:dyDescent="0.25">
      <c r="A5" s="318" t="s">
        <v>81</v>
      </c>
      <c r="B5" s="319"/>
      <c r="C5" s="319"/>
      <c r="D5" s="319"/>
      <c r="E5" s="319"/>
      <c r="F5" s="319"/>
      <c r="G5" s="319"/>
      <c r="H5" s="320"/>
      <c r="I5" s="79"/>
    </row>
    <row r="6" spans="1:10" ht="19.5" thickBot="1" x14ac:dyDescent="0.25">
      <c r="A6" s="79"/>
      <c r="B6" s="79"/>
      <c r="C6" s="79"/>
      <c r="D6" s="79"/>
      <c r="E6" s="79"/>
      <c r="F6" s="321" t="s">
        <v>82</v>
      </c>
      <c r="G6" s="321"/>
      <c r="H6" s="80">
        <f ca="1">TODAY()</f>
        <v>45743</v>
      </c>
      <c r="I6" s="80"/>
    </row>
    <row r="7" spans="1:10" ht="26.25" hidden="1" thickBot="1" x14ac:dyDescent="0.25">
      <c r="A7" s="81" t="s">
        <v>83</v>
      </c>
      <c r="B7" s="82" t="s">
        <v>84</v>
      </c>
      <c r="C7" s="82" t="s">
        <v>83</v>
      </c>
      <c r="D7" s="83" t="s">
        <v>85</v>
      </c>
      <c r="E7" s="83" t="s">
        <v>86</v>
      </c>
      <c r="F7" s="83" t="s">
        <v>87</v>
      </c>
      <c r="G7" s="83" t="s">
        <v>88</v>
      </c>
      <c r="H7" s="84" t="s">
        <v>89</v>
      </c>
      <c r="I7" s="85"/>
    </row>
    <row r="8" spans="1:10" ht="13.5" hidden="1" x14ac:dyDescent="0.25">
      <c r="A8" s="86"/>
      <c r="B8" s="74" t="str">
        <f>IFERROR(VLOOKUP(H8,'[1]ARTICULOS MP PLANTA'!$A$2:$G$2000,2,0),"")</f>
        <v/>
      </c>
      <c r="C8" s="87">
        <f>+A8</f>
        <v>0</v>
      </c>
      <c r="D8" s="88" t="str">
        <f>IFERROR(VLOOKUP(H8,'[1]ARTICULOS MP PLANTA'!$A$2:$G$2000,6,0),"")</f>
        <v/>
      </c>
      <c r="E8" s="88" t="str">
        <f>IFERROR(VLOOKUP(H8,'[1]ARTICULOS MP PLANTA'!$A$2:$G$2000,7,0),"")</f>
        <v/>
      </c>
      <c r="F8" s="88" t="str">
        <f>IFERROR(C8*E8,"")</f>
        <v/>
      </c>
      <c r="G8" s="89" t="str">
        <f>IFERROR(F8/$F$59,"")</f>
        <v/>
      </c>
      <c r="H8" s="90"/>
      <c r="I8" s="90"/>
      <c r="J8" s="91"/>
    </row>
    <row r="9" spans="1:10" ht="13.5" hidden="1" x14ac:dyDescent="0.25">
      <c r="A9" s="86"/>
      <c r="B9" s="74" t="str">
        <f>IFERROR(VLOOKUP(H9,'[1]ARTICULOS MP PLANTA'!$A$2:$G$2000,2,0),"")</f>
        <v/>
      </c>
      <c r="C9" s="87">
        <f t="shared" ref="C9:C14" si="0">+A9</f>
        <v>0</v>
      </c>
      <c r="D9" s="88" t="str">
        <f>IFERROR(VLOOKUP(H9,'[1]ARTICULOS MP PLANTA'!$A$2:$G$2000,6,0),"")</f>
        <v/>
      </c>
      <c r="E9" s="88" t="str">
        <f>IFERROR(VLOOKUP(H9,'[1]ARTICULOS MP PLANTA'!$A$2:$G$2000,7,0),"")</f>
        <v/>
      </c>
      <c r="F9" s="88" t="str">
        <f t="shared" ref="F9:F14" si="1">IFERROR(C9*E9,"")</f>
        <v/>
      </c>
      <c r="G9" s="89" t="str">
        <f t="shared" ref="G9:G14" si="2">IFERROR(F9/$F$59,"")</f>
        <v/>
      </c>
      <c r="H9" s="90"/>
      <c r="I9" s="90"/>
      <c r="J9" s="91"/>
    </row>
    <row r="10" spans="1:10" ht="13.5" hidden="1" x14ac:dyDescent="0.25">
      <c r="A10" s="86"/>
      <c r="B10" s="74" t="str">
        <f>IFERROR(VLOOKUP(H10,'[1]ARTICULOS MP PLANTA'!$A$2:$G$2000,2,0),"")</f>
        <v/>
      </c>
      <c r="C10" s="87">
        <f t="shared" si="0"/>
        <v>0</v>
      </c>
      <c r="D10" s="88" t="str">
        <f>IFERROR(VLOOKUP(H10,'[1]ARTICULOS MP PLANTA'!$A$2:$G$2000,6,0),"")</f>
        <v/>
      </c>
      <c r="E10" s="88" t="str">
        <f>IFERROR(VLOOKUP(H10,'[1]ARTICULOS MP PLANTA'!$A$2:$G$2000,7,0),"")</f>
        <v/>
      </c>
      <c r="F10" s="88" t="str">
        <f t="shared" si="1"/>
        <v/>
      </c>
      <c r="G10" s="89" t="str">
        <f t="shared" si="2"/>
        <v/>
      </c>
      <c r="H10" s="90"/>
      <c r="I10" s="90"/>
      <c r="J10" s="91"/>
    </row>
    <row r="11" spans="1:10" ht="13.5" hidden="1" x14ac:dyDescent="0.25">
      <c r="A11" s="86"/>
      <c r="B11" s="74" t="str">
        <f>IFERROR(VLOOKUP(H11,'[1]ARTICULOS MP PLANTA'!$A$2:$G$2000,2,0),"")</f>
        <v/>
      </c>
      <c r="C11" s="87">
        <f t="shared" si="0"/>
        <v>0</v>
      </c>
      <c r="D11" s="88" t="str">
        <f>IFERROR(VLOOKUP(H11,'[1]ARTICULOS MP PLANTA'!$A$2:$G$2000,6,0),"")</f>
        <v/>
      </c>
      <c r="E11" s="88" t="str">
        <f>IFERROR(VLOOKUP(H11,'[1]ARTICULOS MP PLANTA'!$A$2:$G$2000,7,0),"")</f>
        <v/>
      </c>
      <c r="F11" s="88" t="str">
        <f t="shared" si="1"/>
        <v/>
      </c>
      <c r="G11" s="89" t="str">
        <f t="shared" si="2"/>
        <v/>
      </c>
      <c r="H11" s="90"/>
      <c r="I11" s="90"/>
      <c r="J11" s="91"/>
    </row>
    <row r="12" spans="1:10" ht="13.5" hidden="1" x14ac:dyDescent="0.25">
      <c r="A12" s="86"/>
      <c r="B12" s="74" t="str">
        <f>IFERROR(VLOOKUP(H12,'[1]ARTICULOS MP PLANTA'!$A$2:$G$2000,2,0),"")</f>
        <v/>
      </c>
      <c r="C12" s="87">
        <f t="shared" si="0"/>
        <v>0</v>
      </c>
      <c r="D12" s="88" t="str">
        <f>IFERROR(VLOOKUP(H12,'[1]ARTICULOS MP PLANTA'!$A$2:$G$2000,6,0),"")</f>
        <v/>
      </c>
      <c r="E12" s="88" t="str">
        <f>IFERROR(VLOOKUP(H12,'[1]ARTICULOS MP PLANTA'!$A$2:$G$2000,7,0),"")</f>
        <v/>
      </c>
      <c r="F12" s="88" t="str">
        <f t="shared" si="1"/>
        <v/>
      </c>
      <c r="G12" s="89" t="str">
        <f t="shared" si="2"/>
        <v/>
      </c>
      <c r="H12" s="90"/>
      <c r="I12" s="90"/>
      <c r="J12" s="91"/>
    </row>
    <row r="13" spans="1:10" ht="13.5" hidden="1" x14ac:dyDescent="0.25">
      <c r="A13" s="86"/>
      <c r="B13" s="74" t="str">
        <f>IFERROR(VLOOKUP(H13,'[1]ARTICULOS MP PLANTA'!$A$2:$G$2000,2,0),"")</f>
        <v/>
      </c>
      <c r="C13" s="87">
        <f t="shared" si="0"/>
        <v>0</v>
      </c>
      <c r="D13" s="88" t="str">
        <f>IFERROR(VLOOKUP(H13,'[1]ARTICULOS MP PLANTA'!$A$2:$G$2000,6,0),"")</f>
        <v/>
      </c>
      <c r="E13" s="88" t="str">
        <f>IFERROR(VLOOKUP(H13,'[1]ARTICULOS MP PLANTA'!$A$2:$G$2000,7,0),"")</f>
        <v/>
      </c>
      <c r="F13" s="88" t="str">
        <f t="shared" si="1"/>
        <v/>
      </c>
      <c r="G13" s="89" t="str">
        <f t="shared" si="2"/>
        <v/>
      </c>
      <c r="H13" s="90"/>
      <c r="I13" s="90"/>
      <c r="J13" s="91"/>
    </row>
    <row r="14" spans="1:10" ht="13.5" hidden="1" x14ac:dyDescent="0.25">
      <c r="A14" s="86"/>
      <c r="B14" s="74" t="str">
        <f>IFERROR(VLOOKUP(H14,'[1]ARTICULOS MP PLANTA'!$A$2:$G$2000,2,0),"")</f>
        <v/>
      </c>
      <c r="C14" s="87">
        <f t="shared" si="0"/>
        <v>0</v>
      </c>
      <c r="D14" s="88" t="str">
        <f>IFERROR(VLOOKUP(H14,'[1]ARTICULOS MP PLANTA'!$A$2:$G$2000,6,0),"")</f>
        <v/>
      </c>
      <c r="E14" s="88" t="str">
        <f>IFERROR(VLOOKUP(H14,'[1]ARTICULOS MP PLANTA'!$A$2:$G$2000,7,0),"")</f>
        <v/>
      </c>
      <c r="F14" s="88" t="str">
        <f t="shared" si="1"/>
        <v/>
      </c>
      <c r="G14" s="89" t="str">
        <f t="shared" si="2"/>
        <v/>
      </c>
      <c r="H14" s="90"/>
      <c r="I14" s="90"/>
      <c r="J14" s="91"/>
    </row>
    <row r="15" spans="1:10" ht="14.25" hidden="1" thickBot="1" x14ac:dyDescent="0.3">
      <c r="A15" s="86"/>
      <c r="B15" s="74" t="str">
        <f>IFERROR(VLOOKUP(H15,'[1]ARTICULOS MP PLANTA'!$A$2:$G$589,2,0),"")</f>
        <v/>
      </c>
      <c r="C15" s="87"/>
      <c r="D15" s="88"/>
      <c r="E15" s="88"/>
      <c r="F15" s="88"/>
      <c r="G15" s="89"/>
      <c r="H15" s="90"/>
      <c r="I15" s="90"/>
      <c r="J15" s="91"/>
    </row>
    <row r="16" spans="1:10" ht="26.25" thickBot="1" x14ac:dyDescent="0.25">
      <c r="A16" s="81" t="s">
        <v>83</v>
      </c>
      <c r="B16" s="82" t="s">
        <v>90</v>
      </c>
      <c r="C16" s="82" t="s">
        <v>83</v>
      </c>
      <c r="D16" s="83" t="s">
        <v>85</v>
      </c>
      <c r="E16" s="83" t="s">
        <v>86</v>
      </c>
      <c r="F16" s="83" t="s">
        <v>87</v>
      </c>
      <c r="G16" s="83" t="s">
        <v>88</v>
      </c>
      <c r="H16" s="84" t="s">
        <v>89</v>
      </c>
      <c r="I16" s="85"/>
      <c r="J16" s="91"/>
    </row>
    <row r="17" spans="1:12" ht="13.5" x14ac:dyDescent="0.25">
      <c r="A17" s="86">
        <v>380</v>
      </c>
      <c r="B17" s="74" t="s">
        <v>69</v>
      </c>
      <c r="C17" s="87">
        <f>+A17</f>
        <v>380</v>
      </c>
      <c r="D17" s="87" t="s">
        <v>127</v>
      </c>
      <c r="E17" s="88">
        <f>+'costo Sopa Azteca'!E71</f>
        <v>1.0136411114124269</v>
      </c>
      <c r="F17" s="88">
        <f>IFERROR(E17*C17,"")</f>
        <v>385.18362233672218</v>
      </c>
      <c r="G17" s="89">
        <f>IFERROR(F17/$F$59,"")</f>
        <v>0.898435035565609</v>
      </c>
      <c r="H17" s="90"/>
      <c r="I17" s="90"/>
      <c r="J17" s="91"/>
    </row>
    <row r="18" spans="1:12" ht="13.5" x14ac:dyDescent="0.25">
      <c r="A18" s="86">
        <v>20</v>
      </c>
      <c r="B18" s="74" t="str">
        <f>IFERROR(VLOOKUP($H18,[2]SEMIELABORADOS!$A$1:$J$998,2,0),"")</f>
        <v/>
      </c>
      <c r="C18" s="87">
        <f>+A18</f>
        <v>20</v>
      </c>
      <c r="D18" s="87" t="str">
        <f>IFERROR(VLOOKUP($H18,[2]SEMIELABORADOS!$A$1:$J$998,4,0),"")</f>
        <v/>
      </c>
      <c r="E18" s="88" t="str">
        <f>IFERROR(VLOOKUP($H18,[2]SEMIELABORADOS!$A$1:$J$998,6,0),"")</f>
        <v/>
      </c>
      <c r="F18" s="88" t="str">
        <f>IFERROR(E18*C18,"")</f>
        <v/>
      </c>
      <c r="G18" s="89" t="str">
        <f>IFERROR(F18/$F$59,"")</f>
        <v/>
      </c>
      <c r="H18" s="90" t="s">
        <v>70</v>
      </c>
      <c r="I18" s="90"/>
      <c r="J18" s="91"/>
    </row>
    <row r="19" spans="1:12" ht="13.5" hidden="1" x14ac:dyDescent="0.25">
      <c r="A19" s="86"/>
      <c r="B19" s="74" t="str">
        <f>IFERROR(VLOOKUP($H19,[2]SEMIELABORADOS!$A$1:$J$998,2,0),"")</f>
        <v/>
      </c>
      <c r="C19" s="87">
        <f>+A19</f>
        <v>0</v>
      </c>
      <c r="D19" s="87" t="str">
        <f>IFERROR(VLOOKUP($H19,[2]SEMIELABORADOS!$A$1:$J$998,4,0),"")</f>
        <v/>
      </c>
      <c r="E19" s="88" t="str">
        <f>IFERROR(VLOOKUP($H19,[2]SEMIELABORADOS!$A$1:$J$998,6,0),"")</f>
        <v/>
      </c>
      <c r="F19" s="88" t="str">
        <f>IFERROR(E19*C19,"")</f>
        <v/>
      </c>
      <c r="G19" s="89" t="str">
        <f>IFERROR(F19/$F$59,"")</f>
        <v/>
      </c>
      <c r="H19" s="90"/>
      <c r="I19" s="90"/>
      <c r="J19" s="91"/>
    </row>
    <row r="20" spans="1:12" ht="13.5" hidden="1" x14ac:dyDescent="0.25">
      <c r="A20" s="86"/>
      <c r="B20" s="74" t="str">
        <f>IFERROR(VLOOKUP($H20,[2]SEMIELABORADOS!$A$1:$J$998,2,0),"")</f>
        <v/>
      </c>
      <c r="C20" s="87">
        <f>+A20</f>
        <v>0</v>
      </c>
      <c r="D20" s="87" t="str">
        <f>IFERROR(VLOOKUP($H20,[2]SEMIELABORADOS!$A$1:$J$998,4,0),"")</f>
        <v/>
      </c>
      <c r="E20" s="88" t="str">
        <f>IFERROR(VLOOKUP($H20,[2]SEMIELABORADOS!$A$1:$J$998,6,0),"")</f>
        <v/>
      </c>
      <c r="F20" s="88" t="str">
        <f>IFERROR(E20*C20,"")</f>
        <v/>
      </c>
      <c r="G20" s="89" t="str">
        <f>IFERROR(F20/$F$59,"")</f>
        <v/>
      </c>
      <c r="H20" s="90"/>
      <c r="I20" s="90"/>
      <c r="J20" s="91"/>
    </row>
    <row r="21" spans="1:12" ht="13.5" hidden="1" x14ac:dyDescent="0.25">
      <c r="A21" s="86"/>
      <c r="B21" s="74" t="str">
        <f>IFERROR(VLOOKUP($H21,[2]SEMIELABORADOS!$A$1:$J$998,2,0),"")</f>
        <v/>
      </c>
      <c r="C21" s="87">
        <f>+A21</f>
        <v>0</v>
      </c>
      <c r="D21" s="87" t="str">
        <f>IFERROR(VLOOKUP($H21,[2]SEMIELABORADOS!$A$1:$J$998,4,0),"")</f>
        <v/>
      </c>
      <c r="E21" s="88" t="str">
        <f>IFERROR(VLOOKUP($H21,[2]SEMIELABORADOS!$A$1:$J$998,6,0),"")</f>
        <v/>
      </c>
      <c r="F21" s="88" t="str">
        <f>IFERROR(E21*C21,"")</f>
        <v/>
      </c>
      <c r="G21" s="89" t="str">
        <f>IFERROR(F21/$F$59,"")</f>
        <v/>
      </c>
      <c r="H21" s="90"/>
      <c r="I21" s="90"/>
      <c r="J21" s="91"/>
    </row>
    <row r="22" spans="1:12" ht="14.25" thickBot="1" x14ac:dyDescent="0.3">
      <c r="A22" s="86"/>
      <c r="C22" s="87"/>
      <c r="D22" s="87"/>
      <c r="E22" s="88"/>
      <c r="F22" s="88"/>
      <c r="G22" s="89"/>
      <c r="H22" s="90"/>
      <c r="I22" s="90"/>
      <c r="J22" s="91"/>
    </row>
    <row r="23" spans="1:12" ht="26.25" thickBot="1" x14ac:dyDescent="0.25">
      <c r="A23" s="81" t="s">
        <v>83</v>
      </c>
      <c r="B23" s="82" t="s">
        <v>91</v>
      </c>
      <c r="C23" s="82" t="s">
        <v>83</v>
      </c>
      <c r="D23" s="83" t="s">
        <v>85</v>
      </c>
      <c r="E23" s="83" t="s">
        <v>86</v>
      </c>
      <c r="F23" s="83" t="s">
        <v>87</v>
      </c>
      <c r="G23" s="83" t="s">
        <v>88</v>
      </c>
      <c r="H23" s="84" t="s">
        <v>89</v>
      </c>
      <c r="I23" s="85"/>
    </row>
    <row r="24" spans="1:12" ht="13.5" x14ac:dyDescent="0.25">
      <c r="A24" s="86">
        <v>1</v>
      </c>
      <c r="B24" s="92" t="str">
        <f>IFERROR(VLOOKUP(H24,'[1]EMPAQUE PLANTA'!$A$2:$H$1000,2,0),"")</f>
        <v>BOLSA 8x12 TRANSPARENTE KILO</v>
      </c>
      <c r="C24" s="87">
        <f t="shared" ref="C24:C29" si="3">+A24</f>
        <v>1</v>
      </c>
      <c r="D24" s="88" t="str">
        <f>IFERROR(VLOOKUP(H24,'[1]EMPAQUE PLANTA'!$A$2:$H$1000,7,0),"")</f>
        <v>UND</v>
      </c>
      <c r="E24" s="88">
        <f>IFERROR(VLOOKUP(H24,'[1]EMPAQUE PLANTA'!$A$2:$H$1000,8,0),"")</f>
        <v>7</v>
      </c>
      <c r="F24" s="88">
        <f t="shared" ref="F24:F29" si="4">IFERROR(E24*C24,"")</f>
        <v>7</v>
      </c>
      <c r="G24" s="89">
        <f t="shared" ref="G24:G29" si="5">IFERROR(F24/$F$59,"")</f>
        <v>1.6327395258413833E-2</v>
      </c>
      <c r="H24" s="93" t="s">
        <v>72</v>
      </c>
      <c r="I24" s="93"/>
      <c r="J24" s="91"/>
      <c r="K24" s="316"/>
      <c r="L24" s="316"/>
    </row>
    <row r="25" spans="1:12" ht="13.5" x14ac:dyDescent="0.25">
      <c r="A25" s="86">
        <v>2</v>
      </c>
      <c r="B25" s="92" t="s">
        <v>74</v>
      </c>
      <c r="C25" s="87">
        <f t="shared" si="3"/>
        <v>2</v>
      </c>
      <c r="D25" s="88" t="s">
        <v>136</v>
      </c>
      <c r="E25" s="88">
        <v>0.57999999999999996</v>
      </c>
      <c r="F25" s="88">
        <f t="shared" si="4"/>
        <v>1.1599999999999999</v>
      </c>
      <c r="G25" s="89">
        <f t="shared" si="5"/>
        <v>2.705682642822864E-3</v>
      </c>
      <c r="H25" s="93" t="s">
        <v>134</v>
      </c>
      <c r="I25" s="93"/>
      <c r="J25" s="91"/>
      <c r="K25" s="316"/>
      <c r="L25" s="316"/>
    </row>
    <row r="26" spans="1:12" ht="13.5" x14ac:dyDescent="0.25">
      <c r="A26" s="86">
        <v>1</v>
      </c>
      <c r="B26" s="92" t="s">
        <v>75</v>
      </c>
      <c r="C26" s="87">
        <f t="shared" si="3"/>
        <v>1</v>
      </c>
      <c r="D26" s="88" t="s">
        <v>136</v>
      </c>
      <c r="E26" s="88">
        <v>0.18</v>
      </c>
      <c r="F26" s="88">
        <f t="shared" si="4"/>
        <v>0.18</v>
      </c>
      <c r="G26" s="89">
        <f t="shared" si="5"/>
        <v>4.1984730664492716E-4</v>
      </c>
      <c r="H26" s="93" t="s">
        <v>135</v>
      </c>
      <c r="I26" s="93"/>
      <c r="J26" s="91"/>
      <c r="K26" s="316"/>
      <c r="L26" s="316"/>
    </row>
    <row r="27" spans="1:12" ht="13.5" hidden="1" x14ac:dyDescent="0.25">
      <c r="A27" s="86"/>
      <c r="B27" s="92" t="str">
        <f>IFERROR(VLOOKUP(H27,'[1]EMPAQUE PLANTA'!$A$2:$H$1000,2,0),"")</f>
        <v/>
      </c>
      <c r="C27" s="87">
        <f t="shared" si="3"/>
        <v>0</v>
      </c>
      <c r="D27" s="88" t="str">
        <f>IFERROR(VLOOKUP(H27,'[1]EMPAQUE PLANTA'!$A$2:$H$1000,7,0),"")</f>
        <v/>
      </c>
      <c r="E27" s="88" t="str">
        <f>IFERROR(VLOOKUP(H27,'[1]EMPAQUE PLANTA'!$A$2:$H$1000,8,0),"")</f>
        <v/>
      </c>
      <c r="F27" s="88" t="str">
        <f t="shared" si="4"/>
        <v/>
      </c>
      <c r="G27" s="89" t="str">
        <f t="shared" si="5"/>
        <v/>
      </c>
      <c r="H27" s="93"/>
      <c r="I27" s="93"/>
      <c r="J27" s="91"/>
      <c r="K27" s="316"/>
      <c r="L27" s="316"/>
    </row>
    <row r="28" spans="1:12" ht="13.5" hidden="1" x14ac:dyDescent="0.25">
      <c r="A28" s="86"/>
      <c r="B28" s="92" t="str">
        <f>IFERROR(VLOOKUP(H28,'[1]EMPAQUE PLANTA'!$A$2:$H$1000,2,0),"")</f>
        <v/>
      </c>
      <c r="C28" s="87">
        <f t="shared" si="3"/>
        <v>0</v>
      </c>
      <c r="D28" s="88" t="str">
        <f>IFERROR(VLOOKUP(H28,'[1]EMPAQUE PLANTA'!$A$2:$H$1000,7,0),"")</f>
        <v/>
      </c>
      <c r="E28" s="88" t="str">
        <f>IFERROR(VLOOKUP(H28,'[1]EMPAQUE PLANTA'!$A$2:$H$1000,8,0),"")</f>
        <v/>
      </c>
      <c r="F28" s="88" t="str">
        <f t="shared" si="4"/>
        <v/>
      </c>
      <c r="G28" s="89" t="str">
        <f t="shared" si="5"/>
        <v/>
      </c>
      <c r="H28" s="93"/>
      <c r="I28" s="93"/>
      <c r="J28" s="91"/>
      <c r="K28" s="94"/>
      <c r="L28" s="95"/>
    </row>
    <row r="29" spans="1:12" ht="13.5" hidden="1" x14ac:dyDescent="0.25">
      <c r="A29" s="86"/>
      <c r="B29" s="92" t="str">
        <f>IFERROR(VLOOKUP(H29,'[1]EMPAQUE PLANTA'!$A$2:$H$1000,2,0),"")</f>
        <v/>
      </c>
      <c r="C29" s="87">
        <f t="shared" si="3"/>
        <v>0</v>
      </c>
      <c r="D29" s="88" t="str">
        <f>IFERROR(VLOOKUP(H29,'[1]EMPAQUE PLANTA'!$A$2:$H$1000,7,0),"")</f>
        <v/>
      </c>
      <c r="E29" s="88" t="str">
        <f>IFERROR(VLOOKUP(H29,'[1]EMPAQUE PLANTA'!$A$2:$H$1000,8,0),"")</f>
        <v/>
      </c>
      <c r="F29" s="88" t="str">
        <f t="shared" si="4"/>
        <v/>
      </c>
      <c r="G29" s="89" t="str">
        <f t="shared" si="5"/>
        <v/>
      </c>
      <c r="H29" s="93"/>
      <c r="I29" s="93"/>
      <c r="J29" s="91"/>
    </row>
    <row r="30" spans="1:12" ht="14.25" thickBot="1" x14ac:dyDescent="0.3">
      <c r="A30" s="86"/>
      <c r="B30" s="92" t="str">
        <f>IFERROR(VLOOKUP(H30,'[1]EMPAQUE PLANTA'!$A$2:$H$176,2,0),"")</f>
        <v/>
      </c>
      <c r="C30" s="87"/>
      <c r="D30" s="88"/>
      <c r="E30" s="88"/>
      <c r="F30" s="88"/>
      <c r="G30" s="89"/>
      <c r="H30" s="93"/>
      <c r="I30" s="93"/>
      <c r="J30" s="91"/>
    </row>
    <row r="31" spans="1:12" ht="26.25" thickBot="1" x14ac:dyDescent="0.25">
      <c r="A31" s="81" t="s">
        <v>83</v>
      </c>
      <c r="B31" s="82" t="s">
        <v>92</v>
      </c>
      <c r="C31" s="82" t="s">
        <v>83</v>
      </c>
      <c r="D31" s="83" t="s">
        <v>85</v>
      </c>
      <c r="E31" s="83" t="s">
        <v>86</v>
      </c>
      <c r="F31" s="83" t="s">
        <v>87</v>
      </c>
      <c r="G31" s="83" t="s">
        <v>88</v>
      </c>
      <c r="H31" s="84" t="s">
        <v>89</v>
      </c>
      <c r="I31" s="85"/>
      <c r="J31" s="91"/>
    </row>
    <row r="32" spans="1:12" ht="13.5" x14ac:dyDescent="0.25">
      <c r="A32" s="86">
        <f>+A17</f>
        <v>380</v>
      </c>
      <c r="B32" s="92" t="s">
        <v>69</v>
      </c>
      <c r="C32" s="87">
        <f>+A32</f>
        <v>380</v>
      </c>
      <c r="D32" s="88" t="s">
        <v>93</v>
      </c>
      <c r="E32" s="88">
        <f>+'costo Sopa Azteca'!E78</f>
        <v>0</v>
      </c>
      <c r="F32" s="88">
        <f>IFERROR(E32*C32,"")</f>
        <v>0</v>
      </c>
      <c r="G32" s="89">
        <f>IFERROR(F32/$F$58,"")</f>
        <v>0</v>
      </c>
      <c r="H32" s="93"/>
      <c r="I32" s="93"/>
      <c r="J32" s="91"/>
    </row>
    <row r="33" spans="1:17" ht="13.5" x14ac:dyDescent="0.25">
      <c r="A33" s="86">
        <f>+A18</f>
        <v>20</v>
      </c>
      <c r="B33" s="92" t="s">
        <v>133</v>
      </c>
      <c r="C33" s="87">
        <f>+A33</f>
        <v>20</v>
      </c>
      <c r="D33" s="88" t="s">
        <v>93</v>
      </c>
      <c r="E33" s="88" t="str">
        <f>IFERROR(VLOOKUP($H33,[2]SEMIELABORADOS!$A$1:$J$998,8,0),"")</f>
        <v/>
      </c>
      <c r="F33" s="88" t="str">
        <f>IFERROR(E33*C33,"")</f>
        <v/>
      </c>
      <c r="G33" s="89" t="str">
        <f>IFERROR(F33/$F$58,"")</f>
        <v/>
      </c>
      <c r="H33" s="93" t="s">
        <v>70</v>
      </c>
      <c r="I33" s="93"/>
      <c r="J33" s="91"/>
    </row>
    <row r="34" spans="1:17" ht="13.5" hidden="1" x14ac:dyDescent="0.25">
      <c r="A34" s="86">
        <f>+A19</f>
        <v>0</v>
      </c>
      <c r="B34" s="92"/>
      <c r="C34" s="87">
        <f>+A34</f>
        <v>0</v>
      </c>
      <c r="D34" s="88" t="s">
        <v>93</v>
      </c>
      <c r="E34" s="88" t="str">
        <f>IFERROR(VLOOKUP($H34,[2]SEMIELABORADOS!$A$1:$J$998,8,0),"")</f>
        <v/>
      </c>
      <c r="F34" s="88" t="str">
        <f>IFERROR(E34*C34,"")</f>
        <v/>
      </c>
      <c r="G34" s="89" t="str">
        <f>IFERROR(F34/$F$58,"")</f>
        <v/>
      </c>
      <c r="H34" s="93"/>
      <c r="I34" s="93"/>
      <c r="J34" s="91"/>
    </row>
    <row r="35" spans="1:17" ht="13.5" hidden="1" x14ac:dyDescent="0.25">
      <c r="A35" s="86">
        <f>+A20</f>
        <v>0</v>
      </c>
      <c r="B35" s="92"/>
      <c r="C35" s="87">
        <f>+A35</f>
        <v>0</v>
      </c>
      <c r="D35" s="88" t="s">
        <v>93</v>
      </c>
      <c r="E35" s="88" t="str">
        <f>IFERROR(VLOOKUP($H35,[2]SEMIELABORADOS!$A$1:$J$998,8,0),"")</f>
        <v/>
      </c>
      <c r="F35" s="88" t="str">
        <f>IFERROR(E35*C35,"")</f>
        <v/>
      </c>
      <c r="G35" s="89" t="str">
        <f>IFERROR(F35/$F$58,"")</f>
        <v/>
      </c>
      <c r="H35" s="93"/>
      <c r="I35" s="93"/>
      <c r="J35" s="91"/>
    </row>
    <row r="36" spans="1:17" ht="13.5" hidden="1" x14ac:dyDescent="0.25">
      <c r="A36" s="86">
        <f>+A21</f>
        <v>0</v>
      </c>
      <c r="B36" s="92"/>
      <c r="C36" s="87">
        <f>+A36</f>
        <v>0</v>
      </c>
      <c r="D36" s="88" t="s">
        <v>93</v>
      </c>
      <c r="E36" s="88" t="str">
        <f>IFERROR(VLOOKUP($H36,[2]SEMIELABORADOS!$A$1:$J$998,8,0),"")</f>
        <v/>
      </c>
      <c r="F36" s="88" t="str">
        <f>IFERROR(E36*C36,"")</f>
        <v/>
      </c>
      <c r="G36" s="89" t="str">
        <f>IFERROR(F36/$F$58,"")</f>
        <v/>
      </c>
      <c r="H36" s="93"/>
      <c r="I36" s="93"/>
      <c r="J36" s="91"/>
    </row>
    <row r="37" spans="1:17" ht="14.25" thickBot="1" x14ac:dyDescent="0.3">
      <c r="A37" s="86"/>
      <c r="B37" s="92"/>
      <c r="C37" s="87"/>
      <c r="D37" s="88"/>
      <c r="E37" s="88"/>
      <c r="F37" s="88"/>
      <c r="G37" s="89"/>
      <c r="H37" s="93"/>
      <c r="I37" s="93"/>
      <c r="J37" s="91"/>
    </row>
    <row r="38" spans="1:17" ht="26.25" thickBot="1" x14ac:dyDescent="0.25">
      <c r="A38" s="81" t="s">
        <v>83</v>
      </c>
      <c r="B38" s="82" t="s">
        <v>94</v>
      </c>
      <c r="C38" s="82" t="s">
        <v>83</v>
      </c>
      <c r="D38" s="82"/>
      <c r="E38" s="83" t="s">
        <v>86</v>
      </c>
      <c r="F38" s="83" t="s">
        <v>87</v>
      </c>
      <c r="G38" s="83" t="s">
        <v>88</v>
      </c>
      <c r="H38" s="84" t="s">
        <v>89</v>
      </c>
      <c r="I38" s="85"/>
      <c r="J38" s="91"/>
    </row>
    <row r="39" spans="1:17" ht="13.5" x14ac:dyDescent="0.25">
      <c r="A39" s="86">
        <f>+A17</f>
        <v>380</v>
      </c>
      <c r="B39" s="96" t="s">
        <v>69</v>
      </c>
      <c r="C39" s="87">
        <f t="shared" ref="C39:C44" si="6">+A39</f>
        <v>380</v>
      </c>
      <c r="D39" s="87" t="s">
        <v>93</v>
      </c>
      <c r="E39" s="88">
        <f>+'costo Sopa Azteca'!E76</f>
        <v>0.11714589989350373</v>
      </c>
      <c r="F39" s="88">
        <f t="shared" ref="F39:F44" si="7">IFERROR(C39*E39,"")</f>
        <v>44.515441959531415</v>
      </c>
      <c r="G39" s="89">
        <f t="shared" ref="G39:G44" si="8">IFERROR(F39/$F$59,"")</f>
        <v>0.10383160228232136</v>
      </c>
      <c r="H39" s="97"/>
      <c r="I39" s="97"/>
      <c r="J39" s="91"/>
    </row>
    <row r="40" spans="1:17" ht="13.5" x14ac:dyDescent="0.25">
      <c r="A40" s="86">
        <f>+A18</f>
        <v>20</v>
      </c>
      <c r="B40" s="96" t="s">
        <v>133</v>
      </c>
      <c r="C40" s="87">
        <f t="shared" si="6"/>
        <v>20</v>
      </c>
      <c r="D40" s="87" t="s">
        <v>93</v>
      </c>
      <c r="E40" s="88" t="str">
        <f>IFERROR(VLOOKUP($H40,[2]SEMIELABORADOS!$A$1:$J$998,10,0),"")</f>
        <v/>
      </c>
      <c r="F40" s="88" t="str">
        <f t="shared" si="7"/>
        <v/>
      </c>
      <c r="G40" s="89" t="str">
        <f t="shared" si="8"/>
        <v/>
      </c>
      <c r="H40" s="97" t="s">
        <v>70</v>
      </c>
      <c r="I40" s="97"/>
      <c r="J40" s="91"/>
    </row>
    <row r="41" spans="1:17" ht="13.5" hidden="1" x14ac:dyDescent="0.25">
      <c r="A41" s="86">
        <f>+A19</f>
        <v>0</v>
      </c>
      <c r="B41" s="96"/>
      <c r="C41" s="87">
        <f t="shared" si="6"/>
        <v>0</v>
      </c>
      <c r="D41" s="87" t="s">
        <v>93</v>
      </c>
      <c r="E41" s="88" t="str">
        <f>IFERROR(VLOOKUP($H41,[2]SEMIELABORADOS!$A$1:$J$998,10,0),"")</f>
        <v/>
      </c>
      <c r="F41" s="88" t="str">
        <f t="shared" si="7"/>
        <v/>
      </c>
      <c r="G41" s="89" t="str">
        <f t="shared" si="8"/>
        <v/>
      </c>
      <c r="H41" s="97"/>
      <c r="I41" s="97"/>
      <c r="J41" s="91"/>
    </row>
    <row r="42" spans="1:17" ht="13.5" hidden="1" x14ac:dyDescent="0.25">
      <c r="A42" s="86">
        <f>+A20</f>
        <v>0</v>
      </c>
      <c r="B42" s="96"/>
      <c r="C42" s="87">
        <f t="shared" si="6"/>
        <v>0</v>
      </c>
      <c r="D42" s="87" t="s">
        <v>93</v>
      </c>
      <c r="E42" s="88" t="str">
        <f>IFERROR(VLOOKUP($H42,[2]SEMIELABORADOS!$A$1:$J$998,10,0),"")</f>
        <v/>
      </c>
      <c r="F42" s="88" t="str">
        <f t="shared" si="7"/>
        <v/>
      </c>
      <c r="G42" s="89" t="str">
        <f t="shared" si="8"/>
        <v/>
      </c>
      <c r="H42" s="97"/>
      <c r="I42" s="97"/>
      <c r="J42" s="91"/>
    </row>
    <row r="43" spans="1:17" ht="13.5" hidden="1" x14ac:dyDescent="0.25">
      <c r="A43" s="86">
        <f>+A21</f>
        <v>0</v>
      </c>
      <c r="B43" s="96"/>
      <c r="C43" s="87">
        <f t="shared" si="6"/>
        <v>0</v>
      </c>
      <c r="D43" s="87" t="s">
        <v>93</v>
      </c>
      <c r="E43" s="88" t="str">
        <f>IFERROR(VLOOKUP($H43,[2]SEMIELABORADOS!$A$1:$J$998,10,0),"")</f>
        <v/>
      </c>
      <c r="F43" s="88" t="str">
        <f t="shared" si="7"/>
        <v/>
      </c>
      <c r="G43" s="89" t="str">
        <f t="shared" si="8"/>
        <v/>
      </c>
      <c r="H43" s="97"/>
      <c r="I43" s="97"/>
      <c r="J43" s="91"/>
    </row>
    <row r="44" spans="1:17" ht="13.5" x14ac:dyDescent="0.25">
      <c r="A44" s="86">
        <v>1</v>
      </c>
      <c r="B44" s="92" t="s">
        <v>95</v>
      </c>
      <c r="C44" s="87">
        <f t="shared" si="6"/>
        <v>1</v>
      </c>
      <c r="D44" s="87" t="s">
        <v>93</v>
      </c>
      <c r="E44" s="88">
        <f>+F58</f>
        <v>27.5</v>
      </c>
      <c r="F44" s="88">
        <f t="shared" si="7"/>
        <v>27.5</v>
      </c>
      <c r="G44" s="89">
        <f t="shared" si="8"/>
        <v>6.4143338515197212E-2</v>
      </c>
      <c r="H44" s="97"/>
      <c r="I44" s="97"/>
      <c r="J44" s="91"/>
    </row>
    <row r="45" spans="1:17" ht="14.25" thickBot="1" x14ac:dyDescent="0.3">
      <c r="A45" s="86"/>
      <c r="B45" s="92"/>
      <c r="C45" s="87"/>
      <c r="D45" s="87"/>
      <c r="E45" s="88"/>
      <c r="F45" s="88"/>
      <c r="G45" s="89"/>
      <c r="H45" s="97"/>
      <c r="I45" s="97"/>
      <c r="J45" s="91"/>
    </row>
    <row r="46" spans="1:17" ht="13.5" thickBot="1" x14ac:dyDescent="0.25">
      <c r="A46" s="98"/>
      <c r="B46" s="322" t="s">
        <v>96</v>
      </c>
      <c r="C46" s="322"/>
      <c r="D46" s="322"/>
      <c r="E46" s="322"/>
      <c r="F46" s="100">
        <f>SUM(F8:F14,F17:F21)</f>
        <v>385.18362233672218</v>
      </c>
      <c r="G46" s="89">
        <f>+F46/$F$59</f>
        <v>0.898435035565609</v>
      </c>
      <c r="H46" s="101">
        <f>+F46/$D$53</f>
        <v>385.18362233672218</v>
      </c>
      <c r="I46" s="101"/>
      <c r="J46" s="102"/>
      <c r="K46" s="103"/>
      <c r="L46" s="103"/>
      <c r="M46" s="103"/>
      <c r="N46" s="103"/>
      <c r="O46" s="103"/>
      <c r="P46" s="103"/>
      <c r="Q46" s="104"/>
    </row>
    <row r="47" spans="1:17" x14ac:dyDescent="0.2">
      <c r="A47" s="98"/>
      <c r="B47" s="322" t="s">
        <v>97</v>
      </c>
      <c r="C47" s="322"/>
      <c r="D47" s="322"/>
      <c r="E47" s="322"/>
      <c r="F47" s="100">
        <f>SUM(F24:F29,F32:F36)</f>
        <v>8.34</v>
      </c>
      <c r="G47" s="89">
        <f>+F47/$F$59</f>
        <v>1.9452925207881624E-2</v>
      </c>
      <c r="H47" s="101">
        <f>+F47/$D$53</f>
        <v>8.34</v>
      </c>
      <c r="I47" s="101"/>
      <c r="J47" s="105"/>
      <c r="K47" s="323" t="s">
        <v>98</v>
      </c>
      <c r="L47" s="324"/>
      <c r="M47" s="324"/>
      <c r="N47" s="324"/>
      <c r="O47" s="106">
        <f>+F48</f>
        <v>393.52362233672216</v>
      </c>
      <c r="P47" s="106"/>
      <c r="Q47" s="107"/>
    </row>
    <row r="48" spans="1:17" x14ac:dyDescent="0.2">
      <c r="A48" s="98"/>
      <c r="B48" s="322" t="s">
        <v>99</v>
      </c>
      <c r="C48" s="322"/>
      <c r="D48" s="322"/>
      <c r="E48" s="322"/>
      <c r="F48" s="100">
        <f>+F46+F47</f>
        <v>393.52362233672216</v>
      </c>
      <c r="G48" s="89">
        <f>+F48/$F$59</f>
        <v>0.91788796077349055</v>
      </c>
      <c r="H48" s="101">
        <f>+F48/$D$53</f>
        <v>393.52362233672216</v>
      </c>
      <c r="I48" s="101"/>
      <c r="J48" s="108"/>
      <c r="K48" s="109"/>
      <c r="L48" s="325" t="s">
        <v>100</v>
      </c>
      <c r="M48" s="325"/>
      <c r="N48" s="325"/>
      <c r="O48" s="106">
        <f>+F49</f>
        <v>72.015441959531415</v>
      </c>
      <c r="P48" s="106"/>
      <c r="Q48" s="107"/>
    </row>
    <row r="49" spans="1:17" ht="13.5" thickBot="1" x14ac:dyDescent="0.25">
      <c r="A49" s="98"/>
      <c r="B49" s="99"/>
      <c r="C49" s="322" t="s">
        <v>101</v>
      </c>
      <c r="D49" s="322"/>
      <c r="E49" s="322"/>
      <c r="F49" s="100">
        <f>SUM(F39:F44)</f>
        <v>72.015441959531415</v>
      </c>
      <c r="G49" s="89">
        <f>+F49/$F$59</f>
        <v>0.16797494079751857</v>
      </c>
      <c r="H49" s="101">
        <f>+F49/$D$53</f>
        <v>72.015441959531415</v>
      </c>
      <c r="I49" s="101"/>
      <c r="J49" s="108"/>
      <c r="K49" s="109"/>
      <c r="L49" s="109"/>
      <c r="M49" s="109" t="s">
        <v>102</v>
      </c>
      <c r="N49" s="110">
        <v>0.01</v>
      </c>
      <c r="O49" s="106">
        <f>O47*N49</f>
        <v>3.9352362233672218</v>
      </c>
      <c r="P49" s="106"/>
      <c r="Q49" s="107"/>
    </row>
    <row r="50" spans="1:17" ht="13.5" thickBot="1" x14ac:dyDescent="0.25">
      <c r="A50" s="98"/>
      <c r="B50" s="111"/>
      <c r="C50" s="111"/>
      <c r="D50" s="111"/>
      <c r="E50" s="111"/>
      <c r="F50" s="112"/>
      <c r="G50" s="89"/>
      <c r="H50" s="113"/>
      <c r="I50" s="101"/>
      <c r="J50" s="108"/>
      <c r="K50" s="114"/>
      <c r="M50" s="115" t="s">
        <v>103</v>
      </c>
      <c r="N50" s="116"/>
      <c r="O50" s="117">
        <f>SUM(O47:O49)</f>
        <v>469.47430051962078</v>
      </c>
      <c r="P50" s="118"/>
      <c r="Q50" s="107"/>
    </row>
    <row r="51" spans="1:17" x14ac:dyDescent="0.2">
      <c r="B51" s="327" t="s">
        <v>104</v>
      </c>
      <c r="C51" s="327"/>
      <c r="D51" s="119">
        <v>400</v>
      </c>
      <c r="E51" s="120"/>
      <c r="G51" s="89"/>
      <c r="H51" s="113"/>
      <c r="I51" s="121"/>
      <c r="J51" s="108"/>
      <c r="K51" s="114"/>
      <c r="L51" s="109"/>
      <c r="M51" s="109" t="s">
        <v>105</v>
      </c>
      <c r="N51" s="122">
        <v>0.25</v>
      </c>
      <c r="O51" s="106">
        <f>+O50*N51</f>
        <v>117.3685751299052</v>
      </c>
      <c r="P51" s="106"/>
      <c r="Q51" s="107"/>
    </row>
    <row r="52" spans="1:17" x14ac:dyDescent="0.2">
      <c r="B52" s="327" t="s">
        <v>106</v>
      </c>
      <c r="C52" s="327"/>
      <c r="D52" s="123">
        <v>400</v>
      </c>
      <c r="E52" s="120"/>
      <c r="G52" s="89"/>
      <c r="H52" s="113"/>
      <c r="I52" s="121"/>
      <c r="J52" s="108"/>
      <c r="K52" s="114"/>
      <c r="L52" s="109"/>
      <c r="M52" s="325" t="s">
        <v>87</v>
      </c>
      <c r="N52" s="325"/>
      <c r="O52" s="106">
        <f>SUM(O50:O51)</f>
        <v>586.84287564952592</v>
      </c>
      <c r="P52" s="106"/>
      <c r="Q52" s="107"/>
    </row>
    <row r="53" spans="1:17" ht="13.5" thickBot="1" x14ac:dyDescent="0.25">
      <c r="B53" s="328" t="s">
        <v>107</v>
      </c>
      <c r="C53" s="328"/>
      <c r="D53" s="119">
        <f>+D51/D52</f>
        <v>1</v>
      </c>
      <c r="E53" s="120"/>
      <c r="F53" s="124"/>
      <c r="G53" s="89"/>
      <c r="H53" s="113"/>
      <c r="I53" s="121"/>
      <c r="J53" s="108"/>
      <c r="K53" s="114"/>
      <c r="L53" s="325" t="s">
        <v>108</v>
      </c>
      <c r="M53" s="325"/>
      <c r="N53" s="122">
        <v>0.05</v>
      </c>
      <c r="O53" s="106">
        <f>+O52*N53</f>
        <v>29.342143782476299</v>
      </c>
      <c r="P53" s="106"/>
      <c r="Q53" s="107"/>
    </row>
    <row r="54" spans="1:17" ht="13.5" thickBot="1" x14ac:dyDescent="0.25">
      <c r="B54" s="328" t="s">
        <v>109</v>
      </c>
      <c r="C54" s="328"/>
      <c r="D54" s="125"/>
      <c r="E54" s="120"/>
      <c r="F54" s="124"/>
      <c r="G54" s="89"/>
      <c r="H54" s="113"/>
      <c r="I54" s="121"/>
      <c r="J54" s="108"/>
      <c r="K54" s="329" t="s">
        <v>110</v>
      </c>
      <c r="L54" s="330"/>
      <c r="M54" s="330"/>
      <c r="N54" s="331"/>
      <c r="O54" s="117">
        <f>SUM(O52:O53)</f>
        <v>616.18501943200226</v>
      </c>
      <c r="P54" s="126" t="s">
        <v>111</v>
      </c>
      <c r="Q54" s="107"/>
    </row>
    <row r="55" spans="1:17" ht="13.5" thickBot="1" x14ac:dyDescent="0.25">
      <c r="C55" s="98" t="s">
        <v>112</v>
      </c>
      <c r="D55" s="127"/>
      <c r="E55" s="72" t="s">
        <v>113</v>
      </c>
      <c r="F55" s="128" t="s">
        <v>114</v>
      </c>
      <c r="G55" s="89"/>
      <c r="H55" s="113"/>
      <c r="I55" s="121"/>
      <c r="J55" s="129"/>
      <c r="K55" s="130"/>
      <c r="L55" s="332" t="s">
        <v>115</v>
      </c>
      <c r="M55" s="332"/>
      <c r="N55" s="332"/>
      <c r="O55" s="131">
        <f>+O54/D53</f>
        <v>616.18501943200226</v>
      </c>
      <c r="P55" s="132">
        <f>+O55/D52</f>
        <v>1.5404625485800056</v>
      </c>
      <c r="Q55" s="133"/>
    </row>
    <row r="56" spans="1:17" ht="13.5" thickBot="1" x14ac:dyDescent="0.25">
      <c r="B56" s="333" t="s">
        <v>99</v>
      </c>
      <c r="C56" s="333"/>
      <c r="D56" s="333"/>
      <c r="E56" s="134">
        <f>+F56/F56</f>
        <v>1</v>
      </c>
      <c r="F56" s="135">
        <f>SUM(F48)</f>
        <v>393.52362233672216</v>
      </c>
      <c r="G56" s="89">
        <f>+F56/$F$59</f>
        <v>0.91788796077349055</v>
      </c>
      <c r="H56" s="113"/>
      <c r="I56" s="121"/>
      <c r="K56" s="334"/>
      <c r="L56" s="335"/>
      <c r="M56" s="335"/>
      <c r="N56" s="335"/>
      <c r="O56" s="136"/>
      <c r="P56" s="137"/>
    </row>
    <row r="57" spans="1:17" ht="13.5" thickBot="1" x14ac:dyDescent="0.25">
      <c r="B57" s="326" t="s">
        <v>116</v>
      </c>
      <c r="C57" s="326"/>
      <c r="D57" s="326"/>
      <c r="E57" s="138">
        <v>0.02</v>
      </c>
      <c r="F57" s="135">
        <f>+F46*E57</f>
        <v>7.7036724467344442</v>
      </c>
      <c r="G57" s="89">
        <f>+F57/$F$59</f>
        <v>1.796870071131218E-2</v>
      </c>
      <c r="H57" s="101"/>
      <c r="I57" s="121"/>
      <c r="J57" s="139"/>
      <c r="O57" s="140"/>
      <c r="P57" s="99"/>
    </row>
    <row r="58" spans="1:17" ht="13.5" thickBot="1" x14ac:dyDescent="0.25">
      <c r="B58" s="337" t="s">
        <v>117</v>
      </c>
      <c r="C58" s="338"/>
      <c r="D58" s="141">
        <v>0.5</v>
      </c>
      <c r="E58" s="142">
        <v>55</v>
      </c>
      <c r="F58" s="135">
        <f>+E58*D58</f>
        <v>27.5</v>
      </c>
      <c r="G58" s="89">
        <f>+F58/$F$59</f>
        <v>6.4143338515197212E-2</v>
      </c>
      <c r="H58" s="101"/>
      <c r="I58" s="101"/>
      <c r="J58" s="91"/>
    </row>
    <row r="59" spans="1:17" ht="13.5" thickBot="1" x14ac:dyDescent="0.25">
      <c r="B59" s="339" t="s">
        <v>118</v>
      </c>
      <c r="C59" s="340"/>
      <c r="D59" s="340"/>
      <c r="E59" s="341"/>
      <c r="F59" s="112">
        <f>SUM(F56:F58)</f>
        <v>428.72729478345661</v>
      </c>
      <c r="G59" s="89">
        <f>+F59/$F$59</f>
        <v>1</v>
      </c>
      <c r="H59" s="342"/>
      <c r="I59" s="101"/>
      <c r="J59" s="91"/>
    </row>
    <row r="60" spans="1:17" x14ac:dyDescent="0.2">
      <c r="C60" s="144"/>
      <c r="D60" s="144"/>
      <c r="E60" s="145"/>
      <c r="F60" s="135"/>
      <c r="G60" s="89"/>
      <c r="H60" s="342"/>
      <c r="I60" s="143"/>
      <c r="J60" s="74"/>
    </row>
    <row r="61" spans="1:17" ht="13.5" thickBot="1" x14ac:dyDescent="0.25">
      <c r="B61" s="343" t="s">
        <v>119</v>
      </c>
      <c r="C61" s="343"/>
      <c r="D61" s="343"/>
      <c r="E61" s="343"/>
      <c r="F61" s="343"/>
      <c r="G61" s="89"/>
      <c r="H61" s="147"/>
      <c r="I61" s="143"/>
      <c r="J61" s="74"/>
    </row>
    <row r="62" spans="1:17" ht="13.5" thickBot="1" x14ac:dyDescent="0.25">
      <c r="B62" s="148" t="s">
        <v>120</v>
      </c>
      <c r="C62" s="149">
        <f>+F46</f>
        <v>385.18362233672218</v>
      </c>
      <c r="D62" s="149">
        <f>+D51</f>
        <v>400</v>
      </c>
      <c r="E62" s="150">
        <f>+C62/D62</f>
        <v>0.96295905584180541</v>
      </c>
      <c r="F62" s="89"/>
      <c r="G62" s="147"/>
      <c r="H62" s="91"/>
      <c r="I62" s="147"/>
      <c r="J62" s="74"/>
    </row>
    <row r="63" spans="1:17" x14ac:dyDescent="0.2">
      <c r="B63" s="151"/>
      <c r="C63" s="152"/>
      <c r="D63" s="153"/>
      <c r="E63" s="135"/>
      <c r="F63" s="89"/>
      <c r="G63" s="147"/>
      <c r="H63" s="91"/>
      <c r="I63" s="91"/>
      <c r="J63" s="74"/>
    </row>
    <row r="64" spans="1:17" x14ac:dyDescent="0.2">
      <c r="B64" s="148" t="s">
        <v>121</v>
      </c>
      <c r="C64" s="149">
        <f>SUM(F56:F57)</f>
        <v>401.22729478345661</v>
      </c>
      <c r="D64" s="149">
        <f>+D51</f>
        <v>400</v>
      </c>
      <c r="E64" s="154">
        <f>+C64/D64</f>
        <v>1.0030682369586414</v>
      </c>
      <c r="F64" s="89"/>
      <c r="G64" s="147"/>
      <c r="H64" s="91"/>
      <c r="I64" s="91"/>
      <c r="J64" s="74"/>
    </row>
    <row r="65" spans="2:10" x14ac:dyDescent="0.2">
      <c r="B65" s="148"/>
      <c r="C65" s="149"/>
      <c r="D65" s="149"/>
      <c r="E65" s="154"/>
      <c r="F65" s="89"/>
      <c r="G65" s="147"/>
      <c r="H65" s="91"/>
      <c r="I65" s="91"/>
      <c r="J65" s="74"/>
    </row>
    <row r="66" spans="2:10" ht="13.5" thickBot="1" x14ac:dyDescent="0.25">
      <c r="B66" s="148" t="s">
        <v>122</v>
      </c>
      <c r="C66" s="149">
        <f>+F58</f>
        <v>27.5</v>
      </c>
      <c r="D66" s="149">
        <f>+D51</f>
        <v>400</v>
      </c>
      <c r="E66" s="154">
        <f>+C66/D66</f>
        <v>6.8750000000000006E-2</v>
      </c>
      <c r="F66" s="89"/>
      <c r="G66" s="147"/>
      <c r="H66" s="91"/>
      <c r="I66" s="91"/>
      <c r="J66" s="74"/>
    </row>
    <row r="67" spans="2:10" ht="13.5" thickBot="1" x14ac:dyDescent="0.25">
      <c r="B67" s="148" t="s">
        <v>123</v>
      </c>
      <c r="C67" s="149">
        <f>+F49</f>
        <v>72.015441959531415</v>
      </c>
      <c r="D67" s="149">
        <f>+D66</f>
        <v>400</v>
      </c>
      <c r="E67" s="150">
        <f>+C67/D67</f>
        <v>0.18003860489882853</v>
      </c>
      <c r="F67" s="89"/>
      <c r="G67" s="147"/>
      <c r="H67" s="91"/>
      <c r="I67" s="91"/>
      <c r="J67" s="74"/>
    </row>
    <row r="68" spans="2:10" ht="13.5" thickBot="1" x14ac:dyDescent="0.25">
      <c r="B68" s="111"/>
      <c r="C68" s="112"/>
      <c r="D68" s="112"/>
      <c r="E68" s="154"/>
      <c r="F68" s="89"/>
      <c r="G68" s="147"/>
      <c r="H68" s="91"/>
      <c r="I68" s="91"/>
      <c r="J68" s="74"/>
    </row>
    <row r="69" spans="2:10" ht="13.5" thickBot="1" x14ac:dyDescent="0.25">
      <c r="B69" s="148" t="s">
        <v>124</v>
      </c>
      <c r="C69" s="149">
        <f>+F47</f>
        <v>8.34</v>
      </c>
      <c r="D69" s="149">
        <f>+D67</f>
        <v>400</v>
      </c>
      <c r="E69" s="150">
        <f>+C69/D69</f>
        <v>2.085E-2</v>
      </c>
      <c r="F69" s="89"/>
      <c r="G69" s="147"/>
      <c r="H69" s="91"/>
      <c r="I69" s="91"/>
      <c r="J69" s="91"/>
    </row>
    <row r="70" spans="2:10" ht="13.5" thickBot="1" x14ac:dyDescent="0.25">
      <c r="B70" s="111"/>
      <c r="C70" s="112"/>
      <c r="D70" s="112"/>
      <c r="E70" s="154"/>
      <c r="F70" s="89"/>
      <c r="G70" s="147"/>
      <c r="H70" s="91"/>
      <c r="I70" s="91"/>
    </row>
    <row r="71" spans="2:10" ht="13.5" thickBot="1" x14ac:dyDescent="0.25">
      <c r="B71" s="344" t="s">
        <v>125</v>
      </c>
      <c r="C71" s="345"/>
      <c r="D71" s="346"/>
      <c r="E71" s="150">
        <f>+E62+E67</f>
        <v>1.142997660740634</v>
      </c>
      <c r="G71" s="89"/>
      <c r="H71" s="147"/>
      <c r="I71" s="91"/>
      <c r="J71" s="154"/>
    </row>
    <row r="72" spans="2:10" x14ac:dyDescent="0.2">
      <c r="I72" s="147"/>
      <c r="J72" s="74"/>
    </row>
    <row r="73" spans="2:10" ht="13.5" thickBot="1" x14ac:dyDescent="0.25">
      <c r="B73" s="343" t="s">
        <v>126</v>
      </c>
      <c r="C73" s="343"/>
      <c r="D73" s="343"/>
      <c r="E73" s="343"/>
      <c r="F73" s="343"/>
      <c r="G73" s="89"/>
      <c r="H73" s="147"/>
      <c r="J73" s="74"/>
    </row>
    <row r="74" spans="2:10" ht="13.5" thickBot="1" x14ac:dyDescent="0.25">
      <c r="B74" s="148" t="s">
        <v>120</v>
      </c>
      <c r="C74" s="149">
        <f>+C62</f>
        <v>385.18362233672218</v>
      </c>
      <c r="D74" s="149">
        <f>+D53</f>
        <v>1</v>
      </c>
      <c r="E74" s="150">
        <f>+C74/D74</f>
        <v>385.18362233672218</v>
      </c>
      <c r="F74" s="89"/>
      <c r="G74" s="147"/>
      <c r="H74" s="91"/>
      <c r="I74" s="147"/>
      <c r="J74" s="74"/>
    </row>
    <row r="75" spans="2:10" x14ac:dyDescent="0.2">
      <c r="B75" s="151"/>
      <c r="C75" s="152"/>
      <c r="D75" s="153"/>
      <c r="E75" s="135"/>
      <c r="F75" s="89"/>
      <c r="G75" s="147"/>
      <c r="H75" s="91"/>
      <c r="I75" s="91"/>
      <c r="J75" s="74"/>
    </row>
    <row r="76" spans="2:10" x14ac:dyDescent="0.2">
      <c r="B76" s="148" t="s">
        <v>121</v>
      </c>
      <c r="C76" s="149">
        <f>+C64</f>
        <v>401.22729478345661</v>
      </c>
      <c r="D76" s="149">
        <f>+D53</f>
        <v>1</v>
      </c>
      <c r="E76" s="154">
        <f>+C76/D76</f>
        <v>401.22729478345661</v>
      </c>
      <c r="F76" s="89"/>
      <c r="G76" s="147"/>
      <c r="H76" s="91"/>
      <c r="I76" s="91"/>
      <c r="J76" s="74"/>
    </row>
    <row r="77" spans="2:10" x14ac:dyDescent="0.2">
      <c r="B77" s="148"/>
      <c r="C77" s="149"/>
      <c r="D77" s="149"/>
      <c r="E77" s="154"/>
      <c r="F77" s="89"/>
      <c r="G77" s="147"/>
      <c r="H77" s="91"/>
      <c r="I77" s="91"/>
      <c r="J77" s="74"/>
    </row>
    <row r="78" spans="2:10" ht="13.5" thickBot="1" x14ac:dyDescent="0.25">
      <c r="B78" s="148" t="s">
        <v>123</v>
      </c>
      <c r="C78" s="149">
        <f>+C66</f>
        <v>27.5</v>
      </c>
      <c r="D78" s="149">
        <f>+D53</f>
        <v>1</v>
      </c>
      <c r="E78" s="154">
        <f>+C78/D78</f>
        <v>27.5</v>
      </c>
      <c r="F78" s="156"/>
      <c r="G78" s="146"/>
      <c r="H78" s="73"/>
      <c r="I78" s="91"/>
    </row>
    <row r="79" spans="2:10" ht="13.5" thickBot="1" x14ac:dyDescent="0.25">
      <c r="B79" s="148" t="s">
        <v>123</v>
      </c>
      <c r="C79" s="149">
        <f>+C67</f>
        <v>72.015441959531415</v>
      </c>
      <c r="D79" s="149">
        <f>+D78</f>
        <v>1</v>
      </c>
      <c r="E79" s="150">
        <f>+C79/D79</f>
        <v>72.015441959531415</v>
      </c>
      <c r="F79" s="155"/>
      <c r="G79" s="146"/>
      <c r="H79" s="73"/>
      <c r="I79" s="73"/>
    </row>
    <row r="80" spans="2:10" x14ac:dyDescent="0.2">
      <c r="I80" s="73"/>
    </row>
    <row r="81" spans="1:7" x14ac:dyDescent="0.2">
      <c r="A81" s="336"/>
      <c r="B81" s="336"/>
      <c r="C81" s="157"/>
      <c r="D81" s="157"/>
      <c r="E81" s="158"/>
      <c r="G81" s="159"/>
    </row>
    <row r="82" spans="1:7" x14ac:dyDescent="0.2">
      <c r="A82" s="92"/>
      <c r="B82" s="160"/>
      <c r="C82" s="161"/>
      <c r="D82" s="161"/>
      <c r="E82" s="162"/>
      <c r="G82" s="159"/>
    </row>
    <row r="83" spans="1:7" x14ac:dyDescent="0.2">
      <c r="A83" s="92"/>
      <c r="B83" s="160"/>
      <c r="C83" s="163"/>
      <c r="D83" s="163"/>
      <c r="E83" s="92"/>
      <c r="G83" s="159"/>
    </row>
    <row r="84" spans="1:7" x14ac:dyDescent="0.2">
      <c r="A84" s="92"/>
      <c r="B84" s="160"/>
      <c r="C84" s="164"/>
      <c r="D84" s="164"/>
      <c r="E84" s="92"/>
      <c r="G84" s="159"/>
    </row>
  </sheetData>
  <mergeCells count="31">
    <mergeCell ref="A81:B81"/>
    <mergeCell ref="B58:C58"/>
    <mergeCell ref="B59:E59"/>
    <mergeCell ref="H59:H60"/>
    <mergeCell ref="B61:F61"/>
    <mergeCell ref="B71:D71"/>
    <mergeCell ref="B73:F73"/>
    <mergeCell ref="B57:D57"/>
    <mergeCell ref="C49:E49"/>
    <mergeCell ref="B51:C51"/>
    <mergeCell ref="B52:C52"/>
    <mergeCell ref="M52:N52"/>
    <mergeCell ref="B53:C53"/>
    <mergeCell ref="L53:M53"/>
    <mergeCell ref="B54:C54"/>
    <mergeCell ref="K54:N54"/>
    <mergeCell ref="L55:N55"/>
    <mergeCell ref="B56:D56"/>
    <mergeCell ref="K56:N56"/>
    <mergeCell ref="K27:L27"/>
    <mergeCell ref="B46:E46"/>
    <mergeCell ref="B47:E47"/>
    <mergeCell ref="K47:N47"/>
    <mergeCell ref="B48:E48"/>
    <mergeCell ref="L48:N48"/>
    <mergeCell ref="K26:L26"/>
    <mergeCell ref="A4:H4"/>
    <mergeCell ref="A5:H5"/>
    <mergeCell ref="F6:G6"/>
    <mergeCell ref="K24:L24"/>
    <mergeCell ref="K25:L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75229C-CCB9-43EE-92A0-30B38E8035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D32ADE-7FD9-4375-BA13-358536EDC95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C0E36665-6CD7-4CFA-8D9D-77239F531341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68DFA676-378D-463B-8B4B-CE0A144A8C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Sopa Azteca </vt:lpstr>
      <vt:lpstr>costo Sopa Azteca</vt:lpstr>
      <vt:lpstr>Hoja1</vt:lpstr>
      <vt:lpstr>Costo empaque</vt:lpstr>
      <vt:lpstr>Hoja1!Área_de_impresión</vt:lpstr>
      <vt:lpstr>'Sopa Azteca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2025-03-27T23:05:08Z</cp:lastPrinted>
  <dcterms:created xsi:type="dcterms:W3CDTF">2009-03-11T22:07:15Z</dcterms:created>
  <dcterms:modified xsi:type="dcterms:W3CDTF">2025-03-27T23:05:12Z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268400.000000000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
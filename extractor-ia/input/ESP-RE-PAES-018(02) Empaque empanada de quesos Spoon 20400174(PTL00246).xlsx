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0" documentId="8_{D2ADD764-4514-4475-BAE0-0D99F2D69A8C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OSTO EMPANADA " sheetId="5" state="hidden" r:id="rId1"/>
    <sheet name="Hoja1" sheetId="8" r:id="rId2"/>
    <sheet name="Hoja2" sheetId="9" state="hidden" r:id="rId3"/>
    <sheet name="Hoja3" sheetId="10" state="hidden" r:id="rId4"/>
    <sheet name="COSTO EMPAQUE " sheetId="7" state="hidden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9" i="9" l="1"/>
  <c r="L29" i="10"/>
  <c r="L28" i="10"/>
  <c r="L28" i="9"/>
  <c r="D73" i="7"/>
  <c r="D74" i="7"/>
  <c r="D76" i="7"/>
  <c r="D71" i="7"/>
  <c r="D69" i="7"/>
  <c r="F65" i="7"/>
  <c r="C73" i="7"/>
  <c r="D60" i="7"/>
  <c r="D85" i="7"/>
  <c r="D86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4" i="7"/>
  <c r="D44" i="7"/>
  <c r="B44" i="7"/>
  <c r="E41" i="7"/>
  <c r="D41" i="7"/>
  <c r="B41" i="7"/>
  <c r="A41" i="7"/>
  <c r="C41" i="7"/>
  <c r="E40" i="7"/>
  <c r="D40" i="7"/>
  <c r="B40" i="7"/>
  <c r="A40" i="7"/>
  <c r="C40" i="7"/>
  <c r="E39" i="7"/>
  <c r="D39" i="7"/>
  <c r="C39" i="7"/>
  <c r="B39" i="7"/>
  <c r="A39" i="7"/>
  <c r="A48" i="7"/>
  <c r="C48" i="7"/>
  <c r="F48" i="7"/>
  <c r="E38" i="7"/>
  <c r="D38" i="7"/>
  <c r="B38" i="7"/>
  <c r="A38" i="7"/>
  <c r="C38" i="7"/>
  <c r="E37" i="7"/>
  <c r="D37" i="7"/>
  <c r="B37" i="7"/>
  <c r="A37" i="7"/>
  <c r="C37" i="7"/>
  <c r="E36" i="7"/>
  <c r="D36" i="7"/>
  <c r="B36" i="7"/>
  <c r="A36" i="7"/>
  <c r="C36" i="7"/>
  <c r="E35" i="7"/>
  <c r="D35" i="7"/>
  <c r="B35" i="7"/>
  <c r="A35" i="7"/>
  <c r="A44" i="7"/>
  <c r="C44" i="7"/>
  <c r="F44" i="7"/>
  <c r="E32" i="7"/>
  <c r="F32" i="7"/>
  <c r="D32" i="7"/>
  <c r="C32" i="7"/>
  <c r="B32" i="7"/>
  <c r="E31" i="7"/>
  <c r="F31" i="7"/>
  <c r="D31" i="7"/>
  <c r="C31" i="7"/>
  <c r="B31" i="7"/>
  <c r="E30" i="7"/>
  <c r="F30" i="7"/>
  <c r="D30" i="7"/>
  <c r="C30" i="7"/>
  <c r="B30" i="7"/>
  <c r="F29" i="7"/>
  <c r="C29" i="7"/>
  <c r="E28" i="7"/>
  <c r="F28" i="7"/>
  <c r="D28" i="7"/>
  <c r="C28" i="7"/>
  <c r="B28" i="7"/>
  <c r="E27" i="7"/>
  <c r="F27" i="7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E19" i="7"/>
  <c r="F19" i="7"/>
  <c r="D19" i="7"/>
  <c r="C19" i="7"/>
  <c r="B19" i="7"/>
  <c r="E18" i="7"/>
  <c r="F18" i="7"/>
  <c r="D18" i="7"/>
  <c r="C18" i="7"/>
  <c r="B18" i="7"/>
  <c r="D17" i="7"/>
  <c r="C17" i="7"/>
  <c r="B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H6" i="7"/>
  <c r="D73" i="5"/>
  <c r="D74" i="5"/>
  <c r="D76" i="5"/>
  <c r="D71" i="5"/>
  <c r="D69" i="5"/>
  <c r="F65" i="5"/>
  <c r="C73" i="5"/>
  <c r="D60" i="5"/>
  <c r="D85" i="5"/>
  <c r="D86" i="5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4" i="5"/>
  <c r="D44" i="5"/>
  <c r="B44" i="5"/>
  <c r="E41" i="5"/>
  <c r="D41" i="5"/>
  <c r="B41" i="5"/>
  <c r="A41" i="5"/>
  <c r="C41" i="5"/>
  <c r="E40" i="5"/>
  <c r="D40" i="5"/>
  <c r="B40" i="5"/>
  <c r="A40" i="5"/>
  <c r="C40" i="5"/>
  <c r="E39" i="5"/>
  <c r="D39" i="5"/>
  <c r="C39" i="5"/>
  <c r="B39" i="5"/>
  <c r="A39" i="5"/>
  <c r="A48" i="5"/>
  <c r="C48" i="5"/>
  <c r="E38" i="5"/>
  <c r="D38" i="5"/>
  <c r="C38" i="5"/>
  <c r="B38" i="5"/>
  <c r="A38" i="5"/>
  <c r="A47" i="5"/>
  <c r="C47" i="5"/>
  <c r="E37" i="5"/>
  <c r="D37" i="5"/>
  <c r="B37" i="5"/>
  <c r="A37" i="5"/>
  <c r="C37" i="5"/>
  <c r="E36" i="5"/>
  <c r="D36" i="5"/>
  <c r="B36" i="5"/>
  <c r="A36" i="5"/>
  <c r="C36" i="5"/>
  <c r="E35" i="5"/>
  <c r="D35" i="5"/>
  <c r="B35" i="5"/>
  <c r="A35" i="5"/>
  <c r="A44" i="5"/>
  <c r="C44" i="5"/>
  <c r="F44" i="5"/>
  <c r="E32" i="5"/>
  <c r="F32" i="5"/>
  <c r="D32" i="5"/>
  <c r="C32" i="5"/>
  <c r="B32" i="5"/>
  <c r="E31" i="5"/>
  <c r="F31" i="5"/>
  <c r="D31" i="5"/>
  <c r="C31" i="5"/>
  <c r="B31" i="5"/>
  <c r="E30" i="5"/>
  <c r="F30" i="5"/>
  <c r="D30" i="5"/>
  <c r="C30" i="5"/>
  <c r="B30" i="5"/>
  <c r="E29" i="5"/>
  <c r="F29" i="5"/>
  <c r="D29" i="5"/>
  <c r="C29" i="5"/>
  <c r="B29" i="5"/>
  <c r="E28" i="5"/>
  <c r="F28" i="5"/>
  <c r="D28" i="5"/>
  <c r="C28" i="5"/>
  <c r="B28" i="5"/>
  <c r="E27" i="5"/>
  <c r="F27" i="5"/>
  <c r="D27" i="5"/>
  <c r="C27" i="5"/>
  <c r="B27" i="5"/>
  <c r="E24" i="5"/>
  <c r="F24" i="5"/>
  <c r="D24" i="5"/>
  <c r="C24" i="5"/>
  <c r="B24" i="5"/>
  <c r="E23" i="5"/>
  <c r="F23" i="5"/>
  <c r="D23" i="5"/>
  <c r="C23" i="5"/>
  <c r="B23" i="5"/>
  <c r="E22" i="5"/>
  <c r="F22" i="5"/>
  <c r="D22" i="5"/>
  <c r="C22" i="5"/>
  <c r="B22" i="5"/>
  <c r="E21" i="5"/>
  <c r="F21" i="5"/>
  <c r="D21" i="5"/>
  <c r="C21" i="5"/>
  <c r="B21" i="5"/>
  <c r="E20" i="5"/>
  <c r="F20" i="5"/>
  <c r="D20" i="5"/>
  <c r="C20" i="5"/>
  <c r="B20" i="5"/>
  <c r="E19" i="5"/>
  <c r="D19" i="5"/>
  <c r="C19" i="5"/>
  <c r="B19" i="5"/>
  <c r="E18" i="5"/>
  <c r="D18" i="5"/>
  <c r="C18" i="5"/>
  <c r="F18" i="5"/>
  <c r="B18" i="5"/>
  <c r="E17" i="5"/>
  <c r="F17" i="5"/>
  <c r="D17" i="5"/>
  <c r="C17" i="5"/>
  <c r="B17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F9" i="5"/>
  <c r="D9" i="5"/>
  <c r="C9" i="5"/>
  <c r="B9" i="5"/>
  <c r="E8" i="5"/>
  <c r="D8" i="5"/>
  <c r="C8" i="5"/>
  <c r="B8" i="5"/>
  <c r="H6" i="5"/>
  <c r="F10" i="5"/>
  <c r="F12" i="5"/>
  <c r="F14" i="5"/>
  <c r="D83" i="7"/>
  <c r="F36" i="7"/>
  <c r="F38" i="7"/>
  <c r="F40" i="7"/>
  <c r="A47" i="7"/>
  <c r="C47" i="7"/>
  <c r="F47" i="7"/>
  <c r="F39" i="7"/>
  <c r="F37" i="7"/>
  <c r="C35" i="7"/>
  <c r="F35" i="7"/>
  <c r="F8" i="7"/>
  <c r="F9" i="7"/>
  <c r="F10" i="7"/>
  <c r="F11" i="7"/>
  <c r="F12" i="7"/>
  <c r="F13" i="7"/>
  <c r="F14" i="7"/>
  <c r="F41" i="7"/>
  <c r="C85" i="7"/>
  <c r="E85" i="7"/>
  <c r="E73" i="7"/>
  <c r="A46" i="7"/>
  <c r="C46" i="7"/>
  <c r="F46" i="7"/>
  <c r="A50" i="7"/>
  <c r="C50" i="7"/>
  <c r="F50" i="7"/>
  <c r="E51" i="7"/>
  <c r="F51" i="7"/>
  <c r="D81" i="7"/>
  <c r="A45" i="7"/>
  <c r="C45" i="7"/>
  <c r="F45" i="7"/>
  <c r="A49" i="7"/>
  <c r="C49" i="7"/>
  <c r="F49" i="7"/>
  <c r="D81" i="5"/>
  <c r="D83" i="5"/>
  <c r="F48" i="5"/>
  <c r="F39" i="5"/>
  <c r="F38" i="5"/>
  <c r="F11" i="5"/>
  <c r="F13" i="5"/>
  <c r="F47" i="5"/>
  <c r="F8" i="5"/>
  <c r="F19" i="5"/>
  <c r="F37" i="5"/>
  <c r="F36" i="5"/>
  <c r="C35" i="5"/>
  <c r="F35" i="5"/>
  <c r="F40" i="5"/>
  <c r="F41" i="5"/>
  <c r="C85" i="5"/>
  <c r="E85" i="5"/>
  <c r="E73" i="5"/>
  <c r="F50" i="5"/>
  <c r="A46" i="5"/>
  <c r="C46" i="5"/>
  <c r="F46" i="5"/>
  <c r="A50" i="5"/>
  <c r="C50" i="5"/>
  <c r="E51" i="5"/>
  <c r="F51" i="5"/>
  <c r="A45" i="5"/>
  <c r="C45" i="5"/>
  <c r="F45" i="5"/>
  <c r="A49" i="5"/>
  <c r="C49" i="5"/>
  <c r="F49" i="5"/>
  <c r="F53" i="5"/>
  <c r="H53" i="5"/>
  <c r="F54" i="7"/>
  <c r="H54" i="7"/>
  <c r="G2" i="7"/>
  <c r="F56" i="7"/>
  <c r="F56" i="5"/>
  <c r="F64" i="5"/>
  <c r="C69" i="5"/>
  <c r="F54" i="5"/>
  <c r="F55" i="5"/>
  <c r="F2" i="5"/>
  <c r="E17" i="7"/>
  <c r="F17" i="7"/>
  <c r="F53" i="7"/>
  <c r="F55" i="7"/>
  <c r="C76" i="7"/>
  <c r="E76" i="7"/>
  <c r="C74" i="7"/>
  <c r="H56" i="7"/>
  <c r="H2" i="7"/>
  <c r="O54" i="5"/>
  <c r="H55" i="5"/>
  <c r="F63" i="5"/>
  <c r="E69" i="5"/>
  <c r="C81" i="5"/>
  <c r="E81" i="5"/>
  <c r="C74" i="5"/>
  <c r="H56" i="5"/>
  <c r="H2" i="5"/>
  <c r="H54" i="5"/>
  <c r="G2" i="5"/>
  <c r="C76" i="5"/>
  <c r="E76" i="5"/>
  <c r="O54" i="7"/>
  <c r="F63" i="7"/>
  <c r="H55" i="7"/>
  <c r="H53" i="7"/>
  <c r="F2" i="7"/>
  <c r="C69" i="7"/>
  <c r="F64" i="7"/>
  <c r="E74" i="7"/>
  <c r="C86" i="7"/>
  <c r="E86" i="7"/>
  <c r="F66" i="7"/>
  <c r="G63" i="7"/>
  <c r="O56" i="7"/>
  <c r="O55" i="7"/>
  <c r="O58" i="7"/>
  <c r="C71" i="5"/>
  <c r="E63" i="5"/>
  <c r="F66" i="5"/>
  <c r="G63" i="5"/>
  <c r="E74" i="5"/>
  <c r="E78" i="5"/>
  <c r="C86" i="5"/>
  <c r="E86" i="5"/>
  <c r="O56" i="5"/>
  <c r="O55" i="5"/>
  <c r="O58" i="5"/>
  <c r="C71" i="7"/>
  <c r="C83" i="7"/>
  <c r="E83" i="7"/>
  <c r="E63" i="7"/>
  <c r="C81" i="7"/>
  <c r="E81" i="7"/>
  <c r="E69" i="7"/>
  <c r="E78" i="7"/>
  <c r="O57" i="7"/>
  <c r="O59" i="7"/>
  <c r="O60" i="7"/>
  <c r="O61" i="7"/>
  <c r="O62" i="7"/>
  <c r="E71" i="7"/>
  <c r="G66" i="7"/>
  <c r="G10" i="7"/>
  <c r="G30" i="7"/>
  <c r="G14" i="7"/>
  <c r="G31" i="7"/>
  <c r="G22" i="7"/>
  <c r="G39" i="7"/>
  <c r="G19" i="7"/>
  <c r="G44" i="7"/>
  <c r="G35" i="7"/>
  <c r="G12" i="7"/>
  <c r="G36" i="7"/>
  <c r="G8" i="7"/>
  <c r="G17" i="7"/>
  <c r="G38" i="7"/>
  <c r="G28" i="7"/>
  <c r="G23" i="7"/>
  <c r="G20" i="7"/>
  <c r="G21" i="7"/>
  <c r="G32" i="7"/>
  <c r="G9" i="7"/>
  <c r="G29" i="7"/>
  <c r="G37" i="7"/>
  <c r="G24" i="7"/>
  <c r="G11" i="7"/>
  <c r="G18" i="7"/>
  <c r="G48" i="7"/>
  <c r="G13" i="7"/>
  <c r="G40" i="7"/>
  <c r="G65" i="7"/>
  <c r="G27" i="7"/>
  <c r="G49" i="7"/>
  <c r="G46" i="7"/>
  <c r="G53" i="7"/>
  <c r="G51" i="7"/>
  <c r="G50" i="7"/>
  <c r="G47" i="7"/>
  <c r="G45" i="7"/>
  <c r="G54" i="7"/>
  <c r="G41" i="7"/>
  <c r="G64" i="7"/>
  <c r="G55" i="7"/>
  <c r="G56" i="7"/>
  <c r="O57" i="5"/>
  <c r="O59" i="5"/>
  <c r="G66" i="5"/>
  <c r="G22" i="5"/>
  <c r="G35" i="5"/>
  <c r="G8" i="5"/>
  <c r="G14" i="5"/>
  <c r="G29" i="5"/>
  <c r="G30" i="5"/>
  <c r="G65" i="5"/>
  <c r="G9" i="5"/>
  <c r="G23" i="5"/>
  <c r="G47" i="5"/>
  <c r="G27" i="5"/>
  <c r="G36" i="5"/>
  <c r="G18" i="5"/>
  <c r="G31" i="5"/>
  <c r="G11" i="5"/>
  <c r="G32" i="5"/>
  <c r="G17" i="5"/>
  <c r="G37" i="5"/>
  <c r="G10" i="5"/>
  <c r="G19" i="5"/>
  <c r="G20" i="5"/>
  <c r="G48" i="5"/>
  <c r="G13" i="5"/>
  <c r="G38" i="5"/>
  <c r="G24" i="5"/>
  <c r="G44" i="5"/>
  <c r="G12" i="5"/>
  <c r="G28" i="5"/>
  <c r="G21" i="5"/>
  <c r="G39" i="5"/>
  <c r="G46" i="5"/>
  <c r="G51" i="5"/>
  <c r="G40" i="5"/>
  <c r="G45" i="5"/>
  <c r="G41" i="5"/>
  <c r="G53" i="5"/>
  <c r="G50" i="5"/>
  <c r="G49" i="5"/>
  <c r="G64" i="5"/>
  <c r="G54" i="5"/>
  <c r="G56" i="5"/>
  <c r="G55" i="5"/>
  <c r="O60" i="5"/>
  <c r="O61" i="5"/>
  <c r="O62" i="5"/>
  <c r="C83" i="5"/>
  <c r="E83" i="5"/>
  <c r="E71" i="5"/>
  <c r="P62" i="7"/>
  <c r="E2" i="7"/>
  <c r="P62" i="5"/>
  <c r="E2" i="5"/>
</calcChain>
</file>

<file path=xl/sharedStrings.xml><?xml version="1.0" encoding="utf-8"?>
<sst xmlns="http://schemas.openxmlformats.org/spreadsheetml/2006/main" count="494" uniqueCount="185">
  <si>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</si>
  <si>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</si>
  <si>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</si>
  <si>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</si>
  <si>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</si>
  <si>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</si>
  <si>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</si>
  <si>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</si>
  <si>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</si>
  <si>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</si>
  <si>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</si>
  <si>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</si>
  <si>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</si>
  <si>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EMPAQUE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</si>
  <si>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</si>
  <si>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</si>
  <si>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</si>
  <si>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</si>
  <si>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</si>
  <si>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</si>
  <si>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</si>
  <si>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</si>
  <si>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</si>
  <si>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</si>
  <si>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</si>
  <si>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</si>
  <si>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</si>
  <si>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</si>
  <si>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</si>
  <si>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</si>
  <si>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903000161</t>
  </si>
  <si>
    <t>Javier Tong, Chef</t>
  </si>
  <si>
    <t>902000019</t>
  </si>
  <si>
    <t>10415</t>
  </si>
  <si>
    <t>FAS</t>
  </si>
  <si>
    <t>905000012</t>
  </si>
  <si>
    <t>90100137</t>
  </si>
  <si>
    <t>Esteban Cartin, Gte Manufactura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</si>
  <si>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</si>
  <si>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</si>
  <si>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</si>
  <si>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</si>
  <si>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</si>
  <si>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</si>
  <si>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</si>
  <si>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</si>
  <si>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</si>
  <si>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</si>
  <si>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</si>
  <si>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</si>
  <si>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</si>
  <si>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</si>
  <si>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</si>
  <si>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</si>
  <si>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</si>
  <si>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</si>
  <si>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</si>
  <si>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</si>
  <si>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</si>
  <si>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</si>
  <si>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</si>
  <si>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</si>
  <si>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</si>
  <si>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</si>
  <si>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</si>
  <si>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</si>
  <si>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</si>
  <si>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</si>
  <si>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</si>
  <si>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</si>
  <si>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</si>
  <si>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</si>
  <si>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</si>
  <si>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</si>
  <si>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</si>
  <si>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</si>
  <si>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</si>
  <si>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</si>
  <si>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</si>
  <si>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</si>
  <si>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</si>
  <si>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</si>
  <si>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</si>
  <si>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</si>
  <si>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</si>
  <si>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</si>
  <si>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1210443</t>
  </si>
  <si>
    <t>906000027</t>
  </si>
  <si>
    <t>EMPANADA TRES QUESOS (UND)</t>
  </si>
  <si>
    <t>1950730</t>
  </si>
  <si>
    <t>ETIQ.BLANCA 1 1/4 * 3/4 (UND)</t>
  </si>
  <si>
    <t>ETIQ.FECHA VENCIMIENTO BLANCO (ROLLO)</t>
  </si>
  <si>
    <t>1950702</t>
  </si>
  <si>
    <t>BOLSA 12x18 TRANSP KILO</t>
  </si>
  <si>
    <t>ETIQUETA BLANCA R-153 (UND)</t>
  </si>
  <si>
    <t>Min.</t>
  </si>
  <si>
    <t>701096</t>
  </si>
  <si>
    <t>0702069</t>
  </si>
  <si>
    <t>0702007</t>
  </si>
  <si>
    <t>Und</t>
  </si>
  <si>
    <t>SE00221</t>
  </si>
  <si>
    <t>EM10055</t>
  </si>
  <si>
    <t>EM10002</t>
  </si>
  <si>
    <t>CAJA BLANCA PEQUEÑA</t>
  </si>
  <si>
    <t>EM10016</t>
  </si>
  <si>
    <t>EM10124</t>
  </si>
  <si>
    <t>AREA QUE PRODUCE:</t>
  </si>
  <si>
    <t>Pastas</t>
  </si>
  <si>
    <t xml:space="preserve">AREA QUE EMPACA: </t>
  </si>
  <si>
    <t># Código Netsuite</t>
  </si>
  <si>
    <t>Ensamble</t>
  </si>
  <si>
    <t>Decoración</t>
  </si>
  <si>
    <t>Empaque</t>
  </si>
  <si>
    <t>1/2</t>
  </si>
  <si>
    <t>CONTROL DE CAMBIOS</t>
  </si>
  <si>
    <t>ESP-RE-PAES-018</t>
  </si>
  <si>
    <t>10 UND</t>
  </si>
  <si>
    <t>1.- Colocar en una caja pequeña 10 unidades . Sellar con 1/2 bolsa plastica.</t>
  </si>
  <si>
    <t>2.- Etiquetar con nombre y lote</t>
  </si>
  <si>
    <t>Revision #2: Se aumentan las unidades.</t>
  </si>
  <si>
    <t>FILTROS :</t>
  </si>
  <si>
    <t>SUBSIDIARIA</t>
  </si>
  <si>
    <t>Empresa principal : Servicios de Pastelería S.A.</t>
  </si>
  <si>
    <t>ARTÍCULO</t>
  </si>
  <si>
    <t>PTL00122 Empanadita Tres Quesos 1/6 und</t>
  </si>
  <si>
    <t>UBICACIÓN</t>
  </si>
  <si>
    <t>Bodega Administrativa</t>
  </si>
  <si>
    <t>LISTA DE MATERIALES</t>
  </si>
  <si>
    <t>BOM PTL00122</t>
  </si>
  <si>
    <t>CONTROL DE VISUALIZACIÓN</t>
  </si>
  <si>
    <t>Por revisión</t>
  </si>
  <si>
    <t>FECHA/FECHA EFECTIVA</t>
  </si>
  <si>
    <t>01/08/2023</t>
  </si>
  <si>
    <t>REVISIÓN DE LISTA DE MATERIALES</t>
  </si>
  <si>
    <t>REV V1 BOM PTL00122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</si>
  <si>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</si>
  <si>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</si>
  <si>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</si>
  <si>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</si>
  <si>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</si>
  <si>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</si>
  <si>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</si>
  <si>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</si>
  <si>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</si>
  <si>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</si>
  <si>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</si>
  <si>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</si>
  <si>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CRC1,292.05</t>
  </si>
  <si>
    <t>CRC1,292.05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</si>
  <si>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</si>
  <si>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</si>
  <si>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</si>
  <si>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</si>
  <si>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</si>
  <si>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</si>
  <si>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</si>
  <si>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</si>
  <si>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</si>
  <si>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SC-MO1</t>
  </si>
  <si>
    <t>Mano de Obra</t>
  </si>
  <si>
    <t>4.01</t>
  </si>
  <si>
    <t>100%</t>
  </si>
  <si>
    <t>77.00</t>
  </si>
  <si>
    <t>308.77</t>
  </si>
  <si>
    <t>SC-GIF1</t>
  </si>
  <si>
    <t>Gastos Indirectos Fabricación</t>
  </si>
  <si>
    <t>64.00</t>
  </si>
  <si>
    <t>256.64</t>
  </si>
  <si>
    <t>Caja Blanca Pequeña</t>
  </si>
  <si>
    <t>30.50</t>
  </si>
  <si>
    <t>Etiq.Blanca 1 1/4 * 3/4</t>
  </si>
  <si>
    <t>0.58</t>
  </si>
  <si>
    <t>Bolsa 12X18 Transparente</t>
  </si>
  <si>
    <t>4</t>
  </si>
  <si>
    <t>1.80</t>
  </si>
  <si>
    <t>GRAMOS</t>
  </si>
  <si>
    <t>7.20</t>
  </si>
  <si>
    <t>Etiqueta Blanca R-153</t>
  </si>
  <si>
    <t>0.39</t>
  </si>
  <si>
    <t>Empanada Tres Quesos</t>
  </si>
  <si>
    <t>6</t>
  </si>
  <si>
    <t>114.66208276</t>
  </si>
  <si>
    <t>687.97</t>
  </si>
  <si>
    <t>Empaque empanada de quesos Spoon 20400174(PTL00246)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</si>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</sst>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_(* #,##0.000_);_(* \(#,##0.000\);_(* &quot;-&quot;??_);_(@_)"/>
    <numFmt numFmtId="171" formatCode="0.0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9" fontId="2" fillId="0" borderId="0" applyFont="0" applyFill="0" applyBorder="0" applyAlignment="0" applyProtection="0"/>
    <xf numFmtId="0" fontId="8" fillId="0" borderId="0"/>
    <xf numFmtId="0" fontId="2" fillId="0" borderId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0" fontId="2" fillId="0" borderId="0"/>
    <xf numFmtId="0" fontId="50" fillId="0" borderId="0" applyNumberFormat="0" applyFill="0" applyBorder="0" applyAlignment="0" applyProtection="0"/>
    <xf numFmtId="0" fontId="51" fillId="0" borderId="57" applyNumberFormat="0" applyFill="0" applyAlignment="0" applyProtection="0"/>
    <xf numFmtId="0" fontId="52" fillId="0" borderId="58" applyNumberFormat="0" applyFill="0" applyAlignment="0" applyProtection="0"/>
    <xf numFmtId="0" fontId="53" fillId="0" borderId="59" applyNumberFormat="0" applyFill="0" applyAlignment="0" applyProtection="0"/>
    <xf numFmtId="0" fontId="53" fillId="0" borderId="0" applyNumberFormat="0" applyFill="0" applyBorder="0" applyAlignment="0" applyProtection="0"/>
    <xf numFmtId="0" fontId="54" fillId="12" borderId="0" applyNumberFormat="0" applyBorder="0" applyAlignment="0" applyProtection="0"/>
    <xf numFmtId="0" fontId="55" fillId="13" borderId="0" applyNumberFormat="0" applyBorder="0" applyAlignment="0" applyProtection="0"/>
    <xf numFmtId="0" fontId="56" fillId="14" borderId="0" applyNumberFormat="0" applyBorder="0" applyAlignment="0" applyProtection="0"/>
    <xf numFmtId="0" fontId="57" fillId="15" borderId="60" applyNumberFormat="0" applyAlignment="0" applyProtection="0"/>
    <xf numFmtId="0" fontId="58" fillId="16" borderId="61" applyNumberFormat="0" applyAlignment="0" applyProtection="0"/>
    <xf numFmtId="0" fontId="59" fillId="16" borderId="60" applyNumberFormat="0" applyAlignment="0" applyProtection="0"/>
    <xf numFmtId="0" fontId="60" fillId="0" borderId="62" applyNumberFormat="0" applyFill="0" applyAlignment="0" applyProtection="0"/>
    <xf numFmtId="0" fontId="61" fillId="17" borderId="63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65" applyNumberFormat="0" applyFill="0" applyAlignment="0" applyProtection="0"/>
    <xf numFmtId="0" fontId="6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6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6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6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6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65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0" borderId="0"/>
    <xf numFmtId="0" fontId="1" fillId="18" borderId="64" applyNumberFormat="0" applyFont="0" applyAlignment="0" applyProtection="0"/>
  </cellStyleXfs>
  <cellXfs count="298">
    <xf numFmtId="0" fontId="0" fillId="0" borderId="0" xfId="0"/>
    <xf numFmtId="0" fontId="7" fillId="5" borderId="0" xfId="0" applyFont="1" applyFill="1" applyAlignment="1">
      <alignment vertical="center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12" fillId="0" borderId="16" xfId="4" applyFont="1" applyFill="1" applyBorder="1" applyAlignment="1">
      <alignment horizontal="center" vertical="center"/>
    </xf>
    <xf numFmtId="166" fontId="12" fillId="0" borderId="0" xfId="4" applyFont="1" applyFill="1" applyBorder="1" applyAlignment="1">
      <alignment horizontal="center" vertical="center"/>
    </xf>
    <xf numFmtId="166" fontId="14" fillId="0" borderId="0" xfId="4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5" applyNumberFormat="1" applyFont="1" applyFill="1" applyAlignment="1">
      <alignment horizontal="center" vertical="center"/>
    </xf>
    <xf numFmtId="4" fontId="12" fillId="0" borderId="0" xfId="5" applyNumberFormat="1" applyFont="1" applyFill="1" applyAlignment="1">
      <alignment horizontal="center" vertical="center"/>
    </xf>
    <xf numFmtId="10" fontId="12" fillId="0" borderId="0" xfId="1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1" applyNumberFormat="1" applyFont="1" applyFill="1" applyAlignment="1">
      <alignment vertical="center"/>
    </xf>
    <xf numFmtId="0" fontId="7" fillId="0" borderId="0" xfId="0" applyFont="1"/>
    <xf numFmtId="49" fontId="12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6" fontId="7" fillId="0" borderId="0" xfId="4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12" fillId="0" borderId="0" xfId="4" applyNumberFormat="1" applyFont="1" applyFill="1" applyAlignment="1">
      <alignment vertical="center"/>
    </xf>
    <xf numFmtId="166" fontId="20" fillId="0" borderId="0" xfId="4" applyFont="1" applyFill="1" applyAlignment="1">
      <alignment horizontal="center" vertical="center"/>
    </xf>
    <xf numFmtId="10" fontId="13" fillId="7" borderId="39" xfId="1" applyNumberFormat="1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7" fillId="7" borderId="39" xfId="0" applyFont="1" applyFill="1" applyBorder="1" applyAlignment="1">
      <alignment vertical="center"/>
    </xf>
    <xf numFmtId="166" fontId="20" fillId="7" borderId="40" xfId="4" applyFont="1" applyFill="1" applyBorder="1" applyAlignment="1">
      <alignment horizontal="center" vertical="center"/>
    </xf>
    <xf numFmtId="166" fontId="22" fillId="0" borderId="0" xfId="4" applyFont="1" applyFill="1" applyBorder="1" applyAlignment="1">
      <alignment horizontal="right"/>
    </xf>
    <xf numFmtId="0" fontId="7" fillId="7" borderId="40" xfId="0" applyFont="1" applyFill="1" applyBorder="1" applyAlignment="1">
      <alignment vertical="center"/>
    </xf>
    <xf numFmtId="10" fontId="13" fillId="7" borderId="40" xfId="1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0" fontId="12" fillId="0" borderId="0" xfId="0" applyFont="1" applyAlignment="1">
      <alignment horizontal="right" vertical="center"/>
    </xf>
    <xf numFmtId="9" fontId="23" fillId="0" borderId="0" xfId="1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4" applyNumberFormat="1" applyFont="1" applyFill="1" applyAlignment="1">
      <alignment vertical="center"/>
    </xf>
    <xf numFmtId="4" fontId="20" fillId="0" borderId="0" xfId="5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21" xfId="0" applyFont="1" applyBorder="1" applyAlignment="1">
      <alignment horizontal="right"/>
    </xf>
    <xf numFmtId="166" fontId="26" fillId="4" borderId="43" xfId="4" applyFont="1" applyFill="1" applyBorder="1" applyAlignment="1">
      <alignment horizontal="right"/>
    </xf>
    <xf numFmtId="166" fontId="26" fillId="0" borderId="0" xfId="4" applyFont="1" applyFill="1" applyBorder="1" applyAlignment="1">
      <alignment horizontal="right"/>
    </xf>
    <xf numFmtId="166" fontId="12" fillId="0" borderId="16" xfId="4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5" applyNumberFormat="1" applyFont="1" applyFill="1" applyAlignment="1">
      <alignment horizontal="center" vertical="center"/>
    </xf>
    <xf numFmtId="10" fontId="28" fillId="0" borderId="0" xfId="1" applyNumberFormat="1" applyFont="1" applyFill="1" applyAlignment="1">
      <alignment horizontal="right"/>
    </xf>
    <xf numFmtId="169" fontId="12" fillId="7" borderId="16" xfId="4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166" fontId="12" fillId="8" borderId="16" xfId="4" applyFont="1" applyFill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7" borderId="44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4" applyNumberFormat="1" applyFont="1" applyFill="1" applyBorder="1" applyAlignment="1">
      <alignment horizontal="center"/>
    </xf>
    <xf numFmtId="2" fontId="25" fillId="0" borderId="0" xfId="4" applyNumberFormat="1" applyFont="1" applyFill="1" applyBorder="1" applyAlignment="1">
      <alignment horizontal="center"/>
    </xf>
    <xf numFmtId="0" fontId="7" fillId="7" borderId="44" xfId="0" applyFont="1" applyFill="1" applyBorder="1" applyAlignment="1">
      <alignment vertical="center"/>
    </xf>
    <xf numFmtId="10" fontId="7" fillId="0" borderId="0" xfId="1" applyNumberFormat="1" applyFont="1" applyFill="1" applyAlignment="1">
      <alignment vertical="center"/>
    </xf>
    <xf numFmtId="4" fontId="7" fillId="0" borderId="0" xfId="4" applyNumberFormat="1" applyFont="1" applyFill="1" applyAlignment="1">
      <alignment vertical="center"/>
    </xf>
    <xf numFmtId="166" fontId="26" fillId="7" borderId="10" xfId="4" applyFont="1" applyFill="1" applyBorder="1" applyAlignment="1">
      <alignment horizontal="right"/>
    </xf>
    <xf numFmtId="0" fontId="12" fillId="7" borderId="9" xfId="0" applyFont="1" applyFill="1" applyBorder="1" applyAlignment="1">
      <alignment horizontal="right" vertical="center"/>
    </xf>
    <xf numFmtId="10" fontId="32" fillId="0" borderId="0" xfId="4" applyNumberFormat="1" applyFont="1" applyFill="1" applyAlignment="1">
      <alignment vertical="center"/>
    </xf>
    <xf numFmtId="10" fontId="13" fillId="0" borderId="0" xfId="1" applyNumberFormat="1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166" fontId="34" fillId="0" borderId="0" xfId="4" applyFont="1" applyFill="1" applyAlignment="1">
      <alignment vertical="center"/>
    </xf>
    <xf numFmtId="9" fontId="7" fillId="0" borderId="0" xfId="4" applyNumberFormat="1" applyFont="1" applyFill="1" applyAlignment="1">
      <alignment vertical="center"/>
    </xf>
    <xf numFmtId="4" fontId="35" fillId="0" borderId="0" xfId="5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4" applyNumberFormat="1" applyFont="1" applyFill="1" applyAlignment="1">
      <alignment vertical="center"/>
    </xf>
    <xf numFmtId="4" fontId="12" fillId="10" borderId="43" xfId="4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6" fontId="36" fillId="0" borderId="0" xfId="4" applyFont="1" applyFill="1" applyAlignment="1">
      <alignment vertical="center"/>
    </xf>
    <xf numFmtId="9" fontId="36" fillId="0" borderId="0" xfId="4" applyNumberFormat="1" applyFont="1" applyFill="1" applyAlignment="1">
      <alignment vertical="center"/>
    </xf>
    <xf numFmtId="4" fontId="12" fillId="0" borderId="0" xfId="4" applyNumberFormat="1" applyFont="1" applyFill="1" applyAlignment="1">
      <alignment horizontal="center" vertical="center"/>
    </xf>
    <xf numFmtId="10" fontId="2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166" fontId="29" fillId="0" borderId="0" xfId="4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166" fontId="7" fillId="0" borderId="0" xfId="4" applyFont="1" applyFill="1" applyBorder="1"/>
    <xf numFmtId="10" fontId="29" fillId="0" borderId="0" xfId="1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6" fontId="7" fillId="0" borderId="0" xfId="4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6" fontId="12" fillId="0" borderId="0" xfId="0" applyNumberFormat="1" applyFont="1"/>
    <xf numFmtId="0" fontId="2" fillId="0" borderId="0" xfId="3"/>
    <xf numFmtId="0" fontId="5" fillId="3" borderId="24" xfId="3" applyFont="1" applyFill="1" applyBorder="1" applyAlignment="1">
      <alignment horizontal="center" vertical="center" wrapText="1"/>
    </xf>
    <xf numFmtId="1" fontId="5" fillId="3" borderId="2" xfId="3" applyNumberFormat="1" applyFont="1" applyFill="1" applyBorder="1" applyAlignment="1">
      <alignment horizontal="center"/>
    </xf>
    <xf numFmtId="1" fontId="5" fillId="3" borderId="2" xfId="3" applyNumberFormat="1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center"/>
    </xf>
    <xf numFmtId="0" fontId="5" fillId="2" borderId="25" xfId="2" applyFont="1" applyFill="1" applyBorder="1" applyAlignment="1">
      <alignment horizontal="right"/>
    </xf>
    <xf numFmtId="0" fontId="5" fillId="2" borderId="16" xfId="2" applyFont="1" applyFill="1" applyBorder="1" applyAlignment="1">
      <alignment horizontal="right"/>
    </xf>
    <xf numFmtId="0" fontId="3" fillId="2" borderId="7" xfId="2" applyFont="1" applyFill="1" applyBorder="1" applyAlignment="1">
      <alignment horizontal="right"/>
    </xf>
    <xf numFmtId="0" fontId="3" fillId="2" borderId="16" xfId="2" applyFont="1" applyFill="1" applyBorder="1" applyAlignment="1">
      <alignment horizontal="right"/>
    </xf>
    <xf numFmtId="1" fontId="3" fillId="0" borderId="7" xfId="3" applyNumberFormat="1" applyFont="1" applyBorder="1" applyAlignment="1">
      <alignment horizontal="center"/>
    </xf>
    <xf numFmtId="1" fontId="3" fillId="0" borderId="7" xfId="3" applyNumberFormat="1" applyFont="1" applyBorder="1" applyAlignment="1">
      <alignment horizontal="center" wrapText="1"/>
    </xf>
    <xf numFmtId="49" fontId="4" fillId="2" borderId="22" xfId="3" applyNumberFormat="1" applyFont="1" applyFill="1" applyBorder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7" fontId="3" fillId="2" borderId="0" xfId="3" applyNumberFormat="1" applyFont="1" applyFill="1" applyAlignment="1">
      <alignment horizontal="center" wrapText="1"/>
    </xf>
    <xf numFmtId="0" fontId="3" fillId="2" borderId="21" xfId="3" applyFont="1" applyFill="1" applyBorder="1" applyAlignment="1">
      <alignment horizontal="center"/>
    </xf>
    <xf numFmtId="0" fontId="3" fillId="3" borderId="11" xfId="3" applyFont="1" applyFill="1" applyBorder="1" applyAlignment="1">
      <alignment horizontal="center"/>
    </xf>
    <xf numFmtId="0" fontId="3" fillId="3" borderId="10" xfId="3" applyFont="1" applyFill="1" applyBorder="1"/>
    <xf numFmtId="0" fontId="5" fillId="3" borderId="10" xfId="3" applyFont="1" applyFill="1" applyBorder="1" applyAlignment="1">
      <alignment horizontal="center"/>
    </xf>
    <xf numFmtId="1" fontId="5" fillId="3" borderId="10" xfId="3" applyNumberFormat="1" applyFont="1" applyFill="1" applyBorder="1" applyAlignment="1">
      <alignment horizontal="center"/>
    </xf>
    <xf numFmtId="167" fontId="3" fillId="3" borderId="10" xfId="3" applyNumberFormat="1" applyFont="1" applyFill="1" applyBorder="1" applyAlignment="1">
      <alignment horizontal="center" wrapText="1"/>
    </xf>
    <xf numFmtId="0" fontId="3" fillId="3" borderId="9" xfId="3" applyFont="1" applyFill="1" applyBorder="1" applyAlignment="1">
      <alignment horizontal="center"/>
    </xf>
    <xf numFmtId="49" fontId="7" fillId="0" borderId="16" xfId="3" applyNumberFormat="1" applyFont="1" applyBorder="1"/>
    <xf numFmtId="0" fontId="6" fillId="0" borderId="16" xfId="3" applyFont="1" applyBorder="1" applyAlignment="1">
      <alignment horizontal="center" vertical="center"/>
    </xf>
    <xf numFmtId="0" fontId="2" fillId="0" borderId="0" xfId="3" applyAlignment="1">
      <alignment horizontal="center"/>
    </xf>
    <xf numFmtId="49" fontId="4" fillId="2" borderId="0" xfId="3" applyNumberFormat="1" applyFont="1" applyFill="1" applyAlignment="1">
      <alignment horizontal="center" vertical="center"/>
    </xf>
    <xf numFmtId="0" fontId="3" fillId="3" borderId="10" xfId="3" applyFont="1" applyFill="1" applyBorder="1" applyAlignment="1">
      <alignment horizontal="center"/>
    </xf>
    <xf numFmtId="49" fontId="3" fillId="2" borderId="23" xfId="2" applyNumberFormat="1" applyFont="1" applyFill="1" applyBorder="1" applyAlignment="1">
      <alignment horizontal="center"/>
    </xf>
    <xf numFmtId="14" fontId="41" fillId="2" borderId="0" xfId="15" applyNumberFormat="1" applyFont="1" applyFill="1" applyAlignment="1">
      <alignment horizontal="center" vertical="center" wrapText="1"/>
    </xf>
    <xf numFmtId="0" fontId="42" fillId="0" borderId="52" xfId="3" applyFont="1" applyBorder="1" applyAlignment="1">
      <alignment horizontal="center" vertical="center"/>
    </xf>
    <xf numFmtId="0" fontId="42" fillId="0" borderId="15" xfId="3" applyFont="1" applyBorder="1" applyAlignment="1">
      <alignment horizontal="center" vertical="center"/>
    </xf>
    <xf numFmtId="0" fontId="43" fillId="0" borderId="16" xfId="3" applyFont="1" applyBorder="1" applyAlignment="1">
      <alignment vertical="center"/>
    </xf>
    <xf numFmtId="0" fontId="42" fillId="0" borderId="16" xfId="3" applyFont="1" applyBorder="1" applyAlignment="1">
      <alignment horizontal="center" vertical="center"/>
    </xf>
    <xf numFmtId="1" fontId="42" fillId="0" borderId="16" xfId="3" applyNumberFormat="1" applyFont="1" applyBorder="1" applyAlignment="1">
      <alignment horizontal="center"/>
    </xf>
    <xf numFmtId="1" fontId="42" fillId="0" borderId="16" xfId="3" applyNumberFormat="1" applyFont="1" applyBorder="1" applyAlignment="1">
      <alignment horizontal="center" wrapText="1"/>
    </xf>
    <xf numFmtId="0" fontId="6" fillId="0" borderId="23" xfId="3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7" xfId="0" applyFont="1" applyBorder="1" applyAlignment="1">
      <alignment horizontal="center"/>
    </xf>
    <xf numFmtId="2" fontId="42" fillId="0" borderId="16" xfId="3" applyNumberFormat="1" applyFont="1" applyBorder="1" applyAlignment="1">
      <alignment horizontal="center"/>
    </xf>
    <xf numFmtId="1" fontId="5" fillId="5" borderId="53" xfId="3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5" borderId="16" xfId="0" applyFill="1" applyBorder="1"/>
    <xf numFmtId="1" fontId="6" fillId="0" borderId="16" xfId="3" applyNumberFormat="1" applyFont="1" applyBorder="1" applyAlignment="1">
      <alignment horizontal="center"/>
    </xf>
    <xf numFmtId="1" fontId="6" fillId="0" borderId="16" xfId="3" applyNumberFormat="1" applyFont="1" applyBorder="1" applyAlignment="1">
      <alignment horizontal="center" wrapText="1"/>
    </xf>
    <xf numFmtId="49" fontId="6" fillId="0" borderId="52" xfId="3" applyNumberFormat="1" applyFont="1" applyBorder="1" applyAlignment="1">
      <alignment horizontal="center"/>
    </xf>
    <xf numFmtId="49" fontId="6" fillId="0" borderId="15" xfId="3" applyNumberFormat="1" applyFont="1" applyBorder="1" applyAlignment="1">
      <alignment horizontal="center"/>
    </xf>
    <xf numFmtId="0" fontId="44" fillId="5" borderId="16" xfId="3" applyFont="1" applyFill="1" applyBorder="1" applyAlignment="1">
      <alignment horizontal="left"/>
    </xf>
    <xf numFmtId="0" fontId="6" fillId="0" borderId="16" xfId="3" applyFont="1" applyBorder="1" applyAlignment="1">
      <alignment horizontal="center"/>
    </xf>
    <xf numFmtId="171" fontId="6" fillId="0" borderId="16" xfId="3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1" fontId="6" fillId="0" borderId="16" xfId="16" applyNumberFormat="1" applyFont="1" applyBorder="1" applyAlignment="1">
      <alignment horizontal="center"/>
    </xf>
    <xf numFmtId="1" fontId="6" fillId="0" borderId="16" xfId="16" applyNumberFormat="1" applyFont="1" applyBorder="1" applyAlignment="1">
      <alignment horizontal="center" wrapText="1"/>
    </xf>
    <xf numFmtId="49" fontId="42" fillId="0" borderId="5" xfId="3" applyNumberFormat="1" applyFont="1" applyBorder="1" applyAlignment="1">
      <alignment horizontal="center"/>
    </xf>
    <xf numFmtId="49" fontId="42" fillId="0" borderId="37" xfId="3" applyNumberFormat="1" applyFont="1" applyBorder="1" applyAlignment="1">
      <alignment horizontal="center"/>
    </xf>
    <xf numFmtId="0" fontId="45" fillId="5" borderId="16" xfId="3" applyFont="1" applyFill="1" applyBorder="1" applyAlignment="1">
      <alignment vertical="center"/>
    </xf>
    <xf numFmtId="0" fontId="42" fillId="0" borderId="15" xfId="3" applyFont="1" applyBorder="1" applyAlignment="1">
      <alignment horizontal="center"/>
    </xf>
    <xf numFmtId="171" fontId="42" fillId="0" borderId="16" xfId="3" applyNumberFormat="1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49" fontId="7" fillId="0" borderId="16" xfId="0" applyNumberFormat="1" applyFont="1" applyBorder="1"/>
    <xf numFmtId="16" fontId="6" fillId="0" borderId="15" xfId="0" applyNumberFormat="1" applyFont="1" applyBorder="1" applyAlignment="1">
      <alignment horizontal="center"/>
    </xf>
    <xf numFmtId="170" fontId="5" fillId="5" borderId="16" xfId="4" applyNumberFormat="1" applyFont="1" applyFill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49" fontId="3" fillId="0" borderId="16" xfId="0" applyNumberFormat="1" applyFont="1" applyBorder="1" applyAlignment="1">
      <alignment horizontal="center" wrapText="1"/>
    </xf>
    <xf numFmtId="0" fontId="46" fillId="0" borderId="52" xfId="0" quotePrefix="1" applyFont="1" applyBorder="1" applyAlignment="1">
      <alignment horizontal="center"/>
    </xf>
    <xf numFmtId="0" fontId="46" fillId="0" borderId="15" xfId="0" quotePrefix="1" applyFont="1" applyBorder="1" applyAlignment="1">
      <alignment horizontal="center"/>
    </xf>
    <xf numFmtId="0" fontId="47" fillId="0" borderId="16" xfId="0" quotePrefix="1" applyFont="1" applyBorder="1"/>
    <xf numFmtId="1" fontId="3" fillId="5" borderId="16" xfId="0" applyNumberFormat="1" applyFont="1" applyFill="1" applyBorder="1" applyAlignment="1">
      <alignment horizontal="center"/>
    </xf>
    <xf numFmtId="1" fontId="3" fillId="5" borderId="16" xfId="0" applyNumberFormat="1" applyFont="1" applyFill="1" applyBorder="1" applyAlignment="1">
      <alignment horizontal="center" wrapText="1"/>
    </xf>
    <xf numFmtId="49" fontId="6" fillId="5" borderId="52" xfId="3" applyNumberFormat="1" applyFont="1" applyFill="1" applyBorder="1" applyAlignment="1">
      <alignment horizontal="center"/>
    </xf>
    <xf numFmtId="49" fontId="6" fillId="5" borderId="15" xfId="3" applyNumberFormat="1" applyFont="1" applyFill="1" applyBorder="1" applyAlignment="1">
      <alignment horizontal="center"/>
    </xf>
    <xf numFmtId="49" fontId="7" fillId="5" borderId="16" xfId="3" applyNumberFormat="1" applyFont="1" applyFill="1" applyBorder="1"/>
    <xf numFmtId="12" fontId="6" fillId="0" borderId="16" xfId="3" applyNumberFormat="1" applyFont="1" applyBorder="1" applyAlignment="1">
      <alignment horizontal="center"/>
    </xf>
    <xf numFmtId="1" fontId="48" fillId="0" borderId="16" xfId="3" applyNumberFormat="1" applyFont="1" applyBorder="1" applyAlignment="1">
      <alignment horizontal="center"/>
    </xf>
    <xf numFmtId="0" fontId="48" fillId="0" borderId="16" xfId="3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57"/>
    <xf numFmtId="0" fontId="12" fillId="0" borderId="0" xfId="0" applyFont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center" wrapText="1"/>
    </xf>
    <xf numFmtId="0" fontId="29" fillId="0" borderId="16" xfId="0" applyFont="1" applyBorder="1" applyAlignment="1">
      <alignment horizontal="right" vertical="center"/>
    </xf>
    <xf numFmtId="0" fontId="30" fillId="0" borderId="22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1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1" fillId="0" borderId="41" xfId="0" applyFont="1" applyBorder="1" applyAlignment="1">
      <alignment horizontal="right"/>
    </xf>
    <xf numFmtId="0" fontId="21" fillId="0" borderId="42" xfId="0" applyFont="1" applyBorder="1" applyAlignment="1">
      <alignment horizontal="right"/>
    </xf>
    <xf numFmtId="0" fontId="7" fillId="0" borderId="16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right" vertical="center"/>
    </xf>
    <xf numFmtId="0" fontId="37" fillId="0" borderId="10" xfId="0" applyFont="1" applyBorder="1" applyAlignment="1">
      <alignment horizontal="right" vertical="center"/>
    </xf>
    <xf numFmtId="0" fontId="37" fillId="0" borderId="9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38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7" borderId="11" xfId="0" applyFont="1" applyFill="1" applyBorder="1" applyAlignment="1">
      <alignment horizontal="right"/>
    </xf>
    <xf numFmtId="0" fontId="26" fillId="7" borderId="10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2" fillId="0" borderId="38" xfId="0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0" fontId="12" fillId="9" borderId="11" xfId="0" applyFont="1" applyFill="1" applyBorder="1" applyAlignment="1">
      <alignment horizontal="right" vertical="center"/>
    </xf>
    <xf numFmtId="0" fontId="12" fillId="9" borderId="10" xfId="0" applyFont="1" applyFill="1" applyBorder="1" applyAlignment="1">
      <alignment horizontal="right" vertical="center"/>
    </xf>
    <xf numFmtId="0" fontId="12" fillId="9" borderId="9" xfId="0" applyFont="1" applyFill="1" applyBorder="1" applyAlignment="1">
      <alignment horizontal="right" vertical="center"/>
    </xf>
    <xf numFmtId="4" fontId="35" fillId="0" borderId="0" xfId="5" applyNumberFormat="1" applyFont="1" applyFill="1" applyAlignment="1">
      <alignment horizontal="center" vertical="center" wrapText="1"/>
    </xf>
    <xf numFmtId="14" fontId="3" fillId="2" borderId="32" xfId="2" applyNumberFormat="1" applyFont="1" applyFill="1" applyBorder="1" applyAlignment="1">
      <alignment horizontal="center" vertical="center" wrapText="1"/>
    </xf>
    <xf numFmtId="14" fontId="3" fillId="2" borderId="27" xfId="2" applyNumberFormat="1" applyFont="1" applyFill="1" applyBorder="1" applyAlignment="1">
      <alignment horizontal="center" vertical="center" wrapText="1"/>
    </xf>
    <xf numFmtId="14" fontId="3" fillId="2" borderId="6" xfId="2" applyNumberFormat="1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left"/>
    </xf>
    <xf numFmtId="0" fontId="3" fillId="2" borderId="30" xfId="2" applyFont="1" applyFill="1" applyBorder="1" applyAlignment="1">
      <alignment horizontal="left"/>
    </xf>
    <xf numFmtId="0" fontId="3" fillId="2" borderId="29" xfId="2" applyFont="1" applyFill="1" applyBorder="1" applyAlignment="1">
      <alignment horizontal="left"/>
    </xf>
    <xf numFmtId="0" fontId="3" fillId="2" borderId="14" xfId="2" applyFont="1" applyFill="1" applyBorder="1" applyAlignment="1">
      <alignment horizontal="left"/>
    </xf>
    <xf numFmtId="0" fontId="3" fillId="2" borderId="37" xfId="2" applyFont="1" applyFill="1" applyBorder="1" applyAlignment="1">
      <alignment horizontal="left"/>
    </xf>
    <xf numFmtId="0" fontId="3" fillId="2" borderId="15" xfId="2" applyFont="1" applyFill="1" applyBorder="1" applyAlignment="1">
      <alignment horizontal="left"/>
    </xf>
    <xf numFmtId="0" fontId="3" fillId="2" borderId="41" xfId="2" applyFont="1" applyFill="1" applyBorder="1" applyAlignment="1">
      <alignment horizontal="center"/>
    </xf>
    <xf numFmtId="0" fontId="3" fillId="2" borderId="42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0" xfId="2" applyFont="1" applyFill="1" applyBorder="1" applyAlignment="1">
      <alignment horizontal="center"/>
    </xf>
    <xf numFmtId="0" fontId="3" fillId="2" borderId="50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0" fillId="2" borderId="13" xfId="2" applyFont="1" applyFill="1" applyBorder="1" applyAlignment="1">
      <alignment horizontal="center"/>
    </xf>
    <xf numFmtId="0" fontId="10" fillId="2" borderId="51" xfId="2" applyFont="1" applyFill="1" applyBorder="1" applyAlignment="1">
      <alignment horizontal="center"/>
    </xf>
    <xf numFmtId="0" fontId="10" fillId="2" borderId="49" xfId="2" applyFont="1" applyFill="1" applyBorder="1" applyAlignment="1">
      <alignment horizontal="center"/>
    </xf>
    <xf numFmtId="0" fontId="9" fillId="4" borderId="36" xfId="2" applyFont="1" applyFill="1" applyBorder="1" applyAlignment="1">
      <alignment horizontal="center"/>
    </xf>
    <xf numFmtId="0" fontId="9" fillId="4" borderId="35" xfId="2" applyFont="1" applyFill="1" applyBorder="1" applyAlignment="1">
      <alignment horizontal="center"/>
    </xf>
    <xf numFmtId="0" fontId="9" fillId="4" borderId="34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right" vertical="top" wrapText="1"/>
    </xf>
    <xf numFmtId="0" fontId="5" fillId="2" borderId="28" xfId="2" applyFont="1" applyFill="1" applyBorder="1" applyAlignment="1">
      <alignment horizontal="right" vertical="top" wrapText="1"/>
    </xf>
    <xf numFmtId="0" fontId="5" fillId="2" borderId="46" xfId="2" applyFont="1" applyFill="1" applyBorder="1" applyAlignment="1">
      <alignment horizontal="right" vertical="top" wrapText="1"/>
    </xf>
    <xf numFmtId="0" fontId="40" fillId="2" borderId="0" xfId="15" applyFont="1" applyFill="1" applyAlignment="1">
      <alignment horizontal="right"/>
    </xf>
    <xf numFmtId="0" fontId="41" fillId="2" borderId="38" xfId="15" applyFont="1" applyFill="1" applyBorder="1" applyAlignment="1">
      <alignment horizontal="center"/>
    </xf>
    <xf numFmtId="0" fontId="40" fillId="2" borderId="0" xfId="15" applyFont="1" applyFill="1"/>
    <xf numFmtId="0" fontId="5" fillId="3" borderId="26" xfId="3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5" fillId="3" borderId="26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25" xfId="3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0" borderId="20" xfId="3" applyFont="1" applyBorder="1" applyAlignment="1">
      <alignment horizontal="right"/>
    </xf>
    <xf numFmtId="0" fontId="5" fillId="0" borderId="50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167" fontId="3" fillId="0" borderId="7" xfId="3" applyNumberFormat="1" applyFont="1" applyBorder="1" applyAlignment="1">
      <alignment horizontal="right"/>
    </xf>
    <xf numFmtId="0" fontId="3" fillId="2" borderId="18" xfId="3" applyFont="1" applyFill="1" applyBorder="1" applyAlignment="1">
      <alignment horizontal="center"/>
    </xf>
    <xf numFmtId="0" fontId="3" fillId="2" borderId="17" xfId="3" applyFont="1" applyFill="1" applyBorder="1" applyAlignment="1">
      <alignment horizontal="center"/>
    </xf>
    <xf numFmtId="0" fontId="5" fillId="0" borderId="5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15" xfId="3" applyFont="1" applyBorder="1" applyAlignment="1">
      <alignment horizontal="right"/>
    </xf>
    <xf numFmtId="0" fontId="3" fillId="0" borderId="16" xfId="3" applyFont="1" applyBorder="1" applyAlignment="1">
      <alignment horizontal="right"/>
    </xf>
    <xf numFmtId="167" fontId="3" fillId="0" borderId="14" xfId="3" applyNumberFormat="1" applyFont="1" applyBorder="1" applyAlignment="1">
      <alignment horizontal="center"/>
    </xf>
    <xf numFmtId="167" fontId="3" fillId="0" borderId="4" xfId="3" applyNumberFormat="1" applyFont="1" applyBorder="1" applyAlignment="1">
      <alignment horizontal="center"/>
    </xf>
    <xf numFmtId="0" fontId="3" fillId="0" borderId="8" xfId="3" applyFont="1" applyBorder="1" applyAlignment="1">
      <alignment horizontal="left"/>
    </xf>
    <xf numFmtId="0" fontId="3" fillId="0" borderId="19" xfId="3" applyFont="1" applyBorder="1" applyAlignment="1">
      <alignment horizontal="left"/>
    </xf>
    <xf numFmtId="0" fontId="3" fillId="0" borderId="7" xfId="3" applyFont="1" applyBorder="1" applyAlignment="1">
      <alignment horizontal="left"/>
    </xf>
    <xf numFmtId="0" fontId="3" fillId="0" borderId="6" xfId="3" applyFont="1" applyBorder="1" applyAlignment="1">
      <alignment horizontal="left"/>
    </xf>
    <xf numFmtId="167" fontId="3" fillId="0" borderId="14" xfId="3" applyNumberFormat="1" applyFont="1" applyBorder="1" applyAlignment="1">
      <alignment horizontal="right" wrapText="1"/>
    </xf>
    <xf numFmtId="167" fontId="3" fillId="0" borderId="15" xfId="3" applyNumberFormat="1" applyFont="1" applyBorder="1" applyAlignment="1">
      <alignment horizontal="right" wrapText="1"/>
    </xf>
    <xf numFmtId="0" fontId="5" fillId="0" borderId="3" xfId="3" applyFont="1" applyBorder="1" applyAlignment="1">
      <alignment horizontal="right"/>
    </xf>
    <xf numFmtId="0" fontId="5" fillId="0" borderId="49" xfId="3" applyFont="1" applyBorder="1" applyAlignment="1">
      <alignment horizontal="right"/>
    </xf>
    <xf numFmtId="0" fontId="5" fillId="0" borderId="2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167" fontId="3" fillId="0" borderId="13" xfId="3" applyNumberFormat="1" applyFont="1" applyBorder="1" applyAlignment="1">
      <alignment horizontal="center"/>
    </xf>
    <xf numFmtId="167" fontId="3" fillId="0" borderId="12" xfId="3" applyNumberFormat="1" applyFont="1" applyBorder="1" applyAlignment="1">
      <alignment horizontal="center"/>
    </xf>
    <xf numFmtId="0" fontId="5" fillId="3" borderId="11" xfId="3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9" xfId="3" applyFont="1" applyFill="1" applyBorder="1" applyAlignment="1">
      <alignment horizontal="left"/>
    </xf>
    <xf numFmtId="0" fontId="3" fillId="0" borderId="54" xfId="3" applyFont="1" applyBorder="1" applyAlignment="1">
      <alignment horizontal="left"/>
    </xf>
    <xf numFmtId="0" fontId="3" fillId="0" borderId="51" xfId="3" applyFont="1" applyBorder="1" applyAlignment="1">
      <alignment horizontal="left"/>
    </xf>
    <xf numFmtId="0" fontId="3" fillId="0" borderId="12" xfId="3" applyFont="1" applyBorder="1" applyAlignment="1">
      <alignment horizontal="left"/>
    </xf>
    <xf numFmtId="0" fontId="5" fillId="11" borderId="55" xfId="2" applyFont="1" applyFill="1" applyBorder="1" applyAlignment="1">
      <alignment horizontal="center"/>
    </xf>
    <xf numFmtId="0" fontId="5" fillId="11" borderId="42" xfId="2" applyFont="1" applyFill="1" applyBorder="1" applyAlignment="1">
      <alignment horizontal="center"/>
    </xf>
    <xf numFmtId="0" fontId="3" fillId="2" borderId="56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3" fillId="0" borderId="5" xfId="3" applyFont="1" applyBorder="1" applyAlignment="1">
      <alignment horizontal="left"/>
    </xf>
    <xf numFmtId="0" fontId="3" fillId="0" borderId="37" xfId="3" applyFont="1" applyBorder="1" applyAlignment="1">
      <alignment horizontal="left"/>
    </xf>
    <xf numFmtId="0" fontId="3" fillId="0" borderId="4" xfId="3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49" fillId="0" borderId="20" xfId="3" applyFont="1" applyBorder="1" applyAlignment="1">
      <alignment horizontal="left" wrapText="1"/>
    </xf>
    <xf numFmtId="0" fontId="49" fillId="0" borderId="50" xfId="3" applyFont="1" applyBorder="1" applyAlignment="1">
      <alignment horizontal="left" wrapText="1"/>
    </xf>
    <xf numFmtId="0" fontId="49" fillId="0" borderId="17" xfId="3" applyFont="1" applyBorder="1" applyAlignment="1">
      <alignment horizontal="left" wrapText="1"/>
    </xf>
    <xf numFmtId="0" fontId="3" fillId="0" borderId="5" xfId="3" applyFont="1" applyBorder="1" applyAlignment="1">
      <alignment horizontal="left" wrapText="1"/>
    </xf>
    <xf numFmtId="0" fontId="3" fillId="0" borderId="37" xfId="3" applyFont="1" applyBorder="1" applyAlignment="1">
      <alignment horizontal="left" wrapText="1"/>
    </xf>
    <xf numFmtId="0" fontId="3" fillId="0" borderId="4" xfId="3" applyFont="1" applyBorder="1" applyAlignment="1">
      <alignment horizontal="left" wrapText="1"/>
    </xf>
    <xf numFmtId="0" fontId="3" fillId="2" borderId="24" xfId="2" applyFont="1" applyFill="1" applyBorder="1" applyAlignment="1">
      <alignment horizontal="center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2" builtinId="26" customBuiltin="1"/>
    <cellStyle name="Cálculo" xfId="27" builtinId="22" customBuiltin="1"/>
    <cellStyle name="Celda de comprobación" xfId="29" builtinId="23" customBuiltin="1"/>
    <cellStyle name="Celda vinculada" xfId="28" builtinId="24" customBuiltin="1"/>
    <cellStyle name="Encabezado 1" xfId="18" builtinId="16" customBuiltin="1"/>
    <cellStyle name="Encabezado 4" xfId="21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5" builtinId="20" customBuiltin="1"/>
    <cellStyle name="Incorrecto" xfId="23" builtinId="27" customBuiltin="1"/>
    <cellStyle name="Millares" xfId="4" builtinId="3"/>
    <cellStyle name="Millares [0]" xfId="5" builtinId="6"/>
    <cellStyle name="Millares [0] 2" xfId="7" xr:uid="{5A16449D-871D-43B6-AF8C-80A340D8A8A8}"/>
    <cellStyle name="Millares [0] 3" xfId="8" xr:uid="{52CA4A4E-F02D-4A13-9425-DF268E0E8702}"/>
    <cellStyle name="Millares 2" xfId="9" xr:uid="{11DA67BA-AB02-4B48-9392-CDB9A49B542A}"/>
    <cellStyle name="Millares 3" xfId="10" xr:uid="{0AFC68D3-BEED-47AB-A4F6-CD90D2B310EB}"/>
    <cellStyle name="Millares 4" xfId="6" xr:uid="{CB453140-0931-49F6-A040-9542557E16A5}"/>
    <cellStyle name="Neutral" xfId="24" builtinId="28" customBuiltin="1"/>
    <cellStyle name="Normal" xfId="0" builtinId="0"/>
    <cellStyle name="Normal 2" xfId="3" xr:uid="{46E6B3C4-98FA-48B8-9FE7-6FA03C63FC3A}"/>
    <cellStyle name="Normal 3" xfId="11" xr:uid="{1BB2B4BC-1138-4727-BC72-DCDD01EC1488}"/>
    <cellStyle name="Normal 3 2" xfId="16" xr:uid="{74770D6F-70E3-4657-98AF-A557237486EC}"/>
    <cellStyle name="Normal 4" xfId="57" xr:uid="{03C9D8A4-7F95-45A2-BD10-9FD00CCDACA6}"/>
    <cellStyle name="Normal_CRITERIOS DE EVALUACION PT DE GB" xfId="2" xr:uid="{00000000-0005-0000-0000-000001000000}"/>
    <cellStyle name="Normal_CRITERIOS DE EVALUACION PT DE GB 2" xfId="15" xr:uid="{8A35E557-5953-496A-8C94-03910F3F1D12}"/>
    <cellStyle name="Notas 2" xfId="58" xr:uid="{02D9DAFE-1197-497E-B943-991382D004AD}"/>
    <cellStyle name="Porcentaje" xfId="1" builtinId="5"/>
    <cellStyle name="Porcentaje 2" xfId="12" xr:uid="{77AF6897-E393-4A74-A6BE-461746F35AD6}"/>
    <cellStyle name="Porcentaje 2 2" xfId="13" xr:uid="{0005C0F8-8977-41A2-9287-1D0CBDEC86F2}"/>
    <cellStyle name="Porcentaje 3" xfId="14" xr:uid="{80CCC535-7F42-4C1A-9E4E-6DFF6A92D901}"/>
    <cellStyle name="Salida" xfId="26" builtinId="21" customBuiltin="1"/>
    <cellStyle name="Texto de advertencia" xfId="30" builtinId="11" customBuiltin="1"/>
    <cellStyle name="Texto explicativo" xfId="31" builtinId="53" customBuiltin="1"/>
    <cellStyle name="Título" xfId="17" builtinId="15" customBuiltin="1"/>
    <cellStyle name="Título 2" xfId="19" builtinId="17" customBuiltin="1"/>
    <cellStyle name="Título 3" xfId="20" builtinId="18" customBuiltin="1"/>
    <cellStyle name="Total" xfId="3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180975</xdr:rowOff>
    </xdr:from>
    <xdr:to>
      <xdr:col>1</xdr:col>
      <xdr:colOff>546734</xdr:colOff>
      <xdr:row>3</xdr:row>
      <xdr:rowOff>76200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4A30632-BC07-4326-AA88-515E172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71475"/>
          <a:ext cx="1223009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/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/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/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/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/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/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/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/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/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/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/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/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/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/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/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/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/>
          <cell r="L164" t="e">
            <v>#DIV/0!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/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/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/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/>
          <cell r="L184" t="e">
            <v>#DIV/0!</v>
          </cell>
          <cell r="M184"/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/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/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/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/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/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/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/>
          <cell r="L220" t="e">
            <v>#DIV/0!</v>
          </cell>
          <cell r="M220"/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/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/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/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/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/>
          <cell r="L241" t="e">
            <v>#DIV/0!</v>
          </cell>
          <cell r="M241"/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/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/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/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/>
          <cell r="L261" t="e">
            <v>#DIV/0!</v>
          </cell>
          <cell r="M261"/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/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/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/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/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/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/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/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>
            <v>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/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/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/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/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/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/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>
            <v>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/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/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>
            <v>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/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>
            <v>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/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/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/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/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Gramos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Gramos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/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Mililitros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/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/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/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/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/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/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/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/>
          <cell r="L364" t="e">
            <v>#DIV/0!</v>
          </cell>
          <cell r="M364">
            <v>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/>
          <cell r="L366" t="e">
            <v>#DIV/0!</v>
          </cell>
          <cell r="M366"/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>
            <v>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/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>
            <v>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>
            <v>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>
            <v>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/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/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/>
          <cell r="L380" t="e">
            <v>#N/A</v>
          </cell>
          <cell r="M380">
            <v>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>
            <v>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>
            <v>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>
            <v>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/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/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/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/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/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>
            <v>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/>
          <cell r="L401" t="e">
            <v>#N/A</v>
          </cell>
          <cell r="M401">
            <v>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>
            <v>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Mililitros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>
            <v>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Gramos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/>
          <cell r="L407" t="e">
            <v>#DIV/0!</v>
          </cell>
          <cell r="M407">
            <v>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>
            <v>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/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/>
          <cell r="L411" t="e">
            <v>#DIV/0!</v>
          </cell>
          <cell r="M411">
            <v>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/>
          <cell r="L412" t="e">
            <v>#N/A</v>
          </cell>
          <cell r="M412"/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/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/>
          <cell r="L417" t="e">
            <v>#N/A</v>
          </cell>
          <cell r="M417">
            <v>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/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/>
          <cell r="L423" t="e">
            <v>#N/A</v>
          </cell>
          <cell r="M423">
            <v>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2000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/>
          <cell r="L428" t="e">
            <v>#DIV/0!</v>
          </cell>
          <cell r="M428"/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>
            <v>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/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/>
          <cell r="L435" t="e">
            <v>#DIV/0!</v>
          </cell>
          <cell r="M435"/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>
            <v>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/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/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Gramos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/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/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>
            <v>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</v>
          </cell>
          <cell r="L448" t="e">
            <v>#DIV/0!</v>
          </cell>
          <cell r="M448">
            <v>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/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>
            <v>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>
            <v>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/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>
            <v>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/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>
            <v>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/>
          <cell r="L460" t="e">
            <v>#DIV/0!</v>
          </cell>
          <cell r="M460">
            <v>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>
            <v>0</v>
          </cell>
          <cell r="L461" t="e">
            <v>#DIV/0!</v>
          </cell>
          <cell r="M461">
            <v>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/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/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/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/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/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/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/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>
            <v>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/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/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/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/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/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/>
          <cell r="L511" t="e">
            <v>#DIV/0!</v>
          </cell>
          <cell r="M511"/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/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/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/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/>
          <cell r="L518" t="e">
            <v>#N/A</v>
          </cell>
          <cell r="M518"/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/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/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/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>
            <v>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>
            <v>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/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/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/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/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/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/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/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/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/>
          <cell r="L560" t="e">
            <v>#DIV/0!</v>
          </cell>
          <cell r="M560">
            <v>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>
            <v>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/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/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/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/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/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>
            <v>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/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/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/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/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/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/>
          <cell r="L594" t="e">
            <v>#DIV/0!</v>
          </cell>
          <cell r="M594"/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/>
          <cell r="L595" t="e">
            <v>#N/A</v>
          </cell>
          <cell r="M595"/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/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>
            <v>0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/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/>
          <cell r="L601" t="e">
            <v>#N/A</v>
          </cell>
          <cell r="M601"/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/>
          <cell r="L602" t="e">
            <v>#N/A</v>
          </cell>
          <cell r="M602"/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/>
          <cell r="L603" t="e">
            <v>#DIV/0!</v>
          </cell>
          <cell r="M603"/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/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/>
          <cell r="L605" t="e">
            <v>#DIV/0!</v>
          </cell>
          <cell r="M605"/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/>
          <cell r="L606" t="e">
            <v>#DIV/0!</v>
          </cell>
          <cell r="M606"/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0</v>
          </cell>
          <cell r="L607" t="e">
            <v>#N/A</v>
          </cell>
          <cell r="M607">
            <v>0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/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/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/>
          <cell r="E620" t="str">
            <v>EMPAQUES PLANTA</v>
          </cell>
          <cell r="F620" t="str">
            <v>1 CAJA</v>
          </cell>
          <cell r="G620"/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>
            <v>0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>
            <v>0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>
            <v>0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>
            <v>0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>
            <v>0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/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>
            <v>0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/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>
            <v>0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/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>
            <v>0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>
            <v>0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>
            <v>0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>
            <v>0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>
            <v>0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>
            <v>0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/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/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/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/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>
            <v>0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/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>
            <v>0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/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/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/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/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/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/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>
            <v>0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>
            <v>0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>
            <v>0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/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/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/>
          <cell r="L700" t="e">
            <v>#DIV/0!</v>
          </cell>
          <cell r="M700"/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Gramos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Gramos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/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>
            <v>0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>
            <v>0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>
            <v>0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/>
          <cell r="L711" t="e">
            <v>#DIV/0!</v>
          </cell>
          <cell r="M711">
            <v>0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/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>
            <v>0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/>
          <cell r="L714" t="e">
            <v>#N/A</v>
          </cell>
          <cell r="M714">
            <v>0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>
            <v>0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/>
          <cell r="L717" t="e">
            <v>#N/A</v>
          </cell>
          <cell r="M717"/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/>
          <cell r="L719" t="e">
            <v>#N/A</v>
          </cell>
          <cell r="M719"/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/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/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/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/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/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/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/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/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/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/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>
            <v>0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Mililitros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/>
          <cell r="L760" t="e">
            <v>#DIV/0!</v>
          </cell>
          <cell r="M760">
            <v>0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/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>
            <v>0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/>
          <cell r="L764" t="e">
            <v>#N/A</v>
          </cell>
          <cell r="M764"/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/>
          <cell r="L765" t="e">
            <v>#N/A</v>
          </cell>
          <cell r="M765">
            <v>0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/>
          <cell r="L766" t="e">
            <v>#N/A</v>
          </cell>
          <cell r="M766">
            <v>0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>
            <v>0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/>
          <cell r="L768" t="e">
            <v>#N/A</v>
          </cell>
          <cell r="M768"/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/>
          <cell r="L769" t="e">
            <v>#N/A</v>
          </cell>
          <cell r="M769"/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/>
          <cell r="L770" t="e">
            <v>#DIV/0!</v>
          </cell>
          <cell r="M770"/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/>
          <cell r="L771" t="e">
            <v>#DIV/0!</v>
          </cell>
          <cell r="M771"/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/>
          <cell r="L772" t="e">
            <v>#DIV/0!</v>
          </cell>
          <cell r="M772"/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>
            <v>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 t="str">
            <v>Centimetros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Centimetros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/>
          <cell r="L782" t="e">
            <v>#DIV/0!</v>
          </cell>
          <cell r="M782">
            <v>0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Und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Mililitros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/>
          <cell r="E788" t="str">
            <v>ASEO</v>
          </cell>
          <cell r="F788" t="str">
            <v>1 CAJA</v>
          </cell>
          <cell r="G788">
            <v>500</v>
          </cell>
          <cell r="H788"/>
          <cell r="I788">
            <v>4295</v>
          </cell>
          <cell r="J788"/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B789"/>
          <cell r="C789" t="str">
            <v>AGUA PLANTA</v>
          </cell>
          <cell r="D789"/>
          <cell r="E789" t="str">
            <v>MATERIAS PRIMAS PLANTA</v>
          </cell>
          <cell r="F789" t="str">
            <v>LITRO</v>
          </cell>
          <cell r="G789"/>
          <cell r="H789"/>
          <cell r="I789">
            <v>100</v>
          </cell>
          <cell r="J789"/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B790"/>
          <cell r="C790" t="str">
            <v>MANO OBRA</v>
          </cell>
          <cell r="D790"/>
          <cell r="E790" t="str">
            <v>MANO OBRA</v>
          </cell>
          <cell r="F790" t="str">
            <v>Minuto</v>
          </cell>
          <cell r="G790"/>
          <cell r="H790"/>
          <cell r="I790">
            <v>56</v>
          </cell>
          <cell r="J790"/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/>
          <cell r="E791" t="str">
            <v>EMPAQUES PLANTA</v>
          </cell>
          <cell r="F791" t="str">
            <v>UND</v>
          </cell>
          <cell r="G791"/>
          <cell r="H791"/>
          <cell r="I791">
            <v>8990</v>
          </cell>
          <cell r="J791"/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B792"/>
          <cell r="C792" t="str">
            <v>CLORO 5% MFS (UND:GL)</v>
          </cell>
          <cell r="D792"/>
          <cell r="E792" t="str">
            <v>MATERIAS PRIMAS PLANTA</v>
          </cell>
          <cell r="F792"/>
          <cell r="G792"/>
          <cell r="H792"/>
          <cell r="I792" t="e">
            <v>#N/A</v>
          </cell>
          <cell r="J792"/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B793"/>
          <cell r="C793" t="str">
            <v xml:space="preserve">TRIPLE SEC </v>
          </cell>
          <cell r="D793"/>
          <cell r="E793" t="str">
            <v>MATERIAS PRIMAS PLANTA</v>
          </cell>
          <cell r="F793" t="str">
            <v>UND</v>
          </cell>
          <cell r="G793"/>
          <cell r="H793"/>
          <cell r="I793">
            <v>5600</v>
          </cell>
          <cell r="J793"/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B794"/>
          <cell r="C794" t="str">
            <v>MERMELADA DE NARANJA SMUCKER (UND:361 G)</v>
          </cell>
          <cell r="D794"/>
          <cell r="E794" t="str">
            <v>MATERIAS PRIMAS PLANTA</v>
          </cell>
          <cell r="F794" t="str">
            <v>UND</v>
          </cell>
          <cell r="G794">
            <v>500</v>
          </cell>
          <cell r="H794"/>
          <cell r="I794">
            <v>2323</v>
          </cell>
          <cell r="J794"/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B795"/>
          <cell r="C795" t="str">
            <v>CAFÉ INSTANTANEO (PAQ: 500 G)</v>
          </cell>
          <cell r="D795"/>
          <cell r="E795" t="str">
            <v>MATERIAS PRIMAS PLANTA</v>
          </cell>
          <cell r="F795" t="str">
            <v>PAQUETE</v>
          </cell>
          <cell r="G795"/>
          <cell r="H795"/>
          <cell r="I795">
            <v>8555</v>
          </cell>
          <cell r="J795"/>
          <cell r="K795">
            <v>500</v>
          </cell>
          <cell r="L795">
            <v>17.11</v>
          </cell>
          <cell r="M795" t="str">
            <v>Gramos</v>
          </cell>
        </row>
        <row r="796">
          <cell r="A796" t="str">
            <v>510000015</v>
          </cell>
          <cell r="B796">
            <v>15384</v>
          </cell>
          <cell r="C796" t="str">
            <v>BASE RECTAGULAR GRANDE (UND)</v>
          </cell>
          <cell r="D796" t="str">
            <v>510000015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220</v>
          </cell>
          <cell r="J796">
            <v>330000</v>
          </cell>
          <cell r="K796">
            <v>1</v>
          </cell>
          <cell r="L796">
            <v>220</v>
          </cell>
          <cell r="M796" t="str">
            <v>Gramos</v>
          </cell>
        </row>
        <row r="797">
          <cell r="A797" t="str">
            <v>510000016</v>
          </cell>
          <cell r="B797">
            <v>15385</v>
          </cell>
          <cell r="C797" t="str">
            <v>CARTON RECTA PEQ 1/2 QUEQUE CRISTAL(UND)</v>
          </cell>
          <cell r="D797" t="str">
            <v>510000016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180</v>
          </cell>
          <cell r="J797">
            <v>1080000</v>
          </cell>
          <cell r="K797">
            <v>4500</v>
          </cell>
          <cell r="L797" t="e">
            <v>#DIV/0!</v>
          </cell>
          <cell r="M797" t="str">
            <v>Gramos</v>
          </cell>
        </row>
        <row r="798">
          <cell r="A798" t="str">
            <v>512000001</v>
          </cell>
          <cell r="B798">
            <v>5845</v>
          </cell>
          <cell r="C798" t="str">
            <v>PLASTICO P PALETIZAR 18X1500</v>
          </cell>
          <cell r="D798" t="str">
            <v>512000001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4800</v>
          </cell>
          <cell r="J798">
            <v>609600</v>
          </cell>
          <cell r="K798">
            <v>15000</v>
          </cell>
          <cell r="L798">
            <v>0.32</v>
          </cell>
          <cell r="M798" t="str">
            <v>Centimetros</v>
          </cell>
        </row>
        <row r="799">
          <cell r="A799" t="str">
            <v>512000002</v>
          </cell>
          <cell r="B799">
            <v>5846</v>
          </cell>
          <cell r="C799" t="str">
            <v>PLASTICO  AUTOAD (UND: 18 * 2000 M)</v>
          </cell>
          <cell r="D799" t="str">
            <v>51200002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9965</v>
          </cell>
          <cell r="J799">
            <v>3275242</v>
          </cell>
          <cell r="K799">
            <v>20000</v>
          </cell>
          <cell r="L799">
            <v>0.49825000000000003</v>
          </cell>
          <cell r="M799" t="str">
            <v>Centimetros</v>
          </cell>
        </row>
        <row r="800">
          <cell r="A800" t="str">
            <v>515000012</v>
          </cell>
          <cell r="B800">
            <v>5874</v>
          </cell>
          <cell r="C800" t="str">
            <v>VASO CARTON NESCAFE 8OZ (PAQ:50 UND)</v>
          </cell>
          <cell r="D800" t="str">
            <v>515000012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1666</v>
          </cell>
          <cell r="J800">
            <v>6664</v>
          </cell>
          <cell r="K800">
            <v>50</v>
          </cell>
          <cell r="L800">
            <v>33.32</v>
          </cell>
          <cell r="M800" t="str">
            <v>Mililitros</v>
          </cell>
        </row>
        <row r="801">
          <cell r="A801" t="str">
            <v>516000002</v>
          </cell>
          <cell r="B801">
            <v>8074</v>
          </cell>
          <cell r="C801" t="str">
            <v>LAMINA ACETATO (UND)</v>
          </cell>
          <cell r="D801" t="str">
            <v>516000002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155</v>
          </cell>
          <cell r="J801">
            <v>930000</v>
          </cell>
          <cell r="K801">
            <v>1</v>
          </cell>
          <cell r="L801">
            <v>155</v>
          </cell>
          <cell r="M801" t="str">
            <v>Gramos</v>
          </cell>
        </row>
        <row r="802">
          <cell r="A802" t="str">
            <v>906000010</v>
          </cell>
          <cell r="B802">
            <v>11228</v>
          </cell>
          <cell r="C802" t="str">
            <v>PREMEZCLA CHOCOMIX (SACO:25k)</v>
          </cell>
          <cell r="D802" t="str">
            <v>906000010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33375</v>
          </cell>
          <cell r="J802">
            <v>21326625</v>
          </cell>
          <cell r="K802">
            <v>25000</v>
          </cell>
          <cell r="L802">
            <v>1.335</v>
          </cell>
          <cell r="M802" t="str">
            <v>Gramos</v>
          </cell>
        </row>
        <row r="803">
          <cell r="A803" t="str">
            <v>1020000471</v>
          </cell>
          <cell r="B803">
            <v>15833</v>
          </cell>
          <cell r="C803" t="str">
            <v>AGUA PERRIER (CAJA:24 UND)</v>
          </cell>
          <cell r="D803" t="str">
            <v>1020000471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17899.900000000001</v>
          </cell>
          <cell r="J803">
            <v>17899.900000000001</v>
          </cell>
          <cell r="K803">
            <v>1000</v>
          </cell>
          <cell r="L803" t="e">
            <v>#DIV/0!</v>
          </cell>
          <cell r="M803" t="str">
            <v>Gramos</v>
          </cell>
        </row>
        <row r="804">
          <cell r="A804" t="str">
            <v>403000007</v>
          </cell>
          <cell r="B804">
            <v>5717</v>
          </cell>
          <cell r="C804" t="str">
            <v>GUANTE LATEX CORRIENTE (CAJA:100 UND)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>
            <v>0</v>
          </cell>
          <cell r="I804">
            <v>3312</v>
          </cell>
          <cell r="J804">
            <v>0</v>
          </cell>
          <cell r="K804">
            <v>100</v>
          </cell>
          <cell r="L804">
            <v>33.119999999999997</v>
          </cell>
          <cell r="M804" t="str">
            <v>Und</v>
          </cell>
        </row>
        <row r="805">
          <cell r="A805" t="str">
            <v>10415</v>
          </cell>
          <cell r="B805" t="str">
            <v/>
          </cell>
          <cell r="C805" t="str">
            <v>AGUA PLANTA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0</v>
          </cell>
          <cell r="H805">
            <v>0</v>
          </cell>
          <cell r="I805">
            <v>100</v>
          </cell>
          <cell r="J805">
            <v>0</v>
          </cell>
          <cell r="K805">
            <v>1000</v>
          </cell>
          <cell r="L805">
            <v>0.1</v>
          </cell>
          <cell r="M805" t="str">
            <v>Mililitros</v>
          </cell>
        </row>
        <row r="806">
          <cell r="A806" t="str">
            <v>10416</v>
          </cell>
          <cell r="B806" t="str">
            <v/>
          </cell>
          <cell r="C806" t="str">
            <v>MANO OBRA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0</v>
          </cell>
          <cell r="H806">
            <v>0</v>
          </cell>
          <cell r="I806">
            <v>55</v>
          </cell>
          <cell r="J806">
            <v>0</v>
          </cell>
          <cell r="K806">
            <v>1</v>
          </cell>
          <cell r="L806">
            <v>55</v>
          </cell>
          <cell r="M806" t="str">
            <v>Minutos</v>
          </cell>
        </row>
        <row r="807">
          <cell r="A807" t="str">
            <v>1210415</v>
          </cell>
          <cell r="B807" t="str">
            <v/>
          </cell>
          <cell r="C807" t="str">
            <v>PABILO ROJO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0</v>
          </cell>
          <cell r="H807">
            <v>0</v>
          </cell>
          <cell r="I807">
            <v>8990</v>
          </cell>
          <cell r="J807">
            <v>0</v>
          </cell>
          <cell r="K807">
            <v>14000</v>
          </cell>
          <cell r="L807">
            <v>0.64214285714285713</v>
          </cell>
          <cell r="M807" t="str">
            <v>Centimetros</v>
          </cell>
        </row>
        <row r="808">
          <cell r="A808" t="str">
            <v>18406411</v>
          </cell>
          <cell r="B808" t="str">
            <v/>
          </cell>
          <cell r="C808" t="str">
            <v>CLORO 5% MFS (UND:GL)</v>
          </cell>
          <cell r="D808" t="str">
            <v>503000006</v>
          </cell>
          <cell r="E808" t="str">
            <v>MATERIAS PRIMAS PLANTA</v>
          </cell>
          <cell r="F808">
            <v>0</v>
          </cell>
          <cell r="G808">
            <v>0</v>
          </cell>
          <cell r="H808">
            <v>0</v>
          </cell>
          <cell r="I808">
            <v>1921</v>
          </cell>
          <cell r="J808">
            <v>0</v>
          </cell>
          <cell r="K808">
            <v>3785</v>
          </cell>
          <cell r="L808">
            <v>0.50752972258916773</v>
          </cell>
          <cell r="M808" t="str">
            <v>Mililitros</v>
          </cell>
        </row>
        <row r="809">
          <cell r="A809" t="str">
            <v>1010339</v>
          </cell>
          <cell r="B809" t="str">
            <v/>
          </cell>
          <cell r="C809" t="str">
            <v xml:space="preserve">TRIPLE SEC 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0</v>
          </cell>
          <cell r="H809">
            <v>0</v>
          </cell>
          <cell r="I809">
            <v>4371.43</v>
          </cell>
          <cell r="J809">
            <v>0</v>
          </cell>
          <cell r="K809">
            <v>750</v>
          </cell>
          <cell r="L809">
            <v>5.8285733333333338</v>
          </cell>
          <cell r="M809" t="str">
            <v>Mililitros</v>
          </cell>
        </row>
        <row r="810">
          <cell r="A810" t="str">
            <v>1950779</v>
          </cell>
          <cell r="B810" t="str">
            <v/>
          </cell>
          <cell r="C810" t="str">
            <v>QUEQUERA  9" BAJA (CAJA:70 UND)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0</v>
          </cell>
          <cell r="H810">
            <v>0</v>
          </cell>
          <cell r="I810">
            <v>20298</v>
          </cell>
          <cell r="J810">
            <v>0</v>
          </cell>
          <cell r="K810">
            <v>70</v>
          </cell>
          <cell r="L810">
            <v>289.97142857142859</v>
          </cell>
          <cell r="M810" t="str">
            <v>Und</v>
          </cell>
        </row>
        <row r="811">
          <cell r="A811" t="str">
            <v>10700041</v>
          </cell>
          <cell r="B811" t="str">
            <v/>
          </cell>
          <cell r="C811" t="str">
            <v>TAPITA TROCEADA (PAQ: 2.5 K)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>
            <v>0</v>
          </cell>
          <cell r="I811">
            <v>11233</v>
          </cell>
          <cell r="J811">
            <v>0</v>
          </cell>
          <cell r="K811">
            <v>2500</v>
          </cell>
          <cell r="L811">
            <v>4.4931999999999999</v>
          </cell>
          <cell r="M811" t="str">
            <v>Gramos</v>
          </cell>
        </row>
        <row r="812">
          <cell r="A812" t="str">
            <v>10100285</v>
          </cell>
          <cell r="B812" t="str">
            <v/>
          </cell>
          <cell r="C812" t="str">
            <v>MERMELADA DE NARANJA SMUCKER (UND:361 G)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>
            <v>0</v>
          </cell>
          <cell r="I812">
            <v>2323</v>
          </cell>
          <cell r="J812">
            <v>0</v>
          </cell>
          <cell r="K812">
            <v>361</v>
          </cell>
          <cell r="L812">
            <v>6.4349030470914128</v>
          </cell>
          <cell r="M812" t="str">
            <v>Gramos</v>
          </cell>
        </row>
        <row r="813">
          <cell r="A813" t="str">
            <v>512316</v>
          </cell>
          <cell r="B813" t="str">
            <v/>
          </cell>
          <cell r="C813" t="str">
            <v>CAFÉ INSTANTANEO (PAQ: 500 G)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0</v>
          </cell>
          <cell r="H813">
            <v>0</v>
          </cell>
          <cell r="I813">
            <v>8555</v>
          </cell>
          <cell r="J813">
            <v>0</v>
          </cell>
          <cell r="K813">
            <v>500</v>
          </cell>
          <cell r="L813">
            <v>17.11</v>
          </cell>
          <cell r="M813" t="str">
            <v>Gramos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>
            <v>0</v>
          </cell>
          <cell r="F817">
            <v>0</v>
          </cell>
          <cell r="G817">
            <v>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>
            <v>0</v>
          </cell>
          <cell r="F818">
            <v>0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>
            <v>0</v>
          </cell>
          <cell r="F819">
            <v>0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>
            <v>0</v>
          </cell>
          <cell r="F820">
            <v>0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>
            <v>0</v>
          </cell>
          <cell r="F821">
            <v>0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>
            <v>0</v>
          </cell>
          <cell r="F822">
            <v>0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>
            <v>0</v>
          </cell>
          <cell r="F823">
            <v>0</v>
          </cell>
          <cell r="G823">
            <v>0</v>
          </cell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1797.2782956589745</v>
          </cell>
          <cell r="H328">
            <v>1797.2782956589745</v>
          </cell>
          <cell r="I328">
            <v>0.2418601321226565</v>
          </cell>
          <cell r="J328">
            <v>0.2418601321226565</v>
          </cell>
          <cell r="K328">
            <v>323.55362804239746</v>
          </cell>
          <cell r="L328">
            <v>323.55362804239746</v>
          </cell>
          <cell r="M328">
            <v>2121.0737838334944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>
            <v>0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EMPAQUE PLANTA"/>
      <sheetName val="ARTICULOS MP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FDF4-F761-4AE2-8BD3-1E3C500626A5}">
  <dimension ref="A1:Q91"/>
  <sheetViews>
    <sheetView topLeftCell="A45" workbookViewId="0">
      <selection activeCell="B66" sqref="B66:E66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88" bestFit="1" customWidth="1"/>
    <col min="9" max="9" width="4.5703125" style="88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5" width="10" style="6" customWidth="1"/>
    <col min="16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38</v>
      </c>
      <c r="F1" s="3" t="s">
        <v>39</v>
      </c>
      <c r="G1" s="3" t="s">
        <v>40</v>
      </c>
      <c r="H1" s="3" t="s">
        <v>41</v>
      </c>
      <c r="I1" s="4"/>
    </row>
    <row r="2" spans="1:10" ht="30.75" customHeight="1" x14ac:dyDescent="0.2">
      <c r="A2" s="1"/>
      <c r="B2" s="1"/>
      <c r="C2" s="1"/>
      <c r="D2" s="1"/>
      <c r="E2" s="7">
        <f>IFERROR(O62,"")</f>
        <v>179.45630807684944</v>
      </c>
      <c r="F2" s="7">
        <f>IFERROR(H53,"")</f>
        <v>126.08061466376442</v>
      </c>
      <c r="G2" s="7">
        <f>IFERROR(H54,"")</f>
        <v>0.29706708049573638</v>
      </c>
      <c r="H2" s="7">
        <f>IFERROR(H56,"")</f>
        <v>31.836649380633496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187"/>
      <c r="B4" s="187"/>
      <c r="C4" s="187"/>
      <c r="D4" s="187"/>
      <c r="E4" s="187"/>
      <c r="F4" s="187"/>
      <c r="G4" s="187"/>
      <c r="H4" s="187"/>
      <c r="I4" s="10"/>
    </row>
    <row r="5" spans="1:10" ht="19.5" customHeight="1" thickBot="1" x14ac:dyDescent="0.25">
      <c r="A5" s="188" t="s">
        <v>42</v>
      </c>
      <c r="B5" s="189"/>
      <c r="C5" s="189"/>
      <c r="D5" s="189"/>
      <c r="E5" s="189"/>
      <c r="F5" s="189"/>
      <c r="G5" s="189"/>
      <c r="H5" s="190"/>
      <c r="I5" s="11"/>
    </row>
    <row r="6" spans="1:10" ht="19.5" thickBot="1" x14ac:dyDescent="0.25">
      <c r="A6" s="11"/>
      <c r="B6" s="11"/>
      <c r="C6" s="11"/>
      <c r="D6" s="11"/>
      <c r="E6" s="11"/>
      <c r="F6" s="191" t="s">
        <v>43</v>
      </c>
      <c r="G6" s="191"/>
      <c r="H6" s="12">
        <f ca="1">TODAY()</f>
        <v>45789</v>
      </c>
      <c r="I6" s="12"/>
    </row>
    <row r="7" spans="1:10" ht="26.25" thickBot="1" x14ac:dyDescent="0.25">
      <c r="A7" s="13" t="s">
        <v>44</v>
      </c>
      <c r="B7" s="14" t="s">
        <v>45</v>
      </c>
      <c r="C7" s="14" t="s">
        <v>44</v>
      </c>
      <c r="D7" s="15" t="s">
        <v>46</v>
      </c>
      <c r="E7" s="15" t="s">
        <v>47</v>
      </c>
      <c r="F7" s="15" t="s">
        <v>48</v>
      </c>
      <c r="G7" s="15" t="s">
        <v>49</v>
      </c>
      <c r="H7" s="16" t="s">
        <v>50</v>
      </c>
      <c r="I7" s="17"/>
    </row>
    <row r="8" spans="1:10" ht="13.5" x14ac:dyDescent="0.25">
      <c r="A8" s="18">
        <v>10</v>
      </c>
      <c r="B8" s="6" t="str">
        <f>IFERROR(VLOOKUP(H8,'[1]Consolidado MP Planta'!$A$2:$M$823,3,0),"")</f>
        <v>YEMA DE HUEVO PASTEURIZADA (CAJA:2 Kg)</v>
      </c>
      <c r="C8" s="19">
        <f>+A8</f>
        <v>10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2.2000000000000002</v>
      </c>
      <c r="F8" s="20">
        <f>IFERROR(C8*E8,"")</f>
        <v>22</v>
      </c>
      <c r="G8" s="21">
        <f t="shared" ref="G8:G14" si="0">IFERROR(F8/$F$66,"")</f>
        <v>2.6557354527972869E-3</v>
      </c>
      <c r="H8" s="22" t="s">
        <v>86</v>
      </c>
      <c r="I8" s="22"/>
      <c r="J8" s="23"/>
    </row>
    <row r="9" spans="1:10" ht="13.5" x14ac:dyDescent="0.25">
      <c r="A9" s="18">
        <v>40</v>
      </c>
      <c r="B9" s="6" t="str">
        <f>IFERROR(VLOOKUP(H9,'[1]Consolidado MP Planta'!$A$2:$M$823,3,0),"")</f>
        <v>AGUA PLANTA</v>
      </c>
      <c r="C9" s="19">
        <f t="shared" ref="C9:C14" si="1">+A9</f>
        <v>40</v>
      </c>
      <c r="D9" s="20" t="str">
        <f>IFERROR(VLOOKUP(H9,'[1]Consolidado MP Planta'!$A$2:$M$823,13,0),"")</f>
        <v>Mililitros</v>
      </c>
      <c r="E9" s="20">
        <f>IFERROR(VLOOKUP(H9,'[1]Consolidado MP Planta'!$A$2:$M$823,12,0),"")</f>
        <v>0.1</v>
      </c>
      <c r="F9" s="20">
        <f t="shared" ref="F9:F14" si="2">IFERROR(C9*E9,"")</f>
        <v>4</v>
      </c>
      <c r="G9" s="21">
        <f t="shared" si="0"/>
        <v>4.8286099141768855E-4</v>
      </c>
      <c r="H9" s="22" t="s">
        <v>33</v>
      </c>
      <c r="I9" s="22"/>
      <c r="J9" s="23"/>
    </row>
    <row r="10" spans="1:10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IFERROR(VLOOKUP(H15,'[2]Consolidado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44</v>
      </c>
      <c r="B16" s="14" t="s">
        <v>51</v>
      </c>
      <c r="C16" s="14" t="s">
        <v>44</v>
      </c>
      <c r="D16" s="15" t="s">
        <v>46</v>
      </c>
      <c r="E16" s="15" t="s">
        <v>47</v>
      </c>
      <c r="F16" s="15" t="s">
        <v>48</v>
      </c>
      <c r="G16" s="15" t="s">
        <v>49</v>
      </c>
      <c r="H16" s="16" t="s">
        <v>50</v>
      </c>
      <c r="I16" s="17"/>
      <c r="J16" s="23"/>
    </row>
    <row r="17" spans="1:12" ht="13.5" x14ac:dyDescent="0.25">
      <c r="A17" s="18">
        <v>60</v>
      </c>
      <c r="B17" s="6" t="str">
        <f>IFERROR(VLOOKUP(H17,[1]SEMIELABORADOS!$A$2:$M$6000,2,0),"")</f>
        <v xml:space="preserve">RUEDA FROLA EMPANADA TRES QUESOS </v>
      </c>
      <c r="C17" s="19">
        <f>+A17</f>
        <v>60</v>
      </c>
      <c r="D17" s="19" t="str">
        <f>IFERROR(VLOOKUP(H17,[1]SEMIELABORADOS!$A$2:$M$6000,6,0),"")</f>
        <v>Und</v>
      </c>
      <c r="E17" s="20">
        <f>IFERROR(VLOOKUP(H17,[1]SEMIELABORADOS!$A$2:$H$65536,8,0),"")</f>
        <v>20.37985214231956</v>
      </c>
      <c r="F17" s="20">
        <f>IFERROR(E17*C17,"")</f>
        <v>1222.7911285391735</v>
      </c>
      <c r="G17" s="21">
        <f>IFERROR(F17/$F$66,"")</f>
        <v>0.14760953415579489</v>
      </c>
      <c r="H17" s="22" t="s">
        <v>30</v>
      </c>
      <c r="I17" s="22"/>
      <c r="J17" s="23"/>
    </row>
    <row r="18" spans="1:12" ht="13.5" x14ac:dyDescent="0.25">
      <c r="A18" s="18">
        <v>1500</v>
      </c>
      <c r="B18" s="6" t="str">
        <f>IFERROR(VLOOKUP(H18,[1]SEMIELABORADOS!$A$2:$M$6000,2,0),"")</f>
        <v>RELLENO TRES QUESOS KILO</v>
      </c>
      <c r="C18" s="19">
        <f t="shared" ref="C18:C24" si="3">+A18</f>
        <v>1500</v>
      </c>
      <c r="D18" s="19" t="str">
        <f>IFERROR(VLOOKUP(H18,[1]SEMIELABORADOS!$A$2:$M$6000,6,0),"")</f>
        <v>Gramo</v>
      </c>
      <c r="E18" s="20">
        <f>IFERROR(VLOOKUP(H18,[1]SEMIELABORADOS!$A$2:$H$65536,8,0),"")</f>
        <v>4.1850966740121569</v>
      </c>
      <c r="F18" s="20">
        <f t="shared" ref="F18:F24" si="4">IFERROR(E18*C18,"")</f>
        <v>6277.645011018235</v>
      </c>
      <c r="G18" s="21">
        <f t="shared" ref="G18:G24" si="5">IFERROR(F18/$F$66,"")</f>
        <v>0.75780747344714283</v>
      </c>
      <c r="H18" s="22" t="s">
        <v>35</v>
      </c>
      <c r="I18" s="22"/>
      <c r="J18" s="23"/>
    </row>
    <row r="19" spans="1:12" ht="13.5" x14ac:dyDescent="0.25">
      <c r="A19" s="18">
        <v>20</v>
      </c>
      <c r="B19" s="6" t="str">
        <f>IFERROR(VLOOKUP(H19,[1]SEMIELABORADOS!$A$2:$M$6000,2,0),"")</f>
        <v>MEZCLA P/ENGRASE MOLDES KILO</v>
      </c>
      <c r="C19" s="19">
        <f t="shared" si="3"/>
        <v>20</v>
      </c>
      <c r="D19" s="19" t="str">
        <f>IFERROR(VLOOKUP(H19,[1]SEMIELABORADOS!$A$2:$M$6000,6,0),"")</f>
        <v>Gramo</v>
      </c>
      <c r="E19" s="20">
        <f>IFERROR(VLOOKUP(H19,[1]SEMIELABORADOS!$A$2:$H$65536,8,0),"")</f>
        <v>0.85880201342281881</v>
      </c>
      <c r="F19" s="20">
        <f t="shared" si="4"/>
        <v>17.176040268456376</v>
      </c>
      <c r="G19" s="21">
        <f t="shared" si="5"/>
        <v>2.0734099581642467E-3</v>
      </c>
      <c r="H19" s="22" t="s">
        <v>32</v>
      </c>
      <c r="I19" s="22"/>
      <c r="J19" s="23"/>
    </row>
    <row r="20" spans="1:12" ht="13.5" x14ac:dyDescent="0.25">
      <c r="A20" s="18">
        <v>45</v>
      </c>
      <c r="B20" s="6" t="str">
        <f>IFERROR(VLOOKUP(H20,[1]SEMIELABORADOS!$A$2:$M$6000,2,0),"")</f>
        <v>EMPAQUE HARINA ESTANDAR (KILO)</v>
      </c>
      <c r="C20" s="19">
        <f t="shared" si="3"/>
        <v>45</v>
      </c>
      <c r="D20" s="19" t="str">
        <f>IFERROR(VLOOKUP(H20,[1]SEMIELABORADOS!$A$2:$M$6000,6,0),"")</f>
        <v>Gramo</v>
      </c>
      <c r="E20" s="20">
        <f>IFERROR(VLOOKUP(H20,[1]SEMIELABORADOS!$A$2:$H$65536,8,0),"")</f>
        <v>0.47166000000000002</v>
      </c>
      <c r="F20" s="20">
        <f t="shared" si="4"/>
        <v>21.224700000000002</v>
      </c>
      <c r="G20" s="21">
        <f t="shared" si="5"/>
        <v>2.5621449211357538E-3</v>
      </c>
      <c r="H20" s="22" t="s">
        <v>36</v>
      </c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 t="shared" si="3"/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 t="shared" si="4"/>
        <v/>
      </c>
      <c r="G21" s="21" t="str">
        <f t="shared" si="5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3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4"/>
        <v/>
      </c>
      <c r="G22" s="21" t="str">
        <f t="shared" si="5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3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4"/>
        <v/>
      </c>
      <c r="G23" s="21" t="str">
        <f t="shared" si="5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3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4"/>
        <v/>
      </c>
      <c r="G24" s="21" t="str">
        <f t="shared" si="5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25">
      <c r="A26" s="13" t="s">
        <v>44</v>
      </c>
      <c r="B26" s="14" t="s">
        <v>13</v>
      </c>
      <c r="C26" s="14" t="s">
        <v>44</v>
      </c>
      <c r="D26" s="15" t="s">
        <v>46</v>
      </c>
      <c r="E26" s="15" t="s">
        <v>47</v>
      </c>
      <c r="F26" s="15" t="s">
        <v>48</v>
      </c>
      <c r="G26" s="15" t="s">
        <v>49</v>
      </c>
      <c r="H26" s="16" t="s">
        <v>50</v>
      </c>
      <c r="I26" s="17"/>
    </row>
    <row r="27" spans="1:12" ht="13.5" x14ac:dyDescent="0.25">
      <c r="A27" s="18"/>
      <c r="B27" s="24" t="str">
        <f>IFERROR(VLOOKUP(H27,'[1]Consolidado MP Planta'!$A$2:$M$823,3,0),"")</f>
        <v/>
      </c>
      <c r="C27" s="19">
        <f t="shared" ref="C27:C32" si="6">+A27</f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ref="F27:F32" si="7">IFERROR(C27*E27,"")</f>
        <v/>
      </c>
      <c r="G27" s="21" t="str">
        <f t="shared" ref="G27:G32" si="8">IFERROR(F27/$F$66,"")</f>
        <v/>
      </c>
      <c r="H27" s="25"/>
      <c r="I27" s="25"/>
      <c r="J27" s="23"/>
      <c r="K27" s="186"/>
      <c r="L27" s="186"/>
    </row>
    <row r="28" spans="1:12" ht="13.5" x14ac:dyDescent="0.25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186"/>
      <c r="L28" s="186"/>
    </row>
    <row r="29" spans="1:12" ht="13.5" x14ac:dyDescent="0.25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186"/>
      <c r="L29" s="186"/>
    </row>
    <row r="30" spans="1:12" ht="13.5" x14ac:dyDescent="0.25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86"/>
      <c r="L30" s="186"/>
    </row>
    <row r="31" spans="1:12" ht="13.5" x14ac:dyDescent="0.25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3.5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44</v>
      </c>
      <c r="B34" s="14" t="s">
        <v>52</v>
      </c>
      <c r="C34" s="14" t="s">
        <v>44</v>
      </c>
      <c r="D34" s="15" t="s">
        <v>46</v>
      </c>
      <c r="E34" s="15" t="s">
        <v>47</v>
      </c>
      <c r="F34" s="15" t="s">
        <v>48</v>
      </c>
      <c r="G34" s="15" t="s">
        <v>49</v>
      </c>
      <c r="H34" s="16" t="s">
        <v>50</v>
      </c>
      <c r="I34" s="25"/>
      <c r="J34" s="23"/>
    </row>
    <row r="35" spans="1:13" ht="13.5" x14ac:dyDescent="0.25">
      <c r="A35" s="18">
        <f>+A17</f>
        <v>60</v>
      </c>
      <c r="B35" s="24" t="str">
        <f>IFERROR(VLOOKUP(H35,[1]SEMIELABORADOS!$A$2:$M$6000,2,0),"")</f>
        <v xml:space="preserve">RUEDA FROLA EMPANADA TRES QUESOS </v>
      </c>
      <c r="C35" s="19">
        <f>+A35</f>
        <v>60</v>
      </c>
      <c r="D35" s="20" t="str">
        <f>IFERROR(VLOOKUP(H35,[1]SEMIELABORADOS!$A$2:$M$6000,6,0),"")</f>
        <v>Und</v>
      </c>
      <c r="E35" s="20">
        <f>IFERROR(VLOOKUP(H35,[1]SEMIELABORADOS!$A$2:$M$65536,10,0),"")</f>
        <v>8.6546463245492367E-2</v>
      </c>
      <c r="F35" s="20">
        <f>IFERROR(E35*C35,"")</f>
        <v>5.1927877947295418</v>
      </c>
      <c r="G35" s="21">
        <f>IFERROR(F35/$F$66,"")</f>
        <v>6.2684866569619473E-4</v>
      </c>
      <c r="H35" s="25" t="s">
        <v>30</v>
      </c>
      <c r="I35" s="25"/>
      <c r="J35" s="23"/>
    </row>
    <row r="36" spans="1:13" ht="13.5" x14ac:dyDescent="0.25">
      <c r="A36" s="18">
        <f t="shared" ref="A36:A41" si="9">+A18</f>
        <v>1500</v>
      </c>
      <c r="B36" s="24" t="str">
        <f>IFERROR(VLOOKUP(H36,[1]SEMIELABORADOS!$A$2:$M$6000,2,0),"")</f>
        <v>RELLENO TRES QUESOS KILO</v>
      </c>
      <c r="C36" s="19">
        <f t="shared" ref="C36:C41" si="10">+A36</f>
        <v>1500</v>
      </c>
      <c r="D36" s="20" t="str">
        <f>IFERROR(VLOOKUP(H36,[1]SEMIELABORADOS!$A$2:$M$6000,6,0),"")</f>
        <v>Gramo</v>
      </c>
      <c r="E36" s="20">
        <f>IFERROR(VLOOKUP(H36,[1]SEMIELABORADOS!$A$2:$M$65536,10,0),"")</f>
        <v>7.9973721757240473E-3</v>
      </c>
      <c r="F36" s="20">
        <f t="shared" ref="F36:F41" si="11">IFERROR(E36*C36,"")</f>
        <v>11.996058263586072</v>
      </c>
      <c r="G36" s="21">
        <f t="shared" ref="G36:G41" si="12">IFERROR(F36/$F$66,"")</f>
        <v>1.4481071465648815E-3</v>
      </c>
      <c r="H36" s="25" t="s">
        <v>35</v>
      </c>
      <c r="I36" s="25"/>
      <c r="J36" s="23"/>
    </row>
    <row r="37" spans="1:13" ht="13.5" x14ac:dyDescent="0.25">
      <c r="A37" s="18">
        <f t="shared" si="9"/>
        <v>20</v>
      </c>
      <c r="B37" s="24" t="str">
        <f>IFERROR(VLOOKUP(H37,[1]SEMIELABORADOS!$A$2:$M$6000,2,0),"")</f>
        <v>MEZCLA P/ENGRASE MOLDES KILO</v>
      </c>
      <c r="C37" s="19">
        <f t="shared" si="10"/>
        <v>20</v>
      </c>
      <c r="D37" s="20" t="str">
        <f>IFERROR(VLOOKUP(H37,[1]SEMIELABORADOS!$A$2:$M$6000,6,0),"")</f>
        <v>Gramo</v>
      </c>
      <c r="E37" s="20">
        <f>IFERROR(VLOOKUP(H37,[1]SEMIELABORADOS!$A$2:$M$65536,10,0),"")</f>
        <v>1.4729910000000001E-2</v>
      </c>
      <c r="F37" s="20">
        <f t="shared" si="11"/>
        <v>0.29459820000000003</v>
      </c>
      <c r="G37" s="21">
        <f t="shared" si="12"/>
        <v>3.5562494730466625E-5</v>
      </c>
      <c r="H37" s="25" t="s">
        <v>32</v>
      </c>
      <c r="I37" s="25"/>
      <c r="J37" s="23"/>
    </row>
    <row r="38" spans="1:13" ht="13.5" x14ac:dyDescent="0.25">
      <c r="A38" s="18">
        <f t="shared" si="9"/>
        <v>45</v>
      </c>
      <c r="B38" s="24" t="str">
        <f>IFERROR(VLOOKUP(H38,[1]SEMIELABORADOS!$A$2:$M$6000,2,0),"")</f>
        <v>EMPAQUE HARINA ESTANDAR (KILO)</v>
      </c>
      <c r="C38" s="19">
        <f t="shared" si="10"/>
        <v>45</v>
      </c>
      <c r="D38" s="20" t="str">
        <f>IFERROR(VLOOKUP(H38,[1]SEMIELABORADOS!$A$2:$M$6000,6,0),"")</f>
        <v>Gramo</v>
      </c>
      <c r="E38" s="20">
        <f>IFERROR(VLOOKUP(H38,[1]SEMIELABORADOS!$A$2:$M$65536,10,0),"")</f>
        <v>7.5684571428571434E-3</v>
      </c>
      <c r="F38" s="20">
        <f t="shared" si="11"/>
        <v>0.34058057142857145</v>
      </c>
      <c r="G38" s="21">
        <f t="shared" si="12"/>
        <v>4.1113268094400722E-5</v>
      </c>
      <c r="H38" s="25" t="s">
        <v>36</v>
      </c>
      <c r="I38" s="25"/>
      <c r="J38" s="23"/>
    </row>
    <row r="39" spans="1:13" ht="13.5" hidden="1" x14ac:dyDescent="0.25">
      <c r="A39" s="18">
        <f t="shared" si="9"/>
        <v>0</v>
      </c>
      <c r="B39" s="24" t="str">
        <f>IFERROR(VLOOKUP(H39,[1]SEMIELABORADOS!$A$2:$M$6000,2,0),"")</f>
        <v/>
      </c>
      <c r="C39" s="19">
        <f t="shared" si="10"/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 t="shared" si="11"/>
        <v/>
      </c>
      <c r="G39" s="21" t="str">
        <f t="shared" si="12"/>
        <v/>
      </c>
      <c r="H39" s="25"/>
      <c r="I39" s="25"/>
      <c r="J39" s="23"/>
    </row>
    <row r="40" spans="1:13" ht="13.5" hidden="1" x14ac:dyDescent="0.25">
      <c r="A40" s="18">
        <f t="shared" si="9"/>
        <v>0</v>
      </c>
      <c r="B40" s="24" t="str">
        <f>IFERROR(VLOOKUP(H40,[1]SEMIELABORADOS!$A$2:$M$6000,2,0),"")</f>
        <v/>
      </c>
      <c r="C40" s="19">
        <f t="shared" si="10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1"/>
        <v/>
      </c>
      <c r="G40" s="21" t="str">
        <f t="shared" si="12"/>
        <v/>
      </c>
      <c r="H40" s="25"/>
      <c r="I40" s="25"/>
      <c r="J40" s="23"/>
    </row>
    <row r="41" spans="1:13" ht="13.5" hidden="1" x14ac:dyDescent="0.25">
      <c r="A41" s="18">
        <f t="shared" si="9"/>
        <v>0</v>
      </c>
      <c r="B41" s="24" t="str">
        <f>IFERROR(VLOOKUP(H41,[1]SEMIELABORADOS!$A$2:$M$6000,2,0),"")</f>
        <v/>
      </c>
      <c r="C41" s="19">
        <f t="shared" si="10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1"/>
        <v/>
      </c>
      <c r="G41" s="21" t="str">
        <f t="shared" si="12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25">
      <c r="A43" s="13" t="s">
        <v>44</v>
      </c>
      <c r="B43" s="14" t="s">
        <v>53</v>
      </c>
      <c r="C43" s="14" t="s">
        <v>44</v>
      </c>
      <c r="D43" s="15" t="s">
        <v>46</v>
      </c>
      <c r="E43" s="15" t="s">
        <v>47</v>
      </c>
      <c r="F43" s="15" t="s">
        <v>48</v>
      </c>
      <c r="G43" s="15" t="s">
        <v>49</v>
      </c>
      <c r="H43" s="16" t="s">
        <v>50</v>
      </c>
      <c r="I43" s="17"/>
      <c r="J43" s="23"/>
    </row>
    <row r="44" spans="1:13" ht="13.5" x14ac:dyDescent="0.25">
      <c r="A44" s="18">
        <f>+A35</f>
        <v>60</v>
      </c>
      <c r="B44" s="24" t="str">
        <f>IFERROR(VLOOKUP(H44,[1]SEMIELABORADOS!$A$2:$M$6000,2,0),"")</f>
        <v xml:space="preserve">RUEDA FROLA EMPANADA TRES QUESOS </v>
      </c>
      <c r="C44" s="19">
        <f>+A44</f>
        <v>60</v>
      </c>
      <c r="D44" s="20" t="str">
        <f>IFERROR(VLOOKUP(H44,[1]SEMIELABORADOS!$A$2:$M$6000,6,0),"")</f>
        <v>Und</v>
      </c>
      <c r="E44" s="20">
        <f>IFERROR(VLOOKUP(H44,[1]SEMIELABORADOS!$A$2:$M$65536,12,0),"")</f>
        <v>3.6839517490017095</v>
      </c>
      <c r="F44" s="20">
        <f>IFERROR(E44*C44,"")</f>
        <v>221.03710494010258</v>
      </c>
      <c r="G44" s="21">
        <f>IFERROR(F44/$F$66,"")</f>
        <v>2.6682548907868399E-2</v>
      </c>
      <c r="H44" s="25" t="s">
        <v>30</v>
      </c>
      <c r="I44" s="17"/>
      <c r="J44" s="23"/>
    </row>
    <row r="45" spans="1:13" ht="13.5" x14ac:dyDescent="0.25">
      <c r="A45" s="18">
        <f t="shared" ref="A45:A50" si="13">+A36</f>
        <v>1500</v>
      </c>
      <c r="B45" s="24" t="str">
        <f>IFERROR(VLOOKUP(H45,[1]SEMIELABORADOS!$A$2:$M$6000,2,0),"")</f>
        <v>RELLENO TRES QUESOS KILO</v>
      </c>
      <c r="C45" s="19">
        <f t="shared" ref="C45:C50" si="14">+A45</f>
        <v>1500</v>
      </c>
      <c r="D45" s="20" t="str">
        <f>IFERROR(VLOOKUP(H45,[1]SEMIELABORADOS!$A$2:$M$6000,6,0),"")</f>
        <v>Gramo</v>
      </c>
      <c r="E45" s="20">
        <f>IFERROR(VLOOKUP(H45,[1]SEMIELABORADOS!$A$2:$M$65536,12,0),"")</f>
        <v>0.75475692831381858</v>
      </c>
      <c r="F45" s="20">
        <f t="shared" ref="F45:F50" si="15">IFERROR(E45*C45,"")</f>
        <v>1132.1353924707278</v>
      </c>
      <c r="G45" s="21">
        <f t="shared" ref="G45:G50" si="16">IFERROR(F45/$F$66,"")</f>
        <v>0.13666600450686739</v>
      </c>
      <c r="H45" s="25" t="s">
        <v>35</v>
      </c>
      <c r="I45" s="17"/>
      <c r="J45" s="23"/>
      <c r="M45" s="28"/>
    </row>
    <row r="46" spans="1:13" ht="13.5" x14ac:dyDescent="0.25">
      <c r="A46" s="18">
        <f t="shared" si="13"/>
        <v>20</v>
      </c>
      <c r="B46" s="24" t="str">
        <f>IFERROR(VLOOKUP(H46,[1]SEMIELABORADOS!$A$2:$M$6000,2,0),"")</f>
        <v>MEZCLA P/ENGRASE MOLDES KILO</v>
      </c>
      <c r="C46" s="19">
        <f t="shared" si="14"/>
        <v>20</v>
      </c>
      <c r="D46" s="20" t="str">
        <f>IFERROR(VLOOKUP(H46,[1]SEMIELABORADOS!$A$2:$M$6000,6,0),"")</f>
        <v>Gramo</v>
      </c>
      <c r="E46" s="20">
        <f>IFERROR(VLOOKUP(H46,[1]SEMIELABORADOS!$A$2:$M$65536,12,0),"")</f>
        <v>0.15723574621610739</v>
      </c>
      <c r="F46" s="20">
        <f t="shared" si="15"/>
        <v>3.1447149243221477</v>
      </c>
      <c r="G46" s="21">
        <f t="shared" si="16"/>
        <v>3.796150415210484E-4</v>
      </c>
      <c r="H46" s="25" t="s">
        <v>32</v>
      </c>
      <c r="I46" s="17"/>
      <c r="J46" s="23"/>
    </row>
    <row r="47" spans="1:13" ht="13.5" x14ac:dyDescent="0.25">
      <c r="A47" s="18">
        <f t="shared" si="13"/>
        <v>45</v>
      </c>
      <c r="B47" s="24" t="str">
        <f>IFERROR(VLOOKUP(H47,[1]SEMIELABORADOS!$A$2:$M$6000,2,0),"")</f>
        <v>EMPAQUE HARINA ESTANDAR (KILO)</v>
      </c>
      <c r="C47" s="19">
        <f t="shared" si="14"/>
        <v>45</v>
      </c>
      <c r="D47" s="20" t="str">
        <f>IFERROR(VLOOKUP(H47,[1]SEMIELABORADOS!$A$2:$M$6000,6,0),"")</f>
        <v>Gramo</v>
      </c>
      <c r="E47" s="20">
        <f>IFERROR(VLOOKUP(H47,[1]SEMIELABORADOS!$A$2:$M$65536,12,0),"")</f>
        <v>8.6261122285714295E-2</v>
      </c>
      <c r="F47" s="20">
        <f t="shared" si="15"/>
        <v>3.8817505028571433</v>
      </c>
      <c r="G47" s="21">
        <f t="shared" si="16"/>
        <v>4.6858647406142781E-4</v>
      </c>
      <c r="H47" s="25" t="s">
        <v>36</v>
      </c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5"/>
      <c r="I50" s="17"/>
      <c r="J50" s="23"/>
    </row>
    <row r="51" spans="1:17" ht="13.5" x14ac:dyDescent="0.25">
      <c r="A51" s="18">
        <v>1</v>
      </c>
      <c r="B51" s="24" t="s">
        <v>54</v>
      </c>
      <c r="C51" s="19">
        <f>+A51</f>
        <v>1</v>
      </c>
      <c r="D51" s="19" t="s">
        <v>55</v>
      </c>
      <c r="E51" s="20">
        <f>+F65</f>
        <v>550</v>
      </c>
      <c r="F51" s="20">
        <f>IFERROR(C51*E51,"")</f>
        <v>550</v>
      </c>
      <c r="G51" s="21">
        <f>IFERROR(F51/$F$66,"")</f>
        <v>6.6393386319932177E-2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25">
      <c r="A53" s="30"/>
      <c r="B53" s="196" t="s">
        <v>56</v>
      </c>
      <c r="C53" s="196"/>
      <c r="D53" s="196"/>
      <c r="E53" s="196"/>
      <c r="F53" s="31">
        <f>SUM(F8:F14,F17:F24)</f>
        <v>7564.8368798258653</v>
      </c>
      <c r="G53" s="21">
        <f>+F53/$F$66</f>
        <v>0.91319115892645275</v>
      </c>
      <c r="H53" s="32">
        <f>+F53/$D$60</f>
        <v>126.08061466376442</v>
      </c>
      <c r="I53" s="32"/>
      <c r="J53" s="33"/>
      <c r="K53" s="34"/>
      <c r="L53" s="34"/>
      <c r="M53" s="34"/>
      <c r="N53" s="34"/>
      <c r="O53" s="34"/>
      <c r="P53" s="34"/>
      <c r="Q53" s="35"/>
    </row>
    <row r="54" spans="1:17" x14ac:dyDescent="0.2">
      <c r="A54" s="30"/>
      <c r="B54" s="196" t="s">
        <v>57</v>
      </c>
      <c r="C54" s="196"/>
      <c r="D54" s="196"/>
      <c r="E54" s="196"/>
      <c r="F54" s="31">
        <f>SUM(F27:F32,F35:F41)</f>
        <v>17.824024829744182</v>
      </c>
      <c r="G54" s="21">
        <f>+F54/$F$66</f>
        <v>2.151631575085943E-3</v>
      </c>
      <c r="H54" s="32">
        <f>+F54/$D$60</f>
        <v>0.29706708049573638</v>
      </c>
      <c r="I54" s="32"/>
      <c r="J54" s="36"/>
      <c r="K54" s="197" t="s">
        <v>58</v>
      </c>
      <c r="L54" s="198"/>
      <c r="M54" s="198"/>
      <c r="N54" s="198"/>
      <c r="O54" s="37">
        <f>+F55</f>
        <v>7582.6609046556096</v>
      </c>
      <c r="P54" s="37"/>
      <c r="Q54" s="38"/>
    </row>
    <row r="55" spans="1:17" x14ac:dyDescent="0.2">
      <c r="A55" s="30"/>
      <c r="B55" s="196" t="s">
        <v>59</v>
      </c>
      <c r="C55" s="196"/>
      <c r="D55" s="196"/>
      <c r="E55" s="196"/>
      <c r="F55" s="31">
        <f>+F53+F54</f>
        <v>7582.6609046556096</v>
      </c>
      <c r="G55" s="21">
        <f>+F55/$F$66</f>
        <v>0.91534279050153866</v>
      </c>
      <c r="H55" s="32">
        <f>+F55/$D$60</f>
        <v>126.37768174426016</v>
      </c>
      <c r="I55" s="32"/>
      <c r="J55" s="39"/>
      <c r="K55" s="40"/>
      <c r="L55" s="41" t="s">
        <v>60</v>
      </c>
      <c r="M55" s="41"/>
      <c r="N55" s="42">
        <v>0.22</v>
      </c>
      <c r="O55" s="37">
        <f>+O54*N55</f>
        <v>1668.1853990242341</v>
      </c>
      <c r="P55" s="37"/>
      <c r="Q55" s="38"/>
    </row>
    <row r="56" spans="1:17" ht="13.5" thickBot="1" x14ac:dyDescent="0.25">
      <c r="A56" s="30"/>
      <c r="B56" s="43"/>
      <c r="C56" s="196" t="s">
        <v>61</v>
      </c>
      <c r="D56" s="196"/>
      <c r="E56" s="196"/>
      <c r="F56" s="31">
        <f>SUM(F44:F51)</f>
        <v>1910.1989628380097</v>
      </c>
      <c r="G56" s="21">
        <f>+F56/$F$66</f>
        <v>0.23059014125025043</v>
      </c>
      <c r="H56" s="32">
        <f>+F56/$D$60</f>
        <v>31.836649380633496</v>
      </c>
      <c r="I56" s="32"/>
      <c r="J56" s="39"/>
      <c r="K56" s="40"/>
      <c r="L56" s="40"/>
      <c r="M56" s="40" t="s">
        <v>62</v>
      </c>
      <c r="N56" s="44"/>
      <c r="O56" s="37">
        <f>O54*N56</f>
        <v>0</v>
      </c>
      <c r="P56" s="37"/>
      <c r="Q56" s="38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2"/>
      <c r="J57" s="39"/>
      <c r="K57" s="48"/>
      <c r="M57" s="49" t="s">
        <v>63</v>
      </c>
      <c r="N57" s="50"/>
      <c r="O57" s="51">
        <f>SUM(O54:O56)</f>
        <v>9250.8463036798439</v>
      </c>
      <c r="P57" s="52"/>
      <c r="Q57" s="38"/>
    </row>
    <row r="58" spans="1:17" x14ac:dyDescent="0.2">
      <c r="B58" s="199" t="s">
        <v>64</v>
      </c>
      <c r="C58" s="199"/>
      <c r="D58" s="53">
        <v>2940</v>
      </c>
      <c r="E58" s="54"/>
      <c r="G58" s="21"/>
      <c r="H58" s="47"/>
      <c r="I58" s="55"/>
      <c r="J58" s="39"/>
      <c r="K58" s="48"/>
      <c r="L58" s="40"/>
      <c r="M58" s="40" t="s">
        <v>65</v>
      </c>
      <c r="N58" s="56">
        <v>0.2</v>
      </c>
      <c r="O58" s="37">
        <f>+O54*N58</f>
        <v>1516.532180931122</v>
      </c>
      <c r="P58" s="37"/>
      <c r="Q58" s="38"/>
    </row>
    <row r="59" spans="1:17" x14ac:dyDescent="0.2">
      <c r="B59" s="199" t="s">
        <v>66</v>
      </c>
      <c r="C59" s="199"/>
      <c r="D59" s="57">
        <v>49</v>
      </c>
      <c r="E59" s="54"/>
      <c r="G59" s="21"/>
      <c r="H59" s="47"/>
      <c r="I59" s="55"/>
      <c r="J59" s="39"/>
      <c r="K59" s="48"/>
      <c r="L59" s="40"/>
      <c r="M59" s="200" t="s">
        <v>63</v>
      </c>
      <c r="N59" s="200"/>
      <c r="O59" s="37">
        <f>SUM(O57:O58)</f>
        <v>10767.378484610967</v>
      </c>
      <c r="P59" s="37"/>
      <c r="Q59" s="38"/>
    </row>
    <row r="60" spans="1:17" ht="13.5" thickBot="1" x14ac:dyDescent="0.25">
      <c r="B60" s="192" t="s">
        <v>67</v>
      </c>
      <c r="C60" s="192"/>
      <c r="D60" s="53">
        <f>+D58/D59</f>
        <v>60</v>
      </c>
      <c r="E60" s="54"/>
      <c r="F60" s="58"/>
      <c r="G60" s="21"/>
      <c r="H60" s="47"/>
      <c r="I60" s="55"/>
      <c r="J60" s="39"/>
      <c r="K60" s="48"/>
      <c r="L60" s="200"/>
      <c r="M60" s="200"/>
      <c r="N60" s="56"/>
      <c r="O60" s="37">
        <f>+O59*N60</f>
        <v>0</v>
      </c>
      <c r="P60" s="37"/>
      <c r="Q60" s="38"/>
    </row>
    <row r="61" spans="1:17" ht="13.5" thickBot="1" x14ac:dyDescent="0.25">
      <c r="B61" s="192" t="s">
        <v>68</v>
      </c>
      <c r="C61" s="192"/>
      <c r="D61" s="59"/>
      <c r="E61" s="54"/>
      <c r="F61" s="58"/>
      <c r="G61" s="21"/>
      <c r="H61" s="47"/>
      <c r="I61" s="55"/>
      <c r="J61" s="39"/>
      <c r="K61" s="193" t="s">
        <v>69</v>
      </c>
      <c r="L61" s="194"/>
      <c r="M61" s="194"/>
      <c r="N61" s="195"/>
      <c r="O61" s="51">
        <f>SUM(O59:O60)</f>
        <v>10767.378484610967</v>
      </c>
      <c r="P61" s="60" t="s">
        <v>70</v>
      </c>
      <c r="Q61" s="38"/>
    </row>
    <row r="62" spans="1:17" ht="13.5" thickBot="1" x14ac:dyDescent="0.25">
      <c r="C62" s="30" t="s">
        <v>71</v>
      </c>
      <c r="D62" s="61"/>
      <c r="E62" s="4" t="s">
        <v>72</v>
      </c>
      <c r="F62" s="62" t="s">
        <v>73</v>
      </c>
      <c r="G62" s="21"/>
      <c r="H62" s="47"/>
      <c r="I62" s="55"/>
      <c r="J62" s="63"/>
      <c r="K62" s="64"/>
      <c r="L62" s="206" t="s">
        <v>74</v>
      </c>
      <c r="M62" s="206"/>
      <c r="N62" s="206"/>
      <c r="O62" s="65">
        <f>+O61/D60</f>
        <v>179.45630807684944</v>
      </c>
      <c r="P62" s="66">
        <f>+O62/D59</f>
        <v>3.6623736342214173</v>
      </c>
      <c r="Q62" s="67"/>
    </row>
    <row r="63" spans="1:17" ht="13.5" thickBot="1" x14ac:dyDescent="0.25">
      <c r="B63" s="207" t="s">
        <v>59</v>
      </c>
      <c r="C63" s="207"/>
      <c r="D63" s="207"/>
      <c r="E63" s="68">
        <f>+F63/F63</f>
        <v>1</v>
      </c>
      <c r="F63" s="69">
        <f>SUM(F55)</f>
        <v>7582.6609046556096</v>
      </c>
      <c r="G63" s="21">
        <f>+F63/$F$66</f>
        <v>0.91534279050153866</v>
      </c>
      <c r="H63" s="47"/>
      <c r="I63" s="55"/>
      <c r="K63" s="208"/>
      <c r="L63" s="209"/>
      <c r="M63" s="209"/>
      <c r="N63" s="209"/>
      <c r="O63" s="70"/>
      <c r="P63" s="71"/>
    </row>
    <row r="64" spans="1:17" ht="13.5" thickBot="1" x14ac:dyDescent="0.25">
      <c r="B64" s="210" t="s">
        <v>75</v>
      </c>
      <c r="C64" s="210"/>
      <c r="D64" s="210"/>
      <c r="E64" s="72">
        <v>0.02</v>
      </c>
      <c r="F64" s="69">
        <f>+F53*E64</f>
        <v>151.29673759651732</v>
      </c>
      <c r="G64" s="21">
        <f>+F64/$F$66</f>
        <v>1.8263823178529055E-2</v>
      </c>
      <c r="H64" s="32"/>
      <c r="I64" s="55"/>
      <c r="J64" s="73"/>
      <c r="O64" s="74"/>
      <c r="P64" s="43"/>
    </row>
    <row r="65" spans="2:10" ht="13.5" thickBot="1" x14ac:dyDescent="0.25">
      <c r="B65" s="211" t="s">
        <v>76</v>
      </c>
      <c r="C65" s="212"/>
      <c r="D65" s="75">
        <v>10</v>
      </c>
      <c r="E65" s="76">
        <v>55</v>
      </c>
      <c r="F65" s="69">
        <f>+E65*D65</f>
        <v>550</v>
      </c>
      <c r="G65" s="21">
        <f>+F65/$F$66</f>
        <v>6.6393386319932177E-2</v>
      </c>
      <c r="H65" s="32"/>
      <c r="I65" s="32"/>
      <c r="J65" s="23"/>
    </row>
    <row r="66" spans="2:10" ht="13.5" thickBot="1" x14ac:dyDescent="0.25">
      <c r="B66" s="213" t="s">
        <v>77</v>
      </c>
      <c r="C66" s="214"/>
      <c r="D66" s="214"/>
      <c r="E66" s="215"/>
      <c r="F66" s="46">
        <f>SUM(F63:F65)</f>
        <v>8283.9576422521277</v>
      </c>
      <c r="G66" s="21">
        <f>+F66/$F$66</f>
        <v>1</v>
      </c>
      <c r="H66" s="216"/>
      <c r="I66" s="32"/>
      <c r="J66" s="23"/>
    </row>
    <row r="67" spans="2:10" x14ac:dyDescent="0.2">
      <c r="C67" s="28"/>
      <c r="D67" s="28"/>
      <c r="E67" s="77"/>
      <c r="F67" s="69"/>
      <c r="G67" s="21"/>
      <c r="H67" s="216"/>
      <c r="I67" s="78"/>
      <c r="J67" s="6"/>
    </row>
    <row r="68" spans="2:10" ht="13.5" thickBot="1" x14ac:dyDescent="0.25">
      <c r="B68" s="201" t="s">
        <v>78</v>
      </c>
      <c r="C68" s="201"/>
      <c r="D68" s="201"/>
      <c r="E68" s="201"/>
      <c r="F68" s="201"/>
      <c r="G68" s="21"/>
      <c r="H68" s="79"/>
      <c r="I68" s="78"/>
      <c r="J68" s="6"/>
    </row>
    <row r="69" spans="2:10" ht="13.5" thickBot="1" x14ac:dyDescent="0.25">
      <c r="B69" s="80" t="s">
        <v>79</v>
      </c>
      <c r="C69" s="81">
        <f>+F53</f>
        <v>7564.8368798258653</v>
      </c>
      <c r="D69" s="81">
        <f>+D58</f>
        <v>2940</v>
      </c>
      <c r="E69" s="82">
        <f>+C69/D69</f>
        <v>2.5730737686482534</v>
      </c>
      <c r="F69" s="21"/>
      <c r="G69" s="79"/>
      <c r="H69" s="23"/>
      <c r="I69" s="79"/>
      <c r="J69" s="6"/>
    </row>
    <row r="70" spans="2:10" x14ac:dyDescent="0.2">
      <c r="B70" s="83"/>
      <c r="C70" s="84"/>
      <c r="D70" s="85"/>
      <c r="E70" s="69"/>
      <c r="F70" s="21"/>
      <c r="G70" s="79"/>
      <c r="H70" s="23"/>
      <c r="I70" s="23"/>
      <c r="J70" s="6"/>
    </row>
    <row r="71" spans="2:10" x14ac:dyDescent="0.2">
      <c r="B71" s="80" t="s">
        <v>80</v>
      </c>
      <c r="C71" s="81">
        <f>SUM(F63:F64)</f>
        <v>7733.9576422521268</v>
      </c>
      <c r="D71" s="81">
        <f>+D58</f>
        <v>2940</v>
      </c>
      <c r="E71" s="86">
        <f>+C71/D71</f>
        <v>2.6305978375007233</v>
      </c>
      <c r="F71" s="21"/>
      <c r="G71" s="79"/>
      <c r="H71" s="23"/>
      <c r="I71" s="23"/>
      <c r="J71" s="6"/>
    </row>
    <row r="72" spans="2:10" x14ac:dyDescent="0.2">
      <c r="B72" s="80"/>
      <c r="C72" s="81"/>
      <c r="D72" s="81"/>
      <c r="E72" s="86"/>
      <c r="F72" s="21"/>
      <c r="G72" s="79"/>
      <c r="H72" s="23"/>
      <c r="I72" s="23"/>
      <c r="J72" s="6"/>
    </row>
    <row r="73" spans="2:10" ht="13.5" thickBot="1" x14ac:dyDescent="0.25">
      <c r="B73" s="80" t="s">
        <v>81</v>
      </c>
      <c r="C73" s="81">
        <f>+F65</f>
        <v>550</v>
      </c>
      <c r="D73" s="81">
        <f>+D58</f>
        <v>2940</v>
      </c>
      <c r="E73" s="86">
        <f>+C73/D73</f>
        <v>0.1870748299319728</v>
      </c>
      <c r="F73" s="21"/>
      <c r="G73" s="79"/>
      <c r="H73" s="23"/>
      <c r="I73" s="23"/>
      <c r="J73" s="6"/>
    </row>
    <row r="74" spans="2:10" ht="13.5" thickBot="1" x14ac:dyDescent="0.25">
      <c r="B74" s="80" t="s">
        <v>82</v>
      </c>
      <c r="C74" s="81">
        <f>+F56</f>
        <v>1910.1989628380097</v>
      </c>
      <c r="D74" s="81">
        <f>+D73</f>
        <v>2940</v>
      </c>
      <c r="E74" s="82">
        <f>+C74/D74</f>
        <v>0.64972753838027542</v>
      </c>
      <c r="F74" s="21"/>
      <c r="G74" s="79"/>
      <c r="H74" s="23"/>
      <c r="I74" s="23"/>
      <c r="J74" s="6"/>
    </row>
    <row r="75" spans="2:10" ht="13.5" thickBot="1" x14ac:dyDescent="0.25">
      <c r="B75" s="45"/>
      <c r="C75" s="46"/>
      <c r="D75" s="46"/>
      <c r="E75" s="86"/>
      <c r="F75" s="21"/>
      <c r="G75" s="79"/>
      <c r="H75" s="23"/>
      <c r="I75" s="23"/>
      <c r="J75" s="6"/>
    </row>
    <row r="76" spans="2:10" ht="13.5" thickBot="1" x14ac:dyDescent="0.25">
      <c r="B76" s="80" t="s">
        <v>83</v>
      </c>
      <c r="C76" s="81">
        <f>+F54</f>
        <v>17.824024829744182</v>
      </c>
      <c r="D76" s="81">
        <f>+D74</f>
        <v>2940</v>
      </c>
      <c r="E76" s="82">
        <f>+C76/D76</f>
        <v>6.0625934795048237E-3</v>
      </c>
      <c r="F76" s="21"/>
      <c r="G76" s="79"/>
      <c r="H76" s="23"/>
      <c r="I76" s="23"/>
      <c r="J76" s="23"/>
    </row>
    <row r="77" spans="2:10" ht="13.5" thickBot="1" x14ac:dyDescent="0.25">
      <c r="B77" s="45"/>
      <c r="C77" s="46"/>
      <c r="D77" s="46"/>
      <c r="E77" s="86"/>
      <c r="F77" s="21"/>
      <c r="G77" s="79"/>
      <c r="H77" s="23"/>
      <c r="I77" s="23"/>
    </row>
    <row r="78" spans="2:10" ht="13.5" thickBot="1" x14ac:dyDescent="0.25">
      <c r="B78" s="202" t="s">
        <v>84</v>
      </c>
      <c r="C78" s="203"/>
      <c r="D78" s="204"/>
      <c r="E78" s="82">
        <f>+E69+E74</f>
        <v>3.2228013070285288</v>
      </c>
      <c r="G78" s="21"/>
      <c r="H78" s="79"/>
      <c r="I78" s="23"/>
      <c r="J78" s="86"/>
    </row>
    <row r="79" spans="2:10" x14ac:dyDescent="0.2">
      <c r="I79" s="79"/>
      <c r="J79" s="6"/>
    </row>
    <row r="80" spans="2:10" ht="13.5" thickBot="1" x14ac:dyDescent="0.25">
      <c r="B80" s="201" t="s">
        <v>85</v>
      </c>
      <c r="C80" s="201"/>
      <c r="D80" s="201"/>
      <c r="E80" s="201"/>
      <c r="F80" s="201"/>
      <c r="G80" s="21"/>
      <c r="H80" s="79"/>
      <c r="J80" s="6"/>
    </row>
    <row r="81" spans="1:10" ht="13.5" thickBot="1" x14ac:dyDescent="0.25">
      <c r="B81" s="80" t="s">
        <v>79</v>
      </c>
      <c r="C81" s="81">
        <f>+C69</f>
        <v>7564.8368798258653</v>
      </c>
      <c r="D81" s="81">
        <f>+D60</f>
        <v>60</v>
      </c>
      <c r="E81" s="82">
        <f>+C81/D81</f>
        <v>126.08061466376442</v>
      </c>
      <c r="F81" s="21"/>
      <c r="G81" s="79"/>
      <c r="H81" s="23"/>
      <c r="I81" s="79"/>
      <c r="J81" s="6"/>
    </row>
    <row r="82" spans="1:10" x14ac:dyDescent="0.2">
      <c r="B82" s="83"/>
      <c r="C82" s="84"/>
      <c r="D82" s="85"/>
      <c r="E82" s="69"/>
      <c r="F82" s="21"/>
      <c r="G82" s="79"/>
      <c r="H82" s="23"/>
      <c r="I82" s="23"/>
      <c r="J82" s="6"/>
    </row>
    <row r="83" spans="1:10" x14ac:dyDescent="0.2">
      <c r="B83" s="80" t="s">
        <v>80</v>
      </c>
      <c r="C83" s="81">
        <f>+C71</f>
        <v>7733.9576422521268</v>
      </c>
      <c r="D83" s="81">
        <f>+D60</f>
        <v>60</v>
      </c>
      <c r="E83" s="86">
        <f>+C83/D83</f>
        <v>128.89929403753544</v>
      </c>
      <c r="F83" s="21"/>
      <c r="G83" s="79"/>
      <c r="H83" s="23"/>
      <c r="I83" s="23"/>
      <c r="J83" s="6"/>
    </row>
    <row r="84" spans="1:10" x14ac:dyDescent="0.2">
      <c r="B84" s="80"/>
      <c r="C84" s="81"/>
      <c r="D84" s="81"/>
      <c r="E84" s="86"/>
      <c r="F84" s="21"/>
      <c r="G84" s="79"/>
      <c r="H84" s="23"/>
      <c r="I84" s="23"/>
      <c r="J84" s="6"/>
    </row>
    <row r="85" spans="1:10" ht="13.5" thickBot="1" x14ac:dyDescent="0.25">
      <c r="B85" s="80" t="s">
        <v>82</v>
      </c>
      <c r="C85" s="81">
        <f>+C73</f>
        <v>550</v>
      </c>
      <c r="D85" s="81">
        <f>+D60</f>
        <v>60</v>
      </c>
      <c r="E85" s="86">
        <f>+C85/D85</f>
        <v>9.1666666666666661</v>
      </c>
      <c r="F85" s="89"/>
      <c r="G85" s="88"/>
      <c r="H85" s="5"/>
      <c r="I85" s="23"/>
    </row>
    <row r="86" spans="1:10" ht="13.5" thickBot="1" x14ac:dyDescent="0.25">
      <c r="B86" s="80" t="s">
        <v>82</v>
      </c>
      <c r="C86" s="81">
        <f>+C74</f>
        <v>1910.1989628380097</v>
      </c>
      <c r="D86" s="81">
        <f>+D85</f>
        <v>60</v>
      </c>
      <c r="E86" s="82">
        <f>+C86/D86</f>
        <v>31.836649380633496</v>
      </c>
      <c r="F86" s="87"/>
      <c r="G86" s="88"/>
      <c r="H86" s="5"/>
      <c r="I86" s="5"/>
    </row>
    <row r="87" spans="1:10" x14ac:dyDescent="0.2">
      <c r="I87" s="5"/>
    </row>
    <row r="88" spans="1:10" x14ac:dyDescent="0.2">
      <c r="A88" s="205"/>
      <c r="B88" s="205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458F-0A41-405D-8BFF-76ED1EE068C3}">
  <dimension ref="A1:I43"/>
  <sheetViews>
    <sheetView tabSelected="1" zoomScaleNormal="100" zoomScaleSheetLayoutView="7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2.28515625" bestFit="1" customWidth="1"/>
  </cols>
  <sheetData>
    <row r="1" spans="1:9" ht="15.75" x14ac:dyDescent="0.25">
      <c r="A1" s="226"/>
      <c r="B1" s="227"/>
      <c r="C1" s="232" t="s">
        <v>28</v>
      </c>
      <c r="D1" s="232"/>
      <c r="E1" s="232"/>
      <c r="F1" s="232"/>
      <c r="G1" s="232"/>
      <c r="H1" s="103" t="s">
        <v>27</v>
      </c>
      <c r="I1" s="297" t="s">
        <v>115</v>
      </c>
    </row>
    <row r="2" spans="1:9" ht="18" customHeight="1" thickBot="1" x14ac:dyDescent="0.3">
      <c r="A2" s="228"/>
      <c r="B2" s="229"/>
      <c r="C2" s="233" t="s">
        <v>26</v>
      </c>
      <c r="D2" s="234"/>
      <c r="E2" s="234"/>
      <c r="F2" s="234"/>
      <c r="G2" s="235"/>
      <c r="H2" s="104" t="s">
        <v>25</v>
      </c>
      <c r="I2" s="125" t="s">
        <v>184</v>
      </c>
    </row>
    <row r="3" spans="1:9" ht="31.5" customHeight="1" thickBot="1" x14ac:dyDescent="0.3">
      <c r="A3" s="228"/>
      <c r="B3" s="229"/>
      <c r="C3" s="236" t="s">
        <v>183</v>
      </c>
      <c r="D3" s="237"/>
      <c r="E3" s="237"/>
      <c r="F3" s="237"/>
      <c r="G3" s="238"/>
      <c r="H3" s="239" t="s">
        <v>24</v>
      </c>
      <c r="I3" s="217">
        <v>45611</v>
      </c>
    </row>
    <row r="4" spans="1:9" ht="18" customHeight="1" x14ac:dyDescent="0.25">
      <c r="A4" s="228"/>
      <c r="B4" s="229"/>
      <c r="C4" s="105" t="s">
        <v>23</v>
      </c>
      <c r="D4" s="220" t="s">
        <v>31</v>
      </c>
      <c r="E4" s="221"/>
      <c r="F4" s="221"/>
      <c r="G4" s="222"/>
      <c r="H4" s="240"/>
      <c r="I4" s="218"/>
    </row>
    <row r="5" spans="1:9" ht="14.25" thickBot="1" x14ac:dyDescent="0.3">
      <c r="A5" s="230"/>
      <c r="B5" s="231"/>
      <c r="C5" s="106" t="s">
        <v>22</v>
      </c>
      <c r="D5" s="223" t="s">
        <v>37</v>
      </c>
      <c r="E5" s="224"/>
      <c r="F5" s="224"/>
      <c r="G5" s="225"/>
      <c r="H5" s="241"/>
      <c r="I5" s="219"/>
    </row>
    <row r="6" spans="1:9" ht="18.75" thickBot="1" x14ac:dyDescent="0.3">
      <c r="A6" s="242" t="s">
        <v>106</v>
      </c>
      <c r="B6" s="242"/>
      <c r="C6" s="242"/>
      <c r="D6" s="243" t="s">
        <v>107</v>
      </c>
      <c r="E6" s="243"/>
      <c r="F6" s="243"/>
      <c r="G6" s="244" t="s">
        <v>108</v>
      </c>
      <c r="H6" s="244"/>
      <c r="I6" s="126" t="s">
        <v>107</v>
      </c>
    </row>
    <row r="7" spans="1:9" x14ac:dyDescent="0.2">
      <c r="A7" s="245" t="s">
        <v>21</v>
      </c>
      <c r="B7" s="247" t="s">
        <v>109</v>
      </c>
      <c r="C7" s="249" t="s">
        <v>20</v>
      </c>
      <c r="D7" s="249" t="s">
        <v>19</v>
      </c>
      <c r="E7" s="249" t="s">
        <v>18</v>
      </c>
      <c r="F7" s="249"/>
      <c r="G7" s="249" t="s">
        <v>17</v>
      </c>
      <c r="H7" s="249"/>
      <c r="I7" s="99" t="s">
        <v>16</v>
      </c>
    </row>
    <row r="8" spans="1:9" ht="26.25" thickBot="1" x14ac:dyDescent="0.25">
      <c r="A8" s="246"/>
      <c r="B8" s="248"/>
      <c r="C8" s="250"/>
      <c r="D8" s="250"/>
      <c r="E8" s="100" t="s">
        <v>12</v>
      </c>
      <c r="F8" s="101" t="s">
        <v>15</v>
      </c>
      <c r="G8" s="100" t="s">
        <v>12</v>
      </c>
      <c r="H8" s="101" t="s">
        <v>15</v>
      </c>
      <c r="I8" s="102" t="s">
        <v>14</v>
      </c>
    </row>
    <row r="9" spans="1:9" ht="15" x14ac:dyDescent="0.25">
      <c r="A9" s="127"/>
      <c r="B9" s="128"/>
      <c r="C9" s="129" t="s">
        <v>110</v>
      </c>
      <c r="D9" s="130"/>
      <c r="E9" s="131"/>
      <c r="F9" s="132"/>
      <c r="G9" s="131"/>
      <c r="H9" s="132"/>
      <c r="I9" s="133"/>
    </row>
    <row r="10" spans="1:9" ht="18" customHeight="1" x14ac:dyDescent="0.25">
      <c r="A10" s="122">
        <v>906000027</v>
      </c>
      <c r="B10" s="122" t="s">
        <v>100</v>
      </c>
      <c r="C10" s="98" t="s">
        <v>88</v>
      </c>
      <c r="D10" s="121" t="s">
        <v>34</v>
      </c>
      <c r="E10" s="107">
        <v>420</v>
      </c>
      <c r="F10" s="108" t="s">
        <v>1</v>
      </c>
      <c r="G10" s="134"/>
      <c r="H10" s="135" t="s">
        <v>116</v>
      </c>
      <c r="I10" s="133"/>
    </row>
    <row r="11" spans="1:9" ht="15" x14ac:dyDescent="0.25">
      <c r="A11" s="136"/>
      <c r="B11" s="136"/>
      <c r="C11" s="137"/>
      <c r="D11" s="136"/>
      <c r="E11" s="138"/>
      <c r="F11" s="138"/>
      <c r="G11" s="139"/>
      <c r="H11" s="140"/>
      <c r="I11" s="133"/>
    </row>
    <row r="12" spans="1:9" ht="15" x14ac:dyDescent="0.25">
      <c r="A12" s="141"/>
      <c r="B12" s="141"/>
      <c r="C12" s="142"/>
      <c r="D12" s="143"/>
      <c r="E12" s="143"/>
      <c r="F12" s="144"/>
      <c r="G12" s="131"/>
      <c r="H12" s="132"/>
      <c r="I12" s="133"/>
    </row>
    <row r="13" spans="1:9" ht="15.75" x14ac:dyDescent="0.25">
      <c r="A13" s="145"/>
      <c r="B13" s="146"/>
      <c r="C13" s="147" t="s">
        <v>111</v>
      </c>
      <c r="D13" s="148"/>
      <c r="E13" s="149"/>
      <c r="F13" s="144"/>
      <c r="G13" s="131"/>
      <c r="H13" s="132"/>
      <c r="I13" s="133"/>
    </row>
    <row r="14" spans="1:9" ht="15" x14ac:dyDescent="0.25">
      <c r="A14" s="141"/>
      <c r="B14" s="141"/>
      <c r="C14" s="142"/>
      <c r="D14" s="150"/>
      <c r="E14" s="151"/>
      <c r="F14" s="152"/>
      <c r="G14" s="131"/>
      <c r="H14" s="132"/>
      <c r="I14" s="133"/>
    </row>
    <row r="15" spans="1:9" ht="15.75" x14ac:dyDescent="0.25">
      <c r="A15" s="153"/>
      <c r="B15" s="154"/>
      <c r="C15" s="155" t="s">
        <v>112</v>
      </c>
      <c r="D15" s="156"/>
      <c r="E15" s="157"/>
      <c r="F15" s="132"/>
      <c r="G15" s="131"/>
      <c r="I15" s="133"/>
    </row>
    <row r="16" spans="1:9" ht="15" x14ac:dyDescent="0.25">
      <c r="A16" s="158" t="s">
        <v>89</v>
      </c>
      <c r="B16" s="158" t="s">
        <v>101</v>
      </c>
      <c r="C16" s="159" t="s">
        <v>103</v>
      </c>
      <c r="D16" s="160"/>
      <c r="E16" s="134">
        <v>1</v>
      </c>
      <c r="F16" s="135" t="s">
        <v>29</v>
      </c>
      <c r="G16" s="161"/>
      <c r="H16" s="132"/>
      <c r="I16" s="133"/>
    </row>
    <row r="17" spans="1:9" ht="15" x14ac:dyDescent="0.25">
      <c r="A17" s="162">
        <v>702069</v>
      </c>
      <c r="B17" s="163" t="s">
        <v>102</v>
      </c>
      <c r="C17" s="164" t="s">
        <v>90</v>
      </c>
      <c r="D17" s="160"/>
      <c r="E17" s="134">
        <v>1</v>
      </c>
      <c r="F17" s="135" t="s">
        <v>29</v>
      </c>
      <c r="G17" s="161"/>
      <c r="H17" s="132"/>
      <c r="I17" s="133"/>
    </row>
    <row r="18" spans="1:9" ht="15" x14ac:dyDescent="0.25">
      <c r="A18" s="158" t="s">
        <v>92</v>
      </c>
      <c r="B18" s="166" t="s">
        <v>104</v>
      </c>
      <c r="C18" s="159" t="s">
        <v>93</v>
      </c>
      <c r="D18" s="165"/>
      <c r="E18" s="167" t="s">
        <v>113</v>
      </c>
      <c r="F18" s="135" t="s">
        <v>29</v>
      </c>
      <c r="G18" s="131"/>
      <c r="H18" s="132"/>
      <c r="I18" s="133"/>
    </row>
    <row r="19" spans="1:9" ht="15" x14ac:dyDescent="0.25">
      <c r="A19" s="168">
        <v>701096</v>
      </c>
      <c r="B19" s="169" t="s">
        <v>105</v>
      </c>
      <c r="C19" s="170" t="s">
        <v>94</v>
      </c>
      <c r="D19" s="165"/>
      <c r="E19" s="171">
        <v>1</v>
      </c>
      <c r="F19" s="172" t="s">
        <v>29</v>
      </c>
      <c r="G19" s="131"/>
      <c r="H19" s="132"/>
      <c r="I19" s="133"/>
    </row>
    <row r="20" spans="1:9" ht="15" x14ac:dyDescent="0.25">
      <c r="A20" s="173"/>
      <c r="B20" s="174"/>
      <c r="C20" s="175"/>
      <c r="D20" s="165"/>
      <c r="E20" s="143"/>
      <c r="F20" s="144"/>
      <c r="G20" s="176"/>
      <c r="H20" s="148"/>
      <c r="I20" s="133"/>
    </row>
    <row r="21" spans="1:9" ht="15" x14ac:dyDescent="0.25">
      <c r="A21" s="145"/>
      <c r="B21" s="146"/>
      <c r="C21" s="120"/>
      <c r="D21" s="165"/>
      <c r="E21" s="143"/>
      <c r="F21" s="144"/>
      <c r="G21" s="143"/>
      <c r="H21" s="148"/>
      <c r="I21" s="133"/>
    </row>
    <row r="22" spans="1:9" ht="15.75" x14ac:dyDescent="0.25">
      <c r="A22" s="145"/>
      <c r="B22" s="146"/>
      <c r="C22" s="120"/>
      <c r="D22" s="165"/>
      <c r="E22" s="143"/>
      <c r="F22" s="144"/>
      <c r="G22" s="177"/>
      <c r="H22" s="144"/>
      <c r="I22" s="133"/>
    </row>
    <row r="23" spans="1:9" ht="15.75" x14ac:dyDescent="0.25">
      <c r="A23" s="145"/>
      <c r="B23" s="146"/>
      <c r="C23" s="120"/>
      <c r="D23" s="148"/>
      <c r="E23" s="148"/>
      <c r="F23" s="144"/>
      <c r="G23" s="178"/>
      <c r="H23" s="178"/>
      <c r="I23" s="133"/>
    </row>
    <row r="24" spans="1:9" ht="14.25" thickBot="1" x14ac:dyDescent="0.3">
      <c r="A24" s="109"/>
      <c r="B24" s="123"/>
      <c r="C24" s="110"/>
      <c r="D24" s="110"/>
      <c r="E24" s="111"/>
      <c r="F24" s="112"/>
      <c r="G24" s="110"/>
      <c r="H24" s="110"/>
      <c r="I24" s="113"/>
    </row>
    <row r="25" spans="1:9" ht="14.25" thickBot="1" x14ac:dyDescent="0.3">
      <c r="A25" s="114"/>
      <c r="B25" s="124"/>
      <c r="C25" s="115"/>
      <c r="D25" s="116" t="s">
        <v>12</v>
      </c>
      <c r="E25" s="117" t="s">
        <v>11</v>
      </c>
      <c r="F25" s="118"/>
      <c r="G25" s="115"/>
      <c r="H25" s="115"/>
      <c r="I25" s="119"/>
    </row>
    <row r="26" spans="1:9" ht="13.5" x14ac:dyDescent="0.25">
      <c r="A26" s="251" t="s">
        <v>10</v>
      </c>
      <c r="B26" s="252"/>
      <c r="C26" s="253"/>
      <c r="D26" s="134">
        <v>420</v>
      </c>
      <c r="E26" s="179" t="s">
        <v>1</v>
      </c>
      <c r="F26" s="254" t="s">
        <v>9</v>
      </c>
      <c r="G26" s="254"/>
      <c r="H26" s="255"/>
      <c r="I26" s="256"/>
    </row>
    <row r="27" spans="1:9" ht="13.5" x14ac:dyDescent="0.25">
      <c r="A27" s="257" t="s">
        <v>8</v>
      </c>
      <c r="B27" s="258"/>
      <c r="C27" s="259"/>
      <c r="D27" s="180">
        <v>1.5</v>
      </c>
      <c r="E27" s="181" t="s">
        <v>95</v>
      </c>
      <c r="F27" s="260" t="s">
        <v>7</v>
      </c>
      <c r="G27" s="260"/>
      <c r="H27" s="261"/>
      <c r="I27" s="262"/>
    </row>
    <row r="28" spans="1:9" ht="13.5" x14ac:dyDescent="0.25">
      <c r="A28" s="257" t="s">
        <v>6</v>
      </c>
      <c r="B28" s="258"/>
      <c r="C28" s="259"/>
      <c r="D28" s="181">
        <v>10</v>
      </c>
      <c r="E28" s="181" t="s">
        <v>29</v>
      </c>
      <c r="F28" s="260" t="s">
        <v>5</v>
      </c>
      <c r="G28" s="260"/>
      <c r="H28" s="261"/>
      <c r="I28" s="262"/>
    </row>
    <row r="29" spans="1:9" ht="13.5" x14ac:dyDescent="0.25">
      <c r="A29" s="257" t="s">
        <v>4</v>
      </c>
      <c r="B29" s="258"/>
      <c r="C29" s="259"/>
      <c r="D29" s="182">
        <v>42</v>
      </c>
      <c r="E29" s="181" t="s">
        <v>1</v>
      </c>
      <c r="F29" s="267" t="s">
        <v>3</v>
      </c>
      <c r="G29" s="268"/>
      <c r="H29" s="261"/>
      <c r="I29" s="262"/>
    </row>
    <row r="30" spans="1:9" ht="14.25" thickBot="1" x14ac:dyDescent="0.3">
      <c r="A30" s="269" t="s">
        <v>2</v>
      </c>
      <c r="B30" s="270"/>
      <c r="C30" s="271"/>
      <c r="D30" s="183">
        <v>0</v>
      </c>
      <c r="E30" s="184" t="s">
        <v>1</v>
      </c>
      <c r="F30" s="272"/>
      <c r="G30" s="272"/>
      <c r="H30" s="273"/>
      <c r="I30" s="274"/>
    </row>
    <row r="31" spans="1:9" ht="13.5" thickBot="1" x14ac:dyDescent="0.25">
      <c r="A31" s="275" t="s">
        <v>0</v>
      </c>
      <c r="B31" s="276"/>
      <c r="C31" s="276"/>
      <c r="D31" s="276"/>
      <c r="E31" s="276"/>
      <c r="F31" s="276"/>
      <c r="G31" s="276"/>
      <c r="H31" s="276"/>
      <c r="I31" s="277"/>
    </row>
    <row r="32" spans="1:9" ht="18.600000000000001" customHeight="1" x14ac:dyDescent="0.25">
      <c r="A32" s="263" t="s">
        <v>117</v>
      </c>
      <c r="B32" s="264"/>
      <c r="C32" s="265"/>
      <c r="D32" s="265"/>
      <c r="E32" s="265"/>
      <c r="F32" s="265"/>
      <c r="G32" s="265"/>
      <c r="H32" s="265"/>
      <c r="I32" s="266"/>
    </row>
    <row r="33" spans="1:9" ht="14.45" customHeight="1" x14ac:dyDescent="0.25">
      <c r="A33" s="263" t="s">
        <v>118</v>
      </c>
      <c r="B33" s="264"/>
      <c r="C33" s="265"/>
      <c r="D33" s="265"/>
      <c r="E33" s="265"/>
      <c r="F33" s="265"/>
      <c r="G33" s="265"/>
      <c r="H33" s="265"/>
      <c r="I33" s="266"/>
    </row>
    <row r="34" spans="1:9" ht="14.45" customHeight="1" x14ac:dyDescent="0.25">
      <c r="A34" s="285"/>
      <c r="B34" s="286"/>
      <c r="C34" s="286"/>
      <c r="D34" s="286"/>
      <c r="E34" s="286"/>
      <c r="F34" s="286"/>
      <c r="G34" s="286"/>
      <c r="H34" s="286"/>
      <c r="I34" s="287"/>
    </row>
    <row r="35" spans="1:9" ht="14.45" customHeight="1" x14ac:dyDescent="0.2">
      <c r="A35" s="288"/>
      <c r="B35" s="289"/>
      <c r="C35" s="289"/>
      <c r="D35" s="289"/>
      <c r="E35" s="289"/>
      <c r="F35" s="289"/>
      <c r="G35" s="289"/>
      <c r="H35" s="289"/>
      <c r="I35" s="290"/>
    </row>
    <row r="36" spans="1:9" ht="14.45" customHeight="1" x14ac:dyDescent="0.2">
      <c r="A36" s="288"/>
      <c r="B36" s="289"/>
      <c r="C36" s="289"/>
      <c r="D36" s="289"/>
      <c r="E36" s="289"/>
      <c r="F36" s="289"/>
      <c r="G36" s="289"/>
      <c r="H36" s="289"/>
      <c r="I36" s="290"/>
    </row>
    <row r="37" spans="1:9" ht="15" x14ac:dyDescent="0.25">
      <c r="A37" s="291"/>
      <c r="B37" s="292"/>
      <c r="C37" s="292"/>
      <c r="D37" s="292"/>
      <c r="E37" s="292"/>
      <c r="F37" s="292"/>
      <c r="G37" s="292"/>
      <c r="H37" s="292"/>
      <c r="I37" s="293"/>
    </row>
    <row r="38" spans="1:9" ht="18" customHeight="1" x14ac:dyDescent="0.2">
      <c r="A38" s="288"/>
      <c r="B38" s="289"/>
      <c r="C38" s="289"/>
      <c r="D38" s="289"/>
      <c r="E38" s="289"/>
      <c r="F38" s="289"/>
      <c r="G38" s="289"/>
      <c r="H38" s="289"/>
      <c r="I38" s="290"/>
    </row>
    <row r="39" spans="1:9" ht="13.5" x14ac:dyDescent="0.25">
      <c r="A39" s="294"/>
      <c r="B39" s="295"/>
      <c r="C39" s="295"/>
      <c r="D39" s="295"/>
      <c r="E39" s="295"/>
      <c r="F39" s="295"/>
      <c r="G39" s="295"/>
      <c r="H39" s="295"/>
      <c r="I39" s="296"/>
    </row>
    <row r="40" spans="1:9" ht="14.25" thickBot="1" x14ac:dyDescent="0.3">
      <c r="A40" s="278"/>
      <c r="B40" s="279"/>
      <c r="C40" s="279"/>
      <c r="D40" s="279"/>
      <c r="E40" s="279"/>
      <c r="F40" s="279"/>
      <c r="G40" s="279"/>
      <c r="H40" s="279"/>
      <c r="I40" s="280"/>
    </row>
    <row r="41" spans="1:9" x14ac:dyDescent="0.2">
      <c r="A41" s="281" t="s">
        <v>114</v>
      </c>
      <c r="B41" s="282"/>
      <c r="C41" s="282"/>
      <c r="D41" s="282"/>
      <c r="E41" s="282"/>
      <c r="F41" s="282"/>
      <c r="G41" s="282"/>
      <c r="H41" s="282"/>
      <c r="I41" s="282"/>
    </row>
    <row r="42" spans="1:9" ht="13.5" x14ac:dyDescent="0.25">
      <c r="A42" s="283" t="s">
        <v>119</v>
      </c>
      <c r="B42" s="284"/>
      <c r="C42" s="284"/>
      <c r="D42" s="284"/>
      <c r="E42" s="284"/>
      <c r="F42" s="284"/>
      <c r="G42" s="284"/>
      <c r="H42" s="284"/>
      <c r="I42" s="284"/>
    </row>
    <row r="43" spans="1:9" ht="13.5" x14ac:dyDescent="0.25">
      <c r="A43" s="283"/>
      <c r="B43" s="284"/>
      <c r="C43" s="284"/>
      <c r="D43" s="284"/>
      <c r="E43" s="284"/>
      <c r="F43" s="284"/>
      <c r="G43" s="284"/>
      <c r="H43" s="284"/>
      <c r="I43" s="284"/>
    </row>
  </sheetData>
  <mergeCells count="45">
    <mergeCell ref="A40:I40"/>
    <mergeCell ref="A41:I41"/>
    <mergeCell ref="A42:I42"/>
    <mergeCell ref="A43:I43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254C-40C7-4B5A-AF8A-2FE2BA659BA6}">
  <dimension ref="A2:L29"/>
  <sheetViews>
    <sheetView topLeftCell="A12" workbookViewId="0">
      <selection activeCell="N27" sqref="N27"/>
    </sheetView>
  </sheetViews>
  <sheetFormatPr baseColWidth="10" defaultRowHeight="12.75" x14ac:dyDescent="0.2"/>
  <cols>
    <col min="3" max="3" width="32.28515625" customWidth="1"/>
  </cols>
  <sheetData>
    <row r="2" spans="1:2" ht="15" x14ac:dyDescent="0.25">
      <c r="A2" s="185" t="s">
        <v>120</v>
      </c>
      <c r="B2" s="185"/>
    </row>
    <row r="3" spans="1:2" ht="15" x14ac:dyDescent="0.25">
      <c r="A3" s="185" t="s">
        <v>121</v>
      </c>
      <c r="B3" s="185" t="s">
        <v>122</v>
      </c>
    </row>
    <row r="4" spans="1:2" ht="15" x14ac:dyDescent="0.25">
      <c r="A4" s="185" t="s">
        <v>123</v>
      </c>
      <c r="B4" s="185" t="s">
        <v>124</v>
      </c>
    </row>
    <row r="5" spans="1:2" ht="15" x14ac:dyDescent="0.25">
      <c r="A5" s="185" t="s">
        <v>125</v>
      </c>
      <c r="B5" s="185" t="s">
        <v>126</v>
      </c>
    </row>
    <row r="6" spans="1:2" ht="15" x14ac:dyDescent="0.25">
      <c r="A6" s="185" t="s">
        <v>127</v>
      </c>
      <c r="B6" s="185" t="s">
        <v>128</v>
      </c>
    </row>
    <row r="7" spans="1:2" ht="15" x14ac:dyDescent="0.25">
      <c r="A7" s="185" t="s">
        <v>129</v>
      </c>
      <c r="B7" s="185" t="s">
        <v>130</v>
      </c>
    </row>
    <row r="8" spans="1:2" ht="15" x14ac:dyDescent="0.25">
      <c r="A8" s="185" t="s">
        <v>131</v>
      </c>
      <c r="B8" s="185" t="s">
        <v>132</v>
      </c>
    </row>
    <row r="9" spans="1:2" ht="15" x14ac:dyDescent="0.25">
      <c r="A9" s="185" t="s">
        <v>133</v>
      </c>
      <c r="B9" s="185" t="s">
        <v>134</v>
      </c>
    </row>
    <row r="10" spans="1:2" ht="15" x14ac:dyDescent="0.25">
      <c r="A10" s="185" t="s">
        <v>135</v>
      </c>
      <c r="B10" s="185" t="s">
        <v>136</v>
      </c>
    </row>
    <row r="11" spans="1:2" ht="15" x14ac:dyDescent="0.25">
      <c r="A11" s="185" t="s">
        <v>137</v>
      </c>
      <c r="B11" s="185" t="s">
        <v>138</v>
      </c>
    </row>
    <row r="12" spans="1:2" ht="15" x14ac:dyDescent="0.25">
      <c r="A12" s="185" t="s">
        <v>139</v>
      </c>
      <c r="B12" s="185" t="s">
        <v>140</v>
      </c>
    </row>
    <row r="13" spans="1:2" ht="15" x14ac:dyDescent="0.25">
      <c r="A13" s="185" t="s">
        <v>141</v>
      </c>
      <c r="B13" s="185" t="s">
        <v>142</v>
      </c>
    </row>
    <row r="14" spans="1:2" ht="15" x14ac:dyDescent="0.25">
      <c r="A14" s="185" t="s">
        <v>143</v>
      </c>
      <c r="B14" s="185" t="s">
        <v>144</v>
      </c>
    </row>
    <row r="17" spans="1:12" ht="15" x14ac:dyDescent="0.25">
      <c r="A17" s="185" t="s">
        <v>145</v>
      </c>
      <c r="B17" s="185" t="s">
        <v>146</v>
      </c>
      <c r="C17" s="185"/>
      <c r="D17" s="185"/>
      <c r="E17" s="185"/>
      <c r="F17" s="185"/>
      <c r="G17" s="185"/>
      <c r="H17" s="185"/>
      <c r="I17" s="185"/>
      <c r="J17" s="185"/>
      <c r="K17" s="185"/>
    </row>
    <row r="18" spans="1:12" ht="15" x14ac:dyDescent="0.25">
      <c r="A18" s="185" t="s">
        <v>147</v>
      </c>
      <c r="B18" s="185" t="s">
        <v>148</v>
      </c>
      <c r="C18" s="185"/>
      <c r="D18" s="185"/>
      <c r="E18" s="185"/>
      <c r="F18" s="185"/>
      <c r="G18" s="185"/>
      <c r="H18" s="185"/>
      <c r="I18" s="185"/>
      <c r="J18" s="185"/>
      <c r="K18" s="185"/>
    </row>
    <row r="20" spans="1:12" ht="15" x14ac:dyDescent="0.25">
      <c r="A20" s="185" t="s">
        <v>149</v>
      </c>
      <c r="B20" s="185" t="s">
        <v>150</v>
      </c>
      <c r="C20" s="185" t="s">
        <v>151</v>
      </c>
      <c r="D20" s="185" t="s">
        <v>152</v>
      </c>
      <c r="E20" s="185" t="s">
        <v>153</v>
      </c>
      <c r="F20" s="185" t="s">
        <v>154</v>
      </c>
      <c r="G20" s="185" t="s">
        <v>155</v>
      </c>
      <c r="H20" s="185" t="s">
        <v>156</v>
      </c>
      <c r="I20" s="185" t="s">
        <v>47</v>
      </c>
      <c r="J20" s="185" t="s">
        <v>44</v>
      </c>
      <c r="K20" s="185" t="s">
        <v>157</v>
      </c>
    </row>
    <row r="21" spans="1:12" ht="15" x14ac:dyDescent="0.25">
      <c r="A21" s="185" t="s">
        <v>158</v>
      </c>
      <c r="B21" s="185" t="s">
        <v>140</v>
      </c>
      <c r="C21" s="185" t="s">
        <v>159</v>
      </c>
      <c r="D21" s="185" t="s">
        <v>160</v>
      </c>
      <c r="E21" s="185" t="s">
        <v>161</v>
      </c>
      <c r="F21" s="185" t="s">
        <v>160</v>
      </c>
      <c r="G21" s="185" t="s">
        <v>160</v>
      </c>
      <c r="H21" s="185" t="s">
        <v>160</v>
      </c>
      <c r="I21" s="185" t="s">
        <v>162</v>
      </c>
      <c r="J21" s="185" t="s">
        <v>44</v>
      </c>
      <c r="K21" s="185" t="s">
        <v>163</v>
      </c>
      <c r="L21">
        <v>308.77</v>
      </c>
    </row>
    <row r="22" spans="1:12" ht="15" x14ac:dyDescent="0.25">
      <c r="A22" s="185" t="s">
        <v>164</v>
      </c>
      <c r="B22" s="185" t="s">
        <v>140</v>
      </c>
      <c r="C22" s="185" t="s">
        <v>165</v>
      </c>
      <c r="D22" s="185" t="s">
        <v>160</v>
      </c>
      <c r="E22" s="185" t="s">
        <v>161</v>
      </c>
      <c r="F22" s="185" t="s">
        <v>160</v>
      </c>
      <c r="G22" s="185" t="s">
        <v>160</v>
      </c>
      <c r="H22" s="185" t="s">
        <v>160</v>
      </c>
      <c r="I22" s="185" t="s">
        <v>166</v>
      </c>
      <c r="J22" s="185" t="s">
        <v>44</v>
      </c>
      <c r="K22" s="185" t="s">
        <v>167</v>
      </c>
      <c r="L22">
        <v>256.64</v>
      </c>
    </row>
    <row r="23" spans="1:12" ht="15" x14ac:dyDescent="0.25">
      <c r="A23" s="185" t="s">
        <v>101</v>
      </c>
      <c r="B23" s="185" t="s">
        <v>140</v>
      </c>
      <c r="C23" s="185" t="s">
        <v>168</v>
      </c>
      <c r="D23" s="185" t="s">
        <v>140</v>
      </c>
      <c r="E23" s="185" t="s">
        <v>161</v>
      </c>
      <c r="F23" s="185" t="s">
        <v>140</v>
      </c>
      <c r="G23" s="185" t="s">
        <v>140</v>
      </c>
      <c r="H23" s="185" t="s">
        <v>140</v>
      </c>
      <c r="I23" s="185" t="s">
        <v>169</v>
      </c>
      <c r="J23" s="185" t="s">
        <v>44</v>
      </c>
      <c r="K23" s="185" t="s">
        <v>169</v>
      </c>
      <c r="L23">
        <v>30.5</v>
      </c>
    </row>
    <row r="24" spans="1:12" ht="15" x14ac:dyDescent="0.25">
      <c r="A24" s="185" t="s">
        <v>102</v>
      </c>
      <c r="B24" s="185" t="s">
        <v>140</v>
      </c>
      <c r="C24" s="185" t="s">
        <v>170</v>
      </c>
      <c r="D24" s="185" t="s">
        <v>140</v>
      </c>
      <c r="E24" s="185" t="s">
        <v>161</v>
      </c>
      <c r="F24" s="185" t="s">
        <v>140</v>
      </c>
      <c r="G24" s="185" t="s">
        <v>140</v>
      </c>
      <c r="H24" s="185" t="s">
        <v>140</v>
      </c>
      <c r="I24" s="185" t="s">
        <v>171</v>
      </c>
      <c r="J24" s="185" t="s">
        <v>44</v>
      </c>
      <c r="K24" s="185" t="s">
        <v>171</v>
      </c>
      <c r="L24">
        <v>0.57999999999999996</v>
      </c>
    </row>
    <row r="25" spans="1:12" ht="15" x14ac:dyDescent="0.25">
      <c r="A25" s="185" t="s">
        <v>104</v>
      </c>
      <c r="B25" s="185" t="s">
        <v>140</v>
      </c>
      <c r="C25" s="185" t="s">
        <v>172</v>
      </c>
      <c r="D25" s="185" t="s">
        <v>173</v>
      </c>
      <c r="E25" s="185" t="s">
        <v>161</v>
      </c>
      <c r="F25" s="185" t="s">
        <v>173</v>
      </c>
      <c r="G25" s="185" t="s">
        <v>173</v>
      </c>
      <c r="H25" s="185" t="s">
        <v>173</v>
      </c>
      <c r="I25" s="185" t="s">
        <v>174</v>
      </c>
      <c r="J25" s="185" t="s">
        <v>175</v>
      </c>
      <c r="K25" s="185" t="s">
        <v>176</v>
      </c>
      <c r="L25">
        <v>7.2</v>
      </c>
    </row>
    <row r="26" spans="1:12" ht="15" x14ac:dyDescent="0.25">
      <c r="A26" s="185" t="s">
        <v>105</v>
      </c>
      <c r="B26" s="185" t="s">
        <v>140</v>
      </c>
      <c r="C26" s="185" t="s">
        <v>177</v>
      </c>
      <c r="D26" s="185" t="s">
        <v>140</v>
      </c>
      <c r="E26" s="185" t="s">
        <v>161</v>
      </c>
      <c r="F26" s="185" t="s">
        <v>140</v>
      </c>
      <c r="G26" s="185" t="s">
        <v>140</v>
      </c>
      <c r="H26" s="185" t="s">
        <v>140</v>
      </c>
      <c r="I26" s="185" t="s">
        <v>178</v>
      </c>
      <c r="J26" s="185" t="s">
        <v>44</v>
      </c>
      <c r="K26" s="185" t="s">
        <v>178</v>
      </c>
      <c r="L26">
        <v>0.39</v>
      </c>
    </row>
    <row r="27" spans="1:12" ht="15" x14ac:dyDescent="0.25">
      <c r="A27" s="185" t="s">
        <v>100</v>
      </c>
      <c r="B27" s="185" t="s">
        <v>140</v>
      </c>
      <c r="C27" s="185" t="s">
        <v>179</v>
      </c>
      <c r="D27" s="185" t="s">
        <v>180</v>
      </c>
      <c r="E27" s="185" t="s">
        <v>161</v>
      </c>
      <c r="F27" s="185" t="s">
        <v>180</v>
      </c>
      <c r="G27" s="185" t="s">
        <v>180</v>
      </c>
      <c r="H27" s="185" t="s">
        <v>180</v>
      </c>
      <c r="I27" s="185" t="s">
        <v>181</v>
      </c>
      <c r="J27" s="185" t="s">
        <v>44</v>
      </c>
      <c r="K27" s="185" t="s">
        <v>182</v>
      </c>
      <c r="L27">
        <v>687.97</v>
      </c>
    </row>
    <row r="28" spans="1:12" x14ac:dyDescent="0.2">
      <c r="L28">
        <f>SUM(L21:L27)</f>
        <v>1292.0500000000002</v>
      </c>
    </row>
    <row r="29" spans="1:12" x14ac:dyDescent="0.2">
      <c r="L29">
        <f>+L28/6</f>
        <v>215.3416666666667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0B6C-D413-44C4-91E7-583E05FED0D2}">
  <dimension ref="A2:L29"/>
  <sheetViews>
    <sheetView topLeftCell="A9" workbookViewId="0">
      <selection activeCell="M27" sqref="M27"/>
    </sheetView>
  </sheetViews>
  <sheetFormatPr baseColWidth="10" defaultRowHeight="12.75" x14ac:dyDescent="0.2"/>
  <cols>
    <col min="3" max="3" width="32.28515625" customWidth="1"/>
  </cols>
  <sheetData>
    <row r="2" spans="1:2" ht="15" x14ac:dyDescent="0.25">
      <c r="A2" s="185" t="s">
        <v>120</v>
      </c>
      <c r="B2" s="185"/>
    </row>
    <row r="3" spans="1:2" ht="15" x14ac:dyDescent="0.25">
      <c r="A3" s="185" t="s">
        <v>121</v>
      </c>
      <c r="B3" s="185" t="s">
        <v>122</v>
      </c>
    </row>
    <row r="4" spans="1:2" ht="15" x14ac:dyDescent="0.25">
      <c r="A4" s="185" t="s">
        <v>123</v>
      </c>
      <c r="B4" s="185" t="s">
        <v>124</v>
      </c>
    </row>
    <row r="5" spans="1:2" ht="15" x14ac:dyDescent="0.25">
      <c r="A5" s="185" t="s">
        <v>125</v>
      </c>
      <c r="B5" s="185" t="s">
        <v>126</v>
      </c>
    </row>
    <row r="6" spans="1:2" ht="15" x14ac:dyDescent="0.25">
      <c r="A6" s="185" t="s">
        <v>127</v>
      </c>
      <c r="B6" s="185" t="s">
        <v>128</v>
      </c>
    </row>
    <row r="7" spans="1:2" ht="15" x14ac:dyDescent="0.25">
      <c r="A7" s="185" t="s">
        <v>129</v>
      </c>
      <c r="B7" s="185" t="s">
        <v>130</v>
      </c>
    </row>
    <row r="8" spans="1:2" ht="15" x14ac:dyDescent="0.25">
      <c r="A8" s="185" t="s">
        <v>131</v>
      </c>
      <c r="B8" s="185" t="s">
        <v>132</v>
      </c>
    </row>
    <row r="9" spans="1:2" ht="15" x14ac:dyDescent="0.25">
      <c r="A9" s="185" t="s">
        <v>133</v>
      </c>
      <c r="B9" s="185" t="s">
        <v>134</v>
      </c>
    </row>
    <row r="10" spans="1:2" ht="15" x14ac:dyDescent="0.25">
      <c r="A10" s="185" t="s">
        <v>135</v>
      </c>
      <c r="B10" s="185" t="s">
        <v>136</v>
      </c>
    </row>
    <row r="11" spans="1:2" ht="15" x14ac:dyDescent="0.25">
      <c r="A11" s="185" t="s">
        <v>137</v>
      </c>
      <c r="B11" s="185" t="s">
        <v>138</v>
      </c>
    </row>
    <row r="12" spans="1:2" ht="15" x14ac:dyDescent="0.25">
      <c r="A12" s="185" t="s">
        <v>139</v>
      </c>
      <c r="B12" s="185" t="s">
        <v>140</v>
      </c>
    </row>
    <row r="13" spans="1:2" ht="15" x14ac:dyDescent="0.25">
      <c r="A13" s="185" t="s">
        <v>141</v>
      </c>
      <c r="B13" s="185" t="s">
        <v>142</v>
      </c>
    </row>
    <row r="14" spans="1:2" ht="15" x14ac:dyDescent="0.25">
      <c r="A14" s="185" t="s">
        <v>143</v>
      </c>
      <c r="B14" s="185" t="s">
        <v>144</v>
      </c>
    </row>
    <row r="17" spans="1:12" ht="15" x14ac:dyDescent="0.25">
      <c r="A17" s="185" t="s">
        <v>145</v>
      </c>
      <c r="B17" s="185" t="s">
        <v>146</v>
      </c>
      <c r="C17" s="185"/>
      <c r="D17" s="185"/>
      <c r="E17" s="185"/>
      <c r="F17" s="185"/>
      <c r="G17" s="185"/>
      <c r="H17" s="185"/>
      <c r="I17" s="185"/>
      <c r="J17" s="185"/>
      <c r="K17" s="185"/>
    </row>
    <row r="18" spans="1:12" ht="15" x14ac:dyDescent="0.25">
      <c r="A18" s="185" t="s">
        <v>147</v>
      </c>
      <c r="B18" s="185" t="s">
        <v>148</v>
      </c>
      <c r="C18" s="185"/>
      <c r="D18" s="185"/>
      <c r="E18" s="185"/>
      <c r="F18" s="185"/>
      <c r="G18" s="185"/>
      <c r="H18" s="185"/>
      <c r="I18" s="185"/>
      <c r="J18" s="185"/>
      <c r="K18" s="185"/>
    </row>
    <row r="20" spans="1:12" ht="15" x14ac:dyDescent="0.25">
      <c r="A20" s="185" t="s">
        <v>149</v>
      </c>
      <c r="B20" s="185" t="s">
        <v>150</v>
      </c>
      <c r="C20" s="185" t="s">
        <v>151</v>
      </c>
      <c r="D20" s="185" t="s">
        <v>152</v>
      </c>
      <c r="E20" s="185" t="s">
        <v>153</v>
      </c>
      <c r="F20" s="185" t="s">
        <v>154</v>
      </c>
      <c r="G20" s="185" t="s">
        <v>155</v>
      </c>
      <c r="H20" s="185" t="s">
        <v>156</v>
      </c>
      <c r="I20" s="185" t="s">
        <v>47</v>
      </c>
      <c r="J20" s="185" t="s">
        <v>44</v>
      </c>
      <c r="K20" s="185" t="s">
        <v>157</v>
      </c>
    </row>
    <row r="21" spans="1:12" ht="15" x14ac:dyDescent="0.25">
      <c r="A21" s="185" t="s">
        <v>158</v>
      </c>
      <c r="B21" s="185" t="s">
        <v>140</v>
      </c>
      <c r="C21" s="185" t="s">
        <v>159</v>
      </c>
      <c r="D21" s="185" t="s">
        <v>160</v>
      </c>
      <c r="E21" s="185" t="s">
        <v>161</v>
      </c>
      <c r="F21" s="185" t="s">
        <v>160</v>
      </c>
      <c r="G21" s="185" t="s">
        <v>160</v>
      </c>
      <c r="H21" s="185" t="s">
        <v>160</v>
      </c>
      <c r="I21" s="185" t="s">
        <v>162</v>
      </c>
      <c r="J21" s="185" t="s">
        <v>44</v>
      </c>
      <c r="K21" s="185" t="s">
        <v>163</v>
      </c>
      <c r="L21">
        <v>308.77</v>
      </c>
    </row>
    <row r="22" spans="1:12" ht="15" x14ac:dyDescent="0.25">
      <c r="A22" s="185" t="s">
        <v>164</v>
      </c>
      <c r="B22" s="185" t="s">
        <v>140</v>
      </c>
      <c r="C22" s="185" t="s">
        <v>165</v>
      </c>
      <c r="D22" s="185" t="s">
        <v>160</v>
      </c>
      <c r="E22" s="185" t="s">
        <v>161</v>
      </c>
      <c r="F22" s="185" t="s">
        <v>160</v>
      </c>
      <c r="G22" s="185" t="s">
        <v>160</v>
      </c>
      <c r="H22" s="185" t="s">
        <v>160</v>
      </c>
      <c r="I22" s="185" t="s">
        <v>166</v>
      </c>
      <c r="J22" s="185" t="s">
        <v>44</v>
      </c>
      <c r="K22" s="185" t="s">
        <v>167</v>
      </c>
      <c r="L22">
        <v>256.64</v>
      </c>
    </row>
    <row r="23" spans="1:12" ht="15" x14ac:dyDescent="0.25">
      <c r="A23" s="185" t="s">
        <v>101</v>
      </c>
      <c r="B23" s="185" t="s">
        <v>140</v>
      </c>
      <c r="C23" s="185" t="s">
        <v>168</v>
      </c>
      <c r="D23" s="185" t="s">
        <v>140</v>
      </c>
      <c r="E23" s="185" t="s">
        <v>161</v>
      </c>
      <c r="F23" s="185" t="s">
        <v>140</v>
      </c>
      <c r="G23" s="185" t="s">
        <v>140</v>
      </c>
      <c r="H23" s="185" t="s">
        <v>140</v>
      </c>
      <c r="I23" s="185" t="s">
        <v>169</v>
      </c>
      <c r="J23" s="185" t="s">
        <v>44</v>
      </c>
      <c r="K23" s="185" t="s">
        <v>169</v>
      </c>
      <c r="L23">
        <v>30.5</v>
      </c>
    </row>
    <row r="24" spans="1:12" ht="15" x14ac:dyDescent="0.25">
      <c r="A24" s="185" t="s">
        <v>102</v>
      </c>
      <c r="B24" s="185" t="s">
        <v>140</v>
      </c>
      <c r="C24" s="185" t="s">
        <v>170</v>
      </c>
      <c r="D24" s="185" t="s">
        <v>140</v>
      </c>
      <c r="E24" s="185" t="s">
        <v>161</v>
      </c>
      <c r="F24" s="185" t="s">
        <v>140</v>
      </c>
      <c r="G24" s="185" t="s">
        <v>140</v>
      </c>
      <c r="H24" s="185" t="s">
        <v>140</v>
      </c>
      <c r="I24" s="185" t="s">
        <v>171</v>
      </c>
      <c r="J24" s="185" t="s">
        <v>44</v>
      </c>
      <c r="K24" s="185" t="s">
        <v>171</v>
      </c>
      <c r="L24">
        <v>0.57999999999999996</v>
      </c>
    </row>
    <row r="25" spans="1:12" ht="15" x14ac:dyDescent="0.25">
      <c r="A25" s="185" t="s">
        <v>104</v>
      </c>
      <c r="B25" s="185" t="s">
        <v>140</v>
      </c>
      <c r="C25" s="185" t="s">
        <v>172</v>
      </c>
      <c r="D25" s="185" t="s">
        <v>173</v>
      </c>
      <c r="E25" s="185" t="s">
        <v>161</v>
      </c>
      <c r="F25" s="185" t="s">
        <v>173</v>
      </c>
      <c r="G25" s="185" t="s">
        <v>173</v>
      </c>
      <c r="H25" s="185" t="s">
        <v>173</v>
      </c>
      <c r="I25" s="185" t="s">
        <v>174</v>
      </c>
      <c r="J25" s="185" t="s">
        <v>175</v>
      </c>
      <c r="K25" s="185" t="s">
        <v>176</v>
      </c>
      <c r="L25">
        <v>7.2</v>
      </c>
    </row>
    <row r="26" spans="1:12" ht="15" x14ac:dyDescent="0.25">
      <c r="A26" s="185" t="s">
        <v>105</v>
      </c>
      <c r="B26" s="185" t="s">
        <v>140</v>
      </c>
      <c r="C26" s="185" t="s">
        <v>177</v>
      </c>
      <c r="D26" s="185" t="s">
        <v>140</v>
      </c>
      <c r="E26" s="185" t="s">
        <v>161</v>
      </c>
      <c r="F26" s="185" t="s">
        <v>140</v>
      </c>
      <c r="G26" s="185" t="s">
        <v>140</v>
      </c>
      <c r="H26" s="185" t="s">
        <v>140</v>
      </c>
      <c r="I26" s="185" t="s">
        <v>178</v>
      </c>
      <c r="J26" s="185" t="s">
        <v>44</v>
      </c>
      <c r="K26" s="185" t="s">
        <v>178</v>
      </c>
      <c r="L26">
        <v>0.39</v>
      </c>
    </row>
    <row r="27" spans="1:12" ht="15" x14ac:dyDescent="0.25">
      <c r="A27" s="185" t="s">
        <v>100</v>
      </c>
      <c r="B27" s="185" t="s">
        <v>140</v>
      </c>
      <c r="C27" s="185" t="s">
        <v>179</v>
      </c>
      <c r="D27" s="185">
        <v>10</v>
      </c>
      <c r="E27" s="185" t="s">
        <v>161</v>
      </c>
      <c r="F27" s="185">
        <v>10</v>
      </c>
      <c r="G27" s="185">
        <v>10</v>
      </c>
      <c r="H27" s="185">
        <v>10</v>
      </c>
      <c r="I27" s="185" t="s">
        <v>181</v>
      </c>
      <c r="J27" s="185" t="s">
        <v>44</v>
      </c>
      <c r="K27" s="185" t="s">
        <v>182</v>
      </c>
      <c r="L27">
        <v>1146.5999999999999</v>
      </c>
    </row>
    <row r="28" spans="1:12" x14ac:dyDescent="0.2">
      <c r="L28">
        <f>SUM(L21:L27)</f>
        <v>1750.6799999999998</v>
      </c>
    </row>
    <row r="29" spans="1:12" x14ac:dyDescent="0.2">
      <c r="L29">
        <f>+L28/10</f>
        <v>175.06799999999998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E555-A4F3-43E9-BEDE-AA299246734B}">
  <dimension ref="A1:Q91"/>
  <sheetViews>
    <sheetView topLeftCell="A16" workbookViewId="0">
      <selection activeCell="A30" sqref="A30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88" bestFit="1" customWidth="1"/>
    <col min="9" max="9" width="4.5703125" style="88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38</v>
      </c>
      <c r="F1" s="3" t="s">
        <v>39</v>
      </c>
      <c r="G1" s="3" t="s">
        <v>40</v>
      </c>
      <c r="H1" s="3" t="s">
        <v>41</v>
      </c>
      <c r="I1" s="4"/>
    </row>
    <row r="2" spans="1:10" ht="30.75" customHeight="1" x14ac:dyDescent="0.2">
      <c r="A2" s="1"/>
      <c r="B2" s="1"/>
      <c r="C2" s="1"/>
      <c r="D2" s="1"/>
      <c r="E2" s="7">
        <f>IFERROR(O62,"")</f>
        <v>187.2814111425154</v>
      </c>
      <c r="F2" s="7">
        <f>IFERROR(H53,"")</f>
        <v>126.08061466376442</v>
      </c>
      <c r="G2" s="7">
        <f>IFERROR(H54,"")</f>
        <v>5.8077030422323341</v>
      </c>
      <c r="H2" s="7">
        <f>IFERROR(H56,"")</f>
        <v>31.213884096616045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187"/>
      <c r="B4" s="187"/>
      <c r="C4" s="187"/>
      <c r="D4" s="187"/>
      <c r="E4" s="187"/>
      <c r="F4" s="187"/>
      <c r="G4" s="187"/>
      <c r="H4" s="187"/>
      <c r="I4" s="10"/>
    </row>
    <row r="5" spans="1:10" ht="19.5" customHeight="1" thickBot="1" x14ac:dyDescent="0.25">
      <c r="A5" s="188" t="s">
        <v>42</v>
      </c>
      <c r="B5" s="189"/>
      <c r="C5" s="189"/>
      <c r="D5" s="189"/>
      <c r="E5" s="189"/>
      <c r="F5" s="189"/>
      <c r="G5" s="189"/>
      <c r="H5" s="190"/>
      <c r="I5" s="11"/>
    </row>
    <row r="6" spans="1:10" ht="19.5" thickBot="1" x14ac:dyDescent="0.25">
      <c r="A6" s="11"/>
      <c r="B6" s="11"/>
      <c r="C6" s="11"/>
      <c r="D6" s="11"/>
      <c r="E6" s="11"/>
      <c r="F6" s="191" t="s">
        <v>43</v>
      </c>
      <c r="G6" s="191"/>
      <c r="H6" s="12">
        <f ca="1">TODAY()</f>
        <v>45789</v>
      </c>
      <c r="I6" s="12"/>
    </row>
    <row r="7" spans="1:10" ht="26.25" hidden="1" thickBot="1" x14ac:dyDescent="0.25">
      <c r="A7" s="13" t="s">
        <v>44</v>
      </c>
      <c r="B7" s="14" t="s">
        <v>45</v>
      </c>
      <c r="C7" s="14" t="s">
        <v>44</v>
      </c>
      <c r="D7" s="15" t="s">
        <v>46</v>
      </c>
      <c r="E7" s="15" t="s">
        <v>47</v>
      </c>
      <c r="F7" s="15" t="s">
        <v>48</v>
      </c>
      <c r="G7" s="15" t="s">
        <v>49</v>
      </c>
      <c r="H7" s="16" t="s">
        <v>50</v>
      </c>
      <c r="I7" s="17"/>
    </row>
    <row r="8" spans="1:10" ht="13.5" hidden="1" x14ac:dyDescent="0.25">
      <c r="A8" s="18"/>
      <c r="B8" s="6" t="str">
        <f>IFERROR(VLOOKUP(H8,'[1]Consolidado MP Planta'!$A$2:$M$823,3,0),"")</f>
        <v/>
      </c>
      <c r="C8" s="19">
        <f>+A8</f>
        <v>0</v>
      </c>
      <c r="D8" s="20" t="str">
        <f>IFERROR(VLOOKUP(H8,'[1]Consolidado MP Planta'!$A$2:$M$823,13,0),"")</f>
        <v/>
      </c>
      <c r="E8" s="20" t="str">
        <f>IFERROR(VLOOKUP(H8,'[1]Consolidado MP Planta'!$A$2:$M$823,12,0),"")</f>
        <v/>
      </c>
      <c r="F8" s="20" t="str">
        <f>IFERROR(C8*E8,"")</f>
        <v/>
      </c>
      <c r="G8" s="21" t="str">
        <f t="shared" ref="G8:G14" si="0">IFERROR(F8/$F$66,"")</f>
        <v/>
      </c>
      <c r="H8" s="22"/>
      <c r="I8" s="22"/>
      <c r="J8" s="23"/>
    </row>
    <row r="9" spans="1:10" ht="13.5" hidden="1" x14ac:dyDescent="0.25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hidden="1" thickBot="1" x14ac:dyDescent="0.3">
      <c r="A15" s="18"/>
      <c r="B15" s="6" t="str">
        <f>IFERROR(VLOOKUP(H15,'[2]Consolidado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44</v>
      </c>
      <c r="B16" s="14" t="s">
        <v>51</v>
      </c>
      <c r="C16" s="14" t="s">
        <v>44</v>
      </c>
      <c r="D16" s="15" t="s">
        <v>46</v>
      </c>
      <c r="E16" s="15" t="s">
        <v>47</v>
      </c>
      <c r="F16" s="15" t="s">
        <v>48</v>
      </c>
      <c r="G16" s="15" t="s">
        <v>49</v>
      </c>
      <c r="H16" s="16" t="s">
        <v>50</v>
      </c>
      <c r="I16" s="17"/>
      <c r="J16" s="23"/>
    </row>
    <row r="17" spans="1:12" ht="13.5" x14ac:dyDescent="0.25">
      <c r="A17" s="18">
        <v>6</v>
      </c>
      <c r="B17" s="6" t="str">
        <f>IFERROR(VLOOKUP(H17,[1]SEMIELABORADOS!$A$2:$M$6000,2,0),"")</f>
        <v>EMPANADA TRES QUESOS (UND)</v>
      </c>
      <c r="C17" s="19">
        <f>+A17</f>
        <v>6</v>
      </c>
      <c r="D17" s="19" t="str">
        <f>IFERROR(VLOOKUP(H17,[1]SEMIELABORADOS!$A$2:$M$6000,6,0),"")</f>
        <v>Und</v>
      </c>
      <c r="E17" s="20">
        <f>+'COSTO EMPANADA '!H53</f>
        <v>126.08061466376442</v>
      </c>
      <c r="F17" s="20">
        <f>IFERROR(E17*C17,"")</f>
        <v>756.4836879825865</v>
      </c>
      <c r="G17" s="21">
        <f>IFERROR(F17/$F$66,"")</f>
        <v>0.8509764729531385</v>
      </c>
      <c r="H17" s="22" t="s">
        <v>87</v>
      </c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3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4">IFERROR(E18*C18,"")</f>
        <v/>
      </c>
      <c r="G18" s="21" t="str">
        <f t="shared" ref="G18:G24" si="5">IFERROR(F18/$F$66,"")</f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 t="shared" si="3"/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 t="shared" si="4"/>
        <v/>
      </c>
      <c r="G19" s="21" t="str">
        <f t="shared" si="5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 t="shared" si="3"/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 t="shared" si="4"/>
        <v/>
      </c>
      <c r="G20" s="21" t="str">
        <f t="shared" si="5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 t="shared" si="3"/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 t="shared" si="4"/>
        <v/>
      </c>
      <c r="G21" s="21" t="str">
        <f t="shared" si="5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3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4"/>
        <v/>
      </c>
      <c r="G22" s="21" t="str">
        <f t="shared" si="5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3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4"/>
        <v/>
      </c>
      <c r="G23" s="21" t="str">
        <f t="shared" si="5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3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4"/>
        <v/>
      </c>
      <c r="G24" s="21" t="str">
        <f t="shared" si="5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25">
      <c r="A26" s="13" t="s">
        <v>44</v>
      </c>
      <c r="B26" s="14" t="s">
        <v>13</v>
      </c>
      <c r="C26" s="14" t="s">
        <v>44</v>
      </c>
      <c r="D26" s="15" t="s">
        <v>46</v>
      </c>
      <c r="E26" s="15" t="s">
        <v>47</v>
      </c>
      <c r="F26" s="15" t="s">
        <v>48</v>
      </c>
      <c r="G26" s="15" t="s">
        <v>49</v>
      </c>
      <c r="H26" s="16" t="s">
        <v>50</v>
      </c>
      <c r="I26" s="17"/>
    </row>
    <row r="27" spans="1:12" ht="13.5" x14ac:dyDescent="0.25">
      <c r="A27" s="18">
        <v>1</v>
      </c>
      <c r="B27" s="24" t="str">
        <f>IFERROR(VLOOKUP(H27,'[1]Consolidado MP Planta'!$A$2:$M$823,3,0),"")</f>
        <v>CAJA BLANCA PEQUEÑA (PAQ:100 UND)</v>
      </c>
      <c r="C27" s="19">
        <f t="shared" ref="C27:C32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26.25</v>
      </c>
      <c r="F27" s="20">
        <f t="shared" ref="F27:F32" si="7">IFERROR(C27*E27,"")</f>
        <v>26.25</v>
      </c>
      <c r="G27" s="21">
        <f t="shared" ref="G27:G32" si="8">IFERROR(F27/$F$66,"")</f>
        <v>2.952890164041989E-2</v>
      </c>
      <c r="H27" s="25" t="s">
        <v>89</v>
      </c>
      <c r="I27" s="25"/>
      <c r="J27" s="23"/>
      <c r="K27" s="186"/>
      <c r="L27" s="186"/>
    </row>
    <row r="28" spans="1:12" ht="13.5" x14ac:dyDescent="0.25">
      <c r="A28" s="18">
        <v>1</v>
      </c>
      <c r="B28" s="24" t="str">
        <f>IFERROR(VLOOKUP(H28,'[1]Consolidado MP Planta'!$A$2:$M$823,3,0),"")</f>
        <v>ETIQ.BLANCA 1 1/4 * 3/4 (UND)</v>
      </c>
      <c r="C28" s="19">
        <f t="shared" si="6"/>
        <v>1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0.57999999999999996</v>
      </c>
      <c r="F28" s="20">
        <f t="shared" si="7"/>
        <v>0.57999999999999996</v>
      </c>
      <c r="G28" s="21">
        <f t="shared" si="8"/>
        <v>6.5244811243594415E-4</v>
      </c>
      <c r="H28" s="25" t="s">
        <v>97</v>
      </c>
      <c r="I28" s="25"/>
      <c r="J28" s="23"/>
      <c r="K28" s="186"/>
      <c r="L28" s="186"/>
    </row>
    <row r="29" spans="1:12" ht="13.5" x14ac:dyDescent="0.25">
      <c r="A29" s="18">
        <v>1</v>
      </c>
      <c r="B29" s="24" t="s">
        <v>91</v>
      </c>
      <c r="C29" s="19">
        <f t="shared" si="6"/>
        <v>1</v>
      </c>
      <c r="D29" s="20" t="s">
        <v>99</v>
      </c>
      <c r="E29" s="20">
        <v>0.18</v>
      </c>
      <c r="F29" s="20">
        <f t="shared" si="7"/>
        <v>0.18</v>
      </c>
      <c r="G29" s="21">
        <f t="shared" si="8"/>
        <v>2.0248389696287923E-4</v>
      </c>
      <c r="H29" s="25" t="s">
        <v>98</v>
      </c>
      <c r="I29" s="25"/>
      <c r="J29" s="23"/>
      <c r="K29" s="186"/>
      <c r="L29" s="186"/>
    </row>
    <row r="30" spans="1:12" ht="13.5" x14ac:dyDescent="0.25">
      <c r="A30" s="18">
        <v>0.5</v>
      </c>
      <c r="B30" s="24" t="str">
        <f>IFERROR(VLOOKUP(H30,'[1]Consolidado MP Planta'!$A$2:$M$823,3,0),"")</f>
        <v>BOLSA 12x18 TRANSP KILO</v>
      </c>
      <c r="C30" s="19">
        <f t="shared" si="6"/>
        <v>0.5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12</v>
      </c>
      <c r="F30" s="20">
        <f t="shared" si="7"/>
        <v>6</v>
      </c>
      <c r="G30" s="21">
        <f t="shared" si="8"/>
        <v>6.7494632320959751E-3</v>
      </c>
      <c r="H30" s="25" t="s">
        <v>92</v>
      </c>
      <c r="I30" s="25"/>
      <c r="J30" s="23"/>
      <c r="K30" s="186"/>
      <c r="L30" s="186"/>
    </row>
    <row r="31" spans="1:12" ht="13.5" x14ac:dyDescent="0.25">
      <c r="A31" s="18">
        <v>1</v>
      </c>
      <c r="B31" s="24" t="str">
        <f>IFERROR(VLOOKUP(H31,'[1]Consolidado MP Planta'!$A$2:$M$823,3,0),"")</f>
        <v>ETIQUETA BLANCA R-153 (UND)</v>
      </c>
      <c r="C31" s="19">
        <f t="shared" si="6"/>
        <v>1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0.39</v>
      </c>
      <c r="F31" s="20">
        <f t="shared" si="7"/>
        <v>0.39</v>
      </c>
      <c r="G31" s="21">
        <f t="shared" si="8"/>
        <v>4.3871511008623836E-4</v>
      </c>
      <c r="H31" s="25" t="s">
        <v>96</v>
      </c>
      <c r="I31" s="25"/>
      <c r="J31" s="23"/>
      <c r="K31" s="26"/>
      <c r="L31" s="27"/>
    </row>
    <row r="32" spans="1:12" ht="13.5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44</v>
      </c>
      <c r="B34" s="14" t="s">
        <v>52</v>
      </c>
      <c r="C34" s="14" t="s">
        <v>44</v>
      </c>
      <c r="D34" s="15" t="s">
        <v>46</v>
      </c>
      <c r="E34" s="15" t="s">
        <v>47</v>
      </c>
      <c r="F34" s="15" t="s">
        <v>48</v>
      </c>
      <c r="G34" s="15" t="s">
        <v>49</v>
      </c>
      <c r="H34" s="16" t="s">
        <v>50</v>
      </c>
      <c r="I34" s="25"/>
      <c r="J34" s="23"/>
    </row>
    <row r="35" spans="1:13" ht="13.5" x14ac:dyDescent="0.25">
      <c r="A35" s="18">
        <f>+A17</f>
        <v>6</v>
      </c>
      <c r="B35" s="24" t="str">
        <f>IFERROR(VLOOKUP(H35,[1]SEMIELABORADOS!$A$2:$M$6000,2,0),"")</f>
        <v>EMPANADA TRES QUESOS (UND)</v>
      </c>
      <c r="C35" s="19">
        <f>+A35</f>
        <v>6</v>
      </c>
      <c r="D35" s="20" t="str">
        <f>IFERROR(VLOOKUP(H35,[1]SEMIELABORADOS!$A$2:$M$6000,6,0),"")</f>
        <v>Und</v>
      </c>
      <c r="E35" s="20">
        <f>IFERROR(VLOOKUP(H35,[1]SEMIELABORADOS!$A$2:$M$65536,10,0),"")</f>
        <v>0.24103637556566809</v>
      </c>
      <c r="F35" s="20">
        <f>IFERROR(E35*C35,"")</f>
        <v>1.4462182533940084</v>
      </c>
      <c r="G35" s="21">
        <f>IFERROR(F35/$F$66,"")</f>
        <v>1.6268661544781532E-3</v>
      </c>
      <c r="H35" s="25" t="s">
        <v>87</v>
      </c>
      <c r="I35" s="25"/>
      <c r="J35" s="23"/>
    </row>
    <row r="36" spans="1:13" ht="13.5" hidden="1" x14ac:dyDescent="0.25">
      <c r="A36" s="18">
        <f t="shared" ref="A36:A41" si="9">+A18</f>
        <v>0</v>
      </c>
      <c r="B36" s="24" t="str">
        <f>IFERROR(VLOOKUP(H36,[1]SEMIELABORADOS!$A$2:$M$6000,2,0),"")</f>
        <v/>
      </c>
      <c r="C36" s="19">
        <f t="shared" ref="C36:C41" si="10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1">IFERROR(E36*C36,"")</f>
        <v/>
      </c>
      <c r="G36" s="21" t="str">
        <f t="shared" ref="G36:G41" si="12">IFERROR(F36/$F$66,"")</f>
        <v/>
      </c>
      <c r="H36" s="25"/>
      <c r="I36" s="25"/>
      <c r="J36" s="23"/>
    </row>
    <row r="37" spans="1:13" ht="13.5" hidden="1" x14ac:dyDescent="0.25">
      <c r="A37" s="18">
        <f t="shared" si="9"/>
        <v>0</v>
      </c>
      <c r="B37" s="24" t="str">
        <f>IFERROR(VLOOKUP(H37,[1]SEMIELABORADOS!$A$2:$M$6000,2,0),"")</f>
        <v/>
      </c>
      <c r="C37" s="19">
        <f t="shared" si="10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1"/>
        <v/>
      </c>
      <c r="G37" s="21" t="str">
        <f t="shared" si="12"/>
        <v/>
      </c>
      <c r="H37" s="25"/>
      <c r="I37" s="25"/>
      <c r="J37" s="23"/>
    </row>
    <row r="38" spans="1:13" ht="13.5" hidden="1" x14ac:dyDescent="0.25">
      <c r="A38" s="18">
        <f t="shared" si="9"/>
        <v>0</v>
      </c>
      <c r="B38" s="24" t="str">
        <f>IFERROR(VLOOKUP(H38,[1]SEMIELABORADOS!$A$2:$M$6000,2,0),"")</f>
        <v/>
      </c>
      <c r="C38" s="19">
        <f t="shared" si="10"/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 t="shared" si="11"/>
        <v/>
      </c>
      <c r="G38" s="21" t="str">
        <f t="shared" si="12"/>
        <v/>
      </c>
      <c r="H38" s="25"/>
      <c r="I38" s="25"/>
      <c r="J38" s="23"/>
    </row>
    <row r="39" spans="1:13" ht="13.5" hidden="1" x14ac:dyDescent="0.25">
      <c r="A39" s="18">
        <f t="shared" si="9"/>
        <v>0</v>
      </c>
      <c r="B39" s="24" t="str">
        <f>IFERROR(VLOOKUP(H39,[1]SEMIELABORADOS!$A$2:$M$6000,2,0),"")</f>
        <v/>
      </c>
      <c r="C39" s="19">
        <f t="shared" si="10"/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 t="shared" si="11"/>
        <v/>
      </c>
      <c r="G39" s="21" t="str">
        <f t="shared" si="12"/>
        <v/>
      </c>
      <c r="H39" s="25"/>
      <c r="I39" s="25"/>
      <c r="J39" s="23"/>
    </row>
    <row r="40" spans="1:13" ht="13.5" hidden="1" x14ac:dyDescent="0.25">
      <c r="A40" s="18">
        <f t="shared" si="9"/>
        <v>0</v>
      </c>
      <c r="B40" s="24" t="str">
        <f>IFERROR(VLOOKUP(H40,[1]SEMIELABORADOS!$A$2:$M$6000,2,0),"")</f>
        <v/>
      </c>
      <c r="C40" s="19">
        <f t="shared" si="10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1"/>
        <v/>
      </c>
      <c r="G40" s="21" t="str">
        <f t="shared" si="12"/>
        <v/>
      </c>
      <c r="H40" s="25"/>
      <c r="I40" s="25"/>
      <c r="J40" s="23"/>
    </row>
    <row r="41" spans="1:13" ht="13.5" hidden="1" x14ac:dyDescent="0.25">
      <c r="A41" s="18">
        <f t="shared" si="9"/>
        <v>0</v>
      </c>
      <c r="B41" s="24" t="str">
        <f>IFERROR(VLOOKUP(H41,[1]SEMIELABORADOS!$A$2:$M$6000,2,0),"")</f>
        <v/>
      </c>
      <c r="C41" s="19">
        <f t="shared" si="10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1"/>
        <v/>
      </c>
      <c r="G41" s="21" t="str">
        <f t="shared" si="12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25">
      <c r="A43" s="13" t="s">
        <v>44</v>
      </c>
      <c r="B43" s="14" t="s">
        <v>53</v>
      </c>
      <c r="C43" s="14" t="s">
        <v>44</v>
      </c>
      <c r="D43" s="15" t="s">
        <v>46</v>
      </c>
      <c r="E43" s="15" t="s">
        <v>47</v>
      </c>
      <c r="F43" s="15" t="s">
        <v>48</v>
      </c>
      <c r="G43" s="15" t="s">
        <v>49</v>
      </c>
      <c r="H43" s="16" t="s">
        <v>50</v>
      </c>
      <c r="I43" s="17"/>
      <c r="J43" s="23"/>
    </row>
    <row r="44" spans="1:13" ht="13.5" x14ac:dyDescent="0.25">
      <c r="A44" s="18">
        <f>+A35</f>
        <v>6</v>
      </c>
      <c r="B44" s="24" t="str">
        <f>IFERROR(VLOOKUP(H44,[1]SEMIELABORADOS!$A$2:$M$6000,2,0),"")</f>
        <v>EMPANADA TRES QUESOS (UND)</v>
      </c>
      <c r="C44" s="19">
        <f>+A44</f>
        <v>6</v>
      </c>
      <c r="D44" s="20" t="str">
        <f>IFERROR(VLOOKUP(H44,[1]SEMIELABORADOS!$A$2:$M$6000,6,0),"")</f>
        <v>Und</v>
      </c>
      <c r="E44" s="20">
        <f>IFERROR(VLOOKUP(H44,[1]SEMIELABORADOS!$A$2:$M$65536,12,0),"")</f>
        <v>17.463884096616045</v>
      </c>
      <c r="F44" s="20">
        <f>IFERROR(E44*C44,"")</f>
        <v>104.78330457969628</v>
      </c>
      <c r="G44" s="21">
        <f>IFERROR(F44/$F$66,"")</f>
        <v>0.11787184359969563</v>
      </c>
      <c r="H44" s="25" t="s">
        <v>87</v>
      </c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5"/>
      <c r="I50" s="17"/>
      <c r="J50" s="23"/>
    </row>
    <row r="51" spans="1:17" ht="13.5" x14ac:dyDescent="0.25">
      <c r="A51" s="18">
        <v>1</v>
      </c>
      <c r="B51" s="24" t="s">
        <v>54</v>
      </c>
      <c r="C51" s="19">
        <f>+A51</f>
        <v>1</v>
      </c>
      <c r="D51" s="19" t="s">
        <v>55</v>
      </c>
      <c r="E51" s="20">
        <f>+F65</f>
        <v>82.5</v>
      </c>
      <c r="F51" s="20">
        <f>IFERROR(C51*E51,"")</f>
        <v>82.5</v>
      </c>
      <c r="G51" s="21">
        <f>IFERROR(F51/$F$66,"")</f>
        <v>9.2805119441319653E-2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25">
      <c r="A53" s="30"/>
      <c r="B53" s="196" t="s">
        <v>56</v>
      </c>
      <c r="C53" s="196"/>
      <c r="D53" s="196"/>
      <c r="E53" s="196"/>
      <c r="F53" s="31">
        <f>SUM(F8:F14,F17:F24)</f>
        <v>756.4836879825865</v>
      </c>
      <c r="G53" s="21">
        <f>+F53/$F$66</f>
        <v>0.8509764729531385</v>
      </c>
      <c r="H53" s="32">
        <f>+F53/$D$60</f>
        <v>126.08061466376442</v>
      </c>
      <c r="I53" s="32"/>
      <c r="J53" s="33"/>
      <c r="K53" s="34"/>
      <c r="L53" s="34"/>
      <c r="M53" s="34"/>
      <c r="N53" s="34"/>
      <c r="O53" s="34"/>
      <c r="P53" s="34"/>
      <c r="Q53" s="35"/>
    </row>
    <row r="54" spans="1:17" x14ac:dyDescent="0.2">
      <c r="A54" s="30"/>
      <c r="B54" s="196" t="s">
        <v>57</v>
      </c>
      <c r="C54" s="196"/>
      <c r="D54" s="196"/>
      <c r="E54" s="196"/>
      <c r="F54" s="31">
        <f>SUM(F27:F32,F35:F41)</f>
        <v>34.846218253394007</v>
      </c>
      <c r="G54" s="21">
        <f>+F54/$F$66</f>
        <v>3.9198878146479078E-2</v>
      </c>
      <c r="H54" s="32">
        <f>+F54/$D$60</f>
        <v>5.8077030422323341</v>
      </c>
      <c r="I54" s="32"/>
      <c r="J54" s="36"/>
      <c r="K54" s="197" t="s">
        <v>58</v>
      </c>
      <c r="L54" s="198"/>
      <c r="M54" s="198"/>
      <c r="N54" s="198"/>
      <c r="O54" s="37">
        <f>+F55</f>
        <v>791.3299062359805</v>
      </c>
      <c r="P54" s="37"/>
      <c r="Q54" s="38"/>
    </row>
    <row r="55" spans="1:17" x14ac:dyDescent="0.2">
      <c r="A55" s="30"/>
      <c r="B55" s="196" t="s">
        <v>59</v>
      </c>
      <c r="C55" s="196"/>
      <c r="D55" s="196"/>
      <c r="E55" s="196"/>
      <c r="F55" s="31">
        <f>+F53+F54</f>
        <v>791.3299062359805</v>
      </c>
      <c r="G55" s="21">
        <f>+F55/$F$66</f>
        <v>0.89017535109961754</v>
      </c>
      <c r="H55" s="32">
        <f>+F55/$D$60</f>
        <v>131.88831770599674</v>
      </c>
      <c r="I55" s="32"/>
      <c r="J55" s="39"/>
      <c r="K55" s="40"/>
      <c r="L55" s="41" t="s">
        <v>60</v>
      </c>
      <c r="M55" s="41"/>
      <c r="N55" s="42">
        <v>0.22</v>
      </c>
      <c r="O55" s="37">
        <f>+O54*N55</f>
        <v>174.09257937191572</v>
      </c>
      <c r="P55" s="37"/>
      <c r="Q55" s="38"/>
    </row>
    <row r="56" spans="1:17" ht="13.5" thickBot="1" x14ac:dyDescent="0.25">
      <c r="A56" s="30"/>
      <c r="B56" s="43"/>
      <c r="C56" s="196" t="s">
        <v>61</v>
      </c>
      <c r="D56" s="196"/>
      <c r="E56" s="196"/>
      <c r="F56" s="31">
        <f>SUM(F44:F51)</f>
        <v>187.28330457969628</v>
      </c>
      <c r="G56" s="21">
        <f>+F56/$F$66</f>
        <v>0.21067696304101527</v>
      </c>
      <c r="H56" s="32">
        <f>+F56/$D$60</f>
        <v>31.213884096616045</v>
      </c>
      <c r="I56" s="32"/>
      <c r="J56" s="39"/>
      <c r="K56" s="40"/>
      <c r="L56" s="40"/>
      <c r="M56" s="40" t="s">
        <v>62</v>
      </c>
      <c r="N56" s="44"/>
      <c r="O56" s="37">
        <f>O54*N56</f>
        <v>0</v>
      </c>
      <c r="P56" s="37"/>
      <c r="Q56" s="38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2"/>
      <c r="J57" s="39"/>
      <c r="K57" s="48"/>
      <c r="M57" s="49" t="s">
        <v>63</v>
      </c>
      <c r="N57" s="50"/>
      <c r="O57" s="51">
        <f>SUM(O54:O56)</f>
        <v>965.42248560789619</v>
      </c>
      <c r="P57" s="52"/>
      <c r="Q57" s="38"/>
    </row>
    <row r="58" spans="1:17" x14ac:dyDescent="0.2">
      <c r="B58" s="199" t="s">
        <v>64</v>
      </c>
      <c r="C58" s="199"/>
      <c r="D58" s="53">
        <v>252</v>
      </c>
      <c r="E58" s="54"/>
      <c r="G58" s="21"/>
      <c r="H58" s="47"/>
      <c r="I58" s="55"/>
      <c r="J58" s="39"/>
      <c r="K58" s="48"/>
      <c r="L58" s="40"/>
      <c r="M58" s="40" t="s">
        <v>65</v>
      </c>
      <c r="N58" s="56">
        <v>0.2</v>
      </c>
      <c r="O58" s="37">
        <f>+O54*N58</f>
        <v>158.26598124719612</v>
      </c>
      <c r="P58" s="37"/>
      <c r="Q58" s="38"/>
    </row>
    <row r="59" spans="1:17" x14ac:dyDescent="0.2">
      <c r="B59" s="199" t="s">
        <v>66</v>
      </c>
      <c r="C59" s="199"/>
      <c r="D59" s="57">
        <v>42</v>
      </c>
      <c r="E59" s="54"/>
      <c r="G59" s="21"/>
      <c r="H59" s="47"/>
      <c r="I59" s="55"/>
      <c r="J59" s="39"/>
      <c r="K59" s="48"/>
      <c r="L59" s="40"/>
      <c r="M59" s="200" t="s">
        <v>63</v>
      </c>
      <c r="N59" s="200"/>
      <c r="O59" s="37">
        <f>SUM(O57:O58)</f>
        <v>1123.6884668550924</v>
      </c>
      <c r="P59" s="37"/>
      <c r="Q59" s="38"/>
    </row>
    <row r="60" spans="1:17" ht="13.5" thickBot="1" x14ac:dyDescent="0.25">
      <c r="B60" s="192" t="s">
        <v>67</v>
      </c>
      <c r="C60" s="192"/>
      <c r="D60" s="53">
        <f>+D58/D59</f>
        <v>6</v>
      </c>
      <c r="E60" s="54"/>
      <c r="F60" s="58"/>
      <c r="G60" s="21"/>
      <c r="H60" s="47"/>
      <c r="I60" s="55"/>
      <c r="J60" s="39"/>
      <c r="K60" s="48"/>
      <c r="L60" s="200"/>
      <c r="M60" s="200"/>
      <c r="N60" s="56"/>
      <c r="O60" s="37">
        <f>+O59*N60</f>
        <v>0</v>
      </c>
      <c r="P60" s="37"/>
      <c r="Q60" s="38"/>
    </row>
    <row r="61" spans="1:17" ht="13.5" thickBot="1" x14ac:dyDescent="0.25">
      <c r="B61" s="192" t="s">
        <v>68</v>
      </c>
      <c r="C61" s="192"/>
      <c r="D61" s="59"/>
      <c r="E61" s="54"/>
      <c r="F61" s="58"/>
      <c r="G61" s="21"/>
      <c r="H61" s="47"/>
      <c r="I61" s="55"/>
      <c r="J61" s="39"/>
      <c r="K61" s="193" t="s">
        <v>69</v>
      </c>
      <c r="L61" s="194"/>
      <c r="M61" s="194"/>
      <c r="N61" s="195"/>
      <c r="O61" s="51">
        <f>SUM(O59:O60)</f>
        <v>1123.6884668550924</v>
      </c>
      <c r="P61" s="60" t="s">
        <v>70</v>
      </c>
      <c r="Q61" s="38"/>
    </row>
    <row r="62" spans="1:17" ht="13.5" thickBot="1" x14ac:dyDescent="0.25">
      <c r="C62" s="30" t="s">
        <v>71</v>
      </c>
      <c r="D62" s="61"/>
      <c r="E62" s="4" t="s">
        <v>72</v>
      </c>
      <c r="F62" s="62" t="s">
        <v>73</v>
      </c>
      <c r="G62" s="21"/>
      <c r="H62" s="47"/>
      <c r="I62" s="55"/>
      <c r="J62" s="63"/>
      <c r="K62" s="64"/>
      <c r="L62" s="206" t="s">
        <v>74</v>
      </c>
      <c r="M62" s="206"/>
      <c r="N62" s="206"/>
      <c r="O62" s="65">
        <f>+O61/D60</f>
        <v>187.2814111425154</v>
      </c>
      <c r="P62" s="66">
        <f>+O62/D59</f>
        <v>4.4590812176789383</v>
      </c>
      <c r="Q62" s="67"/>
    </row>
    <row r="63" spans="1:17" ht="13.5" thickBot="1" x14ac:dyDescent="0.25">
      <c r="B63" s="207" t="s">
        <v>59</v>
      </c>
      <c r="C63" s="207"/>
      <c r="D63" s="207"/>
      <c r="E63" s="68">
        <f>+F63/F63</f>
        <v>1</v>
      </c>
      <c r="F63" s="69">
        <f>SUM(F55)</f>
        <v>791.3299062359805</v>
      </c>
      <c r="G63" s="21">
        <f>+F63/$F$66</f>
        <v>0.89017535109961754</v>
      </c>
      <c r="H63" s="47"/>
      <c r="I63" s="55"/>
      <c r="K63" s="208"/>
      <c r="L63" s="209"/>
      <c r="M63" s="209"/>
      <c r="N63" s="209"/>
      <c r="O63" s="70"/>
      <c r="P63" s="71"/>
    </row>
    <row r="64" spans="1:17" ht="13.5" thickBot="1" x14ac:dyDescent="0.25">
      <c r="B64" s="210" t="s">
        <v>75</v>
      </c>
      <c r="C64" s="210"/>
      <c r="D64" s="210"/>
      <c r="E64" s="72">
        <v>0.02</v>
      </c>
      <c r="F64" s="69">
        <f>+F53*E64</f>
        <v>15.12967375965173</v>
      </c>
      <c r="G64" s="21">
        <f>+F64/$F$66</f>
        <v>1.7019529459062769E-2</v>
      </c>
      <c r="H64" s="32"/>
      <c r="I64" s="55"/>
      <c r="J64" s="73"/>
      <c r="O64" s="74"/>
      <c r="P64" s="43"/>
    </row>
    <row r="65" spans="2:10" ht="13.5" thickBot="1" x14ac:dyDescent="0.25">
      <c r="B65" s="211" t="s">
        <v>76</v>
      </c>
      <c r="C65" s="212"/>
      <c r="D65" s="75">
        <v>1.5</v>
      </c>
      <c r="E65" s="76">
        <v>55</v>
      </c>
      <c r="F65" s="69">
        <f>+E65*D65</f>
        <v>82.5</v>
      </c>
      <c r="G65" s="21">
        <f>+F65/$F$66</f>
        <v>9.2805119441319653E-2</v>
      </c>
      <c r="H65" s="32"/>
      <c r="I65" s="32"/>
      <c r="J65" s="23"/>
    </row>
    <row r="66" spans="2:10" ht="13.5" thickBot="1" x14ac:dyDescent="0.25">
      <c r="B66" s="213" t="s">
        <v>77</v>
      </c>
      <c r="C66" s="214"/>
      <c r="D66" s="214"/>
      <c r="E66" s="215"/>
      <c r="F66" s="46">
        <f>SUM(F63:F65)</f>
        <v>888.95957999563223</v>
      </c>
      <c r="G66" s="21">
        <f>+F66/$F$66</f>
        <v>1</v>
      </c>
      <c r="H66" s="216"/>
      <c r="I66" s="32"/>
      <c r="J66" s="23"/>
    </row>
    <row r="67" spans="2:10" x14ac:dyDescent="0.2">
      <c r="C67" s="28"/>
      <c r="D67" s="28"/>
      <c r="E67" s="77"/>
      <c r="F67" s="69"/>
      <c r="G67" s="21"/>
      <c r="H67" s="216"/>
      <c r="I67" s="78"/>
      <c r="J67" s="6"/>
    </row>
    <row r="68" spans="2:10" ht="13.5" thickBot="1" x14ac:dyDescent="0.25">
      <c r="B68" s="201" t="s">
        <v>78</v>
      </c>
      <c r="C68" s="201"/>
      <c r="D68" s="201"/>
      <c r="E68" s="201"/>
      <c r="F68" s="201"/>
      <c r="G68" s="21"/>
      <c r="H68" s="79"/>
      <c r="I68" s="78"/>
      <c r="J68" s="6"/>
    </row>
    <row r="69" spans="2:10" ht="13.5" thickBot="1" x14ac:dyDescent="0.25">
      <c r="B69" s="80" t="s">
        <v>79</v>
      </c>
      <c r="C69" s="81">
        <f>+F53</f>
        <v>756.4836879825865</v>
      </c>
      <c r="D69" s="81">
        <f>+D58</f>
        <v>252</v>
      </c>
      <c r="E69" s="82">
        <f>+C69/D69</f>
        <v>3.0019193967562958</v>
      </c>
      <c r="F69" s="21"/>
      <c r="G69" s="79"/>
      <c r="H69" s="23"/>
      <c r="I69" s="79"/>
      <c r="J69" s="6"/>
    </row>
    <row r="70" spans="2:10" x14ac:dyDescent="0.2">
      <c r="B70" s="83"/>
      <c r="C70" s="84"/>
      <c r="D70" s="85"/>
      <c r="E70" s="69"/>
      <c r="F70" s="21"/>
      <c r="G70" s="79"/>
      <c r="H70" s="23"/>
      <c r="I70" s="23"/>
      <c r="J70" s="6"/>
    </row>
    <row r="71" spans="2:10" x14ac:dyDescent="0.2">
      <c r="B71" s="80" t="s">
        <v>80</v>
      </c>
      <c r="C71" s="81">
        <f>SUM(F63:F64)</f>
        <v>806.45957999563223</v>
      </c>
      <c r="D71" s="81">
        <f>+D58</f>
        <v>252</v>
      </c>
      <c r="E71" s="86">
        <f>+C71/D71</f>
        <v>3.2002364285540961</v>
      </c>
      <c r="F71" s="21"/>
      <c r="G71" s="79"/>
      <c r="H71" s="23"/>
      <c r="I71" s="23"/>
      <c r="J71" s="6"/>
    </row>
    <row r="72" spans="2:10" x14ac:dyDescent="0.2">
      <c r="B72" s="80"/>
      <c r="C72" s="81"/>
      <c r="D72" s="81"/>
      <c r="E72" s="86"/>
      <c r="F72" s="21"/>
      <c r="G72" s="79"/>
      <c r="H72" s="23"/>
      <c r="I72" s="23"/>
      <c r="J72" s="6"/>
    </row>
    <row r="73" spans="2:10" ht="13.5" thickBot="1" x14ac:dyDescent="0.25">
      <c r="B73" s="80" t="s">
        <v>81</v>
      </c>
      <c r="C73" s="81">
        <f>+F65</f>
        <v>82.5</v>
      </c>
      <c r="D73" s="81">
        <f>+D58</f>
        <v>252</v>
      </c>
      <c r="E73" s="86">
        <f>+C73/D73</f>
        <v>0.32738095238095238</v>
      </c>
      <c r="F73" s="21"/>
      <c r="G73" s="79"/>
      <c r="H73" s="23"/>
      <c r="I73" s="23"/>
      <c r="J73" s="6"/>
    </row>
    <row r="74" spans="2:10" ht="13.5" thickBot="1" x14ac:dyDescent="0.25">
      <c r="B74" s="80" t="s">
        <v>82</v>
      </c>
      <c r="C74" s="81">
        <f>+F56</f>
        <v>187.28330457969628</v>
      </c>
      <c r="D74" s="81">
        <f>+D73</f>
        <v>252</v>
      </c>
      <c r="E74" s="82">
        <f>+C74/D74</f>
        <v>0.74318771658609639</v>
      </c>
      <c r="F74" s="21"/>
      <c r="G74" s="79"/>
      <c r="H74" s="23"/>
      <c r="I74" s="23"/>
      <c r="J74" s="6"/>
    </row>
    <row r="75" spans="2:10" ht="13.5" thickBot="1" x14ac:dyDescent="0.25">
      <c r="B75" s="45"/>
      <c r="C75" s="46"/>
      <c r="D75" s="46"/>
      <c r="E75" s="86"/>
      <c r="F75" s="21"/>
      <c r="G75" s="79"/>
      <c r="H75" s="23"/>
      <c r="I75" s="23"/>
      <c r="J75" s="6"/>
    </row>
    <row r="76" spans="2:10" ht="13.5" thickBot="1" x14ac:dyDescent="0.25">
      <c r="B76" s="80" t="s">
        <v>83</v>
      </c>
      <c r="C76" s="81">
        <f>+F54</f>
        <v>34.846218253394007</v>
      </c>
      <c r="D76" s="81">
        <f>+D74</f>
        <v>252</v>
      </c>
      <c r="E76" s="82">
        <f>+C76/D76</f>
        <v>0.13827864386267463</v>
      </c>
      <c r="F76" s="21"/>
      <c r="G76" s="79"/>
      <c r="H76" s="23"/>
      <c r="I76" s="23"/>
      <c r="J76" s="23"/>
    </row>
    <row r="77" spans="2:10" ht="13.5" thickBot="1" x14ac:dyDescent="0.25">
      <c r="B77" s="45"/>
      <c r="C77" s="46"/>
      <c r="D77" s="46"/>
      <c r="E77" s="86"/>
      <c r="F77" s="21"/>
      <c r="G77" s="79"/>
      <c r="H77" s="23"/>
      <c r="I77" s="23"/>
    </row>
    <row r="78" spans="2:10" ht="13.5" thickBot="1" x14ac:dyDescent="0.25">
      <c r="B78" s="202" t="s">
        <v>84</v>
      </c>
      <c r="C78" s="203"/>
      <c r="D78" s="204"/>
      <c r="E78" s="82">
        <f>+E69+E74</f>
        <v>3.7451071133423923</v>
      </c>
      <c r="G78" s="21"/>
      <c r="H78" s="79"/>
      <c r="I78" s="23"/>
      <c r="J78" s="86"/>
    </row>
    <row r="79" spans="2:10" x14ac:dyDescent="0.2">
      <c r="I79" s="79"/>
      <c r="J79" s="6"/>
    </row>
    <row r="80" spans="2:10" ht="13.5" thickBot="1" x14ac:dyDescent="0.25">
      <c r="B80" s="201" t="s">
        <v>85</v>
      </c>
      <c r="C80" s="201"/>
      <c r="D80" s="201"/>
      <c r="E80" s="201"/>
      <c r="F80" s="201"/>
      <c r="G80" s="21"/>
      <c r="H80" s="79"/>
      <c r="J80" s="6"/>
    </row>
    <row r="81" spans="1:10" ht="13.5" thickBot="1" x14ac:dyDescent="0.25">
      <c r="B81" s="80" t="s">
        <v>79</v>
      </c>
      <c r="C81" s="81">
        <f>+C69</f>
        <v>756.4836879825865</v>
      </c>
      <c r="D81" s="81">
        <f>+D60</f>
        <v>6</v>
      </c>
      <c r="E81" s="82">
        <f>+C81/D81</f>
        <v>126.08061466376442</v>
      </c>
      <c r="F81" s="21"/>
      <c r="G81" s="79"/>
      <c r="H81" s="23"/>
      <c r="I81" s="79"/>
      <c r="J81" s="6"/>
    </row>
    <row r="82" spans="1:10" x14ac:dyDescent="0.2">
      <c r="B82" s="83"/>
      <c r="C82" s="84"/>
      <c r="D82" s="85"/>
      <c r="E82" s="69"/>
      <c r="F82" s="21"/>
      <c r="G82" s="79"/>
      <c r="H82" s="23"/>
      <c r="I82" s="23"/>
      <c r="J82" s="6"/>
    </row>
    <row r="83" spans="1:10" x14ac:dyDescent="0.2">
      <c r="B83" s="80" t="s">
        <v>80</v>
      </c>
      <c r="C83" s="81">
        <f>+C71</f>
        <v>806.45957999563223</v>
      </c>
      <c r="D83" s="81">
        <f>+D60</f>
        <v>6</v>
      </c>
      <c r="E83" s="86">
        <f>+C83/D83</f>
        <v>134.40992999927204</v>
      </c>
      <c r="F83" s="21"/>
      <c r="G83" s="79"/>
      <c r="H83" s="23"/>
      <c r="I83" s="23"/>
      <c r="J83" s="6"/>
    </row>
    <row r="84" spans="1:10" x14ac:dyDescent="0.2">
      <c r="B84" s="80"/>
      <c r="C84" s="81"/>
      <c r="D84" s="81"/>
      <c r="E84" s="86"/>
      <c r="F84" s="21"/>
      <c r="G84" s="79"/>
      <c r="H84" s="23"/>
      <c r="I84" s="23"/>
      <c r="J84" s="6"/>
    </row>
    <row r="85" spans="1:10" ht="13.5" thickBot="1" x14ac:dyDescent="0.25">
      <c r="B85" s="80" t="s">
        <v>82</v>
      </c>
      <c r="C85" s="81">
        <f>+C73</f>
        <v>82.5</v>
      </c>
      <c r="D85" s="81">
        <f>+D60</f>
        <v>6</v>
      </c>
      <c r="E85" s="86">
        <f>+C85/D85</f>
        <v>13.75</v>
      </c>
      <c r="F85" s="89"/>
      <c r="G85" s="88"/>
      <c r="H85" s="5"/>
      <c r="I85" s="23"/>
    </row>
    <row r="86" spans="1:10" ht="13.5" thickBot="1" x14ac:dyDescent="0.25">
      <c r="B86" s="80" t="s">
        <v>82</v>
      </c>
      <c r="C86" s="81">
        <f>+C74</f>
        <v>187.28330457969628</v>
      </c>
      <c r="D86" s="81">
        <f>+D85</f>
        <v>6</v>
      </c>
      <c r="E86" s="82">
        <f>+C86/D86</f>
        <v>31.213884096616045</v>
      </c>
      <c r="F86" s="87"/>
      <c r="G86" s="88"/>
      <c r="H86" s="5"/>
      <c r="I86" s="5"/>
    </row>
    <row r="87" spans="1:10" x14ac:dyDescent="0.2">
      <c r="I87" s="5"/>
    </row>
    <row r="88" spans="1:10" x14ac:dyDescent="0.2">
      <c r="A88" s="205"/>
      <c r="B88" s="205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634C-70B1-46B4-977C-1162D213A1C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C5C8875-6266-4BC7-AE2D-F264396219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4D4FB-3CE4-4F2C-9DEB-169012FA7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COSTO EMPANADA </vt:lpstr>
      <vt:lpstr>Hoja1</vt:lpstr>
      <vt:lpstr>Hoja2</vt:lpstr>
      <vt:lpstr>Hoja3</vt:lpstr>
      <vt:lpstr>COSTO EMPAQUE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Allan Brenes</cp:lastModifiedBy>
  <cp:lastPrinted>2025-03-28T22:03:01Z</cp:lastPrinted>
  <dcterms:created xsi:type="dcterms:W3CDTF">2015-05-29T17:39:21Z</dcterms:created>
  <dcterms:modified xsi:type="dcterms:W3CDTF">2025-05-12T15:16:16Z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312600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
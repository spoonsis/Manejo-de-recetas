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1" documentId="8_{18F59C74-9954-439C-87DB-BCD0E6B7B20C}" xr6:coauthVersionLast="47" xr6:coauthVersionMax="47" xr10:uidLastSave="{8B284567-C754-475A-BF67-34FB7D2D0877}"/>
  <bookViews>
    <workbookView xWindow="-120" yWindow="-120" windowWidth="29040" windowHeight="15840" xr2:uid="{45632599-96F6-4072-AD5A-6B445C401C76}"/>
  </bookViews>
  <sheets>
    <sheet name="Hoja1" sheetId="8" r:id="rId1"/>
  </sheets>
  <definedNames>
    <definedName name="_xlnm.Print_Area" localSheetId="0">Hoja1!$A$1:$I$58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8" l="1"/>
  <c r="E11" i="8"/>
  <c r="E10" i="8"/>
</calcChain>
</file>

<file path=xl/sharedStrings.xml><?xml version="1.0" encoding="utf-8"?>
<sst xmlns="http://schemas.openxmlformats.org/spreadsheetml/2006/main" count="68" uniqueCount="60">
  <si>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</si>
  <si>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</si>
  <si>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</si>
  <si>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</si>
  <si>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</si>
  <si>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</si>
  <si>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</si>
  <si>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</si>
  <si>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</si>
  <si>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</si>
  <si>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</si>
  <si>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</si>
  <si>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</si>
  <si>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</si>
  <si>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</si>
  <si>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</si>
  <si>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</si>
  <si>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</si>
  <si>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</si>
  <si>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</si>
  <si>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</si>
  <si>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</si>
  <si>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</si>
  <si>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</si>
  <si>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</si>
  <si>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</si>
  <si>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</si>
  <si>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</si>
  <si>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Minutos</t>
  </si>
  <si>
    <t>SIROPE KOLITA</t>
  </si>
  <si>
    <t>Tanda</t>
  </si>
  <si>
    <t>10200001</t>
  </si>
  <si>
    <t>MUNDIAL</t>
  </si>
  <si>
    <t>95717</t>
  </si>
  <si>
    <t>CREMA CHANTILLY BLANCA SPOON-IND KILO</t>
  </si>
  <si>
    <t>FAS</t>
  </si>
  <si>
    <t>10400011</t>
  </si>
  <si>
    <t>COLORANTE ARTIFICIAL ROSADO F225 (LITRO)</t>
  </si>
  <si>
    <t>Azteck</t>
  </si>
  <si>
    <t>CONTROL DE CAMBIOS</t>
  </si>
  <si>
    <t>SE00010</t>
  </si>
  <si>
    <t>MP10359</t>
  </si>
  <si>
    <t>MP10149</t>
  </si>
  <si>
    <t>Javier Tong, Chef</t>
  </si>
  <si>
    <t>Esteban Cartin, Gte Manufactura</t>
  </si>
  <si>
    <t>AREA QUE PRODUCE:</t>
  </si>
  <si>
    <t>Decoración</t>
  </si>
  <si>
    <t xml:space="preserve">AREA QUE EMPACA: </t>
  </si>
  <si>
    <t>Decoracion</t>
  </si>
  <si>
    <t># Código Netsuite</t>
  </si>
  <si>
    <t>Ensamble</t>
  </si>
  <si>
    <t>Empaque</t>
  </si>
  <si>
    <t>ESP-RE-DES-025</t>
  </si>
  <si>
    <t>2,Actualización tiempo de preparación y procedimiento</t>
  </si>
  <si>
    <t>1, Mezclar la crema chantilly blanca spoon ya montada (temperatura maxima 18°) con los colorantes, hatsa que quede homogeneo</t>
  </si>
  <si>
    <t xml:space="preserve">2.- Mantener en refrigeración hasta su uso. </t>
  </si>
  <si>
    <t>0.2</t>
  </si>
  <si>
    <t>3, Se actualiza datso receta y pesos finales</t>
  </si>
  <si>
    <t>03</t>
  </si>
  <si>
    <t xml:space="preserve"> Crema con Sirope Kolita(20800g) SE00251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</si>
</sst>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16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Calibri"/>
      <family val="2"/>
      <scheme val="minor"/>
    </font>
    <font>
      <sz val="12"/>
      <color indexed="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4" fillId="0" borderId="0"/>
    <xf numFmtId="0" fontId="2" fillId="0" borderId="0"/>
    <xf numFmtId="9" fontId="6" fillId="0" borderId="0" applyFont="0" applyFill="0" applyBorder="0" applyAlignment="0" applyProtection="0"/>
    <xf numFmtId="0" fontId="2" fillId="0" borderId="0"/>
  </cellStyleXfs>
  <cellXfs count="180">
    <xf numFmtId="0" fontId="0" fillId="0" borderId="0" xfId="0"/>
    <xf numFmtId="1" fontId="5" fillId="0" borderId="4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 wrapText="1"/>
    </xf>
    <xf numFmtId="16" fontId="5" fillId="0" borderId="17" xfId="0" applyNumberFormat="1" applyFont="1" applyBorder="1" applyAlignment="1">
      <alignment horizontal="center"/>
    </xf>
    <xf numFmtId="0" fontId="7" fillId="5" borderId="4" xfId="5" applyFont="1" applyFill="1" applyBorder="1" applyAlignment="1">
      <alignment horizontal="left"/>
    </xf>
    <xf numFmtId="0" fontId="8" fillId="5" borderId="4" xfId="5" applyFont="1" applyFill="1" applyBorder="1" applyAlignment="1">
      <alignment vertical="center"/>
    </xf>
    <xf numFmtId="0" fontId="5" fillId="5" borderId="4" xfId="0" applyFont="1" applyFill="1" applyBorder="1" applyAlignment="1">
      <alignment horizontal="center" wrapText="1"/>
    </xf>
    <xf numFmtId="1" fontId="5" fillId="0" borderId="4" xfId="5" applyNumberFormat="1" applyFont="1" applyBorder="1" applyAlignment="1">
      <alignment horizontal="center"/>
    </xf>
    <xf numFmtId="0" fontId="5" fillId="0" borderId="4" xfId="5" applyFont="1" applyBorder="1" applyAlignment="1">
      <alignment horizontal="center"/>
    </xf>
    <xf numFmtId="0" fontId="3" fillId="2" borderId="3" xfId="6" applyFont="1" applyFill="1" applyBorder="1" applyAlignment="1">
      <alignment horizontal="right"/>
    </xf>
    <xf numFmtId="0" fontId="9" fillId="2" borderId="1" xfId="6" applyFont="1" applyFill="1" applyBorder="1" applyAlignment="1">
      <alignment horizontal="center"/>
    </xf>
    <xf numFmtId="0" fontId="3" fillId="2" borderId="4" xfId="6" applyFont="1" applyFill="1" applyBorder="1" applyAlignment="1">
      <alignment horizontal="right"/>
    </xf>
    <xf numFmtId="49" fontId="9" fillId="2" borderId="12" xfId="6" applyNumberFormat="1" applyFont="1" applyFill="1" applyBorder="1" applyAlignment="1">
      <alignment horizontal="center"/>
    </xf>
    <xf numFmtId="0" fontId="9" fillId="2" borderId="5" xfId="6" applyFont="1" applyFill="1" applyBorder="1" applyAlignment="1">
      <alignment horizontal="right"/>
    </xf>
    <xf numFmtId="0" fontId="9" fillId="2" borderId="4" xfId="6" applyFont="1" applyFill="1" applyBorder="1" applyAlignment="1">
      <alignment horizontal="right"/>
    </xf>
    <xf numFmtId="14" fontId="11" fillId="2" borderId="0" xfId="8" applyNumberFormat="1" applyFont="1" applyFill="1" applyAlignment="1">
      <alignment horizontal="center" vertical="center" wrapText="1"/>
    </xf>
    <xf numFmtId="0" fontId="3" fillId="3" borderId="1" xfId="5" applyFont="1" applyFill="1" applyBorder="1" applyAlignment="1">
      <alignment horizontal="center" vertical="center" wrapText="1"/>
    </xf>
    <xf numFmtId="1" fontId="3" fillId="3" borderId="2" xfId="5" applyNumberFormat="1" applyFont="1" applyFill="1" applyBorder="1" applyAlignment="1">
      <alignment horizontal="center"/>
    </xf>
    <xf numFmtId="1" fontId="3" fillId="3" borderId="2" xfId="5" applyNumberFormat="1" applyFont="1" applyFill="1" applyBorder="1" applyAlignment="1">
      <alignment horizontal="center" wrapText="1"/>
    </xf>
    <xf numFmtId="0" fontId="3" fillId="3" borderId="42" xfId="5" applyFont="1" applyFill="1" applyBorder="1" applyAlignment="1">
      <alignment horizontal="center"/>
    </xf>
    <xf numFmtId="0" fontId="7" fillId="0" borderId="13" xfId="5" applyFont="1" applyBorder="1" applyAlignment="1">
      <alignment horizontal="center" vertical="center"/>
    </xf>
    <xf numFmtId="0" fontId="7" fillId="0" borderId="17" xfId="5" applyFont="1" applyBorder="1" applyAlignment="1">
      <alignment horizontal="center" vertical="center"/>
    </xf>
    <xf numFmtId="0" fontId="8" fillId="0" borderId="4" xfId="5" applyFont="1" applyBorder="1" applyAlignment="1">
      <alignment vertical="center"/>
    </xf>
    <xf numFmtId="0" fontId="7" fillId="0" borderId="4" xfId="5" applyFont="1" applyBorder="1" applyAlignment="1">
      <alignment horizontal="center" vertical="center"/>
    </xf>
    <xf numFmtId="1" fontId="7" fillId="0" borderId="4" xfId="5" applyNumberFormat="1" applyFont="1" applyBorder="1" applyAlignment="1">
      <alignment horizontal="center"/>
    </xf>
    <xf numFmtId="1" fontId="7" fillId="0" borderId="4" xfId="5" applyNumberFormat="1" applyFont="1" applyBorder="1" applyAlignment="1">
      <alignment horizontal="center" wrapText="1"/>
    </xf>
    <xf numFmtId="0" fontId="5" fillId="0" borderId="12" xfId="5" applyFont="1" applyBorder="1" applyAlignment="1">
      <alignment horizontal="center"/>
    </xf>
    <xf numFmtId="0" fontId="12" fillId="5" borderId="13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2" fillId="5" borderId="5" xfId="0" applyFont="1" applyFill="1" applyBorder="1"/>
    <xf numFmtId="0" fontId="9" fillId="5" borderId="17" xfId="0" applyFont="1" applyFill="1" applyBorder="1" applyAlignment="1">
      <alignment horizontal="center"/>
    </xf>
    <xf numFmtId="1" fontId="9" fillId="5" borderId="4" xfId="0" applyNumberFormat="1" applyFont="1" applyFill="1" applyBorder="1" applyAlignment="1">
      <alignment horizontal="center"/>
    </xf>
    <xf numFmtId="1" fontId="9" fillId="5" borderId="4" xfId="0" applyNumberFormat="1" applyFont="1" applyFill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12" fontId="9" fillId="0" borderId="5" xfId="0" applyNumberFormat="1" applyFont="1" applyBorder="1" applyAlignment="1">
      <alignment horizontal="center"/>
    </xf>
    <xf numFmtId="0" fontId="12" fillId="5" borderId="17" xfId="0" applyFont="1" applyFill="1" applyBorder="1" applyAlignment="1">
      <alignment horizontal="center"/>
    </xf>
    <xf numFmtId="0" fontId="12" fillId="5" borderId="4" xfId="0" applyFont="1" applyFill="1" applyBorder="1"/>
    <xf numFmtId="1" fontId="9" fillId="5" borderId="5" xfId="0" applyNumberFormat="1" applyFont="1" applyFill="1" applyBorder="1" applyAlignment="1">
      <alignment horizontal="center"/>
    </xf>
    <xf numFmtId="1" fontId="9" fillId="5" borderId="5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3" fillId="6" borderId="4" xfId="0" applyFont="1" applyFill="1" applyBorder="1"/>
    <xf numFmtId="0" fontId="9" fillId="0" borderId="4" xfId="0" applyFont="1" applyBorder="1" applyAlignment="1">
      <alignment horizontal="center" wrapText="1"/>
    </xf>
    <xf numFmtId="0" fontId="13" fillId="6" borderId="0" xfId="0" applyFont="1" applyFill="1" applyAlignment="1">
      <alignment horizontal="center"/>
    </xf>
    <xf numFmtId="0" fontId="13" fillId="6" borderId="0" xfId="0" applyFont="1" applyFill="1"/>
    <xf numFmtId="0" fontId="3" fillId="6" borderId="4" xfId="0" applyFont="1" applyFill="1" applyBorder="1" applyAlignment="1">
      <alignment horizontal="left"/>
    </xf>
    <xf numFmtId="0" fontId="9" fillId="0" borderId="5" xfId="0" applyFont="1" applyBorder="1" applyAlignment="1">
      <alignment horizontal="center"/>
    </xf>
    <xf numFmtId="0" fontId="13" fillId="6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49" fontId="5" fillId="0" borderId="13" xfId="5" applyNumberFormat="1" applyFont="1" applyBorder="1" applyAlignment="1">
      <alignment horizontal="center"/>
    </xf>
    <xf numFmtId="49" fontId="5" fillId="0" borderId="17" xfId="5" applyNumberFormat="1" applyFont="1" applyBorder="1" applyAlignment="1">
      <alignment horizontal="center"/>
    </xf>
    <xf numFmtId="167" fontId="5" fillId="0" borderId="4" xfId="5" applyNumberFormat="1" applyFont="1" applyBorder="1" applyAlignment="1">
      <alignment horizontal="center"/>
    </xf>
    <xf numFmtId="1" fontId="5" fillId="0" borderId="4" xfId="5" applyNumberFormat="1" applyFont="1" applyBorder="1" applyAlignment="1">
      <alignment horizontal="center" wrapText="1"/>
    </xf>
    <xf numFmtId="0" fontId="12" fillId="5" borderId="24" xfId="0" applyFont="1" applyFill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1" fontId="9" fillId="5" borderId="4" xfId="5" applyNumberFormat="1" applyFont="1" applyFill="1" applyBorder="1" applyAlignment="1">
      <alignment horizontal="center"/>
    </xf>
    <xf numFmtId="1" fontId="9" fillId="5" borderId="4" xfId="5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16" fontId="9" fillId="5" borderId="4" xfId="0" applyNumberFormat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1" fontId="9" fillId="0" borderId="5" xfId="0" applyNumberFormat="1" applyFont="1" applyBorder="1" applyAlignment="1">
      <alignment horizontal="center" wrapText="1"/>
    </xf>
    <xf numFmtId="16" fontId="9" fillId="0" borderId="4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 wrapText="1"/>
    </xf>
    <xf numFmtId="49" fontId="7" fillId="0" borderId="36" xfId="5" applyNumberFormat="1" applyFont="1" applyBorder="1" applyAlignment="1">
      <alignment horizontal="center"/>
    </xf>
    <xf numFmtId="49" fontId="7" fillId="0" borderId="30" xfId="5" applyNumberFormat="1" applyFont="1" applyBorder="1" applyAlignment="1">
      <alignment horizontal="center"/>
    </xf>
    <xf numFmtId="0" fontId="7" fillId="0" borderId="17" xfId="5" applyFont="1" applyBorder="1" applyAlignment="1">
      <alignment horizontal="center"/>
    </xf>
    <xf numFmtId="167" fontId="7" fillId="0" borderId="4" xfId="5" applyNumberFormat="1" applyFont="1" applyBorder="1" applyAlignment="1">
      <alignment horizontal="center"/>
    </xf>
    <xf numFmtId="49" fontId="5" fillId="0" borderId="4" xfId="5" applyNumberFormat="1" applyFont="1" applyBorder="1" applyAlignment="1">
      <alignment horizontal="center"/>
    </xf>
    <xf numFmtId="49" fontId="5" fillId="0" borderId="4" xfId="5" applyNumberFormat="1" applyFont="1" applyBorder="1"/>
    <xf numFmtId="16" fontId="5" fillId="0" borderId="4" xfId="5" applyNumberFormat="1" applyFont="1" applyBorder="1" applyAlignment="1">
      <alignment horizontal="center"/>
    </xf>
    <xf numFmtId="1" fontId="9" fillId="0" borderId="5" xfId="5" applyNumberFormat="1" applyFont="1" applyBorder="1" applyAlignment="1">
      <alignment horizontal="center"/>
    </xf>
    <xf numFmtId="0" fontId="9" fillId="0" borderId="5" xfId="5" applyFont="1" applyBorder="1" applyAlignment="1">
      <alignment horizontal="center"/>
    </xf>
    <xf numFmtId="168" fontId="3" fillId="5" borderId="4" xfId="1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1" fontId="2" fillId="0" borderId="4" xfId="0" applyNumberFormat="1" applyFont="1" applyBorder="1" applyAlignment="1">
      <alignment horizontal="left" vertical="center"/>
    </xf>
    <xf numFmtId="12" fontId="5" fillId="0" borderId="4" xfId="5" applyNumberFormat="1" applyFont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1" fontId="5" fillId="5" borderId="4" xfId="0" applyNumberFormat="1" applyFont="1" applyFill="1" applyBorder="1"/>
    <xf numFmtId="0" fontId="5" fillId="5" borderId="4" xfId="0" applyFont="1" applyFill="1" applyBorder="1" applyAlignment="1">
      <alignment horizontal="center"/>
    </xf>
    <xf numFmtId="49" fontId="15" fillId="2" borderId="6" xfId="5" applyNumberFormat="1" applyFont="1" applyFill="1" applyBorder="1" applyAlignment="1">
      <alignment horizontal="center" vertical="center"/>
    </xf>
    <xf numFmtId="49" fontId="15" fillId="2" borderId="0" xfId="5" applyNumberFormat="1" applyFont="1" applyFill="1" applyAlignment="1">
      <alignment horizontal="center" vertical="center"/>
    </xf>
    <xf numFmtId="0" fontId="9" fillId="2" borderId="0" xfId="5" applyFont="1" applyFill="1"/>
    <xf numFmtId="1" fontId="9" fillId="2" borderId="0" xfId="5" applyNumberFormat="1" applyFont="1" applyFill="1" applyAlignment="1">
      <alignment horizontal="center"/>
    </xf>
    <xf numFmtId="166" fontId="9" fillId="2" borderId="0" xfId="5" applyNumberFormat="1" applyFont="1" applyFill="1" applyAlignment="1">
      <alignment horizontal="center" wrapText="1"/>
    </xf>
    <xf numFmtId="0" fontId="9" fillId="2" borderId="7" xfId="5" applyFont="1" applyFill="1" applyBorder="1" applyAlignment="1">
      <alignment horizontal="center"/>
    </xf>
    <xf numFmtId="0" fontId="9" fillId="3" borderId="8" xfId="5" applyFont="1" applyFill="1" applyBorder="1" applyAlignment="1">
      <alignment horizontal="center"/>
    </xf>
    <xf numFmtId="0" fontId="9" fillId="3" borderId="9" xfId="5" applyFont="1" applyFill="1" applyBorder="1" applyAlignment="1">
      <alignment horizontal="center"/>
    </xf>
    <xf numFmtId="0" fontId="9" fillId="3" borderId="9" xfId="5" applyFont="1" applyFill="1" applyBorder="1"/>
    <xf numFmtId="0" fontId="3" fillId="3" borderId="9" xfId="5" applyFont="1" applyFill="1" applyBorder="1" applyAlignment="1">
      <alignment horizontal="center"/>
    </xf>
    <xf numFmtId="1" fontId="3" fillId="3" borderId="9" xfId="5" applyNumberFormat="1" applyFont="1" applyFill="1" applyBorder="1" applyAlignment="1">
      <alignment horizontal="center"/>
    </xf>
    <xf numFmtId="166" fontId="9" fillId="3" borderId="9" xfId="5" applyNumberFormat="1" applyFont="1" applyFill="1" applyBorder="1" applyAlignment="1">
      <alignment horizontal="center" wrapText="1"/>
    </xf>
    <xf numFmtId="0" fontId="9" fillId="3" borderId="10" xfId="5" applyFont="1" applyFill="1" applyBorder="1" applyAlignment="1">
      <alignment horizontal="center"/>
    </xf>
    <xf numFmtId="0" fontId="9" fillId="0" borderId="11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7" fillId="0" borderId="36" xfId="0" applyFont="1" applyBorder="1" applyAlignment="1">
      <alignment horizontal="left"/>
    </xf>
    <xf numFmtId="0" fontId="7" fillId="0" borderId="30" xfId="0" applyFont="1" applyBorder="1" applyAlignment="1">
      <alignment horizontal="left"/>
    </xf>
    <xf numFmtId="0" fontId="7" fillId="0" borderId="37" xfId="0" applyFont="1" applyBorder="1" applyAlignment="1">
      <alignment horizontal="left"/>
    </xf>
    <xf numFmtId="0" fontId="3" fillId="7" borderId="44" xfId="6" applyFont="1" applyFill="1" applyBorder="1" applyAlignment="1">
      <alignment horizontal="center"/>
    </xf>
    <xf numFmtId="0" fontId="3" fillId="7" borderId="32" xfId="6" applyFont="1" applyFill="1" applyBorder="1" applyAlignment="1">
      <alignment horizontal="center"/>
    </xf>
    <xf numFmtId="0" fontId="9" fillId="2" borderId="21" xfId="6" applyFont="1" applyFill="1" applyBorder="1" applyAlignment="1">
      <alignment horizontal="left"/>
    </xf>
    <xf numFmtId="0" fontId="9" fillId="2" borderId="30" xfId="6" applyFont="1" applyFill="1" applyBorder="1" applyAlignment="1">
      <alignment horizontal="left"/>
    </xf>
    <xf numFmtId="0" fontId="9" fillId="2" borderId="17" xfId="6" applyFont="1" applyFill="1" applyBorder="1" applyAlignment="1">
      <alignment horizontal="left"/>
    </xf>
    <xf numFmtId="0" fontId="9" fillId="2" borderId="4" xfId="6" applyFont="1" applyFill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9" fillId="0" borderId="35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42" xfId="0" applyFont="1" applyBorder="1" applyAlignment="1">
      <alignment horizontal="left"/>
    </xf>
    <xf numFmtId="0" fontId="9" fillId="0" borderId="36" xfId="0" applyFont="1" applyBorder="1" applyAlignment="1">
      <alignment horizontal="left" wrapText="1"/>
    </xf>
    <xf numFmtId="0" fontId="9" fillId="0" borderId="30" xfId="0" applyFont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0" fontId="9" fillId="0" borderId="43" xfId="0" applyFont="1" applyBorder="1" applyAlignment="1">
      <alignment horizontal="left"/>
    </xf>
    <xf numFmtId="0" fontId="9" fillId="0" borderId="41" xfId="0" applyFont="1" applyBorder="1" applyAlignment="1">
      <alignment horizontal="left"/>
    </xf>
    <xf numFmtId="0" fontId="9" fillId="0" borderId="40" xfId="0" applyFont="1" applyBorder="1" applyAlignment="1">
      <alignment horizontal="left"/>
    </xf>
    <xf numFmtId="0" fontId="3" fillId="0" borderId="36" xfId="5" applyFont="1" applyBorder="1" applyAlignment="1">
      <alignment horizontal="right"/>
    </xf>
    <xf numFmtId="0" fontId="3" fillId="0" borderId="30" xfId="5" applyFont="1" applyBorder="1" applyAlignment="1">
      <alignment horizontal="right"/>
    </xf>
    <xf numFmtId="0" fontId="3" fillId="0" borderId="17" xfId="5" applyFont="1" applyBorder="1" applyAlignment="1">
      <alignment horizontal="right"/>
    </xf>
    <xf numFmtId="0" fontId="9" fillId="0" borderId="4" xfId="5" applyFont="1" applyBorder="1" applyAlignment="1">
      <alignment horizontal="right"/>
    </xf>
    <xf numFmtId="166" fontId="9" fillId="0" borderId="21" xfId="5" applyNumberFormat="1" applyFont="1" applyBorder="1" applyAlignment="1">
      <alignment horizontal="center"/>
    </xf>
    <xf numFmtId="166" fontId="9" fillId="0" borderId="37" xfId="5" applyNumberFormat="1" applyFont="1" applyBorder="1" applyAlignment="1">
      <alignment horizontal="center"/>
    </xf>
    <xf numFmtId="166" fontId="9" fillId="0" borderId="21" xfId="5" applyNumberFormat="1" applyFont="1" applyBorder="1" applyAlignment="1">
      <alignment horizontal="right" wrapText="1"/>
    </xf>
    <xf numFmtId="166" fontId="9" fillId="0" borderId="17" xfId="5" applyNumberFormat="1" applyFont="1" applyBorder="1" applyAlignment="1">
      <alignment horizontal="right" wrapText="1"/>
    </xf>
    <xf numFmtId="166" fontId="9" fillId="0" borderId="21" xfId="0" applyNumberFormat="1" applyFont="1" applyBorder="1" applyAlignment="1">
      <alignment horizontal="center" wrapText="1"/>
    </xf>
    <xf numFmtId="166" fontId="9" fillId="0" borderId="37" xfId="0" applyNumberFormat="1" applyFont="1" applyBorder="1" applyAlignment="1">
      <alignment horizontal="center" wrapText="1"/>
    </xf>
    <xf numFmtId="0" fontId="3" fillId="0" borderId="35" xfId="5" applyFont="1" applyBorder="1" applyAlignment="1">
      <alignment horizontal="right"/>
    </xf>
    <xf numFmtId="0" fontId="3" fillId="0" borderId="38" xfId="5" applyFont="1" applyBorder="1" applyAlignment="1">
      <alignment horizontal="right"/>
    </xf>
    <xf numFmtId="0" fontId="3" fillId="0" borderId="2" xfId="5" applyFont="1" applyBorder="1" applyAlignment="1">
      <alignment horizontal="right"/>
    </xf>
    <xf numFmtId="0" fontId="9" fillId="0" borderId="2" xfId="5" applyFont="1" applyBorder="1" applyAlignment="1">
      <alignment horizontal="right"/>
    </xf>
    <xf numFmtId="0" fontId="3" fillId="3" borderId="8" xfId="5" applyFont="1" applyFill="1" applyBorder="1" applyAlignment="1">
      <alignment horizontal="left"/>
    </xf>
    <xf numFmtId="0" fontId="3" fillId="3" borderId="9" xfId="5" applyFont="1" applyFill="1" applyBorder="1" applyAlignment="1">
      <alignment horizontal="left"/>
    </xf>
    <xf numFmtId="0" fontId="3" fillId="3" borderId="10" xfId="5" applyFont="1" applyFill="1" applyBorder="1" applyAlignment="1">
      <alignment horizontal="left"/>
    </xf>
    <xf numFmtId="0" fontId="3" fillId="0" borderId="22" xfId="5" applyFont="1" applyBorder="1" applyAlignment="1">
      <alignment horizontal="right"/>
    </xf>
    <xf numFmtId="0" fontId="3" fillId="0" borderId="23" xfId="5" applyFont="1" applyBorder="1" applyAlignment="1">
      <alignment horizontal="right"/>
    </xf>
    <xf numFmtId="0" fontId="3" fillId="0" borderId="24" xfId="5" applyFont="1" applyBorder="1" applyAlignment="1">
      <alignment horizontal="right"/>
    </xf>
    <xf numFmtId="166" fontId="9" fillId="0" borderId="5" xfId="5" applyNumberFormat="1" applyFont="1" applyBorder="1" applyAlignment="1">
      <alignment horizontal="right"/>
    </xf>
    <xf numFmtId="0" fontId="9" fillId="2" borderId="11" xfId="5" applyFont="1" applyFill="1" applyBorder="1" applyAlignment="1">
      <alignment horizontal="center"/>
    </xf>
    <xf numFmtId="0" fontId="9" fillId="2" borderId="25" xfId="5" applyFont="1" applyFill="1" applyBorder="1" applyAlignment="1">
      <alignment horizontal="center"/>
    </xf>
    <xf numFmtId="0" fontId="10" fillId="2" borderId="0" xfId="8" applyFont="1" applyFill="1" applyAlignment="1">
      <alignment horizontal="right"/>
    </xf>
    <xf numFmtId="0" fontId="11" fillId="2" borderId="33" xfId="8" applyFont="1" applyFill="1" applyBorder="1" applyAlignment="1">
      <alignment horizontal="center"/>
    </xf>
    <xf numFmtId="0" fontId="10" fillId="2" borderId="0" xfId="8" applyFont="1" applyFill="1"/>
    <xf numFmtId="0" fontId="3" fillId="3" borderId="34" xfId="5" applyFont="1" applyFill="1" applyBorder="1" applyAlignment="1">
      <alignment horizontal="center" vertical="center"/>
    </xf>
    <xf numFmtId="0" fontId="3" fillId="3" borderId="35" xfId="5" applyFont="1" applyFill="1" applyBorder="1" applyAlignment="1">
      <alignment horizontal="center" vertical="center"/>
    </xf>
    <xf numFmtId="0" fontId="3" fillId="3" borderId="34" xfId="5" applyFont="1" applyFill="1" applyBorder="1" applyAlignment="1">
      <alignment horizontal="center" vertical="center" wrapText="1"/>
    </xf>
    <xf numFmtId="0" fontId="3" fillId="3" borderId="35" xfId="5" applyFont="1" applyFill="1" applyBorder="1" applyAlignment="1">
      <alignment horizontal="center" vertical="center" wrapText="1"/>
    </xf>
    <xf numFmtId="0" fontId="3" fillId="3" borderId="3" xfId="5" applyFont="1" applyFill="1" applyBorder="1" applyAlignment="1">
      <alignment horizontal="center" vertical="center"/>
    </xf>
    <xf numFmtId="0" fontId="3" fillId="3" borderId="2" xfId="5" applyFont="1" applyFill="1" applyBorder="1" applyAlignment="1">
      <alignment horizontal="center" vertical="center"/>
    </xf>
    <xf numFmtId="14" fontId="9" fillId="2" borderId="15" xfId="6" applyNumberFormat="1" applyFont="1" applyFill="1" applyBorder="1" applyAlignment="1">
      <alignment horizontal="center" vertical="center" wrapText="1"/>
    </xf>
    <xf numFmtId="14" fontId="9" fillId="2" borderId="26" xfId="6" applyNumberFormat="1" applyFont="1" applyFill="1" applyBorder="1" applyAlignment="1">
      <alignment horizontal="center" vertical="center" wrapText="1"/>
    </xf>
    <xf numFmtId="14" fontId="9" fillId="2" borderId="16" xfId="6" applyNumberFormat="1" applyFont="1" applyFill="1" applyBorder="1" applyAlignment="1">
      <alignment horizontal="center" vertical="center" wrapText="1"/>
    </xf>
    <xf numFmtId="0" fontId="9" fillId="2" borderId="27" xfId="6" applyFont="1" applyFill="1" applyBorder="1" applyAlignment="1">
      <alignment horizontal="left"/>
    </xf>
    <xf numFmtId="0" fontId="9" fillId="2" borderId="28" xfId="6" applyFont="1" applyFill="1" applyBorder="1" applyAlignment="1">
      <alignment horizontal="left"/>
    </xf>
    <xf numFmtId="0" fontId="9" fillId="2" borderId="29" xfId="6" applyFont="1" applyFill="1" applyBorder="1" applyAlignment="1">
      <alignment horizontal="left"/>
    </xf>
    <xf numFmtId="0" fontId="9" fillId="2" borderId="31" xfId="6" applyFont="1" applyFill="1" applyBorder="1" applyAlignment="1">
      <alignment horizontal="center"/>
    </xf>
    <xf numFmtId="0" fontId="9" fillId="2" borderId="32" xfId="6" applyFont="1" applyFill="1" applyBorder="1" applyAlignment="1">
      <alignment horizontal="center"/>
    </xf>
    <xf numFmtId="0" fontId="9" fillId="2" borderId="6" xfId="6" applyFont="1" applyFill="1" applyBorder="1" applyAlignment="1">
      <alignment horizontal="center"/>
    </xf>
    <xf numFmtId="0" fontId="9" fillId="2" borderId="0" xfId="6" applyFont="1" applyFill="1" applyAlignment="1">
      <alignment horizontal="center"/>
    </xf>
    <xf numFmtId="0" fontId="9" fillId="2" borderId="22" xfId="6" applyFont="1" applyFill="1" applyBorder="1" applyAlignment="1">
      <alignment horizontal="center"/>
    </xf>
    <xf numFmtId="0" fontId="9" fillId="2" borderId="23" xfId="6" applyFont="1" applyFill="1" applyBorder="1" applyAlignment="1">
      <alignment horizontal="center"/>
    </xf>
    <xf numFmtId="0" fontId="3" fillId="2" borderId="3" xfId="6" applyFont="1" applyFill="1" applyBorder="1" applyAlignment="1">
      <alignment horizontal="center"/>
    </xf>
    <xf numFmtId="0" fontId="3" fillId="2" borderId="39" xfId="6" applyFont="1" applyFill="1" applyBorder="1" applyAlignment="1">
      <alignment horizontal="center"/>
    </xf>
    <xf numFmtId="0" fontId="3" fillId="2" borderId="41" xfId="6" applyFont="1" applyFill="1" applyBorder="1" applyAlignment="1">
      <alignment horizontal="center"/>
    </xf>
    <xf numFmtId="0" fontId="3" fillId="2" borderId="38" xfId="6" applyFont="1" applyFill="1" applyBorder="1" applyAlignment="1">
      <alignment horizontal="center"/>
    </xf>
    <xf numFmtId="0" fontId="3" fillId="4" borderId="8" xfId="6" applyFont="1" applyFill="1" applyBorder="1" applyAlignment="1">
      <alignment horizontal="center" vertical="center" wrapText="1"/>
    </xf>
    <xf numFmtId="0" fontId="3" fillId="4" borderId="9" xfId="6" applyFont="1" applyFill="1" applyBorder="1" applyAlignment="1">
      <alignment horizontal="center" vertical="center" wrapText="1"/>
    </xf>
    <xf numFmtId="0" fontId="3" fillId="4" borderId="10" xfId="6" applyFont="1" applyFill="1" applyBorder="1" applyAlignment="1">
      <alignment horizontal="center" vertical="center" wrapText="1"/>
    </xf>
    <xf numFmtId="0" fontId="3" fillId="2" borderId="18" xfId="6" applyFont="1" applyFill="1" applyBorder="1" applyAlignment="1">
      <alignment horizontal="right" vertical="top" wrapText="1"/>
    </xf>
    <xf numFmtId="0" fontId="3" fillId="2" borderId="19" xfId="6" applyFont="1" applyFill="1" applyBorder="1" applyAlignment="1">
      <alignment horizontal="right" vertical="top" wrapText="1"/>
    </xf>
    <xf numFmtId="0" fontId="3" fillId="2" borderId="20" xfId="6" applyFont="1" applyFill="1" applyBorder="1" applyAlignment="1">
      <alignment horizontal="right" vertical="top" wrapText="1"/>
    </xf>
  </cellXfs>
  <cellStyles count="9">
    <cellStyle name="Millares" xfId="1" builtinId="3"/>
    <cellStyle name="Millares [0] 2" xfId="2" xr:uid="{600D1828-C4C0-442F-BEBB-F1ACA8C5135B}"/>
    <cellStyle name="Millares 2" xfId="3" xr:uid="{1DE4B327-3EEE-40C0-A195-209DA6837013}"/>
    <cellStyle name="Millares 3" xfId="4" xr:uid="{A686C2FF-4989-4B06-BA81-A51E55F42D48}"/>
    <cellStyle name="Normal" xfId="0" builtinId="0"/>
    <cellStyle name="Normal 2" xfId="5" xr:uid="{9B58B28C-DBA2-4190-858A-A90FF83C475D}"/>
    <cellStyle name="Normal_CRITERIOS DE EVALUACION PT DE GB" xfId="6" xr:uid="{90B52917-629E-4C54-91FD-A47B33D88A18}"/>
    <cellStyle name="Normal_CRITERIOS DE EVALUACION PT DE GB 2" xfId="8" xr:uid="{73199030-8ABB-48D0-9771-A4BB070262E5}"/>
    <cellStyle name="Porcentaje 2" xfId="7" xr:uid="{DBB685D8-7BF8-4A8D-A737-7FDC2CBFB88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F391-F219-4726-9CA2-142F7E244623}">
  <dimension ref="A1:K58"/>
  <sheetViews>
    <sheetView tabSelected="1" view="pageBreakPreview" zoomScale="60" zoomScaleNormal="101" workbookViewId="0">
      <selection activeCell="P9" sqref="P9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33.7109375" bestFit="1" customWidth="1"/>
    <col min="9" max="9" width="22.28515625" bestFit="1" customWidth="1"/>
  </cols>
  <sheetData>
    <row r="1" spans="1:9" ht="17.25" x14ac:dyDescent="0.3">
      <c r="A1" s="164"/>
      <c r="B1" s="165"/>
      <c r="C1" s="170" t="s">
        <v>24</v>
      </c>
      <c r="D1" s="170"/>
      <c r="E1" s="170"/>
      <c r="F1" s="170"/>
      <c r="G1" s="170"/>
      <c r="H1" s="9" t="s">
        <v>0</v>
      </c>
      <c r="I1" s="10" t="s">
        <v>52</v>
      </c>
    </row>
    <row r="2" spans="1:9" ht="18" customHeight="1" thickBot="1" x14ac:dyDescent="0.35">
      <c r="A2" s="166"/>
      <c r="B2" s="167"/>
      <c r="C2" s="171" t="s">
        <v>1</v>
      </c>
      <c r="D2" s="172"/>
      <c r="E2" s="172"/>
      <c r="F2" s="172"/>
      <c r="G2" s="173"/>
      <c r="H2" s="11" t="s">
        <v>2</v>
      </c>
      <c r="I2" s="12" t="s">
        <v>58</v>
      </c>
    </row>
    <row r="3" spans="1:9" ht="31.5" customHeight="1" thickBot="1" x14ac:dyDescent="0.25">
      <c r="A3" s="166"/>
      <c r="B3" s="167"/>
      <c r="C3" s="174" t="s">
        <v>59</v>
      </c>
      <c r="D3" s="175"/>
      <c r="E3" s="175"/>
      <c r="F3" s="175"/>
      <c r="G3" s="176"/>
      <c r="H3" s="177" t="s">
        <v>3</v>
      </c>
      <c r="I3" s="158">
        <v>45613</v>
      </c>
    </row>
    <row r="4" spans="1:9" ht="18" customHeight="1" x14ac:dyDescent="0.3">
      <c r="A4" s="166"/>
      <c r="B4" s="167"/>
      <c r="C4" s="13" t="s">
        <v>4</v>
      </c>
      <c r="D4" s="161" t="s">
        <v>43</v>
      </c>
      <c r="E4" s="162"/>
      <c r="F4" s="162"/>
      <c r="G4" s="163"/>
      <c r="H4" s="178"/>
      <c r="I4" s="159"/>
    </row>
    <row r="5" spans="1:9" ht="18" thickBot="1" x14ac:dyDescent="0.35">
      <c r="A5" s="168"/>
      <c r="B5" s="169"/>
      <c r="C5" s="14" t="s">
        <v>5</v>
      </c>
      <c r="D5" s="109" t="s">
        <v>44</v>
      </c>
      <c r="E5" s="110"/>
      <c r="F5" s="110"/>
      <c r="G5" s="111"/>
      <c r="H5" s="179"/>
      <c r="I5" s="160"/>
    </row>
    <row r="6" spans="1:9" ht="16.5" thickBot="1" x14ac:dyDescent="0.3">
      <c r="A6" s="149" t="s">
        <v>45</v>
      </c>
      <c r="B6" s="149"/>
      <c r="C6" s="149"/>
      <c r="D6" s="150" t="s">
        <v>46</v>
      </c>
      <c r="E6" s="150"/>
      <c r="F6" s="150"/>
      <c r="G6" s="151" t="s">
        <v>47</v>
      </c>
      <c r="H6" s="151"/>
      <c r="I6" s="15" t="s">
        <v>48</v>
      </c>
    </row>
    <row r="7" spans="1:9" ht="15" x14ac:dyDescent="0.2">
      <c r="A7" s="152" t="s">
        <v>6</v>
      </c>
      <c r="B7" s="154" t="s">
        <v>49</v>
      </c>
      <c r="C7" s="156" t="s">
        <v>7</v>
      </c>
      <c r="D7" s="156" t="s">
        <v>8</v>
      </c>
      <c r="E7" s="156" t="s">
        <v>9</v>
      </c>
      <c r="F7" s="156"/>
      <c r="G7" s="156" t="s">
        <v>10</v>
      </c>
      <c r="H7" s="156"/>
      <c r="I7" s="16" t="s">
        <v>11</v>
      </c>
    </row>
    <row r="8" spans="1:9" ht="30.75" thickBot="1" x14ac:dyDescent="0.25">
      <c r="A8" s="153"/>
      <c r="B8" s="155"/>
      <c r="C8" s="157"/>
      <c r="D8" s="157"/>
      <c r="E8" s="17" t="s">
        <v>12</v>
      </c>
      <c r="F8" s="18" t="s">
        <v>13</v>
      </c>
      <c r="G8" s="17" t="s">
        <v>12</v>
      </c>
      <c r="H8" s="18" t="s">
        <v>13</v>
      </c>
      <c r="I8" s="19" t="s">
        <v>14</v>
      </c>
    </row>
    <row r="9" spans="1:9" ht="15.75" x14ac:dyDescent="0.25">
      <c r="A9" s="20"/>
      <c r="B9" s="21"/>
      <c r="C9" s="22" t="s">
        <v>50</v>
      </c>
      <c r="D9" s="23"/>
      <c r="E9" s="24"/>
      <c r="F9" s="25"/>
      <c r="G9" s="24"/>
      <c r="H9" s="25"/>
      <c r="I9" s="26"/>
    </row>
    <row r="10" spans="1:9" ht="18" customHeight="1" x14ac:dyDescent="0.3">
      <c r="A10" s="27" t="s">
        <v>33</v>
      </c>
      <c r="B10" s="28" t="s">
        <v>40</v>
      </c>
      <c r="C10" s="29" t="s">
        <v>34</v>
      </c>
      <c r="D10" s="30" t="s">
        <v>35</v>
      </c>
      <c r="E10" s="31">
        <f>16580/17.58</f>
        <v>943.11717861205921</v>
      </c>
      <c r="F10" s="32"/>
      <c r="G10" s="33"/>
      <c r="H10" s="34"/>
      <c r="I10" s="26"/>
    </row>
    <row r="11" spans="1:9" ht="17.25" x14ac:dyDescent="0.3">
      <c r="A11" s="27" t="s">
        <v>31</v>
      </c>
      <c r="B11" s="35" t="s">
        <v>41</v>
      </c>
      <c r="C11" s="36" t="s">
        <v>29</v>
      </c>
      <c r="D11" s="30" t="s">
        <v>32</v>
      </c>
      <c r="E11" s="37">
        <f>1000/17.58</f>
        <v>56.882821387940851</v>
      </c>
      <c r="F11" s="38" t="s">
        <v>27</v>
      </c>
      <c r="G11" s="33"/>
      <c r="H11" s="34"/>
      <c r="I11" s="26"/>
    </row>
    <row r="12" spans="1:9" ht="17.25" x14ac:dyDescent="0.3">
      <c r="A12" s="27" t="s">
        <v>36</v>
      </c>
      <c r="B12" s="35" t="s">
        <v>42</v>
      </c>
      <c r="C12" s="36" t="s">
        <v>37</v>
      </c>
      <c r="D12" s="30" t="s">
        <v>38</v>
      </c>
      <c r="E12" s="37" t="s">
        <v>56</v>
      </c>
      <c r="F12" s="38" t="s">
        <v>27</v>
      </c>
      <c r="G12" s="39"/>
      <c r="H12" s="34"/>
      <c r="I12" s="26"/>
    </row>
    <row r="13" spans="1:9" ht="17.25" x14ac:dyDescent="0.3">
      <c r="A13" s="27"/>
      <c r="B13" s="35"/>
      <c r="C13" s="36"/>
      <c r="D13" s="30"/>
      <c r="E13" s="37"/>
      <c r="F13" s="38"/>
      <c r="G13" s="39"/>
      <c r="H13" s="34"/>
      <c r="I13" s="26"/>
    </row>
    <row r="14" spans="1:9" ht="17.25" x14ac:dyDescent="0.3">
      <c r="A14" s="40"/>
      <c r="B14" s="41"/>
      <c r="C14" s="42"/>
      <c r="D14" s="39"/>
      <c r="E14" s="39"/>
      <c r="F14" s="43"/>
      <c r="G14" s="39"/>
      <c r="H14" s="34"/>
      <c r="I14" s="26"/>
    </row>
    <row r="15" spans="1:9" ht="17.25" x14ac:dyDescent="0.3">
      <c r="A15" s="44"/>
      <c r="B15" s="41"/>
      <c r="C15" s="45"/>
      <c r="D15" s="39"/>
      <c r="E15" s="39"/>
      <c r="F15" s="43"/>
      <c r="G15" s="39"/>
      <c r="H15" s="34"/>
      <c r="I15" s="26"/>
    </row>
    <row r="16" spans="1:9" ht="17.25" x14ac:dyDescent="0.3">
      <c r="A16" s="39"/>
      <c r="B16" s="39"/>
      <c r="C16" s="46"/>
      <c r="D16" s="47"/>
      <c r="E16" s="47"/>
      <c r="F16" s="33"/>
      <c r="G16" s="39"/>
      <c r="H16" s="34"/>
      <c r="I16" s="26"/>
    </row>
    <row r="17" spans="1:9" ht="17.25" x14ac:dyDescent="0.3">
      <c r="A17" s="41"/>
      <c r="B17" s="41"/>
      <c r="C17" s="48"/>
      <c r="D17" s="39"/>
      <c r="E17" s="39"/>
      <c r="F17" s="43"/>
      <c r="G17" s="39"/>
      <c r="H17" s="34"/>
      <c r="I17" s="26"/>
    </row>
    <row r="18" spans="1:9" ht="17.25" x14ac:dyDescent="0.3">
      <c r="A18" s="40"/>
      <c r="B18" s="41"/>
      <c r="C18" s="42"/>
      <c r="D18" s="39"/>
      <c r="E18" s="39"/>
      <c r="F18" s="43"/>
      <c r="G18" s="39"/>
      <c r="H18" s="34"/>
      <c r="I18" s="26"/>
    </row>
    <row r="19" spans="1:9" ht="17.25" x14ac:dyDescent="0.3">
      <c r="A19" s="49"/>
      <c r="B19" s="49"/>
      <c r="C19" s="50"/>
      <c r="D19" s="3"/>
      <c r="E19" s="1"/>
      <c r="F19" s="2"/>
      <c r="G19" s="24"/>
      <c r="H19" s="34"/>
      <c r="I19" s="26"/>
    </row>
    <row r="20" spans="1:9" ht="15.75" x14ac:dyDescent="0.25">
      <c r="A20" s="51"/>
      <c r="B20" s="52"/>
      <c r="C20" s="4" t="s">
        <v>46</v>
      </c>
      <c r="D20" s="8"/>
      <c r="E20" s="53"/>
      <c r="F20" s="54"/>
      <c r="G20" s="24"/>
      <c r="H20" s="25"/>
      <c r="I20" s="26"/>
    </row>
    <row r="21" spans="1:9" ht="17.25" x14ac:dyDescent="0.3">
      <c r="A21" s="27"/>
      <c r="B21" s="55"/>
      <c r="C21" s="29"/>
      <c r="D21" s="30"/>
      <c r="E21" s="37"/>
      <c r="F21" s="38"/>
      <c r="G21" s="24"/>
      <c r="H21" s="25"/>
      <c r="I21" s="26"/>
    </row>
    <row r="22" spans="1:9" ht="17.25" x14ac:dyDescent="0.3">
      <c r="A22" s="27"/>
      <c r="B22" s="55"/>
      <c r="C22" s="29"/>
      <c r="D22" s="30"/>
      <c r="E22" s="56"/>
      <c r="F22" s="38"/>
      <c r="G22" s="24"/>
      <c r="H22" s="25"/>
      <c r="I22" s="26"/>
    </row>
    <row r="23" spans="1:9" ht="17.25" x14ac:dyDescent="0.3">
      <c r="A23" s="27"/>
      <c r="B23" s="55"/>
      <c r="C23" s="29"/>
      <c r="D23" s="30"/>
      <c r="E23" s="37"/>
      <c r="F23" s="38"/>
      <c r="G23" s="24"/>
      <c r="H23" s="25"/>
      <c r="I23" s="26"/>
    </row>
    <row r="24" spans="1:9" ht="17.25" x14ac:dyDescent="0.3">
      <c r="A24" s="27"/>
      <c r="B24" s="55"/>
      <c r="C24" s="29"/>
      <c r="D24" s="30"/>
      <c r="E24" s="57"/>
      <c r="F24" s="58"/>
      <c r="G24" s="24"/>
      <c r="H24" s="25"/>
      <c r="I24" s="26"/>
    </row>
    <row r="25" spans="1:9" ht="17.25" x14ac:dyDescent="0.3">
      <c r="A25" s="27"/>
      <c r="B25" s="55"/>
      <c r="C25" s="29"/>
      <c r="D25" s="30"/>
      <c r="E25" s="31"/>
      <c r="F25" s="58"/>
      <c r="G25" s="24"/>
      <c r="H25" s="25"/>
      <c r="I25" s="26"/>
    </row>
    <row r="26" spans="1:9" ht="17.25" x14ac:dyDescent="0.3">
      <c r="A26" s="59"/>
      <c r="B26" s="59"/>
      <c r="C26" s="60"/>
      <c r="D26" s="61"/>
      <c r="E26" s="62"/>
      <c r="F26" s="63"/>
      <c r="G26" s="24"/>
      <c r="H26" s="25"/>
      <c r="I26" s="26"/>
    </row>
    <row r="27" spans="1:9" ht="17.25" x14ac:dyDescent="0.3">
      <c r="A27" s="49"/>
      <c r="B27" s="49"/>
      <c r="C27" s="50"/>
      <c r="D27" s="64"/>
      <c r="E27" s="65"/>
      <c r="F27" s="63"/>
      <c r="G27" s="24"/>
      <c r="H27" s="25"/>
      <c r="I27" s="26"/>
    </row>
    <row r="28" spans="1:9" ht="17.25" x14ac:dyDescent="0.3">
      <c r="A28" s="49"/>
      <c r="B28" s="49"/>
      <c r="C28" s="50"/>
      <c r="D28" s="64"/>
      <c r="E28" s="56"/>
      <c r="F28" s="66"/>
      <c r="G28" s="24"/>
      <c r="H28" s="25"/>
      <c r="I28" s="26"/>
    </row>
    <row r="29" spans="1:9" ht="15.75" x14ac:dyDescent="0.25">
      <c r="A29" s="67"/>
      <c r="B29" s="68"/>
      <c r="C29" s="5" t="s">
        <v>51</v>
      </c>
      <c r="D29" s="69"/>
      <c r="E29" s="70"/>
      <c r="F29" s="25"/>
      <c r="G29" s="24"/>
      <c r="H29" s="60"/>
      <c r="I29" s="26"/>
    </row>
    <row r="30" spans="1:9" ht="17.25" x14ac:dyDescent="0.3">
      <c r="A30" s="71"/>
      <c r="B30" s="71"/>
      <c r="C30" s="72"/>
      <c r="D30" s="73"/>
      <c r="E30" s="74"/>
      <c r="F30" s="75"/>
      <c r="G30" s="76"/>
      <c r="H30" s="25"/>
      <c r="I30" s="26"/>
    </row>
    <row r="31" spans="1:9" ht="17.25" x14ac:dyDescent="0.3">
      <c r="A31" s="71"/>
      <c r="B31" s="71"/>
      <c r="C31" s="72"/>
      <c r="D31" s="73"/>
      <c r="E31" s="74"/>
      <c r="F31" s="75"/>
      <c r="G31" s="76"/>
      <c r="H31" s="25"/>
      <c r="I31" s="26"/>
    </row>
    <row r="32" spans="1:9" ht="17.25" x14ac:dyDescent="0.3">
      <c r="A32" s="71"/>
      <c r="B32" s="71"/>
      <c r="C32" s="72"/>
      <c r="D32" s="73"/>
      <c r="E32" s="74"/>
      <c r="F32" s="75"/>
      <c r="G32" s="76"/>
      <c r="H32" s="25"/>
      <c r="I32" s="26"/>
    </row>
    <row r="33" spans="1:11" ht="15.75" x14ac:dyDescent="0.25">
      <c r="A33" s="77"/>
      <c r="B33" s="77"/>
      <c r="C33" s="78"/>
      <c r="D33" s="79"/>
      <c r="E33" s="80"/>
      <c r="F33" s="81"/>
      <c r="G33" s="24"/>
      <c r="H33" s="25"/>
      <c r="I33" s="26"/>
    </row>
    <row r="34" spans="1:11" ht="15.75" x14ac:dyDescent="0.25">
      <c r="A34" s="77"/>
      <c r="B34" s="77"/>
      <c r="C34" s="82"/>
      <c r="D34" s="79"/>
      <c r="E34" s="79"/>
      <c r="F34" s="81"/>
      <c r="G34" s="24"/>
      <c r="H34" s="25"/>
      <c r="I34" s="26"/>
      <c r="K34">
        <f>D41/1000</f>
        <v>17.579999999999998</v>
      </c>
    </row>
    <row r="35" spans="1:11" ht="15.75" x14ac:dyDescent="0.25">
      <c r="A35" s="77"/>
      <c r="B35" s="77"/>
      <c r="C35" s="82"/>
      <c r="D35" s="79"/>
      <c r="E35" s="79"/>
      <c r="F35" s="81"/>
      <c r="G35" s="83"/>
      <c r="H35" s="25"/>
      <c r="I35" s="26"/>
    </row>
    <row r="36" spans="1:11" ht="15.75" x14ac:dyDescent="0.25">
      <c r="A36" s="84"/>
      <c r="B36" s="85"/>
      <c r="C36" s="86"/>
      <c r="D36" s="87"/>
      <c r="E36" s="87"/>
      <c r="F36" s="6"/>
      <c r="G36" s="7"/>
      <c r="H36" s="25"/>
      <c r="I36" s="26"/>
    </row>
    <row r="37" spans="1:11" ht="15.75" x14ac:dyDescent="0.25">
      <c r="A37" s="51"/>
      <c r="B37" s="52"/>
      <c r="C37" s="72"/>
      <c r="D37" s="79"/>
      <c r="E37" s="7"/>
      <c r="F37" s="54"/>
      <c r="G37" s="7"/>
      <c r="H37" s="25"/>
      <c r="I37" s="26"/>
    </row>
    <row r="38" spans="1:11" ht="15.75" x14ac:dyDescent="0.25">
      <c r="A38" s="51"/>
      <c r="B38" s="52"/>
      <c r="C38" s="72"/>
      <c r="D38" s="8"/>
      <c r="E38" s="8"/>
      <c r="F38" s="54"/>
      <c r="G38" s="8"/>
      <c r="H38" s="8"/>
      <c r="I38" s="26"/>
    </row>
    <row r="39" spans="1:11" ht="18" thickBot="1" x14ac:dyDescent="0.35">
      <c r="A39" s="88"/>
      <c r="B39" s="89"/>
      <c r="C39" s="90"/>
      <c r="D39" s="90"/>
      <c r="E39" s="91"/>
      <c r="F39" s="92"/>
      <c r="G39" s="90"/>
      <c r="H39" s="90"/>
      <c r="I39" s="93"/>
    </row>
    <row r="40" spans="1:11" ht="18" thickBot="1" x14ac:dyDescent="0.35">
      <c r="A40" s="94"/>
      <c r="B40" s="95"/>
      <c r="C40" s="96"/>
      <c r="D40" s="97" t="s">
        <v>12</v>
      </c>
      <c r="E40" s="98" t="s">
        <v>15</v>
      </c>
      <c r="F40" s="99"/>
      <c r="G40" s="96"/>
      <c r="H40" s="96"/>
      <c r="I40" s="100"/>
    </row>
    <row r="41" spans="1:11" ht="17.25" x14ac:dyDescent="0.3">
      <c r="A41" s="143" t="s">
        <v>16</v>
      </c>
      <c r="B41" s="144"/>
      <c r="C41" s="145"/>
      <c r="D41" s="65">
        <v>17580</v>
      </c>
      <c r="E41" s="101" t="s">
        <v>27</v>
      </c>
      <c r="F41" s="146" t="s">
        <v>25</v>
      </c>
      <c r="G41" s="146"/>
      <c r="H41" s="147"/>
      <c r="I41" s="148"/>
    </row>
    <row r="42" spans="1:11" ht="17.25" x14ac:dyDescent="0.3">
      <c r="A42" s="126" t="s">
        <v>17</v>
      </c>
      <c r="B42" s="127"/>
      <c r="C42" s="128"/>
      <c r="D42" s="39">
        <v>3</v>
      </c>
      <c r="E42" s="39" t="s">
        <v>28</v>
      </c>
      <c r="F42" s="129" t="s">
        <v>18</v>
      </c>
      <c r="G42" s="129"/>
      <c r="H42" s="130"/>
      <c r="I42" s="131"/>
    </row>
    <row r="43" spans="1:11" ht="17.25" x14ac:dyDescent="0.3">
      <c r="A43" s="126" t="s">
        <v>19</v>
      </c>
      <c r="B43" s="127"/>
      <c r="C43" s="128"/>
      <c r="D43" s="39">
        <v>1</v>
      </c>
      <c r="E43" s="39" t="s">
        <v>30</v>
      </c>
      <c r="F43" s="129" t="s">
        <v>26</v>
      </c>
      <c r="G43" s="129"/>
      <c r="H43" s="130"/>
      <c r="I43" s="131"/>
    </row>
    <row r="44" spans="1:11" ht="17.25" x14ac:dyDescent="0.3">
      <c r="A44" s="126" t="s">
        <v>20</v>
      </c>
      <c r="B44" s="127"/>
      <c r="C44" s="128"/>
      <c r="D44" s="56">
        <v>17580</v>
      </c>
      <c r="E44" s="39" t="s">
        <v>27</v>
      </c>
      <c r="F44" s="132" t="s">
        <v>21</v>
      </c>
      <c r="G44" s="133"/>
      <c r="H44" s="134"/>
      <c r="I44" s="135"/>
    </row>
    <row r="45" spans="1:11" ht="18" thickBot="1" x14ac:dyDescent="0.35">
      <c r="A45" s="136" t="s">
        <v>22</v>
      </c>
      <c r="B45" s="137"/>
      <c r="C45" s="138"/>
      <c r="D45" s="102">
        <v>4</v>
      </c>
      <c r="E45" s="103" t="s">
        <v>27</v>
      </c>
      <c r="F45" s="139"/>
      <c r="G45" s="139"/>
      <c r="H45" s="130"/>
      <c r="I45" s="131"/>
    </row>
    <row r="46" spans="1:11" ht="15.75" thickBot="1" x14ac:dyDescent="0.25">
      <c r="A46" s="140" t="s">
        <v>23</v>
      </c>
      <c r="B46" s="141"/>
      <c r="C46" s="141"/>
      <c r="D46" s="141"/>
      <c r="E46" s="141"/>
      <c r="F46" s="141"/>
      <c r="G46" s="141"/>
      <c r="H46" s="141"/>
      <c r="I46" s="142"/>
    </row>
    <row r="47" spans="1:11" ht="18.399999999999999" customHeight="1" x14ac:dyDescent="0.25">
      <c r="A47" s="113" t="s">
        <v>54</v>
      </c>
      <c r="B47" s="114"/>
      <c r="C47" s="114"/>
      <c r="D47" s="114"/>
      <c r="E47" s="114"/>
      <c r="F47" s="114"/>
      <c r="G47" s="114"/>
      <c r="H47" s="114"/>
      <c r="I47" s="115"/>
    </row>
    <row r="48" spans="1:11" ht="14.65" customHeight="1" x14ac:dyDescent="0.25">
      <c r="A48" s="113" t="s">
        <v>55</v>
      </c>
      <c r="B48" s="114"/>
      <c r="C48" s="114"/>
      <c r="D48" s="114"/>
      <c r="E48" s="114"/>
      <c r="F48" s="114"/>
      <c r="G48" s="114"/>
      <c r="H48" s="114"/>
      <c r="I48" s="115"/>
    </row>
    <row r="49" spans="1:9" ht="14.65" customHeight="1" x14ac:dyDescent="0.25">
      <c r="A49" s="113"/>
      <c r="B49" s="114"/>
      <c r="C49" s="114"/>
      <c r="D49" s="114"/>
      <c r="E49" s="114"/>
      <c r="F49" s="114"/>
      <c r="G49" s="114"/>
      <c r="H49" s="114"/>
      <c r="I49" s="115"/>
    </row>
    <row r="50" spans="1:9" ht="14.65" customHeight="1" x14ac:dyDescent="0.25">
      <c r="A50" s="113"/>
      <c r="B50" s="114"/>
      <c r="C50" s="114"/>
      <c r="D50" s="114"/>
      <c r="E50" s="114"/>
      <c r="F50" s="114"/>
      <c r="G50" s="114"/>
      <c r="H50" s="114"/>
      <c r="I50" s="115"/>
    </row>
    <row r="51" spans="1:9" ht="14.65" customHeight="1" x14ac:dyDescent="0.25">
      <c r="A51" s="113"/>
      <c r="B51" s="114"/>
      <c r="C51" s="114"/>
      <c r="D51" s="114"/>
      <c r="E51" s="114"/>
      <c r="F51" s="114"/>
      <c r="G51" s="114"/>
      <c r="H51" s="114"/>
      <c r="I51" s="115"/>
    </row>
    <row r="52" spans="1:9" ht="14.65" customHeight="1" thickBot="1" x14ac:dyDescent="0.35">
      <c r="A52" s="116"/>
      <c r="B52" s="117"/>
      <c r="C52" s="118"/>
      <c r="D52" s="118"/>
      <c r="E52" s="118"/>
      <c r="F52" s="118"/>
      <c r="G52" s="118"/>
      <c r="H52" s="118"/>
      <c r="I52" s="119"/>
    </row>
    <row r="53" spans="1:9" ht="18" customHeight="1" x14ac:dyDescent="0.3">
      <c r="A53" s="120"/>
      <c r="B53" s="121"/>
      <c r="C53" s="121"/>
      <c r="D53" s="121"/>
      <c r="E53" s="121"/>
      <c r="F53" s="121"/>
      <c r="G53" s="121"/>
      <c r="H53" s="121"/>
      <c r="I53" s="122"/>
    </row>
    <row r="54" spans="1:9" ht="18" thickBot="1" x14ac:dyDescent="0.35">
      <c r="A54" s="123"/>
      <c r="B54" s="124"/>
      <c r="C54" s="124"/>
      <c r="D54" s="124"/>
      <c r="E54" s="124"/>
      <c r="F54" s="124"/>
      <c r="G54" s="124"/>
      <c r="H54" s="124"/>
      <c r="I54" s="125"/>
    </row>
    <row r="55" spans="1:9" ht="16.5" thickBot="1" x14ac:dyDescent="0.3">
      <c r="A55" s="104"/>
      <c r="B55" s="105"/>
      <c r="C55" s="105"/>
      <c r="D55" s="105"/>
      <c r="E55" s="105"/>
      <c r="F55" s="105"/>
      <c r="G55" s="105"/>
      <c r="H55" s="105"/>
      <c r="I55" s="106"/>
    </row>
    <row r="56" spans="1:9" ht="15" x14ac:dyDescent="0.2">
      <c r="A56" s="107" t="s">
        <v>39</v>
      </c>
      <c r="B56" s="108"/>
      <c r="C56" s="108"/>
      <c r="D56" s="108"/>
      <c r="E56" s="108"/>
      <c r="F56" s="108"/>
      <c r="G56" s="108"/>
      <c r="H56" s="108"/>
      <c r="I56" s="108"/>
    </row>
    <row r="57" spans="1:9" ht="17.25" x14ac:dyDescent="0.3">
      <c r="A57" s="109" t="s">
        <v>53</v>
      </c>
      <c r="B57" s="110"/>
      <c r="C57" s="110"/>
      <c r="D57" s="110"/>
      <c r="E57" s="110"/>
      <c r="F57" s="110"/>
      <c r="G57" s="110"/>
      <c r="H57" s="110"/>
      <c r="I57" s="111"/>
    </row>
    <row r="58" spans="1:9" ht="17.25" x14ac:dyDescent="0.3">
      <c r="A58" s="112" t="s">
        <v>57</v>
      </c>
      <c r="B58" s="112"/>
      <c r="C58" s="112"/>
      <c r="D58" s="112"/>
      <c r="E58" s="112"/>
      <c r="F58" s="112"/>
      <c r="G58" s="112"/>
      <c r="H58" s="112"/>
      <c r="I58" s="112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14C58AD-CA70-4058-A242-8490D58694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04C3AB-ECDD-4309-BE1C-37F4BD2BDE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9AF95A-8CAC-4FB8-AB33-3375174B9335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D70A1488-B76E-4647-B80D-8CD9A842548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2025-04-04T21:37:35Z</cp:lastPrinted>
  <dcterms:created xsi:type="dcterms:W3CDTF">2012-05-10T22:32:20Z</dcterms:created>
  <dcterms:modified xsi:type="dcterms:W3CDTF">2025-04-04T21:37:36Z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Liseth Lopez</vt:lpwstr>
  </property>
  <property fmtid="{D5CDD505-2E9C-101B-9397-08002B2CF9AE}" pid="4" name="Order">
    <vt:lpwstr>219400.000000000</vt:lpwstr>
  </property>
  <property fmtid="{D5CDD505-2E9C-101B-9397-08002B2CF9AE}" pid="5" name="display_urn:schemas-microsoft-com:office:office#Author">
    <vt:lpwstr>Liseth Lopez</vt:lpwstr>
  </property>
  <property fmtid="{D5CDD505-2E9C-101B-9397-08002B2CF9AE}" pid="6" name="MediaServiceImageTags">
    <vt:lpwstr/>
  </property>
  <property fmtid="{D5CDD505-2E9C-101B-9397-08002B2CF9AE}" pid="7" name="ContentTypeId">
    <vt:lpwstr>0x0101005C97FB89D0086C4984F8F1A28A5D30F9</vt:lpwstr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
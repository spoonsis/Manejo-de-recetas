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9" documentId="8_{E0729751-F175-404A-9AAA-AE22F8D4DA9D}" xr6:coauthVersionLast="47" xr6:coauthVersionMax="47" xr10:uidLastSave="{F15ECE27-10A7-4EA5-B31A-524A165D77F8}"/>
  <bookViews>
    <workbookView xWindow="-108" yWindow="-108" windowWidth="23256" windowHeight="12456" xr2:uid="{86A95AF8-34C1-4DB7-AE30-E3F9DEB6557E}"/>
  </bookViews>
  <sheets>
    <sheet name="Ensamble Industria 3" sheetId="1" r:id="rId1"/>
  </sheets>
  <definedNames>
    <definedName name="_xlnm.Print_Area" localSheetId="0">'Ensamble Industria 3'!$A$1:$I$51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J11" i="1" l="1"/>
  <c r="J12" i="1"/>
  <c r="J14" i="1"/>
  <c r="J17" i="1"/>
  <c r="J21" i="1"/>
  <c r="L21" i="1"/>
</calcChain>
</file>

<file path=xl/sharedStrings.xml><?xml version="1.0" encoding="utf-8"?>
<sst xmlns="http://schemas.openxmlformats.org/spreadsheetml/2006/main" count="146" uniqueCount="108">
  <si>
    <t xml:space="preserve">CONTROL DE CAMBIOS </t>
  </si>
  <si>
    <t>7-Tapar ,Fechar ,Etiquetar</t>
  </si>
  <si>
    <t>6-Sobre el Brownie Colocar el Ganache de chocolate en hilos y a los costados 12 besitos de Hershey"s Kisses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</si>
  <si>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</si>
  <si>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</si>
  <si>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</si>
  <si>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</si>
  <si>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</si>
  <si>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</si>
  <si>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</si>
  <si>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</si>
  <si>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</si>
  <si>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</si>
  <si>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</si>
  <si>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</si>
  <si>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</si>
  <si>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</si>
  <si>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</si>
  <si>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</si>
  <si>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Edicion Especial</t>
  </si>
  <si>
    <t>Etiplast</t>
  </si>
  <si>
    <t>ETIQUETA BLANCA 2 5/8X1 15/16 PRE BLANCA</t>
  </si>
  <si>
    <t>EM10011</t>
  </si>
  <si>
    <t>0702123</t>
  </si>
  <si>
    <t>Cemusa</t>
  </si>
  <si>
    <t xml:space="preserve">ETIQUETA BLANCA R-153 </t>
  </si>
  <si>
    <t>EM10124</t>
  </si>
  <si>
    <t>cm</t>
  </si>
  <si>
    <t>Mayca</t>
  </si>
  <si>
    <t>CINTA ADHESIVA TRANSPARENTE 2*100</t>
  </si>
  <si>
    <t>EM10248</t>
  </si>
  <si>
    <t>0703020</t>
  </si>
  <si>
    <t>Etiq.Blanca 1 1/4 * 3/4</t>
  </si>
  <si>
    <t>EM10002</t>
  </si>
  <si>
    <t>Ud</t>
  </si>
  <si>
    <t>ORLA CARTON 10" DORADA UND</t>
  </si>
  <si>
    <t>EM10008</t>
  </si>
  <si>
    <t>MAYCA</t>
  </si>
  <si>
    <t>QUEQUERA RED  BASE/DOMO 10 (CAJA:50)</t>
  </si>
  <si>
    <t>EM10009</t>
  </si>
  <si>
    <t>EMPAQUE</t>
  </si>
  <si>
    <t>Gramos</t>
  </si>
  <si>
    <t>Hershey"s</t>
  </si>
  <si>
    <t>Pelado Hershey"s Kisses</t>
  </si>
  <si>
    <t>SE00669</t>
  </si>
  <si>
    <t>1/2 unidad por torta</t>
  </si>
  <si>
    <t>FAS</t>
  </si>
  <si>
    <t>Rosquete Brownie Redondo  de 400 gramos</t>
  </si>
  <si>
    <t>SE00668</t>
  </si>
  <si>
    <t xml:space="preserve">Para decoracion </t>
  </si>
  <si>
    <t>Ganache Chocolate Oscuro</t>
  </si>
  <si>
    <t>SE00001</t>
  </si>
  <si>
    <t>Marmolear Paredes</t>
  </si>
  <si>
    <t>Richt</t>
  </si>
  <si>
    <t>Crema Bettercream Doble Chocolate</t>
  </si>
  <si>
    <t>MP10006</t>
  </si>
  <si>
    <t xml:space="preserve">Encremado </t>
  </si>
  <si>
    <t>Crema Beidge</t>
  </si>
  <si>
    <t>SE00069</t>
  </si>
  <si>
    <t xml:space="preserve">Decoracion </t>
  </si>
  <si>
    <t>1/4 taza</t>
  </si>
  <si>
    <t>Semi Sweet Chocolate Chips</t>
  </si>
  <si>
    <t>MP10674</t>
  </si>
  <si>
    <t>1/3 Taza</t>
  </si>
  <si>
    <t>1 Taza</t>
  </si>
  <si>
    <t>MOUSSE DE CHOCOLATE DE LECHE</t>
  </si>
  <si>
    <t>SE00468</t>
  </si>
  <si>
    <t>50 g por tapa</t>
  </si>
  <si>
    <t>Leches Pasteurizada Con Agua</t>
  </si>
  <si>
    <t>SE00254</t>
  </si>
  <si>
    <t>Partido a la mitad</t>
  </si>
  <si>
    <t>1 ud</t>
  </si>
  <si>
    <t>Emsamble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</si>
  <si>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</si>
  <si>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</si>
  <si>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</si>
  <si>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</si>
  <si>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</si>
  <si>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</si>
  <si>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</si>
  <si>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</si>
  <si>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</si>
  <si>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AREA QUE EMPACA: </t>
  </si>
  <si>
    <t>Decoracion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</si>
  <si>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</si>
  <si>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</si>
  <si>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</si>
  <si>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</si>
  <si>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</si>
  <si>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</si>
  <si>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</si>
  <si>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</si>
  <si>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</si>
  <si>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</si>
  <si>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ESP-RE-DES-057</t>
  </si>
  <si>
    <t>2, Se actualizan datos de receta, procedimiento y merma</t>
  </si>
  <si>
    <t>EM10431</t>
  </si>
  <si>
    <t>SE00464</t>
  </si>
  <si>
    <t>Rosquete Chocolate Dawn 600g</t>
  </si>
  <si>
    <t>3. Se agrega codigo etiqueta, se cambia rosquete y peso final</t>
  </si>
  <si>
    <t xml:space="preserve"> PTI00235 Ensamble de Torta Hersheys Kisses  Industria</t>
  </si>
  <si>
    <t>1- Partir el Rosquette por la mitad y bañar con la leche ambas tapas ,agregar la mousseRosquete de Brownie en  trozos.</t>
  </si>
  <si>
    <t xml:space="preserve">2, Con ayuda de un disco colocar medio rosquete de Brownie y partirlo en trozos. </t>
  </si>
  <si>
    <t xml:space="preserve">3- Agregar los Semi Sweet chocolate </t>
  </si>
  <si>
    <t>4-Tapar con la otra mitad del rosquette untada con ganache</t>
  </si>
  <si>
    <t>5-Tapizar con la Crema Beige y con la Crema Doble chocolate en el borde para hacer efecto marmoleado</t>
  </si>
  <si>
    <t>6- Colocar medio rosquete de  brownie en trozos en el centro de la torta.</t>
  </si>
  <si>
    <t>4, Se quita taza de medida de del rosquete de brawnie, se actualiza procedimiento.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</si>
</sst>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1"/>
      <color rgb="FFFF0000"/>
      <name val="Century Gothic"/>
      <family val="2"/>
    </font>
    <font>
      <sz val="16"/>
      <name val="Arial"/>
      <family val="2"/>
    </font>
    <font>
      <b/>
      <u/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61">
    <xf numFmtId="0" fontId="0" fillId="0" borderId="0" xfId="0"/>
    <xf numFmtId="0" fontId="1" fillId="0" borderId="2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right"/>
    </xf>
    <xf numFmtId="14" fontId="6" fillId="4" borderId="21" xfId="2" applyNumberFormat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1" fontId="5" fillId="3" borderId="15" xfId="0" applyNumberFormat="1" applyFont="1" applyFill="1" applyBorder="1" applyAlignment="1">
      <alignment horizontal="center" vertical="center"/>
    </xf>
    <xf numFmtId="1" fontId="5" fillId="3" borderId="15" xfId="0" applyNumberFormat="1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5" xfId="0" applyFont="1" applyBorder="1"/>
    <xf numFmtId="0" fontId="7" fillId="0" borderId="15" xfId="0" applyFont="1" applyBorder="1" applyAlignment="1">
      <alignment horizontal="center" vertical="center" wrapText="1"/>
    </xf>
    <xf numFmtId="1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7" fillId="0" borderId="15" xfId="1" applyFont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left" vertical="center"/>
    </xf>
    <xf numFmtId="0" fontId="7" fillId="6" borderId="15" xfId="1" applyFont="1" applyFill="1" applyBorder="1" applyAlignment="1">
      <alignment horizontal="center" vertical="center"/>
    </xf>
    <xf numFmtId="1" fontId="7" fillId="6" borderId="15" xfId="1" applyNumberFormat="1" applyFont="1" applyFill="1" applyBorder="1" applyAlignment="1">
      <alignment horizontal="center" vertical="center"/>
    </xf>
    <xf numFmtId="1" fontId="7" fillId="5" borderId="15" xfId="1" applyNumberFormat="1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left" vertical="center"/>
    </xf>
    <xf numFmtId="0" fontId="7" fillId="7" borderId="15" xfId="1" applyFont="1" applyFill="1" applyBorder="1" applyAlignment="1">
      <alignment horizontal="center" vertical="center"/>
    </xf>
    <xf numFmtId="1" fontId="7" fillId="0" borderId="15" xfId="1" applyNumberFormat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/>
    </xf>
    <xf numFmtId="0" fontId="8" fillId="0" borderId="15" xfId="1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15" xfId="1" applyFont="1" applyBorder="1" applyAlignment="1">
      <alignment vertical="center" wrapText="1"/>
    </xf>
    <xf numFmtId="1" fontId="7" fillId="0" borderId="15" xfId="1" applyNumberFormat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" fontId="7" fillId="0" borderId="11" xfId="0" applyNumberFormat="1" applyFont="1" applyBorder="1" applyAlignment="1">
      <alignment horizontal="center"/>
    </xf>
    <xf numFmtId="1" fontId="7" fillId="0" borderId="11" xfId="0" applyNumberFormat="1" applyFont="1" applyBorder="1" applyAlignment="1">
      <alignment horizontal="center" wrapText="1"/>
    </xf>
    <xf numFmtId="0" fontId="11" fillId="0" borderId="14" xfId="1" applyFont="1" applyBorder="1" applyAlignment="1">
      <alignment horizontal="center"/>
    </xf>
    <xf numFmtId="0" fontId="7" fillId="0" borderId="15" xfId="1" applyFont="1" applyBorder="1"/>
    <xf numFmtId="1" fontId="7" fillId="0" borderId="11" xfId="1" applyNumberFormat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7" fillId="0" borderId="0" xfId="1" applyFont="1" applyAlignment="1">
      <alignment horizontal="left"/>
    </xf>
    <xf numFmtId="1" fontId="9" fillId="0" borderId="15" xfId="0" applyNumberFormat="1" applyFont="1" applyBorder="1" applyAlignment="1">
      <alignment horizontal="center"/>
    </xf>
    <xf numFmtId="1" fontId="7" fillId="0" borderId="15" xfId="1" applyNumberFormat="1" applyFont="1" applyBorder="1" applyAlignment="1">
      <alignment horizontal="center" wrapText="1"/>
    </xf>
    <xf numFmtId="49" fontId="7" fillId="0" borderId="16" xfId="1" applyNumberFormat="1" applyFont="1" applyBorder="1" applyAlignment="1">
      <alignment horizontal="center"/>
    </xf>
    <xf numFmtId="49" fontId="7" fillId="0" borderId="8" xfId="1" applyNumberFormat="1" applyFont="1" applyBorder="1" applyAlignment="1">
      <alignment horizontal="center"/>
    </xf>
    <xf numFmtId="49" fontId="7" fillId="0" borderId="15" xfId="1" applyNumberFormat="1" applyFont="1" applyBorder="1"/>
    <xf numFmtId="1" fontId="7" fillId="0" borderId="31" xfId="0" applyNumberFormat="1" applyFont="1" applyBorder="1" applyAlignment="1">
      <alignment horizontal="center" wrapText="1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165" fontId="11" fillId="0" borderId="15" xfId="1" applyNumberFormat="1" applyFont="1" applyBorder="1"/>
    <xf numFmtId="165" fontId="11" fillId="0" borderId="15" xfId="1" applyNumberFormat="1" applyFont="1" applyBorder="1" applyAlignment="1">
      <alignment horizontal="center"/>
    </xf>
    <xf numFmtId="165" fontId="7" fillId="0" borderId="5" xfId="1" applyNumberFormat="1" applyFont="1" applyBorder="1" applyAlignment="1">
      <alignment horizontal="center"/>
    </xf>
    <xf numFmtId="49" fontId="7" fillId="5" borderId="16" xfId="1" applyNumberFormat="1" applyFont="1" applyFill="1" applyBorder="1" applyAlignment="1">
      <alignment horizontal="center"/>
    </xf>
    <xf numFmtId="49" fontId="7" fillId="5" borderId="8" xfId="1" applyNumberFormat="1" applyFont="1" applyFill="1" applyBorder="1" applyAlignment="1">
      <alignment horizontal="center"/>
    </xf>
    <xf numFmtId="49" fontId="7" fillId="5" borderId="15" xfId="1" applyNumberFormat="1" applyFont="1" applyFill="1" applyBorder="1"/>
    <xf numFmtId="12" fontId="7" fillId="0" borderId="15" xfId="1" applyNumberFormat="1" applyFont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11" fillId="3" borderId="0" xfId="0" applyFont="1" applyFill="1" applyAlignment="1">
      <alignment horizontal="center"/>
    </xf>
    <xf numFmtId="1" fontId="11" fillId="3" borderId="0" xfId="0" applyNumberFormat="1" applyFont="1" applyFill="1" applyAlignment="1">
      <alignment horizontal="center"/>
    </xf>
    <xf numFmtId="164" fontId="7" fillId="3" borderId="0" xfId="0" applyNumberFormat="1" applyFont="1" applyFill="1" applyAlignment="1">
      <alignment horizontal="center" wrapText="1"/>
    </xf>
    <xf numFmtId="0" fontId="7" fillId="3" borderId="21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" fontId="7" fillId="0" borderId="2" xfId="1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11" fillId="0" borderId="7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164" fontId="7" fillId="0" borderId="15" xfId="0" applyNumberFormat="1" applyFont="1" applyBorder="1" applyAlignment="1">
      <alignment horizontal="right" wrapText="1"/>
    </xf>
    <xf numFmtId="164" fontId="7" fillId="0" borderId="9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11" fillId="0" borderId="26" xfId="0" applyFont="1" applyBorder="1" applyAlignment="1">
      <alignment horizontal="right"/>
    </xf>
    <xf numFmtId="0" fontId="11" fillId="0" borderId="25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164" fontId="7" fillId="0" borderId="24" xfId="0" applyNumberFormat="1" applyFont="1" applyBorder="1" applyAlignment="1">
      <alignment horizontal="center"/>
    </xf>
    <xf numFmtId="164" fontId="7" fillId="0" borderId="23" xfId="0" applyNumberFormat="1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3" borderId="22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7" fillId="0" borderId="20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14" fontId="4" fillId="4" borderId="39" xfId="2" applyNumberFormat="1" applyFont="1" applyFill="1" applyBorder="1" applyAlignment="1">
      <alignment horizontal="center" vertical="center" wrapText="1"/>
    </xf>
    <xf numFmtId="14" fontId="4" fillId="4" borderId="37" xfId="2" applyNumberFormat="1" applyFont="1" applyFill="1" applyBorder="1" applyAlignment="1">
      <alignment horizontal="center" vertical="center" wrapText="1"/>
    </xf>
    <xf numFmtId="14" fontId="4" fillId="4" borderId="33" xfId="2" applyNumberFormat="1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left"/>
    </xf>
    <xf numFmtId="0" fontId="4" fillId="4" borderId="2" xfId="2" applyFont="1" applyFill="1" applyBorder="1" applyAlignment="1">
      <alignment horizontal="left"/>
    </xf>
    <xf numFmtId="0" fontId="5" fillId="3" borderId="15" xfId="0" applyFont="1" applyFill="1" applyBorder="1" applyAlignment="1">
      <alignment horizontal="center" vertical="center"/>
    </xf>
    <xf numFmtId="0" fontId="5" fillId="4" borderId="18" xfId="2" applyFont="1" applyFill="1" applyBorder="1" applyAlignment="1">
      <alignment horizontal="center"/>
    </xf>
    <xf numFmtId="0" fontId="5" fillId="4" borderId="32" xfId="2" applyFont="1" applyFill="1" applyBorder="1" applyAlignment="1">
      <alignment horizontal="center"/>
    </xf>
    <xf numFmtId="0" fontId="12" fillId="8" borderId="30" xfId="2" applyFont="1" applyFill="1" applyBorder="1" applyAlignment="1">
      <alignment horizontal="center" vertical="center" wrapText="1"/>
    </xf>
    <xf numFmtId="0" fontId="12" fillId="8" borderId="29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5" fillId="4" borderId="40" xfId="2" applyFont="1" applyFill="1" applyBorder="1" applyAlignment="1">
      <alignment horizontal="right" vertical="top" wrapText="1"/>
    </xf>
    <xf numFmtId="0" fontId="5" fillId="4" borderId="38" xfId="2" applyFont="1" applyFill="1" applyBorder="1" applyAlignment="1">
      <alignment horizontal="right" vertical="top" wrapText="1"/>
    </xf>
    <xf numFmtId="0" fontId="5" fillId="4" borderId="34" xfId="2" applyFont="1" applyFill="1" applyBorder="1" applyAlignment="1">
      <alignment horizontal="right" vertical="top" wrapText="1"/>
    </xf>
    <xf numFmtId="0" fontId="7" fillId="0" borderId="15" xfId="0" applyFont="1" applyBorder="1" applyAlignment="1">
      <alignment horizontal="right"/>
    </xf>
    <xf numFmtId="0" fontId="11" fillId="0" borderId="30" xfId="0" applyFont="1" applyBorder="1" applyAlignment="1">
      <alignment horizontal="right"/>
    </xf>
    <xf numFmtId="0" fontId="11" fillId="0" borderId="29" xfId="0" applyFont="1" applyBorder="1" applyAlignment="1">
      <alignment horizontal="right"/>
    </xf>
    <xf numFmtId="0" fontId="11" fillId="0" borderId="19" xfId="0" applyFont="1" applyBorder="1" applyAlignment="1">
      <alignment horizontal="right"/>
    </xf>
    <xf numFmtId="164" fontId="7" fillId="0" borderId="18" xfId="0" applyNumberFormat="1" applyFont="1" applyBorder="1" applyAlignment="1">
      <alignment horizontal="right"/>
    </xf>
    <xf numFmtId="0" fontId="7" fillId="4" borderId="28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4" fillId="4" borderId="42" xfId="2" applyFont="1" applyFill="1" applyBorder="1" applyAlignment="1">
      <alignment horizontal="center"/>
    </xf>
    <xf numFmtId="0" fontId="4" fillId="4" borderId="41" xfId="2" applyFont="1" applyFill="1" applyBorder="1" applyAlignment="1">
      <alignment horizontal="center"/>
    </xf>
    <xf numFmtId="0" fontId="4" fillId="4" borderId="22" xfId="2" applyFont="1" applyFill="1" applyBorder="1" applyAlignment="1">
      <alignment horizontal="center"/>
    </xf>
    <xf numFmtId="0" fontId="4" fillId="4" borderId="0" xfId="2" applyFont="1" applyFill="1" applyAlignment="1">
      <alignment horizontal="center"/>
    </xf>
    <xf numFmtId="0" fontId="4" fillId="4" borderId="36" xfId="2" applyFont="1" applyFill="1" applyBorder="1" applyAlignment="1">
      <alignment horizontal="center"/>
    </xf>
    <xf numFmtId="0" fontId="4" fillId="4" borderId="35" xfId="2" applyFont="1" applyFill="1" applyBorder="1" applyAlignment="1">
      <alignment horizontal="center"/>
    </xf>
    <xf numFmtId="0" fontId="5" fillId="4" borderId="22" xfId="2" applyFont="1" applyFill="1" applyBorder="1" applyAlignment="1">
      <alignment horizontal="right" vertical="center"/>
    </xf>
    <xf numFmtId="0" fontId="5" fillId="4" borderId="0" xfId="2" applyFont="1" applyFill="1" applyAlignment="1">
      <alignment horizontal="right" vertical="center"/>
    </xf>
    <xf numFmtId="0" fontId="6" fillId="4" borderId="0" xfId="2" applyFont="1" applyFill="1" applyAlignment="1">
      <alignment horizontal="center" vertical="center"/>
    </xf>
    <xf numFmtId="0" fontId="5" fillId="4" borderId="0" xfId="2" applyFont="1" applyFill="1" applyAlignment="1">
      <alignment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6" xfId="0" applyFont="1" applyBorder="1"/>
    <xf numFmtId="0" fontId="9" fillId="0" borderId="8" xfId="0" applyFont="1" applyBorder="1"/>
    <xf numFmtId="0" fontId="7" fillId="0" borderId="13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</cellXfs>
  <cellStyles count="3">
    <cellStyle name="Normal" xfId="0" builtinId="0"/>
    <cellStyle name="Normal 2" xfId="1" xr:uid="{2DDBC5E7-0E7E-4491-99E3-7A5940DF1256}"/>
    <cellStyle name="Normal_CRITERIOS DE EVALUACION PT DE GB 2" xfId="2" xr:uid="{91D1D7B8-FF69-4D3C-B5A7-139D9BD47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71436</xdr:rowOff>
    </xdr:from>
    <xdr:to>
      <xdr:col>1</xdr:col>
      <xdr:colOff>1225848</xdr:colOff>
      <xdr:row>4</xdr:row>
      <xdr:rowOff>119061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C48B0F2-4B49-4B3C-AFCA-A93BBE8C7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" y="71436"/>
          <a:ext cx="2214068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25CF-52AB-4B3B-8186-EF82836D6595}">
  <sheetPr>
    <pageSetUpPr fitToPage="1"/>
  </sheetPr>
  <dimension ref="A1:L51"/>
  <sheetViews>
    <sheetView tabSelected="1" topLeftCell="A15" zoomScale="80" zoomScaleNormal="80" workbookViewId="0">
      <selection activeCell="B30" sqref="B30"/>
    </sheetView>
  </sheetViews>
  <sheetFormatPr baseColWidth="10" defaultRowHeight="14.4" x14ac:dyDescent="0.3"/>
  <cols>
    <col min="1" max="1" width="16.88671875" bestFit="1" customWidth="1"/>
    <col min="2" max="2" width="19.88671875" bestFit="1" customWidth="1"/>
    <col min="3" max="3" width="67" customWidth="1"/>
    <col min="4" max="4" width="18" customWidth="1"/>
    <col min="5" max="5" width="14.88671875" customWidth="1"/>
    <col min="6" max="6" width="13.44140625" customWidth="1"/>
    <col min="7" max="7" width="30.33203125" customWidth="1"/>
    <col min="8" max="8" width="21.109375" customWidth="1"/>
    <col min="9" max="9" width="28" customWidth="1"/>
  </cols>
  <sheetData>
    <row r="1" spans="1:10" x14ac:dyDescent="0.3">
      <c r="A1" s="142"/>
      <c r="B1" s="143"/>
      <c r="C1" s="127" t="s">
        <v>93</v>
      </c>
      <c r="D1" s="127"/>
      <c r="E1" s="127"/>
      <c r="F1" s="127"/>
      <c r="G1" s="127"/>
      <c r="H1" s="5" t="s">
        <v>92</v>
      </c>
      <c r="I1" s="4" t="s">
        <v>94</v>
      </c>
    </row>
    <row r="2" spans="1:10" ht="15" thickBot="1" x14ac:dyDescent="0.35">
      <c r="A2" s="144"/>
      <c r="B2" s="145"/>
      <c r="C2" s="128" t="s">
        <v>91</v>
      </c>
      <c r="D2" s="128"/>
      <c r="E2" s="128"/>
      <c r="F2" s="128"/>
      <c r="G2" s="128"/>
      <c r="H2" s="2" t="s">
        <v>90</v>
      </c>
      <c r="I2" s="3">
        <v>4</v>
      </c>
    </row>
    <row r="3" spans="1:10" ht="24.75" customHeight="1" x14ac:dyDescent="0.3">
      <c r="A3" s="144"/>
      <c r="B3" s="145"/>
      <c r="C3" s="129" t="s">
        <v>100</v>
      </c>
      <c r="D3" s="130"/>
      <c r="E3" s="130"/>
      <c r="F3" s="130"/>
      <c r="G3" s="131"/>
      <c r="H3" s="132" t="s">
        <v>89</v>
      </c>
      <c r="I3" s="121">
        <v>45663</v>
      </c>
    </row>
    <row r="4" spans="1:10" x14ac:dyDescent="0.3">
      <c r="A4" s="144"/>
      <c r="B4" s="145"/>
      <c r="C4" s="2" t="s">
        <v>88</v>
      </c>
      <c r="D4" s="124" t="s">
        <v>87</v>
      </c>
      <c r="E4" s="124"/>
      <c r="F4" s="124"/>
      <c r="G4" s="124"/>
      <c r="H4" s="133"/>
      <c r="I4" s="122"/>
    </row>
    <row r="5" spans="1:10" ht="15" thickBot="1" x14ac:dyDescent="0.35">
      <c r="A5" s="146"/>
      <c r="B5" s="147"/>
      <c r="C5" s="1" t="s">
        <v>86</v>
      </c>
      <c r="D5" s="125" t="s">
        <v>85</v>
      </c>
      <c r="E5" s="125"/>
      <c r="F5" s="125"/>
      <c r="G5" s="125"/>
      <c r="H5" s="134"/>
      <c r="I5" s="123"/>
    </row>
    <row r="6" spans="1:10" x14ac:dyDescent="0.3">
      <c r="A6" s="148" t="s">
        <v>84</v>
      </c>
      <c r="B6" s="149"/>
      <c r="C6" s="149"/>
      <c r="D6" s="150" t="s">
        <v>83</v>
      </c>
      <c r="E6" s="150"/>
      <c r="F6" s="150"/>
      <c r="G6" s="151" t="s">
        <v>82</v>
      </c>
      <c r="H6" s="151"/>
      <c r="I6" s="6" t="s">
        <v>59</v>
      </c>
    </row>
    <row r="7" spans="1:10" x14ac:dyDescent="0.3">
      <c r="A7" s="126" t="s">
        <v>81</v>
      </c>
      <c r="B7" s="152" t="s">
        <v>80</v>
      </c>
      <c r="C7" s="126" t="s">
        <v>79</v>
      </c>
      <c r="D7" s="126" t="s">
        <v>78</v>
      </c>
      <c r="E7" s="126" t="s">
        <v>77</v>
      </c>
      <c r="F7" s="126"/>
      <c r="G7" s="126" t="s">
        <v>76</v>
      </c>
      <c r="H7" s="126"/>
      <c r="I7" s="8" t="s">
        <v>75</v>
      </c>
    </row>
    <row r="8" spans="1:10" ht="27.6" x14ac:dyDescent="0.3">
      <c r="A8" s="126"/>
      <c r="B8" s="153"/>
      <c r="C8" s="126"/>
      <c r="D8" s="126"/>
      <c r="E8" s="9" t="s">
        <v>17</v>
      </c>
      <c r="F8" s="10" t="s">
        <v>74</v>
      </c>
      <c r="G8" s="9" t="s">
        <v>17</v>
      </c>
      <c r="H8" s="10" t="s">
        <v>74</v>
      </c>
      <c r="I8" s="7" t="s">
        <v>73</v>
      </c>
    </row>
    <row r="9" spans="1:10" ht="21" x14ac:dyDescent="0.3">
      <c r="A9" s="11"/>
      <c r="B9" s="11"/>
      <c r="C9" s="12" t="s">
        <v>72</v>
      </c>
      <c r="D9" s="11"/>
      <c r="E9" s="13"/>
      <c r="F9" s="14"/>
      <c r="G9" s="13"/>
      <c r="H9" s="14"/>
      <c r="I9" s="11"/>
    </row>
    <row r="10" spans="1:10" ht="40.799999999999997" x14ac:dyDescent="0.35">
      <c r="A10" s="15"/>
      <c r="B10" s="16" t="s">
        <v>97</v>
      </c>
      <c r="C10" s="17" t="s">
        <v>98</v>
      </c>
      <c r="D10" s="11" t="s">
        <v>46</v>
      </c>
      <c r="E10" s="11">
        <v>510</v>
      </c>
      <c r="F10" s="18" t="s">
        <v>4</v>
      </c>
      <c r="G10" s="18" t="s">
        <v>71</v>
      </c>
      <c r="H10" s="14" t="s">
        <v>70</v>
      </c>
      <c r="I10" s="11"/>
    </row>
    <row r="11" spans="1:10" ht="20.399999999999999" x14ac:dyDescent="0.3">
      <c r="A11" s="19">
        <v>910000003</v>
      </c>
      <c r="B11" s="15" t="s">
        <v>69</v>
      </c>
      <c r="C11" s="20" t="s">
        <v>68</v>
      </c>
      <c r="D11" s="21" t="s">
        <v>46</v>
      </c>
      <c r="E11" s="21">
        <v>100</v>
      </c>
      <c r="F11" s="21" t="s">
        <v>4</v>
      </c>
      <c r="G11" s="13"/>
      <c r="H11" s="14" t="s">
        <v>67</v>
      </c>
      <c r="I11" s="11"/>
      <c r="J11">
        <f>100/1000</f>
        <v>0.1</v>
      </c>
    </row>
    <row r="12" spans="1:10" ht="20.399999999999999" x14ac:dyDescent="0.3">
      <c r="A12" s="19">
        <v>902000168</v>
      </c>
      <c r="B12" s="15" t="s">
        <v>66</v>
      </c>
      <c r="C12" s="20" t="s">
        <v>65</v>
      </c>
      <c r="D12" s="21" t="s">
        <v>46</v>
      </c>
      <c r="E12" s="21">
        <v>150</v>
      </c>
      <c r="F12" s="21" t="s">
        <v>4</v>
      </c>
      <c r="G12" s="13"/>
      <c r="H12" s="14" t="s">
        <v>64</v>
      </c>
      <c r="I12" s="11"/>
      <c r="J12">
        <f>150/1000</f>
        <v>0.15</v>
      </c>
    </row>
    <row r="13" spans="1:10" ht="20.399999999999999" x14ac:dyDescent="0.3">
      <c r="A13" s="19"/>
      <c r="B13" s="22" t="s">
        <v>48</v>
      </c>
      <c r="C13" s="23" t="s">
        <v>47</v>
      </c>
      <c r="D13" s="21" t="s">
        <v>46</v>
      </c>
      <c r="E13" s="24">
        <v>160</v>
      </c>
      <c r="F13" s="21" t="s">
        <v>4</v>
      </c>
      <c r="G13" s="25" t="s">
        <v>45</v>
      </c>
      <c r="H13" s="26"/>
      <c r="I13" s="26"/>
      <c r="J13">
        <v>1</v>
      </c>
    </row>
    <row r="14" spans="1:10" ht="20.399999999999999" x14ac:dyDescent="0.3">
      <c r="A14" s="19">
        <v>908000032</v>
      </c>
      <c r="B14" s="27" t="s">
        <v>51</v>
      </c>
      <c r="C14" s="28" t="s">
        <v>50</v>
      </c>
      <c r="D14" s="29" t="s">
        <v>46</v>
      </c>
      <c r="E14" s="29">
        <v>90</v>
      </c>
      <c r="F14" s="21" t="s">
        <v>4</v>
      </c>
      <c r="G14" s="30"/>
      <c r="H14" s="30" t="s">
        <v>63</v>
      </c>
      <c r="I14" s="30"/>
      <c r="J14">
        <f>110/1000</f>
        <v>0.11</v>
      </c>
    </row>
    <row r="15" spans="1:10" ht="20.399999999999999" x14ac:dyDescent="0.3">
      <c r="A15" s="31"/>
      <c r="B15" s="15" t="s">
        <v>62</v>
      </c>
      <c r="C15" s="32" t="s">
        <v>61</v>
      </c>
      <c r="D15" s="21" t="s">
        <v>42</v>
      </c>
      <c r="E15" s="21">
        <v>40</v>
      </c>
      <c r="F15" s="21" t="s">
        <v>4</v>
      </c>
      <c r="G15" s="30"/>
      <c r="H15" s="30" t="s">
        <v>60</v>
      </c>
      <c r="I15" s="30"/>
    </row>
    <row r="16" spans="1:10" ht="21" x14ac:dyDescent="0.3">
      <c r="A16" s="21"/>
      <c r="B16" s="15"/>
      <c r="C16" s="33" t="s">
        <v>59</v>
      </c>
      <c r="D16" s="21"/>
      <c r="E16" s="21"/>
      <c r="F16" s="21"/>
      <c r="G16" s="30"/>
      <c r="H16" s="21"/>
      <c r="I16" s="21"/>
    </row>
    <row r="17" spans="1:12" ht="20.399999999999999" x14ac:dyDescent="0.3">
      <c r="A17" s="19">
        <v>910000018</v>
      </c>
      <c r="B17" s="15" t="s">
        <v>58</v>
      </c>
      <c r="C17" s="20" t="s">
        <v>57</v>
      </c>
      <c r="D17" s="11" t="s">
        <v>46</v>
      </c>
      <c r="E17" s="13">
        <v>150</v>
      </c>
      <c r="F17" s="14" t="s">
        <v>4</v>
      </c>
      <c r="G17" s="13"/>
      <c r="H17" s="14"/>
      <c r="I17" s="15" t="s">
        <v>56</v>
      </c>
      <c r="J17">
        <f>150/1000</f>
        <v>0.15</v>
      </c>
    </row>
    <row r="18" spans="1:12" ht="20.399999999999999" x14ac:dyDescent="0.3">
      <c r="A18" s="19">
        <v>11400027</v>
      </c>
      <c r="B18" s="15" t="s">
        <v>55</v>
      </c>
      <c r="C18" s="20" t="s">
        <v>54</v>
      </c>
      <c r="D18" s="11" t="s">
        <v>53</v>
      </c>
      <c r="E18" s="13">
        <v>5</v>
      </c>
      <c r="F18" s="14" t="s">
        <v>4</v>
      </c>
      <c r="G18" s="13"/>
      <c r="H18" s="14"/>
      <c r="I18" s="15" t="s">
        <v>52</v>
      </c>
    </row>
    <row r="19" spans="1:12" ht="20.399999999999999" x14ac:dyDescent="0.3">
      <c r="A19" s="19">
        <v>908000032</v>
      </c>
      <c r="B19" s="27" t="s">
        <v>51</v>
      </c>
      <c r="C19" s="28" t="s">
        <v>50</v>
      </c>
      <c r="D19" s="29" t="s">
        <v>46</v>
      </c>
      <c r="E19" s="29">
        <v>10</v>
      </c>
      <c r="F19" s="21" t="s">
        <v>4</v>
      </c>
      <c r="G19" s="30"/>
      <c r="H19" s="30"/>
      <c r="I19" s="15" t="s">
        <v>49</v>
      </c>
    </row>
    <row r="20" spans="1:12" ht="20.399999999999999" x14ac:dyDescent="0.35">
      <c r="A20" s="19"/>
      <c r="B20" s="22" t="s">
        <v>48</v>
      </c>
      <c r="C20" s="23" t="s">
        <v>47</v>
      </c>
      <c r="D20" s="21" t="s">
        <v>46</v>
      </c>
      <c r="E20" s="24">
        <v>160</v>
      </c>
      <c r="F20" s="21" t="s">
        <v>4</v>
      </c>
      <c r="G20" s="25" t="s">
        <v>45</v>
      </c>
      <c r="H20" s="34"/>
      <c r="I20" s="26"/>
    </row>
    <row r="21" spans="1:12" ht="20.399999999999999" x14ac:dyDescent="0.35">
      <c r="A21" s="35"/>
      <c r="B21" s="16" t="s">
        <v>44</v>
      </c>
      <c r="C21" s="36" t="s">
        <v>43</v>
      </c>
      <c r="D21" s="21" t="s">
        <v>42</v>
      </c>
      <c r="E21" s="35">
        <v>12</v>
      </c>
      <c r="F21" s="35" t="s">
        <v>9</v>
      </c>
      <c r="G21" s="37"/>
      <c r="H21" s="35"/>
      <c r="I21" s="35"/>
      <c r="J21">
        <f>12*4.89</f>
        <v>58.679999999999993</v>
      </c>
      <c r="K21" t="s">
        <v>41</v>
      </c>
      <c r="L21">
        <f>58.68/1000</f>
        <v>5.8680000000000003E-2</v>
      </c>
    </row>
    <row r="22" spans="1:12" ht="21" x14ac:dyDescent="0.4">
      <c r="A22" s="31"/>
      <c r="B22" s="16"/>
      <c r="C22" s="38" t="s">
        <v>40</v>
      </c>
      <c r="D22" s="35"/>
      <c r="E22" s="37"/>
      <c r="F22" s="35"/>
      <c r="G22" s="37"/>
      <c r="H22" s="35"/>
      <c r="I22" s="39"/>
    </row>
    <row r="23" spans="1:12" ht="21" x14ac:dyDescent="0.4">
      <c r="A23" s="16"/>
      <c r="B23" s="16"/>
      <c r="C23" s="17"/>
      <c r="D23" s="40"/>
      <c r="E23" s="41"/>
      <c r="F23" s="42"/>
      <c r="G23" s="37"/>
      <c r="H23" s="35"/>
      <c r="I23" s="43"/>
    </row>
    <row r="24" spans="1:12" ht="21" x14ac:dyDescent="0.4">
      <c r="A24" s="35">
        <v>121603</v>
      </c>
      <c r="B24" s="35" t="s">
        <v>39</v>
      </c>
      <c r="C24" s="44" t="s">
        <v>38</v>
      </c>
      <c r="D24" s="21" t="s">
        <v>37</v>
      </c>
      <c r="E24" s="37">
        <v>1</v>
      </c>
      <c r="F24" s="37" t="s">
        <v>9</v>
      </c>
      <c r="G24" s="45"/>
      <c r="H24" s="46"/>
      <c r="I24" s="47"/>
    </row>
    <row r="25" spans="1:12" ht="21" x14ac:dyDescent="0.4">
      <c r="A25" s="35">
        <v>1950692</v>
      </c>
      <c r="B25" s="35" t="s">
        <v>36</v>
      </c>
      <c r="C25" s="48" t="s">
        <v>35</v>
      </c>
      <c r="D25" s="21" t="s">
        <v>28</v>
      </c>
      <c r="E25" s="37">
        <v>1</v>
      </c>
      <c r="F25" s="37" t="s">
        <v>34</v>
      </c>
      <c r="G25" s="45"/>
      <c r="H25" s="46"/>
      <c r="I25" s="47"/>
    </row>
    <row r="26" spans="1:12" ht="21" x14ac:dyDescent="0.4">
      <c r="A26" s="49">
        <v>702069</v>
      </c>
      <c r="B26" s="16" t="s">
        <v>33</v>
      </c>
      <c r="C26" s="17" t="s">
        <v>32</v>
      </c>
      <c r="D26" s="35" t="s">
        <v>18</v>
      </c>
      <c r="E26" s="37">
        <v>1</v>
      </c>
      <c r="F26" s="50" t="s">
        <v>9</v>
      </c>
      <c r="G26" s="37"/>
      <c r="H26" s="35"/>
      <c r="I26" s="43"/>
    </row>
    <row r="27" spans="1:12" ht="20.399999999999999" x14ac:dyDescent="0.35">
      <c r="A27" s="51" t="s">
        <v>31</v>
      </c>
      <c r="B27" s="52" t="s">
        <v>30</v>
      </c>
      <c r="C27" s="53" t="s">
        <v>29</v>
      </c>
      <c r="D27" s="35" t="s">
        <v>28</v>
      </c>
      <c r="E27" s="37">
        <v>60</v>
      </c>
      <c r="F27" s="50" t="s">
        <v>27</v>
      </c>
      <c r="G27" s="45"/>
      <c r="H27" s="54"/>
      <c r="I27" s="55"/>
    </row>
    <row r="28" spans="1:12" ht="20.399999999999999" x14ac:dyDescent="0.35">
      <c r="A28" s="16">
        <v>701096</v>
      </c>
      <c r="B28" s="16" t="s">
        <v>26</v>
      </c>
      <c r="C28" s="17" t="s">
        <v>25</v>
      </c>
      <c r="D28" s="35" t="s">
        <v>24</v>
      </c>
      <c r="E28" s="37">
        <v>1</v>
      </c>
      <c r="F28" s="50" t="s">
        <v>9</v>
      </c>
      <c r="G28" s="45"/>
      <c r="H28" s="54"/>
      <c r="I28" s="15"/>
    </row>
    <row r="29" spans="1:12" ht="20.399999999999999" x14ac:dyDescent="0.35">
      <c r="A29" s="51" t="s">
        <v>23</v>
      </c>
      <c r="B29" s="52" t="s">
        <v>22</v>
      </c>
      <c r="C29" s="53" t="s">
        <v>21</v>
      </c>
      <c r="D29" s="35" t="s">
        <v>20</v>
      </c>
      <c r="E29" s="37">
        <v>1</v>
      </c>
      <c r="F29" s="50" t="s">
        <v>9</v>
      </c>
      <c r="G29" s="41"/>
      <c r="H29" s="54"/>
      <c r="I29" s="56"/>
    </row>
    <row r="30" spans="1:12" ht="21" x14ac:dyDescent="0.4">
      <c r="A30" s="57"/>
      <c r="B30" s="16" t="s">
        <v>96</v>
      </c>
      <c r="C30" s="58" t="s">
        <v>19</v>
      </c>
      <c r="D30" s="35" t="s">
        <v>18</v>
      </c>
      <c r="E30" s="37">
        <v>1</v>
      </c>
      <c r="F30" s="50" t="s">
        <v>9</v>
      </c>
      <c r="G30" s="59"/>
      <c r="H30" s="60"/>
      <c r="I30" s="61"/>
    </row>
    <row r="31" spans="1:12" ht="20.399999999999999" x14ac:dyDescent="0.35">
      <c r="A31" s="62"/>
      <c r="B31" s="63"/>
      <c r="C31" s="64"/>
      <c r="D31" s="35"/>
      <c r="E31" s="37">
        <v>1</v>
      </c>
      <c r="F31" s="50" t="s">
        <v>9</v>
      </c>
      <c r="G31" s="65"/>
      <c r="H31" s="35"/>
      <c r="I31" s="39"/>
    </row>
    <row r="32" spans="1:12" ht="21.6" thickBot="1" x14ac:dyDescent="0.45">
      <c r="A32" s="66"/>
      <c r="B32" s="67"/>
      <c r="C32" s="68"/>
      <c r="D32" s="69" t="s">
        <v>17</v>
      </c>
      <c r="E32" s="70" t="s">
        <v>16</v>
      </c>
      <c r="F32" s="71"/>
      <c r="G32" s="68"/>
      <c r="H32" s="68"/>
      <c r="I32" s="72"/>
    </row>
    <row r="33" spans="1:9" ht="21" x14ac:dyDescent="0.4">
      <c r="A33" s="136" t="s">
        <v>15</v>
      </c>
      <c r="B33" s="137"/>
      <c r="C33" s="138"/>
      <c r="D33" s="37">
        <v>1183</v>
      </c>
      <c r="E33" s="73" t="s">
        <v>4</v>
      </c>
      <c r="F33" s="139" t="s">
        <v>14</v>
      </c>
      <c r="G33" s="139"/>
      <c r="H33" s="140"/>
      <c r="I33" s="141"/>
    </row>
    <row r="34" spans="1:9" ht="21" x14ac:dyDescent="0.4">
      <c r="A34" s="91" t="s">
        <v>13</v>
      </c>
      <c r="B34" s="92"/>
      <c r="C34" s="93"/>
      <c r="D34" s="35">
        <v>8</v>
      </c>
      <c r="E34" s="74" t="s">
        <v>12</v>
      </c>
      <c r="F34" s="135" t="s">
        <v>11</v>
      </c>
      <c r="G34" s="135"/>
      <c r="H34" s="95"/>
      <c r="I34" s="96"/>
    </row>
    <row r="35" spans="1:9" ht="21" x14ac:dyDescent="0.4">
      <c r="A35" s="91" t="s">
        <v>10</v>
      </c>
      <c r="B35" s="92"/>
      <c r="C35" s="93"/>
      <c r="D35" s="37">
        <v>1</v>
      </c>
      <c r="E35" s="74" t="s">
        <v>9</v>
      </c>
      <c r="F35" s="135" t="s">
        <v>8</v>
      </c>
      <c r="G35" s="135"/>
      <c r="H35" s="95"/>
      <c r="I35" s="96"/>
    </row>
    <row r="36" spans="1:9" ht="21" x14ac:dyDescent="0.4">
      <c r="A36" s="91" t="s">
        <v>7</v>
      </c>
      <c r="B36" s="92"/>
      <c r="C36" s="93"/>
      <c r="D36" s="37">
        <v>1183</v>
      </c>
      <c r="E36" s="16" t="s">
        <v>4</v>
      </c>
      <c r="F36" s="94" t="s">
        <v>6</v>
      </c>
      <c r="G36" s="94"/>
      <c r="H36" s="95"/>
      <c r="I36" s="96"/>
    </row>
    <row r="37" spans="1:9" ht="21.6" thickBot="1" x14ac:dyDescent="0.45">
      <c r="A37" s="97" t="s">
        <v>5</v>
      </c>
      <c r="B37" s="98"/>
      <c r="C37" s="99"/>
      <c r="D37" s="75">
        <f>SUM(E10:E21)-D33</f>
        <v>204</v>
      </c>
      <c r="E37" s="76" t="s">
        <v>4</v>
      </c>
      <c r="F37" s="100"/>
      <c r="G37" s="100"/>
      <c r="H37" s="101"/>
      <c r="I37" s="102"/>
    </row>
    <row r="38" spans="1:9" ht="21.6" thickBot="1" x14ac:dyDescent="0.45">
      <c r="A38" s="107" t="s">
        <v>3</v>
      </c>
      <c r="B38" s="108"/>
      <c r="C38" s="108"/>
      <c r="D38" s="108"/>
      <c r="E38" s="108"/>
      <c r="F38" s="108"/>
      <c r="G38" s="108"/>
      <c r="H38" s="108"/>
      <c r="I38" s="109"/>
    </row>
    <row r="39" spans="1:9" ht="20.399999999999999" x14ac:dyDescent="0.35">
      <c r="A39" s="110" t="s">
        <v>101</v>
      </c>
      <c r="B39" s="111"/>
      <c r="C39" s="112"/>
      <c r="D39" s="112"/>
      <c r="E39" s="112"/>
      <c r="F39" s="112"/>
      <c r="G39" s="112"/>
      <c r="H39" s="112"/>
      <c r="I39" s="113"/>
    </row>
    <row r="40" spans="1:9" ht="20.399999999999999" x14ac:dyDescent="0.35">
      <c r="A40" s="114" t="s">
        <v>102</v>
      </c>
      <c r="B40" s="115"/>
      <c r="C40" s="115"/>
      <c r="D40" s="115"/>
      <c r="E40" s="115"/>
      <c r="F40" s="115"/>
      <c r="G40" s="115"/>
      <c r="H40" s="115"/>
      <c r="I40" s="116"/>
    </row>
    <row r="41" spans="1:9" ht="20.399999999999999" x14ac:dyDescent="0.35">
      <c r="A41" s="114" t="s">
        <v>103</v>
      </c>
      <c r="B41" s="115"/>
      <c r="C41" s="115"/>
      <c r="D41" s="115"/>
      <c r="E41" s="115"/>
      <c r="F41" s="115"/>
      <c r="G41" s="115"/>
      <c r="H41" s="115"/>
      <c r="I41" s="116"/>
    </row>
    <row r="42" spans="1:9" ht="20.399999999999999" x14ac:dyDescent="0.35">
      <c r="A42" s="117" t="s">
        <v>104</v>
      </c>
      <c r="B42" s="118"/>
      <c r="C42" s="119"/>
      <c r="D42" s="119"/>
      <c r="E42" s="119"/>
      <c r="F42" s="119"/>
      <c r="G42" s="119"/>
      <c r="H42" s="119"/>
      <c r="I42" s="120"/>
    </row>
    <row r="43" spans="1:9" ht="20.399999999999999" x14ac:dyDescent="0.35">
      <c r="A43" s="154" t="s">
        <v>105</v>
      </c>
      <c r="B43" s="155"/>
      <c r="C43" s="155"/>
      <c r="D43" s="155"/>
      <c r="E43" s="155"/>
      <c r="F43" s="155"/>
      <c r="G43" s="155"/>
      <c r="H43" s="155"/>
      <c r="I43" s="156"/>
    </row>
    <row r="44" spans="1:9" ht="20.399999999999999" x14ac:dyDescent="0.35">
      <c r="A44" s="157" t="s">
        <v>106</v>
      </c>
      <c r="B44" s="158"/>
      <c r="C44" s="159"/>
      <c r="D44" s="159"/>
      <c r="E44" s="159"/>
      <c r="F44" s="159"/>
      <c r="G44" s="159"/>
      <c r="H44" s="159"/>
      <c r="I44" s="160"/>
    </row>
    <row r="45" spans="1:9" ht="20.399999999999999" x14ac:dyDescent="0.35">
      <c r="A45" s="88" t="s">
        <v>2</v>
      </c>
      <c r="B45" s="89"/>
      <c r="C45" s="89"/>
      <c r="D45" s="89"/>
      <c r="E45" s="89"/>
      <c r="F45" s="89"/>
      <c r="G45" s="89"/>
      <c r="H45" s="89"/>
      <c r="I45" s="90"/>
    </row>
    <row r="46" spans="1:9" ht="21" thickBot="1" x14ac:dyDescent="0.4">
      <c r="A46" s="103" t="s">
        <v>1</v>
      </c>
      <c r="B46" s="104"/>
      <c r="C46" s="105"/>
      <c r="D46" s="105"/>
      <c r="E46" s="105"/>
      <c r="F46" s="105"/>
      <c r="G46" s="105"/>
      <c r="H46" s="105"/>
      <c r="I46" s="106"/>
    </row>
    <row r="47" spans="1:9" ht="21" x14ac:dyDescent="0.4">
      <c r="A47" s="77" t="s">
        <v>0</v>
      </c>
      <c r="B47" s="78"/>
      <c r="C47" s="78"/>
      <c r="D47" s="78"/>
      <c r="E47" s="78"/>
      <c r="F47" s="78"/>
      <c r="G47" s="78"/>
      <c r="H47" s="78"/>
      <c r="I47" s="79"/>
    </row>
    <row r="48" spans="1:9" ht="21.6" thickBot="1" x14ac:dyDescent="0.45">
      <c r="A48" s="80" t="s">
        <v>95</v>
      </c>
      <c r="B48" s="81"/>
      <c r="C48" s="82"/>
      <c r="D48" s="82"/>
      <c r="E48" s="82"/>
      <c r="F48" s="82"/>
      <c r="G48" s="82"/>
      <c r="H48" s="82"/>
      <c r="I48" s="83"/>
    </row>
    <row r="49" spans="1:9" ht="21" thickBot="1" x14ac:dyDescent="0.4">
      <c r="A49" s="84" t="s">
        <v>99</v>
      </c>
      <c r="B49" s="85"/>
      <c r="C49" s="86"/>
      <c r="D49" s="86"/>
      <c r="E49" s="86"/>
      <c r="F49" s="86"/>
      <c r="G49" s="86"/>
      <c r="H49" s="86"/>
      <c r="I49" s="87"/>
    </row>
    <row r="50" spans="1:9" ht="21" thickBot="1" x14ac:dyDescent="0.4">
      <c r="A50" s="84" t="s">
        <v>107</v>
      </c>
      <c r="B50" s="85"/>
      <c r="C50" s="86"/>
      <c r="D50" s="86"/>
      <c r="E50" s="86"/>
      <c r="F50" s="86"/>
      <c r="G50" s="86"/>
      <c r="H50" s="86"/>
      <c r="I50" s="87"/>
    </row>
    <row r="51" spans="1:9" ht="21" thickBot="1" x14ac:dyDescent="0.4">
      <c r="A51" s="84"/>
      <c r="B51" s="85"/>
      <c r="C51" s="86"/>
      <c r="D51" s="86"/>
      <c r="E51" s="86"/>
      <c r="F51" s="86"/>
      <c r="G51" s="86"/>
      <c r="H51" s="86"/>
      <c r="I51" s="87"/>
    </row>
  </sheetData>
  <mergeCells count="46">
    <mergeCell ref="A35:C35"/>
    <mergeCell ref="F35:G35"/>
    <mergeCell ref="H35:I35"/>
    <mergeCell ref="A40:I40"/>
    <mergeCell ref="A1:B5"/>
    <mergeCell ref="A6:C6"/>
    <mergeCell ref="D6:F6"/>
    <mergeCell ref="G6:H6"/>
    <mergeCell ref="A7:A8"/>
    <mergeCell ref="B7:B8"/>
    <mergeCell ref="A34:C34"/>
    <mergeCell ref="F34:G34"/>
    <mergeCell ref="H34:I34"/>
    <mergeCell ref="E7:F7"/>
    <mergeCell ref="A33:C33"/>
    <mergeCell ref="F33:G33"/>
    <mergeCell ref="H33:I33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46:I46"/>
    <mergeCell ref="A38:I38"/>
    <mergeCell ref="A39:I39"/>
    <mergeCell ref="A41:I41"/>
    <mergeCell ref="A42:I42"/>
    <mergeCell ref="A43:I43"/>
    <mergeCell ref="A44:I44"/>
    <mergeCell ref="A45:I45"/>
    <mergeCell ref="A36:C36"/>
    <mergeCell ref="F36:G36"/>
    <mergeCell ref="H36:I36"/>
    <mergeCell ref="A37:C37"/>
    <mergeCell ref="F37:G37"/>
    <mergeCell ref="H37:I37"/>
    <mergeCell ref="A47:I47"/>
    <mergeCell ref="A48:I48"/>
    <mergeCell ref="A49:I49"/>
    <mergeCell ref="A50:I50"/>
    <mergeCell ref="A51:I51"/>
  </mergeCells>
  <pageMargins left="0.7" right="0.7" top="0.75" bottom="0.75" header="0.3" footer="0.3"/>
  <pageSetup scale="3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39DCE4-6B10-4D5C-912C-FD90ACAF7984}"/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Industria 3</vt:lpstr>
      <vt:lpstr>'Ensamble Industria 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Valery Cerdas</cp:lastModifiedBy>
  <cp:lastPrinted>2025-11-28T15:42:31Z</cp:lastPrinted>
  <dcterms:created xsi:type="dcterms:W3CDTF">2025-01-06T20:55:42Z</dcterms:created>
  <dcterms:modified xsi:type="dcterms:W3CDTF">2026-05-13T14:39:17Z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
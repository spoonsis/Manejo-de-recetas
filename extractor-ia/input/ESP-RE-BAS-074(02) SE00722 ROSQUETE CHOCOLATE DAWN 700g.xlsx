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FA979B47-6070-4F23-B06E-3514C5A957B1}" xr6:coauthVersionLast="47" xr6:coauthVersionMax="47" xr10:uidLastSave="{00000000-0000-0000-0000-000000000000}"/>
  <bookViews>
    <workbookView xWindow="-120" yWindow="-120" windowWidth="20730" windowHeight="11040" tabRatio="787" firstSheet="5" activeTab="5" xr2:uid="{25C849DD-1441-4BDA-BA6B-C15E8A13C968}"/>
  </bookViews>
  <sheets>
    <sheet name="Torta  choco 1 rell Actual" sheetId="4" state="hidden" r:id="rId1"/>
    <sheet name="Costo Actual " sheetId="5" state="hidden" r:id="rId2"/>
    <sheet name="Torta  Choc 1 Rell Reing" sheetId="2" state="hidden" r:id="rId3"/>
    <sheet name="Costo Reing" sheetId="6" state="hidden" r:id="rId4"/>
    <sheet name="Rosquete Chocolate Danw 650g" sheetId="3" state="hidden" r:id="rId5"/>
    <sheet name="Rosquete 700" sheetId="8" r:id="rId6"/>
    <sheet name="Costo Rosquete 650" sheetId="7" state="hidden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8" l="1"/>
  <c r="L33" i="6"/>
  <c r="D74" i="7" l="1"/>
  <c r="D76" i="7" s="1"/>
  <c r="D73" i="7"/>
  <c r="D71" i="7"/>
  <c r="D69" i="7"/>
  <c r="F65" i="7"/>
  <c r="C73" i="7" s="1"/>
  <c r="C85" i="7" s="1"/>
  <c r="D60" i="7"/>
  <c r="D85" i="7" s="1"/>
  <c r="D86" i="7" s="1"/>
  <c r="E51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A47" i="7"/>
  <c r="C47" i="7" s="1"/>
  <c r="E46" i="7"/>
  <c r="D46" i="7"/>
  <c r="B46" i="7"/>
  <c r="E45" i="7"/>
  <c r="D45" i="7"/>
  <c r="B45" i="7"/>
  <c r="E44" i="7"/>
  <c r="D44" i="7"/>
  <c r="B44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F38" i="7" s="1"/>
  <c r="D38" i="7"/>
  <c r="C38" i="7"/>
  <c r="B38" i="7"/>
  <c r="A38" i="7"/>
  <c r="E37" i="7"/>
  <c r="D37" i="7"/>
  <c r="B37" i="7"/>
  <c r="A37" i="7"/>
  <c r="A46" i="7" s="1"/>
  <c r="C46" i="7" s="1"/>
  <c r="E36" i="7"/>
  <c r="D36" i="7"/>
  <c r="B36" i="7"/>
  <c r="A36" i="7"/>
  <c r="C36" i="7" s="1"/>
  <c r="E35" i="7"/>
  <c r="D35" i="7"/>
  <c r="B35" i="7"/>
  <c r="A35" i="7"/>
  <c r="C35" i="7" s="1"/>
  <c r="E32" i="7"/>
  <c r="F32" i="7" s="1"/>
  <c r="D32" i="7"/>
  <c r="C32" i="7"/>
  <c r="B32" i="7"/>
  <c r="E31" i="7"/>
  <c r="F31" i="7" s="1"/>
  <c r="D31" i="7"/>
  <c r="C31" i="7"/>
  <c r="B31" i="7"/>
  <c r="E30" i="7"/>
  <c r="D30" i="7"/>
  <c r="C30" i="7"/>
  <c r="B30" i="7"/>
  <c r="E29" i="7"/>
  <c r="F29" i="7" s="1"/>
  <c r="D29" i="7"/>
  <c r="C29" i="7"/>
  <c r="B29" i="7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D18" i="7"/>
  <c r="C18" i="7"/>
  <c r="F18" i="7" s="1"/>
  <c r="B18" i="7"/>
  <c r="C17" i="7"/>
  <c r="B15" i="7"/>
  <c r="F14" i="7"/>
  <c r="E14" i="7"/>
  <c r="D14" i="7"/>
  <c r="C14" i="7"/>
  <c r="B14" i="7"/>
  <c r="E13" i="7"/>
  <c r="D13" i="7"/>
  <c r="C13" i="7"/>
  <c r="F13" i="7" s="1"/>
  <c r="B13" i="7"/>
  <c r="E12" i="7"/>
  <c r="D12" i="7"/>
  <c r="C12" i="7"/>
  <c r="F12" i="7" s="1"/>
  <c r="B12" i="7"/>
  <c r="E11" i="7"/>
  <c r="D11" i="7"/>
  <c r="C11" i="7"/>
  <c r="F11" i="7" s="1"/>
  <c r="B11" i="7"/>
  <c r="E10" i="7"/>
  <c r="D10" i="7"/>
  <c r="C10" i="7"/>
  <c r="B10" i="7"/>
  <c r="E9" i="7"/>
  <c r="D9" i="7"/>
  <c r="C9" i="7"/>
  <c r="F9" i="7" s="1"/>
  <c r="B9" i="7"/>
  <c r="E8" i="7"/>
  <c r="D8" i="7"/>
  <c r="C8" i="7"/>
  <c r="F8" i="7" s="1"/>
  <c r="B8" i="7"/>
  <c r="H6" i="7"/>
  <c r="L33" i="5"/>
  <c r="D49" i="2"/>
  <c r="D41" i="3"/>
  <c r="F30" i="7" l="1"/>
  <c r="F10" i="7"/>
  <c r="F47" i="7"/>
  <c r="F51" i="7"/>
  <c r="E85" i="7"/>
  <c r="C37" i="7"/>
  <c r="F39" i="7"/>
  <c r="F37" i="7"/>
  <c r="F28" i="7"/>
  <c r="F27" i="7"/>
  <c r="F17" i="7"/>
  <c r="F53" i="7" s="1"/>
  <c r="F40" i="7"/>
  <c r="F50" i="7"/>
  <c r="F46" i="7"/>
  <c r="F36" i="7"/>
  <c r="F35" i="7"/>
  <c r="C41" i="7"/>
  <c r="F41" i="7" s="1"/>
  <c r="A45" i="7"/>
  <c r="C45" i="7" s="1"/>
  <c r="F45" i="7" s="1"/>
  <c r="D81" i="7"/>
  <c r="A49" i="7"/>
  <c r="C49" i="7" s="1"/>
  <c r="F49" i="7" s="1"/>
  <c r="E73" i="7"/>
  <c r="D83" i="7"/>
  <c r="A44" i="7"/>
  <c r="C44" i="7" s="1"/>
  <c r="F44" i="7" s="1"/>
  <c r="A48" i="7"/>
  <c r="C48" i="7" s="1"/>
  <c r="F48" i="7" s="1"/>
  <c r="C69" i="7" l="1"/>
  <c r="F64" i="7"/>
  <c r="H53" i="7"/>
  <c r="F2" i="7" s="1"/>
  <c r="F56" i="7"/>
  <c r="F54" i="7"/>
  <c r="C76" i="7" l="1"/>
  <c r="E76" i="7" s="1"/>
  <c r="H54" i="7"/>
  <c r="G2" i="7" s="1"/>
  <c r="E69" i="7"/>
  <c r="C81" i="7"/>
  <c r="E81" i="7" s="1"/>
  <c r="H56" i="7"/>
  <c r="C74" i="7"/>
  <c r="F55" i="7"/>
  <c r="H55" i="7" l="1"/>
  <c r="O54" i="7"/>
  <c r="F63" i="7"/>
  <c r="C86" i="7"/>
  <c r="E86" i="7" s="1"/>
  <c r="E74" i="7"/>
  <c r="O55" i="7"/>
  <c r="H58" i="7"/>
  <c r="H59" i="7" s="1"/>
  <c r="O58" i="7" s="1"/>
  <c r="H2" i="7"/>
  <c r="E78" i="7"/>
  <c r="C71" i="7" l="1"/>
  <c r="E63" i="7"/>
  <c r="F66" i="7"/>
  <c r="O56" i="7"/>
  <c r="O57" i="7" s="1"/>
  <c r="O59" i="7" s="1"/>
  <c r="G38" i="7" l="1"/>
  <c r="G66" i="7"/>
  <c r="G65" i="7"/>
  <c r="G20" i="7"/>
  <c r="G51" i="7"/>
  <c r="G17" i="7"/>
  <c r="G9" i="7"/>
  <c r="G29" i="7"/>
  <c r="G23" i="7"/>
  <c r="G31" i="7"/>
  <c r="G8" i="7"/>
  <c r="G22" i="7"/>
  <c r="G28" i="7"/>
  <c r="G12" i="7"/>
  <c r="G24" i="7"/>
  <c r="G47" i="7"/>
  <c r="G39" i="7"/>
  <c r="G21" i="7"/>
  <c r="G19" i="7"/>
  <c r="G14" i="7"/>
  <c r="G37" i="7"/>
  <c r="G10" i="7"/>
  <c r="G32" i="7"/>
  <c r="G27" i="7"/>
  <c r="G30" i="7"/>
  <c r="G13" i="7"/>
  <c r="G11" i="7"/>
  <c r="G18" i="7"/>
  <c r="G40" i="7"/>
  <c r="G36" i="7"/>
  <c r="G35" i="7"/>
  <c r="G49" i="7"/>
  <c r="G45" i="7"/>
  <c r="G41" i="7"/>
  <c r="G46" i="7"/>
  <c r="G53" i="7"/>
  <c r="G44" i="7"/>
  <c r="G50" i="7"/>
  <c r="G48" i="7"/>
  <c r="G54" i="7"/>
  <c r="G56" i="7"/>
  <c r="G64" i="7"/>
  <c r="G55" i="7"/>
  <c r="C83" i="7"/>
  <c r="E83" i="7" s="1"/>
  <c r="E71" i="7"/>
  <c r="O60" i="7"/>
  <c r="O61" i="7" s="1"/>
  <c r="O62" i="7" s="1"/>
  <c r="G63" i="7"/>
  <c r="P62" i="7" l="1"/>
  <c r="E2" i="7"/>
</calcChain>
</file>

<file path=xl/sharedStrings.xml><?xml version="1.0" encoding="utf-8"?>
<sst xmlns="http://schemas.openxmlformats.org/spreadsheetml/2006/main" count="810" uniqueCount="250">
  <si>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</si>
  <si>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</si>
  <si>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</si>
  <si>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</si>
  <si>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</si>
  <si>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</si>
  <si>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</si>
  <si>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</si>
  <si>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</si>
  <si>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</si>
  <si>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</si>
  <si>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</si>
  <si>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</si>
  <si>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</si>
  <si>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</si>
  <si>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</si>
  <si>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</si>
  <si>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</si>
  <si>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</si>
  <si>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</si>
  <si>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</si>
  <si>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 xml:space="preserve">TRASVASADO LECHE CONDENSADA COCINADA </t>
  </si>
  <si>
    <t>Decoración</t>
  </si>
  <si>
    <t>EMPAQUE FUDGE DE CHOCOLATE SPOON</t>
  </si>
  <si>
    <t>CHOCOLATE RALLADO RIZOS</t>
  </si>
  <si>
    <t>STICK DORADO (CAJA:100 UND)</t>
  </si>
  <si>
    <t>CHOCOLATE SOLUTIONS</t>
  </si>
  <si>
    <t>ud</t>
  </si>
  <si>
    <t>Empaque</t>
  </si>
  <si>
    <t>QUEQUERA RED  BASE/DOMO 10 (CAJA:50)</t>
  </si>
  <si>
    <t>MAYCA</t>
  </si>
  <si>
    <t>ORLA CARTON 10" DORADA UND</t>
  </si>
  <si>
    <t>Ud</t>
  </si>
  <si>
    <t>702175</t>
  </si>
  <si>
    <t>ETIQUETA SPOON GRANDE V-272</t>
  </si>
  <si>
    <t>0703020</t>
  </si>
  <si>
    <t>CINTA ADHESIVA TRANSPARENTE 2*100</t>
  </si>
  <si>
    <t>cm</t>
  </si>
  <si>
    <t>0702069</t>
  </si>
  <si>
    <t>ETIQ.BLANCA 1 1/4 * 3/4</t>
  </si>
  <si>
    <t>0702007</t>
  </si>
  <si>
    <t>ETIQ.FECHA VENCIMIENTO BLANCO</t>
  </si>
  <si>
    <t>0702123</t>
  </si>
  <si>
    <t>ETIQUETA BLANCA 2 5/8X1 15/16 PRE BLANCA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</si>
  <si>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</si>
  <si>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</si>
  <si>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</si>
  <si>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</si>
  <si>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</si>
  <si>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</si>
  <si>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</si>
  <si>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</si>
  <si>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</si>
  <si>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</si>
  <si>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</si>
  <si>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</si>
  <si>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</si>
  <si>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Se utilizan 2 mitades de rosquete.</t>
  </si>
  <si>
    <t>2.- Rellenar con leche condensada cocinada, tapar. Colocar sobre la orla.</t>
  </si>
  <si>
    <t xml:space="preserve">3.- Encremar con el fudge de chocolate y pasar el peine metalico a los costados. </t>
  </si>
  <si>
    <t>4.- Decorar con colocho de fudge en borde. Colocar chocolate rallado en la superficie y decorar con 1 stick dorado partido por la mitad.</t>
  </si>
  <si>
    <t>5.- Colocar la torta dentro del domo, etiquetar con etiqueta Spoon, nombre del producto y codigo de barras, fecha juliana y fecha de vencimiento.</t>
  </si>
  <si>
    <t>CONTROL DE CAMBIOS</t>
  </si>
  <si>
    <t>SE00386</t>
  </si>
  <si>
    <t>SE00337</t>
  </si>
  <si>
    <t>MP10011</t>
  </si>
  <si>
    <t>EM10009</t>
  </si>
  <si>
    <t>EM10008</t>
  </si>
  <si>
    <t>EM10006</t>
  </si>
  <si>
    <t>902000164</t>
  </si>
  <si>
    <t>SE00465</t>
  </si>
  <si>
    <t>EM10248</t>
  </si>
  <si>
    <t>EM10002</t>
  </si>
  <si>
    <t>EM10011</t>
  </si>
  <si>
    <t>EM10004</t>
  </si>
  <si>
    <t>PTI00153 Torta chocolate Spoon (1 Relleno)</t>
  </si>
  <si>
    <t>01</t>
  </si>
  <si>
    <t>AREA QUE PRODUCE:</t>
  </si>
  <si>
    <t xml:space="preserve">AREA QUE EMPACA: </t>
  </si>
  <si>
    <t>Decoracion</t>
  </si>
  <si>
    <t># Código Netsuite</t>
  </si>
  <si>
    <t>1 UND</t>
  </si>
  <si>
    <t>1 1/2 TAZA</t>
  </si>
  <si>
    <t>COLOCHO BOQUIILA 2D</t>
  </si>
  <si>
    <t>2 CUCHARADAS</t>
  </si>
  <si>
    <t>LITOGRAFIA CR</t>
  </si>
  <si>
    <t>CEMUSA</t>
  </si>
  <si>
    <t>ETIPLAST</t>
  </si>
  <si>
    <t>ESP-RE-DES-047</t>
  </si>
  <si>
    <t>Batidos</t>
  </si>
  <si>
    <t>SE00342</t>
  </si>
  <si>
    <t>BATIDO NUCLEO CHOCOLATE DAWN</t>
  </si>
  <si>
    <t>MEZCLA P/ENGRASE MOLDES KILO</t>
  </si>
  <si>
    <t>AS00028</t>
  </si>
  <si>
    <t>BOLSA TRANSPARENTE 56X96X1.80 KILO</t>
  </si>
  <si>
    <t>PLASTICOS P</t>
  </si>
  <si>
    <t>ETIQUETA BLANCA 2 5/8X1 15/16 (UND)</t>
  </si>
  <si>
    <t>ETIQ.FECHA VENCIMIENTO BLANCO (ROLLO)</t>
  </si>
  <si>
    <t/>
  </si>
  <si>
    <t>Min</t>
  </si>
  <si>
    <t>2.- Enfriar y colocar en latas limpias, 12 unidades por lata, envolver en bolsa plastica y etiquetar con fecha de producción.</t>
  </si>
  <si>
    <t>Mariela Barrantes Sánchez, Chef</t>
  </si>
  <si>
    <t>1.- Dosificar 650g de mezcla en moldes engrasados. Hornear a 150°C por 65 min</t>
  </si>
  <si>
    <t xml:space="preserve"> ROSQUETE CHOCOLATE DAWN 650g</t>
  </si>
  <si>
    <t>ROSQUETE CHOCOLATE DAWN 650g</t>
  </si>
  <si>
    <t>NUEVO</t>
  </si>
  <si>
    <t xml:space="preserve">2, Se cambia el rosquete y se actualiza peso final. </t>
  </si>
  <si>
    <t>907000319</t>
  </si>
  <si>
    <t>SE00464</t>
  </si>
  <si>
    <t>ROSQUETE CHOCOLATE DAWN 600g</t>
  </si>
  <si>
    <t>FILTROS :</t>
  </si>
  <si>
    <t>SUBSIDIARIA</t>
  </si>
  <si>
    <t>Empresa principal : Servicios de Pastelería S.A.</t>
  </si>
  <si>
    <t>ARTÍCULO</t>
  </si>
  <si>
    <t>PTI00153 Torta de Chocolate 1 Relleno 1200 grs</t>
  </si>
  <si>
    <t>UBICACIÓN</t>
  </si>
  <si>
    <t>Bodega Administrativa</t>
  </si>
  <si>
    <t>LISTA DE MATERIALES</t>
  </si>
  <si>
    <t>BOM PTI00153</t>
  </si>
  <si>
    <t>CONTROL DE VISUALIZACIÓN</t>
  </si>
  <si>
    <t>Por revisión</t>
  </si>
  <si>
    <t>FECHA/FECHA EFECTIVA</t>
  </si>
  <si>
    <t>01/08/2023</t>
  </si>
  <si>
    <t>REVISIÓN DE LISTA DE MATERIALES</t>
  </si>
  <si>
    <t>REV V1 BOM PTI00153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</si>
  <si>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</si>
  <si>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</si>
  <si>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</si>
  <si>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</si>
  <si>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</si>
  <si>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</si>
  <si>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</si>
  <si>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</si>
  <si>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</si>
  <si>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</si>
  <si>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</si>
  <si>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CRC4,525.26</t>
  </si>
  <si>
    <t>CRC4,525.26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</si>
  <si>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</si>
  <si>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</si>
  <si>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</si>
  <si>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</si>
  <si>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</si>
  <si>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</si>
  <si>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</si>
  <si>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</si>
  <si>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</si>
  <si>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</si>
  <si>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</si>
  <si>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Stick Dorado</t>
  </si>
  <si>
    <t>100%</t>
  </si>
  <si>
    <t>58.38</t>
  </si>
  <si>
    <t>Quequera Red  Base/Domo 10</t>
  </si>
  <si>
    <t>427.404</t>
  </si>
  <si>
    <t>427.40</t>
  </si>
  <si>
    <t>Orla Carton 10" Dorada</t>
  </si>
  <si>
    <t>112.008</t>
  </si>
  <si>
    <t>112.01</t>
  </si>
  <si>
    <t>Etiqueta Impres Spoon Grande V-272</t>
  </si>
  <si>
    <t>52.3512</t>
  </si>
  <si>
    <t>52.35</t>
  </si>
  <si>
    <t>Etiq.Blanca 1 1/4 * 3/4</t>
  </si>
  <si>
    <t>0.58</t>
  </si>
  <si>
    <t>Etiqueta Blanca 2 5/8X1 15/16</t>
  </si>
  <si>
    <t>2.128</t>
  </si>
  <si>
    <t>2.13</t>
  </si>
  <si>
    <t>SC-GIF1</t>
  </si>
  <si>
    <t>Gastos Indirectos Fabricación</t>
  </si>
  <si>
    <t>9</t>
  </si>
  <si>
    <t>64.00</t>
  </si>
  <si>
    <t>576.00</t>
  </si>
  <si>
    <t>SC-MO1</t>
  </si>
  <si>
    <t>Mano de Obra</t>
  </si>
  <si>
    <t>77.00</t>
  </si>
  <si>
    <t>693.00</t>
  </si>
  <si>
    <t>Empaque Fudge De Chocolate</t>
  </si>
  <si>
    <t>0.35</t>
  </si>
  <si>
    <t>2,441.66546338</t>
  </si>
  <si>
    <t>KILOGRAMOS</t>
  </si>
  <si>
    <t>854.58</t>
  </si>
  <si>
    <t>Trasvasado de leche condensada cocinada</t>
  </si>
  <si>
    <t>0.4</t>
  </si>
  <si>
    <t>2,204.4769969</t>
  </si>
  <si>
    <t>881.79</t>
  </si>
  <si>
    <t>Rosquete Chocolate Dawn 600g</t>
  </si>
  <si>
    <t>744.77485463</t>
  </si>
  <si>
    <t>744.77</t>
  </si>
  <si>
    <t>Procesado Chocolate Rallado Oscuro Rizos</t>
  </si>
  <si>
    <t>0.02</t>
  </si>
  <si>
    <t>6,113.3398</t>
  </si>
  <si>
    <t>122.27</t>
  </si>
  <si>
    <t>Precio
Local</t>
  </si>
  <si>
    <t>Costo MP</t>
  </si>
  <si>
    <t>Costo EM</t>
  </si>
  <si>
    <t>Costo MO</t>
  </si>
  <si>
    <t xml:space="preserve">ESTRUCTURA DE COSTOS </t>
  </si>
  <si>
    <t>Fecha:</t>
  </si>
  <si>
    <t>DESCRIPCION MAT.PRIMA</t>
  </si>
  <si>
    <t>UND
MEDIDA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</si>
  <si>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</si>
  <si>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</si>
  <si>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</si>
  <si>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</si>
  <si>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</si>
  <si>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</si>
  <si>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</si>
  <si>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</si>
  <si>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</si>
  <si>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</si>
  <si>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</si>
  <si>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</si>
  <si>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</si>
  <si>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</si>
  <si>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</si>
  <si>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</si>
  <si>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</si>
  <si>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</si>
  <si>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</si>
  <si>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</si>
  <si>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</si>
  <si>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</si>
  <si>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</si>
  <si>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</si>
  <si>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</si>
  <si>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</si>
  <si>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</si>
  <si>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</si>
  <si>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</si>
  <si>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</si>
  <si>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</si>
  <si>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</si>
  <si>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</si>
  <si>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</si>
  <si>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</si>
  <si>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</si>
  <si>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</si>
  <si>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</si>
  <si>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</si>
  <si>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</si>
  <si>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</si>
  <si>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</si>
  <si>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</si>
  <si>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SE00701</t>
  </si>
  <si>
    <t>902000019</t>
  </si>
  <si>
    <t>Rosquete Chocolate Dawn 650g</t>
  </si>
  <si>
    <t>ESP-RE-BAS-074</t>
  </si>
  <si>
    <t>SE00722 ROSQUETE CHOCOLATE DAWN 700g</t>
  </si>
  <si>
    <t>1.- Dosificar 700g de mezcla en moldes engrasados. Hornear a 150°C por 65 min</t>
  </si>
  <si>
    <t xml:space="preserve">2, Se actualiza dato receta pero por porción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</si>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</sst>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" fillId="0" borderId="0"/>
    <xf numFmtId="0" fontId="15" fillId="0" borderId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385">
    <xf numFmtId="0" fontId="0" fillId="0" borderId="0" xfId="0"/>
    <xf numFmtId="0" fontId="4" fillId="2" borderId="1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49" fontId="2" fillId="2" borderId="5" xfId="1" applyNumberFormat="1" applyFont="1" applyFill="1" applyBorder="1" applyAlignment="1">
      <alignment horizontal="center"/>
    </xf>
    <xf numFmtId="0" fontId="2" fillId="2" borderId="9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0" fontId="4" fillId="4" borderId="2" xfId="2" applyFont="1" applyFill="1" applyBorder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4" fillId="4" borderId="22" xfId="2" applyFont="1" applyFill="1" applyBorder="1" applyAlignment="1">
      <alignment horizontal="center"/>
    </xf>
    <xf numFmtId="0" fontId="7" fillId="0" borderId="23" xfId="2" applyFont="1" applyBorder="1" applyAlignment="1">
      <alignment horizontal="center" vertical="center"/>
    </xf>
    <xf numFmtId="0" fontId="8" fillId="0" borderId="4" xfId="2" applyFont="1" applyBorder="1" applyAlignment="1">
      <alignment vertical="center"/>
    </xf>
    <xf numFmtId="0" fontId="7" fillId="0" borderId="4" xfId="2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/>
    </xf>
    <xf numFmtId="1" fontId="7" fillId="0" borderId="4" xfId="2" applyNumberFormat="1" applyFont="1" applyBorder="1" applyAlignment="1">
      <alignment horizontal="center" wrapText="1"/>
    </xf>
    <xf numFmtId="0" fontId="9" fillId="0" borderId="5" xfId="2" applyFont="1" applyBorder="1" applyAlignment="1">
      <alignment horizontal="center"/>
    </xf>
    <xf numFmtId="49" fontId="9" fillId="0" borderId="23" xfId="2" applyNumberFormat="1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1" fontId="9" fillId="0" borderId="4" xfId="2" applyNumberFormat="1" applyFont="1" applyBorder="1" applyAlignment="1">
      <alignment horizontal="center"/>
    </xf>
    <xf numFmtId="1" fontId="9" fillId="0" borderId="4" xfId="2" applyNumberFormat="1" applyFont="1" applyBorder="1" applyAlignment="1">
      <alignment horizontal="center" wrapText="1"/>
    </xf>
    <xf numFmtId="12" fontId="9" fillId="0" borderId="4" xfId="2" applyNumberFormat="1" applyFont="1" applyBorder="1" applyAlignment="1">
      <alignment horizontal="center"/>
    </xf>
    <xf numFmtId="164" fontId="7" fillId="0" borderId="4" xfId="2" applyNumberFormat="1" applyFont="1" applyBorder="1" applyAlignment="1">
      <alignment horizontal="center"/>
    </xf>
    <xf numFmtId="164" fontId="9" fillId="0" borderId="4" xfId="2" applyNumberFormat="1" applyFont="1" applyBorder="1" applyAlignment="1">
      <alignment horizontal="center"/>
    </xf>
    <xf numFmtId="49" fontId="10" fillId="0" borderId="4" xfId="2" applyNumberFormat="1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49" fontId="7" fillId="0" borderId="25" xfId="2" applyNumberFormat="1" applyFont="1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/>
    </xf>
    <xf numFmtId="49" fontId="14" fillId="2" borderId="6" xfId="2" applyNumberFormat="1" applyFont="1" applyFill="1" applyBorder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5" fontId="2" fillId="2" borderId="0" xfId="2" applyNumberFormat="1" applyFont="1" applyFill="1" applyAlignment="1">
      <alignment horizontal="center" wrapText="1"/>
    </xf>
    <xf numFmtId="0" fontId="2" fillId="2" borderId="26" xfId="2" applyFont="1" applyFill="1" applyBorder="1" applyAlignment="1">
      <alignment horizontal="center"/>
    </xf>
    <xf numFmtId="0" fontId="2" fillId="4" borderId="27" xfId="2" applyFont="1" applyFill="1" applyBorder="1" applyAlignment="1">
      <alignment horizontal="center"/>
    </xf>
    <xf numFmtId="0" fontId="2" fillId="4" borderId="28" xfId="2" applyFont="1" applyFill="1" applyBorder="1"/>
    <xf numFmtId="0" fontId="4" fillId="4" borderId="28" xfId="2" applyFont="1" applyFill="1" applyBorder="1" applyAlignment="1">
      <alignment horizontal="center"/>
    </xf>
    <xf numFmtId="1" fontId="4" fillId="4" borderId="28" xfId="2" applyNumberFormat="1" applyFont="1" applyFill="1" applyBorder="1" applyAlignment="1">
      <alignment horizontal="center"/>
    </xf>
    <xf numFmtId="165" fontId="2" fillId="4" borderId="28" xfId="2" applyNumberFormat="1" applyFont="1" applyFill="1" applyBorder="1" applyAlignment="1">
      <alignment horizontal="center" wrapText="1"/>
    </xf>
    <xf numFmtId="0" fontId="2" fillId="4" borderId="29" xfId="2" applyFont="1" applyFill="1" applyBorder="1" applyAlignment="1">
      <alignment horizontal="center"/>
    </xf>
    <xf numFmtId="0" fontId="7" fillId="0" borderId="17" xfId="2" applyFont="1" applyBorder="1" applyAlignment="1">
      <alignment horizontal="center" vertical="center"/>
    </xf>
    <xf numFmtId="49" fontId="9" fillId="0" borderId="17" xfId="2" applyNumberFormat="1" applyFont="1" applyBorder="1" applyAlignment="1">
      <alignment horizontal="center"/>
    </xf>
    <xf numFmtId="49" fontId="7" fillId="0" borderId="16" xfId="2" applyNumberFormat="1" applyFont="1" applyBorder="1" applyAlignment="1">
      <alignment horizontal="center"/>
    </xf>
    <xf numFmtId="49" fontId="14" fillId="2" borderId="0" xfId="2" applyNumberFormat="1" applyFont="1" applyFill="1" applyAlignment="1">
      <alignment horizontal="center" vertical="center"/>
    </xf>
    <xf numFmtId="0" fontId="2" fillId="4" borderId="28" xfId="2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7" fillId="2" borderId="0" xfId="6" applyNumberFormat="1" applyFont="1" applyFill="1" applyAlignment="1">
      <alignment horizontal="center" vertical="center" wrapText="1"/>
    </xf>
    <xf numFmtId="0" fontId="2" fillId="6" borderId="23" xfId="2" applyFont="1" applyFill="1" applyBorder="1" applyAlignment="1">
      <alignment horizontal="right"/>
    </xf>
    <xf numFmtId="0" fontId="2" fillId="6" borderId="4" xfId="2" applyFont="1" applyFill="1" applyBorder="1"/>
    <xf numFmtId="0" fontId="2" fillId="6" borderId="4" xfId="2" applyFont="1" applyFill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4" fillId="6" borderId="44" xfId="2" applyFont="1" applyFill="1" applyBorder="1" applyAlignment="1">
      <alignment horizontal="right" vertical="center"/>
    </xf>
    <xf numFmtId="0" fontId="4" fillId="6" borderId="3" xfId="2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left"/>
    </xf>
    <xf numFmtId="1" fontId="4" fillId="6" borderId="3" xfId="2" applyNumberFormat="1" applyFont="1" applyFill="1" applyBorder="1" applyAlignment="1">
      <alignment horizontal="center"/>
    </xf>
    <xf numFmtId="1" fontId="4" fillId="6" borderId="3" xfId="2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1" fontId="0" fillId="0" borderId="4" xfId="0" applyNumberFormat="1" applyBorder="1"/>
    <xf numFmtId="0" fontId="2" fillId="6" borderId="4" xfId="2" applyFont="1" applyFill="1" applyBorder="1" applyAlignment="1">
      <alignment horizontal="right"/>
    </xf>
    <xf numFmtId="0" fontId="2" fillId="6" borderId="4" xfId="2" applyFont="1" applyFill="1" applyBorder="1" applyAlignment="1">
      <alignment horizontal="left" vertical="center"/>
    </xf>
    <xf numFmtId="0" fontId="4" fillId="6" borderId="4" xfId="2" applyFont="1" applyFill="1" applyBorder="1" applyAlignment="1">
      <alignment horizontal="right" vertical="center"/>
    </xf>
    <xf numFmtId="0" fontId="4" fillId="6" borderId="4" xfId="2" applyFont="1" applyFill="1" applyBorder="1" applyAlignment="1">
      <alignment horizontal="center" vertical="center"/>
    </xf>
    <xf numFmtId="0" fontId="4" fillId="6" borderId="4" xfId="2" applyFont="1" applyFill="1" applyBorder="1" applyAlignment="1">
      <alignment horizontal="left"/>
    </xf>
    <xf numFmtId="1" fontId="4" fillId="6" borderId="4" xfId="2" applyNumberFormat="1" applyFont="1" applyFill="1" applyBorder="1" applyAlignment="1">
      <alignment horizontal="center"/>
    </xf>
    <xf numFmtId="0" fontId="11" fillId="6" borderId="4" xfId="2" applyFont="1" applyFill="1" applyBorder="1" applyAlignment="1">
      <alignment horizontal="left"/>
    </xf>
    <xf numFmtId="0" fontId="18" fillId="6" borderId="23" xfId="0" applyFont="1" applyFill="1" applyBorder="1" applyAlignment="1">
      <alignment horizontal="center"/>
    </xf>
    <xf numFmtId="0" fontId="18" fillId="6" borderId="31" xfId="0" applyFont="1" applyFill="1" applyBorder="1" applyAlignment="1">
      <alignment horizontal="center"/>
    </xf>
    <xf numFmtId="0" fontId="18" fillId="6" borderId="9" xfId="0" applyFont="1" applyFill="1" applyBorder="1"/>
    <xf numFmtId="0" fontId="2" fillId="6" borderId="17" xfId="0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 wrapText="1"/>
    </xf>
    <xf numFmtId="1" fontId="2" fillId="0" borderId="4" xfId="0" applyNumberFormat="1" applyFont="1" applyBorder="1" applyAlignment="1">
      <alignment horizontal="center"/>
    </xf>
    <xf numFmtId="1" fontId="2" fillId="6" borderId="4" xfId="2" applyNumberFormat="1" applyFont="1" applyFill="1" applyBorder="1" applyAlignment="1">
      <alignment horizontal="center"/>
    </xf>
    <xf numFmtId="1" fontId="2" fillId="6" borderId="4" xfId="2" applyNumberFormat="1" applyFont="1" applyFill="1" applyBorder="1" applyAlignment="1">
      <alignment horizontal="center" wrapText="1"/>
    </xf>
    <xf numFmtId="1" fontId="2" fillId="6" borderId="4" xfId="0" applyNumberFormat="1" applyFont="1" applyFill="1" applyBorder="1" applyAlignment="1">
      <alignment horizontal="center"/>
    </xf>
    <xf numFmtId="16" fontId="2" fillId="6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16" fontId="2" fillId="0" borderId="4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0" fontId="13" fillId="6" borderId="4" xfId="2" applyFont="1" applyFill="1" applyBorder="1" applyAlignment="1">
      <alignment vertical="center"/>
    </xf>
    <xf numFmtId="49" fontId="9" fillId="0" borderId="4" xfId="0" applyNumberFormat="1" applyFont="1" applyBorder="1" applyAlignment="1">
      <alignment horizontal="center"/>
    </xf>
    <xf numFmtId="49" fontId="10" fillId="0" borderId="4" xfId="0" applyNumberFormat="1" applyFont="1" applyBorder="1"/>
    <xf numFmtId="0" fontId="9" fillId="0" borderId="4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wrapText="1"/>
    </xf>
    <xf numFmtId="166" fontId="4" fillId="6" borderId="4" xfId="5" applyNumberFormat="1" applyFont="1" applyFill="1" applyBorder="1" applyAlignment="1">
      <alignment horizontal="center"/>
    </xf>
    <xf numFmtId="0" fontId="15" fillId="0" borderId="4" xfId="7" applyBorder="1" applyAlignment="1">
      <alignment horizontal="center"/>
    </xf>
    <xf numFmtId="0" fontId="15" fillId="0" borderId="4" xfId="7" applyBorder="1" applyAlignment="1">
      <alignment horizontal="left"/>
    </xf>
    <xf numFmtId="16" fontId="9" fillId="0" borderId="4" xfId="0" applyNumberFormat="1" applyFont="1" applyBorder="1" applyAlignment="1">
      <alignment horizontal="center"/>
    </xf>
    <xf numFmtId="49" fontId="9" fillId="0" borderId="4" xfId="2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2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4" xfId="0" quotePrefix="1" applyFont="1" applyBorder="1"/>
    <xf numFmtId="0" fontId="2" fillId="0" borderId="32" xfId="0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2" borderId="1" xfId="6" applyFont="1" applyFill="1" applyBorder="1" applyAlignment="1">
      <alignment horizontal="right"/>
    </xf>
    <xf numFmtId="0" fontId="2" fillId="2" borderId="2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right"/>
    </xf>
    <xf numFmtId="49" fontId="2" fillId="2" borderId="5" xfId="6" applyNumberFormat="1" applyFont="1" applyFill="1" applyBorder="1" applyAlignment="1">
      <alignment horizontal="center"/>
    </xf>
    <xf numFmtId="0" fontId="2" fillId="2" borderId="9" xfId="6" applyFont="1" applyFill="1" applyBorder="1" applyAlignment="1">
      <alignment horizontal="right"/>
    </xf>
    <xf numFmtId="0" fontId="2" fillId="2" borderId="4" xfId="6" applyFont="1" applyFill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1" fontId="0" fillId="0" borderId="17" xfId="0" applyNumberFormat="1" applyBorder="1"/>
    <xf numFmtId="49" fontId="9" fillId="0" borderId="23" xfId="0" applyNumberFormat="1" applyFont="1" applyBorder="1" applyAlignment="1">
      <alignment horizontal="center"/>
    </xf>
    <xf numFmtId="49" fontId="9" fillId="0" borderId="17" xfId="0" applyNumberFormat="1" applyFont="1" applyBorder="1" applyAlignment="1">
      <alignment horizontal="center"/>
    </xf>
    <xf numFmtId="49" fontId="19" fillId="0" borderId="4" xfId="0" applyNumberFormat="1" applyFont="1" applyBorder="1"/>
    <xf numFmtId="0" fontId="20" fillId="0" borderId="23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4" xfId="0" applyFont="1" applyBorder="1"/>
    <xf numFmtId="1" fontId="4" fillId="0" borderId="9" xfId="0" applyNumberFormat="1" applyFont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15" fillId="7" borderId="4" xfId="7" applyFill="1" applyBorder="1" applyAlignment="1">
      <alignment horizontal="center"/>
    </xf>
    <xf numFmtId="49" fontId="9" fillId="7" borderId="4" xfId="0" applyNumberFormat="1" applyFont="1" applyFill="1" applyBorder="1" applyAlignment="1">
      <alignment horizontal="center"/>
    </xf>
    <xf numFmtId="0" fontId="18" fillId="7" borderId="31" xfId="0" applyFont="1" applyFill="1" applyBorder="1" applyAlignment="1">
      <alignment horizontal="center"/>
    </xf>
    <xf numFmtId="0" fontId="10" fillId="6" borderId="0" xfId="0" applyFont="1" applyFill="1" applyAlignment="1">
      <alignment vertical="center"/>
    </xf>
    <xf numFmtId="0" fontId="19" fillId="8" borderId="4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9" fillId="0" borderId="4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43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8" fontId="27" fillId="0" borderId="0" xfId="0" applyNumberFormat="1" applyFont="1" applyAlignment="1">
      <alignment horizontal="center" vertical="center" wrapText="1"/>
    </xf>
    <xf numFmtId="0" fontId="19" fillId="9" borderId="46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 wrapText="1"/>
    </xf>
    <xf numFmtId="0" fontId="19" fillId="9" borderId="4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28" fillId="0" borderId="0" xfId="0" applyNumberFormat="1" applyFont="1" applyAlignment="1">
      <alignment horizontal="center"/>
    </xf>
    <xf numFmtId="4" fontId="28" fillId="0" borderId="0" xfId="8" applyNumberFormat="1" applyFont="1" applyFill="1" applyAlignment="1">
      <alignment horizontal="center" vertical="center"/>
    </xf>
    <xf numFmtId="4" fontId="19" fillId="0" borderId="0" xfId="8" applyNumberFormat="1" applyFont="1" applyFill="1" applyAlignment="1">
      <alignment horizontal="center" vertical="center"/>
    </xf>
    <xf numFmtId="10" fontId="19" fillId="0" borderId="0" xfId="4" applyNumberFormat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10" fontId="23" fillId="0" borderId="0" xfId="4" applyNumberFormat="1" applyFont="1" applyFill="1" applyAlignment="1">
      <alignment vertical="center"/>
    </xf>
    <xf numFmtId="0" fontId="10" fillId="0" borderId="0" xfId="0" applyFont="1"/>
    <xf numFmtId="49" fontId="19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5" applyFont="1" applyFill="1" applyAlignment="1">
      <alignment vertical="center"/>
    </xf>
    <xf numFmtId="49" fontId="2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" fontId="19" fillId="0" borderId="0" xfId="5" applyNumberFormat="1" applyFont="1" applyFill="1" applyAlignment="1">
      <alignment vertical="center"/>
    </xf>
    <xf numFmtId="43" fontId="30" fillId="0" borderId="0" xfId="5" applyFont="1" applyFill="1" applyAlignment="1">
      <alignment horizontal="center" vertical="center"/>
    </xf>
    <xf numFmtId="10" fontId="23" fillId="9" borderId="49" xfId="4" applyNumberFormat="1" applyFont="1" applyFill="1" applyBorder="1" applyAlignment="1">
      <alignment vertical="center"/>
    </xf>
    <xf numFmtId="0" fontId="10" fillId="9" borderId="28" xfId="0" applyFont="1" applyFill="1" applyBorder="1" applyAlignment="1">
      <alignment vertical="center"/>
    </xf>
    <xf numFmtId="0" fontId="10" fillId="9" borderId="49" xfId="0" applyFont="1" applyFill="1" applyBorder="1" applyAlignment="1">
      <alignment vertical="center"/>
    </xf>
    <xf numFmtId="43" fontId="30" fillId="9" borderId="50" xfId="5" applyFont="1" applyFill="1" applyBorder="1" applyAlignment="1">
      <alignment horizontal="center" vertical="center"/>
    </xf>
    <xf numFmtId="43" fontId="32" fillId="0" borderId="0" xfId="5" applyFont="1" applyFill="1" applyBorder="1" applyAlignment="1">
      <alignment horizontal="right"/>
    </xf>
    <xf numFmtId="0" fontId="10" fillId="9" borderId="50" xfId="0" applyFont="1" applyFill="1" applyBorder="1" applyAlignment="1">
      <alignment vertical="center"/>
    </xf>
    <xf numFmtId="10" fontId="23" fillId="9" borderId="50" xfId="4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0" fontId="31" fillId="0" borderId="0" xfId="0" applyFont="1"/>
    <xf numFmtId="9" fontId="31" fillId="0" borderId="0" xfId="0" applyNumberFormat="1" applyFont="1"/>
    <xf numFmtId="9" fontId="33" fillId="0" borderId="0" xfId="4" applyFont="1" applyFill="1" applyAlignment="1">
      <alignment horizontal="center"/>
    </xf>
    <xf numFmtId="0" fontId="30" fillId="0" borderId="0" xfId="0" applyFont="1" applyAlignment="1">
      <alignment horizontal="right" vertical="center"/>
    </xf>
    <xf numFmtId="4" fontId="30" fillId="0" borderId="0" xfId="5" applyNumberFormat="1" applyFont="1" applyFill="1" applyAlignment="1">
      <alignment vertical="center"/>
    </xf>
    <xf numFmtId="4" fontId="30" fillId="0" borderId="0" xfId="8" applyNumberFormat="1" applyFont="1" applyAlignment="1">
      <alignment horizontal="center" vertical="center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5" fillId="0" borderId="26" xfId="0" applyFont="1" applyBorder="1" applyAlignment="1">
      <alignment horizontal="right"/>
    </xf>
    <xf numFmtId="43" fontId="36" fillId="3" borderId="51" xfId="5" applyFont="1" applyFill="1" applyBorder="1" applyAlignment="1">
      <alignment horizontal="right"/>
    </xf>
    <xf numFmtId="43" fontId="36" fillId="0" borderId="0" xfId="5" applyFont="1" applyFill="1" applyBorder="1" applyAlignment="1">
      <alignment horizontal="right"/>
    </xf>
    <xf numFmtId="43" fontId="19" fillId="0" borderId="4" xfId="5" applyFont="1" applyFill="1" applyBorder="1" applyAlignment="1">
      <alignment vertical="center"/>
    </xf>
    <xf numFmtId="0" fontId="37" fillId="0" borderId="0" xfId="0" applyFont="1" applyAlignment="1">
      <alignment horizontal="left" vertical="center"/>
    </xf>
    <xf numFmtId="4" fontId="30" fillId="0" borderId="0" xfId="8" applyNumberFormat="1" applyFont="1" applyFill="1" applyAlignment="1">
      <alignment horizontal="center" vertical="center"/>
    </xf>
    <xf numFmtId="10" fontId="38" fillId="0" borderId="0" xfId="4" applyNumberFormat="1" applyFont="1" applyFill="1" applyAlignment="1">
      <alignment horizontal="right"/>
    </xf>
    <xf numFmtId="170" fontId="19" fillId="9" borderId="4" xfId="5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9" fillId="10" borderId="4" xfId="5" applyFont="1" applyFill="1" applyBorder="1" applyAlignment="1">
      <alignment vertical="center"/>
    </xf>
    <xf numFmtId="167" fontId="39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23" fillId="9" borderId="52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2" fontId="38" fillId="0" borderId="0" xfId="5" applyNumberFormat="1" applyFont="1" applyFill="1" applyBorder="1" applyAlignment="1">
      <alignment horizontal="center"/>
    </xf>
    <xf numFmtId="2" fontId="35" fillId="0" borderId="0" xfId="5" applyNumberFormat="1" applyFont="1" applyFill="1" applyBorder="1" applyAlignment="1">
      <alignment horizontal="center"/>
    </xf>
    <xf numFmtId="0" fontId="10" fillId="9" borderId="52" xfId="0" applyFont="1" applyFill="1" applyBorder="1" applyAlignment="1">
      <alignment vertical="center"/>
    </xf>
    <xf numFmtId="10" fontId="10" fillId="0" borderId="0" xfId="4" applyNumberFormat="1" applyFont="1" applyFill="1" applyAlignment="1">
      <alignment vertical="center"/>
    </xf>
    <xf numFmtId="4" fontId="10" fillId="0" borderId="0" xfId="5" applyNumberFormat="1" applyFont="1" applyFill="1" applyAlignment="1">
      <alignment vertical="center"/>
    </xf>
    <xf numFmtId="43" fontId="36" fillId="9" borderId="28" xfId="5" applyFont="1" applyFill="1" applyBorder="1" applyAlignment="1">
      <alignment horizontal="right"/>
    </xf>
    <xf numFmtId="0" fontId="19" fillId="9" borderId="29" xfId="0" applyFont="1" applyFill="1" applyBorder="1" applyAlignment="1">
      <alignment horizontal="right" vertical="center"/>
    </xf>
    <xf numFmtId="10" fontId="42" fillId="0" borderId="0" xfId="5" applyNumberFormat="1" applyFont="1" applyFill="1" applyAlignment="1">
      <alignment vertical="center"/>
    </xf>
    <xf numFmtId="10" fontId="23" fillId="0" borderId="0" xfId="4" applyNumberFormat="1" applyFont="1" applyFill="1" applyBorder="1" applyAlignment="1">
      <alignment vertical="center"/>
    </xf>
    <xf numFmtId="167" fontId="43" fillId="0" borderId="0" xfId="0" applyNumberFormat="1" applyFont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43" fontId="44" fillId="0" borderId="0" xfId="5" applyFont="1" applyFill="1" applyAlignment="1">
      <alignment vertical="center"/>
    </xf>
    <xf numFmtId="4" fontId="45" fillId="0" borderId="0" xfId="8" applyNumberFormat="1" applyFont="1" applyFill="1" applyAlignment="1">
      <alignment horizontal="center" vertical="center" wrapText="1"/>
    </xf>
    <xf numFmtId="9" fontId="10" fillId="0" borderId="0" xfId="5" applyNumberFormat="1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4" fontId="29" fillId="0" borderId="0" xfId="5" applyNumberFormat="1" applyFont="1" applyFill="1" applyAlignment="1">
      <alignment vertical="center"/>
    </xf>
    <xf numFmtId="4" fontId="19" fillId="12" borderId="51" xfId="5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0" borderId="0" xfId="5" applyFont="1" applyFill="1" applyAlignment="1">
      <alignment vertical="center"/>
    </xf>
    <xf numFmtId="9" fontId="21" fillId="0" borderId="0" xfId="5" applyNumberFormat="1" applyFont="1" applyFill="1" applyAlignment="1">
      <alignment vertical="center"/>
    </xf>
    <xf numFmtId="4" fontId="19" fillId="0" borderId="0" xfId="5" applyNumberFormat="1" applyFont="1" applyFill="1" applyAlignment="1">
      <alignment horizontal="center" vertical="center"/>
    </xf>
    <xf numFmtId="10" fontId="39" fillId="0" borderId="0" xfId="4" applyNumberFormat="1" applyFont="1" applyFill="1" applyAlignment="1">
      <alignment vertical="center"/>
    </xf>
    <xf numFmtId="43" fontId="39" fillId="0" borderId="0" xfId="5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5" applyFont="1" applyFill="1" applyBorder="1"/>
    <xf numFmtId="10" fontId="39" fillId="0" borderId="0" xfId="4" applyNumberFormat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43" fontId="10" fillId="0" borderId="0" xfId="5" applyFont="1" applyFill="1" applyBorder="1" applyAlignment="1">
      <alignment horizontal="center"/>
    </xf>
    <xf numFmtId="9" fontId="48" fillId="0" borderId="0" xfId="0" applyNumberFormat="1" applyFont="1" applyAlignment="1">
      <alignment horizontal="left"/>
    </xf>
    <xf numFmtId="4" fontId="19" fillId="0" borderId="0" xfId="0" applyNumberFormat="1" applyFont="1" applyAlignment="1">
      <alignment horizontal="center"/>
    </xf>
    <xf numFmtId="167" fontId="19" fillId="0" borderId="0" xfId="0" applyNumberFormat="1" applyFont="1"/>
    <xf numFmtId="0" fontId="0" fillId="7" borderId="0" xfId="0" applyFill="1"/>
    <xf numFmtId="166" fontId="4" fillId="6" borderId="4" xfId="9" applyNumberFormat="1" applyFont="1" applyFill="1" applyBorder="1" applyAlignment="1">
      <alignment horizont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0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5" fillId="3" borderId="27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right" vertical="top" wrapText="1"/>
    </xf>
    <xf numFmtId="0" fontId="4" fillId="2" borderId="13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  <xf numFmtId="0" fontId="16" fillId="2" borderId="0" xfId="6" applyFont="1" applyFill="1" applyAlignment="1">
      <alignment horizontal="right"/>
    </xf>
    <xf numFmtId="0" fontId="17" fillId="2" borderId="42" xfId="6" applyFont="1" applyFill="1" applyBorder="1" applyAlignment="1">
      <alignment horizontal="center"/>
    </xf>
    <xf numFmtId="0" fontId="16" fillId="2" borderId="0" xfId="6" applyFont="1" applyFill="1"/>
    <xf numFmtId="0" fontId="4" fillId="4" borderId="19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 wrapText="1"/>
    </xf>
    <xf numFmtId="0" fontId="4" fillId="4" borderId="20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0" borderId="30" xfId="2" applyFont="1" applyBorder="1" applyAlignment="1">
      <alignment horizontal="right"/>
    </xf>
    <xf numFmtId="0" fontId="4" fillId="0" borderId="40" xfId="2" applyFont="1" applyBorder="1" applyAlignment="1">
      <alignment horizontal="right"/>
    </xf>
    <xf numFmtId="0" fontId="4" fillId="0" borderId="31" xfId="2" applyFont="1" applyBorder="1" applyAlignment="1">
      <alignment horizontal="right"/>
    </xf>
    <xf numFmtId="165" fontId="2" fillId="0" borderId="9" xfId="2" applyNumberFormat="1" applyFont="1" applyBorder="1" applyAlignment="1">
      <alignment horizontal="right"/>
    </xf>
    <xf numFmtId="0" fontId="2" fillId="2" borderId="32" xfId="2" applyFont="1" applyFill="1" applyBorder="1" applyAlignment="1">
      <alignment horizontal="center"/>
    </xf>
    <xf numFmtId="0" fontId="2" fillId="2" borderId="33" xfId="2" applyFont="1" applyFill="1" applyBorder="1" applyAlignment="1">
      <alignment horizontal="center"/>
    </xf>
    <xf numFmtId="0" fontId="4" fillId="0" borderId="25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2" fillId="0" borderId="4" xfId="2" applyFont="1" applyBorder="1" applyAlignment="1">
      <alignment horizontal="right"/>
    </xf>
    <xf numFmtId="165" fontId="2" fillId="0" borderId="15" xfId="2" applyNumberFormat="1" applyFont="1" applyBorder="1" applyAlignment="1">
      <alignment horizontal="center"/>
    </xf>
    <xf numFmtId="165" fontId="2" fillId="0" borderId="24" xfId="2" applyNumberFormat="1" applyFont="1" applyBorder="1" applyAlignment="1">
      <alignment horizontal="center"/>
    </xf>
    <xf numFmtId="0" fontId="2" fillId="0" borderId="35" xfId="2" applyFont="1" applyBorder="1" applyAlignment="1">
      <alignment horizontal="left" wrapText="1"/>
    </xf>
    <xf numFmtId="0" fontId="2" fillId="0" borderId="31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36" xfId="2" applyFont="1" applyBorder="1" applyAlignment="1">
      <alignment horizontal="left" wrapText="1"/>
    </xf>
    <xf numFmtId="165" fontId="2" fillId="0" borderId="15" xfId="2" applyNumberFormat="1" applyFont="1" applyBorder="1" applyAlignment="1">
      <alignment horizontal="right" wrapText="1"/>
    </xf>
    <xf numFmtId="165" fontId="2" fillId="0" borderId="17" xfId="2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center" wrapText="1"/>
    </xf>
    <xf numFmtId="165" fontId="2" fillId="0" borderId="24" xfId="0" applyNumberFormat="1" applyFont="1" applyBorder="1" applyAlignment="1">
      <alignment horizontal="center" wrapText="1"/>
    </xf>
    <xf numFmtId="0" fontId="4" fillId="0" borderId="20" xfId="2" applyFont="1" applyBorder="1" applyAlignment="1">
      <alignment horizontal="right"/>
    </xf>
    <xf numFmtId="0" fontId="4" fillId="0" borderId="39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0" fontId="4" fillId="4" borderId="27" xfId="2" applyFont="1" applyFill="1" applyBorder="1" applyAlignment="1">
      <alignment horizontal="left"/>
    </xf>
    <xf numFmtId="0" fontId="4" fillId="4" borderId="28" xfId="2" applyFont="1" applyFill="1" applyBorder="1" applyAlignment="1">
      <alignment horizontal="left"/>
    </xf>
    <xf numFmtId="0" fontId="4" fillId="4" borderId="29" xfId="2" applyFont="1" applyFill="1" applyBorder="1" applyAlignment="1">
      <alignment horizontal="left"/>
    </xf>
    <xf numFmtId="0" fontId="2" fillId="0" borderId="35" xfId="2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36" xfId="2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4" fillId="5" borderId="37" xfId="1" applyFont="1" applyFill="1" applyBorder="1" applyAlignment="1">
      <alignment horizontal="center"/>
    </xf>
    <xf numFmtId="0" fontId="4" fillId="5" borderId="38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23" xfId="2" applyFont="1" applyBorder="1" applyAlignment="1">
      <alignment horizontal="left" wrapText="1"/>
    </xf>
    <xf numFmtId="0" fontId="2" fillId="0" borderId="17" xfId="2" applyFont="1" applyBorder="1" applyAlignment="1">
      <alignment horizontal="left" wrapText="1"/>
    </xf>
    <xf numFmtId="0" fontId="2" fillId="0" borderId="4" xfId="2" applyFont="1" applyBorder="1" applyAlignment="1">
      <alignment horizontal="left" wrapText="1"/>
    </xf>
    <xf numFmtId="0" fontId="2" fillId="0" borderId="5" xfId="2" applyFont="1" applyBorder="1" applyAlignment="1">
      <alignment horizontal="left" wrapText="1"/>
    </xf>
    <xf numFmtId="0" fontId="4" fillId="0" borderId="30" xfId="2" applyFont="1" applyBorder="1" applyAlignment="1">
      <alignment horizontal="left" wrapText="1"/>
    </xf>
    <xf numFmtId="0" fontId="4" fillId="0" borderId="40" xfId="2" applyFont="1" applyBorder="1" applyAlignment="1">
      <alignment horizontal="left" wrapText="1"/>
    </xf>
    <xf numFmtId="0" fontId="4" fillId="0" borderId="33" xfId="2" applyFont="1" applyBorder="1" applyAlignment="1">
      <alignment horizontal="left" wrapText="1"/>
    </xf>
    <xf numFmtId="0" fontId="2" fillId="2" borderId="4" xfId="1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39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5" borderId="37" xfId="6" applyFont="1" applyFill="1" applyBorder="1" applyAlignment="1">
      <alignment horizontal="center"/>
    </xf>
    <xf numFmtId="0" fontId="4" fillId="5" borderId="38" xfId="6" applyFont="1" applyFill="1" applyBorder="1" applyAlignment="1">
      <alignment horizontal="center"/>
    </xf>
    <xf numFmtId="0" fontId="2" fillId="2" borderId="45" xfId="6" applyFont="1" applyFill="1" applyBorder="1" applyAlignment="1">
      <alignment horizontal="left"/>
    </xf>
    <xf numFmtId="0" fontId="2" fillId="2" borderId="0" xfId="6" applyFont="1" applyFill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2" fillId="0" borderId="30" xfId="2" applyFont="1" applyBorder="1" applyAlignment="1">
      <alignment horizontal="left" wrapText="1"/>
    </xf>
    <xf numFmtId="0" fontId="22" fillId="0" borderId="40" xfId="2" applyFont="1" applyBorder="1" applyAlignment="1">
      <alignment horizontal="left" wrapText="1"/>
    </xf>
    <xf numFmtId="0" fontId="22" fillId="0" borderId="33" xfId="2" applyFont="1" applyBorder="1" applyAlignment="1">
      <alignment horizontal="left" wrapText="1"/>
    </xf>
    <xf numFmtId="14" fontId="2" fillId="2" borderId="8" xfId="6" applyNumberFormat="1" applyFont="1" applyFill="1" applyBorder="1" applyAlignment="1">
      <alignment horizontal="center" vertical="center" wrapText="1"/>
    </xf>
    <xf numFmtId="14" fontId="2" fillId="2" borderId="14" xfId="6" applyNumberFormat="1" applyFont="1" applyFill="1" applyBorder="1" applyAlignment="1">
      <alignment horizontal="center" vertical="center" wrapText="1"/>
    </xf>
    <xf numFmtId="14" fontId="2" fillId="2" borderId="36" xfId="6" applyNumberFormat="1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left"/>
    </xf>
    <xf numFmtId="0" fontId="2" fillId="2" borderId="11" xfId="6" applyFont="1" applyFill="1" applyBorder="1" applyAlignment="1">
      <alignment horizontal="left"/>
    </xf>
    <xf numFmtId="0" fontId="2" fillId="2" borderId="12" xfId="6" applyFont="1" applyFill="1" applyBorder="1" applyAlignment="1">
      <alignment horizontal="left"/>
    </xf>
    <xf numFmtId="0" fontId="2" fillId="2" borderId="15" xfId="6" applyFont="1" applyFill="1" applyBorder="1" applyAlignment="1">
      <alignment horizontal="left"/>
    </xf>
    <xf numFmtId="0" fontId="2" fillId="2" borderId="16" xfId="6" applyFont="1" applyFill="1" applyBorder="1" applyAlignment="1">
      <alignment horizontal="left"/>
    </xf>
    <xf numFmtId="0" fontId="2" fillId="2" borderId="17" xfId="6" applyFont="1" applyFill="1" applyBorder="1" applyAlignment="1">
      <alignment horizontal="left"/>
    </xf>
    <xf numFmtId="0" fontId="2" fillId="2" borderId="41" xfId="6" applyFont="1" applyFill="1" applyBorder="1" applyAlignment="1">
      <alignment horizontal="center"/>
    </xf>
    <xf numFmtId="0" fontId="2" fillId="2" borderId="38" xfId="6" applyFont="1" applyFill="1" applyBorder="1" applyAlignment="1">
      <alignment horizontal="center"/>
    </xf>
    <xf numFmtId="0" fontId="2" fillId="2" borderId="6" xfId="6" applyFont="1" applyFill="1" applyBorder="1" applyAlignment="1">
      <alignment horizontal="center"/>
    </xf>
    <xf numFmtId="0" fontId="2" fillId="2" borderId="0" xfId="6" applyFont="1" applyFill="1" applyAlignment="1">
      <alignment horizontal="center"/>
    </xf>
    <xf numFmtId="0" fontId="2" fillId="2" borderId="30" xfId="6" applyFont="1" applyFill="1" applyBorder="1" applyAlignment="1">
      <alignment horizontal="center"/>
    </xf>
    <xf numFmtId="0" fontId="2" fillId="2" borderId="40" xfId="6" applyFont="1" applyFill="1" applyBorder="1" applyAlignment="1">
      <alignment horizontal="center"/>
    </xf>
    <xf numFmtId="0" fontId="3" fillId="2" borderId="1" xfId="6" applyFont="1" applyFill="1" applyBorder="1" applyAlignment="1">
      <alignment horizontal="center"/>
    </xf>
    <xf numFmtId="0" fontId="3" fillId="2" borderId="34" xfId="6" applyFont="1" applyFill="1" applyBorder="1" applyAlignment="1">
      <alignment horizontal="center"/>
    </xf>
    <xf numFmtId="0" fontId="3" fillId="2" borderId="43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5" fillId="3" borderId="27" xfId="6" applyFont="1" applyFill="1" applyBorder="1" applyAlignment="1">
      <alignment horizontal="center" vertical="center" wrapText="1"/>
    </xf>
    <xf numFmtId="0" fontId="5" fillId="3" borderId="28" xfId="6" applyFont="1" applyFill="1" applyBorder="1" applyAlignment="1">
      <alignment horizontal="center" vertical="center" wrapText="1"/>
    </xf>
    <xf numFmtId="0" fontId="5" fillId="3" borderId="2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right" vertical="top" wrapText="1"/>
    </xf>
    <xf numFmtId="0" fontId="4" fillId="2" borderId="13" xfId="6" applyFont="1" applyFill="1" applyBorder="1" applyAlignment="1">
      <alignment horizontal="right" vertical="top" wrapText="1"/>
    </xf>
    <xf numFmtId="0" fontId="4" fillId="2" borderId="18" xfId="6" applyFont="1" applyFill="1" applyBorder="1" applyAlignment="1">
      <alignment horizontal="right" vertical="top" wrapText="1"/>
    </xf>
    <xf numFmtId="0" fontId="2" fillId="2" borderId="4" xfId="6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right" vertical="center" wrapText="1"/>
    </xf>
    <xf numFmtId="0" fontId="39" fillId="0" borderId="4" xfId="0" applyFont="1" applyBorder="1" applyAlignment="1">
      <alignment horizontal="right" vertical="center"/>
    </xf>
    <xf numFmtId="0" fontId="40" fillId="0" borderId="6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40" fillId="0" borderId="26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31" fillId="0" borderId="41" xfId="0" applyFont="1" applyBorder="1" applyAlignment="1">
      <alignment horizontal="right"/>
    </xf>
    <xf numFmtId="0" fontId="31" fillId="0" borderId="38" xfId="0" applyFont="1" applyBorder="1" applyAlignment="1">
      <alignment horizontal="right"/>
    </xf>
    <xf numFmtId="0" fontId="10" fillId="0" borderId="4" xfId="0" applyFont="1" applyBorder="1" applyAlignment="1">
      <alignment horizontal="right" vertical="center"/>
    </xf>
    <xf numFmtId="0" fontId="31" fillId="0" borderId="0" xfId="0" applyFont="1" applyAlignment="1">
      <alignment horizontal="right"/>
    </xf>
    <xf numFmtId="0" fontId="30" fillId="0" borderId="0" xfId="0" applyFont="1" applyAlignment="1">
      <alignment horizontal="center" vertical="center"/>
    </xf>
    <xf numFmtId="0" fontId="46" fillId="0" borderId="27" xfId="0" applyFont="1" applyBorder="1" applyAlignment="1">
      <alignment horizontal="right" vertical="center"/>
    </xf>
    <xf numFmtId="0" fontId="46" fillId="0" borderId="28" xfId="0" applyFont="1" applyBorder="1" applyAlignment="1">
      <alignment horizontal="right" vertical="center"/>
    </xf>
    <xf numFmtId="0" fontId="46" fillId="0" borderId="29" xfId="0" applyFon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38" fillId="0" borderId="42" xfId="0" applyFont="1" applyBorder="1" applyAlignment="1">
      <alignment horizontal="right"/>
    </xf>
    <xf numFmtId="0" fontId="30" fillId="0" borderId="0" xfId="0" applyFont="1" applyAlignment="1">
      <alignment horizontal="right" vertical="center"/>
    </xf>
    <xf numFmtId="0" fontId="36" fillId="9" borderId="27" xfId="0" applyFont="1" applyFill="1" applyBorder="1" applyAlignment="1">
      <alignment horizontal="right"/>
    </xf>
    <xf numFmtId="0" fontId="36" fillId="9" borderId="28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9" fillId="0" borderId="42" xfId="0" applyFont="1" applyBorder="1" applyAlignment="1">
      <alignment horizontal="right" vertical="center"/>
    </xf>
    <xf numFmtId="0" fontId="19" fillId="0" borderId="53" xfId="0" applyFont="1" applyBorder="1" applyAlignment="1">
      <alignment horizontal="right" vertical="center"/>
    </xf>
    <xf numFmtId="0" fontId="19" fillId="11" borderId="27" xfId="0" applyFont="1" applyFill="1" applyBorder="1" applyAlignment="1">
      <alignment horizontal="right" vertical="center"/>
    </xf>
    <xf numFmtId="0" fontId="19" fillId="11" borderId="28" xfId="0" applyFont="1" applyFill="1" applyBorder="1" applyAlignment="1">
      <alignment horizontal="right" vertical="center"/>
    </xf>
    <xf numFmtId="0" fontId="19" fillId="11" borderId="29" xfId="0" applyFont="1" applyFill="1" applyBorder="1" applyAlignment="1">
      <alignment horizontal="right" vertical="center"/>
    </xf>
    <xf numFmtId="4" fontId="45" fillId="0" borderId="0" xfId="8" applyNumberFormat="1" applyFont="1" applyFill="1" applyAlignment="1">
      <alignment horizontal="center" vertical="center" wrapText="1"/>
    </xf>
  </cellXfs>
  <cellStyles count="10">
    <cellStyle name="Millares" xfId="5" builtinId="3"/>
    <cellStyle name="Millares [0]" xfId="8" builtinId="6"/>
    <cellStyle name="Millares 2" xfId="9" xr:uid="{A2179063-5E24-47ED-A5C5-E255B2E63F87}"/>
    <cellStyle name="Normal" xfId="0" builtinId="0"/>
    <cellStyle name="Normal 2" xfId="2" xr:uid="{56524CD5-CCC4-4F64-8FF8-11B9434107F1}"/>
    <cellStyle name="Normal 3" xfId="7" xr:uid="{B75F847F-C57A-4BE5-BD7D-6CC272037E00}"/>
    <cellStyle name="Normal 3 2" xfId="3" xr:uid="{DDDCCFF4-376C-41EC-98D9-A34DCE3A88BF}"/>
    <cellStyle name="Normal_CRITERIOS DE EVALUACION PT DE GB" xfId="1" xr:uid="{8A9EC160-1486-4481-972A-9AFEAA2CC411}"/>
    <cellStyle name="Normal_CRITERIOS DE EVALUACION PT DE GB 2" xfId="6" xr:uid="{0EE18784-5CD5-45FF-B62C-948EDB668C9C}"/>
    <cellStyle name="Porcentaje 2 2" xfId="4" xr:uid="{F37C43DA-F24A-47C4-B56E-97B25CCA6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9525</xdr:rowOff>
    </xdr:from>
    <xdr:to>
      <xdr:col>1</xdr:col>
      <xdr:colOff>603884</xdr:colOff>
      <xdr:row>3</xdr:row>
      <xdr:rowOff>123825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F450C82-1553-482B-A5F1-9E49DCE2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09550"/>
          <a:ext cx="1223009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BD37-EEAE-4CEE-B414-83C5E163A9A9}">
  <dimension ref="A1:I62"/>
  <sheetViews>
    <sheetView topLeftCell="A7" zoomScale="85" zoomScaleNormal="85" workbookViewId="0">
      <selection activeCell="C10" sqref="C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36"/>
      <c r="B1" s="237"/>
      <c r="C1" s="242" t="s">
        <v>0</v>
      </c>
      <c r="D1" s="242"/>
      <c r="E1" s="242"/>
      <c r="F1" s="242"/>
      <c r="G1" s="242"/>
      <c r="H1" s="1" t="s">
        <v>1</v>
      </c>
      <c r="I1" s="2" t="s">
        <v>88</v>
      </c>
    </row>
    <row r="2" spans="1:9" ht="18" customHeight="1" thickBot="1" x14ac:dyDescent="0.3">
      <c r="A2" s="238"/>
      <c r="B2" s="239"/>
      <c r="C2" s="243" t="s">
        <v>2</v>
      </c>
      <c r="D2" s="244"/>
      <c r="E2" s="244"/>
      <c r="F2" s="244"/>
      <c r="G2" s="245"/>
      <c r="H2" s="3" t="s">
        <v>3</v>
      </c>
      <c r="I2" s="4" t="s">
        <v>76</v>
      </c>
    </row>
    <row r="3" spans="1:9" ht="31.5" customHeight="1" thickBot="1" x14ac:dyDescent="0.3">
      <c r="A3" s="238"/>
      <c r="B3" s="239"/>
      <c r="C3" s="246" t="s">
        <v>75</v>
      </c>
      <c r="D3" s="247"/>
      <c r="E3" s="247"/>
      <c r="F3" s="247"/>
      <c r="G3" s="248"/>
      <c r="H3" s="249" t="s">
        <v>4</v>
      </c>
      <c r="I3" s="227">
        <v>45663</v>
      </c>
    </row>
    <row r="4" spans="1:9" ht="18" customHeight="1" x14ac:dyDescent="0.25">
      <c r="A4" s="238"/>
      <c r="B4" s="239"/>
      <c r="C4" s="5" t="s">
        <v>5</v>
      </c>
      <c r="D4" s="230" t="s">
        <v>6</v>
      </c>
      <c r="E4" s="231"/>
      <c r="F4" s="231"/>
      <c r="G4" s="232"/>
      <c r="H4" s="250"/>
      <c r="I4" s="228"/>
    </row>
    <row r="5" spans="1:9" ht="15.75" thickBot="1" x14ac:dyDescent="0.3">
      <c r="A5" s="240"/>
      <c r="B5" s="241"/>
      <c r="C5" s="6" t="s">
        <v>7</v>
      </c>
      <c r="D5" s="233" t="s">
        <v>8</v>
      </c>
      <c r="E5" s="234"/>
      <c r="F5" s="234"/>
      <c r="G5" s="235"/>
      <c r="H5" s="251"/>
      <c r="I5" s="229"/>
    </row>
    <row r="6" spans="1:9" ht="18.75" thickBot="1" x14ac:dyDescent="0.3">
      <c r="A6" s="252" t="s">
        <v>77</v>
      </c>
      <c r="B6" s="252"/>
      <c r="C6" s="252"/>
      <c r="D6" s="253" t="s">
        <v>22</v>
      </c>
      <c r="E6" s="253"/>
      <c r="F6" s="253"/>
      <c r="G6" s="254" t="s">
        <v>78</v>
      </c>
      <c r="H6" s="254"/>
      <c r="I6" s="48" t="s">
        <v>79</v>
      </c>
    </row>
    <row r="7" spans="1:9" ht="25.5" x14ac:dyDescent="0.25">
      <c r="A7" s="255" t="s">
        <v>9</v>
      </c>
      <c r="B7" s="257" t="s">
        <v>80</v>
      </c>
      <c r="C7" s="259" t="s">
        <v>10</v>
      </c>
      <c r="D7" s="259" t="s">
        <v>11</v>
      </c>
      <c r="E7" s="259" t="s">
        <v>12</v>
      </c>
      <c r="F7" s="259"/>
      <c r="G7" s="259" t="s">
        <v>13</v>
      </c>
      <c r="H7" s="259"/>
      <c r="I7" s="7" t="s">
        <v>14</v>
      </c>
    </row>
    <row r="8" spans="1:9" ht="27" thickBot="1" x14ac:dyDescent="0.3">
      <c r="A8" s="256"/>
      <c r="B8" s="258"/>
      <c r="C8" s="260"/>
      <c r="D8" s="260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x14ac:dyDescent="0.25">
      <c r="A9" s="11"/>
      <c r="B9" s="42"/>
      <c r="C9" s="12" t="s">
        <v>18</v>
      </c>
      <c r="D9" s="13"/>
      <c r="E9" s="14"/>
      <c r="F9" s="15"/>
      <c r="G9" s="14"/>
      <c r="H9" s="15"/>
      <c r="I9" s="16"/>
    </row>
    <row r="10" spans="1:9" ht="18" customHeight="1" x14ac:dyDescent="0.25">
      <c r="A10" s="49" t="s">
        <v>107</v>
      </c>
      <c r="B10" s="25" t="s">
        <v>108</v>
      </c>
      <c r="C10" s="50" t="s">
        <v>109</v>
      </c>
      <c r="D10" s="51" t="s">
        <v>19</v>
      </c>
      <c r="E10" s="51">
        <v>510</v>
      </c>
      <c r="F10" s="51" t="s">
        <v>20</v>
      </c>
      <c r="G10" s="52"/>
      <c r="H10" s="53" t="s">
        <v>81</v>
      </c>
      <c r="I10" s="16"/>
    </row>
    <row r="11" spans="1:9" x14ac:dyDescent="0.25">
      <c r="A11" s="49">
        <v>90100365</v>
      </c>
      <c r="B11" s="25" t="s">
        <v>63</v>
      </c>
      <c r="C11" s="50" t="s">
        <v>21</v>
      </c>
      <c r="D11" s="51" t="s">
        <v>19</v>
      </c>
      <c r="E11" s="51">
        <v>460</v>
      </c>
      <c r="F11" s="51" t="s">
        <v>20</v>
      </c>
      <c r="G11" s="52"/>
      <c r="H11" s="53" t="s">
        <v>82</v>
      </c>
      <c r="I11" s="16"/>
    </row>
    <row r="12" spans="1:9" x14ac:dyDescent="0.25">
      <c r="A12" s="54"/>
      <c r="B12" s="55"/>
      <c r="C12" s="56"/>
      <c r="D12" s="55"/>
      <c r="E12" s="57"/>
      <c r="F12" s="58"/>
      <c r="G12" s="59"/>
      <c r="H12" s="53"/>
      <c r="I12" s="16"/>
    </row>
    <row r="13" spans="1:9" x14ac:dyDescent="0.25">
      <c r="A13" s="60"/>
      <c r="B13" s="25"/>
      <c r="C13" s="26"/>
      <c r="D13" s="51"/>
      <c r="E13" s="51"/>
      <c r="F13" s="51"/>
      <c r="G13" s="59"/>
      <c r="H13" s="53"/>
      <c r="I13" s="16"/>
    </row>
    <row r="14" spans="1:9" x14ac:dyDescent="0.25">
      <c r="A14" s="61"/>
      <c r="B14" s="25"/>
      <c r="C14" s="50"/>
      <c r="D14" s="51"/>
      <c r="E14" s="51"/>
      <c r="F14" s="51"/>
      <c r="G14" s="59"/>
      <c r="H14" s="53"/>
      <c r="I14" s="16"/>
    </row>
    <row r="15" spans="1:9" x14ac:dyDescent="0.25">
      <c r="A15" s="61"/>
      <c r="B15" s="25"/>
      <c r="C15" s="50"/>
      <c r="D15" s="51"/>
      <c r="E15" s="51"/>
      <c r="F15" s="51"/>
      <c r="G15" s="59"/>
      <c r="H15" s="53"/>
      <c r="I15" s="16"/>
    </row>
    <row r="16" spans="1:9" x14ac:dyDescent="0.25">
      <c r="A16" s="61"/>
      <c r="B16" s="51"/>
      <c r="C16" s="62"/>
      <c r="D16" s="51"/>
      <c r="E16" s="51"/>
      <c r="F16" s="51"/>
      <c r="G16" s="59"/>
      <c r="H16" s="53"/>
      <c r="I16" s="16"/>
    </row>
    <row r="17" spans="1:9" x14ac:dyDescent="0.25">
      <c r="A17" s="61"/>
      <c r="B17" s="25"/>
      <c r="C17" s="50"/>
      <c r="D17" s="51"/>
      <c r="E17" s="51"/>
      <c r="F17" s="51"/>
      <c r="G17" s="59"/>
      <c r="H17" s="53"/>
      <c r="I17" s="16"/>
    </row>
    <row r="18" spans="1:9" x14ac:dyDescent="0.25">
      <c r="A18" s="61"/>
      <c r="B18" s="51"/>
      <c r="C18" s="62"/>
      <c r="D18" s="51"/>
      <c r="E18" s="51"/>
      <c r="F18" s="51"/>
      <c r="G18" s="59"/>
      <c r="H18" s="53"/>
      <c r="I18" s="16"/>
    </row>
    <row r="19" spans="1:9" x14ac:dyDescent="0.25">
      <c r="A19" s="61"/>
      <c r="B19" s="51"/>
      <c r="C19" s="50"/>
      <c r="D19" s="51"/>
      <c r="E19" s="51"/>
      <c r="F19" s="51"/>
      <c r="G19" s="59"/>
      <c r="H19" s="53"/>
      <c r="I19" s="16"/>
    </row>
    <row r="20" spans="1:9" x14ac:dyDescent="0.25">
      <c r="A20" s="63"/>
      <c r="B20" s="64"/>
      <c r="C20" s="65"/>
      <c r="D20" s="64"/>
      <c r="E20" s="66"/>
      <c r="F20" s="58"/>
      <c r="G20" s="59"/>
      <c r="H20" s="53"/>
      <c r="I20" s="16"/>
    </row>
    <row r="21" spans="1:9" x14ac:dyDescent="0.25">
      <c r="A21" s="60"/>
      <c r="B21" s="25"/>
      <c r="C21" s="26"/>
      <c r="D21" s="51"/>
      <c r="E21" s="51"/>
      <c r="F21" s="51"/>
      <c r="G21" s="14"/>
      <c r="H21" s="53"/>
      <c r="I21" s="16"/>
    </row>
    <row r="22" spans="1:9" ht="15.75" x14ac:dyDescent="0.25">
      <c r="A22" s="17"/>
      <c r="B22" s="43"/>
      <c r="C22" s="67" t="s">
        <v>22</v>
      </c>
      <c r="D22" s="18"/>
      <c r="E22" s="23"/>
      <c r="F22" s="20"/>
      <c r="G22" s="14"/>
      <c r="H22" s="15"/>
      <c r="I22" s="16"/>
    </row>
    <row r="23" spans="1:9" x14ac:dyDescent="0.25">
      <c r="A23" s="68">
        <v>20100163</v>
      </c>
      <c r="B23" s="69" t="s">
        <v>64</v>
      </c>
      <c r="C23" s="70" t="s">
        <v>23</v>
      </c>
      <c r="D23" s="71" t="s">
        <v>19</v>
      </c>
      <c r="E23" s="72">
        <v>280</v>
      </c>
      <c r="F23" s="73" t="s">
        <v>20</v>
      </c>
      <c r="G23" s="14"/>
      <c r="H23" s="15"/>
      <c r="I23" s="16"/>
    </row>
    <row r="24" spans="1:9" x14ac:dyDescent="0.25">
      <c r="A24" s="68">
        <v>20100163</v>
      </c>
      <c r="B24" s="69" t="s">
        <v>64</v>
      </c>
      <c r="C24" s="70" t="s">
        <v>23</v>
      </c>
      <c r="D24" s="71" t="s">
        <v>19</v>
      </c>
      <c r="E24" s="74">
        <v>70</v>
      </c>
      <c r="F24" s="73" t="s">
        <v>20</v>
      </c>
      <c r="G24" s="14"/>
      <c r="H24" s="15" t="s">
        <v>83</v>
      </c>
      <c r="I24" s="16"/>
    </row>
    <row r="25" spans="1:9" x14ac:dyDescent="0.25">
      <c r="A25" s="68" t="s">
        <v>69</v>
      </c>
      <c r="B25" s="69" t="s">
        <v>70</v>
      </c>
      <c r="C25" s="70" t="s">
        <v>24</v>
      </c>
      <c r="D25" s="71" t="s">
        <v>19</v>
      </c>
      <c r="E25" s="72">
        <v>20</v>
      </c>
      <c r="F25" s="73" t="s">
        <v>20</v>
      </c>
      <c r="G25" s="14"/>
      <c r="H25" s="15" t="s">
        <v>84</v>
      </c>
      <c r="I25" s="16"/>
    </row>
    <row r="26" spans="1:9" x14ac:dyDescent="0.25">
      <c r="A26" s="68">
        <v>10700013</v>
      </c>
      <c r="B26" s="69" t="s">
        <v>65</v>
      </c>
      <c r="C26" s="70" t="s">
        <v>25</v>
      </c>
      <c r="D26" s="71" t="s">
        <v>26</v>
      </c>
      <c r="E26" s="75">
        <v>1</v>
      </c>
      <c r="F26" s="76" t="s">
        <v>27</v>
      </c>
      <c r="G26" s="14"/>
      <c r="H26" s="15"/>
      <c r="I26" s="16"/>
    </row>
    <row r="27" spans="1:9" x14ac:dyDescent="0.25">
      <c r="A27" s="68"/>
      <c r="B27" s="69"/>
      <c r="C27" s="70"/>
      <c r="D27" s="71"/>
      <c r="E27" s="77"/>
      <c r="F27" s="76"/>
      <c r="G27" s="14"/>
      <c r="H27" s="15"/>
      <c r="I27" s="16"/>
    </row>
    <row r="28" spans="1:9" x14ac:dyDescent="0.25">
      <c r="A28" s="47"/>
      <c r="B28" s="47"/>
      <c r="D28" s="78"/>
      <c r="E28" s="79"/>
      <c r="F28" s="80"/>
      <c r="G28" s="14"/>
      <c r="H28" s="15"/>
      <c r="I28" s="16"/>
    </row>
    <row r="29" spans="1:9" x14ac:dyDescent="0.25">
      <c r="A29" s="25"/>
      <c r="B29" s="25"/>
      <c r="C29" s="26"/>
      <c r="D29" s="81"/>
      <c r="E29" s="82"/>
      <c r="F29" s="80"/>
      <c r="G29" s="14"/>
      <c r="H29" s="15"/>
      <c r="I29" s="16"/>
    </row>
    <row r="30" spans="1:9" x14ac:dyDescent="0.25">
      <c r="A30" s="25"/>
      <c r="B30" s="25"/>
      <c r="C30" s="26"/>
      <c r="D30" s="81"/>
      <c r="E30" s="74"/>
      <c r="F30" s="83"/>
      <c r="G30" s="14"/>
      <c r="H30" s="15"/>
      <c r="I30" s="16"/>
    </row>
    <row r="31" spans="1:9" ht="15.75" x14ac:dyDescent="0.25">
      <c r="A31" s="27"/>
      <c r="B31" s="44"/>
      <c r="C31" s="84" t="s">
        <v>28</v>
      </c>
      <c r="D31" s="28"/>
      <c r="E31" s="22"/>
      <c r="F31" s="15"/>
      <c r="G31" s="14"/>
      <c r="I31" s="16"/>
    </row>
    <row r="32" spans="1:9" x14ac:dyDescent="0.25">
      <c r="A32" s="85">
        <v>121603</v>
      </c>
      <c r="B32" s="85" t="s">
        <v>66</v>
      </c>
      <c r="C32" s="86" t="s">
        <v>29</v>
      </c>
      <c r="D32" s="87" t="s">
        <v>30</v>
      </c>
      <c r="E32" s="88">
        <v>1</v>
      </c>
      <c r="F32" s="89" t="s">
        <v>27</v>
      </c>
      <c r="G32" s="90"/>
      <c r="H32" s="15"/>
      <c r="I32" s="16"/>
    </row>
    <row r="33" spans="1:9" x14ac:dyDescent="0.25">
      <c r="A33" s="91">
        <v>1950692</v>
      </c>
      <c r="B33" s="91" t="s">
        <v>67</v>
      </c>
      <c r="C33" s="92" t="s">
        <v>31</v>
      </c>
      <c r="D33" s="87"/>
      <c r="E33" s="88">
        <v>1</v>
      </c>
      <c r="F33" s="89" t="s">
        <v>32</v>
      </c>
      <c r="G33" s="90"/>
      <c r="H33" s="15"/>
      <c r="I33" s="16"/>
    </row>
    <row r="34" spans="1:9" x14ac:dyDescent="0.25">
      <c r="A34" s="25" t="s">
        <v>33</v>
      </c>
      <c r="B34" s="25" t="s">
        <v>68</v>
      </c>
      <c r="C34" s="26" t="s">
        <v>34</v>
      </c>
      <c r="D34" s="93" t="s">
        <v>85</v>
      </c>
      <c r="E34" s="74">
        <v>1</v>
      </c>
      <c r="F34" s="59" t="s">
        <v>27</v>
      </c>
      <c r="G34" s="90"/>
      <c r="H34" s="15"/>
      <c r="I34" s="16"/>
    </row>
    <row r="35" spans="1:9" x14ac:dyDescent="0.25">
      <c r="A35" s="94" t="s">
        <v>35</v>
      </c>
      <c r="B35" s="94" t="s">
        <v>71</v>
      </c>
      <c r="C35" s="24" t="s">
        <v>36</v>
      </c>
      <c r="D35" s="87" t="s">
        <v>30</v>
      </c>
      <c r="E35" s="88">
        <v>60</v>
      </c>
      <c r="F35" s="89" t="s">
        <v>37</v>
      </c>
      <c r="G35" s="14"/>
      <c r="H35" s="15"/>
      <c r="I35" s="16"/>
    </row>
    <row r="36" spans="1:9" x14ac:dyDescent="0.25">
      <c r="A36" s="95" t="s">
        <v>38</v>
      </c>
      <c r="B36" s="95" t="s">
        <v>72</v>
      </c>
      <c r="C36" s="96" t="s">
        <v>39</v>
      </c>
      <c r="D36" s="87" t="s">
        <v>86</v>
      </c>
      <c r="E36" s="88">
        <v>2</v>
      </c>
      <c r="F36" s="89" t="s">
        <v>27</v>
      </c>
      <c r="G36" s="14"/>
      <c r="H36" s="15"/>
      <c r="I36" s="16"/>
    </row>
    <row r="37" spans="1:9" x14ac:dyDescent="0.25">
      <c r="A37" s="95" t="s">
        <v>40</v>
      </c>
      <c r="B37" s="95" t="s">
        <v>74</v>
      </c>
      <c r="C37" s="96" t="s">
        <v>41</v>
      </c>
      <c r="D37" s="87" t="s">
        <v>87</v>
      </c>
      <c r="E37" s="88">
        <v>1</v>
      </c>
      <c r="F37" s="89" t="s">
        <v>27</v>
      </c>
      <c r="G37" s="21"/>
      <c r="H37" s="15"/>
      <c r="I37" s="16"/>
    </row>
    <row r="38" spans="1:9" ht="15.75" x14ac:dyDescent="0.25">
      <c r="A38" s="95" t="s">
        <v>42</v>
      </c>
      <c r="B38" s="95" t="s">
        <v>73</v>
      </c>
      <c r="C38" s="96" t="s">
        <v>43</v>
      </c>
      <c r="D38" s="97" t="s">
        <v>87</v>
      </c>
      <c r="E38" s="88">
        <v>1</v>
      </c>
      <c r="F38" s="89" t="s">
        <v>27</v>
      </c>
      <c r="G38" s="19"/>
      <c r="H38" s="15"/>
      <c r="I38" s="16"/>
    </row>
    <row r="39" spans="1:9" x14ac:dyDescent="0.25">
      <c r="A39" s="98"/>
      <c r="B39" s="98"/>
      <c r="C39" s="99"/>
      <c r="D39" s="87"/>
      <c r="E39" s="83"/>
      <c r="F39" s="83"/>
      <c r="G39" s="19"/>
      <c r="H39" s="15"/>
      <c r="I39" s="16"/>
    </row>
    <row r="40" spans="1:9" x14ac:dyDescent="0.25">
      <c r="A40" s="85"/>
      <c r="B40" s="25"/>
      <c r="C40" s="86"/>
      <c r="D40" s="93"/>
      <c r="E40" s="74"/>
      <c r="F40" s="59"/>
      <c r="G40" s="19"/>
      <c r="H40" s="15"/>
      <c r="I40" s="16"/>
    </row>
    <row r="41" spans="1:9" ht="15.75" x14ac:dyDescent="0.25">
      <c r="A41" s="95"/>
      <c r="B41" s="95"/>
      <c r="C41" s="96"/>
      <c r="D41" s="87"/>
      <c r="E41" s="74"/>
      <c r="F41" s="59"/>
      <c r="G41" s="30"/>
      <c r="H41" s="15"/>
      <c r="I41" s="16"/>
    </row>
    <row r="42" spans="1:9" ht="15.75" x14ac:dyDescent="0.25">
      <c r="A42" s="17"/>
      <c r="B42" s="43"/>
      <c r="C42" s="24"/>
      <c r="D42" s="18"/>
      <c r="E42" s="18"/>
      <c r="F42" s="20"/>
      <c r="G42" s="29"/>
      <c r="H42" s="29"/>
      <c r="I42" s="16"/>
    </row>
    <row r="43" spans="1:9" ht="15.75" thickBot="1" x14ac:dyDescent="0.3">
      <c r="A43" s="31"/>
      <c r="B43" s="45"/>
      <c r="C43" s="32"/>
      <c r="D43" s="32"/>
      <c r="E43" s="33"/>
      <c r="F43" s="34"/>
      <c r="G43" s="32"/>
      <c r="H43" s="32"/>
      <c r="I43" s="35"/>
    </row>
    <row r="44" spans="1:9" ht="15.75" thickBot="1" x14ac:dyDescent="0.3">
      <c r="A44" s="36"/>
      <c r="B44" s="46"/>
      <c r="C44" s="37"/>
      <c r="D44" s="38" t="s">
        <v>15</v>
      </c>
      <c r="E44" s="39" t="s">
        <v>44</v>
      </c>
      <c r="F44" s="40"/>
      <c r="G44" s="37"/>
      <c r="H44" s="37"/>
      <c r="I44" s="41"/>
    </row>
    <row r="45" spans="1:9" x14ac:dyDescent="0.25">
      <c r="A45" s="261" t="s">
        <v>45</v>
      </c>
      <c r="B45" s="262"/>
      <c r="C45" s="263"/>
      <c r="D45" s="82">
        <v>1300</v>
      </c>
      <c r="E45" s="100" t="s">
        <v>20</v>
      </c>
      <c r="F45" s="264" t="s">
        <v>46</v>
      </c>
      <c r="G45" s="264"/>
      <c r="H45" s="265"/>
      <c r="I45" s="266"/>
    </row>
    <row r="46" spans="1:9" x14ac:dyDescent="0.25">
      <c r="A46" s="267" t="s">
        <v>47</v>
      </c>
      <c r="B46" s="268"/>
      <c r="C46" s="269"/>
      <c r="D46" s="101">
        <v>0.27083333333333331</v>
      </c>
      <c r="E46" s="59" t="s">
        <v>48</v>
      </c>
      <c r="F46" s="270" t="s">
        <v>49</v>
      </c>
      <c r="G46" s="270"/>
      <c r="H46" s="271"/>
      <c r="I46" s="272"/>
    </row>
    <row r="47" spans="1:9" x14ac:dyDescent="0.25">
      <c r="A47" s="267" t="s">
        <v>50</v>
      </c>
      <c r="B47" s="268"/>
      <c r="C47" s="269"/>
      <c r="D47" s="59">
        <v>1</v>
      </c>
      <c r="E47" s="59" t="s">
        <v>51</v>
      </c>
      <c r="F47" s="270" t="s">
        <v>52</v>
      </c>
      <c r="G47" s="270"/>
      <c r="H47" s="271"/>
      <c r="I47" s="272"/>
    </row>
    <row r="48" spans="1:9" x14ac:dyDescent="0.25">
      <c r="A48" s="267" t="s">
        <v>53</v>
      </c>
      <c r="B48" s="268"/>
      <c r="C48" s="269"/>
      <c r="D48" s="74">
        <v>1300</v>
      </c>
      <c r="E48" s="59" t="s">
        <v>20</v>
      </c>
      <c r="F48" s="277" t="s">
        <v>54</v>
      </c>
      <c r="G48" s="278"/>
      <c r="H48" s="279"/>
      <c r="I48" s="280"/>
    </row>
    <row r="49" spans="1:9" ht="15.75" thickBot="1" x14ac:dyDescent="0.3">
      <c r="A49" s="281" t="s">
        <v>55</v>
      </c>
      <c r="B49" s="282"/>
      <c r="C49" s="283"/>
      <c r="D49" s="102">
        <v>41</v>
      </c>
      <c r="E49" s="103" t="s">
        <v>20</v>
      </c>
      <c r="F49" s="284"/>
      <c r="G49" s="284"/>
      <c r="H49" s="271"/>
      <c r="I49" s="272"/>
    </row>
    <row r="50" spans="1:9" ht="15.75" thickBot="1" x14ac:dyDescent="0.3">
      <c r="A50" s="285" t="s">
        <v>56</v>
      </c>
      <c r="B50" s="286"/>
      <c r="C50" s="286"/>
      <c r="D50" s="286"/>
      <c r="E50" s="286"/>
      <c r="F50" s="286"/>
      <c r="G50" s="286"/>
      <c r="H50" s="286"/>
      <c r="I50" s="287"/>
    </row>
    <row r="51" spans="1:9" ht="18.399999999999999" customHeight="1" x14ac:dyDescent="0.25">
      <c r="A51" s="288" t="s">
        <v>57</v>
      </c>
      <c r="B51" s="289"/>
      <c r="C51" s="290"/>
      <c r="D51" s="290"/>
      <c r="E51" s="290"/>
      <c r="F51" s="290"/>
      <c r="G51" s="290"/>
      <c r="H51" s="290"/>
      <c r="I51" s="291"/>
    </row>
    <row r="52" spans="1:9" ht="14.65" customHeight="1" x14ac:dyDescent="0.25">
      <c r="A52" s="273" t="s">
        <v>58</v>
      </c>
      <c r="B52" s="274"/>
      <c r="C52" s="275"/>
      <c r="D52" s="275"/>
      <c r="E52" s="275"/>
      <c r="F52" s="275"/>
      <c r="G52" s="275"/>
      <c r="H52" s="275"/>
      <c r="I52" s="276"/>
    </row>
    <row r="53" spans="1:9" ht="14.65" customHeight="1" x14ac:dyDescent="0.25">
      <c r="A53" s="288" t="s">
        <v>59</v>
      </c>
      <c r="B53" s="289"/>
      <c r="C53" s="290"/>
      <c r="D53" s="290"/>
      <c r="E53" s="290"/>
      <c r="F53" s="290"/>
      <c r="G53" s="290"/>
      <c r="H53" s="290"/>
      <c r="I53" s="291"/>
    </row>
    <row r="54" spans="1:9" ht="14.65" customHeight="1" x14ac:dyDescent="0.25">
      <c r="A54" s="273" t="s">
        <v>60</v>
      </c>
      <c r="B54" s="274"/>
      <c r="C54" s="275"/>
      <c r="D54" s="275"/>
      <c r="E54" s="275"/>
      <c r="F54" s="275"/>
      <c r="G54" s="275"/>
      <c r="H54" s="275"/>
      <c r="I54" s="276"/>
    </row>
    <row r="55" spans="1:9" ht="14.65" customHeight="1" x14ac:dyDescent="0.25">
      <c r="A55" s="299" t="s">
        <v>61</v>
      </c>
      <c r="B55" s="300"/>
      <c r="C55" s="301"/>
      <c r="D55" s="301"/>
      <c r="E55" s="301"/>
      <c r="F55" s="301"/>
      <c r="G55" s="301"/>
      <c r="H55" s="301"/>
      <c r="I55" s="302"/>
    </row>
    <row r="56" spans="1:9" ht="14.65" customHeight="1" x14ac:dyDescent="0.25">
      <c r="A56" s="303"/>
      <c r="B56" s="304"/>
      <c r="C56" s="304"/>
      <c r="D56" s="304"/>
      <c r="E56" s="304"/>
      <c r="F56" s="304"/>
      <c r="G56" s="304"/>
      <c r="H56" s="304"/>
      <c r="I56" s="305"/>
    </row>
    <row r="57" spans="1:9" ht="18" customHeight="1" x14ac:dyDescent="0.25">
      <c r="A57" s="303"/>
      <c r="B57" s="304"/>
      <c r="C57" s="304"/>
      <c r="D57" s="304"/>
      <c r="E57" s="304"/>
      <c r="F57" s="304"/>
      <c r="G57" s="304"/>
      <c r="H57" s="304"/>
      <c r="I57" s="305"/>
    </row>
    <row r="58" spans="1:9" x14ac:dyDescent="0.25">
      <c r="A58" s="303"/>
      <c r="B58" s="304"/>
      <c r="C58" s="304"/>
      <c r="D58" s="304"/>
      <c r="E58" s="304"/>
      <c r="F58" s="304"/>
      <c r="G58" s="304"/>
      <c r="H58" s="304"/>
      <c r="I58" s="305"/>
    </row>
    <row r="59" spans="1:9" ht="15.75" thickBot="1" x14ac:dyDescent="0.3">
      <c r="A59" s="292"/>
      <c r="B59" s="293"/>
      <c r="C59" s="293"/>
      <c r="D59" s="293"/>
      <c r="E59" s="293"/>
      <c r="F59" s="293"/>
      <c r="G59" s="293"/>
      <c r="H59" s="293"/>
      <c r="I59" s="294"/>
    </row>
    <row r="60" spans="1:9" x14ac:dyDescent="0.25">
      <c r="A60" s="295" t="s">
        <v>62</v>
      </c>
      <c r="B60" s="296"/>
      <c r="C60" s="296"/>
      <c r="D60" s="296"/>
      <c r="E60" s="296"/>
      <c r="F60" s="296"/>
      <c r="G60" s="296"/>
      <c r="H60" s="296"/>
      <c r="I60" s="296"/>
    </row>
    <row r="61" spans="1:9" x14ac:dyDescent="0.25">
      <c r="A61" s="297"/>
      <c r="B61" s="298"/>
      <c r="C61" s="298"/>
      <c r="D61" s="298"/>
      <c r="E61" s="298"/>
      <c r="F61" s="298"/>
      <c r="G61" s="298"/>
      <c r="H61" s="298"/>
      <c r="I61" s="298"/>
    </row>
    <row r="62" spans="1:9" x14ac:dyDescent="0.25">
      <c r="A62" s="297"/>
      <c r="B62" s="298"/>
      <c r="C62" s="298"/>
      <c r="D62" s="298"/>
      <c r="E62" s="298"/>
      <c r="F62" s="298"/>
      <c r="G62" s="298"/>
      <c r="H62" s="298"/>
      <c r="I62" s="298"/>
    </row>
  </sheetData>
  <mergeCells count="45"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52EA-167F-4990-B839-60EA9D44BCA5}">
  <dimension ref="A2:L33"/>
  <sheetViews>
    <sheetView topLeftCell="A16" workbookViewId="0">
      <selection activeCell="J28" sqref="J28"/>
    </sheetView>
  </sheetViews>
  <sheetFormatPr baseColWidth="10" defaultRowHeight="15" x14ac:dyDescent="0.25"/>
  <cols>
    <col min="3" max="3" width="38.5703125" customWidth="1"/>
  </cols>
  <sheetData>
    <row r="2" spans="1:2" x14ac:dyDescent="0.25">
      <c r="A2" t="s">
        <v>110</v>
      </c>
    </row>
    <row r="3" spans="1:2" x14ac:dyDescent="0.25">
      <c r="A3" t="s">
        <v>111</v>
      </c>
      <c r="B3" t="s">
        <v>112</v>
      </c>
    </row>
    <row r="4" spans="1:2" x14ac:dyDescent="0.25">
      <c r="A4" t="s">
        <v>113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119</v>
      </c>
      <c r="B7" t="s">
        <v>120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98</v>
      </c>
    </row>
    <row r="12" spans="1:2" x14ac:dyDescent="0.25">
      <c r="A12" t="s">
        <v>128</v>
      </c>
      <c r="B12" t="s">
        <v>129</v>
      </c>
    </row>
    <row r="13" spans="1:2" x14ac:dyDescent="0.25">
      <c r="A13" t="s">
        <v>130</v>
      </c>
      <c r="B13" t="s">
        <v>131</v>
      </c>
    </row>
    <row r="14" spans="1:2" x14ac:dyDescent="0.25">
      <c r="A14" t="s">
        <v>132</v>
      </c>
      <c r="B14" t="s">
        <v>133</v>
      </c>
    </row>
    <row r="17" spans="1:12" x14ac:dyDescent="0.25">
      <c r="A17" t="s">
        <v>134</v>
      </c>
      <c r="B17" t="s">
        <v>135</v>
      </c>
    </row>
    <row r="18" spans="1:12" x14ac:dyDescent="0.25">
      <c r="A18" t="s">
        <v>136</v>
      </c>
      <c r="B18" t="s">
        <v>137</v>
      </c>
    </row>
    <row r="20" spans="1:12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147</v>
      </c>
      <c r="K20" t="s">
        <v>148</v>
      </c>
    </row>
    <row r="21" spans="1:12" x14ac:dyDescent="0.25">
      <c r="A21" t="s">
        <v>65</v>
      </c>
      <c r="B21" t="s">
        <v>129</v>
      </c>
      <c r="C21" t="s">
        <v>149</v>
      </c>
      <c r="D21" t="s">
        <v>129</v>
      </c>
      <c r="E21" t="s">
        <v>150</v>
      </c>
      <c r="F21" t="s">
        <v>129</v>
      </c>
      <c r="G21" t="s">
        <v>129</v>
      </c>
      <c r="H21" t="s">
        <v>129</v>
      </c>
      <c r="I21" t="s">
        <v>151</v>
      </c>
      <c r="J21" t="s">
        <v>147</v>
      </c>
      <c r="K21" t="s">
        <v>151</v>
      </c>
      <c r="L21">
        <v>58.38</v>
      </c>
    </row>
    <row r="22" spans="1:12" x14ac:dyDescent="0.25">
      <c r="A22" t="s">
        <v>66</v>
      </c>
      <c r="B22" t="s">
        <v>129</v>
      </c>
      <c r="C22" t="s">
        <v>152</v>
      </c>
      <c r="D22" t="s">
        <v>129</v>
      </c>
      <c r="E22" t="s">
        <v>150</v>
      </c>
      <c r="F22" t="s">
        <v>129</v>
      </c>
      <c r="G22" t="s">
        <v>129</v>
      </c>
      <c r="H22" t="s">
        <v>129</v>
      </c>
      <c r="I22" t="s">
        <v>153</v>
      </c>
      <c r="J22" t="s">
        <v>147</v>
      </c>
      <c r="K22" t="s">
        <v>154</v>
      </c>
      <c r="L22">
        <v>427.404</v>
      </c>
    </row>
    <row r="23" spans="1:12" x14ac:dyDescent="0.25">
      <c r="A23" t="s">
        <v>67</v>
      </c>
      <c r="B23" t="s">
        <v>129</v>
      </c>
      <c r="C23" t="s">
        <v>155</v>
      </c>
      <c r="D23" t="s">
        <v>129</v>
      </c>
      <c r="E23" t="s">
        <v>150</v>
      </c>
      <c r="F23" t="s">
        <v>129</v>
      </c>
      <c r="G23" t="s">
        <v>129</v>
      </c>
      <c r="H23" t="s">
        <v>129</v>
      </c>
      <c r="I23" t="s">
        <v>156</v>
      </c>
      <c r="J23" t="s">
        <v>147</v>
      </c>
      <c r="K23" t="s">
        <v>157</v>
      </c>
      <c r="L23">
        <v>112.008</v>
      </c>
    </row>
    <row r="24" spans="1:12" x14ac:dyDescent="0.25">
      <c r="A24" t="s">
        <v>68</v>
      </c>
      <c r="B24" t="s">
        <v>129</v>
      </c>
      <c r="C24" t="s">
        <v>158</v>
      </c>
      <c r="D24" t="s">
        <v>129</v>
      </c>
      <c r="E24" t="s">
        <v>150</v>
      </c>
      <c r="F24" t="s">
        <v>129</v>
      </c>
      <c r="G24" t="s">
        <v>129</v>
      </c>
      <c r="H24" t="s">
        <v>129</v>
      </c>
      <c r="I24" t="s">
        <v>159</v>
      </c>
      <c r="J24" t="s">
        <v>147</v>
      </c>
      <c r="K24" t="s">
        <v>160</v>
      </c>
      <c r="L24">
        <v>52.351199999999999</v>
      </c>
    </row>
    <row r="25" spans="1:12" x14ac:dyDescent="0.25">
      <c r="A25" t="s">
        <v>72</v>
      </c>
      <c r="B25" t="s">
        <v>129</v>
      </c>
      <c r="C25" t="s">
        <v>161</v>
      </c>
      <c r="D25" t="s">
        <v>129</v>
      </c>
      <c r="E25" t="s">
        <v>150</v>
      </c>
      <c r="F25" t="s">
        <v>129</v>
      </c>
      <c r="G25" t="s">
        <v>129</v>
      </c>
      <c r="H25" t="s">
        <v>129</v>
      </c>
      <c r="I25" t="s">
        <v>162</v>
      </c>
      <c r="J25" t="s">
        <v>147</v>
      </c>
      <c r="K25" t="s">
        <v>162</v>
      </c>
      <c r="L25">
        <v>0.57999999999999996</v>
      </c>
    </row>
    <row r="26" spans="1:12" x14ac:dyDescent="0.25">
      <c r="A26" t="s">
        <v>73</v>
      </c>
      <c r="B26" t="s">
        <v>129</v>
      </c>
      <c r="C26" t="s">
        <v>163</v>
      </c>
      <c r="D26" t="s">
        <v>129</v>
      </c>
      <c r="E26" t="s">
        <v>150</v>
      </c>
      <c r="F26" t="s">
        <v>129</v>
      </c>
      <c r="G26" t="s">
        <v>129</v>
      </c>
      <c r="H26" t="s">
        <v>129</v>
      </c>
      <c r="I26" t="s">
        <v>164</v>
      </c>
      <c r="J26" t="s">
        <v>147</v>
      </c>
      <c r="K26" t="s">
        <v>165</v>
      </c>
      <c r="L26">
        <v>2.1280000000000001</v>
      </c>
    </row>
    <row r="27" spans="1:12" x14ac:dyDescent="0.25">
      <c r="A27" t="s">
        <v>166</v>
      </c>
      <c r="B27" t="s">
        <v>129</v>
      </c>
      <c r="C27" t="s">
        <v>167</v>
      </c>
      <c r="D27" t="s">
        <v>168</v>
      </c>
      <c r="E27" t="s">
        <v>150</v>
      </c>
      <c r="F27" t="s">
        <v>168</v>
      </c>
      <c r="G27" t="s">
        <v>168</v>
      </c>
      <c r="H27" t="s">
        <v>168</v>
      </c>
      <c r="I27" t="s">
        <v>169</v>
      </c>
      <c r="J27" t="s">
        <v>147</v>
      </c>
      <c r="K27" t="s">
        <v>170</v>
      </c>
      <c r="L27">
        <v>576</v>
      </c>
    </row>
    <row r="28" spans="1:12" x14ac:dyDescent="0.25">
      <c r="A28" t="s">
        <v>171</v>
      </c>
      <c r="B28" t="s">
        <v>129</v>
      </c>
      <c r="C28" t="s">
        <v>172</v>
      </c>
      <c r="D28" t="s">
        <v>168</v>
      </c>
      <c r="E28" t="s">
        <v>150</v>
      </c>
      <c r="F28" t="s">
        <v>168</v>
      </c>
      <c r="G28" t="s">
        <v>168</v>
      </c>
      <c r="H28" t="s">
        <v>168</v>
      </c>
      <c r="I28" t="s">
        <v>173</v>
      </c>
      <c r="J28" t="s">
        <v>147</v>
      </c>
      <c r="K28" t="s">
        <v>174</v>
      </c>
      <c r="L28">
        <v>693</v>
      </c>
    </row>
    <row r="29" spans="1:12" x14ac:dyDescent="0.25">
      <c r="A29" t="s">
        <v>64</v>
      </c>
      <c r="B29" t="s">
        <v>129</v>
      </c>
      <c r="C29" t="s">
        <v>175</v>
      </c>
      <c r="D29" t="s">
        <v>176</v>
      </c>
      <c r="E29" t="s">
        <v>150</v>
      </c>
      <c r="F29" t="s">
        <v>176</v>
      </c>
      <c r="G29" t="s">
        <v>176</v>
      </c>
      <c r="H29" t="s">
        <v>176</v>
      </c>
      <c r="I29" t="s">
        <v>177</v>
      </c>
      <c r="J29" t="s">
        <v>178</v>
      </c>
      <c r="K29" t="s">
        <v>179</v>
      </c>
      <c r="L29">
        <v>854.58</v>
      </c>
    </row>
    <row r="30" spans="1:12" x14ac:dyDescent="0.25">
      <c r="A30" t="s">
        <v>63</v>
      </c>
      <c r="B30" t="s">
        <v>129</v>
      </c>
      <c r="C30" t="s">
        <v>180</v>
      </c>
      <c r="D30" t="s">
        <v>181</v>
      </c>
      <c r="E30" t="s">
        <v>150</v>
      </c>
      <c r="F30" t="s">
        <v>181</v>
      </c>
      <c r="G30" t="s">
        <v>181</v>
      </c>
      <c r="H30" t="s">
        <v>181</v>
      </c>
      <c r="I30" t="s">
        <v>182</v>
      </c>
      <c r="J30" t="s">
        <v>178</v>
      </c>
      <c r="K30" t="s">
        <v>183</v>
      </c>
      <c r="L30">
        <v>881.79</v>
      </c>
    </row>
    <row r="31" spans="1:12" x14ac:dyDescent="0.25">
      <c r="A31" t="s">
        <v>108</v>
      </c>
      <c r="B31" t="s">
        <v>129</v>
      </c>
      <c r="C31" t="s">
        <v>184</v>
      </c>
      <c r="D31" t="s">
        <v>129</v>
      </c>
      <c r="E31" t="s">
        <v>150</v>
      </c>
      <c r="F31" t="s">
        <v>129</v>
      </c>
      <c r="G31" t="s">
        <v>129</v>
      </c>
      <c r="H31" t="s">
        <v>129</v>
      </c>
      <c r="I31" t="s">
        <v>185</v>
      </c>
      <c r="J31" t="s">
        <v>147</v>
      </c>
      <c r="K31" t="s">
        <v>186</v>
      </c>
      <c r="L31">
        <v>744.77485463000005</v>
      </c>
    </row>
    <row r="32" spans="1:12" x14ac:dyDescent="0.25">
      <c r="A32" t="s">
        <v>70</v>
      </c>
      <c r="B32" t="s">
        <v>129</v>
      </c>
      <c r="C32" t="s">
        <v>187</v>
      </c>
      <c r="D32" t="s">
        <v>188</v>
      </c>
      <c r="E32" t="s">
        <v>150</v>
      </c>
      <c r="F32" t="s">
        <v>188</v>
      </c>
      <c r="G32" t="s">
        <v>188</v>
      </c>
      <c r="H32" t="s">
        <v>188</v>
      </c>
      <c r="I32" t="s">
        <v>189</v>
      </c>
      <c r="J32" t="s">
        <v>178</v>
      </c>
      <c r="K32" t="s">
        <v>190</v>
      </c>
      <c r="L32">
        <v>122.27</v>
      </c>
    </row>
    <row r="33" spans="12:12" x14ac:dyDescent="0.25">
      <c r="L33">
        <f>SUM(L21:L32)</f>
        <v>4525.2660546300003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832D-08F8-48F0-A300-CAF2373FFAA8}">
  <dimension ref="A1:I62"/>
  <sheetViews>
    <sheetView zoomScale="85" zoomScaleNormal="85" workbookViewId="0">
      <selection activeCell="F15" sqref="F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36"/>
      <c r="B1" s="237"/>
      <c r="C1" s="242" t="s">
        <v>0</v>
      </c>
      <c r="D1" s="242"/>
      <c r="E1" s="242"/>
      <c r="F1" s="242"/>
      <c r="G1" s="242"/>
      <c r="H1" s="1" t="s">
        <v>1</v>
      </c>
      <c r="I1" s="2" t="s">
        <v>88</v>
      </c>
    </row>
    <row r="2" spans="1:9" ht="18" customHeight="1" thickBot="1" x14ac:dyDescent="0.3">
      <c r="A2" s="238"/>
      <c r="B2" s="239"/>
      <c r="C2" s="243" t="s">
        <v>2</v>
      </c>
      <c r="D2" s="244"/>
      <c r="E2" s="244"/>
      <c r="F2" s="244"/>
      <c r="G2" s="245"/>
      <c r="H2" s="3" t="s">
        <v>3</v>
      </c>
      <c r="I2" s="4" t="s">
        <v>76</v>
      </c>
    </row>
    <row r="3" spans="1:9" ht="31.5" customHeight="1" thickBot="1" x14ac:dyDescent="0.3">
      <c r="A3" s="238"/>
      <c r="B3" s="239"/>
      <c r="C3" s="246" t="s">
        <v>75</v>
      </c>
      <c r="D3" s="247"/>
      <c r="E3" s="247"/>
      <c r="F3" s="247"/>
      <c r="G3" s="248"/>
      <c r="H3" s="249" t="s">
        <v>4</v>
      </c>
      <c r="I3" s="227">
        <v>45663</v>
      </c>
    </row>
    <row r="4" spans="1:9" ht="18" customHeight="1" x14ac:dyDescent="0.25">
      <c r="A4" s="238"/>
      <c r="B4" s="239"/>
      <c r="C4" s="5" t="s">
        <v>5</v>
      </c>
      <c r="D4" s="230" t="s">
        <v>6</v>
      </c>
      <c r="E4" s="231"/>
      <c r="F4" s="231"/>
      <c r="G4" s="232"/>
      <c r="H4" s="250"/>
      <c r="I4" s="228"/>
    </row>
    <row r="5" spans="1:9" ht="15.75" thickBot="1" x14ac:dyDescent="0.3">
      <c r="A5" s="240"/>
      <c r="B5" s="241"/>
      <c r="C5" s="6" t="s">
        <v>7</v>
      </c>
      <c r="D5" s="233" t="s">
        <v>8</v>
      </c>
      <c r="E5" s="234"/>
      <c r="F5" s="234"/>
      <c r="G5" s="235"/>
      <c r="H5" s="251"/>
      <c r="I5" s="229"/>
    </row>
    <row r="6" spans="1:9" ht="18.75" thickBot="1" x14ac:dyDescent="0.3">
      <c r="A6" s="252" t="s">
        <v>77</v>
      </c>
      <c r="B6" s="252"/>
      <c r="C6" s="252"/>
      <c r="D6" s="253" t="s">
        <v>22</v>
      </c>
      <c r="E6" s="253"/>
      <c r="F6" s="253"/>
      <c r="G6" s="254" t="s">
        <v>78</v>
      </c>
      <c r="H6" s="254"/>
      <c r="I6" s="48" t="s">
        <v>79</v>
      </c>
    </row>
    <row r="7" spans="1:9" ht="25.5" x14ac:dyDescent="0.25">
      <c r="A7" s="255" t="s">
        <v>9</v>
      </c>
      <c r="B7" s="257" t="s">
        <v>80</v>
      </c>
      <c r="C7" s="259" t="s">
        <v>10</v>
      </c>
      <c r="D7" s="259" t="s">
        <v>11</v>
      </c>
      <c r="E7" s="259" t="s">
        <v>12</v>
      </c>
      <c r="F7" s="259"/>
      <c r="G7" s="259" t="s">
        <v>13</v>
      </c>
      <c r="H7" s="259"/>
      <c r="I7" s="7" t="s">
        <v>14</v>
      </c>
    </row>
    <row r="8" spans="1:9" ht="27" thickBot="1" x14ac:dyDescent="0.3">
      <c r="A8" s="256"/>
      <c r="B8" s="258"/>
      <c r="C8" s="260"/>
      <c r="D8" s="260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x14ac:dyDescent="0.25">
      <c r="A9" s="11"/>
      <c r="B9" s="42"/>
      <c r="C9" s="12" t="s">
        <v>18</v>
      </c>
      <c r="D9" s="13"/>
      <c r="E9" s="14"/>
      <c r="F9" s="15"/>
      <c r="G9" s="14"/>
      <c r="H9" s="15"/>
      <c r="I9" s="16"/>
    </row>
    <row r="10" spans="1:9" ht="18" customHeight="1" x14ac:dyDescent="0.25">
      <c r="A10" s="49"/>
      <c r="B10" s="25" t="s">
        <v>105</v>
      </c>
      <c r="C10" s="50" t="s">
        <v>104</v>
      </c>
      <c r="D10" s="51" t="s">
        <v>19</v>
      </c>
      <c r="E10" s="51">
        <v>600</v>
      </c>
      <c r="F10" s="51" t="s">
        <v>20</v>
      </c>
      <c r="G10" s="52"/>
      <c r="H10" s="53" t="s">
        <v>81</v>
      </c>
      <c r="I10" s="16"/>
    </row>
    <row r="11" spans="1:9" x14ac:dyDescent="0.25">
      <c r="A11" s="49">
        <v>90100365</v>
      </c>
      <c r="B11" s="25" t="s">
        <v>63</v>
      </c>
      <c r="C11" s="50" t="s">
        <v>21</v>
      </c>
      <c r="D11" s="51" t="s">
        <v>19</v>
      </c>
      <c r="E11" s="51">
        <v>460</v>
      </c>
      <c r="F11" s="51" t="s">
        <v>20</v>
      </c>
      <c r="G11" s="52"/>
      <c r="H11" s="53" t="s">
        <v>82</v>
      </c>
      <c r="I11" s="16"/>
    </row>
    <row r="12" spans="1:9" x14ac:dyDescent="0.25">
      <c r="A12" s="54"/>
      <c r="B12" s="55"/>
      <c r="C12" s="56"/>
      <c r="D12" s="55"/>
      <c r="E12" s="57"/>
      <c r="F12" s="58"/>
      <c r="G12" s="59"/>
      <c r="H12" s="53"/>
      <c r="I12" s="16"/>
    </row>
    <row r="13" spans="1:9" x14ac:dyDescent="0.25">
      <c r="A13" s="60"/>
      <c r="B13" s="25"/>
      <c r="C13" s="26"/>
      <c r="D13" s="51"/>
      <c r="E13" s="51"/>
      <c r="F13" s="51"/>
      <c r="G13" s="59"/>
      <c r="H13" s="53"/>
      <c r="I13" s="16"/>
    </row>
    <row r="14" spans="1:9" x14ac:dyDescent="0.25">
      <c r="A14" s="61"/>
      <c r="B14" s="25"/>
      <c r="C14" s="50"/>
      <c r="D14" s="51"/>
      <c r="E14" s="51"/>
      <c r="F14" s="51"/>
      <c r="G14" s="59"/>
      <c r="H14" s="53"/>
      <c r="I14" s="16"/>
    </row>
    <row r="15" spans="1:9" x14ac:dyDescent="0.25">
      <c r="A15" s="61"/>
      <c r="B15" s="25"/>
      <c r="C15" s="50"/>
      <c r="D15" s="51"/>
      <c r="E15" s="51"/>
      <c r="F15" s="51"/>
      <c r="G15" s="59"/>
      <c r="H15" s="53"/>
      <c r="I15" s="16"/>
    </row>
    <row r="16" spans="1:9" x14ac:dyDescent="0.25">
      <c r="A16" s="61"/>
      <c r="B16" s="51"/>
      <c r="C16" s="62"/>
      <c r="D16" s="51"/>
      <c r="E16" s="51"/>
      <c r="F16" s="51"/>
      <c r="G16" s="59"/>
      <c r="H16" s="53"/>
      <c r="I16" s="16"/>
    </row>
    <row r="17" spans="1:9" x14ac:dyDescent="0.25">
      <c r="A17" s="61"/>
      <c r="B17" s="25"/>
      <c r="C17" s="50"/>
      <c r="D17" s="51"/>
      <c r="E17" s="51"/>
      <c r="F17" s="51"/>
      <c r="G17" s="59"/>
      <c r="H17" s="53"/>
      <c r="I17" s="16"/>
    </row>
    <row r="18" spans="1:9" x14ac:dyDescent="0.25">
      <c r="A18" s="61"/>
      <c r="B18" s="51"/>
      <c r="C18" s="62"/>
      <c r="D18" s="51"/>
      <c r="E18" s="51"/>
      <c r="F18" s="51"/>
      <c r="G18" s="59"/>
      <c r="H18" s="53"/>
      <c r="I18" s="16"/>
    </row>
    <row r="19" spans="1:9" x14ac:dyDescent="0.25">
      <c r="A19" s="61"/>
      <c r="B19" s="51"/>
      <c r="C19" s="50"/>
      <c r="D19" s="51"/>
      <c r="E19" s="51"/>
      <c r="F19" s="51"/>
      <c r="G19" s="59"/>
      <c r="H19" s="53"/>
      <c r="I19" s="16"/>
    </row>
    <row r="20" spans="1:9" x14ac:dyDescent="0.25">
      <c r="A20" s="63"/>
      <c r="B20" s="64"/>
      <c r="C20" s="65"/>
      <c r="D20" s="64"/>
      <c r="E20" s="66"/>
      <c r="F20" s="58"/>
      <c r="G20" s="59"/>
      <c r="H20" s="53"/>
      <c r="I20" s="16"/>
    </row>
    <row r="21" spans="1:9" x14ac:dyDescent="0.25">
      <c r="A21" s="60"/>
      <c r="B21" s="25"/>
      <c r="C21" s="26"/>
      <c r="D21" s="51"/>
      <c r="E21" s="51"/>
      <c r="F21" s="51"/>
      <c r="G21" s="14"/>
      <c r="H21" s="53"/>
      <c r="I21" s="16"/>
    </row>
    <row r="22" spans="1:9" ht="15.75" x14ac:dyDescent="0.25">
      <c r="A22" s="17"/>
      <c r="B22" s="43"/>
      <c r="C22" s="67" t="s">
        <v>22</v>
      </c>
      <c r="D22" s="18"/>
      <c r="E22" s="23"/>
      <c r="F22" s="20"/>
      <c r="G22" s="14"/>
      <c r="H22" s="15"/>
      <c r="I22" s="16"/>
    </row>
    <row r="23" spans="1:9" x14ac:dyDescent="0.25">
      <c r="A23" s="68">
        <v>20100163</v>
      </c>
      <c r="B23" s="69" t="s">
        <v>64</v>
      </c>
      <c r="C23" s="70" t="s">
        <v>23</v>
      </c>
      <c r="D23" s="71" t="s">
        <v>19</v>
      </c>
      <c r="E23" s="72">
        <v>280</v>
      </c>
      <c r="F23" s="73" t="s">
        <v>20</v>
      </c>
      <c r="G23" s="14"/>
      <c r="H23" s="15"/>
      <c r="I23" s="16"/>
    </row>
    <row r="24" spans="1:9" x14ac:dyDescent="0.25">
      <c r="A24" s="68">
        <v>20100163</v>
      </c>
      <c r="B24" s="69" t="s">
        <v>64</v>
      </c>
      <c r="C24" s="70" t="s">
        <v>23</v>
      </c>
      <c r="D24" s="71" t="s">
        <v>19</v>
      </c>
      <c r="E24" s="74">
        <v>70</v>
      </c>
      <c r="F24" s="73" t="s">
        <v>20</v>
      </c>
      <c r="G24" s="14"/>
      <c r="H24" s="15" t="s">
        <v>83</v>
      </c>
      <c r="I24" s="16"/>
    </row>
    <row r="25" spans="1:9" x14ac:dyDescent="0.25">
      <c r="A25" s="68" t="s">
        <v>69</v>
      </c>
      <c r="B25" s="69" t="s">
        <v>70</v>
      </c>
      <c r="C25" s="70" t="s">
        <v>24</v>
      </c>
      <c r="D25" s="71" t="s">
        <v>19</v>
      </c>
      <c r="E25" s="72">
        <v>20</v>
      </c>
      <c r="F25" s="73" t="s">
        <v>20</v>
      </c>
      <c r="G25" s="14"/>
      <c r="H25" s="15" t="s">
        <v>84</v>
      </c>
      <c r="I25" s="16"/>
    </row>
    <row r="26" spans="1:9" x14ac:dyDescent="0.25">
      <c r="A26" s="68">
        <v>10700013</v>
      </c>
      <c r="B26" s="127" t="s">
        <v>65</v>
      </c>
      <c r="C26" s="70" t="s">
        <v>25</v>
      </c>
      <c r="D26" s="71" t="s">
        <v>26</v>
      </c>
      <c r="E26" s="75">
        <v>1</v>
      </c>
      <c r="F26" s="76" t="s">
        <v>27</v>
      </c>
      <c r="G26" s="14"/>
      <c r="H26" s="15"/>
      <c r="I26" s="16"/>
    </row>
    <row r="27" spans="1:9" x14ac:dyDescent="0.25">
      <c r="A27" s="68"/>
      <c r="B27" s="69"/>
      <c r="C27" s="70"/>
      <c r="D27" s="71"/>
      <c r="E27" s="77"/>
      <c r="F27" s="76"/>
      <c r="G27" s="14"/>
      <c r="H27" s="15"/>
      <c r="I27" s="16"/>
    </row>
    <row r="28" spans="1:9" x14ac:dyDescent="0.25">
      <c r="A28" s="47"/>
      <c r="B28" s="47"/>
      <c r="D28" s="78"/>
      <c r="E28" s="79"/>
      <c r="F28" s="80"/>
      <c r="G28" s="14"/>
      <c r="H28" s="15"/>
      <c r="I28" s="16"/>
    </row>
    <row r="29" spans="1:9" x14ac:dyDescent="0.25">
      <c r="A29" s="25"/>
      <c r="B29" s="25"/>
      <c r="C29" s="26"/>
      <c r="D29" s="81"/>
      <c r="E29" s="82"/>
      <c r="F29" s="80"/>
      <c r="G29" s="14"/>
      <c r="H29" s="15"/>
      <c r="I29" s="16"/>
    </row>
    <row r="30" spans="1:9" x14ac:dyDescent="0.25">
      <c r="A30" s="25"/>
      <c r="B30" s="25"/>
      <c r="C30" s="26"/>
      <c r="D30" s="81"/>
      <c r="E30" s="74"/>
      <c r="F30" s="83"/>
      <c r="G30" s="14"/>
      <c r="H30" s="15"/>
      <c r="I30" s="16"/>
    </row>
    <row r="31" spans="1:9" ht="15.75" x14ac:dyDescent="0.25">
      <c r="A31" s="27"/>
      <c r="B31" s="44"/>
      <c r="C31" s="84" t="s">
        <v>28</v>
      </c>
      <c r="D31" s="28"/>
      <c r="E31" s="22"/>
      <c r="F31" s="15"/>
      <c r="G31" s="14"/>
      <c r="I31" s="16"/>
    </row>
    <row r="32" spans="1:9" x14ac:dyDescent="0.25">
      <c r="A32" s="85">
        <v>121603</v>
      </c>
      <c r="B32" s="126" t="s">
        <v>66</v>
      </c>
      <c r="C32" s="86" t="s">
        <v>29</v>
      </c>
      <c r="D32" s="87" t="s">
        <v>30</v>
      </c>
      <c r="E32" s="88">
        <v>1</v>
      </c>
      <c r="F32" s="89" t="s">
        <v>27</v>
      </c>
      <c r="G32" s="90"/>
      <c r="H32" s="15"/>
      <c r="I32" s="16"/>
    </row>
    <row r="33" spans="1:9" x14ac:dyDescent="0.25">
      <c r="A33" s="91">
        <v>1950692</v>
      </c>
      <c r="B33" s="125" t="s">
        <v>67</v>
      </c>
      <c r="C33" s="92" t="s">
        <v>31</v>
      </c>
      <c r="D33" s="87"/>
      <c r="E33" s="88">
        <v>1</v>
      </c>
      <c r="F33" s="89" t="s">
        <v>32</v>
      </c>
      <c r="G33" s="90"/>
      <c r="H33" s="15"/>
      <c r="I33" s="16"/>
    </row>
    <row r="34" spans="1:9" x14ac:dyDescent="0.25">
      <c r="A34" s="25" t="s">
        <v>33</v>
      </c>
      <c r="B34" s="124" t="s">
        <v>68</v>
      </c>
      <c r="C34" s="26" t="s">
        <v>34</v>
      </c>
      <c r="D34" s="93" t="s">
        <v>85</v>
      </c>
      <c r="E34" s="74">
        <v>1</v>
      </c>
      <c r="F34" s="59" t="s">
        <v>27</v>
      </c>
      <c r="G34" s="90"/>
      <c r="H34" s="15"/>
      <c r="I34" s="16"/>
    </row>
    <row r="35" spans="1:9" x14ac:dyDescent="0.25">
      <c r="A35" s="94" t="s">
        <v>35</v>
      </c>
      <c r="B35" s="94" t="s">
        <v>71</v>
      </c>
      <c r="C35" s="24" t="s">
        <v>36</v>
      </c>
      <c r="D35" s="87" t="s">
        <v>30</v>
      </c>
      <c r="E35" s="88">
        <v>60</v>
      </c>
      <c r="F35" s="89" t="s">
        <v>37</v>
      </c>
      <c r="G35" s="14"/>
      <c r="H35" s="15"/>
      <c r="I35" s="16"/>
    </row>
    <row r="36" spans="1:9" x14ac:dyDescent="0.25">
      <c r="A36" s="95" t="s">
        <v>38</v>
      </c>
      <c r="B36" s="123" t="s">
        <v>72</v>
      </c>
      <c r="C36" s="96" t="s">
        <v>39</v>
      </c>
      <c r="D36" s="87" t="s">
        <v>86</v>
      </c>
      <c r="E36" s="88">
        <v>2</v>
      </c>
      <c r="F36" s="89" t="s">
        <v>27</v>
      </c>
      <c r="G36" s="14"/>
      <c r="H36" s="15"/>
      <c r="I36" s="16"/>
    </row>
    <row r="37" spans="1:9" x14ac:dyDescent="0.25">
      <c r="A37" s="95" t="s">
        <v>40</v>
      </c>
      <c r="B37" s="95" t="s">
        <v>74</v>
      </c>
      <c r="C37" s="96" t="s">
        <v>41</v>
      </c>
      <c r="D37" s="87" t="s">
        <v>87</v>
      </c>
      <c r="E37" s="88">
        <v>1</v>
      </c>
      <c r="F37" s="89" t="s">
        <v>27</v>
      </c>
      <c r="G37" s="21"/>
      <c r="H37" s="15"/>
      <c r="I37" s="16"/>
    </row>
    <row r="38" spans="1:9" ht="15.75" x14ac:dyDescent="0.25">
      <c r="A38" s="95" t="s">
        <v>42</v>
      </c>
      <c r="B38" s="123" t="s">
        <v>73</v>
      </c>
      <c r="C38" s="96" t="s">
        <v>43</v>
      </c>
      <c r="D38" s="97" t="s">
        <v>87</v>
      </c>
      <c r="E38" s="88">
        <v>1</v>
      </c>
      <c r="F38" s="89" t="s">
        <v>27</v>
      </c>
      <c r="G38" s="19"/>
      <c r="H38" s="15"/>
      <c r="I38" s="16"/>
    </row>
    <row r="39" spans="1:9" x14ac:dyDescent="0.25">
      <c r="A39" s="98"/>
      <c r="B39" s="98"/>
      <c r="C39" s="99"/>
      <c r="D39" s="87"/>
      <c r="E39" s="83"/>
      <c r="F39" s="83"/>
      <c r="G39" s="19"/>
      <c r="H39" s="15"/>
      <c r="I39" s="16"/>
    </row>
    <row r="40" spans="1:9" x14ac:dyDescent="0.25">
      <c r="A40" s="85"/>
      <c r="B40" s="25"/>
      <c r="C40" s="86"/>
      <c r="D40" s="93"/>
      <c r="E40" s="74"/>
      <c r="F40" s="59"/>
      <c r="G40" s="19"/>
      <c r="H40" s="15"/>
      <c r="I40" s="16"/>
    </row>
    <row r="41" spans="1:9" ht="15.75" x14ac:dyDescent="0.25">
      <c r="A41" s="95"/>
      <c r="B41" s="95"/>
      <c r="C41" s="96"/>
      <c r="D41" s="87"/>
      <c r="E41" s="74"/>
      <c r="F41" s="59"/>
      <c r="G41" s="30"/>
      <c r="H41" s="15"/>
      <c r="I41" s="16"/>
    </row>
    <row r="42" spans="1:9" ht="15.75" x14ac:dyDescent="0.25">
      <c r="A42" s="17"/>
      <c r="B42" s="43"/>
      <c r="C42" s="24"/>
      <c r="D42" s="18"/>
      <c r="E42" s="18"/>
      <c r="F42" s="20"/>
      <c r="G42" s="29"/>
      <c r="H42" s="29"/>
      <c r="I42" s="16"/>
    </row>
    <row r="43" spans="1:9" ht="15.75" thickBot="1" x14ac:dyDescent="0.3">
      <c r="A43" s="31"/>
      <c r="B43" s="45"/>
      <c r="C43" s="32"/>
      <c r="D43" s="32"/>
      <c r="E43" s="33"/>
      <c r="F43" s="34"/>
      <c r="G43" s="32"/>
      <c r="H43" s="32"/>
      <c r="I43" s="35"/>
    </row>
    <row r="44" spans="1:9" ht="15.75" thickBot="1" x14ac:dyDescent="0.3">
      <c r="A44" s="36"/>
      <c r="B44" s="46"/>
      <c r="C44" s="37"/>
      <c r="D44" s="38" t="s">
        <v>15</v>
      </c>
      <c r="E44" s="39" t="s">
        <v>44</v>
      </c>
      <c r="F44" s="40"/>
      <c r="G44" s="37"/>
      <c r="H44" s="37"/>
      <c r="I44" s="41"/>
    </row>
    <row r="45" spans="1:9" x14ac:dyDescent="0.25">
      <c r="A45" s="261" t="s">
        <v>45</v>
      </c>
      <c r="B45" s="262"/>
      <c r="C45" s="263"/>
      <c r="D45" s="82">
        <v>1441</v>
      </c>
      <c r="E45" s="100" t="s">
        <v>20</v>
      </c>
      <c r="F45" s="264" t="s">
        <v>46</v>
      </c>
      <c r="G45" s="264"/>
      <c r="H45" s="265"/>
      <c r="I45" s="266"/>
    </row>
    <row r="46" spans="1:9" x14ac:dyDescent="0.25">
      <c r="A46" s="267" t="s">
        <v>47</v>
      </c>
      <c r="B46" s="268"/>
      <c r="C46" s="269"/>
      <c r="D46" s="101">
        <v>0.27083333333333331</v>
      </c>
      <c r="E46" s="59" t="s">
        <v>48</v>
      </c>
      <c r="F46" s="270" t="s">
        <v>49</v>
      </c>
      <c r="G46" s="270"/>
      <c r="H46" s="271"/>
      <c r="I46" s="272"/>
    </row>
    <row r="47" spans="1:9" x14ac:dyDescent="0.25">
      <c r="A47" s="267" t="s">
        <v>50</v>
      </c>
      <c r="B47" s="268"/>
      <c r="C47" s="269"/>
      <c r="D47" s="59">
        <v>1</v>
      </c>
      <c r="E47" s="59" t="s">
        <v>51</v>
      </c>
      <c r="F47" s="270" t="s">
        <v>52</v>
      </c>
      <c r="G47" s="270"/>
      <c r="H47" s="271"/>
      <c r="I47" s="272"/>
    </row>
    <row r="48" spans="1:9" x14ac:dyDescent="0.25">
      <c r="A48" s="267" t="s">
        <v>53</v>
      </c>
      <c r="B48" s="268"/>
      <c r="C48" s="269"/>
      <c r="D48" s="74">
        <v>1441</v>
      </c>
      <c r="E48" s="59" t="s">
        <v>20</v>
      </c>
      <c r="F48" s="277" t="s">
        <v>54</v>
      </c>
      <c r="G48" s="278"/>
      <c r="H48" s="279"/>
      <c r="I48" s="280"/>
    </row>
    <row r="49" spans="1:9" ht="15.75" thickBot="1" x14ac:dyDescent="0.3">
      <c r="A49" s="281" t="s">
        <v>55</v>
      </c>
      <c r="B49" s="282"/>
      <c r="C49" s="283"/>
      <c r="D49" s="102">
        <f>SUM(E10:E26)-D45</f>
        <v>-10</v>
      </c>
      <c r="E49" s="103" t="s">
        <v>20</v>
      </c>
      <c r="F49" s="284"/>
      <c r="G49" s="284"/>
      <c r="H49" s="271"/>
      <c r="I49" s="272"/>
    </row>
    <row r="50" spans="1:9" ht="15.75" thickBot="1" x14ac:dyDescent="0.3">
      <c r="A50" s="285" t="s">
        <v>56</v>
      </c>
      <c r="B50" s="286"/>
      <c r="C50" s="286"/>
      <c r="D50" s="286"/>
      <c r="E50" s="286"/>
      <c r="F50" s="286"/>
      <c r="G50" s="286"/>
      <c r="H50" s="286"/>
      <c r="I50" s="287"/>
    </row>
    <row r="51" spans="1:9" ht="18.399999999999999" customHeight="1" x14ac:dyDescent="0.25">
      <c r="A51" s="288" t="s">
        <v>57</v>
      </c>
      <c r="B51" s="289"/>
      <c r="C51" s="290"/>
      <c r="D51" s="290"/>
      <c r="E51" s="290"/>
      <c r="F51" s="290"/>
      <c r="G51" s="290"/>
      <c r="H51" s="290"/>
      <c r="I51" s="291"/>
    </row>
    <row r="52" spans="1:9" ht="14.65" customHeight="1" x14ac:dyDescent="0.25">
      <c r="A52" s="273" t="s">
        <v>58</v>
      </c>
      <c r="B52" s="274"/>
      <c r="C52" s="275"/>
      <c r="D52" s="275"/>
      <c r="E52" s="275"/>
      <c r="F52" s="275"/>
      <c r="G52" s="275"/>
      <c r="H52" s="275"/>
      <c r="I52" s="276"/>
    </row>
    <row r="53" spans="1:9" ht="14.65" customHeight="1" x14ac:dyDescent="0.25">
      <c r="A53" s="288" t="s">
        <v>59</v>
      </c>
      <c r="B53" s="289"/>
      <c r="C53" s="290"/>
      <c r="D53" s="290"/>
      <c r="E53" s="290"/>
      <c r="F53" s="290"/>
      <c r="G53" s="290"/>
      <c r="H53" s="290"/>
      <c r="I53" s="291"/>
    </row>
    <row r="54" spans="1:9" ht="14.65" customHeight="1" x14ac:dyDescent="0.25">
      <c r="A54" s="273" t="s">
        <v>60</v>
      </c>
      <c r="B54" s="274"/>
      <c r="C54" s="275"/>
      <c r="D54" s="275"/>
      <c r="E54" s="275"/>
      <c r="F54" s="275"/>
      <c r="G54" s="275"/>
      <c r="H54" s="275"/>
      <c r="I54" s="276"/>
    </row>
    <row r="55" spans="1:9" ht="14.65" customHeight="1" x14ac:dyDescent="0.25">
      <c r="A55" s="299" t="s">
        <v>61</v>
      </c>
      <c r="B55" s="300"/>
      <c r="C55" s="301"/>
      <c r="D55" s="301"/>
      <c r="E55" s="301"/>
      <c r="F55" s="301"/>
      <c r="G55" s="301"/>
      <c r="H55" s="301"/>
      <c r="I55" s="302"/>
    </row>
    <row r="56" spans="1:9" ht="14.65" customHeight="1" x14ac:dyDescent="0.25">
      <c r="A56" s="303"/>
      <c r="B56" s="304"/>
      <c r="C56" s="304"/>
      <c r="D56" s="304"/>
      <c r="E56" s="304"/>
      <c r="F56" s="304"/>
      <c r="G56" s="304"/>
      <c r="H56" s="304"/>
      <c r="I56" s="305"/>
    </row>
    <row r="57" spans="1:9" ht="18" customHeight="1" x14ac:dyDescent="0.25">
      <c r="A57" s="303"/>
      <c r="B57" s="304"/>
      <c r="C57" s="304"/>
      <c r="D57" s="304"/>
      <c r="E57" s="304"/>
      <c r="F57" s="304"/>
      <c r="G57" s="304"/>
      <c r="H57" s="304"/>
      <c r="I57" s="305"/>
    </row>
    <row r="58" spans="1:9" x14ac:dyDescent="0.25">
      <c r="A58" s="303"/>
      <c r="B58" s="304"/>
      <c r="C58" s="304"/>
      <c r="D58" s="304"/>
      <c r="E58" s="304"/>
      <c r="F58" s="304"/>
      <c r="G58" s="304"/>
      <c r="H58" s="304"/>
      <c r="I58" s="305"/>
    </row>
    <row r="59" spans="1:9" ht="15.75" thickBot="1" x14ac:dyDescent="0.3">
      <c r="A59" s="292"/>
      <c r="B59" s="293"/>
      <c r="C59" s="293"/>
      <c r="D59" s="293"/>
      <c r="E59" s="293"/>
      <c r="F59" s="293"/>
      <c r="G59" s="293"/>
      <c r="H59" s="293"/>
      <c r="I59" s="294"/>
    </row>
    <row r="60" spans="1:9" x14ac:dyDescent="0.25">
      <c r="A60" s="295" t="s">
        <v>62</v>
      </c>
      <c r="B60" s="296"/>
      <c r="C60" s="296"/>
      <c r="D60" s="296"/>
      <c r="E60" s="296"/>
      <c r="F60" s="296"/>
      <c r="G60" s="296"/>
      <c r="H60" s="296"/>
      <c r="I60" s="296"/>
    </row>
    <row r="61" spans="1:9" x14ac:dyDescent="0.25">
      <c r="A61" s="306" t="s">
        <v>106</v>
      </c>
      <c r="B61" s="306"/>
      <c r="C61" s="306"/>
      <c r="D61" s="306"/>
      <c r="E61" s="306"/>
      <c r="F61" s="306"/>
      <c r="G61" s="306"/>
      <c r="H61" s="306"/>
      <c r="I61" s="306"/>
    </row>
    <row r="62" spans="1:9" x14ac:dyDescent="0.25">
      <c r="A62" s="297"/>
      <c r="B62" s="298"/>
      <c r="C62" s="298"/>
      <c r="D62" s="298"/>
      <c r="E62" s="298"/>
      <c r="F62" s="298"/>
      <c r="G62" s="298"/>
      <c r="H62" s="298"/>
      <c r="I62" s="29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A5D1-5499-4DA5-B425-3C66C258C6A8}">
  <dimension ref="A2:L33"/>
  <sheetViews>
    <sheetView topLeftCell="A16" workbookViewId="0">
      <selection activeCell="M26" sqref="M26"/>
    </sheetView>
  </sheetViews>
  <sheetFormatPr baseColWidth="10" defaultRowHeight="15" x14ac:dyDescent="0.25"/>
  <cols>
    <col min="3" max="3" width="33.140625" customWidth="1"/>
  </cols>
  <sheetData>
    <row r="2" spans="1:2" x14ac:dyDescent="0.25">
      <c r="A2" t="s">
        <v>110</v>
      </c>
    </row>
    <row r="3" spans="1:2" x14ac:dyDescent="0.25">
      <c r="A3" t="s">
        <v>111</v>
      </c>
      <c r="B3" t="s">
        <v>112</v>
      </c>
    </row>
    <row r="4" spans="1:2" x14ac:dyDescent="0.25">
      <c r="A4" t="s">
        <v>113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119</v>
      </c>
      <c r="B7" t="s">
        <v>120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98</v>
      </c>
    </row>
    <row r="12" spans="1:2" x14ac:dyDescent="0.25">
      <c r="A12" t="s">
        <v>128</v>
      </c>
      <c r="B12" t="s">
        <v>129</v>
      </c>
    </row>
    <row r="13" spans="1:2" x14ac:dyDescent="0.25">
      <c r="A13" t="s">
        <v>130</v>
      </c>
      <c r="B13" t="s">
        <v>131</v>
      </c>
    </row>
    <row r="14" spans="1:2" x14ac:dyDescent="0.25">
      <c r="A14" t="s">
        <v>132</v>
      </c>
      <c r="B14" t="s">
        <v>133</v>
      </c>
    </row>
    <row r="17" spans="1:12" x14ac:dyDescent="0.25">
      <c r="A17" t="s">
        <v>134</v>
      </c>
      <c r="B17" t="s">
        <v>135</v>
      </c>
    </row>
    <row r="18" spans="1:12" x14ac:dyDescent="0.25">
      <c r="A18" t="s">
        <v>136</v>
      </c>
      <c r="B18" t="s">
        <v>137</v>
      </c>
    </row>
    <row r="20" spans="1:12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147</v>
      </c>
      <c r="K20" t="s">
        <v>148</v>
      </c>
    </row>
    <row r="21" spans="1:12" x14ac:dyDescent="0.25">
      <c r="A21" t="s">
        <v>65</v>
      </c>
      <c r="B21" t="s">
        <v>129</v>
      </c>
      <c r="C21" t="s">
        <v>149</v>
      </c>
      <c r="D21" t="s">
        <v>129</v>
      </c>
      <c r="E21" t="s">
        <v>150</v>
      </c>
      <c r="F21" t="s">
        <v>129</v>
      </c>
      <c r="G21" t="s">
        <v>129</v>
      </c>
      <c r="H21" t="s">
        <v>129</v>
      </c>
      <c r="I21" t="s">
        <v>151</v>
      </c>
      <c r="J21" t="s">
        <v>147</v>
      </c>
      <c r="K21" t="s">
        <v>151</v>
      </c>
      <c r="L21">
        <v>58.38</v>
      </c>
    </row>
    <row r="22" spans="1:12" x14ac:dyDescent="0.25">
      <c r="A22" t="s">
        <v>66</v>
      </c>
      <c r="B22" t="s">
        <v>129</v>
      </c>
      <c r="C22" t="s">
        <v>152</v>
      </c>
      <c r="D22" t="s">
        <v>129</v>
      </c>
      <c r="E22" t="s">
        <v>150</v>
      </c>
      <c r="F22" t="s">
        <v>129</v>
      </c>
      <c r="G22" t="s">
        <v>129</v>
      </c>
      <c r="H22" t="s">
        <v>129</v>
      </c>
      <c r="I22" t="s">
        <v>153</v>
      </c>
      <c r="J22" t="s">
        <v>147</v>
      </c>
      <c r="K22" t="s">
        <v>154</v>
      </c>
      <c r="L22">
        <v>427.404</v>
      </c>
    </row>
    <row r="23" spans="1:12" x14ac:dyDescent="0.25">
      <c r="A23" t="s">
        <v>67</v>
      </c>
      <c r="B23" t="s">
        <v>129</v>
      </c>
      <c r="C23" t="s">
        <v>155</v>
      </c>
      <c r="D23" t="s">
        <v>129</v>
      </c>
      <c r="E23" t="s">
        <v>150</v>
      </c>
      <c r="F23" t="s">
        <v>129</v>
      </c>
      <c r="G23" t="s">
        <v>129</v>
      </c>
      <c r="H23" t="s">
        <v>129</v>
      </c>
      <c r="I23" t="s">
        <v>156</v>
      </c>
      <c r="J23" t="s">
        <v>147</v>
      </c>
      <c r="K23" t="s">
        <v>157</v>
      </c>
      <c r="L23">
        <v>112.008</v>
      </c>
    </row>
    <row r="24" spans="1:12" x14ac:dyDescent="0.25">
      <c r="A24" t="s">
        <v>68</v>
      </c>
      <c r="B24" t="s">
        <v>129</v>
      </c>
      <c r="C24" t="s">
        <v>158</v>
      </c>
      <c r="D24" t="s">
        <v>129</v>
      </c>
      <c r="E24" t="s">
        <v>150</v>
      </c>
      <c r="F24" t="s">
        <v>129</v>
      </c>
      <c r="G24" t="s">
        <v>129</v>
      </c>
      <c r="H24" t="s">
        <v>129</v>
      </c>
      <c r="I24" t="s">
        <v>159</v>
      </c>
      <c r="J24" t="s">
        <v>147</v>
      </c>
      <c r="K24" t="s">
        <v>160</v>
      </c>
      <c r="L24">
        <v>52.351199999999999</v>
      </c>
    </row>
    <row r="25" spans="1:12" x14ac:dyDescent="0.25">
      <c r="A25" t="s">
        <v>72</v>
      </c>
      <c r="B25" t="s">
        <v>129</v>
      </c>
      <c r="C25" t="s">
        <v>161</v>
      </c>
      <c r="D25" t="s">
        <v>129</v>
      </c>
      <c r="E25" t="s">
        <v>150</v>
      </c>
      <c r="F25" t="s">
        <v>129</v>
      </c>
      <c r="G25" t="s">
        <v>129</v>
      </c>
      <c r="H25" t="s">
        <v>129</v>
      </c>
      <c r="I25" t="s">
        <v>162</v>
      </c>
      <c r="J25" t="s">
        <v>147</v>
      </c>
      <c r="K25" t="s">
        <v>162</v>
      </c>
      <c r="L25">
        <v>0.57999999999999996</v>
      </c>
    </row>
    <row r="26" spans="1:12" x14ac:dyDescent="0.25">
      <c r="A26" t="s">
        <v>73</v>
      </c>
      <c r="B26" t="s">
        <v>129</v>
      </c>
      <c r="C26" t="s">
        <v>163</v>
      </c>
      <c r="D26" t="s">
        <v>129</v>
      </c>
      <c r="E26" t="s">
        <v>150</v>
      </c>
      <c r="F26" t="s">
        <v>129</v>
      </c>
      <c r="G26" t="s">
        <v>129</v>
      </c>
      <c r="H26" t="s">
        <v>129</v>
      </c>
      <c r="I26" t="s">
        <v>164</v>
      </c>
      <c r="J26" t="s">
        <v>147</v>
      </c>
      <c r="K26" t="s">
        <v>165</v>
      </c>
      <c r="L26">
        <v>2.1280000000000001</v>
      </c>
    </row>
    <row r="27" spans="1:12" x14ac:dyDescent="0.25">
      <c r="A27" t="s">
        <v>166</v>
      </c>
      <c r="B27" t="s">
        <v>129</v>
      </c>
      <c r="C27" t="s">
        <v>167</v>
      </c>
      <c r="D27" t="s">
        <v>168</v>
      </c>
      <c r="E27" t="s">
        <v>150</v>
      </c>
      <c r="F27" t="s">
        <v>168</v>
      </c>
      <c r="G27" t="s">
        <v>168</v>
      </c>
      <c r="H27" t="s">
        <v>168</v>
      </c>
      <c r="I27" t="s">
        <v>169</v>
      </c>
      <c r="J27" t="s">
        <v>147</v>
      </c>
      <c r="K27" t="s">
        <v>170</v>
      </c>
      <c r="L27">
        <v>576</v>
      </c>
    </row>
    <row r="28" spans="1:12" x14ac:dyDescent="0.25">
      <c r="A28" t="s">
        <v>171</v>
      </c>
      <c r="B28" t="s">
        <v>129</v>
      </c>
      <c r="C28" t="s">
        <v>172</v>
      </c>
      <c r="D28" t="s">
        <v>168</v>
      </c>
      <c r="E28" t="s">
        <v>150</v>
      </c>
      <c r="F28" t="s">
        <v>168</v>
      </c>
      <c r="G28" t="s">
        <v>168</v>
      </c>
      <c r="H28" t="s">
        <v>168</v>
      </c>
      <c r="I28" t="s">
        <v>173</v>
      </c>
      <c r="J28" t="s">
        <v>147</v>
      </c>
      <c r="K28" t="s">
        <v>174</v>
      </c>
      <c r="L28">
        <v>693</v>
      </c>
    </row>
    <row r="29" spans="1:12" x14ac:dyDescent="0.25">
      <c r="A29" t="s">
        <v>64</v>
      </c>
      <c r="B29" t="s">
        <v>129</v>
      </c>
      <c r="C29" t="s">
        <v>175</v>
      </c>
      <c r="D29" t="s">
        <v>176</v>
      </c>
      <c r="E29" t="s">
        <v>150</v>
      </c>
      <c r="F29" t="s">
        <v>176</v>
      </c>
      <c r="G29" t="s">
        <v>176</v>
      </c>
      <c r="H29" t="s">
        <v>176</v>
      </c>
      <c r="I29" t="s">
        <v>177</v>
      </c>
      <c r="J29" t="s">
        <v>178</v>
      </c>
      <c r="K29" t="s">
        <v>179</v>
      </c>
      <c r="L29">
        <v>854.58</v>
      </c>
    </row>
    <row r="30" spans="1:12" x14ac:dyDescent="0.25">
      <c r="A30" t="s">
        <v>63</v>
      </c>
      <c r="B30" t="s">
        <v>129</v>
      </c>
      <c r="C30" t="s">
        <v>180</v>
      </c>
      <c r="D30" t="s">
        <v>181</v>
      </c>
      <c r="E30" t="s">
        <v>150</v>
      </c>
      <c r="F30" t="s">
        <v>181</v>
      </c>
      <c r="G30" t="s">
        <v>181</v>
      </c>
      <c r="H30" t="s">
        <v>181</v>
      </c>
      <c r="I30" t="s">
        <v>182</v>
      </c>
      <c r="J30" t="s">
        <v>178</v>
      </c>
      <c r="K30" t="s">
        <v>183</v>
      </c>
      <c r="L30">
        <v>881.79</v>
      </c>
    </row>
    <row r="31" spans="1:12" x14ac:dyDescent="0.25">
      <c r="A31" s="225" t="s">
        <v>108</v>
      </c>
      <c r="B31" s="225" t="s">
        <v>129</v>
      </c>
      <c r="C31" s="225" t="s">
        <v>244</v>
      </c>
      <c r="D31" s="225" t="s">
        <v>129</v>
      </c>
      <c r="E31" s="225" t="s">
        <v>150</v>
      </c>
      <c r="F31" s="225" t="s">
        <v>129</v>
      </c>
      <c r="G31" s="225" t="s">
        <v>129</v>
      </c>
      <c r="H31" s="225" t="s">
        <v>129</v>
      </c>
      <c r="I31" s="225">
        <v>776</v>
      </c>
      <c r="J31" s="225" t="s">
        <v>147</v>
      </c>
      <c r="K31" s="225">
        <v>776</v>
      </c>
      <c r="L31" s="225">
        <v>776</v>
      </c>
    </row>
    <row r="32" spans="1:12" x14ac:dyDescent="0.25">
      <c r="A32" t="s">
        <v>70</v>
      </c>
      <c r="B32" t="s">
        <v>129</v>
      </c>
      <c r="C32" t="s">
        <v>187</v>
      </c>
      <c r="D32" t="s">
        <v>188</v>
      </c>
      <c r="E32" t="s">
        <v>150</v>
      </c>
      <c r="F32" t="s">
        <v>188</v>
      </c>
      <c r="G32" t="s">
        <v>188</v>
      </c>
      <c r="H32" t="s">
        <v>188</v>
      </c>
      <c r="I32" t="s">
        <v>189</v>
      </c>
      <c r="J32" t="s">
        <v>178</v>
      </c>
      <c r="K32" t="s">
        <v>190</v>
      </c>
      <c r="L32">
        <v>122.27</v>
      </c>
    </row>
    <row r="33" spans="12:12" x14ac:dyDescent="0.25">
      <c r="L33">
        <f>SUM(L21:L32)</f>
        <v>4556.4912000000004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8384-6F0A-405F-8399-3098E1042D4E}">
  <dimension ref="A1:I57"/>
  <sheetViews>
    <sheetView zoomScale="71" workbookViewId="0">
      <selection activeCell="B15" sqref="B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37"/>
      <c r="B1" s="338"/>
      <c r="C1" s="343" t="s">
        <v>0</v>
      </c>
      <c r="D1" s="343"/>
      <c r="E1" s="343"/>
      <c r="F1" s="343"/>
      <c r="G1" s="343"/>
      <c r="H1" s="104" t="s">
        <v>1</v>
      </c>
      <c r="I1" s="105"/>
    </row>
    <row r="2" spans="1:9" ht="18" customHeight="1" thickBot="1" x14ac:dyDescent="0.3">
      <c r="A2" s="339"/>
      <c r="B2" s="340"/>
      <c r="C2" s="344" t="s">
        <v>2</v>
      </c>
      <c r="D2" s="345"/>
      <c r="E2" s="345"/>
      <c r="F2" s="345"/>
      <c r="G2" s="346"/>
      <c r="H2" s="106" t="s">
        <v>3</v>
      </c>
      <c r="I2" s="107"/>
    </row>
    <row r="3" spans="1:9" ht="31.5" customHeight="1" thickBot="1" x14ac:dyDescent="0.3">
      <c r="A3" s="339"/>
      <c r="B3" s="340"/>
      <c r="C3" s="347" t="s">
        <v>103</v>
      </c>
      <c r="D3" s="348"/>
      <c r="E3" s="348"/>
      <c r="F3" s="348"/>
      <c r="G3" s="349"/>
      <c r="H3" s="350" t="s">
        <v>4</v>
      </c>
      <c r="I3" s="328"/>
    </row>
    <row r="4" spans="1:9" ht="18" customHeight="1" x14ac:dyDescent="0.25">
      <c r="A4" s="339"/>
      <c r="B4" s="340"/>
      <c r="C4" s="108" t="s">
        <v>5</v>
      </c>
      <c r="D4" s="331" t="s">
        <v>101</v>
      </c>
      <c r="E4" s="332"/>
      <c r="F4" s="332"/>
      <c r="G4" s="333"/>
      <c r="H4" s="351"/>
      <c r="I4" s="329"/>
    </row>
    <row r="5" spans="1:9" ht="15.75" thickBot="1" x14ac:dyDescent="0.3">
      <c r="A5" s="341"/>
      <c r="B5" s="342"/>
      <c r="C5" s="109" t="s">
        <v>7</v>
      </c>
      <c r="D5" s="334" t="s">
        <v>8</v>
      </c>
      <c r="E5" s="335"/>
      <c r="F5" s="335"/>
      <c r="G5" s="336"/>
      <c r="H5" s="352"/>
      <c r="I5" s="330"/>
    </row>
    <row r="6" spans="1:9" ht="18.75" thickBot="1" x14ac:dyDescent="0.3">
      <c r="A6" s="252" t="s">
        <v>77</v>
      </c>
      <c r="B6" s="252"/>
      <c r="C6" s="252"/>
      <c r="D6" s="253" t="s">
        <v>89</v>
      </c>
      <c r="E6" s="253"/>
      <c r="F6" s="253"/>
      <c r="G6" s="254" t="s">
        <v>78</v>
      </c>
      <c r="H6" s="254"/>
      <c r="I6" s="48" t="s">
        <v>89</v>
      </c>
    </row>
    <row r="7" spans="1:9" x14ac:dyDescent="0.25">
      <c r="A7" s="255" t="s">
        <v>9</v>
      </c>
      <c r="B7" s="257" t="s">
        <v>80</v>
      </c>
      <c r="C7" s="259" t="s">
        <v>10</v>
      </c>
      <c r="D7" s="259" t="s">
        <v>11</v>
      </c>
      <c r="E7" s="259" t="s">
        <v>12</v>
      </c>
      <c r="F7" s="259"/>
      <c r="G7" s="259" t="s">
        <v>13</v>
      </c>
      <c r="H7" s="259"/>
      <c r="I7" s="7" t="s">
        <v>14</v>
      </c>
    </row>
    <row r="8" spans="1:9" ht="27" thickBot="1" x14ac:dyDescent="0.3">
      <c r="A8" s="256"/>
      <c r="B8" s="258"/>
      <c r="C8" s="260"/>
      <c r="D8" s="260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ht="18.399999999999999" customHeight="1" x14ac:dyDescent="0.25">
      <c r="A9" s="11"/>
      <c r="B9" s="42"/>
      <c r="C9" s="12" t="s">
        <v>18</v>
      </c>
      <c r="D9" s="13"/>
      <c r="E9" s="14"/>
      <c r="F9" s="15"/>
      <c r="G9" s="14"/>
      <c r="H9" s="15"/>
      <c r="I9" s="16"/>
    </row>
    <row r="10" spans="1:9" ht="18" customHeight="1" x14ac:dyDescent="0.25">
      <c r="A10" s="60">
        <v>907000264</v>
      </c>
      <c r="B10" s="25" t="s">
        <v>90</v>
      </c>
      <c r="C10" s="26" t="s">
        <v>91</v>
      </c>
      <c r="D10" s="110" t="s">
        <v>19</v>
      </c>
      <c r="E10" s="111">
        <v>39000</v>
      </c>
      <c r="F10" s="112" t="s">
        <v>20</v>
      </c>
      <c r="G10" s="52"/>
      <c r="H10" s="53"/>
      <c r="I10" s="16"/>
    </row>
    <row r="11" spans="1:9" x14ac:dyDescent="0.25">
      <c r="A11" s="110"/>
      <c r="B11" s="110"/>
      <c r="C11" s="113"/>
      <c r="D11" s="110"/>
      <c r="E11" s="111"/>
      <c r="F11" s="112"/>
      <c r="G11" s="52"/>
      <c r="H11" s="53"/>
      <c r="I11" s="16"/>
    </row>
    <row r="12" spans="1:9" x14ac:dyDescent="0.25">
      <c r="A12" s="110"/>
      <c r="B12" s="110"/>
      <c r="C12" s="113"/>
      <c r="D12" s="110"/>
      <c r="E12" s="111"/>
      <c r="F12" s="112"/>
      <c r="G12" s="52"/>
      <c r="H12" s="53"/>
      <c r="I12" s="16"/>
    </row>
    <row r="13" spans="1:9" x14ac:dyDescent="0.25">
      <c r="A13" s="110"/>
      <c r="B13" s="110"/>
      <c r="C13" s="113"/>
      <c r="D13" s="110"/>
      <c r="E13" s="111"/>
      <c r="F13" s="112"/>
      <c r="G13" s="52"/>
      <c r="H13" s="53"/>
      <c r="I13" s="16"/>
    </row>
    <row r="14" spans="1:9" x14ac:dyDescent="0.25">
      <c r="A14" s="110"/>
      <c r="B14" s="110"/>
      <c r="C14" s="113"/>
      <c r="D14" s="110"/>
      <c r="E14" s="111"/>
      <c r="F14" s="112"/>
      <c r="G14" s="52"/>
      <c r="H14" s="53"/>
      <c r="I14" s="16"/>
    </row>
    <row r="15" spans="1:9" x14ac:dyDescent="0.25">
      <c r="A15" s="110"/>
      <c r="B15" s="110"/>
      <c r="C15" s="113"/>
      <c r="D15" s="110"/>
      <c r="E15" s="111"/>
      <c r="F15" s="112"/>
      <c r="G15" s="52"/>
      <c r="H15" s="53"/>
      <c r="I15" s="16"/>
    </row>
    <row r="16" spans="1:9" x14ac:dyDescent="0.25">
      <c r="A16" s="110"/>
      <c r="B16" s="110"/>
      <c r="C16" s="113"/>
      <c r="D16" s="110"/>
      <c r="E16" s="111"/>
      <c r="F16" s="112"/>
      <c r="G16" s="52"/>
      <c r="H16" s="53"/>
      <c r="I16" s="16"/>
    </row>
    <row r="17" spans="1:9" x14ac:dyDescent="0.25">
      <c r="A17" s="110"/>
      <c r="B17" s="110"/>
      <c r="C17" s="113"/>
      <c r="D17" s="110"/>
      <c r="E17" s="111"/>
      <c r="F17" s="112"/>
      <c r="G17" s="52"/>
      <c r="H17" s="53"/>
      <c r="I17" s="16"/>
    </row>
    <row r="18" spans="1:9" x14ac:dyDescent="0.25">
      <c r="A18" s="110"/>
      <c r="B18" s="110"/>
      <c r="C18" s="113"/>
      <c r="D18" s="110"/>
      <c r="E18" s="111"/>
      <c r="F18" s="112"/>
      <c r="G18" s="52"/>
      <c r="H18" s="53"/>
      <c r="I18" s="16"/>
    </row>
    <row r="19" spans="1:9" x14ac:dyDescent="0.25">
      <c r="A19" s="110"/>
      <c r="B19" s="110"/>
      <c r="C19" s="113"/>
      <c r="D19" s="110"/>
      <c r="E19" s="111"/>
      <c r="F19" s="112"/>
      <c r="G19" s="52"/>
      <c r="H19" s="53"/>
      <c r="I19" s="16"/>
    </row>
    <row r="20" spans="1:9" ht="15.75" x14ac:dyDescent="0.25">
      <c r="A20" s="114"/>
      <c r="B20" s="114"/>
      <c r="C20" s="26"/>
      <c r="D20" s="97"/>
      <c r="E20" s="97"/>
      <c r="F20" s="97"/>
      <c r="G20" s="59"/>
      <c r="H20" s="53"/>
      <c r="I20" s="16"/>
    </row>
    <row r="21" spans="1:9" ht="15.75" x14ac:dyDescent="0.25">
      <c r="A21" s="17"/>
      <c r="B21" s="43"/>
      <c r="C21" s="67" t="s">
        <v>22</v>
      </c>
      <c r="D21" s="97"/>
      <c r="E21" s="97"/>
      <c r="F21" s="97"/>
      <c r="G21" s="59"/>
      <c r="H21" s="53"/>
      <c r="I21" s="16"/>
    </row>
    <row r="22" spans="1:9" x14ac:dyDescent="0.25">
      <c r="A22" s="60"/>
      <c r="B22" s="25"/>
      <c r="C22" s="26"/>
      <c r="D22" s="51"/>
      <c r="E22" s="51"/>
      <c r="F22" s="51"/>
      <c r="G22" s="14"/>
      <c r="H22" s="53"/>
      <c r="I22" s="16"/>
    </row>
    <row r="23" spans="1:9" x14ac:dyDescent="0.25">
      <c r="A23" s="115"/>
      <c r="B23" s="114"/>
      <c r="C23" s="26"/>
      <c r="D23" s="51"/>
      <c r="E23" s="51"/>
      <c r="F23" s="51"/>
      <c r="G23" s="14"/>
      <c r="H23" s="53"/>
      <c r="I23" s="16"/>
    </row>
    <row r="24" spans="1:9" x14ac:dyDescent="0.25">
      <c r="A24" s="115"/>
      <c r="B24" s="114"/>
      <c r="C24" s="26"/>
      <c r="D24" s="51"/>
      <c r="E24" s="51"/>
      <c r="F24" s="51"/>
      <c r="G24" s="14"/>
      <c r="H24" s="53"/>
      <c r="I24" s="16"/>
    </row>
    <row r="25" spans="1:9" ht="15.75" x14ac:dyDescent="0.25">
      <c r="A25" s="17"/>
      <c r="B25" s="43"/>
      <c r="C25" s="67"/>
      <c r="D25" s="18"/>
      <c r="E25" s="23"/>
      <c r="F25" s="20"/>
      <c r="G25" s="14"/>
      <c r="H25" s="53"/>
      <c r="I25" s="16"/>
    </row>
    <row r="26" spans="1:9" x14ac:dyDescent="0.25">
      <c r="A26" s="68"/>
      <c r="B26" s="69"/>
      <c r="C26" s="70"/>
      <c r="D26" s="71"/>
      <c r="E26" s="72"/>
      <c r="F26" s="73"/>
      <c r="G26" s="14"/>
      <c r="H26" s="53"/>
      <c r="I26" s="16"/>
    </row>
    <row r="27" spans="1:9" x14ac:dyDescent="0.25">
      <c r="A27" s="25"/>
      <c r="B27" s="25"/>
      <c r="C27" s="26"/>
      <c r="D27" s="81"/>
      <c r="E27" s="74"/>
      <c r="F27" s="83"/>
      <c r="G27" s="14"/>
      <c r="H27" s="53"/>
      <c r="I27" s="16"/>
    </row>
    <row r="28" spans="1:9" ht="15.75" x14ac:dyDescent="0.25">
      <c r="A28" s="27"/>
      <c r="B28" s="44"/>
      <c r="C28" s="84" t="s">
        <v>28</v>
      </c>
      <c r="D28" s="28"/>
      <c r="E28" s="22"/>
      <c r="F28" s="15"/>
      <c r="G28" s="14"/>
      <c r="H28" s="53"/>
      <c r="I28" s="16"/>
    </row>
    <row r="29" spans="1:9" x14ac:dyDescent="0.25">
      <c r="A29" s="116">
        <v>902000019</v>
      </c>
      <c r="B29" s="117" t="s">
        <v>242</v>
      </c>
      <c r="C29" s="118" t="s">
        <v>92</v>
      </c>
      <c r="D29" s="87" t="s">
        <v>19</v>
      </c>
      <c r="E29" s="88">
        <v>960</v>
      </c>
      <c r="F29" s="89" t="s">
        <v>20</v>
      </c>
      <c r="G29" s="90"/>
      <c r="H29" s="53"/>
      <c r="I29" s="16"/>
    </row>
    <row r="30" spans="1:9" x14ac:dyDescent="0.25">
      <c r="A30" s="116">
        <v>1950928</v>
      </c>
      <c r="B30" s="117" t="s">
        <v>93</v>
      </c>
      <c r="C30" s="118" t="s">
        <v>94</v>
      </c>
      <c r="D30" s="87" t="s">
        <v>95</v>
      </c>
      <c r="E30" s="88">
        <v>6</v>
      </c>
      <c r="F30" s="89" t="s">
        <v>27</v>
      </c>
      <c r="G30" s="90"/>
      <c r="H30" s="53"/>
      <c r="I30" s="16"/>
    </row>
    <row r="31" spans="1:9" x14ac:dyDescent="0.25">
      <c r="A31" s="119">
        <v>702123</v>
      </c>
      <c r="B31" s="120" t="s">
        <v>73</v>
      </c>
      <c r="C31" s="121" t="s">
        <v>96</v>
      </c>
      <c r="D31" s="87" t="s">
        <v>87</v>
      </c>
      <c r="E31" s="88">
        <v>6</v>
      </c>
      <c r="F31" s="89" t="s">
        <v>27</v>
      </c>
      <c r="G31" s="90"/>
      <c r="H31" s="53"/>
      <c r="I31" s="16"/>
    </row>
    <row r="32" spans="1:9" x14ac:dyDescent="0.25">
      <c r="A32" s="95">
        <v>702007</v>
      </c>
      <c r="B32" s="95" t="s">
        <v>74</v>
      </c>
      <c r="C32" s="96" t="s">
        <v>97</v>
      </c>
      <c r="D32" s="87" t="s">
        <v>87</v>
      </c>
      <c r="E32" s="88">
        <v>6</v>
      </c>
      <c r="F32" s="89" t="s">
        <v>27</v>
      </c>
      <c r="G32" s="14"/>
      <c r="H32" s="53"/>
      <c r="I32" s="16"/>
    </row>
    <row r="33" spans="1:9" x14ac:dyDescent="0.25">
      <c r="A33" s="95"/>
      <c r="B33" s="95"/>
      <c r="C33" s="96"/>
      <c r="D33" s="87"/>
      <c r="E33" s="88"/>
      <c r="F33" s="89"/>
      <c r="G33" s="14"/>
      <c r="H33" s="53"/>
      <c r="I33" s="16"/>
    </row>
    <row r="34" spans="1:9" x14ac:dyDescent="0.25">
      <c r="A34" s="95"/>
      <c r="B34" s="95"/>
      <c r="C34" s="96"/>
      <c r="D34" s="87"/>
      <c r="E34" s="88"/>
      <c r="F34" s="89"/>
      <c r="G34" s="21"/>
      <c r="H34" s="53"/>
      <c r="I34" s="16"/>
    </row>
    <row r="35" spans="1:9" ht="15.75" x14ac:dyDescent="0.25">
      <c r="A35" s="95"/>
      <c r="B35" s="95"/>
      <c r="C35" s="96"/>
      <c r="D35" s="97"/>
      <c r="E35" s="88"/>
      <c r="F35" s="89"/>
      <c r="G35" s="19"/>
      <c r="H35" s="53"/>
      <c r="I35" s="16"/>
    </row>
    <row r="36" spans="1:9" x14ac:dyDescent="0.25">
      <c r="A36" s="98"/>
      <c r="B36" s="98"/>
      <c r="C36" s="99"/>
      <c r="D36" s="87"/>
      <c r="E36" s="83"/>
      <c r="F36" s="83"/>
      <c r="G36" s="19"/>
      <c r="H36" s="15"/>
      <c r="I36" s="16"/>
    </row>
    <row r="37" spans="1:9" ht="15.75" thickBot="1" x14ac:dyDescent="0.3">
      <c r="A37" s="31"/>
      <c r="B37" s="45"/>
      <c r="C37" s="32" t="s">
        <v>98</v>
      </c>
      <c r="D37" s="32"/>
      <c r="E37" s="33"/>
      <c r="F37" s="34"/>
      <c r="G37" s="32"/>
      <c r="H37" s="32"/>
      <c r="I37" s="35"/>
    </row>
    <row r="38" spans="1:9" ht="15.75" thickBot="1" x14ac:dyDescent="0.3">
      <c r="A38" s="36"/>
      <c r="B38" s="46"/>
      <c r="C38" s="37" t="s">
        <v>98</v>
      </c>
      <c r="D38" s="38" t="s">
        <v>15</v>
      </c>
      <c r="E38" s="39" t="s">
        <v>44</v>
      </c>
      <c r="F38" s="40"/>
      <c r="G38" s="37"/>
      <c r="H38" s="37"/>
      <c r="I38" s="41"/>
    </row>
    <row r="39" spans="1:9" x14ac:dyDescent="0.25">
      <c r="A39" s="261" t="s">
        <v>45</v>
      </c>
      <c r="B39" s="262"/>
      <c r="C39" s="263"/>
      <c r="D39" s="122">
        <v>38400</v>
      </c>
      <c r="E39" s="100" t="s">
        <v>20</v>
      </c>
      <c r="F39" s="264" t="s">
        <v>46</v>
      </c>
      <c r="G39" s="264"/>
      <c r="H39" s="265"/>
      <c r="I39" s="266"/>
    </row>
    <row r="40" spans="1:9" x14ac:dyDescent="0.25">
      <c r="A40" s="267" t="s">
        <v>47</v>
      </c>
      <c r="B40" s="268"/>
      <c r="C40" s="269"/>
      <c r="D40" s="59">
        <v>30</v>
      </c>
      <c r="E40" s="59" t="s">
        <v>99</v>
      </c>
      <c r="F40" s="270" t="s">
        <v>49</v>
      </c>
      <c r="G40" s="270"/>
      <c r="H40" s="271"/>
      <c r="I40" s="272"/>
    </row>
    <row r="41" spans="1:9" x14ac:dyDescent="0.25">
      <c r="A41" s="267" t="s">
        <v>50</v>
      </c>
      <c r="B41" s="268"/>
      <c r="C41" s="269"/>
      <c r="D41" s="74">
        <f>D39/D42</f>
        <v>59.07692307692308</v>
      </c>
      <c r="E41" s="59" t="s">
        <v>27</v>
      </c>
      <c r="F41" s="270" t="s">
        <v>52</v>
      </c>
      <c r="G41" s="270"/>
      <c r="H41" s="271"/>
      <c r="I41" s="272"/>
    </row>
    <row r="42" spans="1:9" x14ac:dyDescent="0.25">
      <c r="A42" s="267" t="s">
        <v>53</v>
      </c>
      <c r="B42" s="268"/>
      <c r="C42" s="269"/>
      <c r="D42" s="74">
        <v>650</v>
      </c>
      <c r="E42" s="59" t="s">
        <v>20</v>
      </c>
      <c r="F42" s="277" t="s">
        <v>54</v>
      </c>
      <c r="G42" s="278"/>
      <c r="H42" s="279"/>
      <c r="I42" s="280"/>
    </row>
    <row r="43" spans="1:9" ht="15.75" thickBot="1" x14ac:dyDescent="0.3">
      <c r="A43" s="281" t="s">
        <v>55</v>
      </c>
      <c r="B43" s="282"/>
      <c r="C43" s="283"/>
      <c r="D43" s="102">
        <v>600</v>
      </c>
      <c r="E43" s="103" t="s">
        <v>20</v>
      </c>
      <c r="F43" s="284"/>
      <c r="G43" s="284"/>
      <c r="H43" s="271"/>
      <c r="I43" s="272"/>
    </row>
    <row r="44" spans="1:9" ht="15.75" thickBot="1" x14ac:dyDescent="0.3">
      <c r="A44" s="285" t="s">
        <v>56</v>
      </c>
      <c r="B44" s="286"/>
      <c r="C44" s="286"/>
      <c r="D44" s="286"/>
      <c r="E44" s="286"/>
      <c r="F44" s="286"/>
      <c r="G44" s="286"/>
      <c r="H44" s="286"/>
      <c r="I44" s="287"/>
    </row>
    <row r="45" spans="1:9" ht="14.65" customHeight="1" x14ac:dyDescent="0.25">
      <c r="A45" s="318" t="s">
        <v>102</v>
      </c>
      <c r="B45" s="319"/>
      <c r="C45" s="319"/>
      <c r="D45" s="319"/>
      <c r="E45" s="319"/>
      <c r="F45" s="319"/>
      <c r="G45" s="319"/>
      <c r="H45" s="319"/>
      <c r="I45" s="320"/>
    </row>
    <row r="46" spans="1:9" ht="15.4" customHeight="1" x14ac:dyDescent="0.25">
      <c r="A46" s="318" t="s">
        <v>100</v>
      </c>
      <c r="B46" s="319"/>
      <c r="C46" s="319"/>
      <c r="D46" s="319"/>
      <c r="E46" s="319"/>
      <c r="F46" s="319"/>
      <c r="G46" s="319"/>
      <c r="H46" s="319"/>
      <c r="I46" s="320"/>
    </row>
    <row r="47" spans="1:9" ht="14.65" customHeight="1" x14ac:dyDescent="0.25">
      <c r="A47" s="318"/>
      <c r="B47" s="319"/>
      <c r="C47" s="319"/>
      <c r="D47" s="319"/>
      <c r="E47" s="319"/>
      <c r="F47" s="319"/>
      <c r="G47" s="319"/>
      <c r="H47" s="319"/>
      <c r="I47" s="320"/>
    </row>
    <row r="48" spans="1:9" x14ac:dyDescent="0.25">
      <c r="A48" s="321"/>
      <c r="B48" s="322"/>
      <c r="C48" s="323"/>
      <c r="D48" s="323"/>
      <c r="E48" s="323"/>
      <c r="F48" s="323"/>
      <c r="G48" s="323"/>
      <c r="H48" s="323"/>
      <c r="I48" s="324"/>
    </row>
    <row r="49" spans="1:9" x14ac:dyDescent="0.25">
      <c r="A49" s="325"/>
      <c r="B49" s="326"/>
      <c r="C49" s="326"/>
      <c r="D49" s="326"/>
      <c r="E49" s="326"/>
      <c r="F49" s="326"/>
      <c r="G49" s="326"/>
      <c r="H49" s="326"/>
      <c r="I49" s="327"/>
    </row>
    <row r="50" spans="1:9" ht="14.65" customHeight="1" x14ac:dyDescent="0.25">
      <c r="A50" s="288"/>
      <c r="B50" s="289"/>
      <c r="C50" s="290"/>
      <c r="D50" s="290"/>
      <c r="E50" s="290"/>
      <c r="F50" s="290"/>
      <c r="G50" s="290"/>
      <c r="H50" s="290"/>
      <c r="I50" s="291"/>
    </row>
    <row r="51" spans="1:9" ht="14.65" customHeight="1" x14ac:dyDescent="0.25">
      <c r="A51" s="273"/>
      <c r="B51" s="274"/>
      <c r="C51" s="275"/>
      <c r="D51" s="275"/>
      <c r="E51" s="275"/>
      <c r="F51" s="275"/>
      <c r="G51" s="275"/>
      <c r="H51" s="275"/>
      <c r="I51" s="276"/>
    </row>
    <row r="52" spans="1:9" ht="18" customHeight="1" x14ac:dyDescent="0.25">
      <c r="A52" s="288"/>
      <c r="B52" s="289"/>
      <c r="C52" s="290"/>
      <c r="D52" s="290"/>
      <c r="E52" s="290"/>
      <c r="F52" s="290"/>
      <c r="G52" s="290"/>
      <c r="H52" s="290"/>
      <c r="I52" s="291"/>
    </row>
    <row r="53" spans="1:9" ht="14.65" customHeight="1" thickBot="1" x14ac:dyDescent="0.3">
      <c r="A53" s="307"/>
      <c r="B53" s="308"/>
      <c r="C53" s="309"/>
      <c r="D53" s="309"/>
      <c r="E53" s="309"/>
      <c r="F53" s="309"/>
      <c r="G53" s="309"/>
      <c r="H53" s="309"/>
      <c r="I53" s="310"/>
    </row>
    <row r="54" spans="1:9" ht="14.65" customHeight="1" thickBot="1" x14ac:dyDescent="0.3">
      <c r="A54" s="311"/>
      <c r="B54" s="312"/>
      <c r="C54" s="312"/>
      <c r="D54" s="312"/>
      <c r="E54" s="312"/>
      <c r="F54" s="312"/>
      <c r="G54" s="312"/>
      <c r="H54" s="312"/>
      <c r="I54" s="313"/>
    </row>
    <row r="55" spans="1:9" ht="14.65" customHeight="1" x14ac:dyDescent="0.25">
      <c r="A55" s="314" t="s">
        <v>62</v>
      </c>
      <c r="B55" s="315"/>
      <c r="C55" s="315"/>
      <c r="D55" s="315"/>
      <c r="E55" s="315"/>
      <c r="F55" s="315"/>
      <c r="G55" s="315"/>
      <c r="H55" s="315"/>
      <c r="I55" s="315"/>
    </row>
    <row r="56" spans="1:9" x14ac:dyDescent="0.25">
      <c r="A56" s="316"/>
      <c r="B56" s="317"/>
      <c r="C56" s="317"/>
      <c r="D56" s="317"/>
      <c r="E56" s="317"/>
      <c r="F56" s="317"/>
      <c r="G56" s="317"/>
      <c r="H56" s="317"/>
      <c r="I56" s="317"/>
    </row>
    <row r="57" spans="1:9" x14ac:dyDescent="0.25">
      <c r="A57" s="316"/>
      <c r="B57" s="317"/>
      <c r="C57" s="317"/>
      <c r="D57" s="317"/>
      <c r="E57" s="317"/>
      <c r="F57" s="317"/>
      <c r="G57" s="317"/>
      <c r="H57" s="317"/>
      <c r="I57" s="317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CB88-6C37-4801-9531-4B696CE4836E}">
  <dimension ref="A1:I57"/>
  <sheetViews>
    <sheetView tabSelected="1" workbookViewId="0">
      <selection activeCell="C1" sqref="C1:G1"/>
    </sheetView>
  </sheetViews>
  <sheetFormatPr baseColWidth="10" defaultRowHeight="15" x14ac:dyDescent="0.25"/>
  <cols>
    <col min="3" max="3" width="41.5703125" customWidth="1"/>
    <col min="8" max="8" width="22.28515625" customWidth="1"/>
    <col min="9" max="9" width="14" bestFit="1" customWidth="1"/>
  </cols>
  <sheetData>
    <row r="1" spans="1:9" ht="15.75" x14ac:dyDescent="0.25">
      <c r="A1" s="337"/>
      <c r="B1" s="338"/>
      <c r="C1" s="343" t="s">
        <v>0</v>
      </c>
      <c r="D1" s="343"/>
      <c r="E1" s="343"/>
      <c r="F1" s="343"/>
      <c r="G1" s="343"/>
      <c r="H1" s="104" t="s">
        <v>1</v>
      </c>
      <c r="I1" s="105" t="s">
        <v>245</v>
      </c>
    </row>
    <row r="2" spans="1:9" ht="16.5" thickBot="1" x14ac:dyDescent="0.3">
      <c r="A2" s="339"/>
      <c r="B2" s="340"/>
      <c r="C2" s="344" t="s">
        <v>2</v>
      </c>
      <c r="D2" s="345"/>
      <c r="E2" s="345"/>
      <c r="F2" s="345"/>
      <c r="G2" s="346"/>
      <c r="H2" s="106" t="s">
        <v>3</v>
      </c>
      <c r="I2" s="107" t="s">
        <v>249</v>
      </c>
    </row>
    <row r="3" spans="1:9" ht="18.75" thickBot="1" x14ac:dyDescent="0.3">
      <c r="A3" s="339"/>
      <c r="B3" s="340"/>
      <c r="C3" s="347" t="s">
        <v>246</v>
      </c>
      <c r="D3" s="348"/>
      <c r="E3" s="348"/>
      <c r="F3" s="348"/>
      <c r="G3" s="349"/>
      <c r="H3" s="350" t="s">
        <v>4</v>
      </c>
      <c r="I3" s="328">
        <v>45783</v>
      </c>
    </row>
    <row r="4" spans="1:9" x14ac:dyDescent="0.25">
      <c r="A4" s="339"/>
      <c r="B4" s="340"/>
      <c r="C4" s="108" t="s">
        <v>5</v>
      </c>
      <c r="D4" s="331" t="s">
        <v>101</v>
      </c>
      <c r="E4" s="332"/>
      <c r="F4" s="332"/>
      <c r="G4" s="333"/>
      <c r="H4" s="351"/>
      <c r="I4" s="329"/>
    </row>
    <row r="5" spans="1:9" ht="15.75" thickBot="1" x14ac:dyDescent="0.3">
      <c r="A5" s="341"/>
      <c r="B5" s="342"/>
      <c r="C5" s="109" t="s">
        <v>7</v>
      </c>
      <c r="D5" s="334" t="s">
        <v>8</v>
      </c>
      <c r="E5" s="335"/>
      <c r="F5" s="335"/>
      <c r="G5" s="336"/>
      <c r="H5" s="352"/>
      <c r="I5" s="330"/>
    </row>
    <row r="6" spans="1:9" ht="18.75" thickBot="1" x14ac:dyDescent="0.3">
      <c r="A6" s="252" t="s">
        <v>77</v>
      </c>
      <c r="B6" s="252"/>
      <c r="C6" s="252"/>
      <c r="D6" s="253" t="s">
        <v>89</v>
      </c>
      <c r="E6" s="253"/>
      <c r="F6" s="253"/>
      <c r="G6" s="254" t="s">
        <v>78</v>
      </c>
      <c r="H6" s="254"/>
      <c r="I6" s="48" t="s">
        <v>89</v>
      </c>
    </row>
    <row r="7" spans="1:9" ht="25.5" x14ac:dyDescent="0.25">
      <c r="A7" s="255" t="s">
        <v>9</v>
      </c>
      <c r="B7" s="257" t="s">
        <v>80</v>
      </c>
      <c r="C7" s="259" t="s">
        <v>10</v>
      </c>
      <c r="D7" s="259" t="s">
        <v>11</v>
      </c>
      <c r="E7" s="259" t="s">
        <v>12</v>
      </c>
      <c r="F7" s="259"/>
      <c r="G7" s="259" t="s">
        <v>13</v>
      </c>
      <c r="H7" s="259"/>
      <c r="I7" s="7" t="s">
        <v>14</v>
      </c>
    </row>
    <row r="8" spans="1:9" ht="27" thickBot="1" x14ac:dyDescent="0.3">
      <c r="A8" s="256"/>
      <c r="B8" s="258"/>
      <c r="C8" s="260"/>
      <c r="D8" s="260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x14ac:dyDescent="0.25">
      <c r="A9" s="11"/>
      <c r="B9" s="42"/>
      <c r="C9" s="12" t="s">
        <v>18</v>
      </c>
      <c r="D9" s="13"/>
      <c r="E9" s="14"/>
      <c r="F9" s="15"/>
      <c r="G9" s="14"/>
      <c r="H9" s="15"/>
      <c r="I9" s="16"/>
    </row>
    <row r="10" spans="1:9" x14ac:dyDescent="0.25">
      <c r="A10" s="60">
        <v>907000264</v>
      </c>
      <c r="B10" s="25" t="s">
        <v>90</v>
      </c>
      <c r="C10" s="26" t="s">
        <v>91</v>
      </c>
      <c r="D10" s="110" t="s">
        <v>19</v>
      </c>
      <c r="E10" s="111">
        <v>39000</v>
      </c>
      <c r="F10" s="112" t="s">
        <v>20</v>
      </c>
      <c r="G10" s="52"/>
      <c r="H10" s="53"/>
      <c r="I10" s="16"/>
    </row>
    <row r="11" spans="1:9" x14ac:dyDescent="0.25">
      <c r="A11" s="110"/>
      <c r="B11" s="110"/>
      <c r="C11" s="113"/>
      <c r="D11" s="110"/>
      <c r="E11" s="111"/>
      <c r="F11" s="112"/>
      <c r="G11" s="52"/>
      <c r="H11" s="53"/>
      <c r="I11" s="16"/>
    </row>
    <row r="12" spans="1:9" x14ac:dyDescent="0.25">
      <c r="A12" s="110"/>
      <c r="B12" s="110"/>
      <c r="C12" s="113"/>
      <c r="D12" s="110"/>
      <c r="E12" s="111"/>
      <c r="F12" s="112"/>
      <c r="G12" s="52"/>
      <c r="H12" s="53"/>
      <c r="I12" s="16"/>
    </row>
    <row r="13" spans="1:9" x14ac:dyDescent="0.25">
      <c r="A13" s="110"/>
      <c r="B13" s="110"/>
      <c r="C13" s="113"/>
      <c r="D13" s="110"/>
      <c r="E13" s="111"/>
      <c r="F13" s="112"/>
      <c r="G13" s="52"/>
      <c r="H13" s="53"/>
      <c r="I13" s="16"/>
    </row>
    <row r="14" spans="1:9" x14ac:dyDescent="0.25">
      <c r="A14" s="110"/>
      <c r="B14" s="110"/>
      <c r="C14" s="113"/>
      <c r="D14" s="110"/>
      <c r="E14" s="111"/>
      <c r="F14" s="112"/>
      <c r="G14" s="52"/>
      <c r="H14" s="53"/>
      <c r="I14" s="16"/>
    </row>
    <row r="15" spans="1:9" x14ac:dyDescent="0.25">
      <c r="A15" s="110"/>
      <c r="B15" s="110"/>
      <c r="C15" s="113"/>
      <c r="D15" s="110"/>
      <c r="E15" s="111"/>
      <c r="F15" s="112"/>
      <c r="G15" s="52"/>
      <c r="H15" s="53"/>
      <c r="I15" s="16"/>
    </row>
    <row r="16" spans="1:9" x14ac:dyDescent="0.25">
      <c r="A16" s="110"/>
      <c r="B16" s="110"/>
      <c r="C16" s="113"/>
      <c r="D16" s="110"/>
      <c r="E16" s="111"/>
      <c r="F16" s="112"/>
      <c r="G16" s="52"/>
      <c r="H16" s="53"/>
      <c r="I16" s="16"/>
    </row>
    <row r="17" spans="1:9" x14ac:dyDescent="0.25">
      <c r="A17" s="110"/>
      <c r="B17" s="110"/>
      <c r="C17" s="113"/>
      <c r="D17" s="110"/>
      <c r="E17" s="111"/>
      <c r="F17" s="112"/>
      <c r="G17" s="52"/>
      <c r="H17" s="53"/>
      <c r="I17" s="16"/>
    </row>
    <row r="18" spans="1:9" x14ac:dyDescent="0.25">
      <c r="A18" s="110"/>
      <c r="B18" s="110"/>
      <c r="C18" s="113"/>
      <c r="D18" s="110"/>
      <c r="E18" s="111"/>
      <c r="F18" s="112"/>
      <c r="G18" s="52"/>
      <c r="H18" s="53"/>
      <c r="I18" s="16"/>
    </row>
    <row r="19" spans="1:9" x14ac:dyDescent="0.25">
      <c r="A19" s="110"/>
      <c r="B19" s="110"/>
      <c r="C19" s="113"/>
      <c r="D19" s="110"/>
      <c r="E19" s="111"/>
      <c r="F19" s="112"/>
      <c r="G19" s="52"/>
      <c r="H19" s="53"/>
      <c r="I19" s="16"/>
    </row>
    <row r="20" spans="1:9" ht="15.75" x14ac:dyDescent="0.25">
      <c r="A20" s="114"/>
      <c r="B20" s="114"/>
      <c r="C20" s="26"/>
      <c r="D20" s="97"/>
      <c r="E20" s="97"/>
      <c r="F20" s="97"/>
      <c r="G20" s="59"/>
      <c r="H20" s="53"/>
      <c r="I20" s="16"/>
    </row>
    <row r="21" spans="1:9" ht="15.75" x14ac:dyDescent="0.25">
      <c r="A21" s="17"/>
      <c r="B21" s="43"/>
      <c r="C21" s="67" t="s">
        <v>22</v>
      </c>
      <c r="D21" s="97"/>
      <c r="E21" s="97"/>
      <c r="F21" s="97"/>
      <c r="G21" s="59"/>
      <c r="H21" s="53"/>
      <c r="I21" s="16"/>
    </row>
    <row r="22" spans="1:9" x14ac:dyDescent="0.25">
      <c r="A22" s="60"/>
      <c r="B22" s="25"/>
      <c r="C22" s="26"/>
      <c r="D22" s="51"/>
      <c r="E22" s="51"/>
      <c r="F22" s="51"/>
      <c r="G22" s="14"/>
      <c r="H22" s="53"/>
      <c r="I22" s="16"/>
    </row>
    <row r="23" spans="1:9" x14ac:dyDescent="0.25">
      <c r="A23" s="115"/>
      <c r="B23" s="114"/>
      <c r="C23" s="26"/>
      <c r="D23" s="51"/>
      <c r="E23" s="51"/>
      <c r="F23" s="51"/>
      <c r="G23" s="14"/>
      <c r="H23" s="53"/>
      <c r="I23" s="16"/>
    </row>
    <row r="24" spans="1:9" x14ac:dyDescent="0.25">
      <c r="A24" s="115"/>
      <c r="B24" s="114"/>
      <c r="C24" s="26"/>
      <c r="D24" s="51"/>
      <c r="E24" s="51"/>
      <c r="F24" s="51"/>
      <c r="G24" s="14"/>
      <c r="H24" s="53"/>
      <c r="I24" s="16"/>
    </row>
    <row r="25" spans="1:9" ht="15.75" x14ac:dyDescent="0.25">
      <c r="A25" s="17"/>
      <c r="B25" s="43"/>
      <c r="C25" s="67"/>
      <c r="D25" s="18"/>
      <c r="E25" s="23"/>
      <c r="F25" s="20"/>
      <c r="G25" s="14"/>
      <c r="H25" s="53"/>
      <c r="I25" s="16"/>
    </row>
    <row r="26" spans="1:9" x14ac:dyDescent="0.25">
      <c r="A26" s="68"/>
      <c r="B26" s="69"/>
      <c r="C26" s="70"/>
      <c r="D26" s="71"/>
      <c r="E26" s="72"/>
      <c r="F26" s="73"/>
      <c r="G26" s="14"/>
      <c r="H26" s="53"/>
      <c r="I26" s="16"/>
    </row>
    <row r="27" spans="1:9" x14ac:dyDescent="0.25">
      <c r="A27" s="25"/>
      <c r="B27" s="25"/>
      <c r="C27" s="26"/>
      <c r="D27" s="81"/>
      <c r="E27" s="74"/>
      <c r="F27" s="83"/>
      <c r="G27" s="14"/>
      <c r="H27" s="53"/>
      <c r="I27" s="16"/>
    </row>
    <row r="28" spans="1:9" ht="15.75" x14ac:dyDescent="0.25">
      <c r="A28" s="27"/>
      <c r="B28" s="44"/>
      <c r="C28" s="84" t="s">
        <v>28</v>
      </c>
      <c r="D28" s="28"/>
      <c r="E28" s="22"/>
      <c r="F28" s="15"/>
      <c r="G28" s="14"/>
      <c r="H28" s="53"/>
      <c r="I28" s="16"/>
    </row>
    <row r="29" spans="1:9" x14ac:dyDescent="0.25">
      <c r="A29" s="116">
        <v>902000019</v>
      </c>
      <c r="B29" s="117"/>
      <c r="C29" s="118" t="s">
        <v>92</v>
      </c>
      <c r="D29" s="87" t="s">
        <v>19</v>
      </c>
      <c r="E29" s="88">
        <v>960</v>
      </c>
      <c r="F29" s="89" t="s">
        <v>20</v>
      </c>
      <c r="G29" s="226"/>
      <c r="H29" s="53"/>
      <c r="I29" s="16"/>
    </row>
    <row r="30" spans="1:9" x14ac:dyDescent="0.25">
      <c r="A30" s="116">
        <v>1950928</v>
      </c>
      <c r="B30" s="117" t="s">
        <v>93</v>
      </c>
      <c r="C30" s="118" t="s">
        <v>94</v>
      </c>
      <c r="D30" s="87" t="s">
        <v>95</v>
      </c>
      <c r="E30" s="88">
        <v>6</v>
      </c>
      <c r="F30" s="89" t="s">
        <v>27</v>
      </c>
      <c r="G30" s="226"/>
      <c r="H30" s="53"/>
      <c r="I30" s="16"/>
    </row>
    <row r="31" spans="1:9" x14ac:dyDescent="0.25">
      <c r="A31" s="119">
        <v>702123</v>
      </c>
      <c r="B31" s="120" t="s">
        <v>73</v>
      </c>
      <c r="C31" s="121" t="s">
        <v>96</v>
      </c>
      <c r="D31" s="87" t="s">
        <v>87</v>
      </c>
      <c r="E31" s="88">
        <v>6</v>
      </c>
      <c r="F31" s="89" t="s">
        <v>27</v>
      </c>
      <c r="G31" s="226"/>
      <c r="H31" s="53"/>
      <c r="I31" s="16"/>
    </row>
    <row r="32" spans="1:9" x14ac:dyDescent="0.25">
      <c r="A32" s="95">
        <v>702007</v>
      </c>
      <c r="B32" s="95" t="s">
        <v>74</v>
      </c>
      <c r="C32" s="96" t="s">
        <v>97</v>
      </c>
      <c r="D32" s="87" t="s">
        <v>87</v>
      </c>
      <c r="E32" s="88">
        <v>6</v>
      </c>
      <c r="F32" s="89" t="s">
        <v>27</v>
      </c>
      <c r="G32" s="14"/>
      <c r="H32" s="53"/>
      <c r="I32" s="16"/>
    </row>
    <row r="33" spans="1:9" x14ac:dyDescent="0.25">
      <c r="A33" s="95"/>
      <c r="B33" s="95"/>
      <c r="C33" s="96"/>
      <c r="D33" s="87"/>
      <c r="E33" s="88"/>
      <c r="F33" s="89"/>
      <c r="G33" s="14"/>
      <c r="H33" s="53"/>
      <c r="I33" s="16"/>
    </row>
    <row r="34" spans="1:9" x14ac:dyDescent="0.25">
      <c r="A34" s="95"/>
      <c r="B34" s="95"/>
      <c r="C34" s="96"/>
      <c r="D34" s="87"/>
      <c r="E34" s="88"/>
      <c r="F34" s="89"/>
      <c r="G34" s="21"/>
      <c r="H34" s="53"/>
      <c r="I34" s="16"/>
    </row>
    <row r="35" spans="1:9" ht="15.75" x14ac:dyDescent="0.25">
      <c r="A35" s="95"/>
      <c r="B35" s="95"/>
      <c r="C35" s="96"/>
      <c r="D35" s="97"/>
      <c r="E35" s="88"/>
      <c r="F35" s="89"/>
      <c r="G35" s="19"/>
      <c r="H35" s="53"/>
      <c r="I35" s="16"/>
    </row>
    <row r="36" spans="1:9" x14ac:dyDescent="0.25">
      <c r="A36" s="98"/>
      <c r="B36" s="98"/>
      <c r="C36" s="99"/>
      <c r="D36" s="87"/>
      <c r="E36" s="83"/>
      <c r="F36" s="83"/>
      <c r="G36" s="19"/>
      <c r="H36" s="15"/>
      <c r="I36" s="16"/>
    </row>
    <row r="37" spans="1:9" ht="15.75" thickBot="1" x14ac:dyDescent="0.3">
      <c r="A37" s="31"/>
      <c r="B37" s="45"/>
      <c r="C37" s="32" t="s">
        <v>98</v>
      </c>
      <c r="D37" s="32"/>
      <c r="E37" s="33"/>
      <c r="F37" s="34"/>
      <c r="G37" s="32"/>
      <c r="H37" s="32"/>
      <c r="I37" s="35"/>
    </row>
    <row r="38" spans="1:9" ht="15.75" thickBot="1" x14ac:dyDescent="0.3">
      <c r="A38" s="36"/>
      <c r="B38" s="46"/>
      <c r="C38" s="37" t="s">
        <v>98</v>
      </c>
      <c r="D38" s="38" t="s">
        <v>15</v>
      </c>
      <c r="E38" s="39" t="s">
        <v>44</v>
      </c>
      <c r="F38" s="40"/>
      <c r="G38" s="37"/>
      <c r="H38" s="37"/>
      <c r="I38" s="41"/>
    </row>
    <row r="39" spans="1:9" x14ac:dyDescent="0.25">
      <c r="A39" s="261" t="s">
        <v>45</v>
      </c>
      <c r="B39" s="262"/>
      <c r="C39" s="263"/>
      <c r="D39" s="122">
        <v>38400</v>
      </c>
      <c r="E39" s="100" t="s">
        <v>20</v>
      </c>
      <c r="F39" s="264" t="s">
        <v>46</v>
      </c>
      <c r="G39" s="264"/>
      <c r="H39" s="265"/>
      <c r="I39" s="266"/>
    </row>
    <row r="40" spans="1:9" x14ac:dyDescent="0.25">
      <c r="A40" s="267" t="s">
        <v>47</v>
      </c>
      <c r="B40" s="268"/>
      <c r="C40" s="269"/>
      <c r="D40" s="59">
        <v>30</v>
      </c>
      <c r="E40" s="59" t="s">
        <v>99</v>
      </c>
      <c r="F40" s="270" t="s">
        <v>49</v>
      </c>
      <c r="G40" s="270"/>
      <c r="H40" s="271"/>
      <c r="I40" s="272"/>
    </row>
    <row r="41" spans="1:9" x14ac:dyDescent="0.25">
      <c r="A41" s="267" t="s">
        <v>50</v>
      </c>
      <c r="B41" s="268"/>
      <c r="C41" s="269"/>
      <c r="D41" s="74">
        <f>D39/D42</f>
        <v>54.857142857142854</v>
      </c>
      <c r="E41" s="59" t="s">
        <v>27</v>
      </c>
      <c r="F41" s="270" t="s">
        <v>52</v>
      </c>
      <c r="G41" s="270"/>
      <c r="H41" s="271"/>
      <c r="I41" s="272"/>
    </row>
    <row r="42" spans="1:9" x14ac:dyDescent="0.25">
      <c r="A42" s="267" t="s">
        <v>53</v>
      </c>
      <c r="B42" s="268"/>
      <c r="C42" s="269"/>
      <c r="D42" s="74">
        <v>700</v>
      </c>
      <c r="E42" s="59" t="s">
        <v>20</v>
      </c>
      <c r="F42" s="277" t="s">
        <v>54</v>
      </c>
      <c r="G42" s="278"/>
      <c r="H42" s="279"/>
      <c r="I42" s="280"/>
    </row>
    <row r="43" spans="1:9" ht="15.75" thickBot="1" x14ac:dyDescent="0.3">
      <c r="A43" s="281" t="s">
        <v>55</v>
      </c>
      <c r="B43" s="282"/>
      <c r="C43" s="283"/>
      <c r="D43" s="102">
        <v>600</v>
      </c>
      <c r="E43" s="103" t="s">
        <v>20</v>
      </c>
      <c r="F43" s="284"/>
      <c r="G43" s="284"/>
      <c r="H43" s="271"/>
      <c r="I43" s="272"/>
    </row>
    <row r="44" spans="1:9" ht="15.75" thickBot="1" x14ac:dyDescent="0.3">
      <c r="A44" s="285" t="s">
        <v>56</v>
      </c>
      <c r="B44" s="286"/>
      <c r="C44" s="286"/>
      <c r="D44" s="286"/>
      <c r="E44" s="286"/>
      <c r="F44" s="286"/>
      <c r="G44" s="286"/>
      <c r="H44" s="286"/>
      <c r="I44" s="287"/>
    </row>
    <row r="45" spans="1:9" x14ac:dyDescent="0.25">
      <c r="A45" s="318" t="s">
        <v>247</v>
      </c>
      <c r="B45" s="319"/>
      <c r="C45" s="319"/>
      <c r="D45" s="319"/>
      <c r="E45" s="319"/>
      <c r="F45" s="319"/>
      <c r="G45" s="319"/>
      <c r="H45" s="319"/>
      <c r="I45" s="320"/>
    </row>
    <row r="46" spans="1:9" x14ac:dyDescent="0.25">
      <c r="A46" s="318" t="s">
        <v>100</v>
      </c>
      <c r="B46" s="319"/>
      <c r="C46" s="319"/>
      <c r="D46" s="319"/>
      <c r="E46" s="319"/>
      <c r="F46" s="319"/>
      <c r="G46" s="319"/>
      <c r="H46" s="319"/>
      <c r="I46" s="320"/>
    </row>
    <row r="47" spans="1:9" x14ac:dyDescent="0.25">
      <c r="A47" s="318"/>
      <c r="B47" s="319"/>
      <c r="C47" s="319"/>
      <c r="D47" s="319"/>
      <c r="E47" s="319"/>
      <c r="F47" s="319"/>
      <c r="G47" s="319"/>
      <c r="H47" s="319"/>
      <c r="I47" s="320"/>
    </row>
    <row r="48" spans="1:9" x14ac:dyDescent="0.25">
      <c r="A48" s="321"/>
      <c r="B48" s="322"/>
      <c r="C48" s="323"/>
      <c r="D48" s="323"/>
      <c r="E48" s="323"/>
      <c r="F48" s="323"/>
      <c r="G48" s="323"/>
      <c r="H48" s="323"/>
      <c r="I48" s="324"/>
    </row>
    <row r="49" spans="1:9" x14ac:dyDescent="0.25">
      <c r="A49" s="325"/>
      <c r="B49" s="326"/>
      <c r="C49" s="326"/>
      <c r="D49" s="326"/>
      <c r="E49" s="326"/>
      <c r="F49" s="326"/>
      <c r="G49" s="326"/>
      <c r="H49" s="326"/>
      <c r="I49" s="327"/>
    </row>
    <row r="50" spans="1:9" x14ac:dyDescent="0.25">
      <c r="A50" s="288"/>
      <c r="B50" s="289"/>
      <c r="C50" s="290"/>
      <c r="D50" s="290"/>
      <c r="E50" s="290"/>
      <c r="F50" s="290"/>
      <c r="G50" s="290"/>
      <c r="H50" s="290"/>
      <c r="I50" s="291"/>
    </row>
    <row r="51" spans="1:9" x14ac:dyDescent="0.25">
      <c r="A51" s="273"/>
      <c r="B51" s="274"/>
      <c r="C51" s="275"/>
      <c r="D51" s="275"/>
      <c r="E51" s="275"/>
      <c r="F51" s="275"/>
      <c r="G51" s="275"/>
      <c r="H51" s="275"/>
      <c r="I51" s="276"/>
    </row>
    <row r="52" spans="1:9" x14ac:dyDescent="0.25">
      <c r="A52" s="288"/>
      <c r="B52" s="289"/>
      <c r="C52" s="290"/>
      <c r="D52" s="290"/>
      <c r="E52" s="290"/>
      <c r="F52" s="290"/>
      <c r="G52" s="290"/>
      <c r="H52" s="290"/>
      <c r="I52" s="291"/>
    </row>
    <row r="53" spans="1:9" ht="15.75" thickBot="1" x14ac:dyDescent="0.3">
      <c r="A53" s="307"/>
      <c r="B53" s="308"/>
      <c r="C53" s="309"/>
      <c r="D53" s="309"/>
      <c r="E53" s="309"/>
      <c r="F53" s="309"/>
      <c r="G53" s="309"/>
      <c r="H53" s="309"/>
      <c r="I53" s="310"/>
    </row>
    <row r="54" spans="1:9" ht="15.75" thickBot="1" x14ac:dyDescent="0.3">
      <c r="A54" s="311"/>
      <c r="B54" s="312"/>
      <c r="C54" s="312"/>
      <c r="D54" s="312"/>
      <c r="E54" s="312"/>
      <c r="F54" s="312"/>
      <c r="G54" s="312"/>
      <c r="H54" s="312"/>
      <c r="I54" s="313"/>
    </row>
    <row r="55" spans="1:9" x14ac:dyDescent="0.25">
      <c r="A55" s="314" t="s">
        <v>62</v>
      </c>
      <c r="B55" s="315"/>
      <c r="C55" s="315"/>
      <c r="D55" s="315"/>
      <c r="E55" s="315"/>
      <c r="F55" s="315"/>
      <c r="G55" s="315"/>
      <c r="H55" s="315"/>
      <c r="I55" s="315"/>
    </row>
    <row r="56" spans="1:9" x14ac:dyDescent="0.25">
      <c r="A56" s="353" t="s">
        <v>248</v>
      </c>
      <c r="B56" s="353"/>
      <c r="C56" s="353"/>
      <c r="D56" s="353"/>
      <c r="E56" s="353"/>
      <c r="F56" s="353"/>
      <c r="G56" s="353"/>
      <c r="H56" s="353"/>
      <c r="I56" s="353"/>
    </row>
    <row r="57" spans="1:9" x14ac:dyDescent="0.25">
      <c r="A57" s="316"/>
      <c r="B57" s="317"/>
      <c r="C57" s="317"/>
      <c r="D57" s="317"/>
      <c r="E57" s="317"/>
      <c r="F57" s="317"/>
      <c r="G57" s="317"/>
      <c r="H57" s="317"/>
      <c r="I57" s="31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7AC1-FC90-4A10-8686-378E45D08275}">
  <dimension ref="A1:Q91"/>
  <sheetViews>
    <sheetView topLeftCell="A27" workbookViewId="0">
      <selection activeCell="D60" sqref="D60"/>
    </sheetView>
  </sheetViews>
  <sheetFormatPr baseColWidth="10" defaultColWidth="8.42578125" defaultRowHeight="12.75" x14ac:dyDescent="0.25"/>
  <cols>
    <col min="1" max="1" width="10" style="133" bestFit="1" customWidth="1"/>
    <col min="2" max="2" width="44.28515625" style="133" bestFit="1" customWidth="1"/>
    <col min="3" max="3" width="10.42578125" style="133" bestFit="1" customWidth="1"/>
    <col min="4" max="4" width="10.42578125" style="133" customWidth="1"/>
    <col min="5" max="5" width="11" style="133" customWidth="1"/>
    <col min="6" max="6" width="9.5703125" style="133" bestFit="1" customWidth="1"/>
    <col min="7" max="7" width="10.85546875" style="215" customWidth="1"/>
    <col min="8" max="8" width="10.42578125" style="206" bestFit="1" customWidth="1"/>
    <col min="9" max="9" width="4.5703125" style="206" customWidth="1"/>
    <col min="10" max="10" width="1.85546875" style="132" customWidth="1"/>
    <col min="11" max="11" width="7" style="133" bestFit="1" customWidth="1"/>
    <col min="12" max="12" width="6.28515625" style="133" customWidth="1"/>
    <col min="13" max="13" width="20.42578125" style="133" customWidth="1"/>
    <col min="14" max="14" width="6.42578125" style="133" bestFit="1" customWidth="1"/>
    <col min="15" max="16" width="8.42578125" style="133"/>
    <col min="17" max="17" width="3.28515625" style="133" customWidth="1"/>
    <col min="18" max="16384" width="8.42578125" style="133"/>
  </cols>
  <sheetData>
    <row r="1" spans="1:10" ht="27.75" customHeight="1" x14ac:dyDescent="0.25">
      <c r="A1" s="128"/>
      <c r="B1" s="128"/>
      <c r="C1" s="128"/>
      <c r="D1" s="128"/>
      <c r="E1" s="129" t="s">
        <v>191</v>
      </c>
      <c r="F1" s="130" t="s">
        <v>192</v>
      </c>
      <c r="G1" s="130" t="s">
        <v>193</v>
      </c>
      <c r="H1" s="130" t="s">
        <v>194</v>
      </c>
      <c r="I1" s="131"/>
    </row>
    <row r="2" spans="1:10" ht="30.75" customHeight="1" x14ac:dyDescent="0.25">
      <c r="A2" s="128"/>
      <c r="B2" s="128"/>
      <c r="C2" s="128"/>
      <c r="D2" s="128"/>
      <c r="E2" s="134">
        <f>IFERROR(O62,"")</f>
        <v>836.92797298177084</v>
      </c>
      <c r="F2" s="134">
        <f>IFERROR(H53,"")</f>
        <v>835.25312500000007</v>
      </c>
      <c r="G2" s="134">
        <f>IFERROR(H54,"")</f>
        <v>0.26920833333333338</v>
      </c>
      <c r="H2" s="134">
        <f>IFERROR(H56,"")</f>
        <v>42.109375</v>
      </c>
      <c r="I2" s="135"/>
    </row>
    <row r="3" spans="1:10" ht="15" customHeight="1" x14ac:dyDescent="0.25">
      <c r="A3" s="128"/>
      <c r="B3" s="128"/>
      <c r="C3" s="128"/>
      <c r="D3" s="128"/>
      <c r="E3" s="128"/>
      <c r="F3" s="136"/>
      <c r="G3" s="136"/>
      <c r="H3" s="136"/>
      <c r="I3" s="136"/>
    </row>
    <row r="4" spans="1:10" ht="24.75" customHeight="1" thickBot="1" x14ac:dyDescent="0.3">
      <c r="A4" s="355"/>
      <c r="B4" s="355"/>
      <c r="C4" s="355"/>
      <c r="D4" s="355"/>
      <c r="E4" s="355"/>
      <c r="F4" s="355"/>
      <c r="G4" s="355"/>
      <c r="H4" s="355"/>
      <c r="I4" s="137"/>
    </row>
    <row r="5" spans="1:10" ht="19.5" customHeight="1" thickBot="1" x14ac:dyDescent="0.3">
      <c r="A5" s="356" t="s">
        <v>195</v>
      </c>
      <c r="B5" s="357"/>
      <c r="C5" s="357"/>
      <c r="D5" s="357"/>
      <c r="E5" s="357"/>
      <c r="F5" s="357"/>
      <c r="G5" s="357"/>
      <c r="H5" s="358"/>
      <c r="I5" s="138"/>
    </row>
    <row r="6" spans="1:10" ht="19.5" thickBot="1" x14ac:dyDescent="0.3">
      <c r="A6" s="138"/>
      <c r="B6" s="138"/>
      <c r="C6" s="138"/>
      <c r="D6" s="138"/>
      <c r="E6" s="138"/>
      <c r="F6" s="359" t="s">
        <v>196</v>
      </c>
      <c r="G6" s="359"/>
      <c r="H6" s="139">
        <f ca="1">TODAY()</f>
        <v>45799</v>
      </c>
      <c r="I6" s="139"/>
    </row>
    <row r="7" spans="1:10" ht="26.25" hidden="1" thickBot="1" x14ac:dyDescent="0.3">
      <c r="A7" s="140" t="s">
        <v>147</v>
      </c>
      <c r="B7" s="141" t="s">
        <v>197</v>
      </c>
      <c r="C7" s="141" t="s">
        <v>147</v>
      </c>
      <c r="D7" s="142" t="s">
        <v>198</v>
      </c>
      <c r="E7" s="142" t="s">
        <v>146</v>
      </c>
      <c r="F7" s="142" t="s">
        <v>199</v>
      </c>
      <c r="G7" s="142" t="s">
        <v>200</v>
      </c>
      <c r="H7" s="143" t="s">
        <v>201</v>
      </c>
      <c r="I7" s="144"/>
    </row>
    <row r="8" spans="1:10" ht="13.5" hidden="1" x14ac:dyDescent="0.25">
      <c r="A8" s="145"/>
      <c r="B8" s="133" t="str">
        <f>IFERROR(VLOOKUP(H8,'[1]Consolidado MP Planta'!$A$2:$M$823,3,0),"")</f>
        <v/>
      </c>
      <c r="C8" s="146">
        <f>+A8</f>
        <v>0</v>
      </c>
      <c r="D8" s="147" t="str">
        <f>IFERROR(VLOOKUP(H8,'[1]Consolidado MP Planta'!$A$2:$M$823,13,0),"")</f>
        <v/>
      </c>
      <c r="E8" s="147" t="str">
        <f>IFERROR(VLOOKUP(H8,'[1]Consolidado MP Planta'!$A$2:$M$823,12,0),"")</f>
        <v/>
      </c>
      <c r="F8" s="147" t="str">
        <f>IFERROR(C8*E8,"")</f>
        <v/>
      </c>
      <c r="G8" s="148" t="str">
        <f t="shared" ref="G8:G14" si="0">IFERROR(F8/$F$66,"")</f>
        <v/>
      </c>
      <c r="H8" s="149"/>
      <c r="I8" s="149"/>
      <c r="J8" s="150"/>
    </row>
    <row r="9" spans="1:10" ht="13.5" hidden="1" x14ac:dyDescent="0.25">
      <c r="A9" s="145"/>
      <c r="B9" s="133" t="str">
        <f>IFERROR(VLOOKUP(H9,'[1]Consolidado MP Planta'!$A$2:$M$823,3,0),"")</f>
        <v/>
      </c>
      <c r="C9" s="146">
        <f t="shared" ref="C9:C14" si="1">+A9</f>
        <v>0</v>
      </c>
      <c r="D9" s="147" t="str">
        <f>IFERROR(VLOOKUP(H9,'[1]Consolidado MP Planta'!$A$2:$M$823,13,0),"")</f>
        <v/>
      </c>
      <c r="E9" s="147" t="str">
        <f>IFERROR(VLOOKUP(H9,'[1]Consolidado MP Planta'!$A$2:$M$823,12,0),"")</f>
        <v/>
      </c>
      <c r="F9" s="147" t="str">
        <f t="shared" ref="F9:F14" si="2">IFERROR(C9*E9,"")</f>
        <v/>
      </c>
      <c r="G9" s="148" t="str">
        <f t="shared" si="0"/>
        <v/>
      </c>
      <c r="H9" s="149"/>
      <c r="I9" s="149"/>
      <c r="J9" s="150"/>
    </row>
    <row r="10" spans="1:10" ht="13.5" hidden="1" x14ac:dyDescent="0.25">
      <c r="A10" s="145"/>
      <c r="B10" s="133" t="str">
        <f>IFERROR(VLOOKUP(H10,'[1]Consolidado MP Planta'!$A$2:$M$823,3,0),"")</f>
        <v/>
      </c>
      <c r="C10" s="146">
        <f t="shared" si="1"/>
        <v>0</v>
      </c>
      <c r="D10" s="147" t="str">
        <f>IFERROR(VLOOKUP(H10,'[1]Consolidado MP Planta'!$A$2:$M$823,13,0),"")</f>
        <v/>
      </c>
      <c r="E10" s="147" t="str">
        <f>IFERROR(VLOOKUP(H10,'[1]Consolidado MP Planta'!$A$2:$M$823,12,0),"")</f>
        <v/>
      </c>
      <c r="F10" s="147" t="str">
        <f t="shared" si="2"/>
        <v/>
      </c>
      <c r="G10" s="148" t="str">
        <f t="shared" si="0"/>
        <v/>
      </c>
      <c r="H10" s="149"/>
      <c r="I10" s="149"/>
      <c r="J10" s="150"/>
    </row>
    <row r="11" spans="1:10" ht="13.5" hidden="1" x14ac:dyDescent="0.25">
      <c r="A11" s="145"/>
      <c r="B11" s="133" t="str">
        <f>IFERROR(VLOOKUP(H11,'[1]Consolidado MP Planta'!$A$2:$M$823,3,0),"")</f>
        <v/>
      </c>
      <c r="C11" s="146">
        <f t="shared" si="1"/>
        <v>0</v>
      </c>
      <c r="D11" s="147" t="str">
        <f>IFERROR(VLOOKUP(H11,'[1]Consolidado MP Planta'!$A$2:$M$823,13,0),"")</f>
        <v/>
      </c>
      <c r="E11" s="147" t="str">
        <f>IFERROR(VLOOKUP(H11,'[1]Consolidado MP Planta'!$A$2:$M$823,12,0),"")</f>
        <v/>
      </c>
      <c r="F11" s="147" t="str">
        <f t="shared" si="2"/>
        <v/>
      </c>
      <c r="G11" s="148" t="str">
        <f t="shared" si="0"/>
        <v/>
      </c>
      <c r="H11" s="149"/>
      <c r="I11" s="149"/>
      <c r="J11" s="150"/>
    </row>
    <row r="12" spans="1:10" ht="13.5" hidden="1" x14ac:dyDescent="0.25">
      <c r="A12" s="145"/>
      <c r="B12" s="133" t="str">
        <f>IFERROR(VLOOKUP(H12,'[1]Consolidado MP Planta'!$A$2:$M$823,3,0),"")</f>
        <v/>
      </c>
      <c r="C12" s="146">
        <f t="shared" si="1"/>
        <v>0</v>
      </c>
      <c r="D12" s="147" t="str">
        <f>IFERROR(VLOOKUP(H12,'[1]Consolidado MP Planta'!$A$2:$M$823,13,0),"")</f>
        <v/>
      </c>
      <c r="E12" s="147" t="str">
        <f>IFERROR(VLOOKUP(H12,'[1]Consolidado MP Planta'!$A$2:$M$823,12,0),"")</f>
        <v/>
      </c>
      <c r="F12" s="147" t="str">
        <f t="shared" si="2"/>
        <v/>
      </c>
      <c r="G12" s="148" t="str">
        <f t="shared" si="0"/>
        <v/>
      </c>
      <c r="H12" s="149"/>
      <c r="I12" s="149"/>
      <c r="J12" s="150"/>
    </row>
    <row r="13" spans="1:10" ht="13.5" hidden="1" x14ac:dyDescent="0.25">
      <c r="A13" s="145"/>
      <c r="B13" s="133" t="str">
        <f>IFERROR(VLOOKUP(H13,'[1]Consolidado MP Planta'!$A$2:$M$823,3,0),"")</f>
        <v/>
      </c>
      <c r="C13" s="146">
        <f t="shared" si="1"/>
        <v>0</v>
      </c>
      <c r="D13" s="147" t="str">
        <f>IFERROR(VLOOKUP(H13,'[1]Consolidado MP Planta'!$A$2:$M$823,13,0),"")</f>
        <v/>
      </c>
      <c r="E13" s="147" t="str">
        <f>IFERROR(VLOOKUP(H13,'[1]Consolidado MP Planta'!$A$2:$M$823,12,0),"")</f>
        <v/>
      </c>
      <c r="F13" s="147" t="str">
        <f t="shared" si="2"/>
        <v/>
      </c>
      <c r="G13" s="148" t="str">
        <f t="shared" si="0"/>
        <v/>
      </c>
      <c r="H13" s="149"/>
      <c r="I13" s="149"/>
      <c r="J13" s="150"/>
    </row>
    <row r="14" spans="1:10" ht="13.5" hidden="1" x14ac:dyDescent="0.25">
      <c r="A14" s="145"/>
      <c r="B14" s="133" t="str">
        <f>IFERROR(VLOOKUP(H14,'[1]Consolidado MP Planta'!$A$2:$M$823,3,0),"")</f>
        <v/>
      </c>
      <c r="C14" s="146">
        <f t="shared" si="1"/>
        <v>0</v>
      </c>
      <c r="D14" s="147" t="str">
        <f>IFERROR(VLOOKUP(H14,'[1]Consolidado MP Planta'!$A$2:$M$823,13,0),"")</f>
        <v/>
      </c>
      <c r="E14" s="147" t="str">
        <f>IFERROR(VLOOKUP(H14,'[1]Consolidado MP Planta'!$A$2:$M$823,12,0),"")</f>
        <v/>
      </c>
      <c r="F14" s="147" t="str">
        <f t="shared" si="2"/>
        <v/>
      </c>
      <c r="G14" s="148" t="str">
        <f t="shared" si="0"/>
        <v/>
      </c>
      <c r="H14" s="149"/>
      <c r="I14" s="149"/>
      <c r="J14" s="150"/>
    </row>
    <row r="15" spans="1:10" ht="14.25" hidden="1" thickBot="1" x14ac:dyDescent="0.3">
      <c r="A15" s="145"/>
      <c r="B15" s="133" t="str">
        <f>IFERROR(VLOOKUP(H15,'[2]ARTICULOS MP PLANTA'!$A$2:$G$589,2,0),"")</f>
        <v/>
      </c>
      <c r="C15" s="146"/>
      <c r="D15" s="147"/>
      <c r="E15" s="147"/>
      <c r="F15" s="147"/>
      <c r="G15" s="148"/>
      <c r="H15" s="149"/>
      <c r="I15" s="149"/>
      <c r="J15" s="150"/>
    </row>
    <row r="16" spans="1:10" ht="26.25" thickBot="1" x14ac:dyDescent="0.3">
      <c r="A16" s="140" t="s">
        <v>147</v>
      </c>
      <c r="B16" s="141" t="s">
        <v>202</v>
      </c>
      <c r="C16" s="141" t="s">
        <v>147</v>
      </c>
      <c r="D16" s="142" t="s">
        <v>198</v>
      </c>
      <c r="E16" s="142" t="s">
        <v>146</v>
      </c>
      <c r="F16" s="142" t="s">
        <v>199</v>
      </c>
      <c r="G16" s="142" t="s">
        <v>200</v>
      </c>
      <c r="H16" s="143" t="s">
        <v>201</v>
      </c>
      <c r="I16" s="144"/>
      <c r="J16" s="150"/>
    </row>
    <row r="17" spans="1:12" ht="15" x14ac:dyDescent="0.25">
      <c r="A17" s="145">
        <v>39000</v>
      </c>
      <c r="B17" s="133" t="s">
        <v>91</v>
      </c>
      <c r="C17" s="146">
        <f>+A17</f>
        <v>39000</v>
      </c>
      <c r="D17" s="146" t="s">
        <v>241</v>
      </c>
      <c r="E17" s="147">
        <v>1.1499999999999999</v>
      </c>
      <c r="F17" s="147">
        <f>IFERROR(E17*C17,"")</f>
        <v>44850</v>
      </c>
      <c r="G17" s="148">
        <f t="shared" ref="G17:G24" si="3">IFERROR(F17/$F$66,"")</f>
        <v>0.91417254848885354</v>
      </c>
      <c r="H17" s="60">
        <v>907000264</v>
      </c>
      <c r="I17" s="149"/>
      <c r="J17" s="150"/>
    </row>
    <row r="18" spans="1:12" ht="13.5" x14ac:dyDescent="0.25">
      <c r="A18" s="145">
        <v>960</v>
      </c>
      <c r="B18" s="133" t="str">
        <f>IFERROR(VLOOKUP(H18,[1]SEMIELABORADOS!$A$2:$M$6000,2,0),"")</f>
        <v>MEZCLA P/ENGRASE MOLDES KILO</v>
      </c>
      <c r="C18" s="146">
        <f t="shared" ref="C18:C24" si="4">+A18</f>
        <v>960</v>
      </c>
      <c r="D18" s="146" t="str">
        <f>IFERROR(VLOOKUP(H18,[1]SEMIELABORADOS!$A$2:$M$6000,6,0),"")</f>
        <v>Gramo</v>
      </c>
      <c r="E18" s="147">
        <v>1.01</v>
      </c>
      <c r="F18" s="147">
        <f t="shared" ref="F18:F24" si="5">IFERROR(E18*C18,"")</f>
        <v>969.6</v>
      </c>
      <c r="G18" s="148">
        <f t="shared" si="3"/>
        <v>1.9763248673685448E-2</v>
      </c>
      <c r="H18" s="149" t="s">
        <v>243</v>
      </c>
      <c r="I18" s="149"/>
      <c r="J18" s="150"/>
    </row>
    <row r="19" spans="1:12" ht="13.5" hidden="1" x14ac:dyDescent="0.25">
      <c r="A19" s="145"/>
      <c r="B19" s="133" t="str">
        <f>IFERROR(VLOOKUP(H19,[1]SEMIELABORADOS!$A$2:$M$6000,2,0),"")</f>
        <v/>
      </c>
      <c r="C19" s="146">
        <f>+A19</f>
        <v>0</v>
      </c>
      <c r="D19" s="146" t="str">
        <f>IFERROR(VLOOKUP(H19,[1]SEMIELABORADOS!$A$2:$M$6000,6,0),"")</f>
        <v/>
      </c>
      <c r="E19" s="147" t="str">
        <f>IFERROR(VLOOKUP(H19,[1]SEMIELABORADOS!$A$2:$H$65536,8,0),"")</f>
        <v/>
      </c>
      <c r="F19" s="147" t="str">
        <f>IFERROR(E19*C19,"")</f>
        <v/>
      </c>
      <c r="G19" s="148" t="str">
        <f t="shared" si="3"/>
        <v/>
      </c>
      <c r="H19" s="149"/>
      <c r="I19" s="149"/>
      <c r="J19" s="150"/>
    </row>
    <row r="20" spans="1:12" ht="13.5" hidden="1" x14ac:dyDescent="0.25">
      <c r="A20" s="145"/>
      <c r="B20" s="133" t="str">
        <f>IFERROR(VLOOKUP(H20,[1]SEMIELABORADOS!$A$2:$M$6000,2,0),"")</f>
        <v/>
      </c>
      <c r="C20" s="146">
        <f>+A20</f>
        <v>0</v>
      </c>
      <c r="D20" s="146" t="str">
        <f>IFERROR(VLOOKUP(H20,[1]SEMIELABORADOS!$A$2:$M$6000,6,0),"")</f>
        <v/>
      </c>
      <c r="E20" s="147" t="str">
        <f>IFERROR(VLOOKUP(H20,[1]SEMIELABORADOS!$A$2:$H$65536,8,0),"")</f>
        <v/>
      </c>
      <c r="F20" s="147" t="str">
        <f>IFERROR(E20*C20,"")</f>
        <v/>
      </c>
      <c r="G20" s="148" t="str">
        <f t="shared" si="3"/>
        <v/>
      </c>
      <c r="H20" s="149"/>
      <c r="I20" s="149"/>
      <c r="J20" s="150"/>
    </row>
    <row r="21" spans="1:12" ht="13.5" hidden="1" x14ac:dyDescent="0.25">
      <c r="A21" s="145"/>
      <c r="B21" s="133" t="str">
        <f>IFERROR(VLOOKUP(H21,[1]SEMIELABORADOS!$A$2:$M$6000,2,0),"")</f>
        <v/>
      </c>
      <c r="C21" s="146">
        <f>+A21</f>
        <v>0</v>
      </c>
      <c r="D21" s="146" t="str">
        <f>IFERROR(VLOOKUP(H21,[1]SEMIELABORADOS!$A$2:$M$6000,6,0),"")</f>
        <v/>
      </c>
      <c r="E21" s="147" t="str">
        <f>IFERROR(VLOOKUP(H21,[1]SEMIELABORADOS!$A$2:$H$65536,8,0),"")</f>
        <v/>
      </c>
      <c r="F21" s="147" t="str">
        <f>IFERROR(E21*C21,"")</f>
        <v/>
      </c>
      <c r="G21" s="148" t="str">
        <f t="shared" si="3"/>
        <v/>
      </c>
      <c r="H21" s="149"/>
      <c r="I21" s="149"/>
      <c r="J21" s="150"/>
    </row>
    <row r="22" spans="1:12" ht="13.5" hidden="1" x14ac:dyDescent="0.25">
      <c r="A22" s="145"/>
      <c r="B22" s="133" t="str">
        <f>IFERROR(VLOOKUP(H22,[1]SEMIELABORADOS!$A$2:$M$6000,2,0),"")</f>
        <v/>
      </c>
      <c r="C22" s="146">
        <f t="shared" si="4"/>
        <v>0</v>
      </c>
      <c r="D22" s="146" t="str">
        <f>IFERROR(VLOOKUP(H22,[1]SEMIELABORADOS!$A$2:$M$6000,6,0),"")</f>
        <v/>
      </c>
      <c r="E22" s="147" t="str">
        <f>IFERROR(VLOOKUP(H22,[1]SEMIELABORADOS!$A$2:$H$65536,8,0),"")</f>
        <v/>
      </c>
      <c r="F22" s="147" t="str">
        <f t="shared" si="5"/>
        <v/>
      </c>
      <c r="G22" s="148" t="str">
        <f t="shared" si="3"/>
        <v/>
      </c>
      <c r="H22" s="149"/>
      <c r="I22" s="149"/>
      <c r="J22" s="150"/>
    </row>
    <row r="23" spans="1:12" ht="13.5" hidden="1" x14ac:dyDescent="0.25">
      <c r="A23" s="145"/>
      <c r="B23" s="133" t="str">
        <f>IFERROR(VLOOKUP(H23,[1]SEMIELABORADOS!$A$2:$M$6000,2,0),"")</f>
        <v/>
      </c>
      <c r="C23" s="146">
        <f t="shared" si="4"/>
        <v>0</v>
      </c>
      <c r="D23" s="146" t="str">
        <f>IFERROR(VLOOKUP(H23,[1]SEMIELABORADOS!$A$2:$M$6000,6,0),"")</f>
        <v/>
      </c>
      <c r="E23" s="147" t="str">
        <f>IFERROR(VLOOKUP(H23,[1]SEMIELABORADOS!$A$2:$H$65536,8,0),"")</f>
        <v/>
      </c>
      <c r="F23" s="147" t="str">
        <f t="shared" si="5"/>
        <v/>
      </c>
      <c r="G23" s="148" t="str">
        <f t="shared" si="3"/>
        <v/>
      </c>
      <c r="H23" s="149"/>
      <c r="I23" s="149"/>
      <c r="J23" s="150"/>
    </row>
    <row r="24" spans="1:12" ht="13.5" hidden="1" x14ac:dyDescent="0.25">
      <c r="A24" s="145"/>
      <c r="B24" s="133" t="str">
        <f>IFERROR(VLOOKUP(H24,[1]SEMIELABORADOS!$A$2:$M$6000,2,0),"")</f>
        <v/>
      </c>
      <c r="C24" s="146">
        <f t="shared" si="4"/>
        <v>0</v>
      </c>
      <c r="D24" s="146" t="str">
        <f>IFERROR(VLOOKUP(H24,[1]SEMIELABORADOS!$A$2:$M$6000,6,0),"")</f>
        <v/>
      </c>
      <c r="E24" s="147" t="str">
        <f>IFERROR(VLOOKUP(H24,[1]SEMIELABORADOS!$A$2:$H$65536,8,0),"")</f>
        <v/>
      </c>
      <c r="F24" s="147" t="str">
        <f t="shared" si="5"/>
        <v/>
      </c>
      <c r="G24" s="148" t="str">
        <f t="shared" si="3"/>
        <v/>
      </c>
      <c r="H24" s="149"/>
      <c r="I24" s="149"/>
      <c r="J24" s="150"/>
    </row>
    <row r="25" spans="1:12" ht="14.25" thickBot="1" x14ac:dyDescent="0.3">
      <c r="A25" s="145"/>
      <c r="C25" s="146"/>
      <c r="D25" s="146"/>
      <c r="E25" s="147"/>
      <c r="F25" s="147"/>
      <c r="G25" s="148"/>
      <c r="H25" s="149"/>
      <c r="I25" s="149"/>
      <c r="J25" s="150"/>
    </row>
    <row r="26" spans="1:12" ht="26.25" thickBot="1" x14ac:dyDescent="0.3">
      <c r="A26" s="140" t="s">
        <v>147</v>
      </c>
      <c r="B26" s="141" t="s">
        <v>203</v>
      </c>
      <c r="C26" s="141" t="s">
        <v>147</v>
      </c>
      <c r="D26" s="142" t="s">
        <v>198</v>
      </c>
      <c r="E26" s="142" t="s">
        <v>146</v>
      </c>
      <c r="F26" s="142" t="s">
        <v>199</v>
      </c>
      <c r="G26" s="142" t="s">
        <v>200</v>
      </c>
      <c r="H26" s="143" t="s">
        <v>201</v>
      </c>
      <c r="I26" s="144"/>
    </row>
    <row r="27" spans="1:12" ht="13.5" x14ac:dyDescent="0.25">
      <c r="A27" s="145">
        <v>6</v>
      </c>
      <c r="B27" s="151" t="str">
        <f>IFERROR(VLOOKUP(H27,'[1]Consolidado MP Planta'!$A$2:$M$823,3,0),"")</f>
        <v>ETIQUETA BLANCA 2 5/8X1 15/16 (UND)</v>
      </c>
      <c r="C27" s="146">
        <f t="shared" ref="C27:C32" si="6">+A27</f>
        <v>6</v>
      </c>
      <c r="D27" s="147" t="str">
        <f>IFERROR(VLOOKUP(H27,'[1]Consolidado MP Planta'!$A$2:$M$823,13,0),"")</f>
        <v>Und</v>
      </c>
      <c r="E27" s="147">
        <f>IFERROR(VLOOKUP(H27,'[1]Consolidado MP Planta'!$A$2:$M$823,12,0),"")</f>
        <v>2.1280000000000001</v>
      </c>
      <c r="F27" s="147">
        <f t="shared" ref="F27:F32" si="7">IFERROR(C27*E27,"")</f>
        <v>12.768000000000001</v>
      </c>
      <c r="G27" s="148">
        <f t="shared" ref="G27:G32" si="8">IFERROR(F27/$F$66,"")</f>
        <v>2.6024872015843216E-4</v>
      </c>
      <c r="H27" s="152" t="s">
        <v>42</v>
      </c>
      <c r="I27" s="152"/>
      <c r="J27" s="150"/>
      <c r="K27" s="354"/>
      <c r="L27" s="354"/>
    </row>
    <row r="28" spans="1:12" ht="13.5" x14ac:dyDescent="0.25">
      <c r="A28" s="145">
        <v>6</v>
      </c>
      <c r="B28" s="151" t="str">
        <f>IFERROR(VLOOKUP(H28,'[1]Consolidado MP Planta'!$A$2:$M$823,3,0),"")</f>
        <v>ETIQ.FECHA VENCIMIENTO BLANCO (ROLLO)</v>
      </c>
      <c r="C28" s="146">
        <f t="shared" si="6"/>
        <v>6</v>
      </c>
      <c r="D28" s="147" t="str">
        <f>IFERROR(VLOOKUP(H28,'[1]Consolidado MP Planta'!$A$2:$M$823,13,0),"")</f>
        <v>Gramos</v>
      </c>
      <c r="E28" s="147">
        <f>IFERROR(VLOOKUP(H28,'[1]Consolidado MP Planta'!$A$2:$M$823,12,0),"")</f>
        <v>0.33333333333333331</v>
      </c>
      <c r="F28" s="147">
        <f t="shared" si="7"/>
        <v>2</v>
      </c>
      <c r="G28" s="148">
        <f t="shared" si="8"/>
        <v>4.0765776967172952E-5</v>
      </c>
      <c r="H28" s="152" t="s">
        <v>40</v>
      </c>
      <c r="I28" s="152"/>
      <c r="J28" s="150"/>
      <c r="K28" s="354"/>
      <c r="L28" s="354"/>
    </row>
    <row r="29" spans="1:12" ht="13.5" hidden="1" x14ac:dyDescent="0.25">
      <c r="A29" s="145"/>
      <c r="B29" s="151" t="str">
        <f>IFERROR(VLOOKUP(H29,'[1]Consolidado MP Planta'!$A$2:$M$823,3,0),"")</f>
        <v/>
      </c>
      <c r="C29" s="146">
        <f t="shared" si="6"/>
        <v>0</v>
      </c>
      <c r="D29" s="147" t="str">
        <f>IFERROR(VLOOKUP(H29,'[1]Consolidado MP Planta'!$A$2:$M$823,13,0),"")</f>
        <v/>
      </c>
      <c r="E29" s="147" t="str">
        <f>IFERROR(VLOOKUP(H29,'[1]Consolidado MP Planta'!$A$2:$M$823,12,0),"")</f>
        <v/>
      </c>
      <c r="F29" s="147" t="str">
        <f t="shared" si="7"/>
        <v/>
      </c>
      <c r="G29" s="148" t="str">
        <f t="shared" si="8"/>
        <v/>
      </c>
      <c r="H29" s="152"/>
      <c r="I29" s="152"/>
      <c r="J29" s="150"/>
      <c r="K29" s="354"/>
      <c r="L29" s="354"/>
    </row>
    <row r="30" spans="1:12" ht="13.5" hidden="1" x14ac:dyDescent="0.25">
      <c r="A30" s="145"/>
      <c r="B30" s="151" t="str">
        <f>IFERROR(VLOOKUP(H30,'[1]Consolidado MP Planta'!$A$2:$M$823,3,0),"")</f>
        <v/>
      </c>
      <c r="C30" s="146">
        <f t="shared" si="6"/>
        <v>0</v>
      </c>
      <c r="D30" s="147" t="str">
        <f>IFERROR(VLOOKUP(H30,'[1]Consolidado MP Planta'!$A$2:$M$823,13,0),"")</f>
        <v/>
      </c>
      <c r="E30" s="147" t="str">
        <f>IFERROR(VLOOKUP(H30,'[1]Consolidado MP Planta'!$A$2:$M$823,12,0),"")</f>
        <v/>
      </c>
      <c r="F30" s="147" t="str">
        <f t="shared" si="7"/>
        <v/>
      </c>
      <c r="G30" s="148" t="str">
        <f t="shared" si="8"/>
        <v/>
      </c>
      <c r="H30" s="152"/>
      <c r="I30" s="152"/>
      <c r="J30" s="150"/>
      <c r="K30" s="354"/>
      <c r="L30" s="354"/>
    </row>
    <row r="31" spans="1:12" ht="13.5" hidden="1" x14ac:dyDescent="0.25">
      <c r="A31" s="145"/>
      <c r="B31" s="151" t="str">
        <f>IFERROR(VLOOKUP(H31,'[1]Consolidado MP Planta'!$A$2:$M$823,3,0),"")</f>
        <v/>
      </c>
      <c r="C31" s="146">
        <f t="shared" si="6"/>
        <v>0</v>
      </c>
      <c r="D31" s="147" t="str">
        <f>IFERROR(VLOOKUP(H31,'[1]Consolidado MP Planta'!$A$2:$M$823,13,0),"")</f>
        <v/>
      </c>
      <c r="E31" s="147" t="str">
        <f>IFERROR(VLOOKUP(H31,'[1]Consolidado MP Planta'!$A$2:$M$823,12,0),"")</f>
        <v/>
      </c>
      <c r="F31" s="147" t="str">
        <f t="shared" si="7"/>
        <v/>
      </c>
      <c r="G31" s="148" t="str">
        <f t="shared" si="8"/>
        <v/>
      </c>
      <c r="H31" s="152"/>
      <c r="I31" s="152"/>
      <c r="J31" s="150"/>
      <c r="K31" s="153"/>
      <c r="L31" s="154"/>
    </row>
    <row r="32" spans="1:12" ht="13.5" hidden="1" x14ac:dyDescent="0.25">
      <c r="A32" s="145"/>
      <c r="B32" s="151" t="str">
        <f>IFERROR(VLOOKUP(H32,'[1]Consolidado MP Planta'!$A$2:$M$823,3,0),"")</f>
        <v/>
      </c>
      <c r="C32" s="146">
        <f t="shared" si="6"/>
        <v>0</v>
      </c>
      <c r="D32" s="147" t="str">
        <f>IFERROR(VLOOKUP(H32,'[1]Consolidado MP Planta'!$A$2:$M$823,13,0),"")</f>
        <v/>
      </c>
      <c r="E32" s="147" t="str">
        <f>IFERROR(VLOOKUP(H32,'[1]Consolidado MP Planta'!$A$2:$M$823,12,0),"")</f>
        <v/>
      </c>
      <c r="F32" s="147" t="str">
        <f t="shared" si="7"/>
        <v/>
      </c>
      <c r="G32" s="148" t="str">
        <f t="shared" si="8"/>
        <v/>
      </c>
      <c r="H32" s="152"/>
      <c r="I32" s="152"/>
      <c r="J32" s="150"/>
    </row>
    <row r="33" spans="1:13" ht="14.25" thickBot="1" x14ac:dyDescent="0.3">
      <c r="A33" s="145"/>
      <c r="B33" s="151"/>
      <c r="C33" s="146"/>
      <c r="D33" s="147"/>
      <c r="E33" s="147"/>
      <c r="F33" s="147"/>
      <c r="G33" s="148"/>
      <c r="H33" s="152"/>
      <c r="I33" s="152"/>
      <c r="J33" s="150"/>
    </row>
    <row r="34" spans="1:13" ht="26.25" thickBot="1" x14ac:dyDescent="0.25">
      <c r="A34" s="140" t="s">
        <v>147</v>
      </c>
      <c r="B34" s="141" t="s">
        <v>204</v>
      </c>
      <c r="C34" s="141" t="s">
        <v>147</v>
      </c>
      <c r="D34" s="142" t="s">
        <v>198</v>
      </c>
      <c r="E34" s="142" t="s">
        <v>146</v>
      </c>
      <c r="F34" s="142" t="s">
        <v>199</v>
      </c>
      <c r="G34" s="142" t="s">
        <v>200</v>
      </c>
      <c r="H34" s="143" t="s">
        <v>201</v>
      </c>
      <c r="I34" s="152"/>
      <c r="J34" s="150"/>
    </row>
    <row r="35" spans="1:13" ht="13.5" hidden="1" x14ac:dyDescent="0.25">
      <c r="A35" s="145">
        <f>+A17</f>
        <v>39000</v>
      </c>
      <c r="B35" s="151" t="str">
        <f>IFERROR(VLOOKUP(H35,[1]SEMIELABORADOS!$A$2:$M$6000,2,0),"")</f>
        <v/>
      </c>
      <c r="C35" s="146">
        <f>+A35</f>
        <v>39000</v>
      </c>
      <c r="D35" s="147" t="str">
        <f>IFERROR(VLOOKUP(H35,[1]SEMIELABORADOS!$A$2:$M$6000,6,0),"")</f>
        <v/>
      </c>
      <c r="E35" s="147" t="str">
        <f>IFERROR(VLOOKUP(H35,[1]SEMIELABORADOS!$A$2:$M$65536,10,0),"")</f>
        <v/>
      </c>
      <c r="F35" s="147" t="str">
        <f>IFERROR(E35*C35,"")</f>
        <v/>
      </c>
      <c r="G35" s="148" t="str">
        <f t="shared" ref="G35:G41" si="9">IFERROR(F35/$F$66,"")</f>
        <v/>
      </c>
      <c r="H35" s="152"/>
      <c r="I35" s="152"/>
      <c r="J35" s="150"/>
    </row>
    <row r="36" spans="1:13" ht="13.5" hidden="1" x14ac:dyDescent="0.25">
      <c r="A36" s="145">
        <f t="shared" ref="A36:A41" si="10">+A18</f>
        <v>960</v>
      </c>
      <c r="B36" s="151" t="str">
        <f>IFERROR(VLOOKUP(H36,[1]SEMIELABORADOS!$A$2:$M$6000,2,0),"")</f>
        <v/>
      </c>
      <c r="C36" s="146">
        <f t="shared" ref="C36:C41" si="11">+A36</f>
        <v>960</v>
      </c>
      <c r="D36" s="147" t="str">
        <f>IFERROR(VLOOKUP(H36,[1]SEMIELABORADOS!$A$2:$M$6000,6,0),"")</f>
        <v/>
      </c>
      <c r="E36" s="147" t="str">
        <f>IFERROR(VLOOKUP(H36,[1]SEMIELABORADOS!$A$2:$M$65536,10,0),"")</f>
        <v/>
      </c>
      <c r="F36" s="147" t="str">
        <f t="shared" ref="F36:F41" si="12">IFERROR(E36*C36,"")</f>
        <v/>
      </c>
      <c r="G36" s="148" t="str">
        <f t="shared" si="9"/>
        <v/>
      </c>
      <c r="H36" s="152"/>
      <c r="I36" s="152"/>
      <c r="J36" s="150"/>
    </row>
    <row r="37" spans="1:13" ht="13.5" hidden="1" x14ac:dyDescent="0.25">
      <c r="A37" s="145">
        <f t="shared" si="10"/>
        <v>0</v>
      </c>
      <c r="B37" s="151" t="str">
        <f>IFERROR(VLOOKUP(H37,[1]SEMIELABORADOS!$A$2:$M$6000,2,0),"")</f>
        <v/>
      </c>
      <c r="C37" s="146">
        <f t="shared" si="11"/>
        <v>0</v>
      </c>
      <c r="D37" s="147" t="str">
        <f>IFERROR(VLOOKUP(H37,[1]SEMIELABORADOS!$A$2:$M$6000,6,0),"")</f>
        <v/>
      </c>
      <c r="E37" s="147" t="str">
        <f>IFERROR(VLOOKUP(H37,[1]SEMIELABORADOS!$A$2:$M$65536,10,0),"")</f>
        <v/>
      </c>
      <c r="F37" s="147" t="str">
        <f t="shared" si="12"/>
        <v/>
      </c>
      <c r="G37" s="148" t="str">
        <f t="shared" si="9"/>
        <v/>
      </c>
      <c r="H37" s="152"/>
      <c r="I37" s="152"/>
      <c r="J37" s="150"/>
    </row>
    <row r="38" spans="1:13" ht="13.5" hidden="1" x14ac:dyDescent="0.25">
      <c r="A38" s="145">
        <f t="shared" si="10"/>
        <v>0</v>
      </c>
      <c r="B38" s="151" t="str">
        <f>IFERROR(VLOOKUP(H38,[1]SEMIELABORADOS!$A$2:$M$6000,2,0),"")</f>
        <v/>
      </c>
      <c r="C38" s="146">
        <f>+A38</f>
        <v>0</v>
      </c>
      <c r="D38" s="147" t="str">
        <f>IFERROR(VLOOKUP(H38,[1]SEMIELABORADOS!$A$2:$M$6000,6,0),"")</f>
        <v/>
      </c>
      <c r="E38" s="147" t="str">
        <f>IFERROR(VLOOKUP(H38,[1]SEMIELABORADOS!$A$2:$M$65536,10,0),"")</f>
        <v/>
      </c>
      <c r="F38" s="147" t="str">
        <f>IFERROR(E38*C38,"")</f>
        <v/>
      </c>
      <c r="G38" s="148" t="str">
        <f t="shared" si="9"/>
        <v/>
      </c>
      <c r="H38" s="152"/>
      <c r="I38" s="152"/>
      <c r="J38" s="150"/>
    </row>
    <row r="39" spans="1:13" ht="13.5" hidden="1" x14ac:dyDescent="0.25">
      <c r="A39" s="145">
        <f t="shared" si="10"/>
        <v>0</v>
      </c>
      <c r="B39" s="151" t="str">
        <f>IFERROR(VLOOKUP(H39,[1]SEMIELABORADOS!$A$2:$M$6000,2,0),"")</f>
        <v/>
      </c>
      <c r="C39" s="146">
        <f>+A39</f>
        <v>0</v>
      </c>
      <c r="D39" s="147" t="str">
        <f>IFERROR(VLOOKUP(H39,[1]SEMIELABORADOS!$A$2:$M$6000,6,0),"")</f>
        <v/>
      </c>
      <c r="E39" s="147" t="str">
        <f>IFERROR(VLOOKUP(H39,[1]SEMIELABORADOS!$A$2:$M$65536,10,0),"")</f>
        <v/>
      </c>
      <c r="F39" s="147" t="str">
        <f>IFERROR(E39*C39,"")</f>
        <v/>
      </c>
      <c r="G39" s="148" t="str">
        <f t="shared" si="9"/>
        <v/>
      </c>
      <c r="H39" s="152"/>
      <c r="I39" s="152"/>
      <c r="J39" s="150"/>
    </row>
    <row r="40" spans="1:13" ht="13.5" hidden="1" x14ac:dyDescent="0.25">
      <c r="A40" s="145">
        <f t="shared" si="10"/>
        <v>0</v>
      </c>
      <c r="B40" s="151" t="str">
        <f>IFERROR(VLOOKUP(H40,[1]SEMIELABORADOS!$A$2:$M$6000,2,0),"")</f>
        <v/>
      </c>
      <c r="C40" s="146">
        <f t="shared" si="11"/>
        <v>0</v>
      </c>
      <c r="D40" s="147" t="str">
        <f>IFERROR(VLOOKUP(H40,[1]SEMIELABORADOS!$A$2:$M$6000,6,0),"")</f>
        <v/>
      </c>
      <c r="E40" s="147" t="str">
        <f>IFERROR(VLOOKUP(H40,[1]SEMIELABORADOS!$A$2:$M$65536,10,0),"")</f>
        <v/>
      </c>
      <c r="F40" s="147" t="str">
        <f t="shared" si="12"/>
        <v/>
      </c>
      <c r="G40" s="148" t="str">
        <f t="shared" si="9"/>
        <v/>
      </c>
      <c r="H40" s="152"/>
      <c r="I40" s="152"/>
      <c r="J40" s="150"/>
    </row>
    <row r="41" spans="1:13" ht="13.5" hidden="1" x14ac:dyDescent="0.25">
      <c r="A41" s="145">
        <f t="shared" si="10"/>
        <v>0</v>
      </c>
      <c r="B41" s="151" t="str">
        <f>IFERROR(VLOOKUP(H41,[1]SEMIELABORADOS!$A$2:$M$6000,2,0),"")</f>
        <v/>
      </c>
      <c r="C41" s="146">
        <f t="shared" si="11"/>
        <v>0</v>
      </c>
      <c r="D41" s="147" t="str">
        <f>IFERROR(VLOOKUP(H41,[1]SEMIELABORADOS!$A$2:$M$6000,6,0),"")</f>
        <v/>
      </c>
      <c r="E41" s="147" t="str">
        <f>IFERROR(VLOOKUP(H41,[1]SEMIELABORADOS!$A$2:$M$65536,10,0),"")</f>
        <v/>
      </c>
      <c r="F41" s="147" t="str">
        <f t="shared" si="12"/>
        <v/>
      </c>
      <c r="G41" s="148" t="str">
        <f t="shared" si="9"/>
        <v/>
      </c>
      <c r="H41" s="152"/>
      <c r="I41" s="152"/>
      <c r="J41" s="150"/>
    </row>
    <row r="42" spans="1:13" ht="14.25" thickBot="1" x14ac:dyDescent="0.3">
      <c r="A42" s="145"/>
      <c r="B42" s="151"/>
      <c r="C42" s="146"/>
      <c r="D42" s="147"/>
      <c r="E42" s="147"/>
      <c r="F42" s="147"/>
      <c r="G42" s="148"/>
      <c r="H42" s="152"/>
      <c r="I42" s="152"/>
      <c r="J42" s="150"/>
    </row>
    <row r="43" spans="1:13" ht="26.25" thickBot="1" x14ac:dyDescent="0.3">
      <c r="A43" s="140" t="s">
        <v>147</v>
      </c>
      <c r="B43" s="141" t="s">
        <v>205</v>
      </c>
      <c r="C43" s="141" t="s">
        <v>147</v>
      </c>
      <c r="D43" s="142" t="s">
        <v>198</v>
      </c>
      <c r="E43" s="142" t="s">
        <v>146</v>
      </c>
      <c r="F43" s="142" t="s">
        <v>199</v>
      </c>
      <c r="G43" s="142" t="s">
        <v>200</v>
      </c>
      <c r="H43" s="143" t="s">
        <v>201</v>
      </c>
      <c r="I43" s="144"/>
      <c r="J43" s="150"/>
    </row>
    <row r="44" spans="1:13" ht="13.5" hidden="1" x14ac:dyDescent="0.25">
      <c r="A44" s="145">
        <f>+A35</f>
        <v>39000</v>
      </c>
      <c r="B44" s="151" t="str">
        <f>IFERROR(VLOOKUP(H44,[1]SEMIELABORADOS!$A$2:$M$6000,2,0),"")</f>
        <v/>
      </c>
      <c r="C44" s="146">
        <f>+A44</f>
        <v>39000</v>
      </c>
      <c r="D44" s="147" t="str">
        <f>IFERROR(VLOOKUP(H44,[1]SEMIELABORADOS!$A$2:$M$6000,6,0),"")</f>
        <v/>
      </c>
      <c r="E44" s="147" t="str">
        <f>IFERROR(VLOOKUP(H44,[1]SEMIELABORADOS!$A$2:$M$65536,12,0),"")</f>
        <v/>
      </c>
      <c r="F44" s="147" t="str">
        <f>IFERROR(E44*C44,"")</f>
        <v/>
      </c>
      <c r="G44" s="148" t="str">
        <f>IFERROR(F44/$F$66,"")</f>
        <v/>
      </c>
      <c r="H44" s="152"/>
      <c r="I44" s="144"/>
      <c r="J44" s="150"/>
    </row>
    <row r="45" spans="1:13" ht="13.5" hidden="1" x14ac:dyDescent="0.25">
      <c r="A45" s="145">
        <f t="shared" ref="A45:A50" si="13">+A36</f>
        <v>960</v>
      </c>
      <c r="B45" s="151" t="str">
        <f>IFERROR(VLOOKUP(H45,[1]SEMIELABORADOS!$A$2:$M$6000,2,0),"")</f>
        <v/>
      </c>
      <c r="C45" s="146">
        <f t="shared" ref="C45:C50" si="14">+A45</f>
        <v>960</v>
      </c>
      <c r="D45" s="147" t="str">
        <f>IFERROR(VLOOKUP(H45,[1]SEMIELABORADOS!$A$2:$M$6000,6,0),"")</f>
        <v/>
      </c>
      <c r="E45" s="147" t="str">
        <f>IFERROR(VLOOKUP(H45,[1]SEMIELABORADOS!$A$2:$M$65536,12,0),"")</f>
        <v/>
      </c>
      <c r="F45" s="147" t="str">
        <f t="shared" ref="F45:F50" si="15">IFERROR(E45*C45,"")</f>
        <v/>
      </c>
      <c r="G45" s="148" t="str">
        <f t="shared" ref="G45:G50" si="16">IFERROR(F45/$F$66,"")</f>
        <v/>
      </c>
      <c r="H45" s="152"/>
      <c r="I45" s="144"/>
      <c r="J45" s="150"/>
      <c r="M45" s="155"/>
    </row>
    <row r="46" spans="1:13" ht="13.5" hidden="1" x14ac:dyDescent="0.25">
      <c r="A46" s="145">
        <f t="shared" si="13"/>
        <v>0</v>
      </c>
      <c r="B46" s="151" t="str">
        <f>IFERROR(VLOOKUP(H46,[1]SEMIELABORADOS!$A$2:$M$6000,2,0),"")</f>
        <v/>
      </c>
      <c r="C46" s="146">
        <f t="shared" si="14"/>
        <v>0</v>
      </c>
      <c r="D46" s="147" t="str">
        <f>IFERROR(VLOOKUP(H46,[1]SEMIELABORADOS!$A$2:$M$6000,6,0),"")</f>
        <v/>
      </c>
      <c r="E46" s="147" t="str">
        <f>IFERROR(VLOOKUP(H46,[1]SEMIELABORADOS!$A$2:$M$65536,12,0),"")</f>
        <v/>
      </c>
      <c r="F46" s="147" t="str">
        <f t="shared" si="15"/>
        <v/>
      </c>
      <c r="G46" s="148" t="str">
        <f t="shared" si="16"/>
        <v/>
      </c>
      <c r="H46" s="152"/>
      <c r="I46" s="144"/>
      <c r="J46" s="150"/>
    </row>
    <row r="47" spans="1:13" ht="13.5" hidden="1" x14ac:dyDescent="0.25">
      <c r="A47" s="145">
        <f t="shared" si="13"/>
        <v>0</v>
      </c>
      <c r="B47" s="151" t="str">
        <f>IFERROR(VLOOKUP(H47,[1]SEMIELABORADOS!$A$2:$M$6000,2,0),"")</f>
        <v/>
      </c>
      <c r="C47" s="146">
        <f t="shared" si="14"/>
        <v>0</v>
      </c>
      <c r="D47" s="147" t="str">
        <f>IFERROR(VLOOKUP(H47,[1]SEMIELABORADOS!$A$2:$M$6000,6,0),"")</f>
        <v/>
      </c>
      <c r="E47" s="147" t="str">
        <f>IFERROR(VLOOKUP(H47,[1]SEMIELABORADOS!$A$2:$M$65536,12,0),"")</f>
        <v/>
      </c>
      <c r="F47" s="147" t="str">
        <f t="shared" si="15"/>
        <v/>
      </c>
      <c r="G47" s="148" t="str">
        <f t="shared" si="16"/>
        <v/>
      </c>
      <c r="H47" s="152"/>
      <c r="I47" s="144"/>
      <c r="J47" s="150"/>
    </row>
    <row r="48" spans="1:13" ht="13.5" hidden="1" x14ac:dyDescent="0.25">
      <c r="A48" s="145">
        <f t="shared" si="13"/>
        <v>0</v>
      </c>
      <c r="B48" s="151" t="str">
        <f>IFERROR(VLOOKUP(H48,[1]SEMIELABORADOS!$A$2:$M$6000,2,0),"")</f>
        <v/>
      </c>
      <c r="C48" s="146">
        <f t="shared" si="14"/>
        <v>0</v>
      </c>
      <c r="D48" s="147" t="str">
        <f>IFERROR(VLOOKUP(H48,[1]SEMIELABORADOS!$A$2:$M$6000,6,0),"")</f>
        <v/>
      </c>
      <c r="E48" s="147" t="str">
        <f>IFERROR(VLOOKUP(H48,[1]SEMIELABORADOS!$A$2:$M$65536,12,0),"")</f>
        <v/>
      </c>
      <c r="F48" s="147" t="str">
        <f t="shared" si="15"/>
        <v/>
      </c>
      <c r="G48" s="148" t="str">
        <f t="shared" si="16"/>
        <v/>
      </c>
      <c r="H48" s="152"/>
      <c r="I48" s="144"/>
      <c r="J48" s="150"/>
    </row>
    <row r="49" spans="1:17" ht="13.5" hidden="1" x14ac:dyDescent="0.25">
      <c r="A49" s="145">
        <f t="shared" si="13"/>
        <v>0</v>
      </c>
      <c r="B49" s="151" t="str">
        <f>IFERROR(VLOOKUP(H49,[1]SEMIELABORADOS!$A$2:$M$6000,2,0),"")</f>
        <v/>
      </c>
      <c r="C49" s="146">
        <f t="shared" si="14"/>
        <v>0</v>
      </c>
      <c r="D49" s="147" t="str">
        <f>IFERROR(VLOOKUP(H49,[1]SEMIELABORADOS!$A$2:$M$6000,6,0),"")</f>
        <v/>
      </c>
      <c r="E49" s="147" t="str">
        <f>IFERROR(VLOOKUP(H49,[1]SEMIELABORADOS!$A$2:$M$65536,12,0),"")</f>
        <v/>
      </c>
      <c r="F49" s="147" t="str">
        <f t="shared" si="15"/>
        <v/>
      </c>
      <c r="G49" s="148" t="str">
        <f t="shared" si="16"/>
        <v/>
      </c>
      <c r="H49" s="152"/>
      <c r="I49" s="144"/>
      <c r="J49" s="150"/>
    </row>
    <row r="50" spans="1:17" ht="13.5" hidden="1" x14ac:dyDescent="0.25">
      <c r="A50" s="145">
        <f t="shared" si="13"/>
        <v>0</v>
      </c>
      <c r="B50" s="151" t="str">
        <f>IFERROR(VLOOKUP(H50,[1]SEMIELABORADOS!$A$2:$M$6000,2,0),"")</f>
        <v/>
      </c>
      <c r="C50" s="146">
        <f t="shared" si="14"/>
        <v>0</v>
      </c>
      <c r="D50" s="147" t="str">
        <f>IFERROR(VLOOKUP(H50,[1]SEMIELABORADOS!$A$2:$M$6000,6,0),"")</f>
        <v/>
      </c>
      <c r="E50" s="147" t="str">
        <f>IFERROR(VLOOKUP(H50,[1]SEMIELABORADOS!$A$2:$M$65536,12,0),"")</f>
        <v/>
      </c>
      <c r="F50" s="147" t="str">
        <f t="shared" si="15"/>
        <v/>
      </c>
      <c r="G50" s="148" t="str">
        <f t="shared" si="16"/>
        <v/>
      </c>
      <c r="H50" s="151"/>
      <c r="I50" s="144"/>
      <c r="J50" s="150"/>
    </row>
    <row r="51" spans="1:17" ht="13.5" x14ac:dyDescent="0.25">
      <c r="A51" s="145">
        <v>1</v>
      </c>
      <c r="B51" s="151" t="s">
        <v>206</v>
      </c>
      <c r="C51" s="146">
        <f>+A51</f>
        <v>1</v>
      </c>
      <c r="D51" s="146" t="s">
        <v>207</v>
      </c>
      <c r="E51" s="147">
        <f>+F65</f>
        <v>2310</v>
      </c>
      <c r="F51" s="147">
        <f>IFERROR(C51*E51,"")</f>
        <v>2310</v>
      </c>
      <c r="G51" s="148">
        <f>IFERROR(F51/$F$66,"")</f>
        <v>4.7084472397084763E-2</v>
      </c>
      <c r="H51" s="156"/>
      <c r="I51" s="156"/>
      <c r="J51" s="150"/>
    </row>
    <row r="52" spans="1:17" ht="14.25" thickBot="1" x14ac:dyDescent="0.3">
      <c r="A52" s="145"/>
      <c r="B52" s="151"/>
      <c r="C52" s="146"/>
      <c r="D52" s="146"/>
      <c r="E52" s="147"/>
      <c r="F52" s="147"/>
      <c r="G52" s="148"/>
      <c r="H52" s="156"/>
      <c r="I52" s="156"/>
      <c r="J52" s="150"/>
    </row>
    <row r="53" spans="1:17" ht="13.5" thickBot="1" x14ac:dyDescent="0.3">
      <c r="A53" s="157"/>
      <c r="B53" s="364" t="s">
        <v>208</v>
      </c>
      <c r="C53" s="364"/>
      <c r="D53" s="364"/>
      <c r="E53" s="364"/>
      <c r="F53" s="159">
        <f>SUM(F8:F14,F17:F24)</f>
        <v>45819.6</v>
      </c>
      <c r="G53" s="148">
        <f>+F53/$F$66</f>
        <v>0.93393579716253894</v>
      </c>
      <c r="H53" s="160">
        <f>+F53/$D$60</f>
        <v>835.25312500000007</v>
      </c>
      <c r="I53" s="160"/>
      <c r="J53" s="161"/>
      <c r="K53" s="162"/>
      <c r="L53" s="162"/>
      <c r="M53" s="162"/>
      <c r="N53" s="162"/>
      <c r="O53" s="162"/>
      <c r="P53" s="162"/>
      <c r="Q53" s="163"/>
    </row>
    <row r="54" spans="1:17" x14ac:dyDescent="0.2">
      <c r="A54" s="157"/>
      <c r="B54" s="364" t="s">
        <v>209</v>
      </c>
      <c r="C54" s="364"/>
      <c r="D54" s="364"/>
      <c r="E54" s="364"/>
      <c r="F54" s="159">
        <f>SUM(F27:F32,F35:F41)</f>
        <v>14.768000000000001</v>
      </c>
      <c r="G54" s="148">
        <f>+F54/$F$66</f>
        <v>3.0101449712560511E-4</v>
      </c>
      <c r="H54" s="160">
        <f>+F54/$D$60</f>
        <v>0.26920833333333338</v>
      </c>
      <c r="I54" s="160"/>
      <c r="J54" s="164"/>
      <c r="K54" s="365" t="s">
        <v>210</v>
      </c>
      <c r="L54" s="366"/>
      <c r="M54" s="366"/>
      <c r="N54" s="366"/>
      <c r="O54" s="165">
        <f>+F55</f>
        <v>45834.367999999995</v>
      </c>
      <c r="P54" s="165"/>
      <c r="Q54" s="166"/>
    </row>
    <row r="55" spans="1:17" x14ac:dyDescent="0.2">
      <c r="A55" s="157"/>
      <c r="B55" s="364" t="s">
        <v>211</v>
      </c>
      <c r="C55" s="364"/>
      <c r="D55" s="364"/>
      <c r="E55" s="364"/>
      <c r="F55" s="159">
        <f>+F53+F54</f>
        <v>45834.367999999995</v>
      </c>
      <c r="G55" s="148">
        <f>+F55/$F$66</f>
        <v>0.93423681165966443</v>
      </c>
      <c r="H55" s="160">
        <f>+F55/$D$60</f>
        <v>835.52233333333334</v>
      </c>
      <c r="I55" s="160"/>
      <c r="J55" s="167"/>
      <c r="K55" s="168"/>
      <c r="M55" s="169" t="s">
        <v>212</v>
      </c>
      <c r="N55" s="170"/>
      <c r="O55" s="165">
        <f>+H56</f>
        <v>42.109375</v>
      </c>
      <c r="P55" s="165"/>
      <c r="Q55" s="166"/>
    </row>
    <row r="56" spans="1:17" ht="13.5" thickBot="1" x14ac:dyDescent="0.25">
      <c r="A56" s="157"/>
      <c r="B56" s="158"/>
      <c r="C56" s="364" t="s">
        <v>213</v>
      </c>
      <c r="D56" s="364"/>
      <c r="E56" s="364"/>
      <c r="F56" s="159">
        <f>SUM(F44:F51)</f>
        <v>2310</v>
      </c>
      <c r="G56" s="148">
        <f>+F56/$F$66</f>
        <v>4.7084472397084763E-2</v>
      </c>
      <c r="H56" s="160">
        <f>+F56/$D$60</f>
        <v>42.109375</v>
      </c>
      <c r="I56" s="160"/>
      <c r="J56" s="167"/>
      <c r="K56" s="168"/>
      <c r="L56" s="168"/>
      <c r="M56" s="168" t="s">
        <v>214</v>
      </c>
      <c r="N56" s="171"/>
      <c r="O56" s="165">
        <f>O54*N56</f>
        <v>0</v>
      </c>
      <c r="P56" s="165"/>
      <c r="Q56" s="166"/>
    </row>
    <row r="57" spans="1:17" ht="13.5" thickBot="1" x14ac:dyDescent="0.25">
      <c r="A57" s="157"/>
      <c r="B57" s="172"/>
      <c r="C57" s="172"/>
      <c r="D57" s="172"/>
      <c r="E57" s="172"/>
      <c r="F57" s="173"/>
      <c r="G57" s="148"/>
      <c r="H57" s="174"/>
      <c r="I57" s="160"/>
      <c r="J57" s="167"/>
      <c r="K57" s="175"/>
      <c r="M57" s="176" t="s">
        <v>215</v>
      </c>
      <c r="N57" s="177"/>
      <c r="O57" s="178">
        <f>SUM(O54:O56)</f>
        <v>45876.477374999995</v>
      </c>
      <c r="P57" s="179"/>
      <c r="Q57" s="166"/>
    </row>
    <row r="58" spans="1:17" x14ac:dyDescent="0.2">
      <c r="B58" s="367" t="s">
        <v>216</v>
      </c>
      <c r="C58" s="367"/>
      <c r="D58" s="180">
        <v>38400</v>
      </c>
      <c r="E58" s="181"/>
      <c r="G58" s="148"/>
      <c r="H58" s="174">
        <f>+H56/77</f>
        <v>0.546875</v>
      </c>
      <c r="I58" s="182"/>
      <c r="J58" s="167"/>
      <c r="K58" s="175"/>
      <c r="L58" s="168"/>
      <c r="M58" s="168" t="s">
        <v>217</v>
      </c>
      <c r="N58" s="183"/>
      <c r="O58" s="165">
        <f>+H59</f>
        <v>35</v>
      </c>
      <c r="P58" s="165"/>
      <c r="Q58" s="166"/>
    </row>
    <row r="59" spans="1:17" x14ac:dyDescent="0.2">
      <c r="B59" s="367" t="s">
        <v>218</v>
      </c>
      <c r="C59" s="367"/>
      <c r="D59" s="184">
        <v>700</v>
      </c>
      <c r="E59" s="181"/>
      <c r="G59" s="148"/>
      <c r="H59" s="174">
        <f>+H58*64</f>
        <v>35</v>
      </c>
      <c r="I59" s="182"/>
      <c r="J59" s="167"/>
      <c r="K59" s="175"/>
      <c r="L59" s="168"/>
      <c r="M59" s="368" t="s">
        <v>215</v>
      </c>
      <c r="N59" s="368"/>
      <c r="O59" s="165">
        <f>SUM(O57:O58)</f>
        <v>45911.477374999995</v>
      </c>
      <c r="P59" s="165"/>
      <c r="Q59" s="166"/>
    </row>
    <row r="60" spans="1:17" ht="13.5" thickBot="1" x14ac:dyDescent="0.25">
      <c r="B60" s="360" t="s">
        <v>219</v>
      </c>
      <c r="C60" s="360"/>
      <c r="D60" s="180">
        <f>+D58/D59</f>
        <v>54.857142857142854</v>
      </c>
      <c r="E60" s="181"/>
      <c r="F60" s="185"/>
      <c r="G60" s="148"/>
      <c r="H60" s="174"/>
      <c r="I60" s="182"/>
      <c r="J60" s="167"/>
      <c r="K60" s="175"/>
      <c r="L60" s="368"/>
      <c r="M60" s="368"/>
      <c r="N60" s="183"/>
      <c r="O60" s="165">
        <f>+O59*N60</f>
        <v>0</v>
      </c>
      <c r="P60" s="165"/>
      <c r="Q60" s="166"/>
    </row>
    <row r="61" spans="1:17" ht="13.5" thickBot="1" x14ac:dyDescent="0.25">
      <c r="B61" s="360" t="s">
        <v>220</v>
      </c>
      <c r="C61" s="360"/>
      <c r="D61" s="186"/>
      <c r="E61" s="181"/>
      <c r="F61" s="185"/>
      <c r="G61" s="148"/>
      <c r="H61" s="174"/>
      <c r="I61" s="182"/>
      <c r="J61" s="167"/>
      <c r="K61" s="361" t="s">
        <v>221</v>
      </c>
      <c r="L61" s="362"/>
      <c r="M61" s="362"/>
      <c r="N61" s="363"/>
      <c r="O61" s="178">
        <f>SUM(O59:O60)</f>
        <v>45911.477374999995</v>
      </c>
      <c r="P61" s="187" t="s">
        <v>222</v>
      </c>
      <c r="Q61" s="166"/>
    </row>
    <row r="62" spans="1:17" ht="13.5" thickBot="1" x14ac:dyDescent="0.25">
      <c r="C62" s="157" t="s">
        <v>223</v>
      </c>
      <c r="D62" s="188"/>
      <c r="E62" s="131" t="s">
        <v>224</v>
      </c>
      <c r="F62" s="189" t="s">
        <v>225</v>
      </c>
      <c r="G62" s="148"/>
      <c r="H62" s="174"/>
      <c r="I62" s="182"/>
      <c r="J62" s="190"/>
      <c r="K62" s="191"/>
      <c r="L62" s="374" t="s">
        <v>226</v>
      </c>
      <c r="M62" s="374"/>
      <c r="N62" s="374"/>
      <c r="O62" s="192">
        <f>+O61/D60</f>
        <v>836.92797298177084</v>
      </c>
      <c r="P62" s="193">
        <f>+O62/D59</f>
        <v>1.1956113899739584</v>
      </c>
      <c r="Q62" s="194"/>
    </row>
    <row r="63" spans="1:17" ht="13.5" thickBot="1" x14ac:dyDescent="0.25">
      <c r="B63" s="375" t="s">
        <v>211</v>
      </c>
      <c r="C63" s="375"/>
      <c r="D63" s="375"/>
      <c r="E63" s="195">
        <f>+F63/F63</f>
        <v>1</v>
      </c>
      <c r="F63" s="196">
        <f>SUM(F55)</f>
        <v>45834.367999999995</v>
      </c>
      <c r="G63" s="148">
        <f>+F63/$F$66</f>
        <v>0.93423681165966443</v>
      </c>
      <c r="H63" s="174"/>
      <c r="I63" s="182"/>
      <c r="K63" s="376"/>
      <c r="L63" s="377"/>
      <c r="M63" s="377"/>
      <c r="N63" s="377"/>
      <c r="O63" s="197"/>
      <c r="P63" s="198"/>
    </row>
    <row r="64" spans="1:17" ht="13.5" thickBot="1" x14ac:dyDescent="0.3">
      <c r="B64" s="378" t="s">
        <v>227</v>
      </c>
      <c r="C64" s="378"/>
      <c r="D64" s="378"/>
      <c r="E64" s="199">
        <v>0.02</v>
      </c>
      <c r="F64" s="196">
        <f>+F53*E64</f>
        <v>916.39199999999994</v>
      </c>
      <c r="G64" s="148">
        <f>+F64/$F$66</f>
        <v>1.8678715943250778E-2</v>
      </c>
      <c r="H64" s="160"/>
      <c r="I64" s="182"/>
      <c r="J64" s="200"/>
      <c r="O64" s="201"/>
      <c r="P64" s="158"/>
    </row>
    <row r="65" spans="2:13" ht="13.5" thickBot="1" x14ac:dyDescent="0.3">
      <c r="B65" s="379" t="s">
        <v>228</v>
      </c>
      <c r="C65" s="380"/>
      <c r="D65" s="202">
        <v>30</v>
      </c>
      <c r="E65" s="203">
        <v>77</v>
      </c>
      <c r="F65" s="196">
        <f>+E65*D65</f>
        <v>2310</v>
      </c>
      <c r="G65" s="148">
        <f>+F65/$F$66</f>
        <v>4.7084472397084763E-2</v>
      </c>
      <c r="H65" s="160"/>
      <c r="I65" s="160"/>
      <c r="J65" s="150"/>
    </row>
    <row r="66" spans="2:13" ht="13.5" thickBot="1" x14ac:dyDescent="0.3">
      <c r="B66" s="381" t="s">
        <v>229</v>
      </c>
      <c r="C66" s="382"/>
      <c r="D66" s="382"/>
      <c r="E66" s="383"/>
      <c r="F66" s="173">
        <f>SUM(F63:F65)</f>
        <v>49060.759999999995</v>
      </c>
      <c r="G66" s="148">
        <f>+F66/$F$66</f>
        <v>1</v>
      </c>
      <c r="H66" s="384"/>
      <c r="I66" s="160"/>
      <c r="J66" s="150"/>
      <c r="M66" s="133" t="s">
        <v>230</v>
      </c>
    </row>
    <row r="67" spans="2:13" x14ac:dyDescent="0.25">
      <c r="C67" s="155"/>
      <c r="D67" s="155"/>
      <c r="E67" s="205"/>
      <c r="F67" s="196"/>
      <c r="G67" s="148"/>
      <c r="H67" s="384"/>
      <c r="I67" s="204"/>
      <c r="J67" s="133"/>
      <c r="M67" s="133" t="s">
        <v>231</v>
      </c>
    </row>
    <row r="68" spans="2:13" ht="13.5" thickBot="1" x14ac:dyDescent="0.3">
      <c r="B68" s="369" t="s">
        <v>232</v>
      </c>
      <c r="C68" s="369"/>
      <c r="D68" s="369"/>
      <c r="E68" s="369"/>
      <c r="F68" s="369"/>
      <c r="G68" s="148"/>
      <c r="H68" s="207"/>
      <c r="I68" s="204"/>
      <c r="J68" s="133"/>
      <c r="M68" s="133" t="s">
        <v>233</v>
      </c>
    </row>
    <row r="69" spans="2:13" ht="13.5" thickBot="1" x14ac:dyDescent="0.3">
      <c r="B69" s="208" t="s">
        <v>234</v>
      </c>
      <c r="C69" s="209">
        <f>+F53</f>
        <v>45819.6</v>
      </c>
      <c r="D69" s="209">
        <f>+D58</f>
        <v>38400</v>
      </c>
      <c r="E69" s="210">
        <f>+C69/D69</f>
        <v>1.19321875</v>
      </c>
      <c r="F69" s="148"/>
      <c r="G69" s="207"/>
      <c r="H69" s="150"/>
      <c r="I69" s="207"/>
      <c r="J69" s="133"/>
    </row>
    <row r="70" spans="2:13" x14ac:dyDescent="0.25">
      <c r="B70" s="211"/>
      <c r="C70" s="212"/>
      <c r="D70" s="213"/>
      <c r="E70" s="196"/>
      <c r="F70" s="148"/>
      <c r="G70" s="207"/>
      <c r="H70" s="150"/>
      <c r="I70" s="150"/>
      <c r="J70" s="133"/>
    </row>
    <row r="71" spans="2:13" x14ac:dyDescent="0.25">
      <c r="B71" s="208" t="s">
        <v>235</v>
      </c>
      <c r="C71" s="209">
        <f>SUM(F63:F64)</f>
        <v>46750.759999999995</v>
      </c>
      <c r="D71" s="209">
        <f>+D58</f>
        <v>38400</v>
      </c>
      <c r="E71" s="214">
        <f>+C71/D71</f>
        <v>1.2174677083333332</v>
      </c>
      <c r="F71" s="148"/>
      <c r="G71" s="207"/>
      <c r="H71" s="150"/>
      <c r="I71" s="150"/>
      <c r="J71" s="133"/>
    </row>
    <row r="72" spans="2:13" x14ac:dyDescent="0.25">
      <c r="B72" s="208"/>
      <c r="C72" s="209"/>
      <c r="D72" s="209"/>
      <c r="E72" s="214"/>
      <c r="F72" s="148"/>
      <c r="G72" s="207"/>
      <c r="H72" s="150"/>
      <c r="I72" s="150"/>
      <c r="J72" s="133"/>
    </row>
    <row r="73" spans="2:13" ht="13.5" thickBot="1" x14ac:dyDescent="0.3">
      <c r="B73" s="208" t="s">
        <v>236</v>
      </c>
      <c r="C73" s="209">
        <f>+F65</f>
        <v>2310</v>
      </c>
      <c r="D73" s="209">
        <f>+D58</f>
        <v>38400</v>
      </c>
      <c r="E73" s="214">
        <f>+C73/D73</f>
        <v>6.0156250000000001E-2</v>
      </c>
      <c r="F73" s="148"/>
      <c r="G73" s="207"/>
      <c r="H73" s="150"/>
      <c r="I73" s="150"/>
      <c r="J73" s="133"/>
    </row>
    <row r="74" spans="2:13" ht="13.5" thickBot="1" x14ac:dyDescent="0.3">
      <c r="B74" s="208" t="s">
        <v>237</v>
      </c>
      <c r="C74" s="209">
        <f>+F56</f>
        <v>2310</v>
      </c>
      <c r="D74" s="209">
        <f>+D73</f>
        <v>38400</v>
      </c>
      <c r="E74" s="210">
        <f>+C74/D74</f>
        <v>6.0156250000000001E-2</v>
      </c>
      <c r="F74" s="148"/>
      <c r="G74" s="207"/>
      <c r="H74" s="150"/>
      <c r="I74" s="150"/>
      <c r="J74" s="133"/>
    </row>
    <row r="75" spans="2:13" ht="13.5" thickBot="1" x14ac:dyDescent="0.3">
      <c r="B75" s="172"/>
      <c r="C75" s="173"/>
      <c r="D75" s="173"/>
      <c r="E75" s="214"/>
      <c r="F75" s="148"/>
      <c r="G75" s="207"/>
      <c r="H75" s="150"/>
      <c r="I75" s="150"/>
      <c r="J75" s="133"/>
    </row>
    <row r="76" spans="2:13" ht="13.5" thickBot="1" x14ac:dyDescent="0.3">
      <c r="B76" s="208" t="s">
        <v>238</v>
      </c>
      <c r="C76" s="209">
        <f>+F54</f>
        <v>14.768000000000001</v>
      </c>
      <c r="D76" s="209">
        <f>+D74</f>
        <v>38400</v>
      </c>
      <c r="E76" s="210">
        <f>+C76/D76</f>
        <v>3.8458333333333335E-4</v>
      </c>
      <c r="F76" s="148"/>
      <c r="G76" s="207"/>
      <c r="H76" s="150"/>
      <c r="I76" s="150"/>
      <c r="J76" s="150"/>
    </row>
    <row r="77" spans="2:13" ht="13.5" thickBot="1" x14ac:dyDescent="0.3">
      <c r="B77" s="172"/>
      <c r="C77" s="173"/>
      <c r="D77" s="173"/>
      <c r="E77" s="214"/>
      <c r="F77" s="148"/>
      <c r="G77" s="207"/>
      <c r="H77" s="150"/>
      <c r="I77" s="150"/>
    </row>
    <row r="78" spans="2:13" ht="13.5" thickBot="1" x14ac:dyDescent="0.3">
      <c r="B78" s="370" t="s">
        <v>239</v>
      </c>
      <c r="C78" s="371"/>
      <c r="D78" s="372"/>
      <c r="E78" s="210">
        <f>+E69+E74</f>
        <v>1.2533749999999999</v>
      </c>
      <c r="G78" s="148"/>
      <c r="H78" s="207"/>
      <c r="I78" s="150"/>
      <c r="J78" s="214"/>
    </row>
    <row r="79" spans="2:13" x14ac:dyDescent="0.25">
      <c r="I79" s="207"/>
      <c r="J79" s="133"/>
    </row>
    <row r="80" spans="2:13" ht="13.5" thickBot="1" x14ac:dyDescent="0.3">
      <c r="B80" s="369" t="s">
        <v>240</v>
      </c>
      <c r="C80" s="369"/>
      <c r="D80" s="369"/>
      <c r="E80" s="369"/>
      <c r="F80" s="369"/>
      <c r="G80" s="148"/>
      <c r="H80" s="207"/>
      <c r="J80" s="133"/>
    </row>
    <row r="81" spans="1:10" ht="13.5" thickBot="1" x14ac:dyDescent="0.3">
      <c r="B81" s="208" t="s">
        <v>234</v>
      </c>
      <c r="C81" s="209">
        <f>+C69</f>
        <v>45819.6</v>
      </c>
      <c r="D81" s="209">
        <f>+D60</f>
        <v>54.857142857142854</v>
      </c>
      <c r="E81" s="210">
        <f>+C81/D81</f>
        <v>835.25312500000007</v>
      </c>
      <c r="F81" s="148"/>
      <c r="G81" s="207"/>
      <c r="H81" s="150"/>
      <c r="I81" s="207"/>
      <c r="J81" s="133"/>
    </row>
    <row r="82" spans="1:10" x14ac:dyDescent="0.25">
      <c r="B82" s="211"/>
      <c r="C82" s="212"/>
      <c r="D82" s="213"/>
      <c r="E82" s="196"/>
      <c r="F82" s="148"/>
      <c r="G82" s="207"/>
      <c r="H82" s="150"/>
      <c r="I82" s="150"/>
      <c r="J82" s="133"/>
    </row>
    <row r="83" spans="1:10" x14ac:dyDescent="0.25">
      <c r="B83" s="208" t="s">
        <v>235</v>
      </c>
      <c r="C83" s="209">
        <f>+C71</f>
        <v>46750.759999999995</v>
      </c>
      <c r="D83" s="209">
        <f>+D60</f>
        <v>54.857142857142854</v>
      </c>
      <c r="E83" s="214">
        <f>+C83/D83</f>
        <v>852.22739583333328</v>
      </c>
      <c r="F83" s="148"/>
      <c r="G83" s="207"/>
      <c r="H83" s="150"/>
      <c r="I83" s="150"/>
      <c r="J83" s="133"/>
    </row>
    <row r="84" spans="1:10" x14ac:dyDescent="0.25">
      <c r="B84" s="208"/>
      <c r="C84" s="209"/>
      <c r="D84" s="209"/>
      <c r="E84" s="214"/>
      <c r="F84" s="148"/>
      <c r="G84" s="207"/>
      <c r="H84" s="150"/>
      <c r="I84" s="150"/>
      <c r="J84" s="133"/>
    </row>
    <row r="85" spans="1:10" ht="13.5" thickBot="1" x14ac:dyDescent="0.3">
      <c r="B85" s="208" t="s">
        <v>237</v>
      </c>
      <c r="C85" s="209">
        <f>+C73</f>
        <v>2310</v>
      </c>
      <c r="D85" s="209">
        <f>+D60</f>
        <v>54.857142857142854</v>
      </c>
      <c r="E85" s="214">
        <f>+C85/D85</f>
        <v>42.109375</v>
      </c>
      <c r="F85" s="216"/>
      <c r="G85" s="206"/>
      <c r="H85" s="132"/>
      <c r="I85" s="150"/>
    </row>
    <row r="86" spans="1:10" ht="13.5" thickBot="1" x14ac:dyDescent="0.3">
      <c r="B86" s="208" t="s">
        <v>237</v>
      </c>
      <c r="C86" s="209">
        <f>+C74</f>
        <v>2310</v>
      </c>
      <c r="D86" s="209">
        <f>+D85</f>
        <v>54.857142857142854</v>
      </c>
      <c r="E86" s="210">
        <f>+C86/D86</f>
        <v>42.109375</v>
      </c>
      <c r="F86" s="215"/>
      <c r="G86" s="206"/>
      <c r="H86" s="132"/>
      <c r="I86" s="132"/>
    </row>
    <row r="87" spans="1:10" x14ac:dyDescent="0.25">
      <c r="I87" s="132"/>
    </row>
    <row r="88" spans="1:10" x14ac:dyDescent="0.2">
      <c r="A88" s="373"/>
      <c r="B88" s="373"/>
      <c r="C88" s="217"/>
      <c r="D88" s="217"/>
      <c r="E88" s="218"/>
      <c r="G88" s="219"/>
    </row>
    <row r="89" spans="1:10" x14ac:dyDescent="0.2">
      <c r="A89" s="151"/>
      <c r="B89" s="220"/>
      <c r="C89" s="221"/>
      <c r="D89" s="221"/>
      <c r="E89" s="222"/>
      <c r="G89" s="219"/>
    </row>
    <row r="90" spans="1:10" x14ac:dyDescent="0.2">
      <c r="A90" s="151"/>
      <c r="B90" s="220"/>
      <c r="C90" s="223"/>
      <c r="D90" s="223"/>
      <c r="E90" s="151"/>
      <c r="G90" s="219"/>
    </row>
    <row r="91" spans="1:10" x14ac:dyDescent="0.2">
      <c r="A91" s="151"/>
      <c r="B91" s="220"/>
      <c r="C91" s="224"/>
      <c r="D91" s="224"/>
      <c r="E91" s="151"/>
      <c r="G91" s="21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3664939-BB73-4288-88F1-98B1A2B30E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352648-80FB-4780-8E42-78F4C19C1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9B2E45-210E-462A-81A0-98268CE7FD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Torta  choco 1 rell Actual</vt:lpstr>
      <vt:lpstr>Costo Actual </vt:lpstr>
      <vt:lpstr>Torta  Choc 1 Rell Reing</vt:lpstr>
      <vt:lpstr>Costo Reing</vt:lpstr>
      <vt:lpstr>Rosquete Chocolate Danw 650g</vt:lpstr>
      <vt:lpstr>Rosquete 700</vt:lpstr>
      <vt:lpstr>Costo Rosquete 650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2024-03-20T15:50:51Z</cp:lastPrinted>
  <dcterms:created xsi:type="dcterms:W3CDTF">2023-04-05T16:36:29Z</dcterms:created>
  <dcterms:modified xsi:type="dcterms:W3CDTF">2025-05-22T22:23:58Z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
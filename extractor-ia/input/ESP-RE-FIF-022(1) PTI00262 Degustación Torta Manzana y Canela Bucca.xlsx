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4" documentId="8_{A50566D6-22D5-4EC0-8AAE-A45E0B0E1F5E}" xr6:coauthVersionLast="47" xr6:coauthVersionMax="47" xr10:uidLastSave="{BBA815AF-5F5E-45A3-A17E-FFEFBE4FC393}"/>
  <bookViews>
    <workbookView xWindow="20370" yWindow="-120" windowWidth="24240" windowHeight="13020" xr2:uid="{86A95AF8-34C1-4DB7-AE30-E3F9DEB6557E}"/>
  </bookViews>
  <sheets>
    <sheet name="Torta Frambues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D43" i="2"/>
  <c r="E18" i="2"/>
  <c r="E13" i="2"/>
  <c r="E11" i="2"/>
  <c r="E10" i="2"/>
</calcChain>
</file>

<file path=xl/sharedStrings.xml><?xml version="1.0" encoding="utf-8"?>
<sst xmlns="http://schemas.openxmlformats.org/spreadsheetml/2006/main" count="124" uniqueCount="99">
  <si>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</si>
  <si>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</si>
  <si>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</si>
  <si>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</si>
  <si>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</si>
  <si>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</si>
  <si>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</si>
  <si>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</si>
  <si>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</si>
  <si>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</si>
  <si>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</si>
  <si>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</si>
  <si>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</si>
  <si>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</si>
  <si>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</si>
  <si>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</si>
  <si>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</si>
  <si>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</si>
  <si>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</si>
  <si>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</si>
  <si>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</si>
  <si>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</si>
  <si>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</si>
  <si>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</si>
  <si>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</si>
  <si>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</si>
  <si>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</si>
  <si>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</si>
  <si>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</si>
  <si>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</si>
  <si>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</si>
  <si>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</si>
  <si>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</si>
  <si>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</si>
  <si>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</si>
  <si>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</si>
  <si>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</si>
  <si>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</si>
  <si>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Decoración</t>
  </si>
  <si>
    <t>EM10004</t>
  </si>
  <si>
    <t>ETIPLAST</t>
  </si>
  <si>
    <t>SE00032</t>
  </si>
  <si>
    <t>MP10007</t>
  </si>
  <si>
    <t>Manjar Leche Condensada</t>
  </si>
  <si>
    <t>NESTLE</t>
  </si>
  <si>
    <t>EM10248</t>
  </si>
  <si>
    <t>cm</t>
  </si>
  <si>
    <t>EM10011</t>
  </si>
  <si>
    <t>Cemusa</t>
  </si>
  <si>
    <t>EM10124</t>
  </si>
  <si>
    <t>Mariela Barrantes Sánchez, Chef</t>
  </si>
  <si>
    <t>Figuras</t>
  </si>
  <si>
    <t>907000287</t>
  </si>
  <si>
    <t>SE00454</t>
  </si>
  <si>
    <t>ROSQUETE EASY VAINILLA BC 350 G</t>
  </si>
  <si>
    <t>908000021</t>
  </si>
  <si>
    <t>SE00005</t>
  </si>
  <si>
    <t>ALMIBAR CANELA EN POLVO</t>
  </si>
  <si>
    <t>11400066</t>
  </si>
  <si>
    <t>720761</t>
  </si>
  <si>
    <t>MP10630</t>
  </si>
  <si>
    <t>RELLENO MANZANA CUBITOS (und:19 lbs)</t>
  </si>
  <si>
    <t>MAYCA</t>
  </si>
  <si>
    <t>96344</t>
  </si>
  <si>
    <t>Crema Dulce Leche</t>
  </si>
  <si>
    <t>MP10096</t>
  </si>
  <si>
    <t>Canela En Polvo</t>
  </si>
  <si>
    <t>Etiplast</t>
  </si>
  <si>
    <t>Cinta Adhesiva transp. 1/ 2*100 mts</t>
  </si>
  <si>
    <t>10g x ud</t>
  </si>
  <si>
    <t>15g x ud</t>
  </si>
  <si>
    <t>25g x ud</t>
  </si>
  <si>
    <t>0,2 g x ud</t>
  </si>
  <si>
    <t>EM10264</t>
  </si>
  <si>
    <t>CONTEDENOR 4 ONZAS (118 ML)</t>
  </si>
  <si>
    <t>Estuardo</t>
  </si>
  <si>
    <t>EM10266</t>
  </si>
  <si>
    <t>TAPA CONTEDENOR 4 ONZAS (118 ML)</t>
  </si>
  <si>
    <t>Exp pmt</t>
  </si>
  <si>
    <t>Etiq.Fecha Vencimiento Blanco</t>
  </si>
  <si>
    <t>juliano, cada uno y la caja</t>
  </si>
  <si>
    <t>EM10336</t>
  </si>
  <si>
    <t>Etiqueta Regalia Spoon</t>
  </si>
  <si>
    <t>mercadeo, cada uno y la caja</t>
  </si>
  <si>
    <t>Etiqueta Blanca R-153</t>
  </si>
  <si>
    <t>fecha de vencimiento en la caja</t>
  </si>
  <si>
    <t>Etiqueta Blanca 2 5/8X1 15/16</t>
  </si>
  <si>
    <t xml:space="preserve">1 por caja </t>
  </si>
  <si>
    <t>EM10066</t>
  </si>
  <si>
    <t>Caja Six Pack Musmanni</t>
  </si>
  <si>
    <t>5g x ud</t>
  </si>
  <si>
    <t xml:space="preserve">1. Colocar en cada vasito, primero el rosquete, despues el almibar y majarlo un poco. </t>
  </si>
  <si>
    <t>2. Agregar con ayuda de una manga el manjar y el relleno de manzana</t>
  </si>
  <si>
    <t>3. Realizar con una manga y la boquilla 4FT el colocho en el centro.</t>
  </si>
  <si>
    <t>Boquilla #4FT</t>
  </si>
  <si>
    <t>4. Tapar, guardar 18 unidades, sellar la caja y etiquetar la planta.</t>
  </si>
  <si>
    <t>PTI00262 Degustación Torta Manzana y Canela Bucca</t>
  </si>
  <si>
    <t>01</t>
  </si>
  <si>
    <t>ESP-RE-FIF-022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</si>
</sst>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b/>
      <sz val="12"/>
      <name val="Century Gothic"/>
      <family val="2"/>
    </font>
    <font>
      <b/>
      <sz val="12"/>
      <name val="Arial"/>
      <family val="2"/>
    </font>
    <font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i/>
      <sz val="20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55">
    <xf numFmtId="0" fontId="0" fillId="0" borderId="0" xfId="0"/>
    <xf numFmtId="0" fontId="4" fillId="3" borderId="17" xfId="2" applyFont="1" applyFill="1" applyBorder="1" applyAlignment="1">
      <alignment horizontal="right"/>
    </xf>
    <xf numFmtId="0" fontId="6" fillId="3" borderId="16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right"/>
    </xf>
    <xf numFmtId="49" fontId="6" fillId="3" borderId="13" xfId="2" applyNumberFormat="1" applyFont="1" applyFill="1" applyBorder="1" applyAlignment="1">
      <alignment horizontal="center"/>
    </xf>
    <xf numFmtId="0" fontId="6" fillId="3" borderId="11" xfId="2" applyFont="1" applyFill="1" applyBorder="1" applyAlignment="1">
      <alignment horizontal="right"/>
    </xf>
    <xf numFmtId="0" fontId="6" fillId="3" borderId="14" xfId="2" applyFont="1" applyFill="1" applyBorder="1" applyAlignment="1">
      <alignment horizontal="right"/>
    </xf>
    <xf numFmtId="0" fontId="4" fillId="2" borderId="16" xfId="1" applyFont="1" applyFill="1" applyBorder="1" applyAlignment="1">
      <alignment horizontal="center" vertical="center" wrapText="1"/>
    </xf>
    <xf numFmtId="1" fontId="4" fillId="2" borderId="2" xfId="1" applyNumberFormat="1" applyFont="1" applyFill="1" applyBorder="1" applyAlignment="1">
      <alignment horizontal="center"/>
    </xf>
    <xf numFmtId="1" fontId="4" fillId="2" borderId="2" xfId="1" applyNumberFormat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/>
    </xf>
    <xf numFmtId="0" fontId="4" fillId="2" borderId="17" xfId="1" applyFont="1" applyFill="1" applyBorder="1" applyAlignment="1">
      <alignment horizontal="center" vertical="center"/>
    </xf>
    <xf numFmtId="14" fontId="6" fillId="3" borderId="32" xfId="2" applyNumberFormat="1" applyFont="1" applyFill="1" applyBorder="1" applyAlignment="1">
      <alignment horizontal="center" vertical="center" wrapText="1"/>
    </xf>
    <xf numFmtId="14" fontId="6" fillId="3" borderId="30" xfId="2" applyNumberFormat="1" applyFont="1" applyFill="1" applyBorder="1" applyAlignment="1">
      <alignment horizontal="center" vertical="center" wrapText="1"/>
    </xf>
    <xf numFmtId="14" fontId="6" fillId="3" borderId="10" xfId="2" applyNumberFormat="1" applyFont="1" applyFill="1" applyBorder="1" applyAlignment="1">
      <alignment horizontal="center" vertical="center" wrapText="1"/>
    </xf>
    <xf numFmtId="0" fontId="6" fillId="3" borderId="24" xfId="2" applyFont="1" applyFill="1" applyBorder="1" applyAlignment="1">
      <alignment horizontal="left"/>
    </xf>
    <xf numFmtId="0" fontId="6" fillId="3" borderId="25" xfId="2" applyFont="1" applyFill="1" applyBorder="1" applyAlignment="1">
      <alignment horizontal="left"/>
    </xf>
    <xf numFmtId="0" fontId="6" fillId="3" borderId="18" xfId="2" applyFont="1" applyFill="1" applyBorder="1" applyAlignment="1">
      <alignment horizontal="left"/>
    </xf>
    <xf numFmtId="0" fontId="6" fillId="3" borderId="9" xfId="2" applyFont="1" applyFill="1" applyBorder="1" applyAlignment="1">
      <alignment horizontal="left"/>
    </xf>
    <xf numFmtId="0" fontId="6" fillId="3" borderId="6" xfId="2" applyFont="1" applyFill="1" applyBorder="1" applyAlignment="1">
      <alignment horizontal="left"/>
    </xf>
    <xf numFmtId="0" fontId="6" fillId="3" borderId="8" xfId="2" applyFont="1" applyFill="1" applyBorder="1" applyAlignment="1">
      <alignment horizontal="left"/>
    </xf>
    <xf numFmtId="0" fontId="6" fillId="3" borderId="35" xfId="2" applyFont="1" applyFill="1" applyBorder="1" applyAlignment="1">
      <alignment horizontal="center"/>
    </xf>
    <xf numFmtId="0" fontId="6" fillId="3" borderId="34" xfId="2" applyFont="1" applyFill="1" applyBorder="1" applyAlignment="1">
      <alignment horizontal="center"/>
    </xf>
    <xf numFmtId="0" fontId="6" fillId="3" borderId="20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38" xfId="2" applyFont="1" applyFill="1" applyBorder="1" applyAlignment="1">
      <alignment horizontal="center"/>
    </xf>
    <xf numFmtId="0" fontId="6" fillId="3" borderId="39" xfId="2" applyFont="1" applyFill="1" applyBorder="1" applyAlignment="1">
      <alignment horizontal="center"/>
    </xf>
    <xf numFmtId="0" fontId="4" fillId="3" borderId="17" xfId="2" applyFont="1" applyFill="1" applyBorder="1" applyAlignment="1">
      <alignment horizontal="center"/>
    </xf>
    <xf numFmtId="0" fontId="4" fillId="3" borderId="27" xfId="2" applyFont="1" applyFill="1" applyBorder="1" applyAlignment="1">
      <alignment horizontal="center"/>
    </xf>
    <xf numFmtId="0" fontId="4" fillId="3" borderId="33" xfId="2" applyFont="1" applyFill="1" applyBorder="1" applyAlignment="1">
      <alignment horizontal="right" vertical="top" wrapText="1"/>
    </xf>
    <xf numFmtId="0" fontId="4" fillId="3" borderId="31" xfId="2" applyFont="1" applyFill="1" applyBorder="1" applyAlignment="1">
      <alignment horizontal="right" vertical="top" wrapText="1"/>
    </xf>
    <xf numFmtId="0" fontId="4" fillId="3" borderId="28" xfId="2" applyFont="1" applyFill="1" applyBorder="1" applyAlignment="1">
      <alignment horizontal="right" vertical="top" wrapText="1"/>
    </xf>
    <xf numFmtId="0" fontId="5" fillId="3" borderId="0" xfId="2" applyFont="1" applyFill="1" applyAlignment="1">
      <alignment horizontal="right"/>
    </xf>
    <xf numFmtId="0" fontId="5" fillId="3" borderId="0" xfId="2" applyFont="1" applyFill="1"/>
    <xf numFmtId="0" fontId="4" fillId="2" borderId="40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40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8" fillId="0" borderId="14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/>
    </xf>
    <xf numFmtId="1" fontId="7" fillId="0" borderId="14" xfId="1" applyNumberFormat="1" applyFont="1" applyBorder="1" applyAlignment="1">
      <alignment horizontal="center" wrapText="1"/>
    </xf>
    <xf numFmtId="0" fontId="9" fillId="0" borderId="13" xfId="1" applyFont="1" applyBorder="1" applyAlignment="1">
      <alignment horizontal="center"/>
    </xf>
    <xf numFmtId="0" fontId="10" fillId="0" borderId="14" xfId="0" applyFont="1" applyBorder="1"/>
    <xf numFmtId="16" fontId="9" fillId="0" borderId="14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9" fillId="0" borderId="14" xfId="0" applyFont="1" applyBorder="1"/>
    <xf numFmtId="0" fontId="9" fillId="0" borderId="14" xfId="0" applyFont="1" applyBorder="1" applyAlignment="1">
      <alignment horizontal="center" vertical="center"/>
    </xf>
    <xf numFmtId="49" fontId="9" fillId="4" borderId="14" xfId="0" applyNumberFormat="1" applyFont="1" applyFill="1" applyBorder="1"/>
    <xf numFmtId="1" fontId="9" fillId="4" borderId="14" xfId="0" applyNumberFormat="1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/>
    </xf>
    <xf numFmtId="49" fontId="7" fillId="4" borderId="14" xfId="0" applyNumberFormat="1" applyFont="1" applyFill="1" applyBorder="1"/>
    <xf numFmtId="16" fontId="9" fillId="4" borderId="14" xfId="0" applyNumberFormat="1" applyFont="1" applyFill="1" applyBorder="1" applyAlignment="1">
      <alignment horizontal="center"/>
    </xf>
    <xf numFmtId="0" fontId="10" fillId="0" borderId="14" xfId="0" quotePrefix="1" applyFont="1" applyBorder="1"/>
    <xf numFmtId="0" fontId="10" fillId="4" borderId="14" xfId="0" applyFont="1" applyFill="1" applyBorder="1"/>
    <xf numFmtId="12" fontId="9" fillId="0" borderId="14" xfId="0" applyNumberFormat="1" applyFont="1" applyBorder="1"/>
    <xf numFmtId="12" fontId="9" fillId="0" borderId="14" xfId="0" applyNumberFormat="1" applyFont="1" applyBorder="1" applyAlignment="1">
      <alignment horizontal="center"/>
    </xf>
    <xf numFmtId="49" fontId="9" fillId="0" borderId="14" xfId="0" applyNumberFormat="1" applyFont="1" applyBorder="1" applyAlignment="1">
      <alignment horizontal="center"/>
    </xf>
    <xf numFmtId="49" fontId="9" fillId="0" borderId="14" xfId="0" applyNumberFormat="1" applyFont="1" applyBorder="1"/>
    <xf numFmtId="49" fontId="7" fillId="0" borderId="14" xfId="0" applyNumberFormat="1" applyFont="1" applyBorder="1" applyAlignment="1">
      <alignment horizontal="left"/>
    </xf>
    <xf numFmtId="0" fontId="10" fillId="0" borderId="14" xfId="3" applyFont="1" applyBorder="1" applyAlignment="1">
      <alignment horizontal="center"/>
    </xf>
    <xf numFmtId="0" fontId="10" fillId="0" borderId="14" xfId="3" applyFont="1" applyBorder="1" applyAlignment="1">
      <alignment horizontal="left"/>
    </xf>
    <xf numFmtId="1" fontId="9" fillId="0" borderId="14" xfId="1" applyNumberFormat="1" applyFont="1" applyBorder="1" applyAlignment="1">
      <alignment horizontal="center" vertical="center"/>
    </xf>
    <xf numFmtId="1" fontId="9" fillId="0" borderId="14" xfId="1" applyNumberFormat="1" applyFont="1" applyBorder="1" applyAlignment="1">
      <alignment horizontal="center" vertical="center" wrapText="1"/>
    </xf>
    <xf numFmtId="12" fontId="11" fillId="0" borderId="14" xfId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left"/>
    </xf>
    <xf numFmtId="0" fontId="9" fillId="0" borderId="14" xfId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9" fillId="0" borderId="14" xfId="8" applyFont="1" applyBorder="1" applyAlignment="1">
      <alignment horizontal="center" vertical="center"/>
    </xf>
    <xf numFmtId="1" fontId="9" fillId="0" borderId="14" xfId="8" applyNumberFormat="1" applyFont="1" applyBorder="1" applyAlignment="1">
      <alignment horizontal="center" vertical="center"/>
    </xf>
    <xf numFmtId="1" fontId="9" fillId="0" borderId="14" xfId="8" applyNumberFormat="1" applyFont="1" applyBorder="1" applyAlignment="1">
      <alignment horizontal="center" vertical="center" wrapText="1"/>
    </xf>
    <xf numFmtId="12" fontId="12" fillId="0" borderId="14" xfId="1" applyNumberFormat="1" applyFont="1" applyBorder="1" applyAlignment="1">
      <alignment horizontal="left"/>
    </xf>
    <xf numFmtId="49" fontId="7" fillId="0" borderId="14" xfId="1" applyNumberFormat="1" applyFont="1" applyBorder="1" applyAlignment="1">
      <alignment horizontal="center"/>
    </xf>
    <xf numFmtId="49" fontId="9" fillId="4" borderId="14" xfId="0" applyNumberFormat="1" applyFont="1" applyFill="1" applyBorder="1" applyAlignment="1">
      <alignment horizontal="center" vertical="center"/>
    </xf>
    <xf numFmtId="49" fontId="9" fillId="4" borderId="14" xfId="0" applyNumberFormat="1" applyFont="1" applyFill="1" applyBorder="1" applyAlignment="1">
      <alignment vertical="center"/>
    </xf>
    <xf numFmtId="0" fontId="9" fillId="4" borderId="14" xfId="0" applyFont="1" applyFill="1" applyBorder="1" applyAlignment="1">
      <alignment horizontal="center" vertical="center"/>
    </xf>
    <xf numFmtId="49" fontId="9" fillId="0" borderId="14" xfId="1" applyNumberFormat="1" applyFont="1" applyBorder="1" applyAlignment="1">
      <alignment horizontal="center"/>
    </xf>
    <xf numFmtId="165" fontId="9" fillId="0" borderId="14" xfId="0" applyNumberFormat="1" applyFont="1" applyBorder="1" applyAlignment="1">
      <alignment horizontal="center" wrapText="1"/>
    </xf>
    <xf numFmtId="49" fontId="9" fillId="0" borderId="14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vertical="center"/>
    </xf>
    <xf numFmtId="1" fontId="9" fillId="0" borderId="14" xfId="1" applyNumberFormat="1" applyFont="1" applyBorder="1" applyAlignment="1">
      <alignment horizontal="center"/>
    </xf>
    <xf numFmtId="0" fontId="9" fillId="0" borderId="14" xfId="0" quotePrefix="1" applyFont="1" applyBorder="1" applyAlignment="1">
      <alignment horizontal="right"/>
    </xf>
    <xf numFmtId="0" fontId="9" fillId="0" borderId="14" xfId="0" quotePrefix="1" applyFont="1" applyBorder="1"/>
    <xf numFmtId="49" fontId="9" fillId="0" borderId="15" xfId="1" applyNumberFormat="1" applyFont="1" applyBorder="1" applyAlignment="1">
      <alignment horizontal="center"/>
    </xf>
    <xf numFmtId="49" fontId="9" fillId="0" borderId="8" xfId="1" applyNumberFormat="1" applyFont="1" applyBorder="1" applyAlignment="1">
      <alignment horizontal="center"/>
    </xf>
    <xf numFmtId="49" fontId="9" fillId="0" borderId="14" xfId="1" applyNumberFormat="1" applyFont="1" applyBorder="1"/>
    <xf numFmtId="1" fontId="9" fillId="0" borderId="14" xfId="1" applyNumberFormat="1" applyFont="1" applyBorder="1" applyAlignment="1">
      <alignment horizontal="center" wrapText="1"/>
    </xf>
    <xf numFmtId="49" fontId="13" fillId="3" borderId="20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9" fillId="3" borderId="0" xfId="1" applyFont="1" applyFill="1"/>
    <xf numFmtId="1" fontId="9" fillId="3" borderId="0" xfId="1" applyNumberFormat="1" applyFont="1" applyFill="1" applyAlignment="1">
      <alignment horizontal="center"/>
    </xf>
    <xf numFmtId="164" fontId="9" fillId="3" borderId="0" xfId="1" applyNumberFormat="1" applyFont="1" applyFill="1" applyAlignment="1">
      <alignment horizontal="center" wrapText="1"/>
    </xf>
    <xf numFmtId="0" fontId="9" fillId="3" borderId="19" xfId="1" applyFont="1" applyFill="1" applyBorder="1" applyAlignment="1">
      <alignment horizontal="center"/>
    </xf>
    <xf numFmtId="0" fontId="9" fillId="2" borderId="41" xfId="1" applyFont="1" applyFill="1" applyBorder="1" applyAlignment="1">
      <alignment horizontal="center"/>
    </xf>
    <xf numFmtId="0" fontId="9" fillId="2" borderId="36" xfId="1" applyFont="1" applyFill="1" applyBorder="1" applyAlignment="1">
      <alignment horizontal="center"/>
    </xf>
    <xf numFmtId="0" fontId="9" fillId="2" borderId="36" xfId="1" applyFont="1" applyFill="1" applyBorder="1"/>
    <xf numFmtId="0" fontId="7" fillId="2" borderId="36" xfId="1" applyFont="1" applyFill="1" applyBorder="1" applyAlignment="1">
      <alignment horizontal="center"/>
    </xf>
    <xf numFmtId="1" fontId="7" fillId="2" borderId="36" xfId="1" applyNumberFormat="1" applyFont="1" applyFill="1" applyBorder="1" applyAlignment="1">
      <alignment horizontal="center"/>
    </xf>
    <xf numFmtId="164" fontId="9" fillId="2" borderId="36" xfId="1" applyNumberFormat="1" applyFont="1" applyFill="1" applyBorder="1" applyAlignment="1">
      <alignment horizontal="center" wrapText="1"/>
    </xf>
    <xf numFmtId="0" fontId="9" fillId="2" borderId="37" xfId="1" applyFont="1" applyFill="1" applyBorder="1" applyAlignment="1">
      <alignment horizontal="center"/>
    </xf>
    <xf numFmtId="0" fontId="7" fillId="0" borderId="38" xfId="1" applyFont="1" applyBorder="1" applyAlignment="1">
      <alignment horizontal="right"/>
    </xf>
    <xf numFmtId="0" fontId="7" fillId="0" borderId="39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" fontId="9" fillId="0" borderId="11" xfId="0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4" fontId="9" fillId="0" borderId="11" xfId="1" applyNumberFormat="1" applyFont="1" applyBorder="1" applyAlignment="1">
      <alignment horizontal="right"/>
    </xf>
    <xf numFmtId="0" fontId="9" fillId="3" borderId="26" xfId="1" applyFont="1" applyFill="1" applyBorder="1" applyAlignment="1">
      <alignment horizontal="center"/>
    </xf>
    <xf numFmtId="0" fontId="9" fillId="3" borderId="42" xfId="1" applyFont="1" applyFill="1" applyBorder="1" applyAlignment="1">
      <alignment horizontal="center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7" fillId="0" borderId="14" xfId="0" applyFont="1" applyBorder="1" applyAlignment="1">
      <alignment horizontal="center"/>
    </xf>
    <xf numFmtId="0" fontId="9" fillId="0" borderId="14" xfId="1" applyFont="1" applyBorder="1" applyAlignment="1">
      <alignment horizontal="right"/>
    </xf>
    <xf numFmtId="164" fontId="9" fillId="0" borderId="9" xfId="1" applyNumberFormat="1" applyFont="1" applyBorder="1" applyAlignment="1">
      <alignment horizontal="center"/>
    </xf>
    <xf numFmtId="164" fontId="9" fillId="0" borderId="5" xfId="1" applyNumberFormat="1" applyFont="1" applyBorder="1" applyAlignment="1">
      <alignment horizontal="center"/>
    </xf>
    <xf numFmtId="164" fontId="9" fillId="0" borderId="9" xfId="1" applyNumberFormat="1" applyFont="1" applyBorder="1" applyAlignment="1">
      <alignment horizontal="right" wrapText="1"/>
    </xf>
    <xf numFmtId="164" fontId="9" fillId="0" borderId="8" xfId="1" applyNumberFormat="1" applyFont="1" applyBorder="1" applyAlignment="1">
      <alignment horizontal="right" wrapText="1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1" applyFont="1" applyBorder="1" applyAlignment="1">
      <alignment horizontal="right"/>
    </xf>
    <xf numFmtId="164" fontId="9" fillId="0" borderId="22" xfId="1" applyNumberFormat="1" applyFont="1" applyBorder="1" applyAlignment="1">
      <alignment horizontal="center"/>
    </xf>
    <xf numFmtId="164" fontId="9" fillId="0" borderId="21" xfId="1" applyNumberFormat="1" applyFont="1" applyBorder="1" applyAlignment="1">
      <alignment horizontal="center"/>
    </xf>
    <xf numFmtId="0" fontId="9" fillId="0" borderId="44" xfId="1" applyFont="1" applyBorder="1" applyAlignment="1">
      <alignment horizontal="left" vertical="center" wrapText="1"/>
    </xf>
    <xf numFmtId="0" fontId="9" fillId="0" borderId="25" xfId="1" applyFont="1" applyBorder="1" applyAlignment="1">
      <alignment horizontal="left" vertical="center" wrapText="1"/>
    </xf>
    <xf numFmtId="0" fontId="9" fillId="0" borderId="45" xfId="1" applyFont="1" applyBorder="1" applyAlignment="1">
      <alignment horizontal="left" vertical="center" wrapText="1"/>
    </xf>
    <xf numFmtId="0" fontId="9" fillId="0" borderId="15" xfId="1" applyFont="1" applyBorder="1" applyAlignment="1">
      <alignment horizontal="left" wrapText="1"/>
    </xf>
    <xf numFmtId="0" fontId="9" fillId="0" borderId="8" xfId="1" applyFont="1" applyBorder="1" applyAlignment="1">
      <alignment horizontal="left" wrapText="1"/>
    </xf>
    <xf numFmtId="0" fontId="9" fillId="0" borderId="14" xfId="1" applyFont="1" applyBorder="1" applyAlignment="1">
      <alignment horizontal="left" wrapText="1"/>
    </xf>
    <xf numFmtId="0" fontId="9" fillId="0" borderId="13" xfId="1" applyFont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46" xfId="1" applyFont="1" applyBorder="1" applyAlignment="1">
      <alignment horizontal="left"/>
    </xf>
    <xf numFmtId="0" fontId="9" fillId="0" borderId="23" xfId="1" applyFont="1" applyBorder="1" applyAlignment="1">
      <alignment horizontal="left"/>
    </xf>
    <xf numFmtId="0" fontId="9" fillId="0" borderId="21" xfId="1" applyFont="1" applyBorder="1" applyAlignment="1">
      <alignment horizontal="left"/>
    </xf>
    <xf numFmtId="0" fontId="7" fillId="6" borderId="43" xfId="2" applyFont="1" applyFill="1" applyBorder="1" applyAlignment="1">
      <alignment horizontal="center"/>
    </xf>
    <xf numFmtId="0" fontId="7" fillId="6" borderId="34" xfId="2" applyFont="1" applyFill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7" fillId="2" borderId="41" xfId="1" applyFont="1" applyFill="1" applyBorder="1" applyAlignment="1">
      <alignment horizontal="center"/>
    </xf>
    <xf numFmtId="0" fontId="7" fillId="2" borderId="36" xfId="1" applyFont="1" applyFill="1" applyBorder="1" applyAlignment="1">
      <alignment horizontal="center"/>
    </xf>
    <xf numFmtId="0" fontId="7" fillId="2" borderId="37" xfId="1" applyFont="1" applyFill="1" applyBorder="1" applyAlignment="1">
      <alignment horizontal="center"/>
    </xf>
    <xf numFmtId="0" fontId="14" fillId="5" borderId="14" xfId="2" applyFont="1" applyFill="1" applyBorder="1" applyAlignment="1">
      <alignment horizontal="center" vertical="center" wrapText="1"/>
    </xf>
    <xf numFmtId="0" fontId="15" fillId="3" borderId="29" xfId="2" applyFont="1" applyFill="1" applyBorder="1" applyAlignment="1">
      <alignment horizontal="center"/>
    </xf>
    <xf numFmtId="14" fontId="15" fillId="3" borderId="0" xfId="2" applyNumberFormat="1" applyFont="1" applyFill="1" applyAlignment="1">
      <alignment horizontal="center" vertical="center" wrapText="1"/>
    </xf>
    <xf numFmtId="0" fontId="9" fillId="3" borderId="14" xfId="2" applyFont="1" applyFill="1" applyBorder="1" applyAlignment="1">
      <alignment horizontal="left"/>
    </xf>
  </cellXfs>
  <cellStyles count="9"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190009</xdr:colOff>
      <xdr:row>0</xdr:row>
      <xdr:rowOff>90953</xdr:rowOff>
    </xdr:from>
    <xdr:to>
      <xdr:col>1</xdr:col>
      <xdr:colOff>1299857</xdr:colOff>
      <xdr:row>4</xdr:row>
      <xdr:rowOff>83343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2CF22C-AA3D-40AA-9FD2-E209553E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009" y="90953"/>
          <a:ext cx="2229036" cy="1052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21B2-88D0-4D0A-98D0-059750B19291}">
  <sheetPr>
    <pageSetUpPr fitToPage="1"/>
  </sheetPr>
  <dimension ref="A1:I54"/>
  <sheetViews>
    <sheetView tabSelected="1" zoomScale="80" zoomScaleNormal="80" workbookViewId="0">
      <selection activeCell="C25" sqref="C25"/>
    </sheetView>
  </sheetViews>
  <sheetFormatPr baseColWidth="10" defaultRowHeight="15" x14ac:dyDescent="0.25"/>
  <cols>
    <col min="1" max="1" width="16.85546875" bestFit="1" customWidth="1"/>
    <col min="2" max="2" width="22.140625" bestFit="1" customWidth="1"/>
    <col min="3" max="3" width="60" customWidth="1"/>
    <col min="4" max="4" width="15.140625" bestFit="1" customWidth="1"/>
    <col min="5" max="5" width="15" customWidth="1"/>
    <col min="7" max="7" width="21.85546875" customWidth="1"/>
    <col min="8" max="8" width="20.85546875" customWidth="1"/>
    <col min="9" max="9" width="22.7109375" bestFit="1" customWidth="1"/>
  </cols>
  <sheetData>
    <row r="1" spans="1:9" ht="17.25" x14ac:dyDescent="0.3">
      <c r="A1" s="21"/>
      <c r="B1" s="22"/>
      <c r="C1" s="27" t="s">
        <v>33</v>
      </c>
      <c r="D1" s="27"/>
      <c r="E1" s="27"/>
      <c r="F1" s="27"/>
      <c r="G1" s="27"/>
      <c r="H1" s="1" t="s">
        <v>32</v>
      </c>
      <c r="I1" s="2" t="s">
        <v>98</v>
      </c>
    </row>
    <row r="2" spans="1:9" ht="17.25" x14ac:dyDescent="0.3">
      <c r="A2" s="23"/>
      <c r="B2" s="24"/>
      <c r="C2" s="28" t="s">
        <v>31</v>
      </c>
      <c r="D2" s="28"/>
      <c r="E2" s="28"/>
      <c r="F2" s="28"/>
      <c r="G2" s="28"/>
      <c r="H2" s="3" t="s">
        <v>30</v>
      </c>
      <c r="I2" s="4" t="s">
        <v>97</v>
      </c>
    </row>
    <row r="3" spans="1:9" ht="33" customHeight="1" thickBot="1" x14ac:dyDescent="0.3">
      <c r="A3" s="23"/>
      <c r="B3" s="24"/>
      <c r="C3" s="151" t="s">
        <v>96</v>
      </c>
      <c r="D3" s="151"/>
      <c r="E3" s="151"/>
      <c r="F3" s="151"/>
      <c r="G3" s="151"/>
      <c r="H3" s="29" t="s">
        <v>29</v>
      </c>
      <c r="I3" s="12">
        <v>45918</v>
      </c>
    </row>
    <row r="4" spans="1:9" ht="17.25" x14ac:dyDescent="0.3">
      <c r="A4" s="23"/>
      <c r="B4" s="24"/>
      <c r="C4" s="5" t="s">
        <v>28</v>
      </c>
      <c r="D4" s="15" t="s">
        <v>50</v>
      </c>
      <c r="E4" s="16"/>
      <c r="F4" s="16"/>
      <c r="G4" s="17"/>
      <c r="H4" s="30"/>
      <c r="I4" s="13"/>
    </row>
    <row r="5" spans="1:9" ht="18" thickBot="1" x14ac:dyDescent="0.35">
      <c r="A5" s="25"/>
      <c r="B5" s="26"/>
      <c r="C5" s="6" t="s">
        <v>27</v>
      </c>
      <c r="D5" s="18" t="s">
        <v>26</v>
      </c>
      <c r="E5" s="19"/>
      <c r="F5" s="19"/>
      <c r="G5" s="20"/>
      <c r="H5" s="31"/>
      <c r="I5" s="14"/>
    </row>
    <row r="6" spans="1:9" ht="18.75" thickBot="1" x14ac:dyDescent="0.3">
      <c r="A6" s="32" t="s">
        <v>25</v>
      </c>
      <c r="B6" s="32"/>
      <c r="C6" s="32"/>
      <c r="D6" s="152" t="s">
        <v>51</v>
      </c>
      <c r="E6" s="152"/>
      <c r="F6" s="152"/>
      <c r="G6" s="33" t="s">
        <v>24</v>
      </c>
      <c r="H6" s="33"/>
      <c r="I6" s="153" t="s">
        <v>51</v>
      </c>
    </row>
    <row r="7" spans="1:9" x14ac:dyDescent="0.25">
      <c r="A7" s="34" t="s">
        <v>23</v>
      </c>
      <c r="B7" s="36" t="s">
        <v>34</v>
      </c>
      <c r="C7" s="11" t="s">
        <v>22</v>
      </c>
      <c r="D7" s="11" t="s">
        <v>21</v>
      </c>
      <c r="E7" s="11" t="s">
        <v>20</v>
      </c>
      <c r="F7" s="11"/>
      <c r="G7" s="11" t="s">
        <v>19</v>
      </c>
      <c r="H7" s="11"/>
      <c r="I7" s="7" t="s">
        <v>18</v>
      </c>
    </row>
    <row r="8" spans="1:9" ht="31.5" thickBot="1" x14ac:dyDescent="0.3">
      <c r="A8" s="35"/>
      <c r="B8" s="37"/>
      <c r="C8" s="38"/>
      <c r="D8" s="38"/>
      <c r="E8" s="8" t="s">
        <v>14</v>
      </c>
      <c r="F8" s="9" t="s">
        <v>17</v>
      </c>
      <c r="G8" s="8" t="s">
        <v>14</v>
      </c>
      <c r="H8" s="9" t="s">
        <v>17</v>
      </c>
      <c r="I8" s="10" t="s">
        <v>16</v>
      </c>
    </row>
    <row r="9" spans="1:9" ht="20.25" x14ac:dyDescent="0.3">
      <c r="A9" s="39"/>
      <c r="B9" s="40"/>
      <c r="C9" s="41" t="s">
        <v>35</v>
      </c>
      <c r="D9" s="42"/>
      <c r="E9" s="43"/>
      <c r="F9" s="44"/>
      <c r="G9" s="43"/>
      <c r="H9" s="44"/>
      <c r="I9" s="45"/>
    </row>
    <row r="10" spans="1:9" ht="20.25" x14ac:dyDescent="0.3">
      <c r="A10" s="147" t="s">
        <v>52</v>
      </c>
      <c r="B10" s="147" t="s">
        <v>53</v>
      </c>
      <c r="C10" s="46" t="s">
        <v>54</v>
      </c>
      <c r="D10" s="47" t="s">
        <v>15</v>
      </c>
      <c r="E10" s="48">
        <f>10*18</f>
        <v>180</v>
      </c>
      <c r="F10" s="49" t="s">
        <v>1</v>
      </c>
      <c r="G10" s="48" t="s">
        <v>69</v>
      </c>
      <c r="H10" s="50"/>
      <c r="I10" s="45"/>
    </row>
    <row r="11" spans="1:9" ht="20.25" x14ac:dyDescent="0.3">
      <c r="A11" s="147" t="s">
        <v>55</v>
      </c>
      <c r="B11" s="147" t="s">
        <v>56</v>
      </c>
      <c r="C11" s="51" t="s">
        <v>57</v>
      </c>
      <c r="D11" s="50" t="s">
        <v>15</v>
      </c>
      <c r="E11" s="48">
        <f>10*18</f>
        <v>180</v>
      </c>
      <c r="F11" s="49" t="s">
        <v>1</v>
      </c>
      <c r="G11" s="48" t="s">
        <v>69</v>
      </c>
      <c r="H11" s="50"/>
      <c r="I11" s="45"/>
    </row>
    <row r="12" spans="1:9" ht="20.25" x14ac:dyDescent="0.3">
      <c r="A12" s="147" t="s">
        <v>58</v>
      </c>
      <c r="B12" s="147" t="s">
        <v>42</v>
      </c>
      <c r="C12" s="46" t="s">
        <v>43</v>
      </c>
      <c r="D12" s="52" t="s">
        <v>44</v>
      </c>
      <c r="E12" s="48">
        <f>15*18</f>
        <v>270</v>
      </c>
      <c r="F12" s="49" t="s">
        <v>1</v>
      </c>
      <c r="G12" s="48" t="s">
        <v>70</v>
      </c>
      <c r="H12" s="50"/>
      <c r="I12" s="45"/>
    </row>
    <row r="13" spans="1:9" ht="20.25" x14ac:dyDescent="0.3">
      <c r="A13" s="147" t="s">
        <v>59</v>
      </c>
      <c r="B13" s="147" t="s">
        <v>60</v>
      </c>
      <c r="C13" s="53" t="s">
        <v>61</v>
      </c>
      <c r="D13" s="54" t="s">
        <v>62</v>
      </c>
      <c r="E13" s="55">
        <f>25*18</f>
        <v>450</v>
      </c>
      <c r="F13" s="49" t="s">
        <v>1</v>
      </c>
      <c r="G13" s="48" t="s">
        <v>71</v>
      </c>
      <c r="H13" s="48"/>
      <c r="I13" s="45"/>
    </row>
    <row r="14" spans="1:9" ht="20.25" x14ac:dyDescent="0.3">
      <c r="A14" s="147"/>
      <c r="B14" s="147"/>
      <c r="C14" s="53"/>
      <c r="D14" s="54"/>
      <c r="E14" s="55"/>
      <c r="F14" s="49"/>
      <c r="G14" s="55"/>
      <c r="H14" s="48"/>
      <c r="I14" s="45"/>
    </row>
    <row r="15" spans="1:9" ht="20.25" x14ac:dyDescent="0.3">
      <c r="A15" s="147"/>
      <c r="B15" s="147"/>
      <c r="C15" s="53"/>
      <c r="D15" s="54"/>
      <c r="E15" s="55"/>
      <c r="F15" s="49"/>
      <c r="G15" s="55"/>
      <c r="H15" s="48"/>
      <c r="I15" s="45"/>
    </row>
    <row r="16" spans="1:9" ht="20.25" x14ac:dyDescent="0.3">
      <c r="A16" s="80"/>
      <c r="B16" s="80"/>
      <c r="C16" s="56" t="s">
        <v>38</v>
      </c>
      <c r="D16" s="57"/>
      <c r="E16" s="55"/>
      <c r="F16" s="49"/>
      <c r="G16" s="55"/>
      <c r="H16" s="48"/>
      <c r="I16" s="45"/>
    </row>
    <row r="17" spans="1:9" ht="20.25" x14ac:dyDescent="0.3">
      <c r="A17" s="147" t="s">
        <v>63</v>
      </c>
      <c r="B17" s="147" t="s">
        <v>41</v>
      </c>
      <c r="C17" s="46" t="s">
        <v>64</v>
      </c>
      <c r="D17" s="57" t="s">
        <v>15</v>
      </c>
      <c r="E17" s="55">
        <v>90</v>
      </c>
      <c r="F17" s="49" t="s">
        <v>1</v>
      </c>
      <c r="G17" s="55" t="s">
        <v>90</v>
      </c>
      <c r="H17" s="48" t="s">
        <v>94</v>
      </c>
      <c r="I17" s="45"/>
    </row>
    <row r="18" spans="1:9" ht="20.25" x14ac:dyDescent="0.3">
      <c r="A18" s="46"/>
      <c r="B18" s="147" t="s">
        <v>65</v>
      </c>
      <c r="C18" s="58" t="s">
        <v>66</v>
      </c>
      <c r="D18" s="52"/>
      <c r="E18" s="48">
        <f>0.2*18</f>
        <v>3.6</v>
      </c>
      <c r="F18" s="49" t="s">
        <v>1</v>
      </c>
      <c r="G18" s="48" t="s">
        <v>72</v>
      </c>
      <c r="H18" s="48"/>
      <c r="I18" s="45"/>
    </row>
    <row r="19" spans="1:9" ht="20.25" x14ac:dyDescent="0.3">
      <c r="A19" s="46"/>
      <c r="B19" s="59"/>
      <c r="C19" s="53"/>
      <c r="D19" s="54"/>
      <c r="E19" s="55"/>
      <c r="F19" s="49"/>
      <c r="G19" s="46"/>
      <c r="H19" s="48"/>
      <c r="I19" s="45"/>
    </row>
    <row r="20" spans="1:9" ht="20.25" x14ac:dyDescent="0.3">
      <c r="A20" s="46"/>
      <c r="B20" s="46"/>
      <c r="C20" s="46"/>
      <c r="D20" s="52"/>
      <c r="E20" s="48"/>
      <c r="F20" s="49"/>
      <c r="G20" s="60"/>
      <c r="H20" s="60"/>
      <c r="I20" s="45"/>
    </row>
    <row r="21" spans="1:9" ht="20.25" x14ac:dyDescent="0.3">
      <c r="A21" s="46"/>
      <c r="B21" s="46"/>
      <c r="C21" s="46"/>
      <c r="D21" s="46"/>
      <c r="E21" s="46"/>
      <c r="F21" s="46"/>
      <c r="G21" s="61"/>
      <c r="H21" s="61"/>
      <c r="I21" s="45"/>
    </row>
    <row r="22" spans="1:9" ht="20.25" x14ac:dyDescent="0.3">
      <c r="A22" s="62"/>
      <c r="B22" s="62"/>
      <c r="C22" s="63"/>
      <c r="D22" s="47"/>
      <c r="E22" s="48"/>
      <c r="F22" s="49"/>
      <c r="G22" s="48"/>
      <c r="H22" s="50"/>
      <c r="I22" s="45"/>
    </row>
    <row r="23" spans="1:9" ht="20.25" x14ac:dyDescent="0.3">
      <c r="A23" s="62"/>
      <c r="B23" s="62"/>
      <c r="C23" s="64" t="s">
        <v>37</v>
      </c>
      <c r="D23" s="47"/>
      <c r="E23" s="48"/>
      <c r="F23" s="50"/>
      <c r="G23" s="48"/>
      <c r="H23" s="50"/>
      <c r="I23" s="45"/>
    </row>
    <row r="24" spans="1:9" ht="20.25" x14ac:dyDescent="0.3">
      <c r="A24" s="46"/>
      <c r="B24" s="65" t="s">
        <v>73</v>
      </c>
      <c r="C24" s="66" t="s">
        <v>74</v>
      </c>
      <c r="D24" s="65" t="s">
        <v>75</v>
      </c>
      <c r="E24" s="67">
        <v>18</v>
      </c>
      <c r="F24" s="68" t="s">
        <v>6</v>
      </c>
      <c r="G24" s="46"/>
      <c r="H24" s="69"/>
      <c r="I24" s="45"/>
    </row>
    <row r="25" spans="1:9" ht="20.25" x14ac:dyDescent="0.3">
      <c r="A25" s="46"/>
      <c r="B25" s="65" t="s">
        <v>76</v>
      </c>
      <c r="C25" s="66" t="s">
        <v>77</v>
      </c>
      <c r="D25" s="65" t="s">
        <v>78</v>
      </c>
      <c r="E25" s="67">
        <v>18</v>
      </c>
      <c r="F25" s="68" t="s">
        <v>6</v>
      </c>
      <c r="G25" s="46"/>
      <c r="H25" s="69"/>
      <c r="I25" s="45"/>
    </row>
    <row r="26" spans="1:9" ht="20.25" x14ac:dyDescent="0.3">
      <c r="A26" s="46"/>
      <c r="B26" s="70" t="s">
        <v>39</v>
      </c>
      <c r="C26" s="71" t="s">
        <v>79</v>
      </c>
      <c r="D26" s="65" t="s">
        <v>67</v>
      </c>
      <c r="E26" s="67">
        <v>19</v>
      </c>
      <c r="F26" s="68" t="s">
        <v>6</v>
      </c>
      <c r="G26" s="46"/>
      <c r="H26" s="72" t="s">
        <v>80</v>
      </c>
      <c r="I26" s="45"/>
    </row>
    <row r="27" spans="1:9" ht="20.25" x14ac:dyDescent="0.3">
      <c r="A27" s="46"/>
      <c r="B27" s="73" t="s">
        <v>81</v>
      </c>
      <c r="C27" s="71" t="s">
        <v>82</v>
      </c>
      <c r="D27" s="65" t="s">
        <v>67</v>
      </c>
      <c r="E27" s="67">
        <v>19</v>
      </c>
      <c r="F27" s="68" t="s">
        <v>6</v>
      </c>
      <c r="G27" s="46"/>
      <c r="H27" s="72" t="s">
        <v>83</v>
      </c>
      <c r="I27" s="45"/>
    </row>
    <row r="28" spans="1:9" ht="20.25" x14ac:dyDescent="0.3">
      <c r="A28" s="46"/>
      <c r="B28" s="73" t="s">
        <v>49</v>
      </c>
      <c r="C28" s="74" t="s">
        <v>84</v>
      </c>
      <c r="D28" s="65" t="s">
        <v>48</v>
      </c>
      <c r="E28" s="67">
        <v>18</v>
      </c>
      <c r="F28" s="68" t="s">
        <v>6</v>
      </c>
      <c r="G28" s="46"/>
      <c r="H28" s="72" t="s">
        <v>85</v>
      </c>
      <c r="I28" s="45"/>
    </row>
    <row r="29" spans="1:9" ht="20.25" x14ac:dyDescent="0.3">
      <c r="A29" s="46"/>
      <c r="B29" s="73" t="s">
        <v>47</v>
      </c>
      <c r="C29" s="71" t="s">
        <v>86</v>
      </c>
      <c r="D29" s="75" t="s">
        <v>40</v>
      </c>
      <c r="E29" s="76">
        <v>1</v>
      </c>
      <c r="F29" s="77" t="s">
        <v>6</v>
      </c>
      <c r="G29" s="46"/>
      <c r="H29" s="72" t="s">
        <v>87</v>
      </c>
      <c r="I29" s="45"/>
    </row>
    <row r="30" spans="1:9" ht="20.25" x14ac:dyDescent="0.3">
      <c r="A30" s="46"/>
      <c r="B30" s="73" t="s">
        <v>45</v>
      </c>
      <c r="C30" s="71" t="s">
        <v>68</v>
      </c>
      <c r="D30" s="65" t="s">
        <v>67</v>
      </c>
      <c r="E30" s="67">
        <v>50</v>
      </c>
      <c r="F30" s="68" t="s">
        <v>46</v>
      </c>
      <c r="G30" s="46"/>
      <c r="H30" s="78"/>
      <c r="I30" s="45"/>
    </row>
    <row r="31" spans="1:9" ht="20.25" x14ac:dyDescent="0.3">
      <c r="A31" s="79"/>
      <c r="B31" s="73" t="s">
        <v>88</v>
      </c>
      <c r="C31" s="71" t="s">
        <v>89</v>
      </c>
      <c r="D31" s="65" t="s">
        <v>15</v>
      </c>
      <c r="E31" s="67">
        <v>1</v>
      </c>
      <c r="F31" s="68" t="s">
        <v>6</v>
      </c>
      <c r="G31" s="46"/>
      <c r="H31" s="78"/>
      <c r="I31" s="45"/>
    </row>
    <row r="32" spans="1:9" ht="16.149999999999999" customHeight="1" x14ac:dyDescent="0.3">
      <c r="A32" s="80"/>
      <c r="B32" s="80"/>
      <c r="C32" s="81"/>
      <c r="D32" s="82"/>
      <c r="E32" s="80"/>
      <c r="F32" s="83"/>
      <c r="G32" s="84"/>
      <c r="H32" s="72"/>
      <c r="I32" s="45"/>
    </row>
    <row r="33" spans="1:9" ht="20.25" x14ac:dyDescent="0.3">
      <c r="A33" s="85"/>
      <c r="B33" s="85"/>
      <c r="C33" s="86"/>
      <c r="D33" s="52"/>
      <c r="E33" s="85"/>
      <c r="F33" s="49"/>
      <c r="G33" s="87"/>
      <c r="H33" s="72"/>
      <c r="I33" s="45"/>
    </row>
    <row r="34" spans="1:9" ht="20.25" x14ac:dyDescent="0.3">
      <c r="A34" s="88"/>
      <c r="B34" s="73"/>
      <c r="C34" s="89"/>
      <c r="D34" s="51"/>
      <c r="E34" s="49"/>
      <c r="F34" s="49"/>
      <c r="G34" s="87"/>
      <c r="H34" s="72"/>
      <c r="I34" s="45"/>
    </row>
    <row r="35" spans="1:9" ht="20.25" x14ac:dyDescent="0.3">
      <c r="A35" s="73"/>
      <c r="B35" s="70"/>
      <c r="C35" s="46"/>
      <c r="D35" s="50"/>
      <c r="E35" s="48"/>
      <c r="F35" s="49"/>
      <c r="G35" s="87"/>
      <c r="H35" s="72"/>
      <c r="I35" s="45"/>
    </row>
    <row r="36" spans="1:9" ht="20.25" x14ac:dyDescent="0.3">
      <c r="A36" s="90"/>
      <c r="B36" s="91"/>
      <c r="C36" s="92"/>
      <c r="D36" s="72"/>
      <c r="E36" s="72"/>
      <c r="F36" s="93"/>
      <c r="G36" s="72"/>
      <c r="H36" s="72"/>
      <c r="I36" s="45"/>
    </row>
    <row r="37" spans="1:9" ht="21" thickBot="1" x14ac:dyDescent="0.35">
      <c r="A37" s="94"/>
      <c r="B37" s="95"/>
      <c r="C37" s="96"/>
      <c r="D37" s="96"/>
      <c r="E37" s="97"/>
      <c r="F37" s="98"/>
      <c r="G37" s="96"/>
      <c r="H37" s="96"/>
      <c r="I37" s="99"/>
    </row>
    <row r="38" spans="1:9" ht="21" thickBot="1" x14ac:dyDescent="0.35">
      <c r="A38" s="100"/>
      <c r="B38" s="101"/>
      <c r="C38" s="102"/>
      <c r="D38" s="103" t="s">
        <v>14</v>
      </c>
      <c r="E38" s="104" t="s">
        <v>13</v>
      </c>
      <c r="F38" s="105"/>
      <c r="G38" s="102"/>
      <c r="H38" s="102"/>
      <c r="I38" s="106"/>
    </row>
    <row r="39" spans="1:9" ht="20.25" x14ac:dyDescent="0.3">
      <c r="A39" s="107" t="s">
        <v>12</v>
      </c>
      <c r="B39" s="108"/>
      <c r="C39" s="109"/>
      <c r="D39" s="110">
        <v>1170</v>
      </c>
      <c r="E39" s="111" t="s">
        <v>1</v>
      </c>
      <c r="F39" s="112" t="s">
        <v>11</v>
      </c>
      <c r="G39" s="112"/>
      <c r="H39" s="113"/>
      <c r="I39" s="114"/>
    </row>
    <row r="40" spans="1:9" ht="20.25" x14ac:dyDescent="0.3">
      <c r="A40" s="115" t="s">
        <v>10</v>
      </c>
      <c r="B40" s="116"/>
      <c r="C40" s="117"/>
      <c r="D40" s="118">
        <v>18</v>
      </c>
      <c r="E40" s="50" t="s">
        <v>9</v>
      </c>
      <c r="F40" s="119" t="s">
        <v>8</v>
      </c>
      <c r="G40" s="119"/>
      <c r="H40" s="120"/>
      <c r="I40" s="121"/>
    </row>
    <row r="41" spans="1:9" ht="20.25" x14ac:dyDescent="0.3">
      <c r="A41" s="115" t="s">
        <v>7</v>
      </c>
      <c r="B41" s="116"/>
      <c r="C41" s="117"/>
      <c r="D41" s="50">
        <v>1</v>
      </c>
      <c r="E41" s="50" t="s">
        <v>6</v>
      </c>
      <c r="F41" s="119" t="s">
        <v>5</v>
      </c>
      <c r="G41" s="119"/>
      <c r="H41" s="120"/>
      <c r="I41" s="121"/>
    </row>
    <row r="42" spans="1:9" ht="20.25" x14ac:dyDescent="0.3">
      <c r="A42" s="115" t="s">
        <v>4</v>
      </c>
      <c r="B42" s="116"/>
      <c r="C42" s="117"/>
      <c r="D42" s="50">
        <v>1170</v>
      </c>
      <c r="E42" s="50" t="s">
        <v>1</v>
      </c>
      <c r="F42" s="122" t="s">
        <v>3</v>
      </c>
      <c r="G42" s="123"/>
      <c r="H42" s="120"/>
      <c r="I42" s="121"/>
    </row>
    <row r="43" spans="1:9" ht="21" thickBot="1" x14ac:dyDescent="0.35">
      <c r="A43" s="124" t="s">
        <v>2</v>
      </c>
      <c r="B43" s="125"/>
      <c r="C43" s="126"/>
      <c r="D43" s="127">
        <f>SUM(E10:E20)-D39</f>
        <v>3.5999999999999091</v>
      </c>
      <c r="E43" s="128" t="s">
        <v>1</v>
      </c>
      <c r="F43" s="129"/>
      <c r="G43" s="129"/>
      <c r="H43" s="130"/>
      <c r="I43" s="131"/>
    </row>
    <row r="44" spans="1:9" ht="21" thickBot="1" x14ac:dyDescent="0.35">
      <c r="A44" s="148" t="s">
        <v>0</v>
      </c>
      <c r="B44" s="149"/>
      <c r="C44" s="149"/>
      <c r="D44" s="149"/>
      <c r="E44" s="149"/>
      <c r="F44" s="149"/>
      <c r="G44" s="149"/>
      <c r="H44" s="149"/>
      <c r="I44" s="150"/>
    </row>
    <row r="45" spans="1:9" ht="21" thickBot="1" x14ac:dyDescent="0.3">
      <c r="A45" s="132" t="s">
        <v>91</v>
      </c>
      <c r="B45" s="133"/>
      <c r="C45" s="133"/>
      <c r="D45" s="133"/>
      <c r="E45" s="133"/>
      <c r="F45" s="133"/>
      <c r="G45" s="133"/>
      <c r="H45" s="133"/>
      <c r="I45" s="134"/>
    </row>
    <row r="46" spans="1:9" ht="21" thickBot="1" x14ac:dyDescent="0.3">
      <c r="A46" s="132" t="s">
        <v>92</v>
      </c>
      <c r="B46" s="133"/>
      <c r="C46" s="133"/>
      <c r="D46" s="133"/>
      <c r="E46" s="133"/>
      <c r="F46" s="133"/>
      <c r="G46" s="133"/>
      <c r="H46" s="133"/>
      <c r="I46" s="134"/>
    </row>
    <row r="47" spans="1:9" ht="21" thickBot="1" x14ac:dyDescent="0.3">
      <c r="A47" s="132" t="s">
        <v>93</v>
      </c>
      <c r="B47" s="133"/>
      <c r="C47" s="133"/>
      <c r="D47" s="133"/>
      <c r="E47" s="133"/>
      <c r="F47" s="133"/>
      <c r="G47" s="133"/>
      <c r="H47" s="133"/>
      <c r="I47" s="134"/>
    </row>
    <row r="48" spans="1:9" ht="20.25" x14ac:dyDescent="0.25">
      <c r="A48" s="132" t="s">
        <v>95</v>
      </c>
      <c r="B48" s="133"/>
      <c r="C48" s="133"/>
      <c r="D48" s="133"/>
      <c r="E48" s="133"/>
      <c r="F48" s="133"/>
      <c r="G48" s="133"/>
      <c r="H48" s="133"/>
      <c r="I48" s="134"/>
    </row>
    <row r="49" spans="1:9" ht="14.45" customHeight="1" x14ac:dyDescent="0.3">
      <c r="A49" s="135"/>
      <c r="B49" s="136"/>
      <c r="C49" s="137"/>
      <c r="D49" s="137"/>
      <c r="E49" s="137"/>
      <c r="F49" s="137"/>
      <c r="G49" s="137"/>
      <c r="H49" s="137"/>
      <c r="I49" s="138"/>
    </row>
    <row r="50" spans="1:9" ht="20.25" x14ac:dyDescent="0.3">
      <c r="A50" s="139"/>
      <c r="B50" s="140"/>
      <c r="C50" s="140"/>
      <c r="D50" s="140"/>
      <c r="E50" s="140"/>
      <c r="F50" s="140"/>
      <c r="G50" s="140"/>
      <c r="H50" s="140"/>
      <c r="I50" s="141"/>
    </row>
    <row r="51" spans="1:9" ht="21" thickBot="1" x14ac:dyDescent="0.35">
      <c r="A51" s="142"/>
      <c r="B51" s="143"/>
      <c r="C51" s="143"/>
      <c r="D51" s="143"/>
      <c r="E51" s="143"/>
      <c r="F51" s="143"/>
      <c r="G51" s="143"/>
      <c r="H51" s="143"/>
      <c r="I51" s="144"/>
    </row>
    <row r="52" spans="1:9" ht="20.25" x14ac:dyDescent="0.3">
      <c r="A52" s="145" t="s">
        <v>36</v>
      </c>
      <c r="B52" s="146"/>
      <c r="C52" s="146"/>
      <c r="D52" s="146"/>
      <c r="E52" s="146"/>
      <c r="F52" s="146"/>
      <c r="G52" s="146"/>
      <c r="H52" s="146"/>
      <c r="I52" s="146"/>
    </row>
    <row r="53" spans="1:9" ht="20.25" x14ac:dyDescent="0.3">
      <c r="A53" s="154"/>
      <c r="B53" s="154"/>
      <c r="C53" s="154"/>
      <c r="D53" s="154"/>
      <c r="E53" s="154"/>
      <c r="F53" s="154"/>
      <c r="G53" s="154"/>
      <c r="H53" s="154"/>
      <c r="I53" s="154"/>
    </row>
    <row r="54" spans="1:9" ht="20.25" x14ac:dyDescent="0.3">
      <c r="A54" s="154"/>
      <c r="B54" s="154"/>
      <c r="C54" s="154"/>
      <c r="D54" s="154"/>
      <c r="E54" s="154"/>
      <c r="F54" s="154"/>
      <c r="G54" s="154"/>
      <c r="H54" s="154"/>
      <c r="I54" s="154"/>
    </row>
  </sheetData>
  <mergeCells count="43">
    <mergeCell ref="A54:I54"/>
    <mergeCell ref="A50:I50"/>
    <mergeCell ref="A51:I51"/>
    <mergeCell ref="A52:I52"/>
    <mergeCell ref="A53:I53"/>
    <mergeCell ref="A48:I48"/>
    <mergeCell ref="A49:I49"/>
    <mergeCell ref="A47:I47"/>
    <mergeCell ref="A6:C6"/>
    <mergeCell ref="D6:F6"/>
    <mergeCell ref="G6:H6"/>
    <mergeCell ref="A7:A8"/>
    <mergeCell ref="B7:B8"/>
    <mergeCell ref="C7:C8"/>
    <mergeCell ref="D7:D8"/>
    <mergeCell ref="E7:F7"/>
    <mergeCell ref="A39:C39"/>
    <mergeCell ref="F39:G39"/>
    <mergeCell ref="H39:I39"/>
    <mergeCell ref="A40:C40"/>
    <mergeCell ref="F40:G40"/>
    <mergeCell ref="H40:I40"/>
    <mergeCell ref="A41:C41"/>
    <mergeCell ref="A46:I46"/>
    <mergeCell ref="A44:I44"/>
    <mergeCell ref="A45:I45"/>
    <mergeCell ref="F41:G41"/>
    <mergeCell ref="H41:I41"/>
    <mergeCell ref="A42:C42"/>
    <mergeCell ref="F42:G42"/>
    <mergeCell ref="H42:I42"/>
    <mergeCell ref="A43:C43"/>
    <mergeCell ref="F43:G43"/>
    <mergeCell ref="H43:I43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FC54A3-B27F-4C76-A7EF-382E50780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Torta Frambuesa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2025-09-18T22:51:08Z</cp:lastPrinted>
  <dcterms:created xsi:type="dcterms:W3CDTF">2025-01-06T20:55:42Z</dcterms:created>
  <dcterms:modified xsi:type="dcterms:W3CDTF">2025-09-18T22:51:57Z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
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2" documentId="8_{FC331150-BC20-4600-9EA7-DE8F15302178}" xr6:coauthVersionLast="47" xr6:coauthVersionMax="47" xr10:uidLastSave="{BFB395FB-E2E8-42B4-8140-335EB9A78ED8}"/>
  <bookViews>
    <workbookView xWindow="-120" yWindow="-120" windowWidth="29040" windowHeight="15840" xr2:uid="{AE55818F-1D42-470E-A88E-EA360AA3A717}"/>
  </bookViews>
  <sheets>
    <sheet name="Ensamble " sheetId="2" r:id="rId1"/>
    <sheet name="costo actual " sheetId="3" state="hidden" r:id="rId2"/>
    <sheet name="Costo Nuevo" sheetId="4" state="hidden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4" l="1"/>
  <c r="L39" i="3"/>
  <c r="D44" i="2"/>
</calcChain>
</file>

<file path=xl/sharedStrings.xml><?xml version="1.0" encoding="utf-8"?>
<sst xmlns="http://schemas.openxmlformats.org/spreadsheetml/2006/main" count="600" uniqueCount="195">
  <si>
    <r>
      <t xml:space="preserve">4.- </t>
    </r>
    <r>
      <rPr>
        <sz val="10"/>
        <rFont val="Century Gothic"/>
        <family val="2"/>
      </rPr>
      <t>Tapar y etiquetar. Colocar en la cinta generica, la fecha de vencimiento, pegar la cuchara dejando el lado superior descubierto, del lado opuesto colocar el sello de seguridad y en el lado inferior etiqueta de ingredientes.</t>
    </r>
  </si>
  <si>
    <r>
      <t xml:space="preserve">1.- </t>
    </r>
    <r>
      <rPr>
        <sz val="10"/>
        <rFont val="Century Gothic"/>
        <family val="2"/>
      </rPr>
      <t>Cortar el mini cake por la mitad (eliminado la punta para nivelar) , rellenar con fudge, relleno para chocofresa, relleno de fresa y suspiro. Hacer un circulo de manjar sobre la orla para inmobilizar el quequito. Pegar el mini cake en la orla.</t>
    </r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</si>
  <si>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</si>
  <si>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</si>
  <si>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</si>
  <si>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</si>
  <si>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</si>
  <si>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</si>
  <si>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</si>
  <si>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</si>
  <si>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</si>
  <si>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</si>
  <si>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</si>
  <si>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</si>
  <si>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</si>
  <si>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</si>
  <si>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</si>
  <si>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</si>
  <si>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</si>
  <si>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BASE PARA ROSQUETE (UND)</t>
  </si>
  <si>
    <t>EM10035</t>
  </si>
  <si>
    <t xml:space="preserve">ETIQUETA SELLO DE SEGURIDAD (ROLLO:1000 U) </t>
  </si>
  <si>
    <t>EM10135</t>
  </si>
  <si>
    <t>ETIQUETA BLANCA 2 5/8X1 15/16 (UND)</t>
  </si>
  <si>
    <t>EM10011</t>
  </si>
  <si>
    <t>ETIQ.FECHA VENCIMIENTO BLANCO (ROLLO)</t>
  </si>
  <si>
    <t>EM10004</t>
  </si>
  <si>
    <t>ETIQ. GENERICA PEQUEÑA V-274 (UND)</t>
  </si>
  <si>
    <t>EM10119</t>
  </si>
  <si>
    <t>QUEQUERA MINI CAKE (CAJA:100 UND)</t>
  </si>
  <si>
    <t>EM10288</t>
  </si>
  <si>
    <t>MONEDAS MARMOLEADAS</t>
  </si>
  <si>
    <t>MP10253</t>
  </si>
  <si>
    <t>1210462</t>
  </si>
  <si>
    <t>SALSA FRESA</t>
  </si>
  <si>
    <t>SE00025</t>
  </si>
  <si>
    <t>904000002</t>
  </si>
  <si>
    <t>FAS</t>
  </si>
  <si>
    <t>CREMA CHANTILLY CHOCO SPOON KILO</t>
  </si>
  <si>
    <t>SE00024</t>
  </si>
  <si>
    <t>SUSPIRO QUEBRADO 7650 g</t>
  </si>
  <si>
    <t>SE00019</t>
  </si>
  <si>
    <t>EMPAQ RELLENO DE FRESA NATURAL</t>
  </si>
  <si>
    <t>SE00504</t>
  </si>
  <si>
    <t>BATIDO RELL P/TORTA CHOCOFRESA KILO</t>
  </si>
  <si>
    <t>SE00018</t>
  </si>
  <si>
    <t>SE00337</t>
  </si>
  <si>
    <t>NESTLÉ</t>
  </si>
  <si>
    <t>MANJAR LECHE CONDENSADA (PAQ: 4.5 K)</t>
  </si>
  <si>
    <t>MP10007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</si>
  <si>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</si>
  <si>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</si>
  <si>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</si>
  <si>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</si>
  <si>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</si>
  <si>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</si>
  <si>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</si>
  <si>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</si>
  <si>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</si>
  <si>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</si>
  <si>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</si>
  <si>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</si>
  <si>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</si>
  <si>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</si>
  <si>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</si>
  <si>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</si>
  <si>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</si>
  <si>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3.-Colocar la moneda de chocolate </t>
  </si>
  <si>
    <t xml:space="preserve">RELLENO FUDGE  </t>
  </si>
  <si>
    <t>SE00621</t>
  </si>
  <si>
    <t>Esteban Cartin, Gte Manufactura</t>
  </si>
  <si>
    <t>Figuras</t>
  </si>
  <si>
    <t># Código Netsuite</t>
  </si>
  <si>
    <t>Ensamble</t>
  </si>
  <si>
    <t>1/ 8 TAZA</t>
  </si>
  <si>
    <t>1/8 TAZA</t>
  </si>
  <si>
    <t>1 CUCHARADA</t>
  </si>
  <si>
    <t>Decoración</t>
  </si>
  <si>
    <t/>
  </si>
  <si>
    <t>BOQUILLA 48 WILTON</t>
  </si>
  <si>
    <t>Empaque</t>
  </si>
  <si>
    <t>LITOGRAFIA CR</t>
  </si>
  <si>
    <t>ETIPLAST</t>
  </si>
  <si>
    <t>CONTROL DE CAMBIOS</t>
  </si>
  <si>
    <t>Mariela Barrantes Sánchez</t>
  </si>
  <si>
    <t>ESP-RE-FIS-030</t>
  </si>
  <si>
    <t>1</t>
  </si>
  <si>
    <t>Para pegar</t>
  </si>
  <si>
    <t>BOQUILLA #12 COLOCHO</t>
  </si>
  <si>
    <t>ROSQUETE CHOCOLATE DAWN 100g</t>
  </si>
  <si>
    <t xml:space="preserve">2.-Con una manga y la boquilla#48 agregar la crema de chocolate spoon y con la boquilla pequeña # 17 realizar un colocho en el borde y agregar la salsa de fresa en el medio dejandola bien exparcida. </t>
  </si>
  <si>
    <t>2, Se actualizan datos receta y peso final</t>
  </si>
  <si>
    <t>FILTROS :</t>
  </si>
  <si>
    <t>SUBSIDIARIA</t>
  </si>
  <si>
    <t>Empresa principal : Servicios de Pastelería S.A.</t>
  </si>
  <si>
    <t>ARTÍCULO</t>
  </si>
  <si>
    <t>PTL00235 Mini Cake de Chocofresa</t>
  </si>
  <si>
    <t>UBICACIÓN</t>
  </si>
  <si>
    <t>Bodega Administrativa</t>
  </si>
  <si>
    <t>LISTA DE MATERIALES</t>
  </si>
  <si>
    <t>BOM PTL00235</t>
  </si>
  <si>
    <t>CONTROL DE VISUALIZACIÓN</t>
  </si>
  <si>
    <t>Por revisión</t>
  </si>
  <si>
    <t>FECHA/FECHA EFECTIVA</t>
  </si>
  <si>
    <t>04/02/2025</t>
  </si>
  <si>
    <t>REVISIÓN DE LISTA DE MATERIALES</t>
  </si>
  <si>
    <t>REV V1 BOM PTL00235</t>
  </si>
  <si>
    <t>POR RUTA DE FABRICACIÓN</t>
  </si>
  <si>
    <t>No</t>
  </si>
  <si>
    <t>RUTA DE FABRICACIÓN</t>
  </si>
  <si>
    <t>CANTIDAD DE ENSAMBLAJE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</si>
  <si>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</si>
  <si>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</si>
  <si>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</si>
  <si>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</si>
  <si>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</si>
  <si>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</si>
  <si>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CRC1,026.20</t>
  </si>
  <si>
    <t>CRC1,026.20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</si>
  <si>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</si>
  <si>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</si>
  <si>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</si>
  <si>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</si>
  <si>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</si>
  <si>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</si>
  <si>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</si>
  <si>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</si>
  <si>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</si>
  <si>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</si>
  <si>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</si>
  <si>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Manjar Leche Condensada</t>
  </si>
  <si>
    <t>8</t>
  </si>
  <si>
    <t>100%</t>
  </si>
  <si>
    <t>2.12767278</t>
  </si>
  <si>
    <t>GRAMOS</t>
  </si>
  <si>
    <t>17.02</t>
  </si>
  <si>
    <t>Monedas Marmoleadas</t>
  </si>
  <si>
    <t>42.00</t>
  </si>
  <si>
    <t>Quequera Mini Cake</t>
  </si>
  <si>
    <t>129.00</t>
  </si>
  <si>
    <t>Etiq. Generica Pequeña V-274</t>
  </si>
  <si>
    <t>13.45</t>
  </si>
  <si>
    <t>Etiq.Fecha Vencimiento Blanco</t>
  </si>
  <si>
    <t>0.28</t>
  </si>
  <si>
    <t>Etiqueta Blanca 2 5/8X1 15/16</t>
  </si>
  <si>
    <t>2.128</t>
  </si>
  <si>
    <t>2.13</t>
  </si>
  <si>
    <t>Etiqueta Sello Seguridad</t>
  </si>
  <si>
    <t>2</t>
  </si>
  <si>
    <t>6.00</t>
  </si>
  <si>
    <t>12.00</t>
  </si>
  <si>
    <t>Base Carton Para Rosquete</t>
  </si>
  <si>
    <t>0.1</t>
  </si>
  <si>
    <t>128.00</t>
  </si>
  <si>
    <t>12.80</t>
  </si>
  <si>
    <t>Etiqueta Blanca R-153</t>
  </si>
  <si>
    <t>0.39</t>
  </si>
  <si>
    <t>SC-MO1</t>
  </si>
  <si>
    <t>Mano de Obra</t>
  </si>
  <si>
    <t>3.2</t>
  </si>
  <si>
    <t>77.00</t>
  </si>
  <si>
    <t>246.40</t>
  </si>
  <si>
    <t>SC-GIF1</t>
  </si>
  <si>
    <t>Gastos Indirectos Fabricación</t>
  </si>
  <si>
    <t>64.00</t>
  </si>
  <si>
    <t>204.80</t>
  </si>
  <si>
    <t>Batido Rell P/Torta Chocofresa</t>
  </si>
  <si>
    <t>0.015</t>
  </si>
  <si>
    <t>2,786.6860379</t>
  </si>
  <si>
    <t>KILOGRAMOS</t>
  </si>
  <si>
    <t>41.80</t>
  </si>
  <si>
    <t>Suspiro Quebrado</t>
  </si>
  <si>
    <t>0.008</t>
  </si>
  <si>
    <t>2,086.22434132</t>
  </si>
  <si>
    <t>16.69</t>
  </si>
  <si>
    <t>Crema Chocolate Spoon</t>
  </si>
  <si>
    <t>0.035</t>
  </si>
  <si>
    <t>2,522.2869659</t>
  </si>
  <si>
    <t>88.28</t>
  </si>
  <si>
    <t>Salsa Fresa</t>
  </si>
  <si>
    <t>2,107.2011923</t>
  </si>
  <si>
    <t>31.61</t>
  </si>
  <si>
    <t>Empaque Fudge De Chocolate</t>
  </si>
  <si>
    <t>2,445.65669675</t>
  </si>
  <si>
    <t>36.68</t>
  </si>
  <si>
    <t>Empaque Relleno Fresa Natural</t>
  </si>
  <si>
    <t>1,441.68748178</t>
  </si>
  <si>
    <t>21.63</t>
  </si>
  <si>
    <t>Rosquete Chocolate Dawn 85 g</t>
  </si>
  <si>
    <t>109.23594672</t>
  </si>
  <si>
    <t>109.24</t>
  </si>
  <si>
    <t>Rosquete Chocolate Dawn 100 g</t>
  </si>
  <si>
    <t>se00394</t>
  </si>
  <si>
    <t>SE00394</t>
  </si>
  <si>
    <t xml:space="preserve"> PTL00235 - 20200104 MINI CAKE CHOCOFRESA UD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</si>
</sst>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3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0" fillId="0" borderId="0"/>
    <xf numFmtId="0" fontId="10" fillId="0" borderId="0"/>
    <xf numFmtId="0" fontId="12" fillId="0" borderId="0"/>
    <xf numFmtId="0" fontId="9" fillId="0" borderId="0"/>
    <xf numFmtId="0" fontId="12" fillId="0" borderId="0"/>
    <xf numFmtId="0" fontId="21" fillId="0" borderId="0" applyNumberFormat="0" applyFill="0" applyBorder="0" applyAlignment="0" applyProtection="0"/>
    <xf numFmtId="0" fontId="22" fillId="0" borderId="52" applyNumberFormat="0" applyFill="0" applyAlignment="0" applyProtection="0"/>
    <xf numFmtId="0" fontId="23" fillId="0" borderId="53" applyNumberFormat="0" applyFill="0" applyAlignment="0" applyProtection="0"/>
    <xf numFmtId="0" fontId="24" fillId="0" borderId="54" applyNumberFormat="0" applyFill="0" applyAlignment="0" applyProtection="0"/>
    <xf numFmtId="0" fontId="24" fillId="0" borderId="0" applyNumberFormat="0" applyFill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55" applyNumberFormat="0" applyAlignment="0" applyProtection="0"/>
    <xf numFmtId="0" fontId="29" fillId="12" borderId="56" applyNumberFormat="0" applyAlignment="0" applyProtection="0"/>
    <xf numFmtId="0" fontId="30" fillId="12" borderId="55" applyNumberFormat="0" applyAlignment="0" applyProtection="0"/>
    <xf numFmtId="0" fontId="31" fillId="0" borderId="57" applyNumberFormat="0" applyFill="0" applyAlignment="0" applyProtection="0"/>
    <xf numFmtId="0" fontId="32" fillId="13" borderId="58" applyNumberFormat="0" applyAlignment="0" applyProtection="0"/>
    <xf numFmtId="0" fontId="33" fillId="0" borderId="0" applyNumberFormat="0" applyFill="0" applyBorder="0" applyAlignment="0" applyProtection="0"/>
    <xf numFmtId="0" fontId="9" fillId="14" borderId="59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60" applyNumberFormat="0" applyFill="0" applyAlignment="0" applyProtection="0"/>
    <xf numFmtId="0" fontId="36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36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36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36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36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36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</cellStyleXfs>
  <cellXfs count="185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3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5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4" borderId="10" xfId="1" applyFont="1" applyFill="1" applyBorder="1" applyAlignment="1">
      <alignment horizontal="right"/>
    </xf>
    <xf numFmtId="0" fontId="2" fillId="4" borderId="2" xfId="1" applyFont="1" applyFill="1" applyBorder="1" applyAlignment="1">
      <alignment horizontal="right"/>
    </xf>
    <xf numFmtId="49" fontId="3" fillId="4" borderId="1" xfId="1" applyNumberFormat="1" applyFont="1" applyFill="1" applyBorder="1" applyAlignment="1">
      <alignment horizontal="center"/>
    </xf>
    <xf numFmtId="0" fontId="3" fillId="4" borderId="32" xfId="1" applyFont="1" applyFill="1" applyBorder="1" applyAlignment="1">
      <alignment horizontal="right"/>
    </xf>
    <xf numFmtId="0" fontId="3" fillId="4" borderId="2" xfId="1" applyFont="1" applyFill="1" applyBorder="1" applyAlignment="1">
      <alignment horizontal="right"/>
    </xf>
    <xf numFmtId="14" fontId="6" fillId="4" borderId="0" xfId="2" applyNumberFormat="1" applyFont="1" applyFill="1" applyAlignment="1">
      <alignment horizontal="center" vertical="center" wrapText="1"/>
    </xf>
    <xf numFmtId="0" fontId="2" fillId="5" borderId="9" xfId="3" applyFont="1" applyFill="1" applyBorder="1" applyAlignment="1">
      <alignment horizontal="center" vertical="center" wrapText="1"/>
    </xf>
    <xf numFmtId="1" fontId="2" fillId="5" borderId="26" xfId="3" applyNumberFormat="1" applyFont="1" applyFill="1" applyBorder="1" applyAlignment="1">
      <alignment horizontal="center"/>
    </xf>
    <xf numFmtId="1" fontId="2" fillId="5" borderId="26" xfId="3" applyNumberFormat="1" applyFont="1" applyFill="1" applyBorder="1" applyAlignment="1">
      <alignment horizontal="center" wrapText="1"/>
    </xf>
    <xf numFmtId="0" fontId="2" fillId="5" borderId="39" xfId="3" applyFont="1" applyFill="1" applyBorder="1" applyAlignment="1">
      <alignment horizontal="center"/>
    </xf>
    <xf numFmtId="0" fontId="13" fillId="0" borderId="3" xfId="3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14" fillId="0" borderId="2" xfId="3" applyFont="1" applyBorder="1" applyAlignment="1">
      <alignment vertical="center"/>
    </xf>
    <xf numFmtId="0" fontId="13" fillId="0" borderId="2" xfId="3" applyFont="1" applyBorder="1" applyAlignment="1">
      <alignment horizontal="center" vertical="center"/>
    </xf>
    <xf numFmtId="1" fontId="13" fillId="0" borderId="2" xfId="3" applyNumberFormat="1" applyFont="1" applyBorder="1" applyAlignment="1">
      <alignment horizontal="center"/>
    </xf>
    <xf numFmtId="1" fontId="13" fillId="0" borderId="2" xfId="3" applyNumberFormat="1" applyFont="1" applyBorder="1" applyAlignment="1">
      <alignment horizontal="center" wrapText="1"/>
    </xf>
    <xf numFmtId="0" fontId="5" fillId="0" borderId="1" xfId="3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3" fillId="0" borderId="32" xfId="3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0" fontId="0" fillId="0" borderId="2" xfId="4" applyFont="1" applyBorder="1" applyAlignment="1">
      <alignment horizontal="center"/>
    </xf>
    <xf numFmtId="164" fontId="12" fillId="0" borderId="32" xfId="0" applyNumberFormat="1" applyFont="1" applyBorder="1" applyAlignment="1">
      <alignment horizont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1" fontId="5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 wrapText="1"/>
    </xf>
    <xf numFmtId="16" fontId="12" fillId="0" borderId="2" xfId="3" applyNumberFormat="1" applyBorder="1" applyAlignment="1">
      <alignment horizontal="center"/>
    </xf>
    <xf numFmtId="1" fontId="12" fillId="0" borderId="0" xfId="3" applyNumberFormat="1" applyAlignment="1">
      <alignment horizontal="center"/>
    </xf>
    <xf numFmtId="1" fontId="12" fillId="0" borderId="0" xfId="3" applyNumberFormat="1" applyAlignment="1">
      <alignment horizontal="center" wrapText="1"/>
    </xf>
    <xf numFmtId="2" fontId="3" fillId="0" borderId="32" xfId="3" applyNumberFormat="1" applyFont="1" applyBorder="1" applyAlignment="1">
      <alignment horizontal="center"/>
    </xf>
    <xf numFmtId="0" fontId="0" fillId="6" borderId="2" xfId="0" applyFill="1" applyBorder="1"/>
    <xf numFmtId="1" fontId="5" fillId="0" borderId="2" xfId="3" applyNumberFormat="1" applyFont="1" applyBorder="1" applyAlignment="1">
      <alignment horizontal="center"/>
    </xf>
    <xf numFmtId="1" fontId="5" fillId="0" borderId="2" xfId="3" applyNumberFormat="1" applyFont="1" applyBorder="1" applyAlignment="1">
      <alignment horizontal="center" wrapText="1"/>
    </xf>
    <xf numFmtId="0" fontId="12" fillId="0" borderId="32" xfId="3" applyBorder="1" applyAlignment="1">
      <alignment horizontal="center"/>
    </xf>
    <xf numFmtId="49" fontId="5" fillId="0" borderId="3" xfId="3" applyNumberFormat="1" applyFont="1" applyBorder="1" applyAlignment="1">
      <alignment horizontal="center"/>
    </xf>
    <xf numFmtId="49" fontId="5" fillId="0" borderId="8" xfId="3" applyNumberFormat="1" applyFont="1" applyBorder="1" applyAlignment="1">
      <alignment horizontal="center"/>
    </xf>
    <xf numFmtId="0" fontId="15" fillId="6" borderId="2" xfId="3" applyFont="1" applyFill="1" applyBorder="1" applyAlignment="1">
      <alignment horizontal="left"/>
    </xf>
    <xf numFmtId="0" fontId="5" fillId="0" borderId="2" xfId="3" applyFont="1" applyBorder="1" applyAlignment="1">
      <alignment horizontal="center"/>
    </xf>
    <xf numFmtId="165" fontId="5" fillId="0" borderId="2" xfId="3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5" fillId="6" borderId="2" xfId="0" applyNumberFormat="1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1" fontId="16" fillId="0" borderId="2" xfId="0" applyNumberFormat="1" applyFont="1" applyBorder="1" applyAlignment="1">
      <alignment horizontal="center" wrapText="1"/>
    </xf>
    <xf numFmtId="16" fontId="5" fillId="0" borderId="2" xfId="0" applyNumberFormat="1" applyFont="1" applyBorder="1" applyAlignment="1">
      <alignment horizontal="center"/>
    </xf>
    <xf numFmtId="1" fontId="5" fillId="0" borderId="2" xfId="5" applyNumberFormat="1" applyFont="1" applyBorder="1" applyAlignment="1">
      <alignment horizontal="center"/>
    </xf>
    <xf numFmtId="1" fontId="5" fillId="0" borderId="2" xfId="5" applyNumberFormat="1" applyFont="1" applyBorder="1" applyAlignment="1">
      <alignment horizontal="center" wrapText="1"/>
    </xf>
    <xf numFmtId="49" fontId="13" fillId="0" borderId="17" xfId="3" applyNumberFormat="1" applyFont="1" applyBorder="1" applyAlignment="1">
      <alignment horizontal="center"/>
    </xf>
    <xf numFmtId="49" fontId="13" fillId="0" borderId="16" xfId="3" applyNumberFormat="1" applyFont="1" applyBorder="1" applyAlignment="1">
      <alignment horizontal="center"/>
    </xf>
    <xf numFmtId="0" fontId="17" fillId="6" borderId="2" xfId="3" applyFont="1" applyFill="1" applyBorder="1" applyAlignment="1">
      <alignment vertical="center"/>
    </xf>
    <xf numFmtId="0" fontId="13" fillId="0" borderId="8" xfId="3" applyFont="1" applyBorder="1" applyAlignment="1">
      <alignment horizontal="center"/>
    </xf>
    <xf numFmtId="2" fontId="5" fillId="0" borderId="2" xfId="3" applyNumberFormat="1" applyFont="1" applyBorder="1" applyAlignment="1">
      <alignment horizontal="center"/>
    </xf>
    <xf numFmtId="12" fontId="5" fillId="0" borderId="2" xfId="3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49" fontId="18" fillId="0" borderId="2" xfId="3" applyNumberFormat="1" applyFont="1" applyBorder="1"/>
    <xf numFmtId="0" fontId="16" fillId="0" borderId="2" xfId="3" applyFont="1" applyBorder="1" applyAlignment="1">
      <alignment horizontal="center"/>
    </xf>
    <xf numFmtId="49" fontId="19" fillId="4" borderId="37" xfId="3" applyNumberFormat="1" applyFont="1" applyFill="1" applyBorder="1" applyAlignment="1">
      <alignment horizontal="center" vertical="center"/>
    </xf>
    <xf numFmtId="49" fontId="19" fillId="4" borderId="0" xfId="3" applyNumberFormat="1" applyFont="1" applyFill="1" applyAlignment="1">
      <alignment horizontal="center" vertical="center"/>
    </xf>
    <xf numFmtId="0" fontId="3" fillId="4" borderId="0" xfId="3" applyFont="1" applyFill="1"/>
    <xf numFmtId="1" fontId="3" fillId="4" borderId="0" xfId="3" applyNumberFormat="1" applyFont="1" applyFill="1" applyAlignment="1">
      <alignment horizontal="center"/>
    </xf>
    <xf numFmtId="166" fontId="3" fillId="4" borderId="0" xfId="3" applyNumberFormat="1" applyFont="1" applyFill="1" applyAlignment="1">
      <alignment horizontal="center" wrapText="1"/>
    </xf>
    <xf numFmtId="0" fontId="3" fillId="4" borderId="43" xfId="3" applyFont="1" applyFill="1" applyBorder="1" applyAlignment="1">
      <alignment horizontal="center"/>
    </xf>
    <xf numFmtId="0" fontId="3" fillId="5" borderId="23" xfId="3" applyFont="1" applyFill="1" applyBorder="1" applyAlignment="1">
      <alignment horizontal="center"/>
    </xf>
    <xf numFmtId="0" fontId="3" fillId="5" borderId="22" xfId="3" applyFont="1" applyFill="1" applyBorder="1" applyAlignment="1">
      <alignment horizontal="center"/>
    </xf>
    <xf numFmtId="0" fontId="3" fillId="5" borderId="22" xfId="3" applyFont="1" applyFill="1" applyBorder="1"/>
    <xf numFmtId="0" fontId="2" fillId="5" borderId="22" xfId="3" applyFont="1" applyFill="1" applyBorder="1" applyAlignment="1">
      <alignment horizontal="center"/>
    </xf>
    <xf numFmtId="1" fontId="2" fillId="5" borderId="22" xfId="3" applyNumberFormat="1" applyFont="1" applyFill="1" applyBorder="1" applyAlignment="1">
      <alignment horizontal="center"/>
    </xf>
    <xf numFmtId="166" fontId="3" fillId="5" borderId="22" xfId="3" applyNumberFormat="1" applyFont="1" applyFill="1" applyBorder="1" applyAlignment="1">
      <alignment horizontal="center" wrapText="1"/>
    </xf>
    <xf numFmtId="0" fontId="3" fillId="5" borderId="21" xfId="3" applyFont="1" applyFill="1" applyBorder="1" applyAlignment="1">
      <alignment horizontal="center"/>
    </xf>
    <xf numFmtId="1" fontId="12" fillId="0" borderId="32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14" fontId="3" fillId="4" borderId="4" xfId="1" applyNumberFormat="1" applyFont="1" applyFill="1" applyBorder="1" applyAlignment="1">
      <alignment horizontal="center" vertical="center" wrapText="1"/>
    </xf>
    <xf numFmtId="14" fontId="3" fillId="4" borderId="40" xfId="1" applyNumberFormat="1" applyFont="1" applyFill="1" applyBorder="1" applyAlignment="1">
      <alignment horizontal="center" vertical="center" wrapText="1"/>
    </xf>
    <xf numFmtId="14" fontId="3" fillId="4" borderId="34" xfId="1" applyNumberFormat="1" applyFont="1" applyFill="1" applyBorder="1" applyAlignment="1">
      <alignment horizontal="center" vertical="center" wrapText="1"/>
    </xf>
    <xf numFmtId="0" fontId="3" fillId="4" borderId="30" xfId="1" applyFont="1" applyFill="1" applyBorder="1" applyAlignment="1">
      <alignment horizontal="left"/>
    </xf>
    <xf numFmtId="0" fontId="3" fillId="4" borderId="19" xfId="1" applyFont="1" applyFill="1" applyBorder="1" applyAlignment="1">
      <alignment horizontal="left"/>
    </xf>
    <xf numFmtId="0" fontId="3" fillId="4" borderId="11" xfId="1" applyFont="1" applyFill="1" applyBorder="1" applyAlignment="1">
      <alignment horizontal="left"/>
    </xf>
    <xf numFmtId="0" fontId="3" fillId="4" borderId="29" xfId="1" applyFont="1" applyFill="1" applyBorder="1" applyAlignment="1">
      <alignment horizontal="left"/>
    </xf>
    <xf numFmtId="0" fontId="3" fillId="4" borderId="16" xfId="1" applyFont="1" applyFill="1" applyBorder="1" applyAlignment="1">
      <alignment horizontal="left"/>
    </xf>
    <xf numFmtId="0" fontId="3" fillId="4" borderId="8" xfId="1" applyFont="1" applyFill="1" applyBorder="1" applyAlignment="1">
      <alignment horizontal="left"/>
    </xf>
    <xf numFmtId="0" fontId="3" fillId="4" borderId="14" xfId="1" applyFont="1" applyFill="1" applyBorder="1" applyAlignment="1">
      <alignment horizontal="center"/>
    </xf>
    <xf numFmtId="0" fontId="3" fillId="4" borderId="13" xfId="1" applyFont="1" applyFill="1" applyBorder="1" applyAlignment="1">
      <alignment horizontal="center"/>
    </xf>
    <xf numFmtId="0" fontId="3" fillId="4" borderId="37" xfId="1" applyFont="1" applyFill="1" applyBorder="1" applyAlignment="1">
      <alignment horizontal="center"/>
    </xf>
    <xf numFmtId="0" fontId="3" fillId="4" borderId="0" xfId="1" applyFont="1" applyFill="1" applyAlignment="1">
      <alignment horizontal="center"/>
    </xf>
    <xf numFmtId="0" fontId="3" fillId="4" borderId="38" xfId="1" applyFont="1" applyFill="1" applyBorder="1" applyAlignment="1">
      <alignment horizontal="center"/>
    </xf>
    <xf numFmtId="0" fontId="3" fillId="4" borderId="36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2" fillId="4" borderId="6" xfId="1" applyFont="1" applyFill="1" applyBorder="1" applyAlignment="1">
      <alignment horizontal="right" vertical="top" wrapText="1"/>
    </xf>
    <xf numFmtId="0" fontId="2" fillId="4" borderId="41" xfId="1" applyFont="1" applyFill="1" applyBorder="1" applyAlignment="1">
      <alignment horizontal="right" vertical="top" wrapText="1"/>
    </xf>
    <xf numFmtId="0" fontId="2" fillId="4" borderId="45" xfId="1" applyFont="1" applyFill="1" applyBorder="1" applyAlignment="1">
      <alignment horizontal="right" vertical="top" wrapText="1"/>
    </xf>
    <xf numFmtId="0" fontId="11" fillId="4" borderId="0" xfId="2" applyFont="1" applyFill="1" applyAlignment="1">
      <alignment horizontal="right"/>
    </xf>
    <xf numFmtId="0" fontId="6" fillId="4" borderId="33" xfId="2" applyFont="1" applyFill="1" applyBorder="1" applyAlignment="1">
      <alignment horizontal="center"/>
    </xf>
    <xf numFmtId="0" fontId="11" fillId="4" borderId="0" xfId="2" applyFont="1" applyFill="1"/>
    <xf numFmtId="0" fontId="2" fillId="5" borderId="12" xfId="3" applyFont="1" applyFill="1" applyBorder="1" applyAlignment="1">
      <alignment horizontal="center" vertical="center"/>
    </xf>
    <xf numFmtId="0" fontId="2" fillId="5" borderId="46" xfId="3" applyFont="1" applyFill="1" applyBorder="1" applyAlignment="1">
      <alignment horizontal="center" vertical="center"/>
    </xf>
    <xf numFmtId="0" fontId="2" fillId="5" borderId="12" xfId="3" applyFont="1" applyFill="1" applyBorder="1" applyAlignment="1">
      <alignment horizontal="center" vertical="center" wrapText="1"/>
    </xf>
    <xf numFmtId="0" fontId="2" fillId="5" borderId="46" xfId="3" applyFont="1" applyFill="1" applyBorder="1" applyAlignment="1">
      <alignment horizontal="center" vertical="center" wrapText="1"/>
    </xf>
    <xf numFmtId="0" fontId="2" fillId="5" borderId="10" xfId="3" applyFont="1" applyFill="1" applyBorder="1" applyAlignment="1">
      <alignment horizontal="center" vertical="center"/>
    </xf>
    <xf numFmtId="0" fontId="2" fillId="5" borderId="26" xfId="3" applyFont="1" applyFill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2" fillId="0" borderId="38" xfId="3" applyFont="1" applyBorder="1" applyAlignment="1">
      <alignment horizontal="right"/>
    </xf>
    <xf numFmtId="0" fontId="2" fillId="0" borderId="36" xfId="3" applyFont="1" applyBorder="1" applyAlignment="1">
      <alignment horizontal="right"/>
    </xf>
    <xf numFmtId="0" fontId="2" fillId="0" borderId="35" xfId="3" applyFont="1" applyBorder="1" applyAlignment="1">
      <alignment horizontal="right"/>
    </xf>
    <xf numFmtId="166" fontId="3" fillId="0" borderId="32" xfId="3" applyNumberFormat="1" applyFont="1" applyBorder="1" applyAlignment="1">
      <alignment horizontal="right"/>
    </xf>
    <xf numFmtId="0" fontId="3" fillId="4" borderId="31" xfId="3" applyFont="1" applyFill="1" applyBorder="1" applyAlignment="1">
      <alignment horizontal="center"/>
    </xf>
    <xf numFmtId="0" fontId="3" fillId="4" borderId="49" xfId="3" applyFont="1" applyFill="1" applyBorder="1" applyAlignment="1">
      <alignment horizontal="center"/>
    </xf>
    <xf numFmtId="0" fontId="2" fillId="0" borderId="17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0" fontId="2" fillId="0" borderId="8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166" fontId="3" fillId="0" borderId="29" xfId="3" applyNumberFormat="1" applyFont="1" applyBorder="1" applyAlignment="1">
      <alignment horizontal="center"/>
    </xf>
    <xf numFmtId="166" fontId="3" fillId="0" borderId="15" xfId="3" applyNumberFormat="1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66" fontId="3" fillId="0" borderId="29" xfId="3" applyNumberFormat="1" applyFont="1" applyBorder="1" applyAlignment="1">
      <alignment horizontal="right" wrapText="1"/>
    </xf>
    <xf numFmtId="166" fontId="3" fillId="0" borderId="8" xfId="3" applyNumberFormat="1" applyFont="1" applyBorder="1" applyAlignment="1">
      <alignment horizontal="right" wrapText="1"/>
    </xf>
    <xf numFmtId="0" fontId="2" fillId="0" borderId="46" xfId="3" applyFont="1" applyBorder="1" applyAlignment="1">
      <alignment horizontal="right"/>
    </xf>
    <xf numFmtId="0" fontId="2" fillId="0" borderId="24" xfId="3" applyFont="1" applyBorder="1" applyAlignment="1">
      <alignment horizontal="right"/>
    </xf>
    <xf numFmtId="0" fontId="2" fillId="0" borderId="26" xfId="3" applyFont="1" applyBorder="1" applyAlignment="1">
      <alignment horizontal="right"/>
    </xf>
    <xf numFmtId="0" fontId="3" fillId="0" borderId="26" xfId="3" applyFont="1" applyBorder="1" applyAlignment="1">
      <alignment horizontal="right"/>
    </xf>
    <xf numFmtId="166" fontId="3" fillId="0" borderId="25" xfId="3" applyNumberFormat="1" applyFont="1" applyBorder="1" applyAlignment="1">
      <alignment horizontal="center"/>
    </xf>
    <xf numFmtId="166" fontId="3" fillId="0" borderId="44" xfId="3" applyNumberFormat="1" applyFont="1" applyBorder="1" applyAlignment="1">
      <alignment horizontal="center"/>
    </xf>
    <xf numFmtId="0" fontId="2" fillId="5" borderId="23" xfId="3" applyFont="1" applyFill="1" applyBorder="1" applyAlignment="1">
      <alignment horizontal="left"/>
    </xf>
    <xf numFmtId="0" fontId="2" fillId="5" borderId="22" xfId="3" applyFont="1" applyFill="1" applyBorder="1" applyAlignment="1">
      <alignment horizontal="left"/>
    </xf>
    <xf numFmtId="0" fontId="2" fillId="5" borderId="21" xfId="3" applyFont="1" applyFill="1" applyBorder="1" applyAlignment="1">
      <alignment horizontal="left"/>
    </xf>
    <xf numFmtId="0" fontId="2" fillId="0" borderId="20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3" fillId="4" borderId="51" xfId="1" applyFont="1" applyFill="1" applyBorder="1" applyAlignment="1">
      <alignment horizontal="left"/>
    </xf>
    <xf numFmtId="0" fontId="3" fillId="4" borderId="0" xfId="1" applyFont="1" applyFill="1" applyAlignment="1">
      <alignment horizontal="left"/>
    </xf>
    <xf numFmtId="0" fontId="3" fillId="0" borderId="17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3" fillId="0" borderId="42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28" xfId="3" applyFont="1" applyBorder="1" applyAlignment="1">
      <alignment horizontal="left"/>
    </xf>
    <xf numFmtId="0" fontId="3" fillId="0" borderId="27" xfId="3" applyFont="1" applyBorder="1" applyAlignment="1">
      <alignment horizontal="left"/>
    </xf>
    <xf numFmtId="0" fontId="3" fillId="0" borderId="44" xfId="3" applyFont="1" applyBorder="1" applyAlignment="1">
      <alignment horizontal="left"/>
    </xf>
    <xf numFmtId="0" fontId="2" fillId="7" borderId="50" xfId="1" applyFont="1" applyFill="1" applyBorder="1" applyAlignment="1">
      <alignment horizontal="center"/>
    </xf>
    <xf numFmtId="0" fontId="2" fillId="7" borderId="13" xfId="1" applyFont="1" applyFill="1" applyBorder="1" applyAlignment="1">
      <alignment horizont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Neutral" xfId="13" builtinId="28" customBuiltin="1"/>
    <cellStyle name="Normal" xfId="0" builtinId="0"/>
    <cellStyle name="Normal 2" xfId="3" xr:uid="{961F391F-7741-44AC-A161-33112BA653E9}"/>
    <cellStyle name="Normal 3 2" xfId="5" xr:uid="{6CF66B61-3EF4-42DB-A87E-778A6A2C6241}"/>
    <cellStyle name="Normal 5" xfId="4" xr:uid="{F351D062-5C68-496E-92E5-9849058CA5CF}"/>
    <cellStyle name="Normal_CRITERIOS DE EVALUACION PT DE GB" xfId="1" xr:uid="{D620D523-81C8-4588-A011-1A269F92A8EE}"/>
    <cellStyle name="Normal_CRITERIOS DE EVALUACION PT DE GB 2" xfId="2" xr:uid="{809E9DC5-CDF7-43B6-A658-80496C36EE10}"/>
    <cellStyle name="Notas" xfId="20" builtinId="10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65A2-52A4-45F0-ADCC-FE7B9AA8A7FD}">
  <dimension ref="A1:I59"/>
  <sheetViews>
    <sheetView tabSelected="1" view="pageBreakPreview" zoomScale="60" zoomScaleNormal="85" workbookViewId="0">
      <selection activeCell="Q11" sqref="Q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14"/>
      <c r="B1" s="115"/>
      <c r="C1" s="120" t="s">
        <v>66</v>
      </c>
      <c r="D1" s="120"/>
      <c r="E1" s="120"/>
      <c r="F1" s="120"/>
      <c r="G1" s="120"/>
      <c r="H1" s="24" t="s">
        <v>65</v>
      </c>
      <c r="I1" s="23" t="s">
        <v>85</v>
      </c>
    </row>
    <row r="2" spans="1:9" ht="16.5" thickBot="1" x14ac:dyDescent="0.3">
      <c r="A2" s="116"/>
      <c r="B2" s="117"/>
      <c r="C2" s="121" t="s">
        <v>64</v>
      </c>
      <c r="D2" s="121"/>
      <c r="E2" s="121"/>
      <c r="F2" s="121"/>
      <c r="G2" s="121"/>
      <c r="H2" s="25" t="s">
        <v>63</v>
      </c>
      <c r="I2" s="26" t="s">
        <v>148</v>
      </c>
    </row>
    <row r="3" spans="1:9" ht="16.149999999999999" customHeight="1" thickBot="1" x14ac:dyDescent="0.3">
      <c r="A3" s="116"/>
      <c r="B3" s="117"/>
      <c r="C3" s="122" t="s">
        <v>194</v>
      </c>
      <c r="D3" s="123"/>
      <c r="E3" s="123"/>
      <c r="F3" s="123"/>
      <c r="G3" s="124"/>
      <c r="H3" s="125" t="s">
        <v>62</v>
      </c>
      <c r="I3" s="105">
        <v>45687</v>
      </c>
    </row>
    <row r="4" spans="1:9" x14ac:dyDescent="0.25">
      <c r="A4" s="116"/>
      <c r="B4" s="117"/>
      <c r="C4" s="27" t="s">
        <v>61</v>
      </c>
      <c r="D4" s="108" t="s">
        <v>84</v>
      </c>
      <c r="E4" s="109"/>
      <c r="F4" s="109"/>
      <c r="G4" s="110"/>
      <c r="H4" s="126"/>
      <c r="I4" s="106"/>
    </row>
    <row r="5" spans="1:9" ht="15.75" thickBot="1" x14ac:dyDescent="0.3">
      <c r="A5" s="118"/>
      <c r="B5" s="119"/>
      <c r="C5" s="28" t="s">
        <v>60</v>
      </c>
      <c r="D5" s="111" t="s">
        <v>70</v>
      </c>
      <c r="E5" s="112"/>
      <c r="F5" s="112"/>
      <c r="G5" s="113"/>
      <c r="H5" s="127"/>
      <c r="I5" s="107"/>
    </row>
    <row r="6" spans="1:9" ht="18.75" thickBot="1" x14ac:dyDescent="0.3">
      <c r="A6" s="128" t="s">
        <v>59</v>
      </c>
      <c r="B6" s="128"/>
      <c r="C6" s="128"/>
      <c r="D6" s="129" t="s">
        <v>71</v>
      </c>
      <c r="E6" s="129"/>
      <c r="F6" s="129"/>
      <c r="G6" s="130" t="s">
        <v>58</v>
      </c>
      <c r="H6" s="130"/>
      <c r="I6" s="29" t="s">
        <v>71</v>
      </c>
    </row>
    <row r="7" spans="1:9" x14ac:dyDescent="0.25">
      <c r="A7" s="131" t="s">
        <v>57</v>
      </c>
      <c r="B7" s="133" t="s">
        <v>72</v>
      </c>
      <c r="C7" s="135" t="s">
        <v>56</v>
      </c>
      <c r="D7" s="135" t="s">
        <v>55</v>
      </c>
      <c r="E7" s="135" t="s">
        <v>54</v>
      </c>
      <c r="F7" s="135"/>
      <c r="G7" s="135" t="s">
        <v>53</v>
      </c>
      <c r="H7" s="135"/>
      <c r="I7" s="30" t="s">
        <v>52</v>
      </c>
    </row>
    <row r="8" spans="1:9" ht="27" thickBot="1" x14ac:dyDescent="0.3">
      <c r="A8" s="132"/>
      <c r="B8" s="134"/>
      <c r="C8" s="136"/>
      <c r="D8" s="136"/>
      <c r="E8" s="31" t="s">
        <v>16</v>
      </c>
      <c r="F8" s="32" t="s">
        <v>51</v>
      </c>
      <c r="G8" s="31" t="s">
        <v>16</v>
      </c>
      <c r="H8" s="32" t="s">
        <v>51</v>
      </c>
      <c r="I8" s="33" t="s">
        <v>50</v>
      </c>
    </row>
    <row r="9" spans="1:9" x14ac:dyDescent="0.25">
      <c r="A9" s="34"/>
      <c r="B9" s="35"/>
      <c r="C9" s="36" t="s">
        <v>73</v>
      </c>
      <c r="D9" s="37"/>
      <c r="E9" s="38"/>
      <c r="F9" s="39"/>
      <c r="G9" s="38"/>
      <c r="H9" s="39"/>
      <c r="I9" s="40"/>
    </row>
    <row r="10" spans="1:9" ht="16.149999999999999" customHeight="1" x14ac:dyDescent="0.25">
      <c r="A10" s="10">
        <v>11400066</v>
      </c>
      <c r="B10" s="9" t="s">
        <v>49</v>
      </c>
      <c r="C10" s="8" t="s">
        <v>48</v>
      </c>
      <c r="D10" s="7" t="s">
        <v>47</v>
      </c>
      <c r="E10" s="7">
        <v>10</v>
      </c>
      <c r="F10" s="7" t="s">
        <v>3</v>
      </c>
      <c r="G10" s="41"/>
      <c r="H10" s="42" t="s">
        <v>87</v>
      </c>
      <c r="I10" s="40"/>
    </row>
    <row r="11" spans="1:9" ht="16.5" x14ac:dyDescent="0.25">
      <c r="A11" s="10"/>
      <c r="B11" s="9" t="s">
        <v>193</v>
      </c>
      <c r="C11" s="8" t="s">
        <v>89</v>
      </c>
      <c r="D11" s="7" t="s">
        <v>37</v>
      </c>
      <c r="E11" s="7">
        <v>85</v>
      </c>
      <c r="F11" s="7" t="s">
        <v>3</v>
      </c>
      <c r="G11" s="41"/>
      <c r="H11" s="43"/>
      <c r="I11" s="40"/>
    </row>
    <row r="12" spans="1:9" ht="16.5" x14ac:dyDescent="0.3">
      <c r="A12" s="10">
        <v>20100163</v>
      </c>
      <c r="B12" s="9" t="s">
        <v>46</v>
      </c>
      <c r="C12" s="8" t="s">
        <v>68</v>
      </c>
      <c r="D12" s="7" t="s">
        <v>37</v>
      </c>
      <c r="E12" s="12">
        <v>30</v>
      </c>
      <c r="F12" s="12" t="s">
        <v>3</v>
      </c>
      <c r="G12" s="44"/>
      <c r="H12" s="45" t="s">
        <v>74</v>
      </c>
      <c r="I12" s="40"/>
    </row>
    <row r="13" spans="1:9" ht="16.5" x14ac:dyDescent="0.3">
      <c r="A13" s="14">
        <v>905000001</v>
      </c>
      <c r="B13" s="16" t="s">
        <v>45</v>
      </c>
      <c r="C13" s="4" t="s">
        <v>44</v>
      </c>
      <c r="D13" s="7" t="s">
        <v>37</v>
      </c>
      <c r="E13" s="12">
        <v>20</v>
      </c>
      <c r="F13" s="12" t="s">
        <v>3</v>
      </c>
      <c r="G13" s="44"/>
      <c r="H13" s="45" t="s">
        <v>75</v>
      </c>
      <c r="I13" s="40"/>
    </row>
    <row r="14" spans="1:9" ht="16.5" x14ac:dyDescent="0.3">
      <c r="A14" s="22">
        <v>90100401</v>
      </c>
      <c r="B14" s="21" t="s">
        <v>43</v>
      </c>
      <c r="C14" s="20" t="s">
        <v>42</v>
      </c>
      <c r="D14" s="12" t="s">
        <v>37</v>
      </c>
      <c r="E14" s="12">
        <v>20</v>
      </c>
      <c r="F14" s="12" t="s">
        <v>3</v>
      </c>
      <c r="G14" s="44"/>
      <c r="H14" s="45" t="s">
        <v>76</v>
      </c>
      <c r="I14" s="40"/>
    </row>
    <row r="15" spans="1:9" ht="16.5" x14ac:dyDescent="0.3">
      <c r="A15" s="14">
        <v>902000066</v>
      </c>
      <c r="B15" s="16" t="s">
        <v>41</v>
      </c>
      <c r="C15" s="4" t="s">
        <v>40</v>
      </c>
      <c r="D15" s="7"/>
      <c r="E15" s="12">
        <v>5</v>
      </c>
      <c r="F15" s="12" t="s">
        <v>3</v>
      </c>
      <c r="G15" s="46"/>
      <c r="H15" s="45" t="s">
        <v>76</v>
      </c>
      <c r="I15" s="40"/>
    </row>
    <row r="16" spans="1:9" x14ac:dyDescent="0.25">
      <c r="A16" s="47"/>
      <c r="B16" s="48"/>
      <c r="C16" s="49"/>
      <c r="D16" s="42"/>
      <c r="E16" s="41"/>
      <c r="F16" s="50"/>
      <c r="G16" s="46"/>
      <c r="H16" s="45"/>
      <c r="I16" s="40"/>
    </row>
    <row r="17" spans="1:9" x14ac:dyDescent="0.25">
      <c r="A17" s="51"/>
      <c r="B17" s="51"/>
      <c r="C17" s="52"/>
      <c r="D17" s="53"/>
      <c r="E17" s="54"/>
      <c r="F17" s="55"/>
      <c r="G17" s="46"/>
      <c r="H17" s="45"/>
      <c r="I17" s="40"/>
    </row>
    <row r="18" spans="1:9" x14ac:dyDescent="0.25">
      <c r="A18" s="16"/>
      <c r="B18" s="16"/>
      <c r="C18" s="15"/>
      <c r="D18" s="56"/>
      <c r="E18" s="57"/>
      <c r="F18" s="58"/>
      <c r="G18" s="59"/>
      <c r="H18" s="45"/>
      <c r="I18" s="40"/>
    </row>
    <row r="19" spans="1:9" x14ac:dyDescent="0.25">
      <c r="A19" s="16"/>
      <c r="B19" s="16"/>
      <c r="C19" s="60"/>
      <c r="D19" s="61"/>
      <c r="E19" s="61"/>
      <c r="F19" s="62"/>
      <c r="G19" s="38"/>
      <c r="H19" s="63"/>
      <c r="I19" s="40"/>
    </row>
    <row r="20" spans="1:9" ht="15.75" x14ac:dyDescent="0.25">
      <c r="A20" s="64"/>
      <c r="B20" s="65"/>
      <c r="C20" s="66" t="s">
        <v>77</v>
      </c>
      <c r="D20" s="67" t="s">
        <v>78</v>
      </c>
      <c r="E20" s="68"/>
      <c r="F20" s="62"/>
      <c r="G20" s="38"/>
      <c r="H20" s="63"/>
      <c r="I20" s="40"/>
    </row>
    <row r="21" spans="1:9" ht="16.5" x14ac:dyDescent="0.3">
      <c r="A21" s="10">
        <v>95718</v>
      </c>
      <c r="B21" s="9" t="s">
        <v>39</v>
      </c>
      <c r="C21" s="8" t="s">
        <v>38</v>
      </c>
      <c r="D21" s="7" t="s">
        <v>37</v>
      </c>
      <c r="E21" s="12">
        <v>35</v>
      </c>
      <c r="F21" s="12" t="s">
        <v>3</v>
      </c>
      <c r="G21" s="59"/>
      <c r="H21" s="59" t="s">
        <v>79</v>
      </c>
      <c r="I21" s="40"/>
    </row>
    <row r="22" spans="1:9" ht="16.5" x14ac:dyDescent="0.3">
      <c r="A22" s="10">
        <v>95719</v>
      </c>
      <c r="B22" s="9" t="s">
        <v>35</v>
      </c>
      <c r="C22" s="8" t="s">
        <v>38</v>
      </c>
      <c r="D22" s="7" t="s">
        <v>37</v>
      </c>
      <c r="E22" s="12">
        <v>10</v>
      </c>
      <c r="F22" s="12"/>
      <c r="G22" s="59"/>
      <c r="H22" s="59" t="s">
        <v>88</v>
      </c>
      <c r="I22" s="40"/>
    </row>
    <row r="23" spans="1:9" ht="16.5" x14ac:dyDescent="0.3">
      <c r="A23" s="19" t="s">
        <v>36</v>
      </c>
      <c r="B23" s="18" t="s">
        <v>35</v>
      </c>
      <c r="C23" t="s">
        <v>34</v>
      </c>
      <c r="D23" s="1"/>
      <c r="E23" s="12">
        <v>20</v>
      </c>
      <c r="F23" s="12" t="s">
        <v>3</v>
      </c>
      <c r="G23" s="41"/>
      <c r="H23" s="42" t="s">
        <v>76</v>
      </c>
      <c r="I23" s="40"/>
    </row>
    <row r="24" spans="1:9" ht="16.5" x14ac:dyDescent="0.3">
      <c r="A24" s="17" t="s">
        <v>33</v>
      </c>
      <c r="B24" s="16" t="s">
        <v>32</v>
      </c>
      <c r="C24" s="15" t="s">
        <v>31</v>
      </c>
      <c r="D24" s="12"/>
      <c r="E24" s="12">
        <v>1</v>
      </c>
      <c r="F24" s="13" t="s">
        <v>8</v>
      </c>
      <c r="G24" s="137"/>
      <c r="H24" s="138"/>
      <c r="I24" s="40"/>
    </row>
    <row r="25" spans="1:9" ht="15.75" x14ac:dyDescent="0.25">
      <c r="A25" s="16"/>
      <c r="B25" s="69"/>
      <c r="D25" s="70"/>
      <c r="E25" s="71"/>
      <c r="F25" s="72"/>
      <c r="G25" s="38"/>
      <c r="H25" s="63"/>
      <c r="I25" s="40"/>
    </row>
    <row r="26" spans="1:9" x14ac:dyDescent="0.25">
      <c r="A26" s="16"/>
      <c r="B26" s="16"/>
      <c r="C26" s="60"/>
      <c r="D26" s="73" t="s">
        <v>78</v>
      </c>
      <c r="E26" s="74"/>
      <c r="F26" s="75"/>
      <c r="G26" s="38"/>
      <c r="H26" s="63"/>
      <c r="I26" s="40"/>
    </row>
    <row r="27" spans="1:9" ht="15.75" x14ac:dyDescent="0.25">
      <c r="A27" s="76"/>
      <c r="B27" s="77"/>
      <c r="C27" s="78" t="s">
        <v>80</v>
      </c>
      <c r="D27" s="79" t="s">
        <v>78</v>
      </c>
      <c r="E27" s="38"/>
      <c r="F27" s="39"/>
      <c r="G27" s="38"/>
      <c r="H27" s="63"/>
      <c r="I27" s="40"/>
    </row>
    <row r="28" spans="1:9" ht="16.5" x14ac:dyDescent="0.3">
      <c r="A28" s="10">
        <v>51400047</v>
      </c>
      <c r="B28" s="9" t="s">
        <v>30</v>
      </c>
      <c r="C28" s="8" t="s">
        <v>29</v>
      </c>
      <c r="D28" s="7"/>
      <c r="E28" s="7">
        <v>1</v>
      </c>
      <c r="F28" s="12" t="s">
        <v>8</v>
      </c>
      <c r="G28" s="46"/>
      <c r="H28" s="63"/>
      <c r="I28" s="40"/>
    </row>
    <row r="29" spans="1:9" ht="16.5" x14ac:dyDescent="0.3">
      <c r="A29" s="10">
        <v>702077</v>
      </c>
      <c r="B29" s="9" t="s">
        <v>28</v>
      </c>
      <c r="C29" s="8" t="s">
        <v>27</v>
      </c>
      <c r="D29" s="7" t="s">
        <v>81</v>
      </c>
      <c r="E29" s="7">
        <v>1</v>
      </c>
      <c r="F29" s="12" t="s">
        <v>8</v>
      </c>
      <c r="G29" s="80"/>
      <c r="H29" s="63"/>
      <c r="I29" s="40"/>
    </row>
    <row r="30" spans="1:9" ht="16.5" x14ac:dyDescent="0.3">
      <c r="A30" s="10">
        <v>702007</v>
      </c>
      <c r="B30" s="9" t="s">
        <v>26</v>
      </c>
      <c r="C30" s="8" t="s">
        <v>25</v>
      </c>
      <c r="D30" s="7" t="s">
        <v>82</v>
      </c>
      <c r="E30" s="7">
        <v>1</v>
      </c>
      <c r="F30" s="12" t="s">
        <v>8</v>
      </c>
      <c r="G30" s="38"/>
      <c r="H30" s="63"/>
      <c r="I30" s="40"/>
    </row>
    <row r="31" spans="1:9" ht="16.5" x14ac:dyDescent="0.3">
      <c r="A31" s="10">
        <v>702123</v>
      </c>
      <c r="B31" s="9" t="s">
        <v>24</v>
      </c>
      <c r="C31" s="8" t="s">
        <v>23</v>
      </c>
      <c r="D31" s="7"/>
      <c r="E31" s="7">
        <v>1</v>
      </c>
      <c r="F31" s="12" t="s">
        <v>8</v>
      </c>
      <c r="G31" s="38"/>
      <c r="H31" s="63"/>
      <c r="I31" s="40"/>
    </row>
    <row r="32" spans="1:9" ht="16.5" x14ac:dyDescent="0.3">
      <c r="A32" s="10">
        <v>702174</v>
      </c>
      <c r="B32" s="9" t="s">
        <v>22</v>
      </c>
      <c r="C32" s="8" t="s">
        <v>21</v>
      </c>
      <c r="D32" s="7"/>
      <c r="E32" s="7">
        <v>2</v>
      </c>
      <c r="F32" s="12" t="s">
        <v>8</v>
      </c>
      <c r="G32" s="38"/>
      <c r="H32" s="63"/>
      <c r="I32" s="40"/>
    </row>
    <row r="33" spans="1:9" ht="16.5" x14ac:dyDescent="0.3">
      <c r="A33" s="10">
        <v>1950699</v>
      </c>
      <c r="B33" s="9" t="s">
        <v>20</v>
      </c>
      <c r="C33" s="8" t="s">
        <v>19</v>
      </c>
      <c r="D33" s="7"/>
      <c r="E33" s="7">
        <v>1</v>
      </c>
      <c r="F33" s="11" t="s">
        <v>8</v>
      </c>
      <c r="G33" s="81"/>
      <c r="H33" s="63"/>
      <c r="I33" s="40"/>
    </row>
    <row r="34" spans="1:9" ht="16.5" x14ac:dyDescent="0.25">
      <c r="A34" s="10">
        <v>701096</v>
      </c>
      <c r="B34" s="9" t="s">
        <v>18</v>
      </c>
      <c r="C34" s="8" t="s">
        <v>17</v>
      </c>
      <c r="D34" s="7"/>
      <c r="E34" s="7">
        <v>1</v>
      </c>
      <c r="F34" s="6" t="s">
        <v>8</v>
      </c>
      <c r="G34" s="61"/>
      <c r="H34" s="63"/>
      <c r="I34" s="40"/>
    </row>
    <row r="35" spans="1:9" ht="16.5" x14ac:dyDescent="0.3">
      <c r="A35" s="5"/>
      <c r="B35" s="16"/>
      <c r="C35" s="4"/>
      <c r="D35" s="3"/>
      <c r="E35" s="2"/>
      <c r="F35" s="2"/>
      <c r="G35" s="61"/>
      <c r="H35" s="63"/>
      <c r="I35" s="40"/>
    </row>
    <row r="36" spans="1:9" ht="15.75" x14ac:dyDescent="0.25">
      <c r="A36" s="16"/>
      <c r="B36" s="69"/>
      <c r="C36" s="15"/>
      <c r="D36" s="82"/>
      <c r="E36" s="83"/>
      <c r="F36" s="50"/>
      <c r="G36" s="61"/>
      <c r="H36" s="67"/>
      <c r="I36" s="40"/>
    </row>
    <row r="37" spans="1:9" ht="15.75" x14ac:dyDescent="0.25">
      <c r="A37" s="64"/>
      <c r="B37" s="65"/>
      <c r="C37" s="84"/>
      <c r="D37" s="67"/>
      <c r="E37" s="67"/>
      <c r="F37" s="62"/>
      <c r="G37" s="85"/>
      <c r="H37" s="85"/>
      <c r="I37" s="40"/>
    </row>
    <row r="38" spans="1:9" ht="15.75" thickBot="1" x14ac:dyDescent="0.3">
      <c r="A38" s="86"/>
      <c r="B38" s="87"/>
      <c r="C38" s="88"/>
      <c r="D38" s="88"/>
      <c r="E38" s="89"/>
      <c r="F38" s="90"/>
      <c r="G38" s="88"/>
      <c r="H38" s="88"/>
      <c r="I38" s="91"/>
    </row>
    <row r="39" spans="1:9" ht="15.75" thickBot="1" x14ac:dyDescent="0.3">
      <c r="A39" s="92"/>
      <c r="B39" s="93"/>
      <c r="C39" s="94"/>
      <c r="D39" s="95" t="s">
        <v>16</v>
      </c>
      <c r="E39" s="96" t="s">
        <v>15</v>
      </c>
      <c r="F39" s="97"/>
      <c r="G39" s="94"/>
      <c r="H39" s="94"/>
      <c r="I39" s="98"/>
    </row>
    <row r="40" spans="1:9" x14ac:dyDescent="0.25">
      <c r="A40" s="139" t="s">
        <v>14</v>
      </c>
      <c r="B40" s="140"/>
      <c r="C40" s="141"/>
      <c r="D40" s="99">
        <v>194</v>
      </c>
      <c r="E40" s="100" t="s">
        <v>3</v>
      </c>
      <c r="F40" s="142" t="s">
        <v>13</v>
      </c>
      <c r="G40" s="142"/>
      <c r="H40" s="143"/>
      <c r="I40" s="144"/>
    </row>
    <row r="41" spans="1:9" x14ac:dyDescent="0.25">
      <c r="A41" s="145" t="s">
        <v>12</v>
      </c>
      <c r="B41" s="146"/>
      <c r="C41" s="147"/>
      <c r="D41" s="101">
        <v>3</v>
      </c>
      <c r="E41" s="102" t="s">
        <v>11</v>
      </c>
      <c r="F41" s="148" t="s">
        <v>10</v>
      </c>
      <c r="G41" s="148"/>
      <c r="H41" s="149"/>
      <c r="I41" s="150"/>
    </row>
    <row r="42" spans="1:9" x14ac:dyDescent="0.25">
      <c r="A42" s="145" t="s">
        <v>9</v>
      </c>
      <c r="B42" s="146"/>
      <c r="C42" s="147"/>
      <c r="D42" s="102">
        <v>1</v>
      </c>
      <c r="E42" s="102" t="s">
        <v>8</v>
      </c>
      <c r="F42" s="148" t="s">
        <v>7</v>
      </c>
      <c r="G42" s="148"/>
      <c r="H42" s="149"/>
      <c r="I42" s="150"/>
    </row>
    <row r="43" spans="1:9" x14ac:dyDescent="0.25">
      <c r="A43" s="145" t="s">
        <v>6</v>
      </c>
      <c r="B43" s="146"/>
      <c r="C43" s="147"/>
      <c r="D43" s="102">
        <v>149</v>
      </c>
      <c r="E43" s="102" t="s">
        <v>3</v>
      </c>
      <c r="F43" s="154" t="s">
        <v>5</v>
      </c>
      <c r="G43" s="155"/>
      <c r="H43" s="149"/>
      <c r="I43" s="150"/>
    </row>
    <row r="44" spans="1:9" ht="15.75" thickBot="1" x14ac:dyDescent="0.3">
      <c r="A44" s="156" t="s">
        <v>4</v>
      </c>
      <c r="B44" s="157"/>
      <c r="C44" s="158"/>
      <c r="D44" s="103">
        <f>SUM(E10:E24)-D40</f>
        <v>42</v>
      </c>
      <c r="E44" s="104" t="s">
        <v>3</v>
      </c>
      <c r="F44" s="159"/>
      <c r="G44" s="159"/>
      <c r="H44" s="160"/>
      <c r="I44" s="161"/>
    </row>
    <row r="45" spans="1:9" ht="15.75" thickBot="1" x14ac:dyDescent="0.3">
      <c r="A45" s="162" t="s">
        <v>2</v>
      </c>
      <c r="B45" s="163"/>
      <c r="C45" s="163"/>
      <c r="D45" s="163"/>
      <c r="E45" s="163"/>
      <c r="F45" s="163"/>
      <c r="G45" s="163"/>
      <c r="H45" s="163"/>
      <c r="I45" s="164"/>
    </row>
    <row r="46" spans="1:9" ht="14.65" customHeight="1" x14ac:dyDescent="0.25">
      <c r="A46" s="165" t="s">
        <v>1</v>
      </c>
      <c r="B46" s="166"/>
      <c r="C46" s="166"/>
      <c r="D46" s="166"/>
      <c r="E46" s="166"/>
      <c r="F46" s="166"/>
      <c r="G46" s="166"/>
      <c r="H46" s="166"/>
      <c r="I46" s="167"/>
    </row>
    <row r="47" spans="1:9" ht="14.65" customHeight="1" x14ac:dyDescent="0.25">
      <c r="A47" s="151" t="s">
        <v>90</v>
      </c>
      <c r="B47" s="152"/>
      <c r="C47" s="152"/>
      <c r="D47" s="152"/>
      <c r="E47" s="152"/>
      <c r="F47" s="152"/>
      <c r="G47" s="152"/>
      <c r="H47" s="152"/>
      <c r="I47" s="153"/>
    </row>
    <row r="48" spans="1:9" ht="14.65" customHeight="1" x14ac:dyDescent="0.25">
      <c r="A48" s="170" t="s">
        <v>67</v>
      </c>
      <c r="B48" s="171"/>
      <c r="C48" s="171"/>
      <c r="D48" s="171"/>
      <c r="E48" s="171"/>
      <c r="F48" s="171"/>
      <c r="G48" s="171"/>
      <c r="H48" s="171"/>
      <c r="I48" s="172"/>
    </row>
    <row r="49" spans="1:9" ht="14.65" customHeight="1" x14ac:dyDescent="0.25">
      <c r="A49" s="173" t="s">
        <v>0</v>
      </c>
      <c r="B49" s="174"/>
      <c r="C49" s="174"/>
      <c r="D49" s="174"/>
      <c r="E49" s="174"/>
      <c r="F49" s="174"/>
      <c r="G49" s="174"/>
      <c r="H49" s="174"/>
      <c r="I49" s="175"/>
    </row>
    <row r="50" spans="1:9" ht="14.65" customHeight="1" x14ac:dyDescent="0.25">
      <c r="A50" s="176"/>
      <c r="B50" s="177"/>
      <c r="C50" s="178"/>
      <c r="D50" s="178"/>
      <c r="E50" s="178"/>
      <c r="F50" s="178"/>
      <c r="G50" s="178"/>
      <c r="H50" s="178"/>
      <c r="I50" s="179"/>
    </row>
    <row r="51" spans="1:9" x14ac:dyDescent="0.25">
      <c r="A51" s="170"/>
      <c r="B51" s="171"/>
      <c r="C51" s="171"/>
      <c r="D51" s="171"/>
      <c r="E51" s="171"/>
      <c r="F51" s="171"/>
      <c r="G51" s="171"/>
      <c r="H51" s="171"/>
      <c r="I51" s="172"/>
    </row>
    <row r="52" spans="1:9" x14ac:dyDescent="0.25">
      <c r="A52" s="151"/>
      <c r="B52" s="152"/>
      <c r="C52" s="152"/>
      <c r="D52" s="152"/>
      <c r="E52" s="152"/>
      <c r="F52" s="152"/>
      <c r="G52" s="152"/>
      <c r="H52" s="152"/>
      <c r="I52" s="153"/>
    </row>
    <row r="53" spans="1:9" x14ac:dyDescent="0.25">
      <c r="A53" s="151"/>
      <c r="B53" s="152"/>
      <c r="C53" s="152"/>
      <c r="D53" s="152"/>
      <c r="E53" s="152"/>
      <c r="F53" s="152"/>
      <c r="G53" s="152"/>
      <c r="H53" s="152"/>
      <c r="I53" s="153"/>
    </row>
    <row r="54" spans="1:9" ht="18" customHeight="1" x14ac:dyDescent="0.25">
      <c r="A54" s="151"/>
      <c r="B54" s="152"/>
      <c r="C54" s="152"/>
      <c r="D54" s="152"/>
      <c r="E54" s="152"/>
      <c r="F54" s="152"/>
      <c r="G54" s="152"/>
      <c r="H54" s="152"/>
      <c r="I54" s="153"/>
    </row>
    <row r="55" spans="1:9" x14ac:dyDescent="0.25">
      <c r="A55" s="151"/>
      <c r="B55" s="152"/>
      <c r="C55" s="152"/>
      <c r="D55" s="152"/>
      <c r="E55" s="152"/>
      <c r="F55" s="152"/>
      <c r="G55" s="152"/>
      <c r="H55" s="152"/>
      <c r="I55" s="153"/>
    </row>
    <row r="56" spans="1:9" ht="15.75" thickBot="1" x14ac:dyDescent="0.3">
      <c r="A56" s="180"/>
      <c r="B56" s="181"/>
      <c r="C56" s="181"/>
      <c r="D56" s="181"/>
      <c r="E56" s="181"/>
      <c r="F56" s="181"/>
      <c r="G56" s="181"/>
      <c r="H56" s="181"/>
      <c r="I56" s="182"/>
    </row>
    <row r="57" spans="1:9" x14ac:dyDescent="0.25">
      <c r="A57" s="183" t="s">
        <v>83</v>
      </c>
      <c r="B57" s="184"/>
      <c r="C57" s="184"/>
      <c r="D57" s="184"/>
      <c r="E57" s="184"/>
      <c r="F57" s="184"/>
      <c r="G57" s="184"/>
      <c r="H57" s="184"/>
      <c r="I57" s="184"/>
    </row>
    <row r="58" spans="1:9" x14ac:dyDescent="0.25">
      <c r="A58" s="111" t="s">
        <v>91</v>
      </c>
      <c r="B58" s="112"/>
      <c r="C58" s="112"/>
      <c r="D58" s="112"/>
      <c r="E58" s="112"/>
      <c r="F58" s="112"/>
      <c r="G58" s="112"/>
      <c r="H58" s="112"/>
      <c r="I58" s="113"/>
    </row>
    <row r="59" spans="1:9" x14ac:dyDescent="0.25">
      <c r="A59" s="168"/>
      <c r="B59" s="169"/>
      <c r="C59" s="169"/>
      <c r="D59" s="169"/>
      <c r="E59" s="169"/>
      <c r="F59" s="169"/>
      <c r="G59" s="169"/>
      <c r="H59" s="169"/>
      <c r="I59" s="169"/>
    </row>
  </sheetData>
  <mergeCells count="48">
    <mergeCell ref="A59:I59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G24:H24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20" type="noConversion"/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C721-F9B9-454F-8CD6-BFA64837BA09}">
  <dimension ref="A2:L39"/>
  <sheetViews>
    <sheetView topLeftCell="A14" workbookViewId="0">
      <selection activeCell="C38" sqref="C38"/>
    </sheetView>
  </sheetViews>
  <sheetFormatPr baseColWidth="10" defaultRowHeight="15" x14ac:dyDescent="0.25"/>
  <cols>
    <col min="3" max="3" width="22.7109375" customWidth="1"/>
  </cols>
  <sheetData>
    <row r="2" spans="1:2" x14ac:dyDescent="0.25">
      <c r="A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101</v>
      </c>
      <c r="B7" t="s">
        <v>102</v>
      </c>
    </row>
    <row r="8" spans="1:2" x14ac:dyDescent="0.25">
      <c r="A8" t="s">
        <v>103</v>
      </c>
      <c r="B8" t="s">
        <v>104</v>
      </c>
    </row>
    <row r="9" spans="1:2" x14ac:dyDescent="0.25">
      <c r="A9" t="s">
        <v>105</v>
      </c>
      <c r="B9" t="s">
        <v>106</v>
      </c>
    </row>
    <row r="10" spans="1:2" x14ac:dyDescent="0.25">
      <c r="A10" t="s">
        <v>107</v>
      </c>
      <c r="B10" t="s">
        <v>108</v>
      </c>
    </row>
    <row r="11" spans="1:2" x14ac:dyDescent="0.25">
      <c r="A11" t="s">
        <v>109</v>
      </c>
      <c r="B11" t="s">
        <v>78</v>
      </c>
    </row>
    <row r="12" spans="1:2" x14ac:dyDescent="0.25">
      <c r="A12" t="s">
        <v>110</v>
      </c>
      <c r="B12" t="s">
        <v>86</v>
      </c>
    </row>
    <row r="13" spans="1:2" x14ac:dyDescent="0.25">
      <c r="A13" t="s">
        <v>111</v>
      </c>
      <c r="B13" t="s">
        <v>112</v>
      </c>
    </row>
    <row r="14" spans="1:2" x14ac:dyDescent="0.25">
      <c r="A14" t="s">
        <v>113</v>
      </c>
      <c r="B14" t="s">
        <v>114</v>
      </c>
    </row>
    <row r="17" spans="1:12" x14ac:dyDescent="0.25">
      <c r="A17" t="s">
        <v>115</v>
      </c>
      <c r="B17" t="s">
        <v>116</v>
      </c>
    </row>
    <row r="18" spans="1:12" x14ac:dyDescent="0.25">
      <c r="A18" t="s">
        <v>117</v>
      </c>
      <c r="B18" t="s">
        <v>118</v>
      </c>
    </row>
    <row r="20" spans="1:12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K20" t="s">
        <v>129</v>
      </c>
    </row>
    <row r="21" spans="1:12" x14ac:dyDescent="0.25">
      <c r="A21" t="s">
        <v>49</v>
      </c>
      <c r="B21" t="s">
        <v>86</v>
      </c>
      <c r="C21" t="s">
        <v>130</v>
      </c>
      <c r="D21" t="s">
        <v>131</v>
      </c>
      <c r="E21" t="s">
        <v>132</v>
      </c>
      <c r="F21" t="s">
        <v>131</v>
      </c>
      <c r="G21" t="s">
        <v>131</v>
      </c>
      <c r="H21" t="s">
        <v>131</v>
      </c>
      <c r="I21" t="s">
        <v>133</v>
      </c>
      <c r="J21" t="s">
        <v>134</v>
      </c>
      <c r="K21" t="s">
        <v>135</v>
      </c>
      <c r="L21">
        <v>17.02</v>
      </c>
    </row>
    <row r="22" spans="1:12" x14ac:dyDescent="0.25">
      <c r="A22" t="s">
        <v>32</v>
      </c>
      <c r="B22" t="s">
        <v>86</v>
      </c>
      <c r="C22" t="s">
        <v>136</v>
      </c>
      <c r="D22" t="s">
        <v>86</v>
      </c>
      <c r="E22" t="s">
        <v>132</v>
      </c>
      <c r="F22" t="s">
        <v>86</v>
      </c>
      <c r="G22" t="s">
        <v>86</v>
      </c>
      <c r="H22" t="s">
        <v>86</v>
      </c>
      <c r="I22" t="s">
        <v>137</v>
      </c>
      <c r="J22" t="s">
        <v>128</v>
      </c>
      <c r="K22" t="s">
        <v>137</v>
      </c>
      <c r="L22">
        <v>42</v>
      </c>
    </row>
    <row r="23" spans="1:12" x14ac:dyDescent="0.25">
      <c r="A23" t="s">
        <v>30</v>
      </c>
      <c r="B23" t="s">
        <v>86</v>
      </c>
      <c r="C23" t="s">
        <v>138</v>
      </c>
      <c r="D23" t="s">
        <v>86</v>
      </c>
      <c r="E23" t="s">
        <v>132</v>
      </c>
      <c r="F23" t="s">
        <v>86</v>
      </c>
      <c r="G23" t="s">
        <v>86</v>
      </c>
      <c r="H23" t="s">
        <v>86</v>
      </c>
      <c r="I23" t="s">
        <v>139</v>
      </c>
      <c r="J23" t="s">
        <v>128</v>
      </c>
      <c r="K23" t="s">
        <v>139</v>
      </c>
      <c r="L23">
        <v>129</v>
      </c>
    </row>
    <row r="24" spans="1:12" x14ac:dyDescent="0.25">
      <c r="A24" t="s">
        <v>28</v>
      </c>
      <c r="B24" t="s">
        <v>86</v>
      </c>
      <c r="C24" t="s">
        <v>140</v>
      </c>
      <c r="D24" t="s">
        <v>86</v>
      </c>
      <c r="E24" t="s">
        <v>132</v>
      </c>
      <c r="F24" t="s">
        <v>86</v>
      </c>
      <c r="G24" t="s">
        <v>86</v>
      </c>
      <c r="H24" t="s">
        <v>86</v>
      </c>
      <c r="I24" t="s">
        <v>141</v>
      </c>
      <c r="J24" t="s">
        <v>128</v>
      </c>
      <c r="K24" t="s">
        <v>141</v>
      </c>
      <c r="L24">
        <v>13.45</v>
      </c>
    </row>
    <row r="25" spans="1:12" x14ac:dyDescent="0.25">
      <c r="A25" t="s">
        <v>26</v>
      </c>
      <c r="B25" t="s">
        <v>86</v>
      </c>
      <c r="C25" t="s">
        <v>142</v>
      </c>
      <c r="D25" t="s">
        <v>86</v>
      </c>
      <c r="E25" t="s">
        <v>132</v>
      </c>
      <c r="F25" t="s">
        <v>86</v>
      </c>
      <c r="G25" t="s">
        <v>86</v>
      </c>
      <c r="H25" t="s">
        <v>86</v>
      </c>
      <c r="I25" t="s">
        <v>143</v>
      </c>
      <c r="J25" t="s">
        <v>128</v>
      </c>
      <c r="K25" t="s">
        <v>143</v>
      </c>
      <c r="L25">
        <v>0.28000000000000003</v>
      </c>
    </row>
    <row r="26" spans="1:12" x14ac:dyDescent="0.25">
      <c r="A26" t="s">
        <v>24</v>
      </c>
      <c r="B26" t="s">
        <v>86</v>
      </c>
      <c r="C26" t="s">
        <v>144</v>
      </c>
      <c r="D26" t="s">
        <v>86</v>
      </c>
      <c r="E26" t="s">
        <v>132</v>
      </c>
      <c r="F26" t="s">
        <v>86</v>
      </c>
      <c r="G26" t="s">
        <v>86</v>
      </c>
      <c r="H26" t="s">
        <v>86</v>
      </c>
      <c r="I26" t="s">
        <v>145</v>
      </c>
      <c r="J26" t="s">
        <v>128</v>
      </c>
      <c r="K26" t="s">
        <v>146</v>
      </c>
      <c r="L26">
        <v>2.13</v>
      </c>
    </row>
    <row r="27" spans="1:12" x14ac:dyDescent="0.25">
      <c r="A27" t="s">
        <v>22</v>
      </c>
      <c r="B27" t="s">
        <v>86</v>
      </c>
      <c r="C27" t="s">
        <v>147</v>
      </c>
      <c r="D27" t="s">
        <v>148</v>
      </c>
      <c r="E27" t="s">
        <v>132</v>
      </c>
      <c r="F27" t="s">
        <v>148</v>
      </c>
      <c r="G27" t="s">
        <v>148</v>
      </c>
      <c r="H27" t="s">
        <v>148</v>
      </c>
      <c r="I27" t="s">
        <v>149</v>
      </c>
      <c r="J27" t="s">
        <v>128</v>
      </c>
      <c r="K27" t="s">
        <v>150</v>
      </c>
      <c r="L27">
        <v>12</v>
      </c>
    </row>
    <row r="28" spans="1:12" x14ac:dyDescent="0.25">
      <c r="A28" t="s">
        <v>20</v>
      </c>
      <c r="B28" t="s">
        <v>86</v>
      </c>
      <c r="C28" t="s">
        <v>151</v>
      </c>
      <c r="D28" t="s">
        <v>152</v>
      </c>
      <c r="E28" t="s">
        <v>132</v>
      </c>
      <c r="F28" t="s">
        <v>152</v>
      </c>
      <c r="G28" t="s">
        <v>152</v>
      </c>
      <c r="H28" t="s">
        <v>152</v>
      </c>
      <c r="I28" t="s">
        <v>153</v>
      </c>
      <c r="J28" t="s">
        <v>128</v>
      </c>
      <c r="K28" t="s">
        <v>154</v>
      </c>
      <c r="L28">
        <v>12.8</v>
      </c>
    </row>
    <row r="29" spans="1:12" x14ac:dyDescent="0.25">
      <c r="A29" t="s">
        <v>18</v>
      </c>
      <c r="B29" t="s">
        <v>86</v>
      </c>
      <c r="C29" t="s">
        <v>155</v>
      </c>
      <c r="D29" t="s">
        <v>86</v>
      </c>
      <c r="E29" t="s">
        <v>132</v>
      </c>
      <c r="F29" t="s">
        <v>86</v>
      </c>
      <c r="G29" t="s">
        <v>86</v>
      </c>
      <c r="H29" t="s">
        <v>86</v>
      </c>
      <c r="I29" t="s">
        <v>156</v>
      </c>
      <c r="J29" t="s">
        <v>128</v>
      </c>
      <c r="K29" t="s">
        <v>156</v>
      </c>
      <c r="L29">
        <v>0.39</v>
      </c>
    </row>
    <row r="30" spans="1:12" x14ac:dyDescent="0.25">
      <c r="A30" t="s">
        <v>157</v>
      </c>
      <c r="B30" t="s">
        <v>86</v>
      </c>
      <c r="C30" t="s">
        <v>158</v>
      </c>
      <c r="D30" t="s">
        <v>159</v>
      </c>
      <c r="E30" t="s">
        <v>132</v>
      </c>
      <c r="F30" t="s">
        <v>159</v>
      </c>
      <c r="G30" t="s">
        <v>159</v>
      </c>
      <c r="H30" t="s">
        <v>159</v>
      </c>
      <c r="I30" t="s">
        <v>160</v>
      </c>
      <c r="J30" t="s">
        <v>128</v>
      </c>
      <c r="K30" t="s">
        <v>161</v>
      </c>
      <c r="L30">
        <v>246.4</v>
      </c>
    </row>
    <row r="31" spans="1:12" x14ac:dyDescent="0.25">
      <c r="A31" t="s">
        <v>162</v>
      </c>
      <c r="B31" t="s">
        <v>86</v>
      </c>
      <c r="C31" t="s">
        <v>163</v>
      </c>
      <c r="D31" t="s">
        <v>159</v>
      </c>
      <c r="E31" t="s">
        <v>132</v>
      </c>
      <c r="F31" t="s">
        <v>159</v>
      </c>
      <c r="G31" t="s">
        <v>159</v>
      </c>
      <c r="H31" t="s">
        <v>159</v>
      </c>
      <c r="I31" t="s">
        <v>164</v>
      </c>
      <c r="J31" t="s">
        <v>128</v>
      </c>
      <c r="K31" t="s">
        <v>165</v>
      </c>
      <c r="L31">
        <v>204.8</v>
      </c>
    </row>
    <row r="32" spans="1:12" x14ac:dyDescent="0.25">
      <c r="A32" t="s">
        <v>45</v>
      </c>
      <c r="B32" t="s">
        <v>86</v>
      </c>
      <c r="C32" t="s">
        <v>166</v>
      </c>
      <c r="D32" t="s">
        <v>167</v>
      </c>
      <c r="E32" t="s">
        <v>132</v>
      </c>
      <c r="F32" t="s">
        <v>167</v>
      </c>
      <c r="G32" t="s">
        <v>167</v>
      </c>
      <c r="H32" t="s">
        <v>167</v>
      </c>
      <c r="I32" t="s">
        <v>168</v>
      </c>
      <c r="J32" t="s">
        <v>169</v>
      </c>
      <c r="K32" t="s">
        <v>170</v>
      </c>
      <c r="L32">
        <v>41.8</v>
      </c>
    </row>
    <row r="33" spans="1:12" x14ac:dyDescent="0.25">
      <c r="A33" t="s">
        <v>41</v>
      </c>
      <c r="B33" t="s">
        <v>86</v>
      </c>
      <c r="C33" t="s">
        <v>171</v>
      </c>
      <c r="D33" t="s">
        <v>172</v>
      </c>
      <c r="E33" t="s">
        <v>132</v>
      </c>
      <c r="F33" t="s">
        <v>172</v>
      </c>
      <c r="G33" t="s">
        <v>172</v>
      </c>
      <c r="H33" t="s">
        <v>172</v>
      </c>
      <c r="I33" t="s">
        <v>173</v>
      </c>
      <c r="J33" t="s">
        <v>169</v>
      </c>
      <c r="K33" t="s">
        <v>174</v>
      </c>
      <c r="L33">
        <v>16.690000000000001</v>
      </c>
    </row>
    <row r="34" spans="1:12" x14ac:dyDescent="0.25">
      <c r="A34" t="s">
        <v>39</v>
      </c>
      <c r="B34" t="s">
        <v>86</v>
      </c>
      <c r="C34" t="s">
        <v>175</v>
      </c>
      <c r="D34" t="s">
        <v>176</v>
      </c>
      <c r="E34" t="s">
        <v>132</v>
      </c>
      <c r="F34" t="s">
        <v>176</v>
      </c>
      <c r="G34" t="s">
        <v>176</v>
      </c>
      <c r="H34" t="s">
        <v>176</v>
      </c>
      <c r="I34" t="s">
        <v>177</v>
      </c>
      <c r="J34" t="s">
        <v>169</v>
      </c>
      <c r="K34" t="s">
        <v>178</v>
      </c>
      <c r="L34">
        <v>88.28</v>
      </c>
    </row>
    <row r="35" spans="1:12" x14ac:dyDescent="0.25">
      <c r="A35" t="s">
        <v>35</v>
      </c>
      <c r="B35" t="s">
        <v>86</v>
      </c>
      <c r="C35" t="s">
        <v>179</v>
      </c>
      <c r="D35" t="s">
        <v>167</v>
      </c>
      <c r="E35" t="s">
        <v>132</v>
      </c>
      <c r="F35" t="s">
        <v>167</v>
      </c>
      <c r="G35" t="s">
        <v>167</v>
      </c>
      <c r="H35" t="s">
        <v>167</v>
      </c>
      <c r="I35" t="s">
        <v>180</v>
      </c>
      <c r="J35" t="s">
        <v>169</v>
      </c>
      <c r="K35" t="s">
        <v>181</v>
      </c>
      <c r="L35">
        <v>31.61</v>
      </c>
    </row>
    <row r="36" spans="1:12" x14ac:dyDescent="0.25">
      <c r="A36" t="s">
        <v>46</v>
      </c>
      <c r="B36" t="s">
        <v>86</v>
      </c>
      <c r="C36" t="s">
        <v>182</v>
      </c>
      <c r="D36" t="s">
        <v>167</v>
      </c>
      <c r="E36" t="s">
        <v>132</v>
      </c>
      <c r="F36" t="s">
        <v>167</v>
      </c>
      <c r="G36" t="s">
        <v>167</v>
      </c>
      <c r="H36" t="s">
        <v>167</v>
      </c>
      <c r="I36" t="s">
        <v>183</v>
      </c>
      <c r="J36" t="s">
        <v>169</v>
      </c>
      <c r="K36" t="s">
        <v>184</v>
      </c>
      <c r="L36">
        <v>36.68</v>
      </c>
    </row>
    <row r="37" spans="1:12" x14ac:dyDescent="0.25">
      <c r="A37" t="s">
        <v>43</v>
      </c>
      <c r="B37" t="s">
        <v>86</v>
      </c>
      <c r="C37" t="s">
        <v>185</v>
      </c>
      <c r="D37" t="s">
        <v>167</v>
      </c>
      <c r="E37" t="s">
        <v>132</v>
      </c>
      <c r="F37" t="s">
        <v>167</v>
      </c>
      <c r="G37" t="s">
        <v>167</v>
      </c>
      <c r="H37" t="s">
        <v>167</v>
      </c>
      <c r="I37" t="s">
        <v>186</v>
      </c>
      <c r="J37" t="s">
        <v>169</v>
      </c>
      <c r="K37" t="s">
        <v>187</v>
      </c>
      <c r="L37">
        <v>21.63</v>
      </c>
    </row>
    <row r="38" spans="1:12" x14ac:dyDescent="0.25">
      <c r="A38" t="s">
        <v>69</v>
      </c>
      <c r="B38" t="s">
        <v>86</v>
      </c>
      <c r="C38" t="s">
        <v>188</v>
      </c>
      <c r="D38" t="s">
        <v>86</v>
      </c>
      <c r="E38" t="s">
        <v>132</v>
      </c>
      <c r="F38" t="s">
        <v>86</v>
      </c>
      <c r="G38" t="s">
        <v>86</v>
      </c>
      <c r="H38" t="s">
        <v>86</v>
      </c>
      <c r="I38" t="s">
        <v>189</v>
      </c>
      <c r="J38" t="s">
        <v>128</v>
      </c>
      <c r="K38" t="s">
        <v>190</v>
      </c>
      <c r="L38">
        <v>109.24</v>
      </c>
    </row>
    <row r="39" spans="1:12" x14ac:dyDescent="0.25">
      <c r="L39">
        <f>SUM(L21:L38)</f>
        <v>1026.1999999999998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2311-80A6-40A1-9E95-0FD277FE1C9D}">
  <dimension ref="A2:L39"/>
  <sheetViews>
    <sheetView topLeftCell="A22" workbookViewId="0">
      <selection activeCell="A39" sqref="A39"/>
    </sheetView>
  </sheetViews>
  <sheetFormatPr baseColWidth="10" defaultColWidth="11.42578125" defaultRowHeight="15" x14ac:dyDescent="0.25"/>
  <cols>
    <col min="3" max="3" width="22.7109375" customWidth="1"/>
  </cols>
  <sheetData>
    <row r="2" spans="1:2" x14ac:dyDescent="0.25">
      <c r="A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101</v>
      </c>
      <c r="B7" t="s">
        <v>102</v>
      </c>
    </row>
    <row r="8" spans="1:2" x14ac:dyDescent="0.25">
      <c r="A8" t="s">
        <v>103</v>
      </c>
      <c r="B8" t="s">
        <v>104</v>
      </c>
    </row>
    <row r="9" spans="1:2" x14ac:dyDescent="0.25">
      <c r="A9" t="s">
        <v>105</v>
      </c>
      <c r="B9" t="s">
        <v>106</v>
      </c>
    </row>
    <row r="10" spans="1:2" x14ac:dyDescent="0.25">
      <c r="A10" t="s">
        <v>107</v>
      </c>
      <c r="B10" t="s">
        <v>108</v>
      </c>
    </row>
    <row r="11" spans="1:2" x14ac:dyDescent="0.25">
      <c r="A11" t="s">
        <v>109</v>
      </c>
      <c r="B11" t="s">
        <v>78</v>
      </c>
    </row>
    <row r="12" spans="1:2" x14ac:dyDescent="0.25">
      <c r="A12" t="s">
        <v>110</v>
      </c>
      <c r="B12" t="s">
        <v>86</v>
      </c>
    </row>
    <row r="13" spans="1:2" x14ac:dyDescent="0.25">
      <c r="A13" t="s">
        <v>111</v>
      </c>
      <c r="B13" t="s">
        <v>112</v>
      </c>
    </row>
    <row r="14" spans="1:2" x14ac:dyDescent="0.25">
      <c r="A14" t="s">
        <v>113</v>
      </c>
      <c r="B14" t="s">
        <v>114</v>
      </c>
    </row>
    <row r="17" spans="1:12" x14ac:dyDescent="0.25">
      <c r="A17" t="s">
        <v>115</v>
      </c>
      <c r="B17" t="s">
        <v>116</v>
      </c>
    </row>
    <row r="18" spans="1:12" x14ac:dyDescent="0.25">
      <c r="A18" t="s">
        <v>117</v>
      </c>
      <c r="B18" t="s">
        <v>118</v>
      </c>
    </row>
    <row r="20" spans="1:12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K20" t="s">
        <v>129</v>
      </c>
    </row>
    <row r="21" spans="1:12" x14ac:dyDescent="0.25">
      <c r="A21" t="s">
        <v>49</v>
      </c>
      <c r="B21" t="s">
        <v>86</v>
      </c>
      <c r="C21" t="s">
        <v>130</v>
      </c>
      <c r="D21" t="s">
        <v>131</v>
      </c>
      <c r="E21" t="s">
        <v>132</v>
      </c>
      <c r="F21" t="s">
        <v>131</v>
      </c>
      <c r="G21" t="s">
        <v>131</v>
      </c>
      <c r="H21" t="s">
        <v>131</v>
      </c>
      <c r="I21" t="s">
        <v>133</v>
      </c>
      <c r="J21" t="s">
        <v>134</v>
      </c>
      <c r="K21" t="s">
        <v>135</v>
      </c>
      <c r="L21">
        <v>17.02</v>
      </c>
    </row>
    <row r="22" spans="1:12" x14ac:dyDescent="0.25">
      <c r="A22" t="s">
        <v>32</v>
      </c>
      <c r="B22" t="s">
        <v>86</v>
      </c>
      <c r="C22" t="s">
        <v>136</v>
      </c>
      <c r="D22" t="s">
        <v>86</v>
      </c>
      <c r="E22" t="s">
        <v>132</v>
      </c>
      <c r="F22" t="s">
        <v>86</v>
      </c>
      <c r="G22" t="s">
        <v>86</v>
      </c>
      <c r="H22" t="s">
        <v>86</v>
      </c>
      <c r="I22" t="s">
        <v>137</v>
      </c>
      <c r="J22" t="s">
        <v>128</v>
      </c>
      <c r="K22" t="s">
        <v>137</v>
      </c>
      <c r="L22">
        <v>42</v>
      </c>
    </row>
    <row r="23" spans="1:12" x14ac:dyDescent="0.25">
      <c r="A23" t="s">
        <v>30</v>
      </c>
      <c r="B23" t="s">
        <v>86</v>
      </c>
      <c r="C23" t="s">
        <v>138</v>
      </c>
      <c r="D23" t="s">
        <v>86</v>
      </c>
      <c r="E23" t="s">
        <v>132</v>
      </c>
      <c r="F23" t="s">
        <v>86</v>
      </c>
      <c r="G23" t="s">
        <v>86</v>
      </c>
      <c r="H23" t="s">
        <v>86</v>
      </c>
      <c r="I23" t="s">
        <v>139</v>
      </c>
      <c r="J23" t="s">
        <v>128</v>
      </c>
      <c r="K23" t="s">
        <v>139</v>
      </c>
      <c r="L23">
        <v>129</v>
      </c>
    </row>
    <row r="24" spans="1:12" x14ac:dyDescent="0.25">
      <c r="A24" t="s">
        <v>28</v>
      </c>
      <c r="B24" t="s">
        <v>86</v>
      </c>
      <c r="C24" t="s">
        <v>140</v>
      </c>
      <c r="D24" t="s">
        <v>86</v>
      </c>
      <c r="E24" t="s">
        <v>132</v>
      </c>
      <c r="F24" t="s">
        <v>86</v>
      </c>
      <c r="G24" t="s">
        <v>86</v>
      </c>
      <c r="H24" t="s">
        <v>86</v>
      </c>
      <c r="I24" t="s">
        <v>141</v>
      </c>
      <c r="J24" t="s">
        <v>128</v>
      </c>
      <c r="K24" t="s">
        <v>141</v>
      </c>
      <c r="L24">
        <v>13.45</v>
      </c>
    </row>
    <row r="25" spans="1:12" x14ac:dyDescent="0.25">
      <c r="A25" t="s">
        <v>26</v>
      </c>
      <c r="B25" t="s">
        <v>86</v>
      </c>
      <c r="C25" t="s">
        <v>142</v>
      </c>
      <c r="D25" t="s">
        <v>86</v>
      </c>
      <c r="E25" t="s">
        <v>132</v>
      </c>
      <c r="F25" t="s">
        <v>86</v>
      </c>
      <c r="G25" t="s">
        <v>86</v>
      </c>
      <c r="H25" t="s">
        <v>86</v>
      </c>
      <c r="I25" t="s">
        <v>143</v>
      </c>
      <c r="J25" t="s">
        <v>128</v>
      </c>
      <c r="K25" t="s">
        <v>143</v>
      </c>
      <c r="L25">
        <v>0.28000000000000003</v>
      </c>
    </row>
    <row r="26" spans="1:12" x14ac:dyDescent="0.25">
      <c r="A26" t="s">
        <v>24</v>
      </c>
      <c r="B26" t="s">
        <v>86</v>
      </c>
      <c r="C26" t="s">
        <v>144</v>
      </c>
      <c r="D26" t="s">
        <v>86</v>
      </c>
      <c r="E26" t="s">
        <v>132</v>
      </c>
      <c r="F26" t="s">
        <v>86</v>
      </c>
      <c r="G26" t="s">
        <v>86</v>
      </c>
      <c r="H26" t="s">
        <v>86</v>
      </c>
      <c r="I26" t="s">
        <v>145</v>
      </c>
      <c r="J26" t="s">
        <v>128</v>
      </c>
      <c r="K26" t="s">
        <v>146</v>
      </c>
      <c r="L26">
        <v>2.13</v>
      </c>
    </row>
    <row r="27" spans="1:12" x14ac:dyDescent="0.25">
      <c r="A27" t="s">
        <v>22</v>
      </c>
      <c r="B27" t="s">
        <v>86</v>
      </c>
      <c r="C27" t="s">
        <v>147</v>
      </c>
      <c r="D27" t="s">
        <v>148</v>
      </c>
      <c r="E27" t="s">
        <v>132</v>
      </c>
      <c r="F27" t="s">
        <v>148</v>
      </c>
      <c r="G27" t="s">
        <v>148</v>
      </c>
      <c r="H27" t="s">
        <v>148</v>
      </c>
      <c r="I27" t="s">
        <v>149</v>
      </c>
      <c r="J27" t="s">
        <v>128</v>
      </c>
      <c r="K27" t="s">
        <v>150</v>
      </c>
      <c r="L27">
        <v>12</v>
      </c>
    </row>
    <row r="28" spans="1:12" x14ac:dyDescent="0.25">
      <c r="A28" t="s">
        <v>20</v>
      </c>
      <c r="B28" t="s">
        <v>86</v>
      </c>
      <c r="C28" t="s">
        <v>151</v>
      </c>
      <c r="D28" t="s">
        <v>152</v>
      </c>
      <c r="E28" t="s">
        <v>132</v>
      </c>
      <c r="F28" t="s">
        <v>152</v>
      </c>
      <c r="G28" t="s">
        <v>152</v>
      </c>
      <c r="H28" t="s">
        <v>152</v>
      </c>
      <c r="I28" t="s">
        <v>153</v>
      </c>
      <c r="J28" t="s">
        <v>128</v>
      </c>
      <c r="K28" t="s">
        <v>154</v>
      </c>
      <c r="L28">
        <v>12.8</v>
      </c>
    </row>
    <row r="29" spans="1:12" x14ac:dyDescent="0.25">
      <c r="A29" t="s">
        <v>18</v>
      </c>
      <c r="B29" t="s">
        <v>86</v>
      </c>
      <c r="C29" t="s">
        <v>155</v>
      </c>
      <c r="D29" t="s">
        <v>86</v>
      </c>
      <c r="E29" t="s">
        <v>132</v>
      </c>
      <c r="F29" t="s">
        <v>86</v>
      </c>
      <c r="G29" t="s">
        <v>86</v>
      </c>
      <c r="H29" t="s">
        <v>86</v>
      </c>
      <c r="I29" t="s">
        <v>156</v>
      </c>
      <c r="J29" t="s">
        <v>128</v>
      </c>
      <c r="K29" t="s">
        <v>156</v>
      </c>
      <c r="L29">
        <v>0.39</v>
      </c>
    </row>
    <row r="30" spans="1:12" x14ac:dyDescent="0.25">
      <c r="A30" t="s">
        <v>157</v>
      </c>
      <c r="B30" t="s">
        <v>86</v>
      </c>
      <c r="C30" t="s">
        <v>158</v>
      </c>
      <c r="D30" t="s">
        <v>159</v>
      </c>
      <c r="E30" t="s">
        <v>132</v>
      </c>
      <c r="F30" t="s">
        <v>159</v>
      </c>
      <c r="G30" t="s">
        <v>159</v>
      </c>
      <c r="H30" t="s">
        <v>159</v>
      </c>
      <c r="I30" t="s">
        <v>160</v>
      </c>
      <c r="J30" t="s">
        <v>128</v>
      </c>
      <c r="K30" t="s">
        <v>161</v>
      </c>
      <c r="L30">
        <v>246.4</v>
      </c>
    </row>
    <row r="31" spans="1:12" x14ac:dyDescent="0.25">
      <c r="A31" t="s">
        <v>162</v>
      </c>
      <c r="B31" t="s">
        <v>86</v>
      </c>
      <c r="C31" t="s">
        <v>163</v>
      </c>
      <c r="D31" t="s">
        <v>159</v>
      </c>
      <c r="E31" t="s">
        <v>132</v>
      </c>
      <c r="F31" t="s">
        <v>159</v>
      </c>
      <c r="G31" t="s">
        <v>159</v>
      </c>
      <c r="H31" t="s">
        <v>159</v>
      </c>
      <c r="I31" t="s">
        <v>164</v>
      </c>
      <c r="J31" t="s">
        <v>128</v>
      </c>
      <c r="K31" t="s">
        <v>165</v>
      </c>
      <c r="L31">
        <v>204.8</v>
      </c>
    </row>
    <row r="32" spans="1:12" x14ac:dyDescent="0.25">
      <c r="A32" t="s">
        <v>45</v>
      </c>
      <c r="B32" t="s">
        <v>86</v>
      </c>
      <c r="C32" t="s">
        <v>166</v>
      </c>
      <c r="D32" t="s">
        <v>167</v>
      </c>
      <c r="E32" t="s">
        <v>132</v>
      </c>
      <c r="F32" t="s">
        <v>167</v>
      </c>
      <c r="G32" t="s">
        <v>167</v>
      </c>
      <c r="H32" t="s">
        <v>167</v>
      </c>
      <c r="I32" t="s">
        <v>168</v>
      </c>
      <c r="J32" t="s">
        <v>169</v>
      </c>
      <c r="K32" t="s">
        <v>170</v>
      </c>
      <c r="L32">
        <v>41.8</v>
      </c>
    </row>
    <row r="33" spans="1:12" x14ac:dyDescent="0.25">
      <c r="A33" t="s">
        <v>41</v>
      </c>
      <c r="B33" t="s">
        <v>86</v>
      </c>
      <c r="C33" t="s">
        <v>171</v>
      </c>
      <c r="D33" t="s">
        <v>172</v>
      </c>
      <c r="E33" t="s">
        <v>132</v>
      </c>
      <c r="F33" t="s">
        <v>172</v>
      </c>
      <c r="G33" t="s">
        <v>172</v>
      </c>
      <c r="H33" t="s">
        <v>172</v>
      </c>
      <c r="I33" t="s">
        <v>173</v>
      </c>
      <c r="J33" t="s">
        <v>169</v>
      </c>
      <c r="K33" t="s">
        <v>174</v>
      </c>
      <c r="L33">
        <v>16.690000000000001</v>
      </c>
    </row>
    <row r="34" spans="1:12" x14ac:dyDescent="0.25">
      <c r="A34" t="s">
        <v>39</v>
      </c>
      <c r="B34" t="s">
        <v>86</v>
      </c>
      <c r="C34" t="s">
        <v>175</v>
      </c>
      <c r="D34" t="s">
        <v>176</v>
      </c>
      <c r="E34" t="s">
        <v>132</v>
      </c>
      <c r="F34" t="s">
        <v>176</v>
      </c>
      <c r="G34" t="s">
        <v>176</v>
      </c>
      <c r="H34" t="s">
        <v>176</v>
      </c>
      <c r="I34" t="s">
        <v>177</v>
      </c>
      <c r="J34" t="s">
        <v>169</v>
      </c>
      <c r="K34" t="s">
        <v>178</v>
      </c>
      <c r="L34">
        <v>88.28</v>
      </c>
    </row>
    <row r="35" spans="1:12" x14ac:dyDescent="0.25">
      <c r="A35" t="s">
        <v>35</v>
      </c>
      <c r="B35" t="s">
        <v>86</v>
      </c>
      <c r="C35" t="s">
        <v>179</v>
      </c>
      <c r="D35" t="s">
        <v>167</v>
      </c>
      <c r="E35" t="s">
        <v>132</v>
      </c>
      <c r="F35" t="s">
        <v>167</v>
      </c>
      <c r="G35" t="s">
        <v>167</v>
      </c>
      <c r="H35" t="s">
        <v>167</v>
      </c>
      <c r="I35" t="s">
        <v>180</v>
      </c>
      <c r="J35" t="s">
        <v>169</v>
      </c>
      <c r="K35" t="s">
        <v>181</v>
      </c>
      <c r="L35">
        <v>31.61</v>
      </c>
    </row>
    <row r="36" spans="1:12" x14ac:dyDescent="0.25">
      <c r="A36" t="s">
        <v>46</v>
      </c>
      <c r="B36" t="s">
        <v>86</v>
      </c>
      <c r="C36" t="s">
        <v>182</v>
      </c>
      <c r="D36" t="s">
        <v>167</v>
      </c>
      <c r="E36" t="s">
        <v>132</v>
      </c>
      <c r="F36" t="s">
        <v>167</v>
      </c>
      <c r="G36" t="s">
        <v>167</v>
      </c>
      <c r="H36" t="s">
        <v>167</v>
      </c>
      <c r="I36" t="s">
        <v>183</v>
      </c>
      <c r="J36" t="s">
        <v>169</v>
      </c>
      <c r="K36" t="s">
        <v>184</v>
      </c>
      <c r="L36">
        <v>36.68</v>
      </c>
    </row>
    <row r="37" spans="1:12" x14ac:dyDescent="0.25">
      <c r="A37" t="s">
        <v>43</v>
      </c>
      <c r="B37" t="s">
        <v>86</v>
      </c>
      <c r="C37" t="s">
        <v>185</v>
      </c>
      <c r="D37" t="s">
        <v>167</v>
      </c>
      <c r="E37" t="s">
        <v>132</v>
      </c>
      <c r="F37" t="s">
        <v>167</v>
      </c>
      <c r="G37" t="s">
        <v>167</v>
      </c>
      <c r="H37" t="s">
        <v>167</v>
      </c>
      <c r="I37" t="s">
        <v>186</v>
      </c>
      <c r="J37" t="s">
        <v>169</v>
      </c>
      <c r="K37" t="s">
        <v>187</v>
      </c>
      <c r="L37">
        <v>21.63</v>
      </c>
    </row>
    <row r="38" spans="1:12" x14ac:dyDescent="0.25">
      <c r="A38" t="s">
        <v>192</v>
      </c>
      <c r="B38" t="s">
        <v>86</v>
      </c>
      <c r="C38" t="s">
        <v>191</v>
      </c>
      <c r="D38" t="s">
        <v>86</v>
      </c>
      <c r="E38" t="s">
        <v>132</v>
      </c>
      <c r="F38" t="s">
        <v>86</v>
      </c>
      <c r="G38" t="s">
        <v>86</v>
      </c>
      <c r="H38" t="s">
        <v>86</v>
      </c>
      <c r="I38">
        <v>127.45</v>
      </c>
      <c r="J38" t="s">
        <v>128</v>
      </c>
      <c r="K38">
        <v>127.45</v>
      </c>
      <c r="L38">
        <v>127.45</v>
      </c>
    </row>
    <row r="39" spans="1:12" x14ac:dyDescent="0.25">
      <c r="L39">
        <f>SUM(L21:L38)</f>
        <v>1044.4099999999999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EE5897-0F64-42B7-982E-96D112768A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350B85F-59C0-4F83-AAC3-A3A4674DC2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05FED-80DC-4831-BC2B-4A163F5193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Ensamble </vt:lpstr>
      <vt:lpstr>costo actual </vt:lpstr>
      <vt:lpstr>Costo 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2025-03-29T18:17:10Z</cp:lastPrinted>
  <dcterms:created xsi:type="dcterms:W3CDTF">2023-11-03T14:53:47Z</dcterms:created>
  <dcterms:modified xsi:type="dcterms:W3CDTF">2025-03-29T18:17:11Z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
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5" documentId="8_{BF24E27E-9ED4-47AD-AE83-C806099F6A3A}" xr6:coauthVersionLast="47" xr6:coauthVersionMax="47" xr10:uidLastSave="{A1DB82A9-B856-4399-8F42-D19EAF3E206E}"/>
  <bookViews>
    <workbookView xWindow="-120" yWindow="-120" windowWidth="20730" windowHeight="11040" tabRatio="779" xr2:uid="{00000000-000D-0000-FFFF-FFFF00000000}"/>
  </bookViews>
  <sheets>
    <sheet name="Hoja2" sheetId="30" r:id="rId1"/>
  </sheets>
  <definedNames>
    <definedName name="_xlnm.Print_Area" localSheetId="0">Hoja2!$A$1:$I$57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30" l="1"/>
</calcChain>
</file>

<file path=xl/sharedStrings.xml><?xml version="1.0" encoding="utf-8"?>
<sst xmlns="http://schemas.openxmlformats.org/spreadsheetml/2006/main" count="128" uniqueCount="98">
  <si>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</si>
  <si>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</si>
  <si>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</si>
  <si>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</si>
  <si>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</si>
  <si>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</si>
  <si>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</si>
  <si>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</si>
  <si>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</si>
  <si>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</si>
  <si>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</si>
  <si>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</si>
  <si>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</si>
  <si>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</si>
  <si>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</si>
  <si>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</si>
  <si>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</si>
  <si>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</si>
  <si>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ALSERRO</t>
  </si>
  <si>
    <t>AGUA</t>
  </si>
  <si>
    <t>cm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</si>
  <si>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</si>
  <si>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</si>
  <si>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</si>
  <si>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</si>
  <si>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</si>
  <si>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</si>
  <si>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</si>
  <si>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</si>
  <si>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</si>
  <si>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</si>
  <si>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</si>
  <si>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2.- Cocinar por 45 min aprox desde que hierva. (hasta que el frijol este suave pero entero)</t>
  </si>
  <si>
    <t>3.- Agregar el almidon, preservante y la sopa  olla de carne disuelos en un poco de agua. Agregar a la coccion anterior. Mezclar de manera que no se formen grumos. Hervir.</t>
  </si>
  <si>
    <t>4.- Retirar la costilla y picar la parte de carne y regresar a los frijoles</t>
  </si>
  <si>
    <t>5.- Colar los frijoles, hacer choque termico al caldo y a los frijoles</t>
  </si>
  <si>
    <t>FAS</t>
  </si>
  <si>
    <t>10415</t>
  </si>
  <si>
    <t>AREA QUE PRODUCE:</t>
  </si>
  <si>
    <t xml:space="preserve">AREA QUE EMPACA: </t>
  </si>
  <si>
    <t>min</t>
  </si>
  <si>
    <t>, salsa chile peruano, frijoles tiernos, agua (reservar un poco para disolver la sopa olla de carne, preservante y el almidon) ,</t>
  </si>
  <si>
    <t xml:space="preserve">1.- Colocar en una olla el ajo en pasta, cebolla picada, apio picado, chile dulce picado, cebollino picado, tomillo fresco, posta de cerdo picado, achiote, </t>
  </si>
  <si>
    <t>MP10197</t>
  </si>
  <si>
    <t>MP10020</t>
  </si>
  <si>
    <t>MP10069</t>
  </si>
  <si>
    <t>1/500 G</t>
  </si>
  <si>
    <t>MP10119</t>
  </si>
  <si>
    <t>MP10019</t>
  </si>
  <si>
    <t>MP10219</t>
  </si>
  <si>
    <t>MP10305</t>
  </si>
  <si>
    <t>MP10163</t>
  </si>
  <si>
    <t>MP10032</t>
  </si>
  <si>
    <t>MP10378</t>
  </si>
  <si>
    <t>MP10058</t>
  </si>
  <si>
    <t>MP10107</t>
  </si>
  <si>
    <t>SE00014</t>
  </si>
  <si>
    <t>MP10362</t>
  </si>
  <si>
    <t>MP10025</t>
  </si>
  <si>
    <t>EM10259</t>
  </si>
  <si>
    <t>SE00317 Frijoles Tiernos Para Chifrijo 5775g-6975g De Caldo</t>
  </si>
  <si>
    <t xml:space="preserve"> caldo de pollo, y sazonador consome de res. Colocar el hueso de jarrete.</t>
  </si>
  <si>
    <t xml:space="preserve">ESP-RE-COCS-007 </t>
  </si>
  <si>
    <t>01</t>
  </si>
  <si>
    <t>Javier Tong, Chef</t>
  </si>
  <si>
    <t>Cocina</t>
  </si>
  <si>
    <t>Empaque</t>
  </si>
  <si>
    <t># Código Netsuite</t>
  </si>
  <si>
    <t>Ensamble</t>
  </si>
  <si>
    <t>FRIJOLES TIERNOS</t>
  </si>
  <si>
    <t>ADAPECS</t>
  </si>
  <si>
    <t>CEBOLLA PICADA</t>
  </si>
  <si>
    <t>PRESTO</t>
  </si>
  <si>
    <t>APIO PICADO</t>
  </si>
  <si>
    <t>CHILE DULCE PICADO</t>
  </si>
  <si>
    <t>PASTA AJO</t>
  </si>
  <si>
    <t>JARRETE PICADO</t>
  </si>
  <si>
    <t>COOPEMONTECILLOS</t>
  </si>
  <si>
    <t>POSTA DE CERDO</t>
  </si>
  <si>
    <t>CONSOME CONCEN. DE RES</t>
  </si>
  <si>
    <t>SALSA CHILE AJI PLANTA</t>
  </si>
  <si>
    <t>AJINKA</t>
  </si>
  <si>
    <t>TOMILLO FRESCO ROLLO</t>
  </si>
  <si>
    <t>ACHIOTE</t>
  </si>
  <si>
    <t>MAYCA</t>
  </si>
  <si>
    <t>CEBOLLINO</t>
  </si>
  <si>
    <t>EMPAQUE CALDO DE POLLO 5000G</t>
  </si>
  <si>
    <t>EMPAQUE ALMIDON MODIFICADO</t>
  </si>
  <si>
    <t>SOPA OLLA CARNE MAGGI</t>
  </si>
  <si>
    <t>MAGGY</t>
  </si>
  <si>
    <t>PRESERVANTE 1017S</t>
  </si>
  <si>
    <t>ASEAL</t>
  </si>
  <si>
    <t>Decoración</t>
  </si>
  <si>
    <t>PLÁSTICO AUTOADERIBLE 1/ 18*2000</t>
  </si>
  <si>
    <t>ANCHOR</t>
  </si>
  <si>
    <t>CONTROL DE CAMBIOS</t>
  </si>
  <si>
    <t>6975 g caldo</t>
  </si>
  <si>
    <t>tanda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</si>
</sst>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60">
    <xf numFmtId="0" fontId="0" fillId="0" borderId="0" xfId="0"/>
    <xf numFmtId="49" fontId="3" fillId="2" borderId="3" xfId="2" applyNumberFormat="1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right"/>
    </xf>
    <xf numFmtId="0" fontId="4" fillId="2" borderId="4" xfId="2" applyFont="1" applyFill="1" applyBorder="1" applyAlignment="1">
      <alignment horizontal="right"/>
    </xf>
    <xf numFmtId="0" fontId="3" fillId="2" borderId="8" xfId="2" applyFont="1" applyFill="1" applyBorder="1" applyAlignment="1">
      <alignment horizontal="right"/>
    </xf>
    <xf numFmtId="0" fontId="3" fillId="2" borderId="4" xfId="2" applyFont="1" applyFill="1" applyBorder="1" applyAlignment="1">
      <alignment horizontal="right"/>
    </xf>
    <xf numFmtId="0" fontId="4" fillId="3" borderId="5" xfId="1" applyFont="1" applyFill="1" applyBorder="1" applyAlignment="1">
      <alignment horizontal="center" vertical="center" wrapText="1"/>
    </xf>
    <xf numFmtId="1" fontId="4" fillId="3" borderId="7" xfId="1" applyNumberFormat="1" applyFont="1" applyFill="1" applyBorder="1" applyAlignment="1">
      <alignment horizontal="center"/>
    </xf>
    <xf numFmtId="1" fontId="4" fillId="3" borderId="7" xfId="1" applyNumberFormat="1" applyFont="1" applyFill="1" applyBorder="1" applyAlignment="1">
      <alignment horizontal="center" wrapText="1"/>
    </xf>
    <xf numFmtId="0" fontId="4" fillId="3" borderId="35" xfId="1" applyFont="1" applyFill="1" applyBorder="1" applyAlignment="1">
      <alignment horizontal="center"/>
    </xf>
    <xf numFmtId="0" fontId="3" fillId="2" borderId="0" xfId="1" applyFont="1" applyFill="1"/>
    <xf numFmtId="0" fontId="2" fillId="0" borderId="0" xfId="1"/>
    <xf numFmtId="0" fontId="3" fillId="2" borderId="0" xfId="1" applyFont="1" applyFill="1" applyAlignment="1">
      <alignment horizontal="left" indent="1"/>
    </xf>
    <xf numFmtId="9" fontId="3" fillId="2" borderId="0" xfId="5" applyFont="1" applyFill="1"/>
    <xf numFmtId="0" fontId="6" fillId="2" borderId="0" xfId="2" applyFont="1" applyFill="1" applyAlignment="1">
      <alignment horizontal="right"/>
    </xf>
    <xf numFmtId="0" fontId="6" fillId="2" borderId="0" xfId="2" applyFont="1" applyFill="1"/>
    <xf numFmtId="0" fontId="4" fillId="3" borderId="24" xfId="1" applyFont="1" applyFill="1" applyBorder="1" applyAlignment="1">
      <alignment horizontal="center" vertical="center"/>
    </xf>
    <xf numFmtId="0" fontId="4" fillId="3" borderId="25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14" fontId="3" fillId="2" borderId="13" xfId="2" applyNumberFormat="1" applyFont="1" applyFill="1" applyBorder="1" applyAlignment="1">
      <alignment horizontal="center" vertical="center" wrapText="1"/>
    </xf>
    <xf numFmtId="14" fontId="3" fillId="2" borderId="19" xfId="2" applyNumberFormat="1" applyFont="1" applyFill="1" applyBorder="1" applyAlignment="1">
      <alignment horizontal="center" vertical="center" wrapText="1"/>
    </xf>
    <xf numFmtId="14" fontId="3" fillId="2" borderId="12" xfId="2" applyNumberFormat="1" applyFont="1" applyFill="1" applyBorder="1" applyAlignment="1">
      <alignment horizontal="center" vertical="center" wrapText="1"/>
    </xf>
    <xf numFmtId="0" fontId="3" fillId="2" borderId="20" xfId="2" applyFont="1" applyFill="1" applyBorder="1" applyAlignment="1">
      <alignment horizontal="left"/>
    </xf>
    <xf numFmtId="0" fontId="3" fillId="2" borderId="21" xfId="2" applyFont="1" applyFill="1" applyBorder="1" applyAlignment="1">
      <alignment horizontal="left"/>
    </xf>
    <xf numFmtId="0" fontId="3" fillId="2" borderId="14" xfId="2" applyFont="1" applyFill="1" applyBorder="1" applyAlignment="1">
      <alignment horizontal="left"/>
    </xf>
    <xf numFmtId="0" fontId="3" fillId="2" borderId="22" xfId="2" applyFont="1" applyFill="1" applyBorder="1" applyAlignment="1">
      <alignment horizontal="left"/>
    </xf>
    <xf numFmtId="0" fontId="3" fillId="2" borderId="23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left"/>
    </xf>
    <xf numFmtId="0" fontId="3" fillId="2" borderId="30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center"/>
    </xf>
    <xf numFmtId="0" fontId="3" fillId="2" borderId="10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36" xfId="2" applyFont="1" applyFill="1" applyBorder="1" applyAlignment="1">
      <alignment horizontal="center"/>
    </xf>
    <xf numFmtId="0" fontId="3" fillId="2" borderId="37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0" fontId="5" fillId="2" borderId="16" xfId="2" applyFont="1" applyFill="1" applyBorder="1" applyAlignment="1">
      <alignment horizontal="center"/>
    </xf>
    <xf numFmtId="0" fontId="4" fillId="2" borderId="15" xfId="2" applyFont="1" applyFill="1" applyBorder="1" applyAlignment="1">
      <alignment horizontal="right" vertical="top" wrapText="1"/>
    </xf>
    <xf numFmtId="0" fontId="4" fillId="2" borderId="17" xfId="2" applyFont="1" applyFill="1" applyBorder="1" applyAlignment="1">
      <alignment horizontal="right" vertical="top" wrapText="1"/>
    </xf>
    <xf numFmtId="0" fontId="4" fillId="2" borderId="18" xfId="2" applyFont="1" applyFill="1" applyBorder="1" applyAlignment="1">
      <alignment horizontal="right" vertical="top" wrapText="1"/>
    </xf>
    <xf numFmtId="0" fontId="7" fillId="2" borderId="32" xfId="2" applyFont="1" applyFill="1" applyBorder="1" applyAlignment="1">
      <alignment horizontal="center"/>
    </xf>
    <xf numFmtId="14" fontId="7" fillId="2" borderId="0" xfId="2" applyNumberFormat="1" applyFont="1" applyFill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8" fillId="0" borderId="4" xfId="1" applyFont="1" applyBorder="1" applyAlignment="1">
      <alignment horizontal="center" vertical="center"/>
    </xf>
    <xf numFmtId="1" fontId="8" fillId="0" borderId="4" xfId="1" applyNumberFormat="1" applyFont="1" applyBorder="1" applyAlignment="1">
      <alignment horizontal="center"/>
    </xf>
    <xf numFmtId="1" fontId="8" fillId="0" borderId="4" xfId="1" applyNumberFormat="1" applyFont="1" applyBorder="1" applyAlignment="1">
      <alignment horizontal="center" wrapText="1"/>
    </xf>
    <xf numFmtId="0" fontId="10" fillId="0" borderId="3" xfId="1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16" fontId="10" fillId="4" borderId="8" xfId="0" applyNumberFormat="1" applyFont="1" applyFill="1" applyBorder="1" applyAlignment="1">
      <alignment horizontal="center"/>
    </xf>
    <xf numFmtId="1" fontId="10" fillId="4" borderId="8" xfId="0" applyNumberFormat="1" applyFont="1" applyFill="1" applyBorder="1" applyAlignment="1">
      <alignment horizontal="center"/>
    </xf>
    <xf numFmtId="1" fontId="10" fillId="0" borderId="8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16" fontId="10" fillId="4" borderId="4" xfId="0" applyNumberFormat="1" applyFont="1" applyFill="1" applyBorder="1" applyAlignment="1">
      <alignment horizontal="center"/>
    </xf>
    <xf numFmtId="1" fontId="10" fillId="4" borderId="4" xfId="0" applyNumberFormat="1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0" fontId="10" fillId="4" borderId="4" xfId="0" applyFont="1" applyFill="1" applyBorder="1" applyAlignment="1">
      <alignment horizontal="center"/>
    </xf>
    <xf numFmtId="164" fontId="10" fillId="0" borderId="4" xfId="0" applyNumberFormat="1" applyFont="1" applyBorder="1" applyAlignment="1">
      <alignment horizontal="center" wrapText="1"/>
    </xf>
    <xf numFmtId="0" fontId="10" fillId="0" borderId="4" xfId="0" quotePrefix="1" applyFont="1" applyBorder="1" applyAlignment="1">
      <alignment horizontal="center"/>
    </xf>
    <xf numFmtId="0" fontId="10" fillId="0" borderId="4" xfId="0" quotePrefix="1" applyFont="1" applyBorder="1"/>
    <xf numFmtId="16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10" fillId="4" borderId="4" xfId="0" applyFont="1" applyFill="1" applyBorder="1"/>
    <xf numFmtId="1" fontId="10" fillId="0" borderId="4" xfId="1" applyNumberFormat="1" applyFont="1" applyBorder="1" applyAlignment="1">
      <alignment horizontal="center"/>
    </xf>
    <xf numFmtId="1" fontId="10" fillId="0" borderId="4" xfId="1" applyNumberFormat="1" applyFont="1" applyBorder="1" applyAlignment="1">
      <alignment horizontal="center" wrapText="1"/>
    </xf>
    <xf numFmtId="49" fontId="10" fillId="0" borderId="11" xfId="1" applyNumberFormat="1" applyFont="1" applyBorder="1" applyAlignment="1">
      <alignment horizontal="center"/>
    </xf>
    <xf numFmtId="49" fontId="10" fillId="0" borderId="1" xfId="1" applyNumberFormat="1" applyFont="1" applyBorder="1" applyAlignment="1">
      <alignment horizontal="center"/>
    </xf>
    <xf numFmtId="0" fontId="8" fillId="4" borderId="4" xfId="1" applyFont="1" applyFill="1" applyBorder="1" applyAlignment="1">
      <alignment horizontal="left"/>
    </xf>
    <xf numFmtId="0" fontId="10" fillId="0" borderId="4" xfId="1" applyFont="1" applyBorder="1" applyAlignment="1">
      <alignment horizontal="center"/>
    </xf>
    <xf numFmtId="165" fontId="10" fillId="0" borderId="4" xfId="1" applyNumberFormat="1" applyFont="1" applyBorder="1" applyAlignment="1">
      <alignment horizontal="center"/>
    </xf>
    <xf numFmtId="0" fontId="10" fillId="4" borderId="4" xfId="4" applyFont="1" applyFill="1" applyBorder="1"/>
    <xf numFmtId="16" fontId="10" fillId="0" borderId="4" xfId="4" applyNumberFormat="1" applyFont="1" applyBorder="1" applyAlignment="1">
      <alignment horizontal="center"/>
    </xf>
    <xf numFmtId="0" fontId="10" fillId="0" borderId="4" xfId="4" applyFont="1" applyBorder="1" applyAlignment="1">
      <alignment horizontal="center"/>
    </xf>
    <xf numFmtId="1" fontId="10" fillId="0" borderId="4" xfId="4" applyNumberFormat="1" applyFont="1" applyBorder="1" applyAlignment="1">
      <alignment horizontal="center"/>
    </xf>
    <xf numFmtId="1" fontId="10" fillId="0" borderId="4" xfId="4" applyNumberFormat="1" applyFont="1" applyBorder="1" applyAlignment="1">
      <alignment horizontal="center" wrapText="1"/>
    </xf>
    <xf numFmtId="49" fontId="8" fillId="0" borderId="26" xfId="1" applyNumberFormat="1" applyFont="1" applyBorder="1" applyAlignment="1">
      <alignment horizontal="center"/>
    </xf>
    <xf numFmtId="49" fontId="8" fillId="0" borderId="23" xfId="1" applyNumberFormat="1" applyFont="1" applyBorder="1" applyAlignment="1">
      <alignment horizontal="center"/>
    </xf>
    <xf numFmtId="0" fontId="9" fillId="4" borderId="4" xfId="1" applyFont="1" applyFill="1" applyBorder="1" applyAlignment="1">
      <alignment vertical="center"/>
    </xf>
    <xf numFmtId="0" fontId="8" fillId="0" borderId="1" xfId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10" fillId="0" borderId="4" xfId="0" applyNumberFormat="1" applyFont="1" applyBorder="1"/>
    <xf numFmtId="49" fontId="10" fillId="0" borderId="4" xfId="1" applyNumberFormat="1" applyFont="1" applyBorder="1"/>
    <xf numFmtId="49" fontId="11" fillId="2" borderId="10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9" xfId="1" applyFont="1" applyFill="1" applyBorder="1" applyAlignment="1">
      <alignment horizontal="center"/>
    </xf>
    <xf numFmtId="0" fontId="10" fillId="3" borderId="38" xfId="1" applyFont="1" applyFill="1" applyBorder="1" applyAlignment="1">
      <alignment horizontal="center"/>
    </xf>
    <xf numFmtId="0" fontId="10" fillId="3" borderId="39" xfId="1" applyFont="1" applyFill="1" applyBorder="1" applyAlignment="1">
      <alignment horizontal="center"/>
    </xf>
    <xf numFmtId="0" fontId="10" fillId="3" borderId="39" xfId="1" applyFont="1" applyFill="1" applyBorder="1"/>
    <xf numFmtId="0" fontId="8" fillId="3" borderId="39" xfId="1" applyFont="1" applyFill="1" applyBorder="1" applyAlignment="1">
      <alignment horizontal="center"/>
    </xf>
    <xf numFmtId="1" fontId="8" fillId="3" borderId="39" xfId="1" applyNumberFormat="1" applyFont="1" applyFill="1" applyBorder="1" applyAlignment="1">
      <alignment horizontal="center"/>
    </xf>
    <xf numFmtId="164" fontId="10" fillId="3" borderId="39" xfId="1" applyNumberFormat="1" applyFont="1" applyFill="1" applyBorder="1" applyAlignment="1">
      <alignment horizontal="center" wrapText="1"/>
    </xf>
    <xf numFmtId="0" fontId="10" fillId="3" borderId="40" xfId="1" applyFont="1" applyFill="1" applyBorder="1" applyAlignment="1">
      <alignment horizontal="center"/>
    </xf>
    <xf numFmtId="0" fontId="8" fillId="0" borderId="36" xfId="1" applyFont="1" applyBorder="1" applyAlignment="1">
      <alignment horizontal="right"/>
    </xf>
    <xf numFmtId="0" fontId="8" fillId="0" borderId="37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1" fontId="10" fillId="0" borderId="8" xfId="0" applyNumberFormat="1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164" fontId="10" fillId="0" borderId="8" xfId="1" applyNumberFormat="1" applyFont="1" applyBorder="1" applyAlignment="1">
      <alignment horizontal="right"/>
    </xf>
    <xf numFmtId="0" fontId="10" fillId="2" borderId="41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8" fillId="0" borderId="26" xfId="1" applyFont="1" applyBorder="1" applyAlignment="1">
      <alignment horizontal="right"/>
    </xf>
    <xf numFmtId="0" fontId="8" fillId="0" borderId="23" xfId="1" applyFont="1" applyBorder="1" applyAlignment="1">
      <alignment horizontal="right"/>
    </xf>
    <xf numFmtId="0" fontId="8" fillId="0" borderId="1" xfId="1" applyFont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10" fillId="0" borderId="4" xfId="1" applyFont="1" applyBorder="1" applyAlignment="1">
      <alignment horizontal="right"/>
    </xf>
    <xf numFmtId="164" fontId="10" fillId="0" borderId="22" xfId="1" applyNumberFormat="1" applyFont="1" applyBorder="1" applyAlignment="1">
      <alignment horizontal="center"/>
    </xf>
    <xf numFmtId="164" fontId="10" fillId="0" borderId="27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right" wrapText="1"/>
    </xf>
    <xf numFmtId="164" fontId="10" fillId="0" borderId="1" xfId="1" applyNumberFormat="1" applyFont="1" applyBorder="1" applyAlignment="1">
      <alignment horizontal="right" wrapText="1"/>
    </xf>
    <xf numFmtId="0" fontId="8" fillId="0" borderId="25" xfId="1" applyFont="1" applyBorder="1" applyAlignment="1">
      <alignment horizontal="right"/>
    </xf>
    <xf numFmtId="0" fontId="8" fillId="0" borderId="33" xfId="1" applyFont="1" applyBorder="1" applyAlignment="1">
      <alignment horizontal="right"/>
    </xf>
    <xf numFmtId="0" fontId="8" fillId="0" borderId="7" xfId="1" applyFont="1" applyBorder="1" applyAlignment="1">
      <alignment horizontal="right"/>
    </xf>
    <xf numFmtId="1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1" applyFont="1" applyBorder="1" applyAlignment="1">
      <alignment horizontal="right"/>
    </xf>
    <xf numFmtId="164" fontId="10" fillId="0" borderId="28" xfId="1" applyNumberFormat="1" applyFont="1" applyBorder="1" applyAlignment="1">
      <alignment horizontal="center"/>
    </xf>
    <xf numFmtId="164" fontId="10" fillId="0" borderId="29" xfId="1" applyNumberFormat="1" applyFont="1" applyBorder="1" applyAlignment="1">
      <alignment horizontal="center"/>
    </xf>
    <xf numFmtId="0" fontId="10" fillId="0" borderId="24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24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2" fillId="0" borderId="22" xfId="0" applyFont="1" applyBorder="1"/>
    <xf numFmtId="0" fontId="12" fillId="0" borderId="23" xfId="0" applyFont="1" applyBorder="1"/>
    <xf numFmtId="0" fontId="12" fillId="0" borderId="1" xfId="0" applyFont="1" applyBorder="1"/>
    <xf numFmtId="0" fontId="10" fillId="0" borderId="34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22" xfId="0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26" xfId="1" applyFont="1" applyBorder="1" applyAlignment="1">
      <alignment horizontal="left" wrapText="1"/>
    </xf>
    <xf numFmtId="0" fontId="10" fillId="0" borderId="23" xfId="1" applyFont="1" applyBorder="1" applyAlignment="1">
      <alignment horizontal="left" wrapText="1"/>
    </xf>
    <xf numFmtId="0" fontId="10" fillId="0" borderId="27" xfId="1" applyFont="1" applyBorder="1" applyAlignment="1">
      <alignment horizontal="left" wrapText="1"/>
    </xf>
    <xf numFmtId="0" fontId="13" fillId="5" borderId="22" xfId="2" applyFont="1" applyFill="1" applyBorder="1" applyAlignment="1">
      <alignment horizontal="center" vertical="center" wrapText="1"/>
    </xf>
    <xf numFmtId="0" fontId="13" fillId="5" borderId="23" xfId="2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 wrapText="1"/>
    </xf>
    <xf numFmtId="0" fontId="8" fillId="3" borderId="38" xfId="1" applyFont="1" applyFill="1" applyBorder="1" applyAlignment="1">
      <alignment horizontal="center"/>
    </xf>
    <xf numFmtId="0" fontId="8" fillId="3" borderId="39" xfId="1" applyFont="1" applyFill="1" applyBorder="1" applyAlignment="1">
      <alignment horizontal="center"/>
    </xf>
    <xf numFmtId="0" fontId="8" fillId="3" borderId="40" xfId="1" applyFont="1" applyFill="1" applyBorder="1" applyAlignment="1">
      <alignment horizontal="center"/>
    </xf>
    <xf numFmtId="0" fontId="10" fillId="0" borderId="43" xfId="1" applyFont="1" applyBorder="1" applyAlignment="1">
      <alignment horizontal="left"/>
    </xf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8" fillId="6" borderId="4" xfId="2" applyFont="1" applyFill="1" applyBorder="1" applyAlignment="1">
      <alignment horizontal="center"/>
    </xf>
    <xf numFmtId="0" fontId="10" fillId="2" borderId="4" xfId="2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01000000}"/>
    <cellStyle name="Normal 3 2" xfId="4" xr:uid="{C0E3FECC-22F6-4ABC-BDD3-341D850307B7}"/>
    <cellStyle name="Normal_CRITERIOS DE EVALUACION PT DE GB 2" xfId="2" xr:uid="{00000000-0005-0000-0000-000002000000}"/>
    <cellStyle name="Porcentaje 2" xfId="3" xr:uid="{00000000-0005-0000-0000-000003000000}"/>
    <cellStyle name="Porcentaje 2 2" xfId="5" xr:uid="{82246E65-0396-460F-9DC0-6ACF3E341D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215321</xdr:colOff>
      <xdr:row>0</xdr:row>
      <xdr:rowOff>103341</xdr:rowOff>
    </xdr:from>
    <xdr:to>
      <xdr:col>1</xdr:col>
      <xdr:colOff>862182</xdr:colOff>
      <xdr:row>4</xdr:row>
      <xdr:rowOff>30427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72BE02A-6FF3-4B31-891F-1C021A5C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21" y="103341"/>
          <a:ext cx="1766049" cy="796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35BD-3C9D-40C9-8683-FE1B1411622C}">
  <sheetPr>
    <pageSetUpPr fitToPage="1"/>
  </sheetPr>
  <dimension ref="A1:M57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5703125" customWidth="1"/>
    <col min="3" max="3" width="56" customWidth="1"/>
    <col min="4" max="4" width="32.85546875" customWidth="1"/>
    <col min="5" max="5" width="11.7109375" bestFit="1" customWidth="1"/>
    <col min="7" max="7" width="21.42578125" customWidth="1"/>
    <col min="8" max="8" width="15.7109375" customWidth="1"/>
    <col min="9" max="9" width="19.140625" bestFit="1" customWidth="1"/>
  </cols>
  <sheetData>
    <row r="1" spans="1:9" ht="15.75" x14ac:dyDescent="0.25">
      <c r="A1" s="32"/>
      <c r="B1" s="33"/>
      <c r="C1" s="38" t="s">
        <v>0</v>
      </c>
      <c r="D1" s="38"/>
      <c r="E1" s="38"/>
      <c r="F1" s="38"/>
      <c r="G1" s="38"/>
      <c r="H1" s="3" t="s">
        <v>1</v>
      </c>
      <c r="I1" s="2" t="s">
        <v>62</v>
      </c>
    </row>
    <row r="2" spans="1:9" ht="15.75" x14ac:dyDescent="0.25">
      <c r="A2" s="34"/>
      <c r="B2" s="35"/>
      <c r="C2" s="39" t="s">
        <v>2</v>
      </c>
      <c r="D2" s="39"/>
      <c r="E2" s="39"/>
      <c r="F2" s="39"/>
      <c r="G2" s="39"/>
      <c r="H2" s="4" t="s">
        <v>3</v>
      </c>
      <c r="I2" s="1" t="s">
        <v>63</v>
      </c>
    </row>
    <row r="3" spans="1:9" ht="23.25" customHeight="1" thickBot="1" x14ac:dyDescent="0.25">
      <c r="A3" s="34"/>
      <c r="B3" s="35"/>
      <c r="C3" s="149" t="s">
        <v>60</v>
      </c>
      <c r="D3" s="150"/>
      <c r="E3" s="150"/>
      <c r="F3" s="150"/>
      <c r="G3" s="151"/>
      <c r="H3" s="40" t="s">
        <v>4</v>
      </c>
      <c r="I3" s="23">
        <v>45608</v>
      </c>
    </row>
    <row r="4" spans="1:9" ht="13.5" x14ac:dyDescent="0.25">
      <c r="A4" s="34"/>
      <c r="B4" s="35"/>
      <c r="C4" s="5" t="s">
        <v>5</v>
      </c>
      <c r="D4" s="26" t="s">
        <v>64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6</v>
      </c>
      <c r="D5" s="29" t="s">
        <v>7</v>
      </c>
      <c r="E5" s="30"/>
      <c r="F5" s="30"/>
      <c r="G5" s="31"/>
      <c r="H5" s="42"/>
      <c r="I5" s="25"/>
    </row>
    <row r="6" spans="1:9" ht="18.75" thickBot="1" x14ac:dyDescent="0.3">
      <c r="A6" s="15" t="s">
        <v>38</v>
      </c>
      <c r="B6" s="15"/>
      <c r="C6" s="15"/>
      <c r="D6" s="43" t="s">
        <v>65</v>
      </c>
      <c r="E6" s="43"/>
      <c r="F6" s="43"/>
      <c r="G6" s="16" t="s">
        <v>39</v>
      </c>
      <c r="H6" s="16"/>
      <c r="I6" s="44" t="s">
        <v>66</v>
      </c>
    </row>
    <row r="7" spans="1:9" ht="22.5" customHeight="1" x14ac:dyDescent="0.2">
      <c r="A7" s="17" t="s">
        <v>8</v>
      </c>
      <c r="B7" s="19" t="s">
        <v>67</v>
      </c>
      <c r="C7" s="21" t="s">
        <v>9</v>
      </c>
      <c r="D7" s="21" t="s">
        <v>10</v>
      </c>
      <c r="E7" s="21" t="s">
        <v>11</v>
      </c>
      <c r="F7" s="21"/>
      <c r="G7" s="21" t="s">
        <v>12</v>
      </c>
      <c r="H7" s="21"/>
      <c r="I7" s="7" t="s">
        <v>13</v>
      </c>
    </row>
    <row r="8" spans="1:9" ht="30" customHeight="1" thickBot="1" x14ac:dyDescent="0.25">
      <c r="A8" s="18"/>
      <c r="B8" s="20"/>
      <c r="C8" s="22"/>
      <c r="D8" s="22"/>
      <c r="E8" s="8" t="s">
        <v>14</v>
      </c>
      <c r="F8" s="9" t="s">
        <v>15</v>
      </c>
      <c r="G8" s="8" t="s">
        <v>14</v>
      </c>
      <c r="H8" s="9" t="s">
        <v>15</v>
      </c>
      <c r="I8" s="10" t="s">
        <v>16</v>
      </c>
    </row>
    <row r="9" spans="1:9" ht="20.25" x14ac:dyDescent="0.3">
      <c r="A9" s="45"/>
      <c r="B9" s="46"/>
      <c r="C9" s="47" t="s">
        <v>68</v>
      </c>
      <c r="D9" s="48"/>
      <c r="E9" s="49"/>
      <c r="F9" s="50"/>
      <c r="G9" s="49"/>
      <c r="H9" s="50"/>
      <c r="I9" s="51"/>
    </row>
    <row r="10" spans="1:9" ht="20.25" x14ac:dyDescent="0.3">
      <c r="A10" s="52">
        <v>510268</v>
      </c>
      <c r="B10" s="52" t="s">
        <v>43</v>
      </c>
      <c r="C10" s="53" t="s">
        <v>69</v>
      </c>
      <c r="D10" s="54" t="s">
        <v>70</v>
      </c>
      <c r="E10" s="55">
        <v>4000</v>
      </c>
      <c r="F10" s="56" t="s">
        <v>17</v>
      </c>
      <c r="G10" s="49"/>
      <c r="H10" s="50"/>
      <c r="I10" s="51"/>
    </row>
    <row r="11" spans="1:9" ht="20.25" x14ac:dyDescent="0.3">
      <c r="A11" s="57">
        <v>101035</v>
      </c>
      <c r="B11" s="57" t="s">
        <v>44</v>
      </c>
      <c r="C11" s="58" t="s">
        <v>71</v>
      </c>
      <c r="D11" s="59" t="s">
        <v>72</v>
      </c>
      <c r="E11" s="60">
        <v>780</v>
      </c>
      <c r="F11" s="61" t="s">
        <v>17</v>
      </c>
      <c r="G11" s="49"/>
      <c r="H11" s="50"/>
      <c r="I11" s="51"/>
    </row>
    <row r="12" spans="1:9" ht="20.25" x14ac:dyDescent="0.3">
      <c r="A12" s="57">
        <v>101150</v>
      </c>
      <c r="B12" s="57" t="s">
        <v>45</v>
      </c>
      <c r="C12" s="58" t="s">
        <v>73</v>
      </c>
      <c r="D12" s="59" t="s">
        <v>46</v>
      </c>
      <c r="E12" s="60">
        <v>309.60000000000002</v>
      </c>
      <c r="F12" s="61" t="s">
        <v>17</v>
      </c>
      <c r="G12" s="49"/>
      <c r="H12" s="50"/>
      <c r="I12" s="51"/>
    </row>
    <row r="13" spans="1:9" ht="20.25" x14ac:dyDescent="0.3">
      <c r="A13" s="57">
        <v>101115</v>
      </c>
      <c r="B13" s="57" t="s">
        <v>47</v>
      </c>
      <c r="C13" s="58" t="s">
        <v>74</v>
      </c>
      <c r="D13" s="59" t="s">
        <v>72</v>
      </c>
      <c r="E13" s="60">
        <v>425</v>
      </c>
      <c r="F13" s="61" t="s">
        <v>17</v>
      </c>
      <c r="G13" s="49"/>
      <c r="H13" s="50"/>
      <c r="I13" s="51"/>
    </row>
    <row r="14" spans="1:9" ht="20.25" x14ac:dyDescent="0.3">
      <c r="A14" s="57">
        <v>512319</v>
      </c>
      <c r="B14" s="57" t="s">
        <v>48</v>
      </c>
      <c r="C14" s="58" t="s">
        <v>75</v>
      </c>
      <c r="D14" s="59" t="s">
        <v>72</v>
      </c>
      <c r="E14" s="60">
        <v>155</v>
      </c>
      <c r="F14" s="61" t="s">
        <v>17</v>
      </c>
      <c r="G14" s="49"/>
      <c r="H14" s="50"/>
      <c r="I14" s="51"/>
    </row>
    <row r="15" spans="1:9" ht="20.25" x14ac:dyDescent="0.3">
      <c r="A15" s="57">
        <v>10300001</v>
      </c>
      <c r="B15" s="57" t="s">
        <v>49</v>
      </c>
      <c r="C15" s="58" t="s">
        <v>76</v>
      </c>
      <c r="D15" s="59" t="s">
        <v>77</v>
      </c>
      <c r="E15" s="60">
        <v>1550</v>
      </c>
      <c r="F15" s="61" t="s">
        <v>17</v>
      </c>
      <c r="G15" s="49"/>
      <c r="H15" s="50"/>
      <c r="I15" s="51"/>
    </row>
    <row r="16" spans="1:9" ht="20.25" x14ac:dyDescent="0.3">
      <c r="A16" s="57">
        <v>210096</v>
      </c>
      <c r="B16" s="57" t="s">
        <v>50</v>
      </c>
      <c r="C16" s="58" t="s">
        <v>78</v>
      </c>
      <c r="D16" s="59" t="s">
        <v>77</v>
      </c>
      <c r="E16" s="60">
        <v>385</v>
      </c>
      <c r="F16" s="61" t="s">
        <v>17</v>
      </c>
      <c r="G16" s="49"/>
      <c r="H16" s="50"/>
      <c r="I16" s="51"/>
    </row>
    <row r="17" spans="1:9" ht="20.25" x14ac:dyDescent="0.3">
      <c r="A17" s="62">
        <v>105000058</v>
      </c>
      <c r="B17" s="62" t="s">
        <v>51</v>
      </c>
      <c r="C17" s="63" t="s">
        <v>79</v>
      </c>
      <c r="D17" s="59" t="s">
        <v>18</v>
      </c>
      <c r="E17" s="60">
        <v>78</v>
      </c>
      <c r="F17" s="61" t="s">
        <v>17</v>
      </c>
      <c r="G17" s="49"/>
      <c r="H17" s="50"/>
      <c r="I17" s="51"/>
    </row>
    <row r="18" spans="1:9" ht="20.25" x14ac:dyDescent="0.3">
      <c r="A18" s="62">
        <v>910351</v>
      </c>
      <c r="B18" s="62" t="s">
        <v>52</v>
      </c>
      <c r="C18" s="63" t="s">
        <v>80</v>
      </c>
      <c r="D18" s="59" t="s">
        <v>81</v>
      </c>
      <c r="E18" s="60">
        <v>78</v>
      </c>
      <c r="F18" s="61" t="s">
        <v>17</v>
      </c>
      <c r="G18" s="49"/>
      <c r="H18" s="50"/>
      <c r="I18" s="51"/>
    </row>
    <row r="19" spans="1:9" ht="20.25" x14ac:dyDescent="0.3">
      <c r="A19" s="62">
        <v>110086</v>
      </c>
      <c r="B19" s="62" t="s">
        <v>53</v>
      </c>
      <c r="C19" s="63" t="s">
        <v>82</v>
      </c>
      <c r="D19" s="59" t="s">
        <v>72</v>
      </c>
      <c r="E19" s="60">
        <v>40</v>
      </c>
      <c r="F19" s="61" t="s">
        <v>17</v>
      </c>
      <c r="G19" s="49"/>
      <c r="H19" s="50"/>
      <c r="I19" s="51"/>
    </row>
    <row r="20" spans="1:9" ht="20.25" x14ac:dyDescent="0.3">
      <c r="A20" s="62">
        <v>105000009</v>
      </c>
      <c r="B20" s="62" t="s">
        <v>54</v>
      </c>
      <c r="C20" s="63" t="s">
        <v>83</v>
      </c>
      <c r="D20" s="59" t="s">
        <v>84</v>
      </c>
      <c r="E20" s="60">
        <v>62</v>
      </c>
      <c r="F20" s="61" t="s">
        <v>17</v>
      </c>
      <c r="G20" s="49"/>
      <c r="H20" s="50"/>
      <c r="I20" s="51"/>
    </row>
    <row r="21" spans="1:9" ht="20.25" x14ac:dyDescent="0.3">
      <c r="A21" s="62">
        <v>101045</v>
      </c>
      <c r="B21" s="62" t="s">
        <v>55</v>
      </c>
      <c r="C21" s="63" t="s">
        <v>85</v>
      </c>
      <c r="D21" s="59" t="s">
        <v>72</v>
      </c>
      <c r="E21" s="60">
        <v>195</v>
      </c>
      <c r="F21" s="61" t="s">
        <v>17</v>
      </c>
      <c r="G21" s="49"/>
      <c r="H21" s="50"/>
      <c r="I21" s="51"/>
    </row>
    <row r="22" spans="1:9" ht="20.25" x14ac:dyDescent="0.3">
      <c r="A22" s="62" t="s">
        <v>37</v>
      </c>
      <c r="B22" s="62"/>
      <c r="C22" s="63" t="s">
        <v>19</v>
      </c>
      <c r="D22" s="59" t="s">
        <v>36</v>
      </c>
      <c r="E22" s="60">
        <v>5800</v>
      </c>
      <c r="F22" s="61" t="s">
        <v>17</v>
      </c>
      <c r="G22" s="49"/>
      <c r="H22" s="50"/>
      <c r="I22" s="51"/>
    </row>
    <row r="23" spans="1:9" ht="20.25" x14ac:dyDescent="0.3">
      <c r="A23" s="57"/>
      <c r="B23" s="57"/>
      <c r="C23" s="58" t="s">
        <v>86</v>
      </c>
      <c r="D23" s="64" t="s">
        <v>36</v>
      </c>
      <c r="E23" s="60">
        <v>3225</v>
      </c>
      <c r="F23" s="65" t="s">
        <v>17</v>
      </c>
      <c r="G23" s="49"/>
      <c r="H23" s="50"/>
      <c r="I23" s="51"/>
    </row>
    <row r="24" spans="1:9" ht="20.25" x14ac:dyDescent="0.3">
      <c r="A24" s="57">
        <v>90100129</v>
      </c>
      <c r="B24" s="57" t="s">
        <v>56</v>
      </c>
      <c r="C24" s="58" t="s">
        <v>87</v>
      </c>
      <c r="D24" s="59" t="s">
        <v>36</v>
      </c>
      <c r="E24" s="60">
        <v>115</v>
      </c>
      <c r="F24" s="61" t="s">
        <v>17</v>
      </c>
      <c r="G24" s="49"/>
      <c r="H24" s="50"/>
      <c r="I24" s="51"/>
    </row>
    <row r="25" spans="1:9" ht="20.25" x14ac:dyDescent="0.3">
      <c r="A25" s="66">
        <v>610253</v>
      </c>
      <c r="B25" s="62" t="s">
        <v>57</v>
      </c>
      <c r="C25" s="67" t="s">
        <v>88</v>
      </c>
      <c r="D25" s="68" t="s">
        <v>89</v>
      </c>
      <c r="E25" s="69">
        <v>155</v>
      </c>
      <c r="F25" s="61" t="s">
        <v>17</v>
      </c>
      <c r="G25" s="49"/>
      <c r="H25" s="50"/>
      <c r="I25" s="51"/>
    </row>
    <row r="26" spans="1:9" ht="20.25" x14ac:dyDescent="0.3">
      <c r="A26" s="66">
        <v>1212412</v>
      </c>
      <c r="B26" s="62" t="s">
        <v>58</v>
      </c>
      <c r="C26" s="67" t="s">
        <v>90</v>
      </c>
      <c r="D26" s="68" t="s">
        <v>91</v>
      </c>
      <c r="E26" s="69">
        <v>8</v>
      </c>
      <c r="F26" s="61" t="s">
        <v>17</v>
      </c>
      <c r="G26" s="49"/>
      <c r="H26" s="50"/>
      <c r="I26" s="51"/>
    </row>
    <row r="27" spans="1:9" ht="20.25" x14ac:dyDescent="0.3">
      <c r="A27" s="66"/>
      <c r="B27" s="62"/>
      <c r="C27" s="67"/>
      <c r="D27" s="68"/>
      <c r="E27" s="69"/>
      <c r="F27" s="61"/>
      <c r="G27" s="49"/>
      <c r="H27" s="50"/>
      <c r="I27" s="51"/>
    </row>
    <row r="28" spans="1:9" ht="20.25" x14ac:dyDescent="0.3">
      <c r="A28" s="62"/>
      <c r="B28" s="62"/>
      <c r="C28" s="70"/>
      <c r="D28" s="71"/>
      <c r="E28" s="71"/>
      <c r="F28" s="72"/>
      <c r="G28" s="49"/>
      <c r="H28" s="50"/>
      <c r="I28" s="51"/>
    </row>
    <row r="29" spans="1:9" ht="20.25" x14ac:dyDescent="0.3">
      <c r="A29" s="73"/>
      <c r="B29" s="74"/>
      <c r="C29" s="75" t="s">
        <v>92</v>
      </c>
      <c r="D29" s="76"/>
      <c r="E29" s="77"/>
      <c r="F29" s="72"/>
      <c r="G29" s="49"/>
      <c r="H29" s="50"/>
      <c r="I29" s="51"/>
    </row>
    <row r="30" spans="1:9" ht="20.25" x14ac:dyDescent="0.3">
      <c r="A30" s="80"/>
      <c r="B30" s="80"/>
      <c r="C30" s="78"/>
      <c r="D30" s="79"/>
      <c r="E30" s="71"/>
      <c r="F30" s="72"/>
      <c r="G30" s="49"/>
      <c r="H30" s="50"/>
      <c r="I30" s="51"/>
    </row>
    <row r="31" spans="1:9" ht="20.25" x14ac:dyDescent="0.3">
      <c r="A31" s="62"/>
      <c r="B31" s="62"/>
      <c r="C31" s="70"/>
      <c r="D31" s="71"/>
      <c r="E31" s="76"/>
      <c r="F31" s="72"/>
      <c r="G31" s="49"/>
      <c r="H31" s="50"/>
      <c r="I31" s="51"/>
    </row>
    <row r="32" spans="1:9" ht="20.25" x14ac:dyDescent="0.3">
      <c r="A32" s="62"/>
      <c r="B32" s="62"/>
      <c r="C32" s="70"/>
      <c r="D32" s="68"/>
      <c r="E32" s="81"/>
      <c r="F32" s="82"/>
      <c r="G32" s="49"/>
      <c r="H32" s="50"/>
      <c r="I32" s="51"/>
    </row>
    <row r="33" spans="1:13" ht="20.25" x14ac:dyDescent="0.3">
      <c r="A33" s="83"/>
      <c r="B33" s="84"/>
      <c r="C33" s="85" t="s">
        <v>66</v>
      </c>
      <c r="D33" s="86"/>
      <c r="E33" s="49"/>
      <c r="F33" s="50"/>
      <c r="G33" s="49"/>
      <c r="H33" s="50"/>
      <c r="I33" s="51"/>
    </row>
    <row r="34" spans="1:13" ht="20.25" x14ac:dyDescent="0.3">
      <c r="A34" s="87">
        <v>512000002</v>
      </c>
      <c r="B34" s="87" t="s">
        <v>59</v>
      </c>
      <c r="C34" s="88" t="s">
        <v>93</v>
      </c>
      <c r="D34" s="68" t="s">
        <v>94</v>
      </c>
      <c r="E34" s="69">
        <v>270</v>
      </c>
      <c r="F34" s="61" t="s">
        <v>20</v>
      </c>
      <c r="G34" s="49"/>
      <c r="H34" s="50"/>
      <c r="I34" s="51"/>
    </row>
    <row r="35" spans="1:13" ht="20.25" x14ac:dyDescent="0.3">
      <c r="A35" s="73"/>
      <c r="B35" s="74"/>
      <c r="C35" s="89"/>
      <c r="D35" s="76"/>
      <c r="E35" s="71"/>
      <c r="F35" s="72"/>
      <c r="G35" s="71"/>
      <c r="H35" s="76"/>
      <c r="I35" s="51"/>
    </row>
    <row r="36" spans="1:13" ht="20.25" x14ac:dyDescent="0.3">
      <c r="A36" s="73"/>
      <c r="B36" s="74"/>
      <c r="C36" s="89"/>
      <c r="D36" s="76"/>
      <c r="E36" s="71"/>
      <c r="F36" s="72"/>
      <c r="G36" s="71"/>
      <c r="H36" s="72"/>
      <c r="I36" s="51"/>
    </row>
    <row r="37" spans="1:13" ht="20.25" x14ac:dyDescent="0.3">
      <c r="A37" s="73"/>
      <c r="B37" s="74"/>
      <c r="C37" s="89"/>
      <c r="D37" s="76"/>
      <c r="E37" s="76"/>
      <c r="F37" s="72"/>
      <c r="G37" s="76"/>
      <c r="H37" s="76"/>
      <c r="I37" s="51"/>
    </row>
    <row r="38" spans="1:13" ht="21" thickBot="1" x14ac:dyDescent="0.35">
      <c r="A38" s="90"/>
      <c r="B38" s="91"/>
      <c r="C38" s="92"/>
      <c r="D38" s="92"/>
      <c r="E38" s="93"/>
      <c r="F38" s="94"/>
      <c r="G38" s="92"/>
      <c r="H38" s="92"/>
      <c r="I38" s="95"/>
      <c r="J38" s="12"/>
      <c r="K38" s="12"/>
      <c r="L38" s="13"/>
      <c r="M38" s="12"/>
    </row>
    <row r="39" spans="1:13" ht="21" thickBot="1" x14ac:dyDescent="0.35">
      <c r="A39" s="96"/>
      <c r="B39" s="97"/>
      <c r="C39" s="98"/>
      <c r="D39" s="99" t="s">
        <v>14</v>
      </c>
      <c r="E39" s="100" t="s">
        <v>21</v>
      </c>
      <c r="F39" s="101"/>
      <c r="G39" s="98"/>
      <c r="H39" s="98"/>
      <c r="I39" s="102"/>
      <c r="J39" s="12"/>
      <c r="K39" s="12"/>
      <c r="L39" s="13"/>
      <c r="M39" s="12"/>
    </row>
    <row r="40" spans="1:13" ht="20.25" x14ac:dyDescent="0.3">
      <c r="A40" s="103" t="s">
        <v>22</v>
      </c>
      <c r="B40" s="104"/>
      <c r="C40" s="105"/>
      <c r="D40" s="106">
        <v>5775</v>
      </c>
      <c r="E40" s="107" t="s">
        <v>17</v>
      </c>
      <c r="F40" s="108" t="s">
        <v>23</v>
      </c>
      <c r="G40" s="108"/>
      <c r="H40" s="109"/>
      <c r="I40" s="110"/>
      <c r="J40" s="12"/>
      <c r="K40" s="12"/>
      <c r="L40" s="13"/>
      <c r="M40" s="12"/>
    </row>
    <row r="41" spans="1:13" ht="20.25" x14ac:dyDescent="0.3">
      <c r="A41" s="111" t="s">
        <v>24</v>
      </c>
      <c r="B41" s="112"/>
      <c r="C41" s="113"/>
      <c r="D41" s="114">
        <v>20</v>
      </c>
      <c r="E41" s="62" t="s">
        <v>40</v>
      </c>
      <c r="F41" s="115" t="s">
        <v>25</v>
      </c>
      <c r="G41" s="115"/>
      <c r="H41" s="116"/>
      <c r="I41" s="117"/>
      <c r="J41" s="12"/>
      <c r="K41" s="12"/>
      <c r="L41" s="13"/>
      <c r="M41" s="12"/>
    </row>
    <row r="42" spans="1:13" ht="20.25" x14ac:dyDescent="0.3">
      <c r="A42" s="111" t="s">
        <v>26</v>
      </c>
      <c r="B42" s="112"/>
      <c r="C42" s="113"/>
      <c r="D42" s="62">
        <v>1</v>
      </c>
      <c r="E42" s="62" t="s">
        <v>97</v>
      </c>
      <c r="F42" s="115" t="s">
        <v>27</v>
      </c>
      <c r="G42" s="115"/>
      <c r="H42" s="116"/>
      <c r="I42" s="117"/>
      <c r="J42" s="12"/>
      <c r="K42" s="12"/>
      <c r="L42" s="13"/>
      <c r="M42" s="12"/>
    </row>
    <row r="43" spans="1:13" ht="20.25" x14ac:dyDescent="0.3">
      <c r="A43" s="111" t="s">
        <v>28</v>
      </c>
      <c r="B43" s="112"/>
      <c r="C43" s="113"/>
      <c r="D43" s="106">
        <v>5775</v>
      </c>
      <c r="E43" s="62" t="s">
        <v>17</v>
      </c>
      <c r="F43" s="118" t="s">
        <v>29</v>
      </c>
      <c r="G43" s="119"/>
      <c r="H43" s="116" t="s">
        <v>96</v>
      </c>
      <c r="I43" s="117"/>
      <c r="J43" s="12"/>
      <c r="K43" s="12"/>
      <c r="L43" s="13"/>
      <c r="M43" s="14"/>
    </row>
    <row r="44" spans="1:13" ht="21" thickBot="1" x14ac:dyDescent="0.35">
      <c r="A44" s="120" t="s">
        <v>30</v>
      </c>
      <c r="B44" s="121"/>
      <c r="C44" s="122"/>
      <c r="D44" s="123">
        <f>SUM(E10:E26)-D40</f>
        <v>11585.599999999999</v>
      </c>
      <c r="E44" s="124" t="s">
        <v>17</v>
      </c>
      <c r="F44" s="125"/>
      <c r="G44" s="125"/>
      <c r="H44" s="126"/>
      <c r="I44" s="127"/>
      <c r="J44" s="11"/>
      <c r="K44" s="11"/>
      <c r="L44" s="13"/>
      <c r="M44" s="11"/>
    </row>
    <row r="45" spans="1:13" ht="21" thickBot="1" x14ac:dyDescent="0.35">
      <c r="A45" s="152" t="s">
        <v>31</v>
      </c>
      <c r="B45" s="153"/>
      <c r="C45" s="153"/>
      <c r="D45" s="153"/>
      <c r="E45" s="153"/>
      <c r="F45" s="153"/>
      <c r="G45" s="153"/>
      <c r="H45" s="153"/>
      <c r="I45" s="154"/>
      <c r="J45" s="12"/>
      <c r="K45" s="12"/>
      <c r="L45" s="12"/>
      <c r="M45" s="12"/>
    </row>
    <row r="46" spans="1:13" ht="21" thickBot="1" x14ac:dyDescent="0.35">
      <c r="A46" s="128" t="s">
        <v>42</v>
      </c>
      <c r="B46" s="129"/>
      <c r="C46" s="130"/>
      <c r="D46" s="130"/>
      <c r="E46" s="130"/>
      <c r="F46" s="130"/>
      <c r="G46" s="130"/>
      <c r="H46" s="130"/>
      <c r="I46" s="131"/>
      <c r="J46" s="12"/>
      <c r="K46" s="12"/>
      <c r="L46" s="12"/>
      <c r="M46" s="12"/>
    </row>
    <row r="47" spans="1:13" ht="21" thickBot="1" x14ac:dyDescent="0.35">
      <c r="A47" s="132" t="s">
        <v>41</v>
      </c>
      <c r="B47" s="133"/>
      <c r="C47" s="134"/>
      <c r="D47" s="134"/>
      <c r="E47" s="134"/>
      <c r="F47" s="134"/>
      <c r="G47" s="134"/>
      <c r="H47" s="134"/>
      <c r="I47" s="135"/>
      <c r="J47" s="12"/>
      <c r="K47" s="12"/>
      <c r="L47" s="12"/>
      <c r="M47" s="12"/>
    </row>
    <row r="48" spans="1:13" ht="20.25" x14ac:dyDescent="0.3">
      <c r="A48" s="132" t="s">
        <v>61</v>
      </c>
      <c r="B48" s="133"/>
      <c r="C48" s="134"/>
      <c r="D48" s="134"/>
      <c r="E48" s="134"/>
      <c r="F48" s="134"/>
      <c r="G48" s="134"/>
      <c r="H48" s="134"/>
      <c r="I48" s="135"/>
      <c r="J48" s="12"/>
      <c r="K48" s="12"/>
      <c r="L48" s="12"/>
      <c r="M48" s="12"/>
    </row>
    <row r="49" spans="1:13" ht="20.25" x14ac:dyDescent="0.3">
      <c r="A49" s="136" t="s">
        <v>32</v>
      </c>
      <c r="B49" s="137"/>
      <c r="C49" s="137"/>
      <c r="D49" s="137"/>
      <c r="E49" s="137"/>
      <c r="F49" s="137"/>
      <c r="G49" s="137"/>
      <c r="H49" s="137"/>
      <c r="I49" s="138"/>
      <c r="J49" s="12"/>
      <c r="K49" s="12"/>
      <c r="L49" s="12"/>
      <c r="M49" s="12"/>
    </row>
    <row r="50" spans="1:13" ht="45.75" customHeight="1" x14ac:dyDescent="0.3">
      <c r="A50" s="139" t="s">
        <v>33</v>
      </c>
      <c r="B50" s="140"/>
      <c r="C50" s="141"/>
      <c r="D50" s="141"/>
      <c r="E50" s="141"/>
      <c r="F50" s="141"/>
      <c r="G50" s="141"/>
      <c r="H50" s="141"/>
      <c r="I50" s="142"/>
      <c r="J50" s="12"/>
      <c r="K50" s="12"/>
      <c r="L50" s="12"/>
      <c r="M50" s="12"/>
    </row>
    <row r="51" spans="1:13" ht="20.25" x14ac:dyDescent="0.3">
      <c r="A51" s="143" t="s">
        <v>34</v>
      </c>
      <c r="B51" s="144"/>
      <c r="C51" s="144"/>
      <c r="D51" s="144"/>
      <c r="E51" s="144"/>
      <c r="F51" s="144"/>
      <c r="G51" s="144"/>
      <c r="H51" s="144"/>
      <c r="I51" s="145"/>
      <c r="J51" s="12"/>
      <c r="K51" s="12"/>
      <c r="L51" s="12"/>
      <c r="M51" s="12"/>
    </row>
    <row r="52" spans="1:13" ht="20.25" x14ac:dyDescent="0.3">
      <c r="A52" s="143" t="s">
        <v>35</v>
      </c>
      <c r="B52" s="144"/>
      <c r="C52" s="144"/>
      <c r="D52" s="144"/>
      <c r="E52" s="144"/>
      <c r="F52" s="144"/>
      <c r="G52" s="144"/>
      <c r="H52" s="144"/>
      <c r="I52" s="145"/>
      <c r="J52" s="12"/>
      <c r="K52" s="12"/>
      <c r="L52" s="12"/>
      <c r="M52" s="12"/>
    </row>
    <row r="53" spans="1:13" ht="20.25" x14ac:dyDescent="0.3">
      <c r="A53" s="146"/>
      <c r="B53" s="147"/>
      <c r="C53" s="147"/>
      <c r="D53" s="147"/>
      <c r="E53" s="147"/>
      <c r="F53" s="147"/>
      <c r="G53" s="147"/>
      <c r="H53" s="147"/>
      <c r="I53" s="148"/>
      <c r="J53" s="12"/>
      <c r="K53" s="12"/>
      <c r="L53" s="12"/>
      <c r="M53" s="12"/>
    </row>
    <row r="54" spans="1:13" ht="20.25" x14ac:dyDescent="0.3">
      <c r="A54" s="155"/>
      <c r="B54" s="156"/>
      <c r="C54" s="156"/>
      <c r="D54" s="156"/>
      <c r="E54" s="156"/>
      <c r="F54" s="156"/>
      <c r="G54" s="156"/>
      <c r="H54" s="156"/>
      <c r="I54" s="157"/>
      <c r="J54" s="12"/>
      <c r="K54" s="12"/>
      <c r="L54" s="12"/>
      <c r="M54" s="12"/>
    </row>
    <row r="55" spans="1:13" ht="20.25" x14ac:dyDescent="0.3">
      <c r="A55" s="158" t="s">
        <v>95</v>
      </c>
      <c r="B55" s="158"/>
      <c r="C55" s="158"/>
      <c r="D55" s="158"/>
      <c r="E55" s="158"/>
      <c r="F55" s="158"/>
      <c r="G55" s="158"/>
      <c r="H55" s="158"/>
      <c r="I55" s="158"/>
      <c r="J55" s="12"/>
      <c r="K55" s="12"/>
      <c r="L55" s="12"/>
      <c r="M55" s="12"/>
    </row>
    <row r="56" spans="1:13" ht="20.25" x14ac:dyDescent="0.3">
      <c r="A56" s="159"/>
      <c r="B56" s="159"/>
      <c r="C56" s="159"/>
      <c r="D56" s="159"/>
      <c r="E56" s="159"/>
      <c r="F56" s="159"/>
      <c r="G56" s="159"/>
      <c r="H56" s="159"/>
      <c r="I56" s="159"/>
      <c r="J56" s="12"/>
      <c r="K56" s="12"/>
      <c r="L56" s="12"/>
      <c r="M56" s="12"/>
    </row>
    <row r="57" spans="1:13" ht="20.25" x14ac:dyDescent="0.3">
      <c r="A57" s="159"/>
      <c r="B57" s="159"/>
      <c r="C57" s="159"/>
      <c r="D57" s="159"/>
      <c r="E57" s="159"/>
      <c r="F57" s="159"/>
      <c r="G57" s="159"/>
      <c r="H57" s="159"/>
      <c r="I57" s="15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8DA83F-DBB3-4385-BFDE-11D00DB44A8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4E33625-2D07-4013-80AD-DACC225D983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B2A419B-530C-4B01-AE94-7298667C644C}"/>
</file>

<file path=customXml/itemProps4.xml><?xml version="1.0" encoding="utf-8"?>
<ds:datastoreItem xmlns:ds="http://schemas.openxmlformats.org/officeDocument/2006/customXml" ds:itemID="{275306B3-DDD0-4D4E-AD37-4F525FE5C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mvargas</dc:creator>
  <cp:keywords/>
  <dc:description/>
  <cp:lastModifiedBy>Allan Brenes</cp:lastModifiedBy>
  <cp:revision/>
  <cp:lastPrinted>2026-01-28T17:50:54Z</cp:lastPrinted>
  <dcterms:created xsi:type="dcterms:W3CDTF">2006-04-03T16:51:14Z</dcterms:created>
  <dcterms:modified xsi:type="dcterms:W3CDTF">2026-01-28T17:51:49Z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r8>98400</vt:r8>
  </property>
  <property fmtid="{D5CDD505-2E9C-101B-9397-08002B2CF9AE}" pid="4" name="display_urn:schemas-microsoft-com:office:office#Author">
    <vt:lpwstr>Liseth Lopez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
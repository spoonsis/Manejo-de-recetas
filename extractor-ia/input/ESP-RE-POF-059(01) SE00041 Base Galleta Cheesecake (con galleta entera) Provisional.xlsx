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0" documentId="8_{4D92A58F-134F-4E8F-98F4-68F90EDBAC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samble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7" l="1"/>
  <c r="P28" i="17"/>
  <c r="J11" i="17"/>
  <c r="K11" i="17" s="1"/>
  <c r="K20" i="17"/>
  <c r="N12" i="17"/>
  <c r="J10" i="17"/>
  <c r="K10" i="17" s="1"/>
  <c r="J14" i="17"/>
  <c r="K14" i="17" s="1"/>
  <c r="J13" i="17"/>
  <c r="K13" i="17" s="1"/>
  <c r="J12" i="17"/>
  <c r="K12" i="17" s="1"/>
</calcChain>
</file>

<file path=xl/sharedStrings.xml><?xml version="1.0" encoding="utf-8"?>
<sst xmlns="http://schemas.openxmlformats.org/spreadsheetml/2006/main" count="74" uniqueCount="63">
  <si>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</si>
  <si>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</si>
  <si>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</si>
  <si>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</si>
  <si>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</si>
  <si>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</si>
  <si>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</si>
  <si>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</si>
  <si>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</si>
  <si>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</si>
  <si>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</si>
  <si>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</si>
  <si>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</si>
  <si>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</si>
  <si>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</si>
  <si>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</si>
  <si>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</si>
  <si>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</si>
  <si>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</si>
  <si>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</si>
  <si>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Unidad</t>
  </si>
  <si>
    <t>CANTIDAD DE PORCIONES OBTENIDAS</t>
  </si>
  <si>
    <t>Tanda</t>
  </si>
  <si>
    <t>PESO DE CADA PORCIÓN</t>
  </si>
  <si>
    <t>MERMA</t>
  </si>
  <si>
    <t>PROCEDIMIENTO DE PREPARACION DE LA  RECETA</t>
  </si>
  <si>
    <t>min</t>
  </si>
  <si>
    <t>1.- Derretir la lactocrema. No hervir.</t>
  </si>
  <si>
    <t>Postres</t>
  </si>
  <si>
    <t>POZUELO</t>
  </si>
  <si>
    <t>LACTOCREMA GRANEL (CAJA:25 KG)</t>
  </si>
  <si>
    <t>DOS PINOS</t>
  </si>
  <si>
    <t>1212410</t>
  </si>
  <si>
    <t>PRESERVANTE 1047S (PAQ=5 KILO)</t>
  </si>
  <si>
    <t>MP10008</t>
  </si>
  <si>
    <t>0310107</t>
  </si>
  <si>
    <t>MP10022</t>
  </si>
  <si>
    <t>906000002</t>
  </si>
  <si>
    <t>SE00204</t>
  </si>
  <si>
    <t>FAS</t>
  </si>
  <si>
    <t xml:space="preserve">2, Mezclar la galletas procesada con el azucar y la lactocrema, en batidora con paleta, hasta homogeneo. </t>
  </si>
  <si>
    <t># Código Netsuite</t>
  </si>
  <si>
    <t>Medida alternativa</t>
  </si>
  <si>
    <t>Ensamble</t>
  </si>
  <si>
    <t>CORTE GALLETA CHILENA GRANDE</t>
  </si>
  <si>
    <t>Decoración</t>
  </si>
  <si>
    <t>Empaque</t>
  </si>
  <si>
    <t>Tiempo de Horneo:</t>
  </si>
  <si>
    <t>Horno:</t>
  </si>
  <si>
    <t>Temperatura de Horneo:</t>
  </si>
  <si>
    <t>Otros</t>
  </si>
  <si>
    <t>90100132</t>
  </si>
  <si>
    <t>SE00226</t>
  </si>
  <si>
    <t>EMPAQUE AZUCAR REFINO</t>
  </si>
  <si>
    <t>VICTORIA</t>
  </si>
  <si>
    <t>Mariela Barrantes, Chef</t>
  </si>
  <si>
    <t>Sebastian Díaz, Gte Manufactura</t>
  </si>
  <si>
    <t xml:space="preserve">Galleta Yemita Entera </t>
  </si>
  <si>
    <t>SE00041 Base Galleta Cheesecake (con galleta entera) Provisional</t>
  </si>
  <si>
    <t>MP10913</t>
  </si>
  <si>
    <t>ESP-RE-POF-059</t>
  </si>
  <si>
    <t>01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</si>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</sst>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6"/>
      <name val="Arial"/>
      <family val="2"/>
    </font>
    <font>
      <b/>
      <i/>
      <sz val="18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0">
    <xf numFmtId="0" fontId="0" fillId="0" borderId="0" xfId="0"/>
    <xf numFmtId="0" fontId="8" fillId="2" borderId="1" xfId="2" applyFont="1" applyFill="1" applyBorder="1" applyAlignment="1">
      <alignment horizontal="right"/>
    </xf>
    <xf numFmtId="0" fontId="8" fillId="2" borderId="2" xfId="2" applyFont="1" applyFill="1" applyBorder="1" applyAlignment="1">
      <alignment horizontal="right"/>
    </xf>
    <xf numFmtId="49" fontId="6" fillId="2" borderId="3" xfId="2" applyNumberFormat="1" applyFont="1" applyFill="1" applyBorder="1" applyAlignment="1">
      <alignment horizontal="center"/>
    </xf>
    <xf numFmtId="0" fontId="6" fillId="2" borderId="9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right"/>
    </xf>
    <xf numFmtId="0" fontId="8" fillId="3" borderId="6" xfId="1" applyFont="1" applyFill="1" applyBorder="1" applyAlignment="1">
      <alignment horizontal="center" vertical="center" wrapText="1"/>
    </xf>
    <xf numFmtId="1" fontId="8" fillId="3" borderId="7" xfId="1" applyNumberFormat="1" applyFont="1" applyFill="1" applyBorder="1" applyAlignment="1">
      <alignment horizontal="center"/>
    </xf>
    <xf numFmtId="1" fontId="8" fillId="3" borderId="7" xfId="1" applyNumberFormat="1" applyFont="1" applyFill="1" applyBorder="1" applyAlignment="1">
      <alignment horizontal="center" wrapText="1"/>
    </xf>
    <xf numFmtId="0" fontId="8" fillId="3" borderId="8" xfId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5" borderId="2" xfId="0" applyFont="1" applyFill="1" applyBorder="1"/>
    <xf numFmtId="0" fontId="9" fillId="0" borderId="18" xfId="0" quotePrefix="1" applyFont="1" applyBorder="1" applyAlignment="1">
      <alignment horizontal="center"/>
    </xf>
    <xf numFmtId="0" fontId="9" fillId="0" borderId="19" xfId="0" quotePrefix="1" applyFont="1" applyBorder="1" applyAlignment="1">
      <alignment horizontal="center"/>
    </xf>
    <xf numFmtId="0" fontId="9" fillId="0" borderId="2" xfId="0" quotePrefix="1" applyFont="1" applyBorder="1"/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/>
    <xf numFmtId="0" fontId="9" fillId="0" borderId="2" xfId="0" applyFont="1" applyBorder="1"/>
    <xf numFmtId="0" fontId="9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" fontId="9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12" fontId="9" fillId="0" borderId="9" xfId="0" applyNumberFormat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1" fontId="9" fillId="0" borderId="2" xfId="1" applyNumberFormat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1" fontId="9" fillId="0" borderId="2" xfId="1" applyNumberFormat="1" applyFont="1" applyBorder="1" applyAlignment="1">
      <alignment horizontal="center" wrapText="1"/>
    </xf>
    <xf numFmtId="0" fontId="9" fillId="5" borderId="2" xfId="1" applyFont="1" applyFill="1" applyBorder="1" applyAlignment="1">
      <alignment horizontal="center"/>
    </xf>
    <xf numFmtId="1" fontId="11" fillId="0" borderId="2" xfId="1" applyNumberFormat="1" applyFont="1" applyBorder="1" applyAlignment="1">
      <alignment horizontal="center"/>
    </xf>
    <xf numFmtId="49" fontId="9" fillId="0" borderId="18" xfId="1" applyNumberFormat="1" applyFont="1" applyBorder="1" applyAlignment="1">
      <alignment horizontal="center"/>
    </xf>
    <xf numFmtId="49" fontId="9" fillId="0" borderId="19" xfId="1" applyNumberFormat="1" applyFont="1" applyBorder="1" applyAlignment="1">
      <alignment horizontal="center"/>
    </xf>
    <xf numFmtId="0" fontId="11" fillId="5" borderId="2" xfId="1" applyFont="1" applyFill="1" applyBorder="1" applyAlignment="1">
      <alignment horizontal="left"/>
    </xf>
    <xf numFmtId="165" fontId="9" fillId="0" borderId="2" xfId="1" applyNumberFormat="1" applyFont="1" applyBorder="1" applyAlignment="1">
      <alignment horizontal="center"/>
    </xf>
    <xf numFmtId="1" fontId="11" fillId="0" borderId="2" xfId="1" applyNumberFormat="1" applyFont="1" applyBorder="1" applyAlignment="1">
      <alignment horizontal="center" wrapText="1"/>
    </xf>
    <xf numFmtId="0" fontId="12" fillId="5" borderId="18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9" xfId="0" applyFont="1" applyFill="1" applyBorder="1"/>
    <xf numFmtId="0" fontId="9" fillId="5" borderId="19" xfId="0" applyFont="1" applyFill="1" applyBorder="1" applyAlignment="1">
      <alignment horizontal="center"/>
    </xf>
    <xf numFmtId="1" fontId="9" fillId="5" borderId="9" xfId="0" applyNumberFormat="1" applyFont="1" applyFill="1" applyBorder="1" applyAlignment="1">
      <alignment horizontal="center"/>
    </xf>
    <xf numFmtId="1" fontId="9" fillId="5" borderId="9" xfId="0" applyNumberFormat="1" applyFont="1" applyFill="1" applyBorder="1" applyAlignment="1">
      <alignment horizontal="center" wrapText="1"/>
    </xf>
    <xf numFmtId="49" fontId="9" fillId="5" borderId="9" xfId="0" applyNumberFormat="1" applyFont="1" applyFill="1" applyBorder="1" applyAlignment="1">
      <alignment horizontal="center"/>
    </xf>
    <xf numFmtId="1" fontId="9" fillId="5" borderId="2" xfId="1" applyNumberFormat="1" applyFont="1" applyFill="1" applyBorder="1" applyAlignment="1">
      <alignment horizontal="center"/>
    </xf>
    <xf numFmtId="1" fontId="9" fillId="0" borderId="9" xfId="0" applyNumberFormat="1" applyFont="1" applyBorder="1" applyAlignment="1">
      <alignment horizontal="center" wrapText="1"/>
    </xf>
    <xf numFmtId="16" fontId="9" fillId="0" borderId="2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49" fontId="11" fillId="0" borderId="27" xfId="1" applyNumberFormat="1" applyFont="1" applyBorder="1" applyAlignment="1">
      <alignment horizontal="center"/>
    </xf>
    <xf numFmtId="49" fontId="11" fillId="0" borderId="28" xfId="1" applyNumberFormat="1" applyFont="1" applyBorder="1" applyAlignment="1">
      <alignment horizontal="center"/>
    </xf>
    <xf numFmtId="0" fontId="13" fillId="5" borderId="2" xfId="1" applyFont="1" applyFill="1" applyBorder="1" applyAlignment="1">
      <alignment vertical="center"/>
    </xf>
    <xf numFmtId="0" fontId="11" fillId="0" borderId="19" xfId="1" applyFont="1" applyBorder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2" xfId="0" applyNumberFormat="1" applyFont="1" applyBorder="1"/>
    <xf numFmtId="166" fontId="11" fillId="5" borderId="2" xfId="5" applyNumberFormat="1" applyFont="1" applyFill="1" applyBorder="1" applyAlignment="1">
      <alignment horizontal="center"/>
    </xf>
    <xf numFmtId="49" fontId="9" fillId="0" borderId="2" xfId="1" applyNumberFormat="1" applyFont="1" applyBorder="1"/>
    <xf numFmtId="49" fontId="14" fillId="2" borderId="11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5" xfId="1" applyFont="1" applyFill="1" applyBorder="1" applyAlignment="1">
      <alignment horizontal="center"/>
    </xf>
    <xf numFmtId="0" fontId="9" fillId="3" borderId="12" xfId="1" applyFont="1" applyFill="1" applyBorder="1" applyAlignment="1">
      <alignment horizontal="center"/>
    </xf>
    <xf numFmtId="0" fontId="9" fillId="3" borderId="13" xfId="1" applyFont="1" applyFill="1" applyBorder="1" applyAlignment="1">
      <alignment horizontal="center"/>
    </xf>
    <xf numFmtId="0" fontId="9" fillId="3" borderId="13" xfId="1" applyFont="1" applyFill="1" applyBorder="1"/>
    <xf numFmtId="0" fontId="11" fillId="3" borderId="13" xfId="1" applyFont="1" applyFill="1" applyBorder="1" applyAlignment="1">
      <alignment horizontal="center"/>
    </xf>
    <xf numFmtId="1" fontId="11" fillId="3" borderId="13" xfId="1" applyNumberFormat="1" applyFont="1" applyFill="1" applyBorder="1" applyAlignment="1">
      <alignment horizontal="center"/>
    </xf>
    <xf numFmtId="164" fontId="9" fillId="3" borderId="13" xfId="1" applyNumberFormat="1" applyFont="1" applyFill="1" applyBorder="1" applyAlignment="1">
      <alignment horizontal="center" wrapText="1"/>
    </xf>
    <xf numFmtId="0" fontId="9" fillId="3" borderId="14" xfId="1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18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14" fontId="15" fillId="2" borderId="0" xfId="2" applyNumberFormat="1" applyFont="1" applyFill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2" fontId="0" fillId="0" borderId="0" xfId="0" applyNumberFormat="1"/>
    <xf numFmtId="0" fontId="9" fillId="2" borderId="30" xfId="2" applyFont="1" applyFill="1" applyBorder="1" applyAlignment="1">
      <alignment horizontal="left"/>
    </xf>
    <xf numFmtId="0" fontId="9" fillId="2" borderId="31" xfId="2" applyFont="1" applyFill="1" applyBorder="1" applyAlignment="1">
      <alignment horizontal="left"/>
    </xf>
    <xf numFmtId="0" fontId="9" fillId="2" borderId="42" xfId="2" applyFont="1" applyFill="1" applyBorder="1" applyAlignment="1">
      <alignment horizontal="left"/>
    </xf>
    <xf numFmtId="0" fontId="9" fillId="2" borderId="2" xfId="2" applyFont="1" applyFill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11" fillId="0" borderId="25" xfId="1" applyFont="1" applyBorder="1" applyAlignment="1">
      <alignment horizontal="left" wrapText="1"/>
    </xf>
    <xf numFmtId="0" fontId="11" fillId="0" borderId="26" xfId="1" applyFont="1" applyBorder="1" applyAlignment="1">
      <alignment horizontal="left" wrapText="1"/>
    </xf>
    <xf numFmtId="0" fontId="11" fillId="0" borderId="29" xfId="1" applyFont="1" applyBorder="1" applyAlignment="1">
      <alignment horizontal="left" wrapText="1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6" borderId="41" xfId="2" applyFont="1" applyFill="1" applyBorder="1" applyAlignment="1">
      <alignment horizontal="center"/>
    </xf>
    <xf numFmtId="0" fontId="11" fillId="6" borderId="31" xfId="2" applyFont="1" applyFill="1" applyBorder="1" applyAlignment="1">
      <alignment horizontal="center"/>
    </xf>
    <xf numFmtId="0" fontId="11" fillId="0" borderId="27" xfId="1" applyFont="1" applyBorder="1" applyAlignment="1">
      <alignment horizontal="right"/>
    </xf>
    <xf numFmtId="0" fontId="11" fillId="0" borderId="28" xfId="1" applyFont="1" applyBorder="1" applyAlignment="1">
      <alignment horizontal="right"/>
    </xf>
    <xf numFmtId="0" fontId="11" fillId="0" borderId="19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164" fontId="9" fillId="0" borderId="16" xfId="1" applyNumberFormat="1" applyFont="1" applyBorder="1" applyAlignment="1">
      <alignment horizontal="center"/>
    </xf>
    <xf numFmtId="164" fontId="9" fillId="0" borderId="23" xfId="1" applyNumberFormat="1" applyFont="1" applyBorder="1" applyAlignment="1">
      <alignment horizontal="center"/>
    </xf>
    <xf numFmtId="0" fontId="9" fillId="0" borderId="25" xfId="1" applyFont="1" applyBorder="1" applyAlignment="1">
      <alignment horizontal="left"/>
    </xf>
    <xf numFmtId="0" fontId="9" fillId="0" borderId="2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164" fontId="9" fillId="0" borderId="16" xfId="1" applyNumberFormat="1" applyFont="1" applyBorder="1" applyAlignment="1">
      <alignment horizontal="right" wrapText="1"/>
    </xf>
    <xf numFmtId="164" fontId="9" fillId="0" borderId="19" xfId="1" applyNumberFormat="1" applyFont="1" applyBorder="1" applyAlignment="1">
      <alignment horizontal="right" wrapText="1"/>
    </xf>
    <xf numFmtId="164" fontId="9" fillId="0" borderId="16" xfId="0" applyNumberFormat="1" applyFont="1" applyBorder="1" applyAlignment="1">
      <alignment horizontal="center" wrapText="1"/>
    </xf>
    <xf numFmtId="164" fontId="9" fillId="0" borderId="23" xfId="0" applyNumberFormat="1" applyFont="1" applyBorder="1" applyAlignment="1">
      <alignment horizontal="center" wrapText="1"/>
    </xf>
    <xf numFmtId="0" fontId="11" fillId="0" borderId="40" xfId="1" applyFont="1" applyBorder="1" applyAlignment="1">
      <alignment horizontal="right"/>
    </xf>
    <xf numFmtId="0" fontId="11" fillId="0" borderId="4" xfId="1" applyFont="1" applyBorder="1" applyAlignment="1">
      <alignment horizontal="right"/>
    </xf>
    <xf numFmtId="0" fontId="11" fillId="0" borderId="7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11" fillId="3" borderId="12" xfId="1" applyFont="1" applyFill="1" applyBorder="1" applyAlignment="1">
      <alignment horizontal="center"/>
    </xf>
    <xf numFmtId="0" fontId="11" fillId="3" borderId="13" xfId="1" applyFont="1" applyFill="1" applyBorder="1" applyAlignment="1">
      <alignment horizontal="center"/>
    </xf>
    <xf numFmtId="0" fontId="11" fillId="3" borderId="14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11" fillId="0" borderId="25" xfId="1" applyFont="1" applyBorder="1" applyAlignment="1">
      <alignment horizontal="right"/>
    </xf>
    <xf numFmtId="0" fontId="11" fillId="0" borderId="26" xfId="1" applyFont="1" applyBorder="1" applyAlignment="1">
      <alignment horizontal="right"/>
    </xf>
    <xf numFmtId="0" fontId="11" fillId="0" borderId="17" xfId="1" applyFont="1" applyBorder="1" applyAlignment="1">
      <alignment horizontal="right"/>
    </xf>
    <xf numFmtId="164" fontId="9" fillId="0" borderId="9" xfId="1" applyNumberFormat="1" applyFont="1" applyBorder="1" applyAlignment="1">
      <alignment horizontal="right"/>
    </xf>
    <xf numFmtId="0" fontId="9" fillId="2" borderId="15" xfId="1" applyFont="1" applyFill="1" applyBorder="1" applyAlignment="1">
      <alignment horizontal="center"/>
    </xf>
    <xf numFmtId="0" fontId="9" fillId="2" borderId="29" xfId="1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14" fontId="6" fillId="2" borderId="34" xfId="2" applyNumberFormat="1" applyFont="1" applyFill="1" applyBorder="1" applyAlignment="1">
      <alignment horizontal="center" vertical="center" wrapText="1"/>
    </xf>
    <xf numFmtId="14" fontId="6" fillId="2" borderId="38" xfId="2" applyNumberFormat="1" applyFont="1" applyFill="1" applyBorder="1" applyAlignment="1">
      <alignment horizontal="center" vertical="center" wrapText="1"/>
    </xf>
    <xf numFmtId="14" fontId="6" fillId="2" borderId="10" xfId="2" applyNumberFormat="1" applyFont="1" applyFill="1" applyBorder="1" applyAlignment="1">
      <alignment horizontal="center" vertical="center" wrapText="1"/>
    </xf>
    <xf numFmtId="0" fontId="6" fillId="2" borderId="35" xfId="2" applyFont="1" applyFill="1" applyBorder="1" applyAlignment="1">
      <alignment horizontal="left"/>
    </xf>
    <xf numFmtId="0" fontId="6" fillId="2" borderId="36" xfId="2" applyFont="1" applyFill="1" applyBorder="1" applyAlignment="1">
      <alignment horizontal="left"/>
    </xf>
    <xf numFmtId="0" fontId="6" fillId="2" borderId="20" xfId="2" applyFont="1" applyFill="1" applyBorder="1" applyAlignment="1">
      <alignment horizontal="left"/>
    </xf>
    <xf numFmtId="0" fontId="6" fillId="2" borderId="16" xfId="2" applyFont="1" applyFill="1" applyBorder="1" applyAlignment="1">
      <alignment horizontal="left"/>
    </xf>
    <xf numFmtId="0" fontId="6" fillId="2" borderId="28" xfId="2" applyFont="1" applyFill="1" applyBorder="1" applyAlignment="1">
      <alignment horizontal="left"/>
    </xf>
    <xf numFmtId="0" fontId="6" fillId="2" borderId="19" xfId="2" applyFont="1" applyFill="1" applyBorder="1" applyAlignment="1">
      <alignment horizontal="left"/>
    </xf>
    <xf numFmtId="0" fontId="6" fillId="2" borderId="30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5" xfId="2" applyFont="1" applyFill="1" applyBorder="1" applyAlignment="1">
      <alignment horizontal="center"/>
    </xf>
    <xf numFmtId="0" fontId="6" fillId="2" borderId="26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7" fillId="2" borderId="33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8" fillId="2" borderId="22" xfId="2" applyFont="1" applyFill="1" applyBorder="1" applyAlignment="1">
      <alignment horizontal="right" vertical="top" wrapText="1"/>
    </xf>
    <xf numFmtId="0" fontId="8" fillId="2" borderId="37" xfId="2" applyFont="1" applyFill="1" applyBorder="1" applyAlignment="1">
      <alignment horizontal="right" vertical="top" wrapText="1"/>
    </xf>
    <xf numFmtId="0" fontId="8" fillId="2" borderId="39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15" fillId="2" borderId="21" xfId="2" applyFont="1" applyFill="1" applyBorder="1" applyAlignment="1">
      <alignment horizontal="center"/>
    </xf>
    <xf numFmtId="0" fontId="4" fillId="2" borderId="0" xfId="2" applyFont="1" applyFill="1"/>
    <xf numFmtId="0" fontId="8" fillId="3" borderId="24" xfId="1" applyFont="1" applyFill="1" applyBorder="1" applyAlignment="1">
      <alignment horizontal="center" vertical="center"/>
    </xf>
    <xf numFmtId="0" fontId="8" fillId="3" borderId="40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 wrapText="1"/>
    </xf>
    <xf numFmtId="0" fontId="8" fillId="3" borderId="40" xfId="1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/>
    </xf>
  </cellXfs>
  <cellStyles count="7">
    <cellStyle name="Millares" xfId="5" builtinId="3"/>
    <cellStyle name="Normal" xfId="0" builtinId="0"/>
    <cellStyle name="Normal 2" xfId="1" xr:uid="{00000000-0005-0000-0000-000001000000}"/>
    <cellStyle name="Normal 3" xfId="6" xr:uid="{3DE977A1-E14E-4DF3-A54C-C408A0D66585}"/>
    <cellStyle name="Normal_CRITERIOS DE EVALUACION PT DE GB 2" xfId="2" xr:uid="{00000000-0005-0000-0000-000002000000}"/>
    <cellStyle name="Porcentaje 2" xfId="3" xr:uid="{00000000-0005-0000-0000-000003000000}"/>
    <cellStyle name="Porcentaje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478632</xdr:colOff>
      <xdr:row>0</xdr:row>
      <xdr:rowOff>56469</xdr:rowOff>
    </xdr:from>
    <xdr:to>
      <xdr:col>1</xdr:col>
      <xdr:colOff>799159</xdr:colOff>
      <xdr:row>4</xdr:row>
      <xdr:rowOff>83343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3A138DBF-6A2C-44A6-8D24-920D0D170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632" y="56469"/>
          <a:ext cx="1499246" cy="1086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328C-05A6-445C-844C-2E5DECEAC7B9}">
  <sheetPr>
    <pageSetUpPr fitToPage="1"/>
  </sheetPr>
  <dimension ref="A1:P43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7.7109375" customWidth="1"/>
    <col min="2" max="2" width="18.5703125" bestFit="1" customWidth="1"/>
    <col min="3" max="3" width="54.5703125" customWidth="1"/>
    <col min="4" max="4" width="22.28515625" customWidth="1"/>
    <col min="5" max="5" width="11.85546875" bestFit="1" customWidth="1"/>
    <col min="7" max="7" width="22.42578125" customWidth="1"/>
    <col min="8" max="8" width="14.85546875" customWidth="1"/>
    <col min="9" max="9" width="19.28515625" bestFit="1" customWidth="1"/>
    <col min="10" max="15" width="0" hidden="1" customWidth="1"/>
  </cols>
  <sheetData>
    <row r="1" spans="1:16" ht="15.75" x14ac:dyDescent="0.25">
      <c r="A1" s="137"/>
      <c r="B1" s="138"/>
      <c r="C1" s="143" t="s">
        <v>11</v>
      </c>
      <c r="D1" s="143"/>
      <c r="E1" s="143"/>
      <c r="F1" s="143"/>
      <c r="G1" s="143"/>
      <c r="H1" s="1" t="s">
        <v>12</v>
      </c>
      <c r="I1" s="159" t="s">
        <v>60</v>
      </c>
    </row>
    <row r="2" spans="1:16" ht="18" customHeight="1" thickBot="1" x14ac:dyDescent="0.3">
      <c r="A2" s="139"/>
      <c r="B2" s="140"/>
      <c r="C2" s="144" t="s">
        <v>13</v>
      </c>
      <c r="D2" s="145"/>
      <c r="E2" s="145"/>
      <c r="F2" s="145"/>
      <c r="G2" s="146"/>
      <c r="H2" s="2" t="s">
        <v>14</v>
      </c>
      <c r="I2" s="3" t="s">
        <v>61</v>
      </c>
    </row>
    <row r="3" spans="1:16" ht="31.5" customHeight="1" thickBot="1" x14ac:dyDescent="0.25">
      <c r="A3" s="139"/>
      <c r="B3" s="140"/>
      <c r="C3" s="147" t="s">
        <v>58</v>
      </c>
      <c r="D3" s="147"/>
      <c r="E3" s="147"/>
      <c r="F3" s="147"/>
      <c r="G3" s="148"/>
      <c r="H3" s="149" t="s">
        <v>15</v>
      </c>
      <c r="I3" s="128">
        <v>46049</v>
      </c>
    </row>
    <row r="4" spans="1:16" ht="18" customHeight="1" x14ac:dyDescent="0.25">
      <c r="A4" s="139"/>
      <c r="B4" s="140"/>
      <c r="C4" s="4" t="s">
        <v>16</v>
      </c>
      <c r="D4" s="131" t="s">
        <v>55</v>
      </c>
      <c r="E4" s="132"/>
      <c r="F4" s="132"/>
      <c r="G4" s="133"/>
      <c r="H4" s="150"/>
      <c r="I4" s="129"/>
    </row>
    <row r="5" spans="1:16" ht="14.25" thickBot="1" x14ac:dyDescent="0.3">
      <c r="A5" s="141"/>
      <c r="B5" s="142"/>
      <c r="C5" s="5" t="s">
        <v>17</v>
      </c>
      <c r="D5" s="134" t="s">
        <v>56</v>
      </c>
      <c r="E5" s="135"/>
      <c r="F5" s="135"/>
      <c r="G5" s="136"/>
      <c r="H5" s="151"/>
      <c r="I5" s="130"/>
    </row>
    <row r="6" spans="1:16" ht="18.75" thickBot="1" x14ac:dyDescent="0.3">
      <c r="A6" s="152" t="s">
        <v>18</v>
      </c>
      <c r="B6" s="152"/>
      <c r="C6" s="152"/>
      <c r="D6" s="153" t="s">
        <v>28</v>
      </c>
      <c r="E6" s="153"/>
      <c r="F6" s="153"/>
      <c r="G6" s="154" t="s">
        <v>19</v>
      </c>
      <c r="H6" s="154"/>
      <c r="I6" s="80" t="s">
        <v>28</v>
      </c>
    </row>
    <row r="7" spans="1:16" x14ac:dyDescent="0.2">
      <c r="A7" s="155" t="s">
        <v>0</v>
      </c>
      <c r="B7" s="157" t="s">
        <v>41</v>
      </c>
      <c r="C7" s="119" t="s">
        <v>1</v>
      </c>
      <c r="D7" s="119" t="s">
        <v>2</v>
      </c>
      <c r="E7" s="119" t="s">
        <v>3</v>
      </c>
      <c r="F7" s="119"/>
      <c r="G7" s="119" t="s">
        <v>42</v>
      </c>
      <c r="H7" s="119"/>
      <c r="I7" s="6" t="s">
        <v>4</v>
      </c>
    </row>
    <row r="8" spans="1:16" ht="26.25" thickBot="1" x14ac:dyDescent="0.25">
      <c r="A8" s="156"/>
      <c r="B8" s="158"/>
      <c r="C8" s="120"/>
      <c r="D8" s="120"/>
      <c r="E8" s="7" t="s">
        <v>5</v>
      </c>
      <c r="F8" s="8" t="s">
        <v>6</v>
      </c>
      <c r="G8" s="7" t="s">
        <v>5</v>
      </c>
      <c r="H8" s="8" t="s">
        <v>6</v>
      </c>
      <c r="I8" s="9" t="s">
        <v>7</v>
      </c>
    </row>
    <row r="9" spans="1:16" ht="18.399999999999999" customHeight="1" x14ac:dyDescent="0.3">
      <c r="A9" s="76"/>
      <c r="B9" s="77"/>
      <c r="C9" s="78" t="s">
        <v>43</v>
      </c>
      <c r="D9" s="79"/>
      <c r="E9" s="32"/>
      <c r="F9" s="37"/>
      <c r="G9" s="32"/>
      <c r="H9" s="37"/>
      <c r="I9" s="27"/>
    </row>
    <row r="10" spans="1:16" ht="20.25" x14ac:dyDescent="0.3">
      <c r="A10" s="10"/>
      <c r="B10" s="11" t="s">
        <v>59</v>
      </c>
      <c r="C10" s="12" t="s">
        <v>57</v>
      </c>
      <c r="D10" s="22" t="s">
        <v>29</v>
      </c>
      <c r="E10" s="23">
        <v>4222</v>
      </c>
      <c r="F10" s="24" t="s">
        <v>10</v>
      </c>
      <c r="G10" s="25"/>
      <c r="H10" s="26"/>
      <c r="I10" s="27"/>
      <c r="J10">
        <f>+E10/$D$28</f>
        <v>0.56293333333333329</v>
      </c>
      <c r="K10">
        <f>+J10*1000</f>
        <v>562.93333333333328</v>
      </c>
      <c r="P10" s="83"/>
    </row>
    <row r="11" spans="1:16" ht="20.25" x14ac:dyDescent="0.3">
      <c r="A11" s="13" t="s">
        <v>37</v>
      </c>
      <c r="B11" s="14" t="s">
        <v>38</v>
      </c>
      <c r="C11" s="15" t="s">
        <v>44</v>
      </c>
      <c r="D11" s="16" t="s">
        <v>39</v>
      </c>
      <c r="E11" s="16">
        <v>745</v>
      </c>
      <c r="F11" s="16" t="s">
        <v>10</v>
      </c>
      <c r="G11" s="16"/>
      <c r="H11" s="26"/>
      <c r="I11" s="27"/>
      <c r="J11">
        <f>17.37/D28</f>
        <v>2.3159999999999999E-3</v>
      </c>
      <c r="K11">
        <f t="shared" ref="K11:K14" si="0">+J11*1000</f>
        <v>2.3159999999999998</v>
      </c>
      <c r="N11">
        <v>143</v>
      </c>
      <c r="P11" s="83"/>
    </row>
    <row r="12" spans="1:16" ht="20.25" x14ac:dyDescent="0.3">
      <c r="A12" s="13" t="s">
        <v>35</v>
      </c>
      <c r="B12" s="14" t="s">
        <v>36</v>
      </c>
      <c r="C12" s="15" t="s">
        <v>30</v>
      </c>
      <c r="D12" s="16" t="s">
        <v>31</v>
      </c>
      <c r="E12" s="16">
        <v>1946</v>
      </c>
      <c r="F12" s="16" t="s">
        <v>10</v>
      </c>
      <c r="G12" s="16"/>
      <c r="H12" s="26"/>
      <c r="I12" s="27"/>
      <c r="J12">
        <f t="shared" ref="J12:J14" si="1">+E12/$D$28</f>
        <v>0.25946666666666668</v>
      </c>
      <c r="K12">
        <f t="shared" si="0"/>
        <v>259.4666666666667</v>
      </c>
      <c r="N12">
        <f>+N11*2</f>
        <v>286</v>
      </c>
      <c r="P12" s="83"/>
    </row>
    <row r="13" spans="1:16" ht="20.25" x14ac:dyDescent="0.3">
      <c r="A13" s="81" t="s">
        <v>51</v>
      </c>
      <c r="B13" s="82" t="s">
        <v>52</v>
      </c>
      <c r="C13" s="57" t="s">
        <v>53</v>
      </c>
      <c r="D13" s="47" t="s">
        <v>54</v>
      </c>
      <c r="E13" s="29">
        <v>700</v>
      </c>
      <c r="F13" s="30" t="s">
        <v>10</v>
      </c>
      <c r="G13" s="16"/>
      <c r="H13" s="26"/>
      <c r="I13" s="27"/>
      <c r="J13">
        <f t="shared" si="1"/>
        <v>9.3333333333333338E-2</v>
      </c>
      <c r="K13">
        <f t="shared" si="0"/>
        <v>93.333333333333343</v>
      </c>
      <c r="P13" s="83"/>
    </row>
    <row r="14" spans="1:16" ht="20.25" x14ac:dyDescent="0.3">
      <c r="A14" s="16" t="s">
        <v>32</v>
      </c>
      <c r="B14" s="16" t="s">
        <v>34</v>
      </c>
      <c r="C14" s="12" t="s">
        <v>33</v>
      </c>
      <c r="D14" s="28"/>
      <c r="E14" s="29">
        <v>10</v>
      </c>
      <c r="F14" s="30" t="s">
        <v>10</v>
      </c>
      <c r="G14" s="16"/>
      <c r="H14" s="26"/>
      <c r="I14" s="27"/>
      <c r="J14">
        <f t="shared" si="1"/>
        <v>1.3333333333333333E-3</v>
      </c>
      <c r="K14">
        <f t="shared" si="0"/>
        <v>1.3333333333333333</v>
      </c>
      <c r="P14" s="83"/>
    </row>
    <row r="15" spans="1:16" ht="20.25" x14ac:dyDescent="0.3">
      <c r="A15" s="16"/>
      <c r="B15" s="16"/>
      <c r="C15" s="12"/>
      <c r="D15" s="28"/>
      <c r="E15" s="29"/>
      <c r="F15" s="30"/>
      <c r="G15" s="16"/>
      <c r="H15" s="26"/>
      <c r="I15" s="27"/>
    </row>
    <row r="16" spans="1:16" ht="20.25" x14ac:dyDescent="0.3">
      <c r="A16" s="17"/>
      <c r="B16" s="16"/>
      <c r="C16" s="18"/>
      <c r="D16" s="31"/>
      <c r="E16" s="45"/>
      <c r="F16" s="31"/>
      <c r="G16" s="32"/>
      <c r="H16" s="26"/>
      <c r="I16" s="27"/>
      <c r="P16" s="83"/>
    </row>
    <row r="17" spans="1:16" ht="20.25" x14ac:dyDescent="0.3">
      <c r="A17" s="33"/>
      <c r="B17" s="34"/>
      <c r="C17" s="35" t="s">
        <v>45</v>
      </c>
      <c r="D17" s="29"/>
      <c r="E17" s="36"/>
      <c r="F17" s="30"/>
      <c r="G17" s="32"/>
      <c r="H17" s="37"/>
      <c r="I17" s="27"/>
    </row>
    <row r="18" spans="1:16" ht="20.25" x14ac:dyDescent="0.3">
      <c r="A18" s="38"/>
      <c r="B18" s="39"/>
      <c r="C18" s="40"/>
      <c r="D18" s="41"/>
      <c r="E18" s="42"/>
      <c r="F18" s="43"/>
      <c r="G18" s="32"/>
      <c r="H18" s="37"/>
      <c r="I18" s="27"/>
    </row>
    <row r="19" spans="1:16" ht="20.25" x14ac:dyDescent="0.3">
      <c r="A19" s="38"/>
      <c r="B19" s="39"/>
      <c r="C19" s="40"/>
      <c r="D19" s="41"/>
      <c r="E19" s="44"/>
      <c r="F19" s="43"/>
      <c r="G19" s="32"/>
      <c r="H19" s="37"/>
      <c r="I19" s="27"/>
    </row>
    <row r="20" spans="1:16" ht="20.25" x14ac:dyDescent="0.3">
      <c r="A20" s="16"/>
      <c r="B20" s="16"/>
      <c r="C20" s="18"/>
      <c r="D20" s="47"/>
      <c r="E20" s="48"/>
      <c r="F20" s="46"/>
      <c r="G20" s="32"/>
      <c r="H20" s="37"/>
      <c r="I20" s="27"/>
      <c r="K20">
        <f>2484/143</f>
        <v>17.37062937062937</v>
      </c>
    </row>
    <row r="21" spans="1:16" ht="20.25" x14ac:dyDescent="0.3">
      <c r="A21" s="16"/>
      <c r="B21" s="16"/>
      <c r="C21" s="18"/>
      <c r="D21" s="47"/>
      <c r="E21" s="49"/>
      <c r="F21" s="50"/>
      <c r="G21" s="32"/>
      <c r="H21" s="37"/>
      <c r="I21" s="27"/>
    </row>
    <row r="22" spans="1:16" ht="20.25" x14ac:dyDescent="0.3">
      <c r="A22" s="51"/>
      <c r="B22" s="52"/>
      <c r="C22" s="53" t="s">
        <v>46</v>
      </c>
      <c r="D22" s="54"/>
      <c r="E22" s="55"/>
      <c r="F22" s="37"/>
      <c r="G22" s="32"/>
      <c r="H22" s="19"/>
      <c r="I22" s="27"/>
    </row>
    <row r="23" spans="1:16" ht="20.25" x14ac:dyDescent="0.3">
      <c r="A23" s="56"/>
      <c r="B23" s="56"/>
      <c r="C23" s="57"/>
      <c r="D23" s="16"/>
      <c r="E23" s="49"/>
      <c r="F23" s="50"/>
      <c r="G23" s="58"/>
      <c r="H23" s="37"/>
      <c r="I23" s="27"/>
    </row>
    <row r="24" spans="1:16" ht="20.25" x14ac:dyDescent="0.3">
      <c r="A24" s="20"/>
      <c r="B24" s="20"/>
      <c r="C24" s="21"/>
      <c r="D24" s="16"/>
      <c r="E24" s="49"/>
      <c r="F24" s="16"/>
      <c r="G24" s="28"/>
      <c r="H24" s="37"/>
      <c r="I24" s="27"/>
    </row>
    <row r="25" spans="1:16" ht="20.25" x14ac:dyDescent="0.3">
      <c r="A25" s="33"/>
      <c r="B25" s="34"/>
      <c r="C25" s="59"/>
      <c r="D25" s="29"/>
      <c r="E25" s="29"/>
      <c r="F25" s="30"/>
      <c r="G25" s="29"/>
      <c r="H25" s="29"/>
      <c r="I25" s="27"/>
    </row>
    <row r="26" spans="1:16" ht="21" thickBot="1" x14ac:dyDescent="0.35">
      <c r="A26" s="60"/>
      <c r="B26" s="61"/>
      <c r="C26" s="62"/>
      <c r="D26" s="62"/>
      <c r="E26" s="63"/>
      <c r="F26" s="64"/>
      <c r="G26" s="62"/>
      <c r="H26" s="62"/>
      <c r="I26" s="65"/>
    </row>
    <row r="27" spans="1:16" ht="21" thickBot="1" x14ac:dyDescent="0.35">
      <c r="A27" s="66"/>
      <c r="B27" s="67"/>
      <c r="C27" s="68"/>
      <c r="D27" s="69" t="s">
        <v>5</v>
      </c>
      <c r="E27" s="70" t="s">
        <v>20</v>
      </c>
      <c r="F27" s="71"/>
      <c r="G27" s="68"/>
      <c r="H27" s="68"/>
      <c r="I27" s="72"/>
    </row>
    <row r="28" spans="1:16" ht="20.25" x14ac:dyDescent="0.3">
      <c r="A28" s="121" t="s">
        <v>9</v>
      </c>
      <c r="B28" s="122"/>
      <c r="C28" s="123"/>
      <c r="D28" s="48">
        <v>7500</v>
      </c>
      <c r="E28" s="73" t="s">
        <v>10</v>
      </c>
      <c r="F28" s="124" t="s">
        <v>47</v>
      </c>
      <c r="G28" s="124"/>
      <c r="H28" s="125"/>
      <c r="I28" s="126"/>
      <c r="P28">
        <f>D28/300</f>
        <v>25</v>
      </c>
    </row>
    <row r="29" spans="1:16" ht="20.25" x14ac:dyDescent="0.3">
      <c r="A29" s="99" t="s">
        <v>8</v>
      </c>
      <c r="B29" s="100"/>
      <c r="C29" s="101"/>
      <c r="D29" s="49">
        <v>15</v>
      </c>
      <c r="E29" s="16" t="s">
        <v>26</v>
      </c>
      <c r="F29" s="102" t="s">
        <v>48</v>
      </c>
      <c r="G29" s="102"/>
      <c r="H29" s="103"/>
      <c r="I29" s="104"/>
    </row>
    <row r="30" spans="1:16" ht="20.25" x14ac:dyDescent="0.3">
      <c r="A30" s="99" t="s">
        <v>21</v>
      </c>
      <c r="B30" s="100"/>
      <c r="C30" s="101"/>
      <c r="D30" s="49">
        <v>1</v>
      </c>
      <c r="E30" s="16" t="s">
        <v>22</v>
      </c>
      <c r="F30" s="102" t="s">
        <v>49</v>
      </c>
      <c r="G30" s="102"/>
      <c r="H30" s="103"/>
      <c r="I30" s="104"/>
    </row>
    <row r="31" spans="1:16" ht="20.25" x14ac:dyDescent="0.3">
      <c r="A31" s="99" t="s">
        <v>23</v>
      </c>
      <c r="B31" s="100"/>
      <c r="C31" s="101"/>
      <c r="D31" s="49">
        <v>7500</v>
      </c>
      <c r="E31" s="16" t="s">
        <v>10</v>
      </c>
      <c r="F31" s="108" t="s">
        <v>50</v>
      </c>
      <c r="G31" s="109"/>
      <c r="H31" s="110"/>
      <c r="I31" s="111"/>
    </row>
    <row r="32" spans="1:16" ht="21" thickBot="1" x14ac:dyDescent="0.35">
      <c r="A32" s="112" t="s">
        <v>24</v>
      </c>
      <c r="B32" s="113"/>
      <c r="C32" s="114"/>
      <c r="D32" s="74">
        <f>SUM(E10:E14)-D28</f>
        <v>123</v>
      </c>
      <c r="E32" s="75" t="s">
        <v>10</v>
      </c>
      <c r="F32" s="115"/>
      <c r="G32" s="115"/>
      <c r="H32" s="103"/>
      <c r="I32" s="104"/>
    </row>
    <row r="33" spans="1:9" ht="21" thickBot="1" x14ac:dyDescent="0.35">
      <c r="A33" s="116" t="s">
        <v>25</v>
      </c>
      <c r="B33" s="117"/>
      <c r="C33" s="117"/>
      <c r="D33" s="117"/>
      <c r="E33" s="117"/>
      <c r="F33" s="117"/>
      <c r="G33" s="117"/>
      <c r="H33" s="117"/>
      <c r="I33" s="118"/>
    </row>
    <row r="34" spans="1:9" ht="18.399999999999999" customHeight="1" x14ac:dyDescent="0.3">
      <c r="A34" s="88" t="s">
        <v>27</v>
      </c>
      <c r="B34" s="89"/>
      <c r="C34" s="89"/>
      <c r="D34" s="89"/>
      <c r="E34" s="89"/>
      <c r="F34" s="89"/>
      <c r="G34" s="89"/>
      <c r="H34" s="89"/>
      <c r="I34" s="90"/>
    </row>
    <row r="35" spans="1:9" ht="20.25" x14ac:dyDescent="0.3">
      <c r="A35" s="105" t="s">
        <v>40</v>
      </c>
      <c r="B35" s="106"/>
      <c r="C35" s="106"/>
      <c r="D35" s="106"/>
      <c r="E35" s="106"/>
      <c r="F35" s="106"/>
      <c r="G35" s="106"/>
      <c r="H35" s="106"/>
      <c r="I35" s="107"/>
    </row>
    <row r="36" spans="1:9" ht="14.65" customHeight="1" x14ac:dyDescent="0.3">
      <c r="A36" s="88"/>
      <c r="B36" s="89"/>
      <c r="C36" s="89"/>
      <c r="D36" s="89"/>
      <c r="E36" s="89"/>
      <c r="F36" s="89"/>
      <c r="G36" s="89"/>
      <c r="H36" s="89"/>
      <c r="I36" s="90"/>
    </row>
    <row r="37" spans="1:9" ht="20.25" x14ac:dyDescent="0.3">
      <c r="A37" s="91"/>
      <c r="B37" s="92"/>
      <c r="C37" s="92"/>
      <c r="D37" s="92"/>
      <c r="E37" s="92"/>
      <c r="F37" s="92"/>
      <c r="G37" s="92"/>
      <c r="H37" s="92"/>
      <c r="I37" s="93"/>
    </row>
    <row r="38" spans="1:9" ht="21" thickBot="1" x14ac:dyDescent="0.35">
      <c r="A38" s="94"/>
      <c r="B38" s="95"/>
      <c r="C38" s="95"/>
      <c r="D38" s="95"/>
      <c r="E38" s="95"/>
      <c r="F38" s="95"/>
      <c r="G38" s="95"/>
      <c r="H38" s="95"/>
      <c r="I38" s="96"/>
    </row>
    <row r="39" spans="1:9" ht="21" thickBot="1" x14ac:dyDescent="0.35">
      <c r="A39" s="97" t="s">
        <v>62</v>
      </c>
      <c r="B39" s="98"/>
      <c r="C39" s="98"/>
      <c r="D39" s="98"/>
      <c r="E39" s="98"/>
      <c r="F39" s="98"/>
      <c r="G39" s="98"/>
      <c r="H39" s="98"/>
      <c r="I39" s="98"/>
    </row>
    <row r="40" spans="1:9" ht="20.25" x14ac:dyDescent="0.3">
      <c r="A40" s="84"/>
      <c r="B40" s="85"/>
      <c r="C40" s="85"/>
      <c r="D40" s="85"/>
      <c r="E40" s="85"/>
      <c r="F40" s="85"/>
      <c r="G40" s="85"/>
      <c r="H40" s="85"/>
      <c r="I40" s="86"/>
    </row>
    <row r="41" spans="1:9" ht="20.25" x14ac:dyDescent="0.3">
      <c r="A41" s="87"/>
      <c r="B41" s="87"/>
      <c r="C41" s="87"/>
      <c r="D41" s="87"/>
      <c r="E41" s="87"/>
      <c r="F41" s="87"/>
      <c r="G41" s="87"/>
      <c r="H41" s="87"/>
      <c r="I41" s="87"/>
    </row>
    <row r="42" spans="1:9" ht="20.25" x14ac:dyDescent="0.3">
      <c r="A42" s="127"/>
      <c r="B42" s="127"/>
      <c r="C42" s="127"/>
      <c r="D42" s="127"/>
      <c r="E42" s="127"/>
      <c r="F42" s="127"/>
      <c r="G42" s="127"/>
      <c r="H42" s="127"/>
      <c r="I42" s="127"/>
    </row>
    <row r="43" spans="1:9" ht="20.25" x14ac:dyDescent="0.3">
      <c r="A43" s="127"/>
      <c r="B43" s="127"/>
      <c r="C43" s="127"/>
      <c r="D43" s="127"/>
      <c r="E43" s="127"/>
      <c r="F43" s="127"/>
      <c r="G43" s="127"/>
      <c r="H43" s="127"/>
      <c r="I43" s="127"/>
    </row>
  </sheetData>
  <mergeCells count="43">
    <mergeCell ref="A43:I43"/>
    <mergeCell ref="A42:I42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C28"/>
    <mergeCell ref="F28:G28"/>
    <mergeCell ref="H28:I28"/>
    <mergeCell ref="A29:C29"/>
    <mergeCell ref="F29:G29"/>
    <mergeCell ref="H29:I29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40:I40"/>
    <mergeCell ref="A41:I41"/>
    <mergeCell ref="A36:I36"/>
    <mergeCell ref="A37:I37"/>
    <mergeCell ref="A38:I38"/>
    <mergeCell ref="A39:I39"/>
  </mergeCells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C57DCEC-6065-40F9-8395-2D0AF145579A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112C7C7-B371-407D-97B5-DE12A24326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9BEDB-9658-4133-8C46-FEB9589D37EA}"/>
</file>

<file path=customXml/itemProps4.xml><?xml version="1.0" encoding="utf-8"?>
<ds:datastoreItem xmlns:ds="http://schemas.openxmlformats.org/officeDocument/2006/customXml" ds:itemID="{E35607F6-4304-4F56-A83E-C4F8519F44F7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7b4e74ba-38a7-42d4-a9ca-1da0fc041db0"/>
    <ds:schemaRef ds:uri="eae225b5-53a6-4b69-be5f-a92fedf9fd9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2025-09-19T13:50:57Z</cp:lastPrinted>
  <dcterms:created xsi:type="dcterms:W3CDTF">2003-03-11T22:35:36Z</dcterms:created>
  <dcterms:modified xsi:type="dcterms:W3CDTF">2026-01-27T21:10:43Z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396600.000000000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
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7" documentId="8_{7D49F13B-7F0F-4423-BDB2-D5A10CEF5181}" xr6:coauthVersionLast="47" xr6:coauthVersionMax="47" xr10:uidLastSave="{D27C8B74-1489-4CDA-9E67-3F67EFC365BA}"/>
  <bookViews>
    <workbookView xWindow="20370" yWindow="-120" windowWidth="24240" windowHeight="13020" xr2:uid="{2DC8D443-DC10-4768-A177-7FABAE9597FB}"/>
  </bookViews>
  <sheets>
    <sheet name="Pasta Alfajor Velvet " sheetId="1" r:id="rId1"/>
  </sheets>
  <definedNames>
    <definedName name="_xlnm.Print_Area" localSheetId="0">'Pasta Alfajor Velvet 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D24" i="1"/>
  <c r="J22" i="1"/>
  <c r="J16" i="1"/>
  <c r="J20" i="1" l="1"/>
  <c r="K12" i="1"/>
  <c r="K11" i="1"/>
  <c r="K10" i="1"/>
</calcChain>
</file>

<file path=xl/sharedStrings.xml><?xml version="1.0" encoding="utf-8"?>
<sst xmlns="http://schemas.openxmlformats.org/spreadsheetml/2006/main" count="67" uniqueCount="60">
  <si>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</si>
  <si>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</si>
  <si>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</si>
  <si>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</si>
  <si>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</si>
  <si>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</si>
  <si>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</si>
  <si>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</si>
  <si>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</si>
  <si>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</si>
  <si>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Min.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</si>
  <si>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</si>
  <si>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</si>
  <si>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</si>
  <si>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</si>
  <si>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</si>
  <si>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</si>
  <si>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Decoración</t>
  </si>
  <si>
    <t>Colorante Gel Super Red</t>
  </si>
  <si>
    <t>MP10157</t>
  </si>
  <si>
    <t>MILILITROS</t>
  </si>
  <si>
    <t xml:space="preserve">g </t>
  </si>
  <si>
    <t>AYA</t>
  </si>
  <si>
    <t>AGUA</t>
  </si>
  <si>
    <t>10415</t>
  </si>
  <si>
    <t>GRAMOS</t>
  </si>
  <si>
    <t>FAS</t>
  </si>
  <si>
    <t>SE00776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</si>
  <si>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</si>
  <si>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</si>
  <si>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</si>
  <si>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</si>
  <si>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</si>
  <si>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</si>
  <si>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</si>
  <si>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</si>
  <si>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</si>
  <si>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</si>
  <si>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Pastas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</si>
  <si>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</si>
  <si>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</si>
  <si>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</si>
  <si>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</si>
  <si>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</si>
  <si>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</si>
  <si>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</si>
  <si>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SE00777 Pasta Alfajor Velvet </t>
  </si>
  <si>
    <t>REVISIÓN:</t>
  </si>
  <si>
    <t>ESPECIFICACION DE RECETA</t>
  </si>
  <si>
    <t>ESP-RE-PAPS-045</t>
  </si>
  <si>
    <t>CÓDIGO:</t>
  </si>
  <si>
    <t>SERVICIOS DE PASTELERIA S.A.</t>
  </si>
  <si>
    <t>2, Se actualiza dato de procedimiento.</t>
  </si>
  <si>
    <t>1.- En el tazón de la batidora colocar la margarina, harina y azúcar de la pre mezcla</t>
  </si>
  <si>
    <t xml:space="preserve">4.- Sacar la masa del tazón de la batidora. </t>
  </si>
  <si>
    <t>3, Se actualiza datos de ingredientes y rendimiento</t>
  </si>
  <si>
    <t>2.- Batir con la paleta los ingredientes por 1 min en velocidad 1 incorporando el agua con el colorante poco a poco.</t>
  </si>
  <si>
    <t>3.- Subir a velocidad 2 hasta obtener una masa suave, no hulosa y homogenea.</t>
  </si>
  <si>
    <t xml:space="preserve">BASE PREMEZCLA VELVET P/PASTA ALFAJOR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</si>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</sst>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30">
    <xf numFmtId="0" fontId="0" fillId="0" borderId="0" xfId="0"/>
    <xf numFmtId="0" fontId="4" fillId="4" borderId="16" xfId="2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0" fontId="3" fillId="4" borderId="15" xfId="2" applyFont="1" applyFill="1" applyBorder="1" applyAlignment="1">
      <alignment horizontal="center"/>
    </xf>
    <xf numFmtId="0" fontId="3" fillId="4" borderId="16" xfId="2" applyFont="1" applyFill="1" applyBorder="1"/>
    <xf numFmtId="164" fontId="3" fillId="4" borderId="16" xfId="2" applyNumberFormat="1" applyFont="1" applyFill="1" applyBorder="1" applyAlignment="1">
      <alignment horizontal="center" wrapText="1"/>
    </xf>
    <xf numFmtId="1" fontId="4" fillId="4" borderId="16" xfId="2" applyNumberFormat="1" applyFont="1" applyFill="1" applyBorder="1" applyAlignment="1">
      <alignment horizontal="center"/>
    </xf>
    <xf numFmtId="0" fontId="3" fillId="4" borderId="16" xfId="2" applyFont="1" applyFill="1" applyBorder="1" applyAlignment="1">
      <alignment horizontal="center"/>
    </xf>
    <xf numFmtId="0" fontId="3" fillId="4" borderId="17" xfId="2" applyFont="1" applyFill="1" applyBorder="1" applyAlignment="1">
      <alignment horizontal="center"/>
    </xf>
    <xf numFmtId="0" fontId="3" fillId="2" borderId="26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7" xfId="2" applyNumberFormat="1" applyFont="1" applyFill="1" applyBorder="1" applyAlignment="1">
      <alignment horizontal="center" vertical="center"/>
    </xf>
    <xf numFmtId="0" fontId="3" fillId="0" borderId="8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9" xfId="2" applyNumberFormat="1" applyFont="1" applyBorder="1" applyAlignment="1">
      <alignment horizontal="center"/>
    </xf>
    <xf numFmtId="49" fontId="3" fillId="0" borderId="10" xfId="2" applyNumberFormat="1" applyFont="1" applyBorder="1" applyAlignment="1">
      <alignment horizontal="center"/>
    </xf>
    <xf numFmtId="0" fontId="3" fillId="0" borderId="0" xfId="0" applyFont="1"/>
    <xf numFmtId="1" fontId="4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165" fontId="4" fillId="0" borderId="1" xfId="2" applyNumberFormat="1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0" fontId="6" fillId="5" borderId="1" xfId="2" applyFont="1" applyFill="1" applyBorder="1" applyAlignment="1">
      <alignment vertical="center"/>
    </xf>
    <xf numFmtId="49" fontId="4" fillId="0" borderId="1" xfId="2" applyNumberFormat="1" applyFont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1" fontId="3" fillId="0" borderId="1" xfId="3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3" fillId="5" borderId="1" xfId="0" applyFont="1" applyFill="1" applyBorder="1"/>
    <xf numFmtId="165" fontId="3" fillId="0" borderId="1" xfId="2" applyNumberFormat="1" applyFont="1" applyBorder="1" applyAlignment="1">
      <alignment horizontal="center"/>
    </xf>
    <xf numFmtId="0" fontId="4" fillId="5" borderId="1" xfId="2" applyFont="1" applyFill="1" applyBorder="1" applyAlignment="1">
      <alignment horizontal="left"/>
    </xf>
    <xf numFmtId="49" fontId="3" fillId="0" borderId="1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1" fontId="4" fillId="5" borderId="1" xfId="2" applyNumberFormat="1" applyFont="1" applyFill="1" applyBorder="1" applyAlignment="1">
      <alignment horizontal="center" wrapText="1"/>
    </xf>
    <xf numFmtId="2" fontId="4" fillId="0" borderId="1" xfId="2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7" fillId="4" borderId="28" xfId="2" applyFont="1" applyFill="1" applyBorder="1" applyAlignment="1">
      <alignment horizontal="center"/>
    </xf>
    <xf numFmtId="1" fontId="7" fillId="4" borderId="19" xfId="2" applyNumberFormat="1" applyFont="1" applyFill="1" applyBorder="1" applyAlignment="1">
      <alignment horizontal="center" wrapText="1"/>
    </xf>
    <xf numFmtId="1" fontId="7" fillId="4" borderId="19" xfId="2" applyNumberFormat="1" applyFont="1" applyFill="1" applyBorder="1" applyAlignment="1">
      <alignment horizontal="center"/>
    </xf>
    <xf numFmtId="0" fontId="7" fillId="4" borderId="29" xfId="2" applyFont="1" applyFill="1" applyBorder="1" applyAlignment="1">
      <alignment horizontal="center" vertical="center" wrapText="1"/>
    </xf>
    <xf numFmtId="14" fontId="8" fillId="2" borderId="0" xfId="1" applyNumberFormat="1" applyFont="1" applyFill="1" applyAlignment="1">
      <alignment horizontal="center" vertical="center" wrapText="1"/>
    </xf>
    <xf numFmtId="0" fontId="10" fillId="2" borderId="1" xfId="1" applyFont="1" applyFill="1" applyBorder="1" applyAlignment="1">
      <alignment horizontal="right"/>
    </xf>
    <xf numFmtId="0" fontId="10" fillId="2" borderId="12" xfId="1" applyFont="1" applyFill="1" applyBorder="1" applyAlignment="1">
      <alignment horizontal="right"/>
    </xf>
    <xf numFmtId="49" fontId="10" fillId="2" borderId="8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right"/>
    </xf>
    <xf numFmtId="0" fontId="10" fillId="2" borderId="29" xfId="1" applyFont="1" applyFill="1" applyBorder="1" applyAlignment="1">
      <alignment horizontal="center"/>
    </xf>
    <xf numFmtId="0" fontId="7" fillId="2" borderId="30" xfId="1" applyFont="1" applyFill="1" applyBorder="1" applyAlignment="1">
      <alignment horizontal="right"/>
    </xf>
    <xf numFmtId="0" fontId="3" fillId="2" borderId="1" xfId="1" applyFont="1" applyFill="1" applyBorder="1" applyAlignment="1">
      <alignment horizontal="left"/>
    </xf>
    <xf numFmtId="0" fontId="3" fillId="0" borderId="10" xfId="2" applyFont="1" applyBorder="1" applyAlignment="1">
      <alignment horizontal="left"/>
    </xf>
    <xf numFmtId="0" fontId="3" fillId="0" borderId="9" xfId="2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4" fillId="0" borderId="21" xfId="2" applyFont="1" applyBorder="1" applyAlignment="1">
      <alignment horizontal="right"/>
    </xf>
    <xf numFmtId="0" fontId="4" fillId="0" borderId="20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164" fontId="3" fillId="0" borderId="18" xfId="2" applyNumberFormat="1" applyFont="1" applyBorder="1" applyAlignment="1">
      <alignment horizontal="center"/>
    </xf>
    <xf numFmtId="164" fontId="3" fillId="0" borderId="5" xfId="2" applyNumberFormat="1" applyFont="1" applyBorder="1" applyAlignment="1">
      <alignment horizontal="center"/>
    </xf>
    <xf numFmtId="0" fontId="4" fillId="4" borderId="17" xfId="2" applyFont="1" applyFill="1" applyBorder="1" applyAlignment="1">
      <alignment horizontal="center"/>
    </xf>
    <xf numFmtId="0" fontId="4" fillId="4" borderId="16" xfId="2" applyFont="1" applyFill="1" applyBorder="1" applyAlignment="1">
      <alignment horizontal="center"/>
    </xf>
    <xf numFmtId="0" fontId="4" fillId="4" borderId="15" xfId="2" applyFont="1" applyFill="1" applyBorder="1" applyAlignment="1">
      <alignment horizontal="center"/>
    </xf>
    <xf numFmtId="0" fontId="3" fillId="0" borderId="14" xfId="2" applyFont="1" applyBorder="1" applyAlignment="1">
      <alignment horizontal="left"/>
    </xf>
    <xf numFmtId="0" fontId="3" fillId="0" borderId="13" xfId="2" applyFont="1" applyBorder="1" applyAlignment="1">
      <alignment horizontal="left"/>
    </xf>
    <xf numFmtId="0" fontId="3" fillId="0" borderId="12" xfId="2" applyFont="1" applyBorder="1" applyAlignment="1">
      <alignment horizontal="left"/>
    </xf>
    <xf numFmtId="0" fontId="3" fillId="0" borderId="11" xfId="2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4" fillId="0" borderId="25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0" fontId="4" fillId="0" borderId="13" xfId="2" applyFont="1" applyBorder="1" applyAlignment="1">
      <alignment horizontal="right"/>
    </xf>
    <xf numFmtId="164" fontId="3" fillId="0" borderId="12" xfId="2" applyNumberFormat="1" applyFont="1" applyBorder="1" applyAlignment="1">
      <alignment horizontal="right"/>
    </xf>
    <xf numFmtId="0" fontId="3" fillId="2" borderId="23" xfId="2" applyFont="1" applyFill="1" applyBorder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4" fillId="0" borderId="7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18" xfId="2" applyNumberFormat="1" applyFont="1" applyBorder="1" applyAlignment="1">
      <alignment horizontal="right" wrapText="1"/>
    </xf>
    <xf numFmtId="164" fontId="3" fillId="0" borderId="9" xfId="2" applyNumberFormat="1" applyFont="1" applyBorder="1" applyAlignment="1">
      <alignment horizontal="right" wrapText="1"/>
    </xf>
    <xf numFmtId="0" fontId="9" fillId="2" borderId="0" xfId="1" applyFont="1" applyFill="1" applyAlignment="1">
      <alignment horizontal="right"/>
    </xf>
    <xf numFmtId="0" fontId="8" fillId="2" borderId="32" xfId="1" applyFont="1" applyFill="1" applyBorder="1" applyAlignment="1">
      <alignment horizontal="center"/>
    </xf>
    <xf numFmtId="0" fontId="9" fillId="2" borderId="0" xfId="1" applyFont="1" applyFill="1"/>
    <xf numFmtId="0" fontId="7" fillId="4" borderId="31" xfId="2" applyFont="1" applyFill="1" applyBorder="1" applyAlignment="1">
      <alignment horizontal="center" vertical="center"/>
    </xf>
    <xf numFmtId="0" fontId="7" fillId="4" borderId="21" xfId="2" applyFont="1" applyFill="1" applyBorder="1" applyAlignment="1">
      <alignment horizontal="center" vertical="center"/>
    </xf>
    <xf numFmtId="0" fontId="7" fillId="4" borderId="31" xfId="2" applyFont="1" applyFill="1" applyBorder="1" applyAlignment="1">
      <alignment horizontal="center" vertical="center" wrapText="1"/>
    </xf>
    <xf numFmtId="0" fontId="7" fillId="4" borderId="21" xfId="2" applyFont="1" applyFill="1" applyBorder="1" applyAlignment="1">
      <alignment horizontal="center" vertical="center" wrapText="1"/>
    </xf>
    <xf numFmtId="0" fontId="7" fillId="4" borderId="30" xfId="2" applyFont="1" applyFill="1" applyBorder="1" applyAlignment="1">
      <alignment horizontal="center" vertical="center"/>
    </xf>
    <xf numFmtId="0" fontId="7" fillId="4" borderId="19" xfId="2" applyFont="1" applyFill="1" applyBorder="1" applyAlignment="1">
      <alignment horizontal="center" vertical="center"/>
    </xf>
    <xf numFmtId="14" fontId="10" fillId="2" borderId="39" xfId="1" applyNumberFormat="1" applyFont="1" applyFill="1" applyBorder="1" applyAlignment="1">
      <alignment horizontal="center" vertical="center" wrapText="1"/>
    </xf>
    <xf numFmtId="14" fontId="10" fillId="2" borderId="34" xfId="1" applyNumberFormat="1" applyFont="1" applyFill="1" applyBorder="1" applyAlignment="1">
      <alignment horizontal="center" vertical="center" wrapText="1"/>
    </xf>
    <xf numFmtId="14" fontId="10" fillId="2" borderId="11" xfId="1" applyNumberFormat="1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left"/>
    </xf>
    <xf numFmtId="0" fontId="10" fillId="2" borderId="37" xfId="1" applyFont="1" applyFill="1" applyBorder="1" applyAlignment="1">
      <alignment horizontal="left"/>
    </xf>
    <xf numFmtId="0" fontId="10" fillId="2" borderId="36" xfId="1" applyFont="1" applyFill="1" applyBorder="1" applyAlignment="1">
      <alignment horizontal="left"/>
    </xf>
    <xf numFmtId="0" fontId="10" fillId="2" borderId="18" xfId="1" applyFont="1" applyFill="1" applyBorder="1" applyAlignment="1">
      <alignment horizontal="left"/>
    </xf>
    <xf numFmtId="0" fontId="10" fillId="2" borderId="6" xfId="1" applyFont="1" applyFill="1" applyBorder="1" applyAlignment="1">
      <alignment horizontal="left"/>
    </xf>
    <xf numFmtId="0" fontId="10" fillId="2" borderId="9" xfId="1" applyFont="1" applyFill="1" applyBorder="1" applyAlignment="1">
      <alignment horizontal="left"/>
    </xf>
    <xf numFmtId="0" fontId="10" fillId="2" borderId="44" xfId="1" applyFont="1" applyFill="1" applyBorder="1" applyAlignment="1">
      <alignment horizontal="center"/>
    </xf>
    <xf numFmtId="0" fontId="10" fillId="2" borderId="43" xfId="1" applyFont="1" applyFill="1" applyBorder="1" applyAlignment="1">
      <alignment horizontal="center"/>
    </xf>
    <xf numFmtId="0" fontId="10" fillId="2" borderId="27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5" xfId="1" applyFont="1" applyFill="1" applyBorder="1" applyAlignment="1">
      <alignment horizontal="center"/>
    </xf>
    <xf numFmtId="0" fontId="10" fillId="2" borderId="24" xfId="1" applyFont="1" applyFill="1" applyBorder="1" applyAlignment="1">
      <alignment horizontal="center"/>
    </xf>
    <xf numFmtId="0" fontId="12" fillId="2" borderId="30" xfId="1" applyFont="1" applyFill="1" applyBorder="1" applyAlignment="1">
      <alignment horizontal="center"/>
    </xf>
    <xf numFmtId="0" fontId="12" fillId="2" borderId="42" xfId="1" applyFont="1" applyFill="1" applyBorder="1" applyAlignment="1">
      <alignment horizontal="center"/>
    </xf>
    <xf numFmtId="0" fontId="12" fillId="2" borderId="41" xfId="1" applyFont="1" applyFill="1" applyBorder="1" applyAlignment="1">
      <alignment horizontal="center"/>
    </xf>
    <xf numFmtId="0" fontId="12" fillId="2" borderId="20" xfId="1" applyFont="1" applyFill="1" applyBorder="1" applyAlignment="1">
      <alignment horizontal="center"/>
    </xf>
    <xf numFmtId="0" fontId="11" fillId="6" borderId="17" xfId="1" applyFont="1" applyFill="1" applyBorder="1" applyAlignment="1">
      <alignment horizontal="center" vertical="center" wrapText="1"/>
    </xf>
    <xf numFmtId="0" fontId="11" fillId="6" borderId="16" xfId="1" applyFont="1" applyFill="1" applyBorder="1" applyAlignment="1">
      <alignment horizontal="center" vertical="center" wrapText="1"/>
    </xf>
    <xf numFmtId="0" fontId="11" fillId="6" borderId="15" xfId="1" applyFont="1" applyFill="1" applyBorder="1" applyAlignment="1">
      <alignment horizontal="center" vertical="center" wrapText="1"/>
    </xf>
    <xf numFmtId="0" fontId="7" fillId="2" borderId="40" xfId="1" applyFont="1" applyFill="1" applyBorder="1" applyAlignment="1">
      <alignment horizontal="right" vertical="top" wrapText="1"/>
    </xf>
    <xf numFmtId="0" fontId="7" fillId="2" borderId="35" xfId="1" applyFont="1" applyFill="1" applyBorder="1" applyAlignment="1">
      <alignment horizontal="right" vertical="top" wrapText="1"/>
    </xf>
    <xf numFmtId="0" fontId="7" fillId="2" borderId="33" xfId="1" applyFont="1" applyFill="1" applyBorder="1" applyAlignment="1">
      <alignment horizontal="right" vertical="top" wrapText="1"/>
    </xf>
  </cellXfs>
  <cellStyles count="4">
    <cellStyle name="Normal" xfId="0" builtinId="0"/>
    <cellStyle name="Normal 2" xfId="2" xr:uid="{59486CC0-7B30-4B89-9F1F-18D13320BF8D}"/>
    <cellStyle name="Normal 3 2" xfId="3" xr:uid="{383A0218-C485-4EB0-ADC1-8A0DD483865B}"/>
    <cellStyle name="Normal_CRITERIOS DE EVALUACION PT DE GB 2" xfId="1" xr:uid="{3563C0B7-FEEB-4FE9-96D6-DB3F89FF6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43542</xdr:colOff>
      <xdr:row>0</xdr:row>
      <xdr:rowOff>193222</xdr:rowOff>
    </xdr:from>
    <xdr:ext cx="1874997" cy="840922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54F7DEB-3BA0-4AAF-B7BC-12095A86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" y="164647"/>
          <a:ext cx="1874997" cy="840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F555-6808-4C98-8CB0-EE78EC6FDE68}">
  <sheetPr>
    <pageSetUpPr fitToPage="1"/>
  </sheetPr>
  <dimension ref="A1:K3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7109375" customWidth="1"/>
    <col min="2" max="2" width="16.140625" customWidth="1"/>
    <col min="3" max="3" width="81.140625" customWidth="1"/>
    <col min="4" max="4" width="14.28515625" bestFit="1" customWidth="1"/>
    <col min="5" max="5" width="12.85546875" customWidth="1"/>
    <col min="6" max="6" width="13.42578125" customWidth="1"/>
    <col min="7" max="7" width="20.140625" customWidth="1"/>
    <col min="8" max="8" width="19.42578125" customWidth="1"/>
    <col min="9" max="9" width="18.42578125" customWidth="1"/>
  </cols>
  <sheetData>
    <row r="1" spans="1:11" ht="15.75" x14ac:dyDescent="0.25">
      <c r="A1" s="114"/>
      <c r="B1" s="115"/>
      <c r="C1" s="120" t="s">
        <v>51</v>
      </c>
      <c r="D1" s="120"/>
      <c r="E1" s="120"/>
      <c r="F1" s="120"/>
      <c r="G1" s="120"/>
      <c r="H1" s="61" t="s">
        <v>50</v>
      </c>
      <c r="I1" s="60" t="s">
        <v>49</v>
      </c>
    </row>
    <row r="2" spans="1:11" ht="18" customHeight="1" thickBot="1" x14ac:dyDescent="0.3">
      <c r="A2" s="116"/>
      <c r="B2" s="117"/>
      <c r="C2" s="121" t="s">
        <v>48</v>
      </c>
      <c r="D2" s="122"/>
      <c r="E2" s="122"/>
      <c r="F2" s="122"/>
      <c r="G2" s="123"/>
      <c r="H2" s="59" t="s">
        <v>47</v>
      </c>
      <c r="I2" s="58" t="s">
        <v>59</v>
      </c>
    </row>
    <row r="3" spans="1:11" ht="31.5" customHeight="1" thickBot="1" x14ac:dyDescent="0.25">
      <c r="A3" s="116"/>
      <c r="B3" s="117"/>
      <c r="C3" s="124" t="s">
        <v>46</v>
      </c>
      <c r="D3" s="125"/>
      <c r="E3" s="125"/>
      <c r="F3" s="125"/>
      <c r="G3" s="126"/>
      <c r="H3" s="127" t="s">
        <v>45</v>
      </c>
      <c r="I3" s="105">
        <v>46058</v>
      </c>
    </row>
    <row r="4" spans="1:11" ht="18" customHeight="1" x14ac:dyDescent="0.25">
      <c r="A4" s="116"/>
      <c r="B4" s="117"/>
      <c r="C4" s="57" t="s">
        <v>44</v>
      </c>
      <c r="D4" s="108" t="s">
        <v>43</v>
      </c>
      <c r="E4" s="109"/>
      <c r="F4" s="109"/>
      <c r="G4" s="110"/>
      <c r="H4" s="128"/>
      <c r="I4" s="106"/>
    </row>
    <row r="5" spans="1:11" ht="14.25" thickBot="1" x14ac:dyDescent="0.3">
      <c r="A5" s="118"/>
      <c r="B5" s="119"/>
      <c r="C5" s="56" t="s">
        <v>42</v>
      </c>
      <c r="D5" s="111" t="s">
        <v>41</v>
      </c>
      <c r="E5" s="112"/>
      <c r="F5" s="112"/>
      <c r="G5" s="113"/>
      <c r="H5" s="129"/>
      <c r="I5" s="107"/>
    </row>
    <row r="6" spans="1:11" ht="18.75" thickBot="1" x14ac:dyDescent="0.3">
      <c r="A6" s="96" t="s">
        <v>40</v>
      </c>
      <c r="B6" s="96"/>
      <c r="C6" s="96"/>
      <c r="D6" s="97" t="s">
        <v>38</v>
      </c>
      <c r="E6" s="97"/>
      <c r="F6" s="97"/>
      <c r="G6" s="98" t="s">
        <v>39</v>
      </c>
      <c r="H6" s="98"/>
      <c r="I6" s="55" t="s">
        <v>38</v>
      </c>
    </row>
    <row r="7" spans="1:11" ht="32.25" customHeight="1" x14ac:dyDescent="0.2">
      <c r="A7" s="99" t="s">
        <v>37</v>
      </c>
      <c r="B7" s="101" t="s">
        <v>36</v>
      </c>
      <c r="C7" s="103" t="s">
        <v>35</v>
      </c>
      <c r="D7" s="103" t="s">
        <v>34</v>
      </c>
      <c r="E7" s="103" t="s">
        <v>33</v>
      </c>
      <c r="F7" s="103"/>
      <c r="G7" s="103" t="s">
        <v>32</v>
      </c>
      <c r="H7" s="103"/>
      <c r="I7" s="54" t="s">
        <v>31</v>
      </c>
    </row>
    <row r="8" spans="1:11" ht="33" customHeight="1" thickBot="1" x14ac:dyDescent="0.25">
      <c r="A8" s="100"/>
      <c r="B8" s="102"/>
      <c r="C8" s="104"/>
      <c r="D8" s="104"/>
      <c r="E8" s="53" t="s">
        <v>15</v>
      </c>
      <c r="F8" s="52" t="s">
        <v>30</v>
      </c>
      <c r="G8" s="53" t="s">
        <v>15</v>
      </c>
      <c r="H8" s="52" t="s">
        <v>30</v>
      </c>
      <c r="I8" s="51" t="s">
        <v>29</v>
      </c>
    </row>
    <row r="9" spans="1:11" ht="20.25" x14ac:dyDescent="0.3">
      <c r="A9" s="50"/>
      <c r="B9" s="49"/>
      <c r="C9" s="48" t="s">
        <v>28</v>
      </c>
      <c r="D9" s="47"/>
      <c r="E9" s="28"/>
      <c r="F9" s="29"/>
      <c r="G9" s="28"/>
      <c r="H9" s="29"/>
      <c r="I9" s="21"/>
    </row>
    <row r="10" spans="1:11" ht="20.25" x14ac:dyDescent="0.3">
      <c r="A10" s="40"/>
      <c r="B10" s="40" t="s">
        <v>27</v>
      </c>
      <c r="C10" s="45" t="s">
        <v>58</v>
      </c>
      <c r="D10" s="40" t="s">
        <v>26</v>
      </c>
      <c r="E10" s="46">
        <v>20000</v>
      </c>
      <c r="F10" s="40" t="s">
        <v>21</v>
      </c>
      <c r="G10" s="8"/>
      <c r="H10" s="4" t="s">
        <v>25</v>
      </c>
      <c r="I10" s="21"/>
      <c r="K10">
        <f>E10/1.1504</f>
        <v>17385.257301808066</v>
      </c>
    </row>
    <row r="11" spans="1:11" ht="20.25" x14ac:dyDescent="0.3">
      <c r="A11" s="40" t="s">
        <v>24</v>
      </c>
      <c r="B11" s="40"/>
      <c r="C11" s="24" t="s">
        <v>23</v>
      </c>
      <c r="D11" s="40" t="s">
        <v>22</v>
      </c>
      <c r="E11" s="22">
        <v>212</v>
      </c>
      <c r="F11" s="40" t="s">
        <v>21</v>
      </c>
      <c r="G11" s="43"/>
      <c r="H11" s="42" t="s">
        <v>20</v>
      </c>
      <c r="I11" s="21"/>
      <c r="K11">
        <f t="shared" ref="K11:K12" si="0">E11/1.1504</f>
        <v>184.28372739916549</v>
      </c>
    </row>
    <row r="12" spans="1:11" ht="20.25" x14ac:dyDescent="0.3">
      <c r="A12" s="4"/>
      <c r="B12" s="45" t="s">
        <v>19</v>
      </c>
      <c r="C12" s="45" t="s">
        <v>18</v>
      </c>
      <c r="D12" s="4"/>
      <c r="E12" s="5">
        <v>133</v>
      </c>
      <c r="F12" s="44"/>
      <c r="G12" s="43"/>
      <c r="H12" s="42"/>
      <c r="I12" s="21"/>
      <c r="K12">
        <f t="shared" si="0"/>
        <v>115.61196105702363</v>
      </c>
    </row>
    <row r="13" spans="1:11" ht="20.25" x14ac:dyDescent="0.3">
      <c r="A13" s="4"/>
      <c r="B13" s="4"/>
      <c r="C13" s="37"/>
      <c r="D13" s="41"/>
      <c r="E13" s="41"/>
      <c r="F13" s="23"/>
      <c r="G13" s="28"/>
      <c r="H13" s="29"/>
      <c r="I13" s="21"/>
    </row>
    <row r="14" spans="1:11" ht="20.25" x14ac:dyDescent="0.3">
      <c r="A14" s="40"/>
      <c r="B14" s="40"/>
      <c r="C14" s="39" t="s">
        <v>17</v>
      </c>
      <c r="D14" s="22"/>
      <c r="E14" s="38"/>
      <c r="F14" s="23"/>
      <c r="G14" s="28"/>
      <c r="H14" s="29"/>
      <c r="I14" s="21"/>
    </row>
    <row r="15" spans="1:11" ht="20.25" x14ac:dyDescent="0.3">
      <c r="A15" s="4"/>
      <c r="B15" s="4"/>
      <c r="C15" s="37"/>
      <c r="D15" s="36"/>
      <c r="E15" s="35"/>
      <c r="F15" s="34"/>
      <c r="G15" s="28"/>
      <c r="H15" s="29"/>
      <c r="I15" s="21"/>
    </row>
    <row r="16" spans="1:11" ht="20.25" x14ac:dyDescent="0.3">
      <c r="A16" s="33"/>
      <c r="B16" s="33"/>
      <c r="C16" s="32" t="s">
        <v>16</v>
      </c>
      <c r="D16" s="31"/>
      <c r="E16" s="30"/>
      <c r="F16" s="29"/>
      <c r="G16" s="28"/>
      <c r="H16" s="27"/>
      <c r="I16" s="21"/>
      <c r="J16">
        <f>SUM(E10:E12)</f>
        <v>20345</v>
      </c>
    </row>
    <row r="17" spans="1:10" ht="20.25" x14ac:dyDescent="0.3">
      <c r="A17" s="26"/>
      <c r="B17" s="25"/>
      <c r="C17" s="24"/>
      <c r="D17" s="22"/>
      <c r="E17" s="22"/>
      <c r="F17" s="23"/>
      <c r="G17" s="22"/>
      <c r="H17" s="22"/>
      <c r="I17" s="21"/>
    </row>
    <row r="18" spans="1:10" ht="21" thickBot="1" x14ac:dyDescent="0.35">
      <c r="A18" s="20"/>
      <c r="B18" s="19"/>
      <c r="C18" s="16"/>
      <c r="D18" s="16"/>
      <c r="E18" s="18"/>
      <c r="F18" s="17"/>
      <c r="G18" s="16"/>
      <c r="H18" s="16"/>
      <c r="I18" s="15"/>
    </row>
    <row r="19" spans="1:10" ht="21" thickBot="1" x14ac:dyDescent="0.35">
      <c r="A19" s="14"/>
      <c r="B19" s="13"/>
      <c r="C19" s="10"/>
      <c r="D19" s="1" t="s">
        <v>15</v>
      </c>
      <c r="E19" s="12" t="s">
        <v>14</v>
      </c>
      <c r="F19" s="11"/>
      <c r="G19" s="10"/>
      <c r="H19" s="10"/>
      <c r="I19" s="9"/>
    </row>
    <row r="20" spans="1:10" ht="20.25" x14ac:dyDescent="0.3">
      <c r="A20" s="84" t="s">
        <v>13</v>
      </c>
      <c r="B20" s="85"/>
      <c r="C20" s="86"/>
      <c r="D20" s="8">
        <v>19740</v>
      </c>
      <c r="E20" s="7" t="s">
        <v>2</v>
      </c>
      <c r="F20" s="87" t="s">
        <v>12</v>
      </c>
      <c r="G20" s="87"/>
      <c r="H20" s="88"/>
      <c r="I20" s="89"/>
      <c r="J20">
        <f>D20/20260</f>
        <v>0.9743336623889437</v>
      </c>
    </row>
    <row r="21" spans="1:10" ht="20.25" x14ac:dyDescent="0.3">
      <c r="A21" s="90" t="s">
        <v>11</v>
      </c>
      <c r="B21" s="91"/>
      <c r="C21" s="92"/>
      <c r="D21" s="6">
        <v>5</v>
      </c>
      <c r="E21" s="4" t="s">
        <v>10</v>
      </c>
      <c r="F21" s="93" t="s">
        <v>9</v>
      </c>
      <c r="G21" s="93"/>
      <c r="H21" s="71"/>
      <c r="I21" s="72"/>
    </row>
    <row r="22" spans="1:10" ht="20.25" x14ac:dyDescent="0.3">
      <c r="A22" s="90" t="s">
        <v>8</v>
      </c>
      <c r="B22" s="91"/>
      <c r="C22" s="92"/>
      <c r="D22" s="4">
        <v>1</v>
      </c>
      <c r="E22" s="4" t="s">
        <v>7</v>
      </c>
      <c r="F22" s="93" t="s">
        <v>6</v>
      </c>
      <c r="G22" s="93"/>
      <c r="H22" s="71"/>
      <c r="I22" s="72"/>
      <c r="J22">
        <f>195+410</f>
        <v>605</v>
      </c>
    </row>
    <row r="23" spans="1:10" ht="20.25" x14ac:dyDescent="0.3">
      <c r="A23" s="90" t="s">
        <v>5</v>
      </c>
      <c r="B23" s="91"/>
      <c r="C23" s="92"/>
      <c r="D23" s="5">
        <v>19740</v>
      </c>
      <c r="E23" s="4" t="s">
        <v>2</v>
      </c>
      <c r="F23" s="94" t="s">
        <v>4</v>
      </c>
      <c r="G23" s="95"/>
      <c r="H23" s="71"/>
      <c r="I23" s="72"/>
    </row>
    <row r="24" spans="1:10" ht="21" thickBot="1" x14ac:dyDescent="0.35">
      <c r="A24" s="67" t="s">
        <v>3</v>
      </c>
      <c r="B24" s="68"/>
      <c r="C24" s="69"/>
      <c r="D24" s="3">
        <f>SUM(E10:E12)-D20</f>
        <v>605</v>
      </c>
      <c r="E24" s="2" t="s">
        <v>2</v>
      </c>
      <c r="F24" s="70"/>
      <c r="G24" s="70"/>
      <c r="H24" s="71"/>
      <c r="I24" s="72"/>
      <c r="J24">
        <f>20150-410</f>
        <v>19740</v>
      </c>
    </row>
    <row r="25" spans="1:10" ht="21" thickBot="1" x14ac:dyDescent="0.35">
      <c r="A25" s="73" t="s">
        <v>1</v>
      </c>
      <c r="B25" s="74"/>
      <c r="C25" s="74"/>
      <c r="D25" s="74"/>
      <c r="E25" s="74"/>
      <c r="F25" s="74"/>
      <c r="G25" s="74"/>
      <c r="H25" s="74"/>
      <c r="I25" s="75"/>
    </row>
    <row r="26" spans="1:10" ht="20.25" x14ac:dyDescent="0.3">
      <c r="A26" s="76" t="s">
        <v>53</v>
      </c>
      <c r="B26" s="77"/>
      <c r="C26" s="78"/>
      <c r="D26" s="78"/>
      <c r="E26" s="78"/>
      <c r="F26" s="78"/>
      <c r="G26" s="78"/>
      <c r="H26" s="78"/>
      <c r="I26" s="79"/>
    </row>
    <row r="27" spans="1:10" ht="20.25" x14ac:dyDescent="0.3">
      <c r="A27" s="63" t="s">
        <v>56</v>
      </c>
      <c r="B27" s="64"/>
      <c r="C27" s="65"/>
      <c r="D27" s="65"/>
      <c r="E27" s="65"/>
      <c r="F27" s="65"/>
      <c r="G27" s="65"/>
      <c r="H27" s="65"/>
      <c r="I27" s="66"/>
    </row>
    <row r="28" spans="1:10" ht="20.25" x14ac:dyDescent="0.3">
      <c r="A28" s="63" t="s">
        <v>57</v>
      </c>
      <c r="B28" s="64"/>
      <c r="C28" s="65"/>
      <c r="D28" s="65"/>
      <c r="E28" s="65"/>
      <c r="F28" s="65"/>
      <c r="G28" s="65"/>
      <c r="H28" s="65"/>
      <c r="I28" s="66"/>
    </row>
    <row r="29" spans="1:10" ht="20.25" x14ac:dyDescent="0.3">
      <c r="A29" s="63" t="s">
        <v>54</v>
      </c>
      <c r="B29" s="64"/>
      <c r="C29" s="65"/>
      <c r="D29" s="65"/>
      <c r="E29" s="65"/>
      <c r="F29" s="65"/>
      <c r="G29" s="65"/>
      <c r="H29" s="65"/>
      <c r="I29" s="66"/>
    </row>
    <row r="30" spans="1:10" ht="20.25" x14ac:dyDescent="0.3">
      <c r="A30" s="80"/>
      <c r="B30" s="81"/>
      <c r="C30" s="81"/>
      <c r="D30" s="81"/>
      <c r="E30" s="81"/>
      <c r="F30" s="81"/>
      <c r="G30" s="81"/>
      <c r="H30" s="81"/>
      <c r="I30" s="82"/>
    </row>
    <row r="31" spans="1:10" ht="20.25" x14ac:dyDescent="0.3">
      <c r="A31" s="83" t="s">
        <v>0</v>
      </c>
      <c r="B31" s="83"/>
      <c r="C31" s="83"/>
      <c r="D31" s="83"/>
      <c r="E31" s="83"/>
      <c r="F31" s="83"/>
      <c r="G31" s="83"/>
      <c r="H31" s="83"/>
      <c r="I31" s="83"/>
    </row>
    <row r="32" spans="1:10" ht="20.25" x14ac:dyDescent="0.3">
      <c r="A32" s="62" t="s">
        <v>52</v>
      </c>
      <c r="B32" s="62"/>
      <c r="C32" s="62"/>
      <c r="D32" s="62"/>
      <c r="E32" s="62"/>
      <c r="F32" s="62"/>
      <c r="G32" s="62"/>
      <c r="H32" s="62"/>
      <c r="I32" s="62"/>
    </row>
    <row r="33" spans="1:9" ht="20.25" x14ac:dyDescent="0.3">
      <c r="A33" s="62" t="s">
        <v>55</v>
      </c>
      <c r="B33" s="62"/>
      <c r="C33" s="62"/>
      <c r="D33" s="62"/>
      <c r="E33" s="62"/>
      <c r="F33" s="62"/>
      <c r="G33" s="62"/>
      <c r="H33" s="62"/>
      <c r="I33" s="62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0:C20"/>
    <mergeCell ref="F20:G20"/>
    <mergeCell ref="H20:I20"/>
    <mergeCell ref="A21:C21"/>
    <mergeCell ref="F21:G21"/>
    <mergeCell ref="H21:I21"/>
    <mergeCell ref="A32:I32"/>
    <mergeCell ref="A33:I33"/>
    <mergeCell ref="A28:I28"/>
    <mergeCell ref="A29:I29"/>
    <mergeCell ref="A24:C24"/>
    <mergeCell ref="F24:G24"/>
    <mergeCell ref="H24:I24"/>
    <mergeCell ref="A25:I25"/>
    <mergeCell ref="A26:I26"/>
    <mergeCell ref="A30:I30"/>
    <mergeCell ref="A27:I27"/>
    <mergeCell ref="A31:I31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5D76374-CE44-4BBF-82D7-5295739E81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DAA7BC-BE7B-4BEA-9AE1-695D5BB81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B16680-0937-4AC3-9764-3ECA967AD25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Pasta Alfajor Velvet </vt:lpstr>
      <vt:lpstr>'Pasta Alfajor Velvet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2026-03-02T22:02:46Z</cp:lastPrinted>
  <dcterms:created xsi:type="dcterms:W3CDTF">2026-02-05T22:26:56Z</dcterms:created>
  <dcterms:modified xsi:type="dcterms:W3CDTF">2026-03-02T22:02:47Z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
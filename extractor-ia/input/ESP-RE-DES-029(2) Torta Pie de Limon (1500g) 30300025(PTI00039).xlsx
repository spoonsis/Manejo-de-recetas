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sedepast.sharepoint.com/sites/Stargate/Carpetas compartidas/Recetas Movidas/RECETAS 2025 ACTUALIZADA/DECO/SPOON/"/>
    </mc:Choice>
  </mc:AlternateContent>
  <xr:revisionPtr revIDLastSave="4" documentId="8_{054255A7-15BF-4B88-B3F1-BAC798D10CE4}" xr6:coauthVersionLast="47" xr6:coauthVersionMax="47" xr10:uidLastSave="{660D2BA2-48B8-40ED-90B1-F2B12D74415A}"/>
  <bookViews>
    <workbookView xWindow="-108" yWindow="-108" windowWidth="23256" windowHeight="12456" xr2:uid="{CAD00DB6-EF02-46A9-8DF0-5AC747AD658D}"/>
  </bookViews>
  <sheets>
    <sheet name="Hoja1"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5" i="12" l="1"/>
</calcChain>
</file>

<file path=xl/sharedStrings.xml><?xml version="1.0" encoding="utf-8"?>
<sst xmlns="http://schemas.openxmlformats.org/spreadsheetml/2006/main" count="143" uniqueCount="109">
  <si>
    <t>CÓDIGO:</t>
  </si>
  <si>
    <t>ESPECIFICACION DE RECETA</t>
  </si>
  <si>
    <t>REVISIÓN:</t>
  </si>
  <si>
    <t>FECHA DE APROBACIÓN:</t>
  </si>
  <si>
    <t>Elaborado</t>
  </si>
  <si>
    <t>Aprobado</t>
  </si>
  <si>
    <t xml:space="preserve"># Código </t>
  </si>
  <si>
    <t>Descripción del ingrediente</t>
  </si>
  <si>
    <t xml:space="preserve">Marca </t>
  </si>
  <si>
    <t>Unidad Internacional</t>
  </si>
  <si>
    <t>Medida alternativa</t>
  </si>
  <si>
    <t xml:space="preserve">Costo - Referencia </t>
  </si>
  <si>
    <t>Cantidad</t>
  </si>
  <si>
    <t xml:space="preserve">Unidad medida </t>
  </si>
  <si>
    <t>Colones</t>
  </si>
  <si>
    <t>Unidad</t>
  </si>
  <si>
    <t>PESO TOTAL OBTENIDO</t>
  </si>
  <si>
    <t>TIEMPO TOTAL DE PREPARACION</t>
  </si>
  <si>
    <t>Horno:</t>
  </si>
  <si>
    <t>CANTIDAD DE PORCIONES OBTENIDAS</t>
  </si>
  <si>
    <t>PESO DE CADA PORCIÓN</t>
  </si>
  <si>
    <t>Otros</t>
  </si>
  <si>
    <t>MERMA</t>
  </si>
  <si>
    <t>PROCEDIMIENTO DE PREPARACION DE LA  RECETA</t>
  </si>
  <si>
    <t>SERVICIOS DE PASTELERIA S.A.</t>
  </si>
  <si>
    <t>Tiempo de Horneo:</t>
  </si>
  <si>
    <t>Temperatura de Horneo:</t>
  </si>
  <si>
    <t>g</t>
  </si>
  <si>
    <t>LECHES PASTEURIZADA CON AGUA</t>
  </si>
  <si>
    <t>RELLENO DE MANTEQUILLA Y QUESO LIMON</t>
  </si>
  <si>
    <t>AMAPOLA</t>
  </si>
  <si>
    <t>1950692</t>
  </si>
  <si>
    <t>1.- Partir cada rosquete por la mitad, humedecer cada capa con mezcla de tres leches.</t>
  </si>
  <si>
    <t>702175</t>
  </si>
  <si>
    <t>121603</t>
  </si>
  <si>
    <t>QUEQUERA RED  BASE/DOMO 10 (CAJA:50)</t>
  </si>
  <si>
    <t>MAYCA</t>
  </si>
  <si>
    <t>ud</t>
  </si>
  <si>
    <t>ORLA CARTON 10"  (100 * PAQ)</t>
  </si>
  <si>
    <t>ETIQUETA SPOON GRANDE V-272</t>
  </si>
  <si>
    <t>ETIPLAST</t>
  </si>
  <si>
    <t>cm</t>
  </si>
  <si>
    <t>min</t>
  </si>
  <si>
    <t>ROSQUETE NUCLEO VAINILLA DAWN REDONDO 320G</t>
  </si>
  <si>
    <t>FAS</t>
  </si>
  <si>
    <t>ETIQUETA BLANCA R-153 (UND)</t>
  </si>
  <si>
    <t>1210461</t>
  </si>
  <si>
    <t>910000003</t>
  </si>
  <si>
    <t>GALLETA VAINILLA BAÑO CHOCO BLANCO KILO</t>
  </si>
  <si>
    <t>AREA QUE PRODUCE:</t>
  </si>
  <si>
    <t xml:space="preserve">AREA QUE EMPACA: </t>
  </si>
  <si>
    <t>Decoración</t>
  </si>
  <si>
    <t>910000018</t>
  </si>
  <si>
    <t xml:space="preserve">CREMA CHANTILLY BEIDGE </t>
  </si>
  <si>
    <t>GALLETA MARIA CON CHOCOLATE BLANCO</t>
  </si>
  <si>
    <t>119000026</t>
  </si>
  <si>
    <t>GANACHE AMARILLO</t>
  </si>
  <si>
    <t>905000105</t>
  </si>
  <si>
    <t>SE00448</t>
  </si>
  <si>
    <t>SE00254</t>
  </si>
  <si>
    <t>SE00255</t>
  </si>
  <si>
    <t>SE00077</t>
  </si>
  <si>
    <t>SE00069</t>
  </si>
  <si>
    <t>SE00481</t>
  </si>
  <si>
    <t>MP10133</t>
  </si>
  <si>
    <t>MP10357</t>
  </si>
  <si>
    <t>EM10009</t>
  </si>
  <si>
    <t>EM10008</t>
  </si>
  <si>
    <t>EM10006</t>
  </si>
  <si>
    <t>EM10124</t>
  </si>
  <si>
    <t>10900060</t>
  </si>
  <si>
    <t>MP10109</t>
  </si>
  <si>
    <t>EM10248</t>
  </si>
  <si>
    <t>703020</t>
  </si>
  <si>
    <t>EM10002</t>
  </si>
  <si>
    <t>EM10011</t>
  </si>
  <si>
    <t>4.- Tapar, etiquetar, fechar con nombre, lote, fecha de vencimiento y Sticker V-272 Spoon.</t>
  </si>
  <si>
    <t>Javier Tong, Chef</t>
  </si>
  <si>
    <t>Esteban Cartin, Gte Manufactura</t>
  </si>
  <si>
    <t>Decoracion</t>
  </si>
  <si>
    <t># Código Netsuite</t>
  </si>
  <si>
    <t>Ensamble</t>
  </si>
  <si>
    <t>1 1/2 UND</t>
  </si>
  <si>
    <t>80 GRAMOS 3 CAPAS</t>
  </si>
  <si>
    <t>1 TAZA POR CAPA</t>
  </si>
  <si>
    <t xml:space="preserve">ENCREMAR </t>
  </si>
  <si>
    <t>CHOCOLATE TULIPAN MARMOL</t>
  </si>
  <si>
    <t>CHOCOLATE S</t>
  </si>
  <si>
    <t>UNIVERSAL A</t>
  </si>
  <si>
    <t xml:space="preserve">CEREZA ROJA  C/TALLO </t>
  </si>
  <si>
    <t>1 UND</t>
  </si>
  <si>
    <t>Empaque</t>
  </si>
  <si>
    <t>ESTUARDO</t>
  </si>
  <si>
    <t>LITOGRAFIA CR</t>
  </si>
  <si>
    <t xml:space="preserve">CINTA ADHESIVA TRANSP. 1/ 2*100 MTS </t>
  </si>
  <si>
    <t>ETIQ.BLANCA 1 1/4 * 3/4</t>
  </si>
  <si>
    <t>ETIQUETA BLANCA 2 5/8X1 15/16</t>
  </si>
  <si>
    <t>CONTROL DE CAMBIOS</t>
  </si>
  <si>
    <t>ESP-RE-DES-029</t>
  </si>
  <si>
    <t>1/2 TAZA - 2 CAPAS (65g x capa)</t>
  </si>
  <si>
    <t xml:space="preserve">1/4 taza </t>
  </si>
  <si>
    <t>2.- Ditribuir en dos capas de: relleno de mantequilla, queso limon y galleta con chocolate.</t>
  </si>
  <si>
    <t xml:space="preserve">3.- Encremar la torta con crema chantilly Beidge, decorar con galleta con chocolate blanco en el borde, con ayuda de una espatula colocar el ganache blanco en el centro tipo espiral. Espolvorear amapola en el centro y colocar 1 cereza en el centro de la torta y 2 tulipanes acorde a la fotografia. </t>
  </si>
  <si>
    <t xml:space="preserve">2, Se actualizan datos de receta y merma. </t>
  </si>
  <si>
    <t>EM10004</t>
  </si>
  <si>
    <t>Etiq.Fecha Vencimiento Blanco</t>
  </si>
  <si>
    <t>ETIPLATS</t>
  </si>
  <si>
    <t xml:space="preserve"> Torta Pie de Limon (1500g) 30300025(PTI00039)</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</si>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</sst>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64" formatCode="_(* #,##0_);_(* \(#,##0\);_(* &quot;-&quot;_);_(@_)"/>
    <numFmt numFmtId="165" formatCode="_(* #,##0.00_);_(* \(#,##0.00\);_(* &quot;-&quot;??_);_(@_)"/>
    <numFmt numFmtId="166" formatCode="0.000"/>
    <numFmt numFmtId="167" formatCode="0.0"/>
    <numFmt numFmtId="168" formatCode="_(* #,##0.000_);_(* \(#,##0.000\);_(* &quot;-&quot;??_);_(@_)"/>
  </numFmts>
  <fonts count="18" x14ac:knownFonts="1">
    <font>
      <sz val="10"/>
      <name val="Arial"/>
    </font>
    <font>
      <sz val="10"/>
      <name val="Arial"/>
      <family val="2"/>
    </font>
    <font>
      <sz val="12"/>
      <name val="Arial"/>
      <family val="2"/>
    </font>
    <font>
      <b/>
      <sz val="14"/>
      <name val="Century Gothic"/>
      <family val="2"/>
    </font>
    <font>
      <sz val="10"/>
      <name val="Arial"/>
      <family val="2"/>
    </font>
    <font>
      <sz val="10"/>
      <name val="Arial"/>
      <family val="2"/>
    </font>
    <font>
      <b/>
      <sz val="14"/>
      <name val="Arial"/>
      <family val="2"/>
    </font>
    <font>
      <sz val="11"/>
      <color theme="1"/>
      <name val="Calibri"/>
      <family val="2"/>
      <scheme val="minor"/>
    </font>
    <font>
      <sz val="14"/>
      <name val="Century Gothic"/>
      <family val="2"/>
    </font>
    <font>
      <b/>
      <sz val="14"/>
      <color rgb="FFFF0000"/>
      <name val="Arial"/>
      <family val="2"/>
    </font>
    <font>
      <b/>
      <sz val="14"/>
      <name val="Times New Roman"/>
      <family val="1"/>
    </font>
    <font>
      <b/>
      <sz val="14"/>
      <color indexed="8"/>
      <name val="Times New Roman"/>
      <family val="1"/>
    </font>
    <font>
      <sz val="14"/>
      <name val="Times New Roman"/>
      <family val="1"/>
    </font>
    <font>
      <sz val="14"/>
      <color theme="1"/>
      <name val="Century Gothic"/>
      <family val="2"/>
    </font>
    <font>
      <sz val="14"/>
      <color rgb="FF000000"/>
      <name val="Century Gothic"/>
      <family val="2"/>
    </font>
    <font>
      <sz val="14"/>
      <name val="Arial"/>
      <family val="2"/>
    </font>
    <font>
      <sz val="14"/>
      <color rgb="FF000000"/>
      <name val="Calibri"/>
      <family val="2"/>
      <scheme val="minor"/>
    </font>
    <font>
      <sz val="14"/>
      <color indexed="8"/>
      <name val="Century Gothic"/>
      <family val="2"/>
    </font>
  </fonts>
  <fills count="8">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3"/>
        <bgColor indexed="64"/>
      </patternFill>
    </fill>
    <fill>
      <patternFill patternType="solid">
        <fgColor theme="0"/>
        <bgColor indexed="64"/>
      </patternFill>
    </fill>
    <fill>
      <patternFill patternType="solid">
        <fgColor rgb="FFFFFFFF"/>
        <bgColor rgb="FF000000"/>
      </patternFill>
    </fill>
    <fill>
      <patternFill patternType="solid">
        <fgColor theme="0" tint="-0.14999847407452621"/>
        <bgColor indexed="64"/>
      </patternFill>
    </fill>
  </fills>
  <borders count="46">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diagonal/>
    </border>
    <border>
      <left/>
      <right/>
      <top/>
      <bottom style="medium">
        <color indexed="64"/>
      </bottom>
      <diagonal/>
    </border>
    <border>
      <left style="thin">
        <color indexed="64"/>
      </left>
      <right style="medium">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diagonal/>
    </border>
    <border>
      <left style="thin">
        <color indexed="64"/>
      </left>
      <right/>
      <top/>
      <bottom/>
      <diagonal/>
    </border>
  </borders>
  <cellStyleXfs count="16">
    <xf numFmtId="0" fontId="0" fillId="0" borderId="0"/>
    <xf numFmtId="165" fontId="1" fillId="0" borderId="0" applyFont="0" applyFill="0" applyBorder="0" applyAlignment="0" applyProtection="0"/>
    <xf numFmtId="164" fontId="5" fillId="0" borderId="0" applyFont="0" applyFill="0" applyBorder="0" applyAlignment="0" applyProtection="0"/>
    <xf numFmtId="164"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165" fontId="5" fillId="0" borderId="0" applyFont="0" applyFill="0" applyBorder="0" applyAlignment="0" applyProtection="0"/>
    <xf numFmtId="43" fontId="4" fillId="0" borderId="0" applyFont="0" applyFill="0" applyBorder="0" applyAlignment="0" applyProtection="0"/>
    <xf numFmtId="165" fontId="5" fillId="0" borderId="0" applyFont="0" applyFill="0" applyBorder="0" applyAlignment="0" applyProtection="0"/>
    <xf numFmtId="43" fontId="4" fillId="0" borderId="0" applyFont="0" applyFill="0" applyBorder="0" applyAlignment="0" applyProtection="0"/>
    <xf numFmtId="0" fontId="4" fillId="0" borderId="0"/>
    <xf numFmtId="0" fontId="7" fillId="0" borderId="0"/>
    <xf numFmtId="0" fontId="2" fillId="0" borderId="0"/>
    <xf numFmtId="0" fontId="2" fillId="0" borderId="0"/>
    <xf numFmtId="9" fontId="5" fillId="0" borderId="0" applyFont="0" applyFill="0" applyBorder="0" applyAlignment="0" applyProtection="0"/>
    <xf numFmtId="9" fontId="4" fillId="0" borderId="0" applyFont="0" applyFill="0" applyBorder="0" applyAlignment="0" applyProtection="0"/>
  </cellStyleXfs>
  <cellXfs count="191">
    <xf numFmtId="0" fontId="0" fillId="0" borderId="0" xfId="0"/>
    <xf numFmtId="0" fontId="3" fillId="2" borderId="1" xfId="12" applyFont="1" applyFill="1" applyBorder="1" applyAlignment="1">
      <alignment horizontal="right"/>
    </xf>
    <xf numFmtId="0" fontId="8" fillId="2" borderId="4" xfId="12" applyFont="1" applyFill="1" applyBorder="1" applyAlignment="1">
      <alignment horizontal="center"/>
    </xf>
    <xf numFmtId="0" fontId="3" fillId="2" borderId="2" xfId="12" applyFont="1" applyFill="1" applyBorder="1" applyAlignment="1">
      <alignment horizontal="right"/>
    </xf>
    <xf numFmtId="49" fontId="8" fillId="2" borderId="3" xfId="12" applyNumberFormat="1" applyFont="1" applyFill="1" applyBorder="1" applyAlignment="1">
      <alignment horizontal="center"/>
    </xf>
    <xf numFmtId="0" fontId="8" fillId="2" borderId="6" xfId="12" applyFont="1" applyFill="1" applyBorder="1" applyAlignment="1">
      <alignment horizontal="right"/>
    </xf>
    <xf numFmtId="0" fontId="8" fillId="2" borderId="2" xfId="12" applyFont="1" applyFill="1" applyBorder="1" applyAlignment="1">
      <alignment horizontal="right"/>
    </xf>
    <xf numFmtId="14" fontId="9" fillId="2" borderId="0" xfId="13" applyNumberFormat="1" applyFont="1" applyFill="1" applyAlignment="1">
      <alignment horizontal="center" vertical="center" wrapText="1"/>
    </xf>
    <xf numFmtId="0" fontId="3" fillId="3" borderId="4" xfId="10" applyFont="1" applyFill="1" applyBorder="1" applyAlignment="1">
      <alignment horizontal="center" vertical="center" wrapText="1"/>
    </xf>
    <xf numFmtId="1" fontId="3" fillId="3" borderId="13" xfId="10" applyNumberFormat="1" applyFont="1" applyFill="1" applyBorder="1" applyAlignment="1">
      <alignment horizontal="center"/>
    </xf>
    <xf numFmtId="1" fontId="3" fillId="3" borderId="13" xfId="10" applyNumberFormat="1" applyFont="1" applyFill="1" applyBorder="1" applyAlignment="1">
      <alignment horizontal="center" wrapText="1"/>
    </xf>
    <xf numFmtId="0" fontId="3" fillId="3" borderId="18" xfId="10" applyFont="1" applyFill="1" applyBorder="1" applyAlignment="1">
      <alignment horizontal="center"/>
    </xf>
    <xf numFmtId="0" fontId="10" fillId="0" borderId="14" xfId="10" applyFont="1" applyBorder="1" applyAlignment="1">
      <alignment horizontal="center" vertical="center"/>
    </xf>
    <xf numFmtId="0" fontId="10" fillId="0" borderId="20" xfId="10" applyFont="1" applyBorder="1" applyAlignment="1">
      <alignment horizontal="center" vertical="center"/>
    </xf>
    <xf numFmtId="0" fontId="11" fillId="0" borderId="2" xfId="10" applyFont="1" applyBorder="1" applyAlignment="1">
      <alignment vertical="center"/>
    </xf>
    <xf numFmtId="0" fontId="10" fillId="0" borderId="2" xfId="10" applyFont="1" applyBorder="1" applyAlignment="1">
      <alignment horizontal="center" vertical="center"/>
    </xf>
    <xf numFmtId="1" fontId="10" fillId="0" borderId="2" xfId="10" applyNumberFormat="1" applyFont="1" applyBorder="1" applyAlignment="1">
      <alignment horizontal="center"/>
    </xf>
    <xf numFmtId="1" fontId="10" fillId="0" borderId="2" xfId="10" applyNumberFormat="1" applyFont="1" applyBorder="1" applyAlignment="1">
      <alignment horizontal="center" wrapText="1"/>
    </xf>
    <xf numFmtId="0" fontId="12" fillId="0" borderId="3" xfId="10" applyFont="1" applyBorder="1" applyAlignment="1">
      <alignment horizontal="center"/>
    </xf>
    <xf numFmtId="0" fontId="13" fillId="5" borderId="14" xfId="0" applyFont="1" applyFill="1" applyBorder="1" applyAlignment="1">
      <alignment horizontal="center"/>
    </xf>
    <xf numFmtId="0" fontId="13" fillId="5" borderId="2" xfId="0" applyFont="1" applyFill="1" applyBorder="1" applyAlignment="1">
      <alignment horizontal="center"/>
    </xf>
    <xf numFmtId="0" fontId="13" fillId="5" borderId="6" xfId="0" applyFont="1" applyFill="1" applyBorder="1"/>
    <xf numFmtId="0" fontId="8" fillId="5" borderId="20" xfId="0" applyFont="1" applyFill="1" applyBorder="1" applyAlignment="1">
      <alignment horizontal="center"/>
    </xf>
    <xf numFmtId="1" fontId="8" fillId="5" borderId="2" xfId="0" applyNumberFormat="1" applyFont="1" applyFill="1" applyBorder="1" applyAlignment="1">
      <alignment horizontal="center"/>
    </xf>
    <xf numFmtId="1" fontId="8" fillId="5" borderId="2" xfId="0" applyNumberFormat="1" applyFont="1" applyFill="1" applyBorder="1" applyAlignment="1">
      <alignment horizontal="center" wrapText="1"/>
    </xf>
    <xf numFmtId="0" fontId="8" fillId="0" borderId="6" xfId="0" applyFont="1" applyBorder="1" applyAlignment="1">
      <alignment horizontal="center" wrapText="1"/>
    </xf>
    <xf numFmtId="12" fontId="8" fillId="0" borderId="6" xfId="0" applyNumberFormat="1" applyFont="1" applyBorder="1" applyAlignment="1">
      <alignment horizontal="center"/>
    </xf>
    <xf numFmtId="0" fontId="13" fillId="5" borderId="20" xfId="0" applyFont="1" applyFill="1" applyBorder="1" applyAlignment="1">
      <alignment horizontal="center"/>
    </xf>
    <xf numFmtId="0" fontId="13" fillId="5" borderId="2" xfId="0" applyFont="1" applyFill="1" applyBorder="1"/>
    <xf numFmtId="1" fontId="8" fillId="5" borderId="6" xfId="0" applyNumberFormat="1" applyFont="1" applyFill="1" applyBorder="1" applyAlignment="1">
      <alignment horizontal="center"/>
    </xf>
    <xf numFmtId="1" fontId="8" fillId="5" borderId="6" xfId="0" applyNumberFormat="1" applyFont="1" applyFill="1" applyBorder="1" applyAlignment="1">
      <alignment horizontal="center" wrapText="1"/>
    </xf>
    <xf numFmtId="0" fontId="8" fillId="0" borderId="2" xfId="0" applyFont="1" applyBorder="1" applyAlignment="1">
      <alignment horizontal="center"/>
    </xf>
    <xf numFmtId="0" fontId="14" fillId="0" borderId="2" xfId="0" applyFont="1" applyBorder="1" applyAlignment="1">
      <alignment horizontal="center"/>
    </xf>
    <xf numFmtId="0" fontId="14" fillId="0" borderId="2" xfId="0" applyFont="1" applyBorder="1" applyAlignment="1">
      <alignment horizontal="center" vertical="center"/>
    </xf>
    <xf numFmtId="0" fontId="14" fillId="6" borderId="2" xfId="0" applyFont="1" applyFill="1" applyBorder="1"/>
    <xf numFmtId="0" fontId="8" fillId="0" borderId="2" xfId="0" applyFont="1" applyBorder="1" applyAlignment="1">
      <alignment horizontal="center" wrapText="1"/>
    </xf>
    <xf numFmtId="0" fontId="14" fillId="6" borderId="0" xfId="0" applyFont="1" applyFill="1" applyAlignment="1">
      <alignment horizontal="center"/>
    </xf>
    <xf numFmtId="0" fontId="14" fillId="6" borderId="0" xfId="0" applyFont="1" applyFill="1"/>
    <xf numFmtId="0" fontId="3" fillId="6" borderId="2" xfId="0" applyFont="1" applyFill="1" applyBorder="1" applyAlignment="1">
      <alignment horizontal="left"/>
    </xf>
    <xf numFmtId="0" fontId="8" fillId="0" borderId="6" xfId="0" applyFont="1" applyBorder="1" applyAlignment="1">
      <alignment horizontal="center"/>
    </xf>
    <xf numFmtId="0" fontId="14" fillId="6" borderId="2" xfId="0" applyFont="1" applyFill="1" applyBorder="1" applyAlignment="1">
      <alignment horizontal="left" vertical="center"/>
    </xf>
    <xf numFmtId="0" fontId="15" fillId="0" borderId="2" xfId="0" applyFont="1" applyBorder="1" applyAlignment="1">
      <alignment horizontal="center"/>
    </xf>
    <xf numFmtId="0" fontId="15" fillId="0" borderId="2" xfId="0" applyFont="1" applyBorder="1"/>
    <xf numFmtId="16" fontId="12" fillId="0" borderId="20" xfId="0" applyNumberFormat="1" applyFont="1" applyBorder="1" applyAlignment="1">
      <alignment horizontal="center"/>
    </xf>
    <xf numFmtId="1" fontId="12" fillId="0" borderId="2" xfId="0" applyNumberFormat="1" applyFont="1" applyBorder="1" applyAlignment="1">
      <alignment horizontal="center"/>
    </xf>
    <xf numFmtId="1" fontId="12" fillId="0" borderId="2" xfId="0" applyNumberFormat="1" applyFont="1" applyBorder="1" applyAlignment="1">
      <alignment horizontal="center" wrapText="1"/>
    </xf>
    <xf numFmtId="49" fontId="12" fillId="0" borderId="14" xfId="10" applyNumberFormat="1" applyFont="1" applyBorder="1" applyAlignment="1">
      <alignment horizontal="center"/>
    </xf>
    <xf numFmtId="49" fontId="12" fillId="0" borderId="20" xfId="10" applyNumberFormat="1" applyFont="1" applyBorder="1" applyAlignment="1">
      <alignment horizontal="center"/>
    </xf>
    <xf numFmtId="0" fontId="10" fillId="5" borderId="2" xfId="10" applyFont="1" applyFill="1" applyBorder="1" applyAlignment="1">
      <alignment horizontal="left"/>
    </xf>
    <xf numFmtId="0" fontId="12" fillId="0" borderId="2" xfId="10" applyFont="1" applyBorder="1" applyAlignment="1">
      <alignment horizontal="center"/>
    </xf>
    <xf numFmtId="167" fontId="12" fillId="0" borderId="2" xfId="10" applyNumberFormat="1" applyFont="1" applyBorder="1" applyAlignment="1">
      <alignment horizontal="center"/>
    </xf>
    <xf numFmtId="1" fontId="12" fillId="0" borderId="2" xfId="10" applyNumberFormat="1" applyFont="1" applyBorder="1" applyAlignment="1">
      <alignment horizontal="center" wrapText="1"/>
    </xf>
    <xf numFmtId="0" fontId="13" fillId="5" borderId="5" xfId="0" applyFont="1" applyFill="1" applyBorder="1" applyAlignment="1">
      <alignment horizontal="center"/>
    </xf>
    <xf numFmtId="1" fontId="8" fillId="0" borderId="2" xfId="0" applyNumberFormat="1" applyFont="1" applyBorder="1" applyAlignment="1">
      <alignment horizontal="center"/>
    </xf>
    <xf numFmtId="1" fontId="8" fillId="5" borderId="2" xfId="10" applyNumberFormat="1" applyFont="1" applyFill="1" applyBorder="1" applyAlignment="1">
      <alignment horizontal="center"/>
    </xf>
    <xf numFmtId="1" fontId="8" fillId="5" borderId="2" xfId="10" applyNumberFormat="1" applyFont="1" applyFill="1" applyBorder="1" applyAlignment="1">
      <alignment horizontal="center" wrapText="1"/>
    </xf>
    <xf numFmtId="167" fontId="8" fillId="5" borderId="2" xfId="0" applyNumberFormat="1" applyFont="1" applyFill="1" applyBorder="1" applyAlignment="1">
      <alignment horizontal="center"/>
    </xf>
    <xf numFmtId="0" fontId="15" fillId="0" borderId="0" xfId="0" applyFont="1" applyAlignment="1">
      <alignment horizontal="center"/>
    </xf>
    <xf numFmtId="0" fontId="15" fillId="0" borderId="0" xfId="0" applyFont="1"/>
    <xf numFmtId="16" fontId="8" fillId="5" borderId="2" xfId="0" applyNumberFormat="1" applyFont="1" applyFill="1" applyBorder="1" applyAlignment="1">
      <alignment horizontal="center"/>
    </xf>
    <xf numFmtId="0" fontId="8" fillId="2" borderId="2" xfId="0" applyFont="1" applyFill="1" applyBorder="1" applyAlignment="1">
      <alignment horizontal="center"/>
    </xf>
    <xf numFmtId="1" fontId="8" fillId="0" borderId="6" xfId="0" applyNumberFormat="1" applyFont="1" applyBorder="1" applyAlignment="1">
      <alignment horizontal="center" wrapText="1"/>
    </xf>
    <xf numFmtId="16" fontId="8" fillId="0" borderId="2" xfId="0" applyNumberFormat="1" applyFont="1" applyBorder="1" applyAlignment="1">
      <alignment horizontal="center"/>
    </xf>
    <xf numFmtId="1" fontId="8" fillId="0" borderId="6" xfId="0" applyNumberFormat="1" applyFont="1" applyBorder="1" applyAlignment="1">
      <alignment horizontal="center"/>
    </xf>
    <xf numFmtId="1" fontId="8" fillId="0" borderId="2" xfId="0" applyNumberFormat="1" applyFont="1" applyBorder="1" applyAlignment="1">
      <alignment horizontal="center" wrapText="1"/>
    </xf>
    <xf numFmtId="49" fontId="10" fillId="0" borderId="19" xfId="10" applyNumberFormat="1" applyFont="1" applyBorder="1" applyAlignment="1">
      <alignment horizontal="center"/>
    </xf>
    <xf numFmtId="49" fontId="10" fillId="0" borderId="25" xfId="10" applyNumberFormat="1" applyFont="1" applyBorder="1" applyAlignment="1">
      <alignment horizontal="center"/>
    </xf>
    <xf numFmtId="0" fontId="11" fillId="5" borderId="2" xfId="10" applyFont="1" applyFill="1" applyBorder="1" applyAlignment="1">
      <alignment vertical="center"/>
    </xf>
    <xf numFmtId="0" fontId="10" fillId="0" borderId="20" xfId="10" applyFont="1" applyBorder="1" applyAlignment="1">
      <alignment horizontal="center"/>
    </xf>
    <xf numFmtId="167" fontId="10" fillId="0" borderId="2" xfId="10" applyNumberFormat="1" applyFont="1" applyBorder="1" applyAlignment="1">
      <alignment horizontal="center"/>
    </xf>
    <xf numFmtId="49" fontId="12" fillId="0" borderId="2" xfId="10" applyNumberFormat="1" applyFont="1" applyBorder="1" applyAlignment="1">
      <alignment horizontal="center"/>
    </xf>
    <xf numFmtId="49" fontId="12" fillId="0" borderId="2" xfId="10" applyNumberFormat="1" applyFont="1" applyBorder="1"/>
    <xf numFmtId="16" fontId="12" fillId="0" borderId="2" xfId="10" applyNumberFormat="1" applyFont="1" applyBorder="1" applyAlignment="1">
      <alignment horizontal="center"/>
    </xf>
    <xf numFmtId="1" fontId="8" fillId="0" borderId="6" xfId="10" applyNumberFormat="1" applyFont="1" applyBorder="1" applyAlignment="1">
      <alignment horizontal="center"/>
    </xf>
    <xf numFmtId="0" fontId="8" fillId="0" borderId="6" xfId="10" applyFont="1" applyBorder="1" applyAlignment="1">
      <alignment horizontal="center"/>
    </xf>
    <xf numFmtId="168" fontId="3" fillId="5" borderId="2" xfId="1" applyNumberFormat="1" applyFont="1" applyFill="1" applyBorder="1" applyAlignment="1">
      <alignment horizontal="center"/>
    </xf>
    <xf numFmtId="0" fontId="15" fillId="0" borderId="2" xfId="0" applyFont="1" applyBorder="1" applyAlignment="1">
      <alignment horizontal="center" vertical="center"/>
    </xf>
    <xf numFmtId="0" fontId="15" fillId="0" borderId="2" xfId="0" applyFont="1" applyBorder="1" applyAlignment="1">
      <alignment horizontal="left" vertical="center"/>
    </xf>
    <xf numFmtId="0" fontId="12" fillId="0" borderId="2" xfId="0" applyFont="1" applyBorder="1" applyAlignment="1">
      <alignment horizontal="center"/>
    </xf>
    <xf numFmtId="0" fontId="12" fillId="0" borderId="15" xfId="0" applyFont="1" applyBorder="1" applyAlignment="1">
      <alignment horizontal="center"/>
    </xf>
    <xf numFmtId="0" fontId="12" fillId="0" borderId="2" xfId="0" applyFont="1" applyBorder="1" applyAlignment="1">
      <alignment horizontal="center" wrapText="1"/>
    </xf>
    <xf numFmtId="1" fontId="15" fillId="0" borderId="2" xfId="0" applyNumberFormat="1" applyFont="1" applyBorder="1" applyAlignment="1">
      <alignment horizontal="left" vertical="center"/>
    </xf>
    <xf numFmtId="12" fontId="12" fillId="0" borderId="2" xfId="10" applyNumberFormat="1" applyFont="1" applyBorder="1" applyAlignment="1">
      <alignment horizontal="center"/>
    </xf>
    <xf numFmtId="0" fontId="12" fillId="5" borderId="14" xfId="0" applyFont="1" applyFill="1" applyBorder="1" applyAlignment="1">
      <alignment horizontal="center"/>
    </xf>
    <xf numFmtId="0" fontId="16" fillId="5" borderId="0" xfId="0" applyFont="1" applyFill="1" applyAlignment="1">
      <alignment horizontal="center"/>
    </xf>
    <xf numFmtId="1" fontId="12" fillId="5" borderId="2" xfId="0" applyNumberFormat="1" applyFont="1" applyFill="1" applyBorder="1"/>
    <xf numFmtId="0" fontId="12" fillId="5" borderId="2" xfId="0" applyFont="1" applyFill="1" applyBorder="1" applyAlignment="1">
      <alignment horizontal="center"/>
    </xf>
    <xf numFmtId="0" fontId="12" fillId="5" borderId="2" xfId="0" applyFont="1" applyFill="1" applyBorder="1" applyAlignment="1">
      <alignment horizontal="center" wrapText="1"/>
    </xf>
    <xf numFmtId="1" fontId="12" fillId="0" borderId="2" xfId="10" applyNumberFormat="1" applyFont="1" applyBorder="1" applyAlignment="1">
      <alignment horizontal="center"/>
    </xf>
    <xf numFmtId="0" fontId="15" fillId="0" borderId="20" xfId="11" applyFont="1" applyBorder="1" applyAlignment="1">
      <alignment horizontal="center"/>
    </xf>
    <xf numFmtId="49" fontId="17" fillId="2" borderId="7" xfId="10" applyNumberFormat="1" applyFont="1" applyFill="1" applyBorder="1" applyAlignment="1">
      <alignment horizontal="center" vertical="center"/>
    </xf>
    <xf numFmtId="49" fontId="17" fillId="2" borderId="0" xfId="10" applyNumberFormat="1" applyFont="1" applyFill="1" applyAlignment="1">
      <alignment horizontal="center" vertical="center"/>
    </xf>
    <xf numFmtId="0" fontId="8" fillId="2" borderId="0" xfId="10" applyFont="1" applyFill="1"/>
    <xf numFmtId="1" fontId="8" fillId="2" borderId="0" xfId="10" applyNumberFormat="1" applyFont="1" applyFill="1" applyAlignment="1">
      <alignment horizontal="center"/>
    </xf>
    <xf numFmtId="166" fontId="8" fillId="2" borderId="0" xfId="10" applyNumberFormat="1" applyFont="1" applyFill="1" applyAlignment="1">
      <alignment horizontal="center" wrapText="1"/>
    </xf>
    <xf numFmtId="0" fontId="8" fillId="2" borderId="8" xfId="10" applyFont="1" applyFill="1" applyBorder="1" applyAlignment="1">
      <alignment horizontal="center"/>
    </xf>
    <xf numFmtId="0" fontId="8" fillId="3" borderId="9" xfId="10" applyFont="1" applyFill="1" applyBorder="1" applyAlignment="1">
      <alignment horizontal="center"/>
    </xf>
    <xf numFmtId="0" fontId="8" fillId="3" borderId="10" xfId="10" applyFont="1" applyFill="1" applyBorder="1" applyAlignment="1">
      <alignment horizontal="center"/>
    </xf>
    <xf numFmtId="0" fontId="8" fillId="3" borderId="10" xfId="10" applyFont="1" applyFill="1" applyBorder="1"/>
    <xf numFmtId="0" fontId="3" fillId="3" borderId="10" xfId="10" applyFont="1" applyFill="1" applyBorder="1" applyAlignment="1">
      <alignment horizontal="center"/>
    </xf>
    <xf numFmtId="1" fontId="3" fillId="3" borderId="10" xfId="10" applyNumberFormat="1" applyFont="1" applyFill="1" applyBorder="1" applyAlignment="1">
      <alignment horizontal="center"/>
    </xf>
    <xf numFmtId="166" fontId="8" fillId="3" borderId="10" xfId="10" applyNumberFormat="1" applyFont="1" applyFill="1" applyBorder="1" applyAlignment="1">
      <alignment horizontal="center" wrapText="1"/>
    </xf>
    <xf numFmtId="0" fontId="8" fillId="3" borderId="11" xfId="10" applyFont="1" applyFill="1" applyBorder="1" applyAlignment="1">
      <alignment horizontal="center"/>
    </xf>
    <xf numFmtId="0" fontId="8" fillId="0" borderId="12" xfId="0" applyFont="1" applyBorder="1" applyAlignment="1">
      <alignment horizontal="center"/>
    </xf>
    <xf numFmtId="1" fontId="8" fillId="0" borderId="13" xfId="0" applyNumberFormat="1" applyFont="1" applyBorder="1" applyAlignment="1">
      <alignment horizontal="center"/>
    </xf>
    <xf numFmtId="0" fontId="8" fillId="0" borderId="13" xfId="0" applyFont="1" applyBorder="1" applyAlignment="1">
      <alignment horizontal="center"/>
    </xf>
    <xf numFmtId="14" fontId="8" fillId="2" borderId="16" xfId="12" applyNumberFormat="1" applyFont="1" applyFill="1" applyBorder="1" applyAlignment="1">
      <alignment horizontal="center" vertical="center" wrapText="1"/>
    </xf>
    <xf numFmtId="14" fontId="8" fillId="2" borderId="37" xfId="12" applyNumberFormat="1" applyFont="1" applyFill="1" applyBorder="1" applyAlignment="1">
      <alignment horizontal="center" vertical="center" wrapText="1"/>
    </xf>
    <xf numFmtId="14" fontId="8" fillId="2" borderId="43" xfId="12" applyNumberFormat="1" applyFont="1" applyFill="1" applyBorder="1" applyAlignment="1">
      <alignment horizontal="center" vertical="center" wrapText="1"/>
    </xf>
    <xf numFmtId="0" fontId="8" fillId="2" borderId="38" xfId="12" applyFont="1" applyFill="1" applyBorder="1" applyAlignment="1">
      <alignment horizontal="left"/>
    </xf>
    <xf numFmtId="0" fontId="8" fillId="2" borderId="39" xfId="12" applyFont="1" applyFill="1" applyBorder="1" applyAlignment="1">
      <alignment horizontal="left"/>
    </xf>
    <xf numFmtId="0" fontId="8" fillId="2" borderId="29" xfId="12" applyFont="1" applyFill="1" applyBorder="1" applyAlignment="1">
      <alignment horizontal="left"/>
    </xf>
    <xf numFmtId="0" fontId="8" fillId="2" borderId="26" xfId="12" applyFont="1" applyFill="1" applyBorder="1" applyAlignment="1">
      <alignment horizontal="left"/>
    </xf>
    <xf numFmtId="0" fontId="8" fillId="2" borderId="25" xfId="12" applyFont="1" applyFill="1" applyBorder="1" applyAlignment="1">
      <alignment horizontal="left"/>
    </xf>
    <xf numFmtId="0" fontId="8" fillId="2" borderId="20" xfId="12" applyFont="1" applyFill="1" applyBorder="1" applyAlignment="1">
      <alignment horizontal="left"/>
    </xf>
    <xf numFmtId="0" fontId="8" fillId="2" borderId="23" xfId="12" applyFont="1" applyFill="1" applyBorder="1" applyAlignment="1">
      <alignment horizontal="center"/>
    </xf>
    <xf numFmtId="0" fontId="8" fillId="2" borderId="22" xfId="12" applyFont="1" applyFill="1" applyBorder="1" applyAlignment="1">
      <alignment horizontal="center"/>
    </xf>
    <xf numFmtId="0" fontId="8" fillId="2" borderId="7" xfId="12" applyFont="1" applyFill="1" applyBorder="1" applyAlignment="1">
      <alignment horizontal="center"/>
    </xf>
    <xf numFmtId="0" fontId="8" fillId="2" borderId="0" xfId="12" applyFont="1" applyFill="1" applyAlignment="1">
      <alignment horizontal="center"/>
    </xf>
    <xf numFmtId="0" fontId="8" fillId="2" borderId="30" xfId="12" applyFont="1" applyFill="1" applyBorder="1" applyAlignment="1">
      <alignment horizontal="center"/>
    </xf>
    <xf numFmtId="0" fontId="8" fillId="2" borderId="31" xfId="12" applyFont="1" applyFill="1" applyBorder="1" applyAlignment="1">
      <alignment horizontal="center"/>
    </xf>
    <xf numFmtId="0" fontId="3" fillId="2" borderId="1" xfId="12" applyFont="1" applyFill="1" applyBorder="1" applyAlignment="1">
      <alignment horizontal="center"/>
    </xf>
    <xf numFmtId="0" fontId="3" fillId="2" borderId="33" xfId="12" applyFont="1" applyFill="1" applyBorder="1" applyAlignment="1">
      <alignment horizontal="center"/>
    </xf>
    <xf numFmtId="0" fontId="3" fillId="2" borderId="41" xfId="12" applyFont="1" applyFill="1" applyBorder="1" applyAlignment="1">
      <alignment horizontal="center"/>
    </xf>
    <xf numFmtId="0" fontId="3" fillId="2" borderId="24" xfId="12" applyFont="1" applyFill="1" applyBorder="1" applyAlignment="1">
      <alignment horizontal="center"/>
    </xf>
    <xf numFmtId="0" fontId="3" fillId="4" borderId="10" xfId="12" applyFont="1" applyFill="1" applyBorder="1" applyAlignment="1">
      <alignment horizontal="center" vertical="center" wrapText="1"/>
    </xf>
    <xf numFmtId="0" fontId="3" fillId="4" borderId="11" xfId="12" applyFont="1" applyFill="1" applyBorder="1" applyAlignment="1">
      <alignment horizontal="center" vertical="center" wrapText="1"/>
    </xf>
    <xf numFmtId="0" fontId="3" fillId="2" borderId="21" xfId="12" applyFont="1" applyFill="1" applyBorder="1" applyAlignment="1">
      <alignment horizontal="right" vertical="top" wrapText="1"/>
    </xf>
    <xf numFmtId="0" fontId="3" fillId="2" borderId="35" xfId="12" applyFont="1" applyFill="1" applyBorder="1" applyAlignment="1">
      <alignment horizontal="right" vertical="top" wrapText="1"/>
    </xf>
    <xf numFmtId="0" fontId="3" fillId="2" borderId="42" xfId="12" applyFont="1" applyFill="1" applyBorder="1" applyAlignment="1">
      <alignment horizontal="right" vertical="top" wrapText="1"/>
    </xf>
    <xf numFmtId="0" fontId="6" fillId="2" borderId="0" xfId="13" applyFont="1" applyFill="1" applyAlignment="1">
      <alignment horizontal="right"/>
    </xf>
    <xf numFmtId="0" fontId="9" fillId="2" borderId="36" xfId="13" applyFont="1" applyFill="1" applyBorder="1" applyAlignment="1">
      <alignment horizontal="center"/>
    </xf>
    <xf numFmtId="0" fontId="6" fillId="2" borderId="0" xfId="13" applyFont="1" applyFill="1"/>
    <xf numFmtId="0" fontId="3" fillId="3" borderId="28" xfId="10" applyFont="1" applyFill="1" applyBorder="1" applyAlignment="1">
      <alignment horizontal="center" vertical="center"/>
    </xf>
    <xf numFmtId="0" fontId="3" fillId="3" borderId="17" xfId="10" applyFont="1" applyFill="1" applyBorder="1" applyAlignment="1">
      <alignment horizontal="center" vertical="center"/>
    </xf>
    <xf numFmtId="0" fontId="3" fillId="3" borderId="28" xfId="10" applyFont="1" applyFill="1" applyBorder="1" applyAlignment="1">
      <alignment horizontal="center" vertical="center" wrapText="1"/>
    </xf>
    <xf numFmtId="0" fontId="3" fillId="3" borderId="17" xfId="10" applyFont="1" applyFill="1" applyBorder="1" applyAlignment="1">
      <alignment horizontal="center" vertical="center" wrapText="1"/>
    </xf>
    <xf numFmtId="0" fontId="3" fillId="3" borderId="1" xfId="10" applyFont="1" applyFill="1" applyBorder="1" applyAlignment="1">
      <alignment horizontal="center" vertical="center"/>
    </xf>
    <xf numFmtId="0" fontId="3" fillId="3" borderId="13" xfId="10" applyFont="1" applyFill="1" applyBorder="1" applyAlignment="1">
      <alignment horizontal="center" vertical="center"/>
    </xf>
    <xf numFmtId="0" fontId="3" fillId="0" borderId="30" xfId="10" applyFont="1" applyBorder="1" applyAlignment="1">
      <alignment horizontal="right"/>
    </xf>
    <xf numFmtId="0" fontId="3" fillId="0" borderId="31" xfId="10" applyFont="1" applyBorder="1" applyAlignment="1">
      <alignment horizontal="right"/>
    </xf>
    <xf numFmtId="0" fontId="3" fillId="0" borderId="5" xfId="10" applyFont="1" applyBorder="1" applyAlignment="1">
      <alignment horizontal="right"/>
    </xf>
    <xf numFmtId="166" fontId="8" fillId="0" borderId="6" xfId="10" applyNumberFormat="1" applyFont="1" applyBorder="1" applyAlignment="1">
      <alignment horizontal="right"/>
    </xf>
    <xf numFmtId="0" fontId="8" fillId="2" borderId="12" xfId="10" applyFont="1" applyFill="1" applyBorder="1" applyAlignment="1">
      <alignment horizontal="center"/>
    </xf>
    <xf numFmtId="0" fontId="8" fillId="2" borderId="32" xfId="10" applyFont="1" applyFill="1" applyBorder="1" applyAlignment="1">
      <alignment horizontal="center"/>
    </xf>
    <xf numFmtId="0" fontId="3" fillId="0" borderId="19" xfId="10" applyFont="1" applyBorder="1" applyAlignment="1">
      <alignment horizontal="right"/>
    </xf>
    <xf numFmtId="0" fontId="3" fillId="0" borderId="25" xfId="10" applyFont="1" applyBorder="1" applyAlignment="1">
      <alignment horizontal="right"/>
    </xf>
    <xf numFmtId="0" fontId="3" fillId="0" borderId="20" xfId="10" applyFont="1" applyBorder="1" applyAlignment="1">
      <alignment horizontal="right"/>
    </xf>
    <xf numFmtId="0" fontId="8" fillId="0" borderId="2" xfId="10" applyFont="1" applyBorder="1" applyAlignment="1">
      <alignment horizontal="right"/>
    </xf>
    <xf numFmtId="166" fontId="8" fillId="0" borderId="26" xfId="10" applyNumberFormat="1" applyFont="1" applyBorder="1" applyAlignment="1">
      <alignment horizontal="center"/>
    </xf>
    <xf numFmtId="166" fontId="8" fillId="0" borderId="27" xfId="10" applyNumberFormat="1" applyFont="1" applyBorder="1" applyAlignment="1">
      <alignment horizontal="center"/>
    </xf>
    <xf numFmtId="0" fontId="8" fillId="0" borderId="30" xfId="10" applyFont="1" applyBorder="1" applyAlignment="1">
      <alignment horizontal="left"/>
    </xf>
    <xf numFmtId="0" fontId="8" fillId="0" borderId="31" xfId="10" applyFont="1" applyBorder="1" applyAlignment="1">
      <alignment horizontal="left"/>
    </xf>
    <xf numFmtId="0" fontId="8" fillId="0" borderId="32" xfId="10" applyFont="1" applyBorder="1" applyAlignment="1">
      <alignment horizontal="left"/>
    </xf>
    <xf numFmtId="166" fontId="8" fillId="0" borderId="26" xfId="10" applyNumberFormat="1" applyFont="1" applyBorder="1" applyAlignment="1">
      <alignment horizontal="right" wrapText="1"/>
    </xf>
    <xf numFmtId="166" fontId="8" fillId="0" borderId="20" xfId="10" applyNumberFormat="1" applyFont="1" applyBorder="1" applyAlignment="1">
      <alignment horizontal="right" wrapText="1"/>
    </xf>
    <xf numFmtId="166" fontId="8" fillId="0" borderId="26" xfId="0" applyNumberFormat="1" applyFont="1" applyBorder="1" applyAlignment="1">
      <alignment horizontal="center" wrapText="1"/>
    </xf>
    <xf numFmtId="166" fontId="8" fillId="0" borderId="27" xfId="0" applyNumberFormat="1" applyFont="1" applyBorder="1" applyAlignment="1">
      <alignment horizontal="center" wrapText="1"/>
    </xf>
    <xf numFmtId="0" fontId="3" fillId="0" borderId="17" xfId="10" applyFont="1" applyBorder="1" applyAlignment="1">
      <alignment horizontal="right"/>
    </xf>
    <xf numFmtId="0" fontId="3" fillId="0" borderId="24" xfId="10" applyFont="1" applyBorder="1" applyAlignment="1">
      <alignment horizontal="right"/>
    </xf>
    <xf numFmtId="0" fontId="3" fillId="0" borderId="13" xfId="10" applyFont="1" applyBorder="1" applyAlignment="1">
      <alignment horizontal="right"/>
    </xf>
    <xf numFmtId="0" fontId="8" fillId="0" borderId="13" xfId="10" applyFont="1" applyBorder="1" applyAlignment="1">
      <alignment horizontal="right"/>
    </xf>
    <xf numFmtId="0" fontId="3" fillId="3" borderId="9" xfId="10" applyFont="1" applyFill="1" applyBorder="1" applyAlignment="1">
      <alignment horizontal="left"/>
    </xf>
    <xf numFmtId="0" fontId="3" fillId="3" borderId="10" xfId="10" applyFont="1" applyFill="1" applyBorder="1" applyAlignment="1">
      <alignment horizontal="left"/>
    </xf>
    <xf numFmtId="0" fontId="3" fillId="3" borderId="11" xfId="10" applyFont="1" applyFill="1" applyBorder="1" applyAlignment="1">
      <alignment horizontal="left"/>
    </xf>
    <xf numFmtId="0" fontId="10" fillId="0" borderId="19" xfId="0" applyFont="1" applyBorder="1" applyAlignment="1">
      <alignment horizontal="left"/>
    </xf>
    <xf numFmtId="0" fontId="10" fillId="0" borderId="25" xfId="0" applyFont="1" applyBorder="1" applyAlignment="1">
      <alignment horizontal="left"/>
    </xf>
    <xf numFmtId="0" fontId="10" fillId="0" borderId="27" xfId="0" applyFont="1" applyBorder="1" applyAlignment="1">
      <alignment horizontal="left"/>
    </xf>
    <xf numFmtId="0" fontId="3" fillId="7" borderId="44" xfId="12" applyFont="1" applyFill="1" applyBorder="1" applyAlignment="1">
      <alignment horizontal="center"/>
    </xf>
    <xf numFmtId="0" fontId="3" fillId="7" borderId="22" xfId="12" applyFont="1" applyFill="1" applyBorder="1" applyAlignment="1">
      <alignment horizontal="center"/>
    </xf>
    <xf numFmtId="0" fontId="8" fillId="2" borderId="45" xfId="12" applyFont="1" applyFill="1" applyBorder="1" applyAlignment="1">
      <alignment horizontal="left"/>
    </xf>
    <xf numFmtId="0" fontId="8" fillId="2" borderId="0" xfId="12" applyFont="1" applyFill="1" applyAlignment="1">
      <alignment horizontal="left"/>
    </xf>
    <xf numFmtId="0" fontId="8" fillId="0" borderId="30" xfId="10" applyFont="1" applyBorder="1" applyAlignment="1">
      <alignment horizontal="left" wrapText="1"/>
    </xf>
    <xf numFmtId="0" fontId="8" fillId="0" borderId="31" xfId="10" applyFont="1" applyBorder="1" applyAlignment="1">
      <alignment horizontal="left" wrapText="1"/>
    </xf>
    <xf numFmtId="0" fontId="8" fillId="0" borderId="32" xfId="10" applyFont="1" applyBorder="1" applyAlignment="1">
      <alignment horizontal="left" wrapText="1"/>
    </xf>
    <xf numFmtId="0" fontId="8" fillId="0" borderId="40" xfId="10" applyFont="1" applyBorder="1" applyAlignment="1">
      <alignment horizontal="left"/>
    </xf>
    <xf numFmtId="0" fontId="8" fillId="0" borderId="41" xfId="10" applyFont="1" applyBorder="1" applyAlignment="1">
      <alignment horizontal="left"/>
    </xf>
    <xf numFmtId="0" fontId="8" fillId="0" borderId="34" xfId="10" applyFont="1" applyBorder="1" applyAlignment="1">
      <alignment horizontal="left"/>
    </xf>
    <xf numFmtId="0" fontId="12" fillId="0" borderId="30" xfId="0" applyFont="1" applyBorder="1" applyAlignment="1">
      <alignment horizontal="left"/>
    </xf>
    <xf numFmtId="0" fontId="12" fillId="0" borderId="31" xfId="0" applyFont="1" applyBorder="1" applyAlignment="1">
      <alignment horizontal="left"/>
    </xf>
    <xf numFmtId="0" fontId="12" fillId="0" borderId="32" xfId="0" applyFont="1" applyBorder="1" applyAlignment="1">
      <alignment horizontal="left"/>
    </xf>
    <xf numFmtId="0" fontId="8" fillId="0" borderId="17" xfId="0" applyFont="1" applyBorder="1" applyAlignment="1">
      <alignment horizontal="left"/>
    </xf>
    <xf numFmtId="0" fontId="8" fillId="0" borderId="24" xfId="0" applyFont="1" applyBorder="1" applyAlignment="1">
      <alignment horizontal="left"/>
    </xf>
    <xf numFmtId="0" fontId="8" fillId="0" borderId="13" xfId="0" applyFont="1" applyBorder="1" applyAlignment="1">
      <alignment horizontal="left"/>
    </xf>
    <xf numFmtId="0" fontId="8" fillId="0" borderId="18" xfId="0" applyFont="1" applyBorder="1" applyAlignment="1">
      <alignment horizontal="left"/>
    </xf>
    <xf numFmtId="0" fontId="8" fillId="0" borderId="19" xfId="0" applyFont="1" applyBorder="1" applyAlignment="1">
      <alignment horizontal="left" wrapText="1"/>
    </xf>
    <xf numFmtId="0" fontId="8" fillId="0" borderId="25" xfId="0" applyFont="1" applyBorder="1" applyAlignment="1">
      <alignment horizontal="left" wrapText="1"/>
    </xf>
    <xf numFmtId="0" fontId="8" fillId="0" borderId="20" xfId="0" applyFont="1" applyBorder="1" applyAlignment="1">
      <alignment horizontal="left" wrapText="1"/>
    </xf>
    <xf numFmtId="0" fontId="8" fillId="0" borderId="40" xfId="0" applyFont="1" applyBorder="1" applyAlignment="1">
      <alignment horizontal="left"/>
    </xf>
    <xf numFmtId="0" fontId="8" fillId="0" borderId="41" xfId="0" applyFont="1" applyBorder="1" applyAlignment="1">
      <alignment horizontal="left"/>
    </xf>
    <xf numFmtId="0" fontId="8" fillId="0" borderId="34" xfId="0" applyFont="1" applyBorder="1" applyAlignment="1">
      <alignment horizontal="left"/>
    </xf>
  </cellXfs>
  <cellStyles count="16">
    <cellStyle name="Millares" xfId="1" builtinId="3"/>
    <cellStyle name="Millares [0] 2" xfId="2" xr:uid="{38CBDD37-70F8-4B40-85E7-E86ABA321E03}"/>
    <cellStyle name="Millares [0] 2 2" xfId="3" xr:uid="{9AEA8925-601C-4AAE-B7CE-59046170F8B6}"/>
    <cellStyle name="Millares [0] 2 2 2" xfId="4" xr:uid="{F9AA649C-A7C9-48D6-867A-A94F8493F8CB}"/>
    <cellStyle name="Millares [0] 2 3" xfId="5" xr:uid="{CC9897E2-6808-47F5-8A85-C829F0F24FF4}"/>
    <cellStyle name="Millares 2" xfId="6" xr:uid="{D795644B-21DD-42C8-B3A3-14AA2F225E61}"/>
    <cellStyle name="Millares 2 2" xfId="7" xr:uid="{B25B2AD2-9688-4AA4-85F4-09B5BD7B4374}"/>
    <cellStyle name="Millares 3" xfId="8" xr:uid="{E47B1F3A-5D2A-46A8-8491-C73119E515EE}"/>
    <cellStyle name="Millares 3 2" xfId="9" xr:uid="{81DF618A-E305-451D-B692-59B0BC3859FC}"/>
    <cellStyle name="Normal" xfId="0" builtinId="0"/>
    <cellStyle name="Normal 2" xfId="10" xr:uid="{BDA92A32-A539-45AB-BCF7-B6A9F1C34D93}"/>
    <cellStyle name="Normal 5" xfId="11" xr:uid="{1CDE8086-7624-419E-8956-69AACD5EBF03}"/>
    <cellStyle name="Normal_CRITERIOS DE EVALUACION PT DE GB" xfId="12" xr:uid="{8953E4D4-472A-425A-BA75-340FD7D1F5A6}"/>
    <cellStyle name="Normal_CRITERIOS DE EVALUACION PT DE GB 2" xfId="13" xr:uid="{90B93608-3965-4DC9-AA4A-56449C5FADA1}"/>
    <cellStyle name="Porcentaje 2" xfId="14" xr:uid="{2DDFEF65-08B0-4EDC-9492-1BE0030034B7}"/>
    <cellStyle name="Porcentaje 2 2" xfId="15" xr:uid="{1655DD26-F8DF-4CBA-B3ED-1E48ADCCAB5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26894</xdr:colOff>
      <xdr:row>1</xdr:row>
      <xdr:rowOff>44823</xdr:rowOff>
    </xdr:from>
    <xdr:to>
      <xdr:col>1</xdr:col>
      <xdr:colOff>353267</xdr:colOff>
      <xdr:row>3</xdr:row>
      <xdr:rowOff>116541</xdr:rowOff>
    </xdr:to>
    <xdr:pic>
      <xdr:nvPicPr>
        <xdr:cNvPr id="3" name="Imagen 5">
          <a:extLst>
            <a:ext uri="{FF2B5EF4-FFF2-40B4-BE49-F238E27FC236}">
              <a16:creationId xmlns:a16="http://schemas.microsoft.com/office/drawing/2014/main" id="{8D3832F1-E7B3-4C7A-8304-170635FA19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894" y="233082"/>
          <a:ext cx="1385142" cy="6992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123A7-EBD2-4D39-A524-F18F850F3E9C}">
  <dimension ref="A1:I58"/>
  <sheetViews>
    <sheetView tabSelected="1" view="pageBreakPreview" topLeftCell="A8" zoomScale="60" zoomScaleNormal="85" workbookViewId="0">
      <selection activeCell="C32" sqref="C32"/>
    </sheetView>
  </sheetViews>
  <sheetFormatPr baseColWidth="10" defaultRowHeight="13.2" x14ac:dyDescent="0.25"/>
  <cols>
    <col min="1" max="1" width="15.44140625" bestFit="1" customWidth="1"/>
    <col min="2" max="2" width="13.5546875" bestFit="1" customWidth="1"/>
    <col min="3" max="3" width="53.44140625" customWidth="1"/>
    <col min="4" max="4" width="34.44140625" bestFit="1" customWidth="1"/>
    <col min="5" max="5" width="11.5546875" bestFit="1" customWidth="1"/>
    <col min="8" max="8" width="33.6640625" bestFit="1" customWidth="1"/>
    <col min="9" max="9" width="21.33203125" bestFit="1" customWidth="1"/>
  </cols>
  <sheetData>
    <row r="1" spans="1:9" ht="17.399999999999999" x14ac:dyDescent="0.3">
      <c r="A1" s="115"/>
      <c r="B1" s="116"/>
      <c r="C1" s="121" t="s">
        <v>24</v>
      </c>
      <c r="D1" s="121"/>
      <c r="E1" s="121"/>
      <c r="F1" s="121"/>
      <c r="G1" s="121"/>
      <c r="H1" s="1" t="s">
        <v>0</v>
      </c>
      <c r="I1" s="2" t="s">
        <v>98</v>
      </c>
    </row>
    <row r="2" spans="1:9" ht="18" customHeight="1" thickBot="1" x14ac:dyDescent="0.35">
      <c r="A2" s="117"/>
      <c r="B2" s="118"/>
      <c r="C2" s="122" t="s">
        <v>1</v>
      </c>
      <c r="D2" s="123"/>
      <c r="E2" s="123"/>
      <c r="F2" s="123"/>
      <c r="G2" s="124"/>
      <c r="H2" s="3" t="s">
        <v>2</v>
      </c>
      <c r="I2" s="4" t="s">
        <v>108</v>
      </c>
    </row>
    <row r="3" spans="1:9" ht="31.5" customHeight="1" thickBot="1" x14ac:dyDescent="0.3">
      <c r="A3" s="117"/>
      <c r="B3" s="118"/>
      <c r="C3" s="125" t="s">
        <v>107</v>
      </c>
      <c r="D3" s="125"/>
      <c r="E3" s="125"/>
      <c r="F3" s="125"/>
      <c r="G3" s="126"/>
      <c r="H3" s="127" t="s">
        <v>3</v>
      </c>
      <c r="I3" s="106">
        <v>45663</v>
      </c>
    </row>
    <row r="4" spans="1:9" ht="18" customHeight="1" x14ac:dyDescent="0.25">
      <c r="A4" s="117"/>
      <c r="B4" s="118"/>
      <c r="C4" s="5" t="s">
        <v>4</v>
      </c>
      <c r="D4" s="109" t="s">
        <v>77</v>
      </c>
      <c r="E4" s="110"/>
      <c r="F4" s="110"/>
      <c r="G4" s="111"/>
      <c r="H4" s="128"/>
      <c r="I4" s="107"/>
    </row>
    <row r="5" spans="1:9" ht="17.399999999999999" thickBot="1" x14ac:dyDescent="0.3">
      <c r="A5" s="119"/>
      <c r="B5" s="120"/>
      <c r="C5" s="6" t="s">
        <v>5</v>
      </c>
      <c r="D5" s="112" t="s">
        <v>78</v>
      </c>
      <c r="E5" s="113"/>
      <c r="F5" s="113"/>
      <c r="G5" s="114"/>
      <c r="H5" s="129"/>
      <c r="I5" s="108"/>
    </row>
    <row r="6" spans="1:9" ht="18" thickBot="1" x14ac:dyDescent="0.35">
      <c r="A6" s="130" t="s">
        <v>49</v>
      </c>
      <c r="B6" s="130"/>
      <c r="C6" s="130"/>
      <c r="D6" s="131" t="s">
        <v>51</v>
      </c>
      <c r="E6" s="131"/>
      <c r="F6" s="131"/>
      <c r="G6" s="132" t="s">
        <v>50</v>
      </c>
      <c r="H6" s="132"/>
      <c r="I6" s="7" t="s">
        <v>79</v>
      </c>
    </row>
    <row r="7" spans="1:9" ht="34.799999999999997" x14ac:dyDescent="0.25">
      <c r="A7" s="133" t="s">
        <v>6</v>
      </c>
      <c r="B7" s="135" t="s">
        <v>80</v>
      </c>
      <c r="C7" s="137" t="s">
        <v>7</v>
      </c>
      <c r="D7" s="137" t="s">
        <v>8</v>
      </c>
      <c r="E7" s="137" t="s">
        <v>9</v>
      </c>
      <c r="F7" s="137"/>
      <c r="G7" s="137" t="s">
        <v>10</v>
      </c>
      <c r="H7" s="137"/>
      <c r="I7" s="8" t="s">
        <v>11</v>
      </c>
    </row>
    <row r="8" spans="1:9" ht="35.4" thickBot="1" x14ac:dyDescent="0.35">
      <c r="A8" s="134"/>
      <c r="B8" s="136"/>
      <c r="C8" s="138"/>
      <c r="D8" s="138"/>
      <c r="E8" s="9" t="s">
        <v>12</v>
      </c>
      <c r="F8" s="10" t="s">
        <v>13</v>
      </c>
      <c r="G8" s="9" t="s">
        <v>12</v>
      </c>
      <c r="H8" s="10" t="s">
        <v>13</v>
      </c>
      <c r="I8" s="11" t="s">
        <v>14</v>
      </c>
    </row>
    <row r="9" spans="1:9" ht="18" x14ac:dyDescent="0.35">
      <c r="A9" s="12"/>
      <c r="B9" s="13"/>
      <c r="C9" s="14" t="s">
        <v>81</v>
      </c>
      <c r="D9" s="15"/>
      <c r="E9" s="16"/>
      <c r="F9" s="17"/>
      <c r="G9" s="16"/>
      <c r="H9" s="17"/>
      <c r="I9" s="18"/>
    </row>
    <row r="10" spans="1:9" ht="18" customHeight="1" x14ac:dyDescent="0.35">
      <c r="A10" s="19">
        <v>907000310</v>
      </c>
      <c r="B10" s="20" t="s">
        <v>58</v>
      </c>
      <c r="C10" s="21" t="s">
        <v>43</v>
      </c>
      <c r="D10" s="22" t="s">
        <v>44</v>
      </c>
      <c r="E10" s="23">
        <v>418</v>
      </c>
      <c r="F10" s="24" t="s">
        <v>27</v>
      </c>
      <c r="G10" s="25"/>
      <c r="H10" s="26" t="s">
        <v>82</v>
      </c>
      <c r="I10" s="18"/>
    </row>
    <row r="11" spans="1:9" ht="18" x14ac:dyDescent="0.35">
      <c r="A11" s="19" t="s">
        <v>47</v>
      </c>
      <c r="B11" s="27" t="s">
        <v>59</v>
      </c>
      <c r="C11" s="28" t="s">
        <v>28</v>
      </c>
      <c r="D11" s="22" t="s">
        <v>44</v>
      </c>
      <c r="E11" s="29">
        <v>240</v>
      </c>
      <c r="F11" s="30" t="s">
        <v>27</v>
      </c>
      <c r="G11" s="25"/>
      <c r="H11" s="26" t="s">
        <v>83</v>
      </c>
      <c r="I11" s="18"/>
    </row>
    <row r="12" spans="1:9" ht="18" x14ac:dyDescent="0.35">
      <c r="A12" s="19">
        <v>902000032</v>
      </c>
      <c r="B12" s="27" t="s">
        <v>60</v>
      </c>
      <c r="C12" s="28" t="s">
        <v>29</v>
      </c>
      <c r="D12" s="22" t="s">
        <v>44</v>
      </c>
      <c r="E12" s="29">
        <v>400</v>
      </c>
      <c r="F12" s="30" t="s">
        <v>27</v>
      </c>
      <c r="G12" s="31"/>
      <c r="H12" s="26" t="s">
        <v>84</v>
      </c>
      <c r="I12" s="18"/>
    </row>
    <row r="13" spans="1:9" ht="18" x14ac:dyDescent="0.35">
      <c r="A13" s="19">
        <v>911000005</v>
      </c>
      <c r="B13" s="27" t="s">
        <v>61</v>
      </c>
      <c r="C13" s="28" t="s">
        <v>48</v>
      </c>
      <c r="D13" s="22" t="s">
        <v>44</v>
      </c>
      <c r="E13" s="29">
        <v>130</v>
      </c>
      <c r="F13" s="30" t="s">
        <v>27</v>
      </c>
      <c r="G13" s="31"/>
      <c r="H13" s="26" t="s">
        <v>99</v>
      </c>
      <c r="I13" s="18"/>
    </row>
    <row r="14" spans="1:9" ht="18" x14ac:dyDescent="0.35">
      <c r="A14" s="32"/>
      <c r="B14" s="33"/>
      <c r="C14" s="34"/>
      <c r="D14" s="31"/>
      <c r="E14" s="31"/>
      <c r="F14" s="35"/>
      <c r="G14" s="31"/>
      <c r="H14" s="26"/>
      <c r="I14" s="18"/>
    </row>
    <row r="15" spans="1:9" ht="18" x14ac:dyDescent="0.35">
      <c r="A15" s="36"/>
      <c r="B15" s="33"/>
      <c r="C15" s="37"/>
      <c r="D15" s="31"/>
      <c r="E15" s="31"/>
      <c r="F15" s="35"/>
      <c r="G15" s="31"/>
      <c r="H15" s="26"/>
      <c r="I15" s="18"/>
    </row>
    <row r="16" spans="1:9" ht="18" x14ac:dyDescent="0.35">
      <c r="A16" s="31"/>
      <c r="B16" s="31"/>
      <c r="C16" s="38"/>
      <c r="D16" s="39"/>
      <c r="E16" s="39"/>
      <c r="F16" s="25"/>
      <c r="G16" s="31"/>
      <c r="H16" s="26"/>
      <c r="I16" s="18"/>
    </row>
    <row r="17" spans="1:9" ht="18" x14ac:dyDescent="0.35">
      <c r="A17" s="33"/>
      <c r="B17" s="33"/>
      <c r="C17" s="40"/>
      <c r="D17" s="31"/>
      <c r="E17" s="31"/>
      <c r="F17" s="35"/>
      <c r="G17" s="31"/>
      <c r="H17" s="26"/>
      <c r="I17" s="18"/>
    </row>
    <row r="18" spans="1:9" ht="18" x14ac:dyDescent="0.35">
      <c r="A18" s="32"/>
      <c r="B18" s="33"/>
      <c r="C18" s="34"/>
      <c r="D18" s="31"/>
      <c r="E18" s="31"/>
      <c r="F18" s="35"/>
      <c r="G18" s="31"/>
      <c r="H18" s="26"/>
      <c r="I18" s="18"/>
    </row>
    <row r="19" spans="1:9" ht="18" x14ac:dyDescent="0.35">
      <c r="A19" s="41"/>
      <c r="B19" s="41"/>
      <c r="C19" s="42"/>
      <c r="D19" s="43"/>
      <c r="E19" s="44"/>
      <c r="F19" s="45"/>
      <c r="G19" s="16"/>
      <c r="H19" s="26"/>
      <c r="I19" s="18"/>
    </row>
    <row r="20" spans="1:9" ht="18" x14ac:dyDescent="0.35">
      <c r="A20" s="46"/>
      <c r="B20" s="47"/>
      <c r="C20" s="48" t="s">
        <v>51</v>
      </c>
      <c r="D20" s="49"/>
      <c r="E20" s="50"/>
      <c r="F20" s="51"/>
      <c r="G20" s="16"/>
      <c r="H20" s="17"/>
      <c r="I20" s="18"/>
    </row>
    <row r="21" spans="1:9" ht="18" x14ac:dyDescent="0.35">
      <c r="A21" s="19" t="s">
        <v>52</v>
      </c>
      <c r="B21" s="52" t="s">
        <v>62</v>
      </c>
      <c r="C21" s="21" t="s">
        <v>53</v>
      </c>
      <c r="D21" s="22" t="s">
        <v>44</v>
      </c>
      <c r="E21" s="29">
        <v>200</v>
      </c>
      <c r="F21" s="30" t="s">
        <v>27</v>
      </c>
      <c r="G21" s="16"/>
      <c r="H21" s="17" t="s">
        <v>85</v>
      </c>
      <c r="I21" s="18"/>
    </row>
    <row r="22" spans="1:9" ht="18" x14ac:dyDescent="0.35">
      <c r="A22" s="19">
        <v>911000005</v>
      </c>
      <c r="B22" s="52" t="s">
        <v>61</v>
      </c>
      <c r="C22" s="21" t="s">
        <v>54</v>
      </c>
      <c r="D22" s="22" t="s">
        <v>44</v>
      </c>
      <c r="E22" s="53">
        <v>30</v>
      </c>
      <c r="F22" s="30" t="s">
        <v>27</v>
      </c>
      <c r="G22" s="16"/>
      <c r="H22" s="17" t="s">
        <v>100</v>
      </c>
      <c r="I22" s="18"/>
    </row>
    <row r="23" spans="1:9" ht="18" x14ac:dyDescent="0.35">
      <c r="A23" s="19" t="s">
        <v>57</v>
      </c>
      <c r="B23" s="52" t="s">
        <v>63</v>
      </c>
      <c r="C23" s="21" t="s">
        <v>56</v>
      </c>
      <c r="D23" s="22" t="s">
        <v>44</v>
      </c>
      <c r="E23" s="29">
        <v>60</v>
      </c>
      <c r="F23" s="30" t="s">
        <v>27</v>
      </c>
      <c r="G23" s="16"/>
      <c r="H23" s="17"/>
      <c r="I23" s="18"/>
    </row>
    <row r="24" spans="1:9" ht="18" x14ac:dyDescent="0.35">
      <c r="A24" s="19" t="s">
        <v>46</v>
      </c>
      <c r="B24" s="52" t="s">
        <v>64</v>
      </c>
      <c r="C24" s="21" t="s">
        <v>86</v>
      </c>
      <c r="D24" s="22" t="s">
        <v>87</v>
      </c>
      <c r="E24" s="54">
        <v>2</v>
      </c>
      <c r="F24" s="55" t="s">
        <v>15</v>
      </c>
      <c r="G24" s="16"/>
      <c r="H24" s="17"/>
      <c r="I24" s="18"/>
    </row>
    <row r="25" spans="1:9" ht="18" x14ac:dyDescent="0.35">
      <c r="A25" s="19" t="s">
        <v>55</v>
      </c>
      <c r="B25" s="52" t="s">
        <v>65</v>
      </c>
      <c r="C25" s="21" t="s">
        <v>30</v>
      </c>
      <c r="D25" s="22" t="s">
        <v>88</v>
      </c>
      <c r="E25" s="56">
        <v>0.2</v>
      </c>
      <c r="F25" s="55" t="s">
        <v>27</v>
      </c>
      <c r="G25" s="16"/>
      <c r="H25" s="17"/>
      <c r="I25" s="18"/>
    </row>
    <row r="26" spans="1:9" ht="18" x14ac:dyDescent="0.35">
      <c r="A26" s="57" t="s">
        <v>70</v>
      </c>
      <c r="B26" s="57" t="s">
        <v>71</v>
      </c>
      <c r="C26" s="58" t="s">
        <v>89</v>
      </c>
      <c r="D26" s="59" t="s">
        <v>36</v>
      </c>
      <c r="E26" s="60">
        <v>5</v>
      </c>
      <c r="F26" s="61" t="s">
        <v>27</v>
      </c>
      <c r="G26" s="16"/>
      <c r="H26" s="17" t="s">
        <v>90</v>
      </c>
      <c r="I26" s="18"/>
    </row>
    <row r="27" spans="1:9" ht="18" x14ac:dyDescent="0.35">
      <c r="A27" s="41"/>
      <c r="B27" s="41"/>
      <c r="C27" s="42"/>
      <c r="D27" s="62"/>
      <c r="E27" s="63"/>
      <c r="F27" s="61"/>
      <c r="G27" s="16"/>
      <c r="H27" s="17"/>
      <c r="I27" s="18"/>
    </row>
    <row r="28" spans="1:9" ht="18" x14ac:dyDescent="0.35">
      <c r="A28" s="41"/>
      <c r="B28" s="41"/>
      <c r="C28" s="42"/>
      <c r="D28" s="62"/>
      <c r="E28" s="53"/>
      <c r="F28" s="64"/>
      <c r="G28" s="16"/>
      <c r="H28" s="17"/>
      <c r="I28" s="18"/>
    </row>
    <row r="29" spans="1:9" ht="18" x14ac:dyDescent="0.35">
      <c r="A29" s="65"/>
      <c r="B29" s="66"/>
      <c r="C29" s="67" t="s">
        <v>91</v>
      </c>
      <c r="D29" s="68"/>
      <c r="E29" s="69"/>
      <c r="F29" s="17"/>
      <c r="G29" s="16"/>
      <c r="H29" s="58"/>
      <c r="I29" s="18"/>
    </row>
    <row r="30" spans="1:9" ht="18" x14ac:dyDescent="0.35">
      <c r="A30" s="70" t="s">
        <v>34</v>
      </c>
      <c r="B30" s="70" t="s">
        <v>66</v>
      </c>
      <c r="C30" s="71" t="s">
        <v>35</v>
      </c>
      <c r="D30" s="72" t="s">
        <v>36</v>
      </c>
      <c r="E30" s="73">
        <v>1</v>
      </c>
      <c r="F30" s="74" t="s">
        <v>37</v>
      </c>
      <c r="G30" s="75"/>
      <c r="H30" s="17"/>
      <c r="I30" s="18"/>
    </row>
    <row r="31" spans="1:9" ht="18" x14ac:dyDescent="0.35">
      <c r="A31" s="70" t="s">
        <v>31</v>
      </c>
      <c r="B31" s="70" t="s">
        <v>67</v>
      </c>
      <c r="C31" s="71" t="s">
        <v>38</v>
      </c>
      <c r="D31" s="72" t="s">
        <v>92</v>
      </c>
      <c r="E31" s="73">
        <v>1</v>
      </c>
      <c r="F31" s="74" t="s">
        <v>37</v>
      </c>
      <c r="G31" s="75"/>
      <c r="H31" s="17"/>
      <c r="I31" s="18"/>
    </row>
    <row r="32" spans="1:9" ht="18" x14ac:dyDescent="0.35">
      <c r="A32" s="70" t="s">
        <v>33</v>
      </c>
      <c r="B32" s="70" t="s">
        <v>68</v>
      </c>
      <c r="C32" s="71" t="s">
        <v>39</v>
      </c>
      <c r="D32" s="72" t="s">
        <v>93</v>
      </c>
      <c r="E32" s="73">
        <v>1</v>
      </c>
      <c r="F32" s="74" t="s">
        <v>37</v>
      </c>
      <c r="G32" s="75"/>
      <c r="H32" s="17"/>
      <c r="I32" s="18"/>
    </row>
    <row r="33" spans="1:9" ht="18" x14ac:dyDescent="0.35">
      <c r="A33" s="76" t="s">
        <v>73</v>
      </c>
      <c r="B33" s="76" t="s">
        <v>72</v>
      </c>
      <c r="C33" s="77" t="s">
        <v>94</v>
      </c>
      <c r="D33" s="78" t="s">
        <v>36</v>
      </c>
      <c r="E33" s="79">
        <v>60</v>
      </c>
      <c r="F33" s="80" t="s">
        <v>41</v>
      </c>
      <c r="G33" s="16"/>
      <c r="H33" s="17"/>
      <c r="I33" s="18"/>
    </row>
    <row r="34" spans="1:9" ht="18" x14ac:dyDescent="0.35">
      <c r="A34" s="76">
        <v>702069</v>
      </c>
      <c r="B34" s="76" t="s">
        <v>74</v>
      </c>
      <c r="C34" s="81" t="s">
        <v>95</v>
      </c>
      <c r="D34" s="78" t="s">
        <v>40</v>
      </c>
      <c r="E34" s="78">
        <v>1</v>
      </c>
      <c r="F34" s="80" t="s">
        <v>37</v>
      </c>
      <c r="G34" s="16"/>
      <c r="H34" s="17"/>
      <c r="I34" s="18"/>
    </row>
    <row r="35" spans="1:9" ht="18" x14ac:dyDescent="0.35">
      <c r="A35" s="76">
        <v>701096</v>
      </c>
      <c r="B35" s="76" t="s">
        <v>69</v>
      </c>
      <c r="C35" s="81" t="s">
        <v>45</v>
      </c>
      <c r="D35" s="78" t="s">
        <v>40</v>
      </c>
      <c r="E35" s="78">
        <v>1</v>
      </c>
      <c r="F35" s="80" t="s">
        <v>37</v>
      </c>
      <c r="G35" s="82"/>
      <c r="H35" s="17"/>
      <c r="I35" s="18"/>
    </row>
    <row r="36" spans="1:9" ht="18" x14ac:dyDescent="0.35">
      <c r="A36" s="83">
        <v>702123</v>
      </c>
      <c r="B36" s="84" t="s">
        <v>75</v>
      </c>
      <c r="C36" s="85" t="s">
        <v>96</v>
      </c>
      <c r="D36" s="86" t="s">
        <v>40</v>
      </c>
      <c r="E36" s="86">
        <v>1</v>
      </c>
      <c r="F36" s="87" t="s">
        <v>37</v>
      </c>
      <c r="G36" s="88"/>
      <c r="H36" s="17"/>
      <c r="I36" s="18"/>
    </row>
    <row r="37" spans="1:9" ht="18" x14ac:dyDescent="0.35">
      <c r="A37" s="46"/>
      <c r="B37" s="41" t="s">
        <v>104</v>
      </c>
      <c r="C37" s="42" t="s">
        <v>105</v>
      </c>
      <c r="D37" s="89" t="s">
        <v>106</v>
      </c>
      <c r="E37" s="16">
        <v>1</v>
      </c>
      <c r="F37" s="17" t="s">
        <v>37</v>
      </c>
      <c r="G37" s="88"/>
      <c r="H37" s="17"/>
      <c r="I37" s="18"/>
    </row>
    <row r="38" spans="1:9" ht="18" x14ac:dyDescent="0.35">
      <c r="A38" s="46"/>
      <c r="B38" s="47"/>
      <c r="C38" s="71"/>
      <c r="D38" s="49"/>
      <c r="E38" s="49"/>
      <c r="F38" s="51"/>
      <c r="G38" s="49"/>
      <c r="H38" s="49"/>
      <c r="I38" s="18"/>
    </row>
    <row r="39" spans="1:9" ht="17.399999999999999" thickBot="1" x14ac:dyDescent="0.3">
      <c r="A39" s="90"/>
      <c r="B39" s="91"/>
      <c r="C39" s="92"/>
      <c r="D39" s="92"/>
      <c r="E39" s="93"/>
      <c r="F39" s="94"/>
      <c r="G39" s="92"/>
      <c r="H39" s="92"/>
      <c r="I39" s="95"/>
    </row>
    <row r="40" spans="1:9" ht="18" thickBot="1" x14ac:dyDescent="0.35">
      <c r="A40" s="96"/>
      <c r="B40" s="97"/>
      <c r="C40" s="98"/>
      <c r="D40" s="99" t="s">
        <v>12</v>
      </c>
      <c r="E40" s="100" t="s">
        <v>15</v>
      </c>
      <c r="F40" s="101"/>
      <c r="G40" s="98"/>
      <c r="H40" s="98"/>
      <c r="I40" s="102"/>
    </row>
    <row r="41" spans="1:9" ht="17.399999999999999" x14ac:dyDescent="0.3">
      <c r="A41" s="139" t="s">
        <v>16</v>
      </c>
      <c r="B41" s="140"/>
      <c r="C41" s="141"/>
      <c r="D41" s="63">
        <v>1387</v>
      </c>
      <c r="E41" s="103" t="s">
        <v>27</v>
      </c>
      <c r="F41" s="142" t="s">
        <v>25</v>
      </c>
      <c r="G41" s="142"/>
      <c r="H41" s="143"/>
      <c r="I41" s="144"/>
    </row>
    <row r="42" spans="1:9" ht="17.399999999999999" x14ac:dyDescent="0.3">
      <c r="A42" s="145" t="s">
        <v>17</v>
      </c>
      <c r="B42" s="146"/>
      <c r="C42" s="147"/>
      <c r="D42" s="31">
        <v>7</v>
      </c>
      <c r="E42" s="31" t="s">
        <v>42</v>
      </c>
      <c r="F42" s="148" t="s">
        <v>18</v>
      </c>
      <c r="G42" s="148"/>
      <c r="H42" s="149"/>
      <c r="I42" s="150"/>
    </row>
    <row r="43" spans="1:9" ht="17.399999999999999" x14ac:dyDescent="0.3">
      <c r="A43" s="145" t="s">
        <v>19</v>
      </c>
      <c r="B43" s="146"/>
      <c r="C43" s="147"/>
      <c r="D43" s="31">
        <v>1</v>
      </c>
      <c r="E43" s="31" t="s">
        <v>37</v>
      </c>
      <c r="F43" s="148" t="s">
        <v>26</v>
      </c>
      <c r="G43" s="148"/>
      <c r="H43" s="149"/>
      <c r="I43" s="150"/>
    </row>
    <row r="44" spans="1:9" ht="17.399999999999999" x14ac:dyDescent="0.3">
      <c r="A44" s="145" t="s">
        <v>20</v>
      </c>
      <c r="B44" s="146"/>
      <c r="C44" s="147"/>
      <c r="D44" s="53">
        <v>1387</v>
      </c>
      <c r="E44" s="31" t="s">
        <v>27</v>
      </c>
      <c r="F44" s="154" t="s">
        <v>21</v>
      </c>
      <c r="G44" s="155"/>
      <c r="H44" s="156"/>
      <c r="I44" s="157"/>
    </row>
    <row r="45" spans="1:9" ht="18" thickBot="1" x14ac:dyDescent="0.35">
      <c r="A45" s="158" t="s">
        <v>22</v>
      </c>
      <c r="B45" s="159"/>
      <c r="C45" s="160"/>
      <c r="D45" s="104">
        <f>SUM(E10:E26)-D41</f>
        <v>98.200000000000045</v>
      </c>
      <c r="E45" s="105" t="s">
        <v>27</v>
      </c>
      <c r="F45" s="161"/>
      <c r="G45" s="161"/>
      <c r="H45" s="149"/>
      <c r="I45" s="150"/>
    </row>
    <row r="46" spans="1:9" ht="18" thickBot="1" x14ac:dyDescent="0.35">
      <c r="A46" s="162" t="s">
        <v>23</v>
      </c>
      <c r="B46" s="163"/>
      <c r="C46" s="163"/>
      <c r="D46" s="163"/>
      <c r="E46" s="163"/>
      <c r="F46" s="163"/>
      <c r="G46" s="163"/>
      <c r="H46" s="163"/>
      <c r="I46" s="164"/>
    </row>
    <row r="47" spans="1:9" ht="18.45" customHeight="1" x14ac:dyDescent="0.25">
      <c r="A47" s="151" t="s">
        <v>32</v>
      </c>
      <c r="B47" s="152"/>
      <c r="C47" s="152"/>
      <c r="D47" s="152"/>
      <c r="E47" s="152"/>
      <c r="F47" s="152"/>
      <c r="G47" s="152"/>
      <c r="H47" s="152"/>
      <c r="I47" s="153"/>
    </row>
    <row r="48" spans="1:9" ht="14.7" customHeight="1" x14ac:dyDescent="0.25">
      <c r="A48" s="151" t="s">
        <v>101</v>
      </c>
      <c r="B48" s="152"/>
      <c r="C48" s="152"/>
      <c r="D48" s="152"/>
      <c r="E48" s="152"/>
      <c r="F48" s="152"/>
      <c r="G48" s="152"/>
      <c r="H48" s="152"/>
      <c r="I48" s="153"/>
    </row>
    <row r="49" spans="1:9" ht="30.6" customHeight="1" x14ac:dyDescent="0.25">
      <c r="A49" s="172" t="s">
        <v>102</v>
      </c>
      <c r="B49" s="173"/>
      <c r="C49" s="173"/>
      <c r="D49" s="173"/>
      <c r="E49" s="173"/>
      <c r="F49" s="173"/>
      <c r="G49" s="173"/>
      <c r="H49" s="173"/>
      <c r="I49" s="174"/>
    </row>
    <row r="50" spans="1:9" ht="14.7" customHeight="1" thickBot="1" x14ac:dyDescent="0.3">
      <c r="A50" s="175" t="s">
        <v>76</v>
      </c>
      <c r="B50" s="176"/>
      <c r="C50" s="176"/>
      <c r="D50" s="176"/>
      <c r="E50" s="176"/>
      <c r="F50" s="176"/>
      <c r="G50" s="176"/>
      <c r="H50" s="176"/>
      <c r="I50" s="177"/>
    </row>
    <row r="51" spans="1:9" ht="14.7" customHeight="1" x14ac:dyDescent="0.35">
      <c r="A51" s="178"/>
      <c r="B51" s="179"/>
      <c r="C51" s="179"/>
      <c r="D51" s="179"/>
      <c r="E51" s="179"/>
      <c r="F51" s="179"/>
      <c r="G51" s="179"/>
      <c r="H51" s="179"/>
      <c r="I51" s="180"/>
    </row>
    <row r="52" spans="1:9" ht="14.7" customHeight="1" thickBot="1" x14ac:dyDescent="0.3">
      <c r="A52" s="181"/>
      <c r="B52" s="182"/>
      <c r="C52" s="183"/>
      <c r="D52" s="183"/>
      <c r="E52" s="183"/>
      <c r="F52" s="183"/>
      <c r="G52" s="183"/>
      <c r="H52" s="183"/>
      <c r="I52" s="184"/>
    </row>
    <row r="53" spans="1:9" ht="18" customHeight="1" x14ac:dyDescent="0.25">
      <c r="A53" s="185"/>
      <c r="B53" s="186"/>
      <c r="C53" s="186"/>
      <c r="D53" s="186"/>
      <c r="E53" s="186"/>
      <c r="F53" s="186"/>
      <c r="G53" s="186"/>
      <c r="H53" s="186"/>
      <c r="I53" s="187"/>
    </row>
    <row r="54" spans="1:9" ht="17.399999999999999" thickBot="1" x14ac:dyDescent="0.3">
      <c r="A54" s="188"/>
      <c r="B54" s="189"/>
      <c r="C54" s="189"/>
      <c r="D54" s="189"/>
      <c r="E54" s="189"/>
      <c r="F54" s="189"/>
      <c r="G54" s="189"/>
      <c r="H54" s="189"/>
      <c r="I54" s="190"/>
    </row>
    <row r="55" spans="1:9" ht="18" thickBot="1" x14ac:dyDescent="0.35">
      <c r="A55" s="165"/>
      <c r="B55" s="166"/>
      <c r="C55" s="166"/>
      <c r="D55" s="166"/>
      <c r="E55" s="166"/>
      <c r="F55" s="166"/>
      <c r="G55" s="166"/>
      <c r="H55" s="166"/>
      <c r="I55" s="167"/>
    </row>
    <row r="56" spans="1:9" ht="17.399999999999999" x14ac:dyDescent="0.3">
      <c r="A56" s="168" t="s">
        <v>97</v>
      </c>
      <c r="B56" s="169"/>
      <c r="C56" s="169"/>
      <c r="D56" s="169"/>
      <c r="E56" s="169"/>
      <c r="F56" s="169"/>
      <c r="G56" s="169"/>
      <c r="H56" s="169"/>
      <c r="I56" s="169"/>
    </row>
    <row r="57" spans="1:9" ht="16.8" x14ac:dyDescent="0.25">
      <c r="A57" s="112" t="s">
        <v>103</v>
      </c>
      <c r="B57" s="113"/>
      <c r="C57" s="113"/>
      <c r="D57" s="113"/>
      <c r="E57" s="113"/>
      <c r="F57" s="113"/>
      <c r="G57" s="113"/>
      <c r="H57" s="113"/>
      <c r="I57" s="114"/>
    </row>
    <row r="58" spans="1:9" ht="16.8" x14ac:dyDescent="0.25">
      <c r="A58" s="170"/>
      <c r="B58" s="171"/>
      <c r="C58" s="171"/>
      <c r="D58" s="171"/>
      <c r="E58" s="171"/>
      <c r="F58" s="171"/>
      <c r="G58" s="171"/>
      <c r="H58" s="171"/>
      <c r="I58" s="171"/>
    </row>
  </sheetData>
  <mergeCells count="45">
    <mergeCell ref="A55:I55"/>
    <mergeCell ref="A56:I56"/>
    <mergeCell ref="A57:I57"/>
    <mergeCell ref="A58:I58"/>
    <mergeCell ref="A49:I49"/>
    <mergeCell ref="A50:I50"/>
    <mergeCell ref="A51:I51"/>
    <mergeCell ref="A52:I52"/>
    <mergeCell ref="A53:I53"/>
    <mergeCell ref="A54:I54"/>
    <mergeCell ref="A48:I48"/>
    <mergeCell ref="A43:C43"/>
    <mergeCell ref="F43:G43"/>
    <mergeCell ref="H43:I43"/>
    <mergeCell ref="A44:C44"/>
    <mergeCell ref="F44:G44"/>
    <mergeCell ref="H44:I44"/>
    <mergeCell ref="A45:C45"/>
    <mergeCell ref="F45:G45"/>
    <mergeCell ref="H45:I45"/>
    <mergeCell ref="A46:I46"/>
    <mergeCell ref="A47:I47"/>
    <mergeCell ref="A41:C41"/>
    <mergeCell ref="F41:G41"/>
    <mergeCell ref="H41:I41"/>
    <mergeCell ref="A42:C42"/>
    <mergeCell ref="F42:G42"/>
    <mergeCell ref="H42:I42"/>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pageSetup paperSize="9" scale="44"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7af129ffe331660a32b7248f87ac5b16">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1de7f8ef1dbe0e680181f0a133572604"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MediaLengthInSeconds xmlns="7b4e74ba-38a7-42d4-a9ca-1da0fc041db0" xsi:nil="true"/>
    <SharedWithUsers xmlns="eae225b5-53a6-4b69-be5f-a92fedf9fd97">
      <UserInfo>
        <DisplayName/>
        <AccountId xsi:nil="true"/>
        <AccountType/>
      </UserInfo>
    </SharedWithUsers>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AC62588C-2195-4AD7-9734-752FFA9BB986}">
  <ds:schemaRefs>
    <ds:schemaRef ds:uri="http://schemas.microsoft.com/sharepoint/v3/contenttype/forms"/>
  </ds:schemaRefs>
</ds:datastoreItem>
</file>

<file path=customXml/itemProps2.xml><?xml version="1.0" encoding="utf-8"?>
<ds:datastoreItem xmlns:ds="http://schemas.openxmlformats.org/officeDocument/2006/customXml" ds:itemID="{B8BE9B98-5991-46B8-AEC1-6A374D35D186}"/>
</file>

<file path=customXml/itemProps3.xml><?xml version="1.0" encoding="utf-8"?>
<ds:datastoreItem xmlns:ds="http://schemas.openxmlformats.org/officeDocument/2006/customXml" ds:itemID="{4CB30B12-214C-4068-BAEC-E0D2BA090B46}">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customXml/itemProps4.xml><?xml version="1.0" encoding="utf-8"?>
<ds:datastoreItem xmlns:ds="http://schemas.openxmlformats.org/officeDocument/2006/customXml" ds:itemID="{768F9B28-D8C8-40F1-8F3F-EA696280315B}">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ymontenegro</dc:creator>
  <cp:lastModifiedBy>Valery Cerdas</cp:lastModifiedBy>
  <cp:lastPrinted>2025-04-04T20:32:07Z</cp:lastPrinted>
  <dcterms:created xsi:type="dcterms:W3CDTF">2012-05-10T22:32:20Z</dcterms:created>
  <dcterms:modified xsi:type="dcterms:W3CDTF">2026-05-12T16:01:12Z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display_urn:schemas-microsoft-com:office:office#Editor">
    <vt:lpwstr>Daniela Brenes Madriz</vt:lpwstr>
  </property>
  <property fmtid="{D5CDD505-2E9C-101B-9397-08002B2CF9AE}" pid="4" name="Order">
    <vt:r8>222400</vt:r8>
  </property>
  <property fmtid="{D5CDD505-2E9C-101B-9397-08002B2CF9AE}" pid="5" name="display_urn:schemas-microsoft-com:office:office#Author">
    <vt:lpwstr>Daniela Brenes Madriz</vt:lpwstr>
  </property>
  <property fmtid="{D5CDD505-2E9C-101B-9397-08002B2CF9AE}" pid="6" name="ContentTypeId">
    <vt:lpwstr>0x0101005C97FB89D0086C4984F8F1A28A5D30F9</vt:lpwstr>
  </property>
  <property fmtid="{D5CDD505-2E9C-101B-9397-08002B2CF9AE}" pid="7" name="MediaServiceImageTags">
    <vt:lpwstr/>
  </property>
  <property fmtid="{D5CDD505-2E9C-101B-9397-08002B2CF9AE}" pid="8" name="xd_ProgID">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xd_Signature">
    <vt:bool>false</vt:bool>
  </property>
</Properties>
</file>
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8" documentId="8_{C256843B-740F-47B4-89EA-AA2E53706A7D}" xr6:coauthVersionLast="47" xr6:coauthVersionMax="47" xr10:uidLastSave="{BB51A768-A935-4656-BC44-DC97E8069532}"/>
  <bookViews>
    <workbookView xWindow="-108" yWindow="-108" windowWidth="23256" windowHeight="12456" xr2:uid="{55665DCE-1524-43ED-B282-DCEA61EA794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E27" i="2" l="1"/>
</calcChain>
</file>

<file path=xl/sharedStrings.xml><?xml version="1.0" encoding="utf-8"?>
<sst xmlns="http://schemas.openxmlformats.org/spreadsheetml/2006/main" count="132" uniqueCount="99">
  <si>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</si>
  <si>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</si>
  <si>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</si>
  <si>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</si>
  <si>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</si>
  <si>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</si>
  <si>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</si>
  <si>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</si>
  <si>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</si>
  <si>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</si>
  <si>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</si>
  <si>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</si>
  <si>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</si>
  <si>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</si>
  <si>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</si>
  <si>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 (UND)</t>
  </si>
  <si>
    <t>EM10124</t>
  </si>
  <si>
    <t>BASE PARA ROSQUETE (UND)</t>
  </si>
  <si>
    <t>EM10035</t>
  </si>
  <si>
    <t>1950699</t>
  </si>
  <si>
    <t xml:space="preserve">ETIQUETA SELLO DE SEGURIDAD (ROLLO:1000 U) </t>
  </si>
  <si>
    <t>EM10135</t>
  </si>
  <si>
    <t>ETIQUETA BLANCA 2 5/8X1 15/16 (UND)</t>
  </si>
  <si>
    <t>EM10011</t>
  </si>
  <si>
    <t>ETIQ.FECHA VENCIMIENTO BLANCO (ROLLO)</t>
  </si>
  <si>
    <t>EM10004</t>
  </si>
  <si>
    <t>ETIQ. GENERICA PEQUEÑA V-274 (UND)</t>
  </si>
  <si>
    <t>EM10119</t>
  </si>
  <si>
    <t>QUEQUERA MINI CAKE (CAJA:100UND)</t>
  </si>
  <si>
    <t>EM10288</t>
  </si>
  <si>
    <t>51400047</t>
  </si>
  <si>
    <t>Karol</t>
  </si>
  <si>
    <t>CHOCOLATE TRIAN OLEA  PEQ (CAJA:250 UND)</t>
  </si>
  <si>
    <t>MP10130</t>
  </si>
  <si>
    <t>1070002</t>
  </si>
  <si>
    <t>FAS</t>
  </si>
  <si>
    <t>CREMA BEIDGE</t>
  </si>
  <si>
    <t>SE00069</t>
  </si>
  <si>
    <t>910000018</t>
  </si>
  <si>
    <t>EMPAQUE RELLENO MELOCOTON CUBOS PARA TORTA</t>
  </si>
  <si>
    <t>SE00446</t>
  </si>
  <si>
    <t>902000151</t>
  </si>
  <si>
    <t>RELLENO DE LIMON SPOON KILO</t>
  </si>
  <si>
    <t>SE00008</t>
  </si>
  <si>
    <t>902000085</t>
  </si>
  <si>
    <t>ALMIBAR</t>
  </si>
  <si>
    <t>SE00005</t>
  </si>
  <si>
    <t>908000021</t>
  </si>
  <si>
    <t>SE00393</t>
  </si>
  <si>
    <t>907000337</t>
  </si>
  <si>
    <t>NESTLÉ</t>
  </si>
  <si>
    <t>MANJAR LECHE CONDENSADA (PAQ: 6 K)</t>
  </si>
  <si>
    <t>MP10007</t>
  </si>
  <si>
    <t>11400066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</si>
  <si>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</si>
  <si>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</si>
  <si>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</si>
  <si>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</si>
  <si>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</si>
  <si>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</si>
  <si>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</si>
  <si>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</si>
  <si>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</si>
  <si>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</si>
  <si>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</si>
  <si>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</si>
  <si>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</si>
  <si>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</si>
  <si>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</si>
  <si>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</si>
  <si>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</si>
  <si>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</si>
  <si>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Esteban Cartin, Gte Manufactura</t>
  </si>
  <si>
    <t>Figuras</t>
  </si>
  <si>
    <t># Código Netsuite</t>
  </si>
  <si>
    <t>Ensamble</t>
  </si>
  <si>
    <t>Decoración</t>
  </si>
  <si>
    <t/>
  </si>
  <si>
    <t>1 CUCHARADA</t>
  </si>
  <si>
    <t>Empaque</t>
  </si>
  <si>
    <t>ETIPLAST</t>
  </si>
  <si>
    <t>CONTROL DE CAMBIOS</t>
  </si>
  <si>
    <t>ESP-RE-FIS-006</t>
  </si>
  <si>
    <t xml:space="preserve">1 cucharada </t>
  </si>
  <si>
    <t xml:space="preserve">1/8 taza </t>
  </si>
  <si>
    <t>ROSQUETE NUCLEO VAINILLA DAWN REDONDO 80g</t>
  </si>
  <si>
    <t>2, Actualización de datos de receta, procedimiento y pesos finales</t>
  </si>
  <si>
    <t>1 UNIDAD</t>
  </si>
  <si>
    <t>20500039</t>
  </si>
  <si>
    <t>SE00009</t>
  </si>
  <si>
    <t>EMPAQUE RELLENO MELO CON TOPING</t>
  </si>
  <si>
    <t>BOQUILLA 2B</t>
  </si>
  <si>
    <t xml:space="preserve">3, Se actualiza boquilla </t>
  </si>
  <si>
    <r>
      <rPr>
        <b/>
        <sz val="16"/>
        <rFont val="Arial"/>
        <family val="2"/>
      </rPr>
      <t xml:space="preserve">1.- </t>
    </r>
    <r>
      <rPr>
        <sz val="16"/>
        <rFont val="Arial"/>
        <family val="2"/>
      </rPr>
      <t>Cortar el mini cake por la mitad (eliminado la panza para nivelar), humeder los rosquetes con almibar y rellenar con relleno de limón y relleno de melocotón. Hacer un circulo de manjar sobre la base para inmobilizar el quequito. Pegar el mini cake en la base.</t>
    </r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</si>
  <si>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Con una manga y con la boquilla #48 cubrir todo  el costado, de manera que se cubran todas la paredes hasta llegar al borde y alisar la parte superior con una espatula. </t>
    </r>
  </si>
  <si>
    <r>
      <rPr>
        <b/>
        <sz val="16"/>
        <rFont val="Arial"/>
        <family val="2"/>
      </rPr>
      <t xml:space="preserve">3.- </t>
    </r>
    <r>
      <rPr>
        <sz val="16"/>
        <rFont val="Arial"/>
        <family val="2"/>
      </rPr>
      <t>Terminar con 1 cda de topping de melocotón y 1 triangulo oleaje.</t>
    </r>
  </si>
  <si>
    <r>
      <rPr>
        <b/>
        <sz val="16"/>
        <rFont val="Arial"/>
        <family val="2"/>
      </rPr>
      <t xml:space="preserve">4.- </t>
    </r>
    <r>
      <rPr>
        <sz val="16"/>
        <rFont val="Arial"/>
        <family val="2"/>
      </rPr>
      <t>Tapar y etiquetar. Colocar los sellos de seguridad en lados opuestos, sobre uno de los sellos de seguridad pegar la cinta generica. La fecha de vencimiento,  y en el lado inferior etiqueta de ingredientes.</t>
    </r>
  </si>
  <si>
    <t>03</t>
  </si>
  <si>
    <t>MINI CAKE MELOCOTÓN UD PTI00077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</si>
</sst>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5" fillId="0" borderId="0"/>
    <xf numFmtId="0" fontId="2" fillId="0" borderId="0"/>
    <xf numFmtId="0" fontId="6" fillId="0" borderId="0"/>
    <xf numFmtId="0" fontId="1" fillId="0" borderId="0"/>
    <xf numFmtId="0" fontId="5" fillId="0" borderId="0"/>
  </cellStyleXfs>
  <cellXfs count="143">
    <xf numFmtId="0" fontId="0" fillId="0" borderId="0" xfId="0"/>
    <xf numFmtId="49" fontId="3" fillId="2" borderId="25" xfId="3" applyNumberFormat="1" applyFont="1" applyFill="1" applyBorder="1" applyAlignment="1">
      <alignment horizontal="center"/>
    </xf>
    <xf numFmtId="0" fontId="4" fillId="2" borderId="19" xfId="3" applyFont="1" applyFill="1" applyBorder="1" applyAlignment="1">
      <alignment horizontal="right"/>
    </xf>
    <xf numFmtId="0" fontId="3" fillId="2" borderId="4" xfId="3" applyFont="1" applyFill="1" applyBorder="1" applyAlignment="1">
      <alignment horizontal="center"/>
    </xf>
    <xf numFmtId="0" fontId="4" fillId="2" borderId="5" xfId="3" applyFont="1" applyFill="1" applyBorder="1" applyAlignment="1">
      <alignment horizontal="right"/>
    </xf>
    <xf numFmtId="0" fontId="3" fillId="2" borderId="2" xfId="3" applyFont="1" applyFill="1" applyBorder="1" applyAlignment="1">
      <alignment horizontal="right"/>
    </xf>
    <xf numFmtId="0" fontId="3" fillId="2" borderId="19" xfId="3" applyFont="1" applyFill="1" applyBorder="1" applyAlignment="1">
      <alignment horizontal="right"/>
    </xf>
    <xf numFmtId="0" fontId="4" fillId="3" borderId="4" xfId="1" applyFont="1" applyFill="1" applyBorder="1" applyAlignment="1">
      <alignment horizontal="center" vertical="center" wrapText="1"/>
    </xf>
    <xf numFmtId="1" fontId="4" fillId="3" borderId="14" xfId="1" applyNumberFormat="1" applyFont="1" applyFill="1" applyBorder="1" applyAlignment="1">
      <alignment horizontal="center"/>
    </xf>
    <xf numFmtId="1" fontId="4" fillId="3" borderId="14" xfId="1" applyNumberFormat="1" applyFont="1" applyFill="1" applyBorder="1" applyAlignment="1">
      <alignment horizontal="center" wrapText="1"/>
    </xf>
    <xf numFmtId="0" fontId="4" fillId="3" borderId="27" xfId="1" applyFont="1" applyFill="1" applyBorder="1" applyAlignment="1">
      <alignment horizontal="center"/>
    </xf>
    <xf numFmtId="14" fontId="10" fillId="2" borderId="0" xfId="3" applyNumberFormat="1" applyFont="1" applyFill="1" applyAlignment="1">
      <alignment horizontal="center" vertical="center" wrapText="1"/>
    </xf>
    <xf numFmtId="0" fontId="11" fillId="0" borderId="2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2" fillId="0" borderId="19" xfId="1" applyFont="1" applyBorder="1" applyAlignment="1">
      <alignment vertical="center"/>
    </xf>
    <xf numFmtId="0" fontId="11" fillId="0" borderId="19" xfId="1" applyFont="1" applyBorder="1" applyAlignment="1">
      <alignment horizontal="center" vertical="center"/>
    </xf>
    <xf numFmtId="1" fontId="11" fillId="0" borderId="19" xfId="1" applyNumberFormat="1" applyFont="1" applyBorder="1" applyAlignment="1">
      <alignment horizontal="center"/>
    </xf>
    <xf numFmtId="1" fontId="11" fillId="0" borderId="19" xfId="1" applyNumberFormat="1" applyFont="1" applyBorder="1" applyAlignment="1">
      <alignment horizontal="center" wrapText="1"/>
    </xf>
    <xf numFmtId="0" fontId="13" fillId="0" borderId="25" xfId="1" applyFont="1" applyBorder="1" applyAlignment="1">
      <alignment horizont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49" fontId="13" fillId="0" borderId="19" xfId="0" applyNumberFormat="1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49" fontId="13" fillId="0" borderId="19" xfId="0" applyNumberFormat="1" applyFont="1" applyBorder="1" applyAlignment="1">
      <alignment horizontal="center" vertical="center"/>
    </xf>
    <xf numFmtId="1" fontId="13" fillId="0" borderId="19" xfId="0" applyNumberFormat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1" fontId="13" fillId="0" borderId="2" xfId="1" applyNumberFormat="1" applyFont="1" applyBorder="1" applyAlignment="1">
      <alignment horizontal="center" vertical="center"/>
    </xf>
    <xf numFmtId="49" fontId="13" fillId="0" borderId="19" xfId="0" applyNumberFormat="1" applyFont="1" applyBorder="1" applyAlignment="1">
      <alignment horizontal="center"/>
    </xf>
    <xf numFmtId="0" fontId="13" fillId="0" borderId="19" xfId="4" applyFont="1" applyBorder="1" applyAlignment="1">
      <alignment horizontal="center"/>
    </xf>
    <xf numFmtId="165" fontId="13" fillId="0" borderId="2" xfId="0" applyNumberFormat="1" applyFont="1" applyBorder="1" applyAlignment="1">
      <alignment horizontal="center" wrapText="1"/>
    </xf>
    <xf numFmtId="0" fontId="11" fillId="0" borderId="19" xfId="0" applyFont="1" applyBorder="1" applyAlignment="1">
      <alignment horizontal="center"/>
    </xf>
    <xf numFmtId="2" fontId="13" fillId="0" borderId="2" xfId="1" applyNumberFormat="1" applyFont="1" applyBorder="1" applyAlignment="1">
      <alignment horizontal="center"/>
    </xf>
    <xf numFmtId="0" fontId="13" fillId="4" borderId="19" xfId="0" applyFont="1" applyFill="1" applyBorder="1"/>
    <xf numFmtId="1" fontId="13" fillId="0" borderId="19" xfId="1" applyNumberFormat="1" applyFont="1" applyBorder="1" applyAlignment="1">
      <alignment horizontal="center"/>
    </xf>
    <xf numFmtId="1" fontId="13" fillId="0" borderId="19" xfId="1" applyNumberFormat="1" applyFont="1" applyBorder="1" applyAlignment="1">
      <alignment horizontal="center" wrapText="1"/>
    </xf>
    <xf numFmtId="0" fontId="13" fillId="0" borderId="2" xfId="1" applyFont="1" applyBorder="1" applyAlignment="1">
      <alignment horizontal="center"/>
    </xf>
    <xf numFmtId="49" fontId="13" fillId="0" borderId="26" xfId="1" applyNumberFormat="1" applyFont="1" applyBorder="1" applyAlignment="1">
      <alignment horizontal="center"/>
    </xf>
    <xf numFmtId="49" fontId="13" fillId="0" borderId="17" xfId="1" applyNumberFormat="1" applyFont="1" applyBorder="1" applyAlignment="1">
      <alignment horizontal="center"/>
    </xf>
    <xf numFmtId="0" fontId="11" fillId="4" borderId="19" xfId="1" applyFont="1" applyFill="1" applyBorder="1" applyAlignment="1">
      <alignment horizontal="left"/>
    </xf>
    <xf numFmtId="0" fontId="13" fillId="0" borderId="19" xfId="1" applyFont="1" applyBorder="1" applyAlignment="1">
      <alignment horizontal="center"/>
    </xf>
    <xf numFmtId="166" fontId="13" fillId="0" borderId="19" xfId="1" applyNumberFormat="1" applyFont="1" applyBorder="1" applyAlignment="1">
      <alignment horizontal="center"/>
    </xf>
    <xf numFmtId="0" fontId="14" fillId="0" borderId="26" xfId="2" applyFont="1" applyBorder="1" applyAlignment="1">
      <alignment horizontal="center"/>
    </xf>
    <xf numFmtId="0" fontId="14" fillId="0" borderId="19" xfId="2" applyFont="1" applyBorder="1" applyAlignment="1">
      <alignment horizontal="center"/>
    </xf>
    <xf numFmtId="0" fontId="14" fillId="0" borderId="19" xfId="2" applyFont="1" applyBorder="1"/>
    <xf numFmtId="0" fontId="13" fillId="0" borderId="0" xfId="0" applyFont="1"/>
    <xf numFmtId="16" fontId="13" fillId="0" borderId="19" xfId="0" applyNumberFormat="1" applyFont="1" applyBorder="1" applyAlignment="1">
      <alignment horizontal="center"/>
    </xf>
    <xf numFmtId="1" fontId="13" fillId="0" borderId="19" xfId="5" applyNumberFormat="1" applyFont="1" applyBorder="1" applyAlignment="1">
      <alignment horizontal="center"/>
    </xf>
    <xf numFmtId="1" fontId="13" fillId="0" borderId="19" xfId="5" applyNumberFormat="1" applyFont="1" applyBorder="1" applyAlignment="1">
      <alignment horizontal="center" wrapText="1"/>
    </xf>
    <xf numFmtId="0" fontId="12" fillId="4" borderId="19" xfId="1" applyFont="1" applyFill="1" applyBorder="1" applyAlignment="1">
      <alignment vertical="center"/>
    </xf>
    <xf numFmtId="0" fontId="11" fillId="0" borderId="17" xfId="1" applyFont="1" applyBorder="1" applyAlignment="1">
      <alignment horizontal="center"/>
    </xf>
    <xf numFmtId="49" fontId="13" fillId="0" borderId="19" xfId="1" applyNumberFormat="1" applyFont="1" applyBorder="1" applyAlignment="1">
      <alignment horizontal="center"/>
    </xf>
    <xf numFmtId="2" fontId="13" fillId="0" borderId="19" xfId="1" applyNumberFormat="1" applyFont="1" applyBorder="1" applyAlignment="1">
      <alignment horizontal="center"/>
    </xf>
    <xf numFmtId="49" fontId="13" fillId="0" borderId="2" xfId="1" applyNumberFormat="1" applyFont="1" applyBorder="1" applyAlignment="1">
      <alignment horizontal="center"/>
    </xf>
    <xf numFmtId="12" fontId="13" fillId="0" borderId="19" xfId="1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 wrapText="1"/>
    </xf>
    <xf numFmtId="49" fontId="15" fillId="2" borderId="35" xfId="1" applyNumberFormat="1" applyFont="1" applyFill="1" applyBorder="1" applyAlignment="1">
      <alignment horizontal="center" vertical="center"/>
    </xf>
    <xf numFmtId="49" fontId="15" fillId="2" borderId="0" xfId="1" applyNumberFormat="1" applyFont="1" applyFill="1" applyAlignment="1">
      <alignment horizontal="center" vertical="center"/>
    </xf>
    <xf numFmtId="0" fontId="13" fillId="2" borderId="0" xfId="1" applyFont="1" applyFill="1"/>
    <xf numFmtId="1" fontId="13" fillId="2" borderId="0" xfId="1" applyNumberFormat="1" applyFont="1" applyFill="1" applyAlignment="1">
      <alignment horizontal="center"/>
    </xf>
    <xf numFmtId="164" fontId="13" fillId="2" borderId="0" xfId="1" applyNumberFormat="1" applyFont="1" applyFill="1" applyAlignment="1">
      <alignment horizontal="center" wrapText="1"/>
    </xf>
    <xf numFmtId="0" fontId="13" fillId="2" borderId="41" xfId="1" applyFont="1" applyFill="1" applyBorder="1" applyAlignment="1">
      <alignment horizontal="center"/>
    </xf>
    <xf numFmtId="0" fontId="13" fillId="3" borderId="9" xfId="1" applyFont="1" applyFill="1" applyBorder="1" applyAlignment="1">
      <alignment horizontal="center"/>
    </xf>
    <xf numFmtId="0" fontId="13" fillId="3" borderId="8" xfId="1" applyFont="1" applyFill="1" applyBorder="1" applyAlignment="1">
      <alignment horizontal="center"/>
    </xf>
    <xf numFmtId="0" fontId="13" fillId="3" borderId="8" xfId="1" applyFont="1" applyFill="1" applyBorder="1"/>
    <xf numFmtId="0" fontId="11" fillId="3" borderId="8" xfId="1" applyFont="1" applyFill="1" applyBorder="1" applyAlignment="1">
      <alignment horizontal="center"/>
    </xf>
    <xf numFmtId="1" fontId="11" fillId="3" borderId="8" xfId="1" applyNumberFormat="1" applyFont="1" applyFill="1" applyBorder="1" applyAlignment="1">
      <alignment horizontal="center"/>
    </xf>
    <xf numFmtId="164" fontId="13" fillId="3" borderId="8" xfId="1" applyNumberFormat="1" applyFont="1" applyFill="1" applyBorder="1" applyAlignment="1">
      <alignment horizontal="center" wrapText="1"/>
    </xf>
    <xf numFmtId="0" fontId="13" fillId="3" borderId="7" xfId="1" applyFont="1" applyFill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49" fontId="11" fillId="0" borderId="19" xfId="1" applyNumberFormat="1" applyFont="1" applyBorder="1" applyAlignment="1">
      <alignment horizontal="center"/>
    </xf>
    <xf numFmtId="14" fontId="3" fillId="2" borderId="36" xfId="3" applyNumberFormat="1" applyFont="1" applyFill="1" applyBorder="1" applyAlignment="1">
      <alignment horizontal="center" vertical="center" wrapText="1"/>
    </xf>
    <xf numFmtId="14" fontId="3" fillId="2" borderId="30" xfId="3" applyNumberFormat="1" applyFont="1" applyFill="1" applyBorder="1" applyAlignment="1">
      <alignment horizontal="center" vertical="center" wrapText="1"/>
    </xf>
    <xf numFmtId="14" fontId="3" fillId="2" borderId="1" xfId="3" applyNumberFormat="1" applyFont="1" applyFill="1" applyBorder="1" applyAlignment="1">
      <alignment horizontal="center" vertical="center" wrapText="1"/>
    </xf>
    <xf numFmtId="0" fontId="3" fillId="2" borderId="34" xfId="3" applyFont="1" applyFill="1" applyBorder="1" applyAlignment="1">
      <alignment horizontal="left"/>
    </xf>
    <xf numFmtId="0" fontId="3" fillId="2" borderId="33" xfId="3" applyFont="1" applyFill="1" applyBorder="1" applyAlignment="1">
      <alignment horizontal="left"/>
    </xf>
    <xf numFmtId="0" fontId="3" fillId="2" borderId="32" xfId="3" applyFont="1" applyFill="1" applyBorder="1" applyAlignment="1">
      <alignment horizontal="left"/>
    </xf>
    <xf numFmtId="0" fontId="3" fillId="2" borderId="18" xfId="3" applyFont="1" applyFill="1" applyBorder="1" applyAlignment="1">
      <alignment horizontal="left"/>
    </xf>
    <xf numFmtId="0" fontId="3" fillId="2" borderId="12" xfId="3" applyFont="1" applyFill="1" applyBorder="1" applyAlignment="1">
      <alignment horizontal="left"/>
    </xf>
    <xf numFmtId="0" fontId="3" fillId="2" borderId="17" xfId="3" applyFont="1" applyFill="1" applyBorder="1" applyAlignment="1">
      <alignment horizontal="left"/>
    </xf>
    <xf numFmtId="0" fontId="3" fillId="2" borderId="39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35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23" xfId="3" applyFont="1" applyFill="1" applyBorder="1" applyAlignment="1">
      <alignment horizontal="center"/>
    </xf>
    <xf numFmtId="0" fontId="3" fillId="2" borderId="22" xfId="3" applyFont="1" applyFill="1" applyBorder="1" applyAlignment="1">
      <alignment horizontal="center"/>
    </xf>
    <xf numFmtId="0" fontId="7" fillId="2" borderId="5" xfId="3" applyFont="1" applyFill="1" applyBorder="1" applyAlignment="1">
      <alignment horizontal="center"/>
    </xf>
    <xf numFmtId="0" fontId="7" fillId="2" borderId="38" xfId="3" applyFont="1" applyFill="1" applyBorder="1" applyAlignment="1">
      <alignment horizontal="center"/>
    </xf>
    <xf numFmtId="0" fontId="9" fillId="5" borderId="8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4" fillId="2" borderId="37" xfId="3" applyFont="1" applyFill="1" applyBorder="1" applyAlignment="1">
      <alignment horizontal="right" vertical="top" wrapText="1"/>
    </xf>
    <xf numFmtId="0" fontId="4" fillId="2" borderId="31" xfId="3" applyFont="1" applyFill="1" applyBorder="1" applyAlignment="1">
      <alignment horizontal="right" vertical="top" wrapText="1"/>
    </xf>
    <xf numFmtId="0" fontId="4" fillId="2" borderId="28" xfId="3" applyFont="1" applyFill="1" applyBorder="1" applyAlignment="1">
      <alignment horizontal="right" vertical="top" wrapText="1"/>
    </xf>
    <xf numFmtId="0" fontId="8" fillId="2" borderId="0" xfId="3" applyFont="1" applyFill="1" applyAlignment="1">
      <alignment horizontal="right"/>
    </xf>
    <xf numFmtId="0" fontId="10" fillId="2" borderId="24" xfId="3" applyFont="1" applyFill="1" applyBorder="1" applyAlignment="1">
      <alignment horizontal="center"/>
    </xf>
    <xf numFmtId="0" fontId="8" fillId="2" borderId="0" xfId="3" applyFont="1" applyFill="1"/>
    <xf numFmtId="0" fontId="4" fillId="3" borderId="6" xfId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 wrapText="1"/>
    </xf>
    <xf numFmtId="0" fontId="4" fillId="3" borderId="16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11" fillId="0" borderId="23" xfId="1" applyFont="1" applyBorder="1" applyAlignment="1">
      <alignment horizontal="right"/>
    </xf>
    <xf numFmtId="0" fontId="11" fillId="0" borderId="22" xfId="1" applyFont="1" applyBorder="1" applyAlignment="1">
      <alignment horizontal="right"/>
    </xf>
    <xf numFmtId="0" fontId="11" fillId="0" borderId="10" xfId="1" applyFont="1" applyBorder="1" applyAlignment="1">
      <alignment horizontal="right"/>
    </xf>
    <xf numFmtId="164" fontId="13" fillId="0" borderId="2" xfId="1" applyNumberFormat="1" applyFont="1" applyBorder="1" applyAlignment="1">
      <alignment horizontal="right"/>
    </xf>
    <xf numFmtId="0" fontId="13" fillId="2" borderId="21" xfId="1" applyFont="1" applyFill="1" applyBorder="1" applyAlignment="1">
      <alignment horizontal="center"/>
    </xf>
    <xf numFmtId="0" fontId="13" fillId="2" borderId="20" xfId="1" applyFont="1" applyFill="1" applyBorder="1" applyAlignment="1">
      <alignment horizontal="center"/>
    </xf>
    <xf numFmtId="0" fontId="11" fillId="0" borderId="13" xfId="1" applyFont="1" applyBorder="1" applyAlignment="1">
      <alignment horizontal="right"/>
    </xf>
    <xf numFmtId="0" fontId="11" fillId="0" borderId="12" xfId="1" applyFont="1" applyBorder="1" applyAlignment="1">
      <alignment horizontal="right"/>
    </xf>
    <xf numFmtId="0" fontId="11" fillId="0" borderId="17" xfId="1" applyFont="1" applyBorder="1" applyAlignment="1">
      <alignment horizontal="right"/>
    </xf>
    <xf numFmtId="0" fontId="13" fillId="0" borderId="19" xfId="1" applyFont="1" applyBorder="1" applyAlignment="1">
      <alignment horizontal="right"/>
    </xf>
    <xf numFmtId="164" fontId="13" fillId="0" borderId="18" xfId="1" applyNumberFormat="1" applyFont="1" applyBorder="1" applyAlignment="1">
      <alignment horizontal="center"/>
    </xf>
    <xf numFmtId="164" fontId="13" fillId="0" borderId="11" xfId="1" applyNumberFormat="1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164" fontId="13" fillId="0" borderId="18" xfId="1" applyNumberFormat="1" applyFont="1" applyBorder="1" applyAlignment="1">
      <alignment horizontal="right" wrapText="1"/>
    </xf>
    <xf numFmtId="164" fontId="13" fillId="0" borderId="17" xfId="1" applyNumberFormat="1" applyFont="1" applyBorder="1" applyAlignment="1">
      <alignment horizontal="right" wrapText="1"/>
    </xf>
    <xf numFmtId="0" fontId="11" fillId="0" borderId="16" xfId="1" applyFont="1" applyBorder="1" applyAlignment="1">
      <alignment horizontal="right"/>
    </xf>
    <xf numFmtId="0" fontId="11" fillId="0" borderId="15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0" fontId="13" fillId="0" borderId="14" xfId="1" applyFont="1" applyBorder="1" applyAlignment="1">
      <alignment horizontal="right"/>
    </xf>
    <xf numFmtId="164" fontId="13" fillId="0" borderId="29" xfId="1" applyNumberFormat="1" applyFont="1" applyBorder="1" applyAlignment="1">
      <alignment horizontal="center"/>
    </xf>
    <xf numFmtId="164" fontId="13" fillId="0" borderId="42" xfId="1" applyNumberFormat="1" applyFont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3" fillId="0" borderId="3" xfId="0" applyFont="1" applyBorder="1" applyAlignment="1">
      <alignment horizontal="left" wrapText="1"/>
    </xf>
    <xf numFmtId="0" fontId="13" fillId="0" borderId="10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2" borderId="19" xfId="3" applyFont="1" applyFill="1" applyBorder="1" applyAlignment="1">
      <alignment horizontal="left"/>
    </xf>
    <xf numFmtId="0" fontId="13" fillId="0" borderId="13" xfId="0" applyFont="1" applyBorder="1" applyAlignment="1">
      <alignment horizontal="left" wrapText="1"/>
    </xf>
    <xf numFmtId="0" fontId="13" fillId="0" borderId="12" xfId="0" applyFont="1" applyBorder="1" applyAlignment="1">
      <alignment horizontal="left" wrapText="1"/>
    </xf>
    <xf numFmtId="0" fontId="13" fillId="0" borderId="11" xfId="0" applyFont="1" applyBorder="1" applyAlignment="1">
      <alignment horizontal="left" wrapText="1"/>
    </xf>
    <xf numFmtId="0" fontId="13" fillId="0" borderId="43" xfId="1" applyFont="1" applyBorder="1" applyAlignment="1">
      <alignment horizontal="left"/>
    </xf>
    <xf numFmtId="0" fontId="13" fillId="0" borderId="44" xfId="1" applyFont="1" applyBorder="1" applyAlignment="1">
      <alignment horizontal="left"/>
    </xf>
    <xf numFmtId="0" fontId="13" fillId="0" borderId="45" xfId="1" applyFont="1" applyBorder="1" applyAlignment="1">
      <alignment horizontal="left"/>
    </xf>
    <xf numFmtId="0" fontId="11" fillId="6" borderId="19" xfId="3" applyFont="1" applyFill="1" applyBorder="1" applyAlignment="1">
      <alignment horizontal="center"/>
    </xf>
  </cellXfs>
  <cellStyles count="6">
    <cellStyle name="Normal" xfId="0" builtinId="0"/>
    <cellStyle name="Normal 2" xfId="1" xr:uid="{346A5686-2C30-4C64-8057-B08B3F7AA50E}"/>
    <cellStyle name="Normal 3" xfId="2" xr:uid="{4CEC1C4C-81E9-47A6-B567-E08BD6023DCC}"/>
    <cellStyle name="Normal 3 2" xfId="5" xr:uid="{F0618A3F-7C50-4B56-9FF3-AED1D01AA0BA}"/>
    <cellStyle name="Normal 5" xfId="4" xr:uid="{29DA3B66-851E-45B5-A733-068F6AC99A4C}"/>
    <cellStyle name="Normal_CRITERIOS DE EVALUACION PT DE GB 2" xfId="3" xr:uid="{4FA296DE-8792-4038-B940-91A319EA5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126999</xdr:colOff>
      <xdr:row>0</xdr:row>
      <xdr:rowOff>95249</xdr:rowOff>
    </xdr:from>
    <xdr:to>
      <xdr:col>1</xdr:col>
      <xdr:colOff>925566</xdr:colOff>
      <xdr:row>4</xdr:row>
      <xdr:rowOff>105833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FAAFC96-97D6-4B0A-B75C-D73422FEF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9" y="95249"/>
          <a:ext cx="2132067" cy="963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CEAC-FB49-4DED-92AE-E7779A65ADBC}">
  <sheetPr>
    <pageSetUpPr fitToPage="1"/>
  </sheetPr>
  <dimension ref="A1:I45"/>
  <sheetViews>
    <sheetView tabSelected="1" topLeftCell="A11" zoomScale="80" zoomScaleNormal="80" workbookViewId="0">
      <selection activeCell="B23" sqref="B23"/>
    </sheetView>
  </sheetViews>
  <sheetFormatPr baseColWidth="10" defaultRowHeight="13.2" x14ac:dyDescent="0.25"/>
  <cols>
    <col min="1" max="1" width="20" customWidth="1"/>
    <col min="2" max="2" width="15.44140625" customWidth="1"/>
    <col min="3" max="3" width="84.109375" customWidth="1"/>
    <col min="4" max="4" width="16.109375" bestFit="1" customWidth="1"/>
    <col min="5" max="5" width="12.5546875" customWidth="1"/>
    <col min="7" max="7" width="22.44140625" customWidth="1"/>
    <col min="8" max="8" width="22.6640625" customWidth="1"/>
    <col min="9" max="9" width="23.44140625" bestFit="1" customWidth="1"/>
  </cols>
  <sheetData>
    <row r="1" spans="1:9" ht="15" x14ac:dyDescent="0.25">
      <c r="A1" s="82"/>
      <c r="B1" s="83"/>
      <c r="C1" s="88" t="s">
        <v>70</v>
      </c>
      <c r="D1" s="88"/>
      <c r="E1" s="88"/>
      <c r="F1" s="88"/>
      <c r="G1" s="88"/>
      <c r="H1" s="4" t="s">
        <v>69</v>
      </c>
      <c r="I1" s="3" t="s">
        <v>82</v>
      </c>
    </row>
    <row r="2" spans="1:9" ht="15.6" thickBot="1" x14ac:dyDescent="0.3">
      <c r="A2" s="84"/>
      <c r="B2" s="85"/>
      <c r="C2" s="89" t="s">
        <v>68</v>
      </c>
      <c r="D2" s="89"/>
      <c r="E2" s="89"/>
      <c r="F2" s="89"/>
      <c r="G2" s="89"/>
      <c r="H2" s="2" t="s">
        <v>67</v>
      </c>
      <c r="I2" s="1" t="s">
        <v>97</v>
      </c>
    </row>
    <row r="3" spans="1:9" ht="29.25" customHeight="1" thickBot="1" x14ac:dyDescent="0.3">
      <c r="A3" s="84"/>
      <c r="B3" s="85"/>
      <c r="C3" s="90" t="s">
        <v>98</v>
      </c>
      <c r="D3" s="90"/>
      <c r="E3" s="90"/>
      <c r="F3" s="90"/>
      <c r="G3" s="91"/>
      <c r="H3" s="92" t="s">
        <v>66</v>
      </c>
      <c r="I3" s="73">
        <v>45609</v>
      </c>
    </row>
    <row r="4" spans="1:9" x14ac:dyDescent="0.25">
      <c r="A4" s="84"/>
      <c r="B4" s="85"/>
      <c r="C4" s="5" t="s">
        <v>65</v>
      </c>
      <c r="D4" s="76" t="s">
        <v>71</v>
      </c>
      <c r="E4" s="77"/>
      <c r="F4" s="77"/>
      <c r="G4" s="78"/>
      <c r="H4" s="93"/>
      <c r="I4" s="74"/>
    </row>
    <row r="5" spans="1:9" ht="13.8" thickBot="1" x14ac:dyDescent="0.3">
      <c r="A5" s="86"/>
      <c r="B5" s="87"/>
      <c r="C5" s="6" t="s">
        <v>64</v>
      </c>
      <c r="D5" s="79" t="s">
        <v>72</v>
      </c>
      <c r="E5" s="80"/>
      <c r="F5" s="80"/>
      <c r="G5" s="81"/>
      <c r="H5" s="94"/>
      <c r="I5" s="75"/>
    </row>
    <row r="6" spans="1:9" ht="18" thickBot="1" x14ac:dyDescent="0.35">
      <c r="A6" s="95" t="s">
        <v>63</v>
      </c>
      <c r="B6" s="95"/>
      <c r="C6" s="95"/>
      <c r="D6" s="96" t="s">
        <v>73</v>
      </c>
      <c r="E6" s="96"/>
      <c r="F6" s="96"/>
      <c r="G6" s="97" t="s">
        <v>62</v>
      </c>
      <c r="H6" s="97"/>
      <c r="I6" s="11" t="s">
        <v>73</v>
      </c>
    </row>
    <row r="7" spans="1:9" ht="23.25" customHeight="1" x14ac:dyDescent="0.25">
      <c r="A7" s="98" t="s">
        <v>61</v>
      </c>
      <c r="B7" s="100" t="s">
        <v>74</v>
      </c>
      <c r="C7" s="102" t="s">
        <v>60</v>
      </c>
      <c r="D7" s="102" t="s">
        <v>59</v>
      </c>
      <c r="E7" s="102" t="s">
        <v>58</v>
      </c>
      <c r="F7" s="102"/>
      <c r="G7" s="102" t="s">
        <v>57</v>
      </c>
      <c r="H7" s="102"/>
      <c r="I7" s="7" t="s">
        <v>56</v>
      </c>
    </row>
    <row r="8" spans="1:9" ht="26.4" thickBot="1" x14ac:dyDescent="0.3">
      <c r="A8" s="99"/>
      <c r="B8" s="101"/>
      <c r="C8" s="103"/>
      <c r="D8" s="103"/>
      <c r="E8" s="8" t="s">
        <v>14</v>
      </c>
      <c r="F8" s="9" t="s">
        <v>55</v>
      </c>
      <c r="G8" s="8" t="s">
        <v>14</v>
      </c>
      <c r="H8" s="9" t="s">
        <v>55</v>
      </c>
      <c r="I8" s="10" t="s">
        <v>54</v>
      </c>
    </row>
    <row r="9" spans="1:9" ht="21" x14ac:dyDescent="0.4">
      <c r="A9" s="12"/>
      <c r="B9" s="13"/>
      <c r="C9" s="14" t="s">
        <v>75</v>
      </c>
      <c r="D9" s="15"/>
      <c r="E9" s="16"/>
      <c r="F9" s="17"/>
      <c r="G9" s="16"/>
      <c r="H9" s="17"/>
      <c r="I9" s="18"/>
    </row>
    <row r="10" spans="1:9" ht="20.399999999999999" x14ac:dyDescent="0.35">
      <c r="A10" s="19" t="s">
        <v>53</v>
      </c>
      <c r="B10" s="20" t="s">
        <v>52</v>
      </c>
      <c r="C10" s="21" t="s">
        <v>51</v>
      </c>
      <c r="D10" s="22" t="s">
        <v>50</v>
      </c>
      <c r="E10" s="22">
        <v>10</v>
      </c>
      <c r="F10" s="23" t="s">
        <v>1</v>
      </c>
      <c r="G10" s="24"/>
      <c r="H10" s="25"/>
      <c r="I10" s="18"/>
    </row>
    <row r="11" spans="1:9" ht="20.399999999999999" x14ac:dyDescent="0.35">
      <c r="A11" s="19" t="s">
        <v>49</v>
      </c>
      <c r="B11" s="20" t="s">
        <v>48</v>
      </c>
      <c r="C11" s="21" t="s">
        <v>85</v>
      </c>
      <c r="D11" s="22" t="s">
        <v>35</v>
      </c>
      <c r="E11" s="22">
        <v>75</v>
      </c>
      <c r="F11" s="23" t="s">
        <v>1</v>
      </c>
      <c r="G11" s="24"/>
      <c r="H11" s="26"/>
      <c r="I11" s="18"/>
    </row>
    <row r="12" spans="1:9" ht="20.399999999999999" x14ac:dyDescent="0.35">
      <c r="A12" s="19" t="s">
        <v>47</v>
      </c>
      <c r="B12" s="20" t="s">
        <v>46</v>
      </c>
      <c r="C12" s="21" t="s">
        <v>45</v>
      </c>
      <c r="D12" s="22" t="s">
        <v>35</v>
      </c>
      <c r="E12" s="25">
        <v>12</v>
      </c>
      <c r="F12" s="27" t="s">
        <v>1</v>
      </c>
      <c r="G12" s="24"/>
      <c r="H12" s="28"/>
      <c r="I12" s="18"/>
    </row>
    <row r="13" spans="1:9" ht="20.399999999999999" x14ac:dyDescent="0.35">
      <c r="A13" s="19" t="s">
        <v>44</v>
      </c>
      <c r="B13" s="20" t="s">
        <v>43</v>
      </c>
      <c r="C13" s="21" t="s">
        <v>42</v>
      </c>
      <c r="D13" s="22" t="s">
        <v>35</v>
      </c>
      <c r="E13" s="25">
        <v>20</v>
      </c>
      <c r="F13" s="27" t="s">
        <v>1</v>
      </c>
      <c r="G13" s="24"/>
      <c r="H13" s="28" t="s">
        <v>83</v>
      </c>
      <c r="I13" s="18"/>
    </row>
    <row r="14" spans="1:9" ht="20.399999999999999" x14ac:dyDescent="0.35">
      <c r="A14" s="19" t="s">
        <v>41</v>
      </c>
      <c r="B14" s="20" t="s">
        <v>40</v>
      </c>
      <c r="C14" s="21" t="s">
        <v>39</v>
      </c>
      <c r="D14" s="22" t="s">
        <v>35</v>
      </c>
      <c r="E14" s="25">
        <v>30</v>
      </c>
      <c r="F14" s="27" t="s">
        <v>1</v>
      </c>
      <c r="G14" s="24"/>
      <c r="H14" s="28" t="s">
        <v>84</v>
      </c>
      <c r="I14" s="18"/>
    </row>
    <row r="15" spans="1:9" ht="21" x14ac:dyDescent="0.4">
      <c r="A15" s="25"/>
      <c r="B15" s="25"/>
      <c r="C15" s="32"/>
      <c r="D15" s="33"/>
      <c r="E15" s="33"/>
      <c r="F15" s="34"/>
      <c r="G15" s="16"/>
      <c r="H15" s="35"/>
      <c r="I15" s="18"/>
    </row>
    <row r="16" spans="1:9" ht="21" x14ac:dyDescent="0.4">
      <c r="A16" s="36"/>
      <c r="B16" s="37"/>
      <c r="C16" s="38" t="s">
        <v>76</v>
      </c>
      <c r="D16" s="39" t="s">
        <v>77</v>
      </c>
      <c r="E16" s="40"/>
      <c r="F16" s="34"/>
      <c r="G16" s="16"/>
      <c r="H16" s="35"/>
      <c r="I16" s="18"/>
    </row>
    <row r="17" spans="1:9" ht="20.399999999999999" x14ac:dyDescent="0.35">
      <c r="A17" s="19" t="s">
        <v>38</v>
      </c>
      <c r="B17" s="20" t="s">
        <v>37</v>
      </c>
      <c r="C17" s="21" t="s">
        <v>36</v>
      </c>
      <c r="D17" s="22" t="s">
        <v>35</v>
      </c>
      <c r="E17" s="25">
        <v>25</v>
      </c>
      <c r="F17" s="27" t="s">
        <v>1</v>
      </c>
      <c r="G17" s="31"/>
      <c r="H17" s="31" t="s">
        <v>91</v>
      </c>
      <c r="I17" s="18"/>
    </row>
    <row r="18" spans="1:9" ht="20.399999999999999" x14ac:dyDescent="0.35">
      <c r="A18" s="19" t="s">
        <v>88</v>
      </c>
      <c r="B18" s="20" t="s">
        <v>89</v>
      </c>
      <c r="C18" s="21" t="s">
        <v>90</v>
      </c>
      <c r="D18" s="22" t="s">
        <v>35</v>
      </c>
      <c r="E18" s="25">
        <v>20</v>
      </c>
      <c r="F18" s="27" t="s">
        <v>1</v>
      </c>
      <c r="G18" s="24"/>
      <c r="H18" s="25" t="s">
        <v>78</v>
      </c>
      <c r="I18" s="18"/>
    </row>
    <row r="19" spans="1:9" ht="20.399999999999999" x14ac:dyDescent="0.35">
      <c r="A19" s="41" t="s">
        <v>34</v>
      </c>
      <c r="B19" s="42" t="s">
        <v>33</v>
      </c>
      <c r="C19" s="43" t="s">
        <v>32</v>
      </c>
      <c r="D19" s="22" t="s">
        <v>31</v>
      </c>
      <c r="E19" s="25">
        <v>1</v>
      </c>
      <c r="F19" s="27" t="s">
        <v>1</v>
      </c>
      <c r="G19" s="24"/>
      <c r="H19" s="24" t="s">
        <v>87</v>
      </c>
      <c r="I19" s="18"/>
    </row>
    <row r="20" spans="1:9" ht="21" x14ac:dyDescent="0.4">
      <c r="A20" s="25"/>
      <c r="B20" s="25"/>
      <c r="C20" s="32"/>
      <c r="D20" s="45" t="s">
        <v>77</v>
      </c>
      <c r="E20" s="46"/>
      <c r="F20" s="47"/>
      <c r="G20" s="16"/>
      <c r="H20" s="35"/>
      <c r="I20" s="18"/>
    </row>
    <row r="21" spans="1:9" ht="21" x14ac:dyDescent="0.4">
      <c r="A21" s="72"/>
      <c r="B21" s="72"/>
      <c r="C21" s="48" t="s">
        <v>79</v>
      </c>
      <c r="D21" s="49" t="s">
        <v>77</v>
      </c>
      <c r="E21" s="16"/>
      <c r="F21" s="17"/>
      <c r="G21" s="16"/>
      <c r="H21" s="35"/>
      <c r="I21" s="18"/>
    </row>
    <row r="22" spans="1:9" ht="20.399999999999999" x14ac:dyDescent="0.35">
      <c r="A22" s="19" t="s">
        <v>30</v>
      </c>
      <c r="B22" s="20" t="s">
        <v>29</v>
      </c>
      <c r="C22" s="21" t="s">
        <v>28</v>
      </c>
      <c r="D22" s="22"/>
      <c r="E22" s="23">
        <v>1</v>
      </c>
      <c r="F22" s="50" t="s">
        <v>6</v>
      </c>
      <c r="G22" s="29"/>
      <c r="H22" s="35"/>
      <c r="I22" s="18"/>
    </row>
    <row r="23" spans="1:9" ht="20.399999999999999" x14ac:dyDescent="0.35">
      <c r="A23" s="19">
        <v>702077</v>
      </c>
      <c r="B23" s="20" t="s">
        <v>27</v>
      </c>
      <c r="C23" s="21" t="s">
        <v>26</v>
      </c>
      <c r="D23" s="22" t="s">
        <v>80</v>
      </c>
      <c r="E23" s="23">
        <v>1</v>
      </c>
      <c r="F23" s="50" t="s">
        <v>6</v>
      </c>
      <c r="G23" s="51"/>
      <c r="H23" s="35"/>
      <c r="I23" s="18"/>
    </row>
    <row r="24" spans="1:9" ht="21" x14ac:dyDescent="0.4">
      <c r="A24" s="19">
        <v>702007</v>
      </c>
      <c r="B24" s="20" t="s">
        <v>25</v>
      </c>
      <c r="C24" s="21" t="s">
        <v>24</v>
      </c>
      <c r="D24" s="22" t="s">
        <v>80</v>
      </c>
      <c r="E24" s="23">
        <v>1</v>
      </c>
      <c r="F24" s="50" t="s">
        <v>6</v>
      </c>
      <c r="G24" s="16"/>
      <c r="H24" s="35"/>
      <c r="I24" s="18"/>
    </row>
    <row r="25" spans="1:9" ht="21" x14ac:dyDescent="0.4">
      <c r="A25" s="19">
        <v>702123</v>
      </c>
      <c r="B25" s="20" t="s">
        <v>23</v>
      </c>
      <c r="C25" s="21" t="s">
        <v>22</v>
      </c>
      <c r="D25" s="22" t="s">
        <v>80</v>
      </c>
      <c r="E25" s="22">
        <v>1</v>
      </c>
      <c r="F25" s="50" t="s">
        <v>6</v>
      </c>
      <c r="G25" s="16"/>
      <c r="H25" s="35"/>
      <c r="I25" s="18"/>
    </row>
    <row r="26" spans="1:9" ht="21" x14ac:dyDescent="0.4">
      <c r="A26" s="19">
        <v>702174</v>
      </c>
      <c r="B26" s="20" t="s">
        <v>21</v>
      </c>
      <c r="C26" s="21" t="s">
        <v>20</v>
      </c>
      <c r="D26" s="22" t="s">
        <v>80</v>
      </c>
      <c r="E26" s="22">
        <v>2</v>
      </c>
      <c r="F26" s="50" t="s">
        <v>6</v>
      </c>
      <c r="G26" s="16"/>
      <c r="H26" s="35"/>
      <c r="I26" s="18"/>
    </row>
    <row r="27" spans="1:9" ht="20.399999999999999" x14ac:dyDescent="0.35">
      <c r="A27" s="19" t="s">
        <v>19</v>
      </c>
      <c r="B27" s="20" t="s">
        <v>18</v>
      </c>
      <c r="C27" s="21" t="s">
        <v>17</v>
      </c>
      <c r="D27" s="22" t="s">
        <v>80</v>
      </c>
      <c r="E27" s="23">
        <f>1/10</f>
        <v>0.1</v>
      </c>
      <c r="F27" s="52" t="s">
        <v>6</v>
      </c>
      <c r="G27" s="53"/>
      <c r="H27" s="35"/>
      <c r="I27" s="18"/>
    </row>
    <row r="28" spans="1:9" ht="20.399999999999999" x14ac:dyDescent="0.35">
      <c r="A28" s="19">
        <v>701096</v>
      </c>
      <c r="B28" s="20" t="s">
        <v>16</v>
      </c>
      <c r="C28" s="21" t="s">
        <v>15</v>
      </c>
      <c r="D28" s="22" t="s">
        <v>80</v>
      </c>
      <c r="E28" s="23">
        <v>1</v>
      </c>
      <c r="F28" s="54" t="s">
        <v>6</v>
      </c>
      <c r="G28" s="33"/>
      <c r="H28" s="35"/>
      <c r="I28" s="18"/>
    </row>
    <row r="29" spans="1:9" ht="21" thickBot="1" x14ac:dyDescent="0.4">
      <c r="A29" s="55"/>
      <c r="B29" s="56"/>
      <c r="C29" s="57"/>
      <c r="D29" s="57"/>
      <c r="E29" s="58"/>
      <c r="F29" s="59"/>
      <c r="G29" s="57"/>
      <c r="H29" s="57"/>
      <c r="I29" s="60"/>
    </row>
    <row r="30" spans="1:9" ht="21.6" thickBot="1" x14ac:dyDescent="0.45">
      <c r="A30" s="61"/>
      <c r="B30" s="62"/>
      <c r="C30" s="63"/>
      <c r="D30" s="64" t="s">
        <v>14</v>
      </c>
      <c r="E30" s="65" t="s">
        <v>13</v>
      </c>
      <c r="F30" s="66"/>
      <c r="G30" s="63"/>
      <c r="H30" s="63"/>
      <c r="I30" s="67"/>
    </row>
    <row r="31" spans="1:9" ht="21" x14ac:dyDescent="0.4">
      <c r="A31" s="104" t="s">
        <v>12</v>
      </c>
      <c r="B31" s="105"/>
      <c r="C31" s="106"/>
      <c r="D31" s="68">
        <v>173</v>
      </c>
      <c r="E31" s="69" t="s">
        <v>1</v>
      </c>
      <c r="F31" s="107" t="s">
        <v>11</v>
      </c>
      <c r="G31" s="107"/>
      <c r="H31" s="108"/>
      <c r="I31" s="109"/>
    </row>
    <row r="32" spans="1:9" ht="21" x14ac:dyDescent="0.4">
      <c r="A32" s="110" t="s">
        <v>10</v>
      </c>
      <c r="B32" s="111"/>
      <c r="C32" s="112"/>
      <c r="D32" s="30">
        <v>3</v>
      </c>
      <c r="E32" s="25" t="s">
        <v>9</v>
      </c>
      <c r="F32" s="113" t="s">
        <v>8</v>
      </c>
      <c r="G32" s="113"/>
      <c r="H32" s="114"/>
      <c r="I32" s="115"/>
    </row>
    <row r="33" spans="1:9" ht="21" x14ac:dyDescent="0.4">
      <c r="A33" s="110" t="s">
        <v>7</v>
      </c>
      <c r="B33" s="111"/>
      <c r="C33" s="112"/>
      <c r="D33" s="25">
        <v>1</v>
      </c>
      <c r="E33" s="25" t="s">
        <v>6</v>
      </c>
      <c r="F33" s="113" t="s">
        <v>5</v>
      </c>
      <c r="G33" s="113"/>
      <c r="H33" s="114"/>
      <c r="I33" s="115"/>
    </row>
    <row r="34" spans="1:9" ht="21" x14ac:dyDescent="0.4">
      <c r="A34" s="110" t="s">
        <v>4</v>
      </c>
      <c r="B34" s="111"/>
      <c r="C34" s="112"/>
      <c r="D34" s="25">
        <v>173</v>
      </c>
      <c r="E34" s="25" t="s">
        <v>1</v>
      </c>
      <c r="F34" s="120" t="s">
        <v>3</v>
      </c>
      <c r="G34" s="121"/>
      <c r="H34" s="114"/>
      <c r="I34" s="115"/>
    </row>
    <row r="35" spans="1:9" ht="21.6" thickBot="1" x14ac:dyDescent="0.45">
      <c r="A35" s="122" t="s">
        <v>2</v>
      </c>
      <c r="B35" s="123"/>
      <c r="C35" s="124"/>
      <c r="D35" s="70">
        <f>SUM(E10:E19)-D31</f>
        <v>20</v>
      </c>
      <c r="E35" s="71" t="s">
        <v>1</v>
      </c>
      <c r="F35" s="125"/>
      <c r="G35" s="125"/>
      <c r="H35" s="126"/>
      <c r="I35" s="127"/>
    </row>
    <row r="36" spans="1:9" ht="21.6" thickBot="1" x14ac:dyDescent="0.45">
      <c r="A36" s="128" t="s">
        <v>0</v>
      </c>
      <c r="B36" s="129"/>
      <c r="C36" s="129"/>
      <c r="D36" s="129"/>
      <c r="E36" s="129"/>
      <c r="F36" s="129"/>
      <c r="G36" s="129"/>
      <c r="H36" s="129"/>
      <c r="I36" s="130"/>
    </row>
    <row r="37" spans="1:9" ht="48" customHeight="1" x14ac:dyDescent="0.35">
      <c r="A37" s="131" t="s">
        <v>93</v>
      </c>
      <c r="B37" s="132"/>
      <c r="C37" s="133"/>
      <c r="D37" s="133"/>
      <c r="E37" s="133"/>
      <c r="F37" s="133"/>
      <c r="G37" s="133"/>
      <c r="H37" s="133"/>
      <c r="I37" s="134"/>
    </row>
    <row r="38" spans="1:9" ht="21" x14ac:dyDescent="0.4">
      <c r="A38" s="116" t="s">
        <v>94</v>
      </c>
      <c r="B38" s="117"/>
      <c r="C38" s="118"/>
      <c r="D38" s="118"/>
      <c r="E38" s="118"/>
      <c r="F38" s="118"/>
      <c r="G38" s="118"/>
      <c r="H38" s="118"/>
      <c r="I38" s="119"/>
    </row>
    <row r="39" spans="1:9" ht="20.399999999999999" x14ac:dyDescent="0.35">
      <c r="A39" s="131" t="s">
        <v>95</v>
      </c>
      <c r="B39" s="132"/>
      <c r="C39" s="133"/>
      <c r="D39" s="133"/>
      <c r="E39" s="133"/>
      <c r="F39" s="133"/>
      <c r="G39" s="133"/>
      <c r="H39" s="133"/>
      <c r="I39" s="134"/>
    </row>
    <row r="40" spans="1:9" ht="42" customHeight="1" x14ac:dyDescent="0.35">
      <c r="A40" s="136" t="s">
        <v>96</v>
      </c>
      <c r="B40" s="137"/>
      <c r="C40" s="137"/>
      <c r="D40" s="137"/>
      <c r="E40" s="137"/>
      <c r="F40" s="137"/>
      <c r="G40" s="137"/>
      <c r="H40" s="137"/>
      <c r="I40" s="138"/>
    </row>
    <row r="41" spans="1:9" ht="20.399999999999999" x14ac:dyDescent="0.35">
      <c r="A41" s="139"/>
      <c r="B41" s="140"/>
      <c r="C41" s="140"/>
      <c r="D41" s="140"/>
      <c r="E41" s="140"/>
      <c r="F41" s="140"/>
      <c r="G41" s="140"/>
      <c r="H41" s="140"/>
      <c r="I41" s="141"/>
    </row>
    <row r="42" spans="1:9" ht="21" x14ac:dyDescent="0.4">
      <c r="A42" s="142" t="s">
        <v>81</v>
      </c>
      <c r="B42" s="142"/>
      <c r="C42" s="142"/>
      <c r="D42" s="142"/>
      <c r="E42" s="142"/>
      <c r="F42" s="142"/>
      <c r="G42" s="142"/>
      <c r="H42" s="142"/>
      <c r="I42" s="142"/>
    </row>
    <row r="43" spans="1:9" ht="20.399999999999999" x14ac:dyDescent="0.35">
      <c r="A43" s="135" t="s">
        <v>86</v>
      </c>
      <c r="B43" s="135"/>
      <c r="C43" s="135"/>
      <c r="D43" s="135"/>
      <c r="E43" s="135"/>
      <c r="F43" s="135"/>
      <c r="G43" s="135"/>
      <c r="H43" s="135"/>
      <c r="I43" s="135"/>
    </row>
    <row r="44" spans="1:9" ht="20.399999999999999" x14ac:dyDescent="0.35">
      <c r="A44" s="135" t="s">
        <v>92</v>
      </c>
      <c r="B44" s="135"/>
      <c r="C44" s="135"/>
      <c r="D44" s="135"/>
      <c r="E44" s="135"/>
      <c r="F44" s="135"/>
      <c r="G44" s="135"/>
      <c r="H44" s="135"/>
      <c r="I44" s="135"/>
    </row>
    <row r="45" spans="1:9" ht="20.399999999999999" x14ac:dyDescent="0.35">
      <c r="A45" s="44"/>
      <c r="B45" s="44"/>
      <c r="C45" s="44"/>
      <c r="D45" s="44"/>
      <c r="E45" s="44"/>
      <c r="F45" s="44"/>
      <c r="G45" s="44"/>
      <c r="H45" s="44"/>
      <c r="I45" s="44"/>
    </row>
  </sheetData>
  <mergeCells count="41">
    <mergeCell ref="A44:I44"/>
    <mergeCell ref="A39:I39"/>
    <mergeCell ref="A40:I40"/>
    <mergeCell ref="A41:I41"/>
    <mergeCell ref="A42:I42"/>
    <mergeCell ref="A43:I43"/>
    <mergeCell ref="A38:I38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4D47BB2-C5F6-444A-BD55-E65851D690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DA176D-B0C7-4F88-BE58-C8CF36450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D42344-4C2B-4582-BFF9-5D82ADA70A0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2026-02-26T22:06:31Z</cp:lastPrinted>
  <dcterms:created xsi:type="dcterms:W3CDTF">2023-11-03T15:05:56Z</dcterms:created>
  <dcterms:modified xsi:type="dcterms:W3CDTF">2026-05-12T20:26:58Z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
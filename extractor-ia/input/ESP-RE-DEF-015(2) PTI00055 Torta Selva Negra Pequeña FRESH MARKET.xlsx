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4" documentId="8_{60342382-BC8D-4F82-85BB-FB8A0361AADA}" xr6:coauthVersionLast="47" xr6:coauthVersionMax="47" xr10:uidLastSave="{FF8EFAB2-97AB-4C09-A0A8-4126C8B74DB0}"/>
  <bookViews>
    <workbookView xWindow="-120" yWindow="-120" windowWidth="29040" windowHeight="15840" firstSheet="1" activeTab="1" xr2:uid="{DCCD215F-0924-4565-9F6B-7F66B55DDD73}"/>
  </bookViews>
  <sheets>
    <sheet name="REC ENSAMBLE" sheetId="7" state="hidden" r:id="rId1"/>
    <sheet name="Hoja1" sheetId="11" r:id="rId2"/>
    <sheet name="COSTEO " sheetId="8" state="hidden" r:id="rId3"/>
    <sheet name="PRECIO" sheetId="9" state="hidden" r:id="rId4"/>
  </sheets>
  <externalReferences>
    <externalReference r:id="rId5"/>
    <externalReference r:id="rId6"/>
    <externalReference r:id="rId7"/>
  </externalReferences>
  <definedNames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1" l="1"/>
  <c r="D6" i="9"/>
  <c r="F6" i="9"/>
  <c r="G6" i="9"/>
  <c r="D9" i="9"/>
  <c r="F9" i="9"/>
  <c r="G9" i="9"/>
  <c r="F11" i="9"/>
  <c r="G11" i="9"/>
  <c r="F12" i="9"/>
  <c r="G12" i="9"/>
  <c r="F13" i="9"/>
  <c r="G13" i="9"/>
  <c r="F15" i="9"/>
  <c r="G15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7" i="9"/>
  <c r="F28" i="9"/>
  <c r="F29" i="9"/>
  <c r="G29" i="9"/>
  <c r="H29" i="9"/>
  <c r="F30" i="9"/>
  <c r="F31" i="9"/>
  <c r="F32" i="9"/>
  <c r="F34" i="9"/>
  <c r="F35" i="9"/>
  <c r="E2" i="8"/>
  <c r="F2" i="8"/>
  <c r="G2" i="8"/>
  <c r="H2" i="8"/>
  <c r="H6" i="8"/>
  <c r="B8" i="8"/>
  <c r="C8" i="8"/>
  <c r="D8" i="8"/>
  <c r="E8" i="8"/>
  <c r="F8" i="8"/>
  <c r="G8" i="8"/>
  <c r="B9" i="8"/>
  <c r="C9" i="8"/>
  <c r="D9" i="8"/>
  <c r="E9" i="8"/>
  <c r="F9" i="8"/>
  <c r="G9" i="8"/>
  <c r="B10" i="8"/>
  <c r="C10" i="8"/>
  <c r="D10" i="8"/>
  <c r="E10" i="8"/>
  <c r="F10" i="8"/>
  <c r="G10" i="8"/>
  <c r="B11" i="8"/>
  <c r="C11" i="8"/>
  <c r="D11" i="8"/>
  <c r="E11" i="8"/>
  <c r="F11" i="8"/>
  <c r="G11" i="8"/>
  <c r="B12" i="8"/>
  <c r="C12" i="8"/>
  <c r="D12" i="8"/>
  <c r="E12" i="8"/>
  <c r="F12" i="8"/>
  <c r="G12" i="8"/>
  <c r="B13" i="8"/>
  <c r="C13" i="8"/>
  <c r="D13" i="8"/>
  <c r="E13" i="8"/>
  <c r="F13" i="8"/>
  <c r="G13" i="8"/>
  <c r="B14" i="8"/>
  <c r="C14" i="8"/>
  <c r="D14" i="8"/>
  <c r="E14" i="8"/>
  <c r="F14" i="8"/>
  <c r="G14" i="8"/>
  <c r="B15" i="8"/>
  <c r="B17" i="8"/>
  <c r="C17" i="8"/>
  <c r="D17" i="8"/>
  <c r="E17" i="8"/>
  <c r="F17" i="8"/>
  <c r="G17" i="8"/>
  <c r="C18" i="8"/>
  <c r="E18" i="8"/>
  <c r="F18" i="8"/>
  <c r="G18" i="8"/>
  <c r="B19" i="8"/>
  <c r="C19" i="8"/>
  <c r="D19" i="8"/>
  <c r="E19" i="8"/>
  <c r="F19" i="8"/>
  <c r="G19" i="8"/>
  <c r="B20" i="8"/>
  <c r="C20" i="8"/>
  <c r="D20" i="8"/>
  <c r="E20" i="8"/>
  <c r="F20" i="8"/>
  <c r="G20" i="8"/>
  <c r="B21" i="8"/>
  <c r="C21" i="8"/>
  <c r="D21" i="8"/>
  <c r="E21" i="8"/>
  <c r="F21" i="8"/>
  <c r="G21" i="8"/>
  <c r="B22" i="8"/>
  <c r="C22" i="8"/>
  <c r="D22" i="8"/>
  <c r="E22" i="8"/>
  <c r="F22" i="8"/>
  <c r="G22" i="8"/>
  <c r="B23" i="8"/>
  <c r="C23" i="8"/>
  <c r="D23" i="8"/>
  <c r="E23" i="8"/>
  <c r="F23" i="8"/>
  <c r="G23" i="8"/>
  <c r="C24" i="8"/>
  <c r="F24" i="8"/>
  <c r="G24" i="8"/>
  <c r="B27" i="8"/>
  <c r="C27" i="8"/>
  <c r="E27" i="8"/>
  <c r="F27" i="8"/>
  <c r="G27" i="8"/>
  <c r="B28" i="8"/>
  <c r="C28" i="8"/>
  <c r="E28" i="8"/>
  <c r="F28" i="8"/>
  <c r="G28" i="8"/>
  <c r="B29" i="8"/>
  <c r="C29" i="8"/>
  <c r="E29" i="8"/>
  <c r="F29" i="8"/>
  <c r="G29" i="8"/>
  <c r="C30" i="8"/>
  <c r="F30" i="8"/>
  <c r="G30" i="8"/>
  <c r="B31" i="8"/>
  <c r="C31" i="8"/>
  <c r="E31" i="8"/>
  <c r="F31" i="8"/>
  <c r="G31" i="8"/>
  <c r="B32" i="8"/>
  <c r="C32" i="8"/>
  <c r="E32" i="8"/>
  <c r="F32" i="8"/>
  <c r="G32" i="8"/>
  <c r="B33" i="8"/>
  <c r="C33" i="8"/>
  <c r="E33" i="8"/>
  <c r="F33" i="8"/>
  <c r="G33" i="8"/>
  <c r="C34" i="8"/>
  <c r="F34" i="8"/>
  <c r="G34" i="8"/>
  <c r="B35" i="8"/>
  <c r="C35" i="8"/>
  <c r="D35" i="8"/>
  <c r="E35" i="8"/>
  <c r="F35" i="8"/>
  <c r="G35" i="8"/>
  <c r="B36" i="8"/>
  <c r="C36" i="8"/>
  <c r="D36" i="8"/>
  <c r="E36" i="8"/>
  <c r="F36" i="8"/>
  <c r="G36" i="8"/>
  <c r="B39" i="8"/>
  <c r="C39" i="8"/>
  <c r="D39" i="8"/>
  <c r="E39" i="8"/>
  <c r="F39" i="8"/>
  <c r="G39" i="8"/>
  <c r="A40" i="8"/>
  <c r="C40" i="8"/>
  <c r="E40" i="8"/>
  <c r="F40" i="8"/>
  <c r="G40" i="8"/>
  <c r="A41" i="8"/>
  <c r="B41" i="8"/>
  <c r="C41" i="8"/>
  <c r="D41" i="8"/>
  <c r="E41" i="8"/>
  <c r="F41" i="8"/>
  <c r="G41" i="8"/>
  <c r="A42" i="8"/>
  <c r="B42" i="8"/>
  <c r="C42" i="8"/>
  <c r="D42" i="8"/>
  <c r="E42" i="8"/>
  <c r="F42" i="8"/>
  <c r="G42" i="8"/>
  <c r="A43" i="8"/>
  <c r="B43" i="8"/>
  <c r="C43" i="8"/>
  <c r="D43" i="8"/>
  <c r="E43" i="8"/>
  <c r="F43" i="8"/>
  <c r="G43" i="8"/>
  <c r="A44" i="8"/>
  <c r="B44" i="8"/>
  <c r="C44" i="8"/>
  <c r="D44" i="8"/>
  <c r="E44" i="8"/>
  <c r="F44" i="8"/>
  <c r="G44" i="8"/>
  <c r="A45" i="8"/>
  <c r="B45" i="8"/>
  <c r="C45" i="8"/>
  <c r="D45" i="8"/>
  <c r="E45" i="8"/>
  <c r="F45" i="8"/>
  <c r="G45" i="8"/>
  <c r="A46" i="8"/>
  <c r="B46" i="8"/>
  <c r="C46" i="8"/>
  <c r="D46" i="8"/>
  <c r="E46" i="8"/>
  <c r="F46" i="8"/>
  <c r="G46" i="8"/>
  <c r="A49" i="8"/>
  <c r="B49" i="8"/>
  <c r="C49" i="8"/>
  <c r="D49" i="8"/>
  <c r="E49" i="8"/>
  <c r="F49" i="8"/>
  <c r="G49" i="8"/>
  <c r="A50" i="8"/>
  <c r="C50" i="8"/>
  <c r="E50" i="8"/>
  <c r="F50" i="8"/>
  <c r="G50" i="8"/>
  <c r="A51" i="8"/>
  <c r="B51" i="8"/>
  <c r="C51" i="8"/>
  <c r="D51" i="8"/>
  <c r="E51" i="8"/>
  <c r="F51" i="8"/>
  <c r="G51" i="8"/>
  <c r="A52" i="8"/>
  <c r="B52" i="8"/>
  <c r="C52" i="8"/>
  <c r="D52" i="8"/>
  <c r="E52" i="8"/>
  <c r="F52" i="8"/>
  <c r="G52" i="8"/>
  <c r="A53" i="8"/>
  <c r="B53" i="8"/>
  <c r="C53" i="8"/>
  <c r="D53" i="8"/>
  <c r="E53" i="8"/>
  <c r="F53" i="8"/>
  <c r="G53" i="8"/>
  <c r="A54" i="8"/>
  <c r="B54" i="8"/>
  <c r="C54" i="8"/>
  <c r="D54" i="8"/>
  <c r="E54" i="8"/>
  <c r="F54" i="8"/>
  <c r="G54" i="8"/>
  <c r="A55" i="8"/>
  <c r="B55" i="8"/>
  <c r="C55" i="8"/>
  <c r="D55" i="8"/>
  <c r="E55" i="8"/>
  <c r="F55" i="8"/>
  <c r="G55" i="8"/>
  <c r="A56" i="8"/>
  <c r="B56" i="8"/>
  <c r="C56" i="8"/>
  <c r="D56" i="8"/>
  <c r="E56" i="8"/>
  <c r="F56" i="8"/>
  <c r="G56" i="8"/>
  <c r="C57" i="8"/>
  <c r="E57" i="8"/>
  <c r="F57" i="8"/>
  <c r="G57" i="8"/>
  <c r="F59" i="8"/>
  <c r="G59" i="8"/>
  <c r="H59" i="8"/>
  <c r="F60" i="8"/>
  <c r="G60" i="8"/>
  <c r="H60" i="8"/>
  <c r="O60" i="8"/>
  <c r="F61" i="8"/>
  <c r="G61" i="8"/>
  <c r="H61" i="8"/>
  <c r="O61" i="8"/>
  <c r="F62" i="8"/>
  <c r="G62" i="8"/>
  <c r="H62" i="8"/>
  <c r="O62" i="8"/>
  <c r="O63" i="8"/>
  <c r="O64" i="8"/>
  <c r="O65" i="8"/>
  <c r="D66" i="8"/>
  <c r="O66" i="8"/>
  <c r="O67" i="8"/>
  <c r="O68" i="8"/>
  <c r="P68" i="8"/>
  <c r="E69" i="8"/>
  <c r="F69" i="8"/>
  <c r="G69" i="8"/>
  <c r="F70" i="8"/>
  <c r="G70" i="8"/>
  <c r="F71" i="8"/>
  <c r="G71" i="8"/>
  <c r="F72" i="8"/>
  <c r="G72" i="8"/>
  <c r="C75" i="8"/>
  <c r="D75" i="8"/>
  <c r="E75" i="8"/>
  <c r="C77" i="8"/>
  <c r="D77" i="8"/>
  <c r="E77" i="8"/>
  <c r="C79" i="8"/>
  <c r="D79" i="8"/>
  <c r="E79" i="8"/>
  <c r="C80" i="8"/>
  <c r="D80" i="8"/>
  <c r="E80" i="8"/>
  <c r="C82" i="8"/>
  <c r="D82" i="8"/>
  <c r="E82" i="8"/>
  <c r="E84" i="8"/>
  <c r="C87" i="8"/>
  <c r="D87" i="8"/>
  <c r="E87" i="8"/>
  <c r="C89" i="8"/>
  <c r="D89" i="8"/>
  <c r="E89" i="8"/>
  <c r="C91" i="8"/>
  <c r="D91" i="8"/>
  <c r="E91" i="8"/>
  <c r="C92" i="8"/>
  <c r="D92" i="8"/>
  <c r="E92" i="8"/>
  <c r="E38" i="7"/>
</calcChain>
</file>

<file path=xl/sharedStrings.xml><?xml version="1.0" encoding="utf-8"?>
<sst xmlns="http://schemas.openxmlformats.org/spreadsheetml/2006/main" count="456" uniqueCount="233">
  <si>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</si>
  <si>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</si>
  <si>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</si>
  <si>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</si>
  <si>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</si>
  <si>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</si>
  <si>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</si>
  <si>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</si>
  <si>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</si>
  <si>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taza</t>
  </si>
  <si>
    <t>TIEMPO TOTAL DE PREPARACION</t>
  </si>
  <si>
    <t>PESO TOTAL OBTENIDO</t>
  </si>
  <si>
    <t>MERMA</t>
  </si>
  <si>
    <t>EMPAQUE</t>
  </si>
  <si>
    <t>g</t>
  </si>
  <si>
    <t>Unidad</t>
  </si>
  <si>
    <t>PROCEDIMIENTO DE PREPARACION DE LA  RECETA</t>
  </si>
  <si>
    <t>Otros</t>
  </si>
  <si>
    <t>PESO DE CADA PORCIÓN</t>
  </si>
  <si>
    <t>Temperatura de Horneo:</t>
  </si>
  <si>
    <t>CANTIDAD DE PORCIONES OBTENIDAS</t>
  </si>
  <si>
    <t>Horno:</t>
  </si>
  <si>
    <t>Tiempo de Horneo:</t>
  </si>
  <si>
    <t>DECORACIÓN</t>
  </si>
  <si>
    <t>ENSAMBLE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</si>
  <si>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</si>
  <si>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</si>
  <si>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</si>
  <si>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</si>
  <si>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</si>
  <si>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</si>
  <si>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</si>
  <si>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Etiplast</t>
  </si>
  <si>
    <t>Cemusa</t>
  </si>
  <si>
    <t>95717</t>
  </si>
  <si>
    <t>CREMA CHANTILLY BLANCA (SPOON-IND)(21.01 Kg)</t>
  </si>
  <si>
    <t>Nestle</t>
  </si>
  <si>
    <t>MANJAR DE LECHE CONDENSADA ( 4.5 KG )</t>
  </si>
  <si>
    <t>1112431</t>
  </si>
  <si>
    <t>Control de cambios</t>
  </si>
  <si>
    <t>0702123</t>
  </si>
  <si>
    <t>ETIQUETA BLANCA 2 5/8X1 15/16</t>
  </si>
  <si>
    <t>ud</t>
  </si>
  <si>
    <t>min</t>
  </si>
  <si>
    <t>CINTA ADHESIVA TRANSPARENT 2*100 M (UND)</t>
  </si>
  <si>
    <t>cm</t>
  </si>
  <si>
    <t>FAS</t>
  </si>
  <si>
    <t xml:space="preserve">908000021 </t>
  </si>
  <si>
    <t>ALMIBAR (KILO)</t>
  </si>
  <si>
    <t>904000002</t>
  </si>
  <si>
    <t>SALSA FRESA KILO</t>
  </si>
  <si>
    <t>910000019</t>
  </si>
  <si>
    <t>CREMA BLANCA C/GALLETA CHOCO (KILO)</t>
  </si>
  <si>
    <t>10900060</t>
  </si>
  <si>
    <t>CEREZA ROJA C/TALLO MARASCH (UND:GALON)</t>
  </si>
  <si>
    <t>910000009</t>
  </si>
  <si>
    <t>CHOCOLATE LECHE RALLADO (KILO)</t>
  </si>
  <si>
    <t>MARASCH</t>
  </si>
  <si>
    <t>908000032</t>
  </si>
  <si>
    <t>GANACHE CHOCOLATE OSCURO (KILO)</t>
  </si>
  <si>
    <t>Cuadricula con 6 líneas de c/lado</t>
  </si>
  <si>
    <t>Estuardo</t>
  </si>
  <si>
    <t>Exp pmt</t>
  </si>
  <si>
    <t>0702007</t>
  </si>
  <si>
    <t>ETIQ.FECHA VENCIMIENTO BLANCO (ROLLO)</t>
  </si>
  <si>
    <t>701096</t>
  </si>
  <si>
    <t>ETIQUETA BLANCA R-153 (UND)</t>
  </si>
  <si>
    <t>0702168</t>
  </si>
  <si>
    <t>ETIQUETA FAMOSO PAN FRESH MARKET (UND)</t>
  </si>
  <si>
    <t>Enmanuel Madrigal, Chef</t>
  </si>
  <si>
    <t>Jeffry Rodriguez, Gerente de manufactura</t>
  </si>
  <si>
    <t>907000117</t>
  </si>
  <si>
    <t>ROSQUETE CHOCOLATE BUCCA 280 g</t>
  </si>
  <si>
    <t>1/4 Taza</t>
  </si>
  <si>
    <t>Para dos medios rsoquetes</t>
  </si>
  <si>
    <t>1 Unidades Enteras</t>
  </si>
  <si>
    <t>1950865</t>
  </si>
  <si>
    <t>QUEQUERA 8 ALTA (70 U)</t>
  </si>
  <si>
    <t>1950808</t>
  </si>
  <si>
    <t>ORLA CARTON  8" DORADA (100 * PAQ )</t>
  </si>
  <si>
    <t>1 cdita</t>
  </si>
  <si>
    <t>2.- Sobre la primera tapa colocar manjar.</t>
  </si>
  <si>
    <t>5.- Hacer una cuadrícula con 6 líneas en cada lado de ganache oscuro.</t>
  </si>
  <si>
    <t>6.-Colocar una cereza en el centro del pastel y distribuir la ralladura de chocolate en la parte interna de los colochos.</t>
  </si>
  <si>
    <t>1.- Partir cada rosquete por la mitad, utilizar 1 1/2 unidad. Bañar dos medios rosquetes con almíbar BASE Y TAPA</t>
  </si>
  <si>
    <t>3.- En otra tapa adicionar la salsa de fresa y la crema. Tapar. Colocar sobra la orla.</t>
  </si>
  <si>
    <t>Colochos, boquilla #22 Arteco</t>
  </si>
  <si>
    <t>4.- Encremar la torta y pasar el peine por los costados, hacer colochos con la manga usando la boquilla #22 Arteco</t>
  </si>
  <si>
    <t>7.- Colocar la torta en su domo. Etiquetar con Nombre, ingredientes, código, etiqueta FreshMarket, día juliano, fecha de vencimiento.</t>
  </si>
  <si>
    <t>AREA QUE PRODUCE:</t>
  </si>
  <si>
    <t xml:space="preserve">AREA QUE EMPACA: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</si>
  <si>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</si>
  <si>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</si>
  <si>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</si>
  <si>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</si>
  <si>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</si>
  <si>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</si>
  <si>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</si>
  <si>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</si>
  <si>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</si>
  <si>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</si>
  <si>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</si>
  <si>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</si>
  <si>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</si>
  <si>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</si>
  <si>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903000039</t>
  </si>
  <si>
    <t>Gramo</t>
  </si>
  <si>
    <t>UND</t>
  </si>
  <si>
    <t>703020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</si>
  <si>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</si>
  <si>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</si>
  <si>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</si>
  <si>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</si>
  <si>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</si>
  <si>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</si>
  <si>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</si>
  <si>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</si>
  <si>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</si>
  <si>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</si>
  <si>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</si>
  <si>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</si>
  <si>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</si>
  <si>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</si>
  <si>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</si>
  <si>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</si>
  <si>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</si>
  <si>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</si>
  <si>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BOLSA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</si>
  <si>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</si>
  <si>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</si>
  <si>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</si>
  <si>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</si>
  <si>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</si>
  <si>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</si>
  <si>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</si>
  <si>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</si>
  <si>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</si>
  <si>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</si>
  <si>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</si>
  <si>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</si>
  <si>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</si>
  <si>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</si>
  <si>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</si>
  <si>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</si>
  <si>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</si>
  <si>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</si>
  <si>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</si>
  <si>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</si>
  <si>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</si>
  <si>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</si>
  <si>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</si>
  <si>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</si>
  <si>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</si>
  <si>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</si>
  <si>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</si>
  <si>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</si>
  <si>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</si>
  <si>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</si>
  <si>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</si>
  <si>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</si>
  <si>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</si>
  <si>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</si>
  <si>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</si>
  <si>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</si>
  <si>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</si>
  <si>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</si>
  <si>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</si>
  <si>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</si>
  <si>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</si>
  <si>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</si>
  <si>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TORTA SELVA NEGRA PEQ FM</t>
  </si>
  <si>
    <t>MP</t>
  </si>
  <si>
    <t>EMP</t>
  </si>
  <si>
    <t>51400016</t>
  </si>
  <si>
    <t>MO</t>
  </si>
  <si>
    <t>GIF</t>
  </si>
  <si>
    <t>Esteban Cartin, Gte Manufactura</t>
  </si>
  <si>
    <t>TROZOS DE CHOCOLATE LECHE</t>
  </si>
  <si>
    <t>CHOCOLATE SOLUTIONS</t>
  </si>
  <si>
    <t>4.- Encremar la torta y pasar el peine por los costados</t>
  </si>
  <si>
    <t>6.-Hacer hilos sobre toda la torta.</t>
  </si>
  <si>
    <t>Gramos</t>
  </si>
  <si>
    <t>NUEVO</t>
  </si>
  <si>
    <t>51400017</t>
  </si>
  <si>
    <t>ORLA CARTON  8" BUCCA (100 * PAQ )</t>
  </si>
  <si>
    <t>RAPIBOX</t>
  </si>
  <si>
    <t># Codigo Netsuite</t>
  </si>
  <si>
    <t>NetSuiteCode</t>
  </si>
  <si>
    <t>SE00025</t>
  </si>
  <si>
    <t>SE00010</t>
  </si>
  <si>
    <t>SE00081</t>
  </si>
  <si>
    <t>MP10109</t>
  </si>
  <si>
    <t>SE00001</t>
  </si>
  <si>
    <t>EM10025</t>
  </si>
  <si>
    <t>EM10124</t>
  </si>
  <si>
    <t>EM10248</t>
  </si>
  <si>
    <t>30300179(PTI00055)(PTI00055) Torta Selva Negra Pequeña FRESH MARKET</t>
  </si>
  <si>
    <t># Código Netsuite</t>
  </si>
  <si>
    <t>MP10007</t>
  </si>
  <si>
    <t>SE00005</t>
  </si>
  <si>
    <t>MP10384</t>
  </si>
  <si>
    <t>EM10086</t>
  </si>
  <si>
    <t>EM10011</t>
  </si>
  <si>
    <t>EM10021</t>
  </si>
  <si>
    <t>5.-Colcocar 40 g de trozos de chocolate, clavados en toda la supericie de la torta.</t>
  </si>
  <si>
    <t>EM10002</t>
  </si>
  <si>
    <t xml:space="preserve"> PTI00055 Torta Selva Negra Pequeña FRESH MARKET</t>
  </si>
  <si>
    <t>SE00080</t>
  </si>
  <si>
    <t>908000021</t>
  </si>
  <si>
    <t>ALMIBAR KILO</t>
  </si>
  <si>
    <t>CREMA CHANTILLY BLANCA</t>
  </si>
  <si>
    <t>MANJAR LECHE CONDENSADA (PAQ: 6 K)</t>
  </si>
  <si>
    <t>NESTLE</t>
  </si>
  <si>
    <t>7.- Colocar la torta en su domo. Etiquetar con Nombre, ingredientes, código, Lote , fecha de vencimiento.</t>
  </si>
  <si>
    <t>Javier Tong, Chef</t>
  </si>
  <si>
    <t>Decoración</t>
  </si>
  <si>
    <t>Ensamble</t>
  </si>
  <si>
    <t>ROSQUETE CHOCOLATE 240 grs BUCCA</t>
  </si>
  <si>
    <t>1 1/2 ROSQUETE</t>
  </si>
  <si>
    <t>2 CAPAS</t>
  </si>
  <si>
    <t>1/4 TAZA</t>
  </si>
  <si>
    <t>GANACHE CHOCOLATE OSCURO</t>
  </si>
  <si>
    <t>Empaque</t>
  </si>
  <si>
    <t>QUEQUERA RED C/BASE ALTA 9"</t>
  </si>
  <si>
    <t>GRACOPACK</t>
  </si>
  <si>
    <t>ETIQ.BLANCA 1 1/4 * 3/4</t>
  </si>
  <si>
    <t>ETIPLAST</t>
  </si>
  <si>
    <t>CEMUSA</t>
  </si>
  <si>
    <t>CONTROL DE CAMBIOS</t>
  </si>
  <si>
    <t>ESP-RE-DEF-015</t>
  </si>
  <si>
    <t>1/3 TAZA</t>
  </si>
  <si>
    <t xml:space="preserve">2, Se actualizan datos recetas y pesos finales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</si>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</sst>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"/>
    <numFmt numFmtId="168" formatCode="0.000"/>
    <numFmt numFmtId="169" formatCode="[$-409]d\-mmm\-yy;@"/>
    <numFmt numFmtId="170" formatCode="_-* #,##0.0\ _€_-;\-* #,##0.0\ _€_-;_-* &quot;-&quot;??\ _€_-;_-@_-"/>
    <numFmt numFmtId="171" formatCode="0.0%"/>
    <numFmt numFmtId="172" formatCode="_(* #,##0.000_);_(* \(#,##0.000\);_(* &quot;-&quot;??_);_(@_)"/>
  </numFmts>
  <fonts count="6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9.85"/>
      <color indexed="8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indexed="8"/>
      <name val="Times New Roman"/>
      <family val="1"/>
    </font>
    <font>
      <sz val="14"/>
      <color indexed="8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0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54" fillId="0" borderId="0"/>
    <xf numFmtId="0" fontId="1" fillId="0" borderId="0"/>
    <xf numFmtId="0" fontId="54" fillId="0" borderId="0"/>
    <xf numFmtId="0" fontId="54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4">
    <xf numFmtId="0" fontId="0" fillId="0" borderId="0" xfId="0"/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0" fontId="7" fillId="2" borderId="0" xfId="0" applyFont="1" applyFill="1"/>
    <xf numFmtId="0" fontId="7" fillId="2" borderId="0" xfId="0" applyFont="1" applyFill="1" applyAlignment="1">
      <alignment horizontal="left" indent="1"/>
    </xf>
    <xf numFmtId="0" fontId="7" fillId="0" borderId="2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9" fontId="7" fillId="2" borderId="0" xfId="45" applyFont="1" applyFill="1"/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/>
    <xf numFmtId="168" fontId="7" fillId="3" borderId="6" xfId="0" applyNumberFormat="1" applyFont="1" applyFill="1" applyBorder="1" applyAlignment="1">
      <alignment horizontal="center" wrapText="1"/>
    </xf>
    <xf numFmtId="1" fontId="9" fillId="3" borderId="6" xfId="0" applyNumberFormat="1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168" fontId="7" fillId="2" borderId="0" xfId="0" applyNumberFormat="1" applyFont="1" applyFill="1" applyAlignment="1">
      <alignment horizontal="center" wrapText="1"/>
    </xf>
    <xf numFmtId="1" fontId="7" fillId="2" borderId="0" xfId="0" applyNumberFormat="1" applyFont="1" applyFill="1" applyAlignment="1">
      <alignment horizontal="center"/>
    </xf>
    <xf numFmtId="49" fontId="8" fillId="2" borderId="9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1" xfId="0" applyFont="1" applyBorder="1"/>
    <xf numFmtId="12" fontId="3" fillId="0" borderId="1" xfId="0" applyNumberFormat="1" applyFont="1" applyBorder="1"/>
    <xf numFmtId="0" fontId="3" fillId="0" borderId="11" xfId="0" applyFont="1" applyBorder="1" applyAlignment="1">
      <alignment horizontal="center"/>
    </xf>
    <xf numFmtId="0" fontId="9" fillId="9" borderId="10" xfId="0" applyFont="1" applyFill="1" applyBorder="1" applyAlignment="1">
      <alignment horizontal="center"/>
    </xf>
    <xf numFmtId="0" fontId="7" fillId="0" borderId="1" xfId="0" applyFont="1" applyBorder="1"/>
    <xf numFmtId="1" fontId="5" fillId="0" borderId="4" xfId="0" applyNumberFormat="1" applyFont="1" applyBorder="1" applyAlignment="1">
      <alignment horizontal="center" wrapText="1"/>
    </xf>
    <xf numFmtId="49" fontId="7" fillId="2" borderId="10" xfId="42" applyNumberFormat="1" applyFont="1" applyFill="1" applyBorder="1" applyAlignment="1">
      <alignment horizontal="center"/>
    </xf>
    <xf numFmtId="0" fontId="9" fillId="2" borderId="1" xfId="42" applyFont="1" applyFill="1" applyBorder="1" applyAlignment="1">
      <alignment horizontal="right"/>
    </xf>
    <xf numFmtId="0" fontId="7" fillId="2" borderId="12" xfId="42" applyFont="1" applyFill="1" applyBorder="1" applyAlignment="1">
      <alignment horizontal="center"/>
    </xf>
    <xf numFmtId="0" fontId="9" fillId="2" borderId="13" xfId="42" applyFont="1" applyFill="1" applyBorder="1" applyAlignment="1">
      <alignment horizontal="right"/>
    </xf>
    <xf numFmtId="12" fontId="3" fillId="0" borderId="14" xfId="0" applyNumberFormat="1" applyFont="1" applyBorder="1"/>
    <xf numFmtId="1" fontId="7" fillId="0" borderId="14" xfId="0" applyNumberFormat="1" applyFont="1" applyBorder="1" applyAlignment="1">
      <alignment horizontal="center"/>
    </xf>
    <xf numFmtId="0" fontId="3" fillId="0" borderId="15" xfId="0" applyFont="1" applyBorder="1"/>
    <xf numFmtId="1" fontId="5" fillId="0" borderId="1" xfId="0" applyNumberFormat="1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" fontId="5" fillId="0" borderId="1" xfId="36" applyNumberFormat="1" applyFont="1" applyBorder="1" applyAlignment="1">
      <alignment horizontal="center" vertical="center" wrapText="1"/>
    </xf>
    <xf numFmtId="0" fontId="54" fillId="0" borderId="4" xfId="40" applyBorder="1" applyAlignment="1">
      <alignment horizontal="center"/>
    </xf>
    <xf numFmtId="0" fontId="54" fillId="0" borderId="1" xfId="40" applyBorder="1" applyAlignment="1">
      <alignment horizontal="center"/>
    </xf>
    <xf numFmtId="1" fontId="5" fillId="0" borderId="1" xfId="36" applyNumberFormat="1" applyFont="1" applyBorder="1" applyAlignment="1">
      <alignment horizontal="center" vertical="center"/>
    </xf>
    <xf numFmtId="0" fontId="1" fillId="0" borderId="1" xfId="36" applyBorder="1" applyAlignment="1">
      <alignment horizontal="center"/>
    </xf>
    <xf numFmtId="1" fontId="14" fillId="3" borderId="2" xfId="36" applyNumberFormat="1" applyFont="1" applyFill="1" applyBorder="1" applyAlignment="1">
      <alignment horizontal="center" vertical="center"/>
    </xf>
    <xf numFmtId="0" fontId="0" fillId="0" borderId="1" xfId="40" applyFont="1" applyBorder="1" applyAlignment="1">
      <alignment horizontal="center"/>
    </xf>
    <xf numFmtId="49" fontId="4" fillId="0" borderId="16" xfId="0" applyNumberFormat="1" applyFont="1" applyBorder="1"/>
    <xf numFmtId="0" fontId="14" fillId="3" borderId="17" xfId="36" applyFont="1" applyFill="1" applyBorder="1" applyAlignment="1">
      <alignment horizontal="center" vertical="center"/>
    </xf>
    <xf numFmtId="1" fontId="14" fillId="3" borderId="2" xfId="36" applyNumberFormat="1" applyFont="1" applyFill="1" applyBorder="1" applyAlignment="1">
      <alignment horizontal="center" vertical="center" wrapText="1"/>
    </xf>
    <xf numFmtId="0" fontId="14" fillId="3" borderId="12" xfId="36" applyFont="1" applyFill="1" applyBorder="1" applyAlignment="1">
      <alignment horizontal="center" vertical="center" wrapText="1"/>
    </xf>
    <xf numFmtId="49" fontId="5" fillId="0" borderId="18" xfId="36" applyNumberFormat="1" applyFont="1" applyBorder="1" applyAlignment="1">
      <alignment horizontal="center"/>
    </xf>
    <xf numFmtId="49" fontId="4" fillId="0" borderId="1" xfId="36" applyNumberFormat="1" applyFont="1" applyBorder="1"/>
    <xf numFmtId="0" fontId="7" fillId="2" borderId="4" xfId="42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7" fillId="2" borderId="19" xfId="43" applyFont="1" applyFill="1" applyBorder="1" applyAlignment="1">
      <alignment horizontal="left" vertical="center"/>
    </xf>
    <xf numFmtId="0" fontId="7" fillId="2" borderId="0" xfId="43" applyFont="1" applyFill="1" applyAlignment="1">
      <alignment horizontal="left" vertical="center"/>
    </xf>
    <xf numFmtId="0" fontId="7" fillId="2" borderId="20" xfId="43" applyFont="1" applyFill="1" applyBorder="1" applyAlignment="1">
      <alignment horizontal="left" vertical="center"/>
    </xf>
    <xf numFmtId="0" fontId="7" fillId="2" borderId="2" xfId="42" applyFont="1" applyFill="1" applyBorder="1" applyAlignment="1">
      <alignment horizontal="right" vertical="center"/>
    </xf>
    <xf numFmtId="14" fontId="55" fillId="2" borderId="5" xfId="43" applyNumberFormat="1" applyFont="1" applyFill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6" fontId="16" fillId="0" borderId="1" xfId="1" applyFont="1" applyFill="1" applyBorder="1" applyAlignment="1">
      <alignment horizontal="center" vertical="center"/>
    </xf>
    <xf numFmtId="166" fontId="16" fillId="0" borderId="0" xfId="1" applyFont="1" applyFill="1" applyBorder="1" applyAlignment="1">
      <alignment horizontal="center" vertical="center"/>
    </xf>
    <xf numFmtId="166" fontId="18" fillId="0" borderId="0" xfId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9" fontId="21" fillId="0" borderId="0" xfId="0" applyNumberFormat="1" applyFont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 wrapText="1"/>
    </xf>
    <xf numFmtId="0" fontId="16" fillId="4" borderId="2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/>
    </xf>
    <xf numFmtId="4" fontId="22" fillId="0" borderId="0" xfId="2" applyNumberFormat="1" applyFont="1" applyFill="1" applyAlignment="1">
      <alignment horizontal="center" vertical="center"/>
    </xf>
    <xf numFmtId="4" fontId="16" fillId="0" borderId="0" xfId="2" applyNumberFormat="1" applyFont="1" applyFill="1" applyAlignment="1">
      <alignment horizontal="center" vertical="center"/>
    </xf>
    <xf numFmtId="10" fontId="16" fillId="0" borderId="0" xfId="45" applyNumberFormat="1" applyFont="1" applyFill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10" fontId="17" fillId="0" borderId="0" xfId="45" applyNumberFormat="1" applyFont="1" applyFill="1" applyAlignment="1">
      <alignment vertical="center"/>
    </xf>
    <xf numFmtId="0" fontId="4" fillId="0" borderId="0" xfId="0" applyFont="1"/>
    <xf numFmtId="49" fontId="16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9" fontId="2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4" fontId="16" fillId="0" borderId="0" xfId="1" applyNumberFormat="1" applyFont="1" applyFill="1" applyAlignment="1">
      <alignment vertical="center"/>
    </xf>
    <xf numFmtId="166" fontId="24" fillId="0" borderId="0" xfId="1" applyFont="1" applyFill="1" applyAlignment="1">
      <alignment horizontal="center" vertical="center"/>
    </xf>
    <xf numFmtId="10" fontId="17" fillId="4" borderId="24" xfId="45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24" xfId="0" applyFont="1" applyFill="1" applyBorder="1" applyAlignment="1">
      <alignment vertical="center"/>
    </xf>
    <xf numFmtId="166" fontId="24" fillId="4" borderId="25" xfId="1" applyFont="1" applyFill="1" applyBorder="1" applyAlignment="1">
      <alignment horizontal="center" vertical="center"/>
    </xf>
    <xf numFmtId="166" fontId="26" fillId="0" borderId="0" xfId="1" applyFont="1" applyFill="1" applyBorder="1" applyAlignment="1">
      <alignment horizontal="right"/>
    </xf>
    <xf numFmtId="0" fontId="4" fillId="4" borderId="25" xfId="0" applyFont="1" applyFill="1" applyBorder="1" applyAlignment="1">
      <alignment vertical="center"/>
    </xf>
    <xf numFmtId="10" fontId="17" fillId="4" borderId="25" xfId="45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9" fontId="56" fillId="0" borderId="0" xfId="45" applyFont="1" applyFill="1" applyAlignment="1">
      <alignment horizontal="center"/>
    </xf>
    <xf numFmtId="0" fontId="24" fillId="0" borderId="0" xfId="0" applyFont="1" applyAlignment="1">
      <alignment horizontal="right" vertical="center"/>
    </xf>
    <xf numFmtId="4" fontId="24" fillId="0" borderId="0" xfId="1" applyNumberFormat="1" applyFont="1" applyFill="1" applyAlignment="1">
      <alignment vertical="center"/>
    </xf>
    <xf numFmtId="4" fontId="24" fillId="0" borderId="0" xfId="2" applyNumberFormat="1" applyFont="1" applyAlignment="1">
      <alignment horizontal="center" vertical="center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8" fillId="0" borderId="8" xfId="0" applyFont="1" applyBorder="1" applyAlignment="1">
      <alignment horizontal="right"/>
    </xf>
    <xf numFmtId="166" fontId="29" fillId="5" borderId="26" xfId="1" applyFont="1" applyFill="1" applyBorder="1" applyAlignment="1">
      <alignment horizontal="right"/>
    </xf>
    <xf numFmtId="166" fontId="29" fillId="0" borderId="0" xfId="1" applyFont="1" applyFill="1" applyBorder="1" applyAlignment="1">
      <alignment horizontal="right"/>
    </xf>
    <xf numFmtId="166" fontId="16" fillId="0" borderId="1" xfId="1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4" fontId="24" fillId="0" borderId="0" xfId="2" applyNumberFormat="1" applyFont="1" applyFill="1" applyAlignment="1">
      <alignment horizontal="center" vertical="center"/>
    </xf>
    <xf numFmtId="10" fontId="31" fillId="0" borderId="0" xfId="45" applyNumberFormat="1" applyFont="1" applyFill="1" applyAlignment="1">
      <alignment horizontal="right"/>
    </xf>
    <xf numFmtId="170" fontId="16" fillId="4" borderId="1" xfId="1" applyNumberFormat="1" applyFont="1" applyFill="1" applyBorder="1" applyAlignment="1">
      <alignment vertical="center"/>
    </xf>
    <xf numFmtId="4" fontId="4" fillId="0" borderId="0" xfId="0" applyNumberFormat="1" applyFont="1" applyAlignment="1">
      <alignment horizontal="center" vertical="center"/>
    </xf>
    <xf numFmtId="166" fontId="16" fillId="6" borderId="1" xfId="1" applyFont="1" applyFill="1" applyBorder="1" applyAlignment="1">
      <alignment vertical="center"/>
    </xf>
    <xf numFmtId="166" fontId="32" fillId="0" borderId="0" xfId="0" applyNumberFormat="1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17" fillId="4" borderId="27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2" fontId="31" fillId="0" borderId="0" xfId="1" applyNumberFormat="1" applyFont="1" applyFill="1" applyBorder="1" applyAlignment="1">
      <alignment horizontal="center"/>
    </xf>
    <xf numFmtId="2" fontId="28" fillId="0" borderId="0" xfId="1" applyNumberFormat="1" applyFont="1" applyFill="1" applyBorder="1" applyAlignment="1">
      <alignment horizontal="center"/>
    </xf>
    <xf numFmtId="0" fontId="4" fillId="4" borderId="27" xfId="0" applyFont="1" applyFill="1" applyBorder="1" applyAlignment="1">
      <alignment vertical="center"/>
    </xf>
    <xf numFmtId="10" fontId="4" fillId="0" borderId="0" xfId="45" applyNumberFormat="1" applyFont="1" applyFill="1" applyAlignment="1">
      <alignment vertical="center"/>
    </xf>
    <xf numFmtId="4" fontId="4" fillId="0" borderId="0" xfId="1" applyNumberFormat="1" applyFont="1" applyFill="1" applyAlignment="1">
      <alignment vertical="center"/>
    </xf>
    <xf numFmtId="166" fontId="29" fillId="4" borderId="6" xfId="1" applyFont="1" applyFill="1" applyBorder="1" applyAlignment="1">
      <alignment horizontal="right"/>
    </xf>
    <xf numFmtId="0" fontId="16" fillId="4" borderId="5" xfId="0" applyFont="1" applyFill="1" applyBorder="1" applyAlignment="1">
      <alignment horizontal="right" vertical="center"/>
    </xf>
    <xf numFmtId="10" fontId="35" fillId="0" borderId="0" xfId="1" applyNumberFormat="1" applyFont="1" applyFill="1" applyAlignment="1">
      <alignment vertical="center"/>
    </xf>
    <xf numFmtId="10" fontId="17" fillId="0" borderId="0" xfId="45" applyNumberFormat="1" applyFont="1" applyFill="1" applyBorder="1" applyAlignment="1">
      <alignment vertical="center"/>
    </xf>
    <xf numFmtId="166" fontId="36" fillId="0" borderId="0" xfId="0" applyNumberFormat="1" applyFont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166" fontId="37" fillId="0" borderId="0" xfId="1" applyFont="1" applyFill="1" applyAlignment="1">
      <alignment vertical="center"/>
    </xf>
    <xf numFmtId="4" fontId="38" fillId="0" borderId="0" xfId="2" applyNumberFormat="1" applyFont="1" applyFill="1" applyAlignment="1">
      <alignment horizontal="center" vertical="center" wrapText="1"/>
    </xf>
    <xf numFmtId="166" fontId="4" fillId="0" borderId="0" xfId="1" applyFont="1" applyFill="1" applyAlignment="1">
      <alignment vertical="center"/>
    </xf>
    <xf numFmtId="9" fontId="4" fillId="0" borderId="0" xfId="1" applyNumberFormat="1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4" fontId="23" fillId="0" borderId="0" xfId="1" applyNumberFormat="1" applyFont="1" applyFill="1" applyAlignment="1">
      <alignment vertical="center"/>
    </xf>
    <xf numFmtId="4" fontId="16" fillId="7" borderId="26" xfId="1" applyNumberFormat="1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166" fontId="39" fillId="0" borderId="0" xfId="1" applyFont="1" applyFill="1" applyAlignment="1">
      <alignment vertical="center"/>
    </xf>
    <xf numFmtId="9" fontId="39" fillId="0" borderId="0" xfId="1" applyNumberFormat="1" applyFont="1" applyFill="1" applyAlignment="1">
      <alignment vertical="center"/>
    </xf>
    <xf numFmtId="4" fontId="16" fillId="0" borderId="0" xfId="1" applyNumberFormat="1" applyFont="1" applyFill="1" applyAlignment="1">
      <alignment horizontal="center" vertical="center"/>
    </xf>
    <xf numFmtId="10" fontId="32" fillId="0" borderId="0" xfId="45" applyNumberFormat="1" applyFont="1" applyFill="1" applyAlignment="1">
      <alignment vertical="center"/>
    </xf>
    <xf numFmtId="166" fontId="32" fillId="0" borderId="0" xfId="1" applyFont="1" applyFill="1" applyBorder="1" applyAlignment="1">
      <alignment vertical="center"/>
    </xf>
    <xf numFmtId="4" fontId="4" fillId="0" borderId="0" xfId="0" applyNumberFormat="1" applyFont="1" applyAlignment="1">
      <alignment horizontal="center"/>
    </xf>
    <xf numFmtId="166" fontId="4" fillId="0" borderId="0" xfId="1" applyFont="1" applyFill="1" applyBorder="1"/>
    <xf numFmtId="10" fontId="32" fillId="0" borderId="0" xfId="45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166" fontId="4" fillId="0" borderId="0" xfId="1" applyFont="1" applyFill="1" applyBorder="1" applyAlignment="1">
      <alignment horizontal="center"/>
    </xf>
    <xf numFmtId="9" fontId="42" fillId="0" borderId="0" xfId="0" applyNumberFormat="1" applyFont="1" applyAlignment="1">
      <alignment horizontal="left"/>
    </xf>
    <xf numFmtId="4" fontId="16" fillId="0" borderId="0" xfId="0" applyNumberFormat="1" applyFont="1" applyAlignment="1">
      <alignment horizontal="center"/>
    </xf>
    <xf numFmtId="166" fontId="16" fillId="0" borderId="0" xfId="0" applyNumberFormat="1" applyFont="1"/>
    <xf numFmtId="0" fontId="30" fillId="0" borderId="0" xfId="0" applyFont="1"/>
    <xf numFmtId="0" fontId="13" fillId="0" borderId="28" xfId="0" applyFont="1" applyBorder="1" applyAlignment="1">
      <alignment horizontal="center" vertical="center" wrapText="1"/>
    </xf>
    <xf numFmtId="0" fontId="44" fillId="5" borderId="1" xfId="0" applyFont="1" applyFill="1" applyBorder="1" applyAlignment="1">
      <alignment horizontal="center"/>
    </xf>
    <xf numFmtId="0" fontId="44" fillId="5" borderId="1" xfId="0" applyFont="1" applyFill="1" applyBorder="1" applyAlignment="1">
      <alignment horizontal="center" wrapText="1"/>
    </xf>
    <xf numFmtId="0" fontId="29" fillId="0" borderId="0" xfId="0" applyFont="1"/>
    <xf numFmtId="0" fontId="29" fillId="0" borderId="0" xfId="0" applyFont="1" applyAlignment="1">
      <alignment horizontal="center"/>
    </xf>
    <xf numFmtId="166" fontId="29" fillId="0" borderId="0" xfId="1" applyFont="1"/>
    <xf numFmtId="4" fontId="29" fillId="0" borderId="0" xfId="1" applyNumberFormat="1" applyFont="1" applyAlignment="1">
      <alignment horizontal="right"/>
    </xf>
    <xf numFmtId="9" fontId="29" fillId="0" borderId="0" xfId="44" applyFont="1" applyAlignment="1">
      <alignment horizontal="right"/>
    </xf>
    <xf numFmtId="49" fontId="29" fillId="0" borderId="0" xfId="2" applyNumberFormat="1" applyFont="1" applyAlignment="1">
      <alignment horizontal="center"/>
    </xf>
    <xf numFmtId="0" fontId="26" fillId="0" borderId="0" xfId="0" applyFont="1"/>
    <xf numFmtId="166" fontId="45" fillId="0" borderId="0" xfId="1" applyFont="1" applyFill="1" applyBorder="1" applyAlignment="1">
      <alignment horizontal="center"/>
    </xf>
    <xf numFmtId="0" fontId="45" fillId="0" borderId="0" xfId="0" applyFont="1"/>
    <xf numFmtId="4" fontId="45" fillId="0" borderId="0" xfId="2" applyNumberFormat="1" applyFont="1" applyFill="1" applyBorder="1"/>
    <xf numFmtId="4" fontId="45" fillId="0" borderId="0" xfId="2" applyNumberFormat="1" applyFont="1" applyFill="1" applyBorder="1" applyAlignment="1">
      <alignment horizontal="right"/>
    </xf>
    <xf numFmtId="9" fontId="27" fillId="0" borderId="0" xfId="44" applyFont="1" applyFill="1"/>
    <xf numFmtId="49" fontId="45" fillId="0" borderId="0" xfId="2" applyNumberFormat="1" applyFont="1" applyFill="1" applyBorder="1" applyAlignment="1">
      <alignment horizontal="center"/>
    </xf>
    <xf numFmtId="9" fontId="29" fillId="0" borderId="0" xfId="44" applyFont="1" applyFill="1" applyAlignment="1">
      <alignment vertical="center"/>
    </xf>
    <xf numFmtId="166" fontId="26" fillId="0" borderId="29" xfId="1" applyFont="1" applyFill="1" applyBorder="1" applyAlignment="1">
      <alignment horizontal="right"/>
    </xf>
    <xf numFmtId="9" fontId="27" fillId="0" borderId="0" xfId="1" applyNumberFormat="1" applyFont="1" applyFill="1" applyBorder="1"/>
    <xf numFmtId="4" fontId="27" fillId="0" borderId="0" xfId="1" applyNumberFormat="1" applyFont="1" applyFill="1" applyBorder="1" applyAlignment="1">
      <alignment horizontal="right"/>
    </xf>
    <xf numFmtId="10" fontId="26" fillId="0" borderId="0" xfId="44" applyNumberFormat="1" applyFont="1" applyFill="1" applyAlignment="1">
      <alignment horizontal="right"/>
    </xf>
    <xf numFmtId="0" fontId="27" fillId="0" borderId="0" xfId="0" applyFont="1" applyAlignment="1">
      <alignment horizontal="center"/>
    </xf>
    <xf numFmtId="10" fontId="29" fillId="0" borderId="0" xfId="44" applyNumberFormat="1" applyFont="1" applyFill="1" applyBorder="1" applyAlignment="1">
      <alignment horizontal="right"/>
    </xf>
    <xf numFmtId="171" fontId="31" fillId="0" borderId="0" xfId="1" applyNumberFormat="1" applyFont="1" applyFill="1"/>
    <xf numFmtId="0" fontId="29" fillId="0" borderId="0" xfId="44" applyNumberFormat="1" applyFont="1" applyFill="1" applyAlignment="1">
      <alignment vertical="center"/>
    </xf>
    <xf numFmtId="10" fontId="31" fillId="0" borderId="0" xfId="44" applyNumberFormat="1" applyFont="1" applyFill="1" applyAlignment="1">
      <alignment horizontal="right"/>
    </xf>
    <xf numFmtId="2" fontId="27" fillId="0" borderId="0" xfId="0" applyNumberFormat="1" applyFont="1" applyAlignment="1">
      <alignment horizontal="center"/>
    </xf>
    <xf numFmtId="0" fontId="46" fillId="0" borderId="0" xfId="0" applyFont="1" applyAlignment="1">
      <alignment horizontal="right"/>
    </xf>
    <xf numFmtId="10" fontId="29" fillId="0" borderId="0" xfId="44" applyNumberFormat="1" applyFont="1" applyFill="1"/>
    <xf numFmtId="0" fontId="26" fillId="4" borderId="6" xfId="0" applyFont="1" applyFill="1" applyBorder="1"/>
    <xf numFmtId="0" fontId="26" fillId="0" borderId="30" xfId="0" applyFont="1" applyBorder="1" applyAlignment="1">
      <alignment horizontal="right"/>
    </xf>
    <xf numFmtId="10" fontId="28" fillId="0" borderId="0" xfId="44" applyNumberFormat="1" applyFont="1" applyFill="1" applyBorder="1"/>
    <xf numFmtId="166" fontId="29" fillId="9" borderId="0" xfId="1" applyFont="1" applyFill="1" applyBorder="1" applyAlignment="1">
      <alignment horizontal="right"/>
    </xf>
    <xf numFmtId="10" fontId="29" fillId="0" borderId="0" xfId="44" applyNumberFormat="1" applyFont="1" applyFill="1" applyAlignment="1">
      <alignment vertical="center"/>
    </xf>
    <xf numFmtId="9" fontId="27" fillId="0" borderId="0" xfId="44" applyFont="1" applyFill="1" applyAlignment="1">
      <alignment horizontal="center"/>
    </xf>
    <xf numFmtId="2" fontId="48" fillId="0" borderId="0" xfId="0" applyNumberFormat="1" applyFont="1" applyAlignment="1">
      <alignment horizontal="center"/>
    </xf>
    <xf numFmtId="10" fontId="50" fillId="0" borderId="0" xfId="44" applyNumberFormat="1" applyFont="1" applyFill="1" applyAlignment="1">
      <alignment horizontal="right"/>
    </xf>
    <xf numFmtId="3" fontId="29" fillId="3" borderId="26" xfId="0" applyNumberFormat="1" applyFont="1" applyFill="1" applyBorder="1" applyAlignment="1">
      <alignment horizontal="center"/>
    </xf>
    <xf numFmtId="10" fontId="28" fillId="0" borderId="0" xfId="44" applyNumberFormat="1" applyFont="1" applyFill="1" applyAlignment="1">
      <alignment horizontal="right"/>
    </xf>
    <xf numFmtId="1" fontId="28" fillId="0" borderId="0" xfId="0" applyNumberFormat="1" applyFont="1" applyAlignment="1">
      <alignment horizontal="center"/>
    </xf>
    <xf numFmtId="166" fontId="31" fillId="0" borderId="0" xfId="0" applyNumberFormat="1" applyFont="1" applyAlignment="1">
      <alignment horizontal="right"/>
    </xf>
    <xf numFmtId="10" fontId="28" fillId="0" borderId="0" xfId="44" applyNumberFormat="1" applyFont="1" applyFill="1"/>
    <xf numFmtId="0" fontId="26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10" fontId="51" fillId="0" borderId="0" xfId="44" applyNumberFormat="1" applyFont="1" applyFill="1"/>
    <xf numFmtId="0" fontId="52" fillId="0" borderId="0" xfId="0" applyFont="1" applyAlignment="1">
      <alignment horizontal="center"/>
    </xf>
    <xf numFmtId="10" fontId="49" fillId="11" borderId="0" xfId="44" applyNumberFormat="1" applyFont="1" applyFill="1" applyAlignment="1">
      <alignment horizontal="right"/>
    </xf>
    <xf numFmtId="166" fontId="26" fillId="11" borderId="0" xfId="1" applyFont="1" applyFill="1" applyBorder="1" applyAlignment="1">
      <alignment horizontal="right"/>
    </xf>
    <xf numFmtId="0" fontId="54" fillId="0" borderId="1" xfId="40" applyBorder="1" applyAlignment="1">
      <alignment horizontal="left"/>
    </xf>
    <xf numFmtId="0" fontId="54" fillId="0" borderId="4" xfId="40" applyBorder="1" applyAlignment="1">
      <alignment horizontal="left"/>
    </xf>
    <xf numFmtId="1" fontId="5" fillId="0" borderId="4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vertical="center"/>
    </xf>
    <xf numFmtId="49" fontId="10" fillId="0" borderId="1" xfId="0" applyNumberFormat="1" applyFont="1" applyBorder="1"/>
    <xf numFmtId="16" fontId="3" fillId="0" borderId="3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6" fontId="5" fillId="0" borderId="1" xfId="0" applyNumberFormat="1" applyFont="1" applyBorder="1" applyAlignment="1">
      <alignment horizontal="center"/>
    </xf>
    <xf numFmtId="49" fontId="7" fillId="0" borderId="31" xfId="0" applyNumberFormat="1" applyFont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16" fontId="5" fillId="0" borderId="32" xfId="0" applyNumberFormat="1" applyFont="1" applyBorder="1" applyAlignment="1">
      <alignment horizontal="center"/>
    </xf>
    <xf numFmtId="49" fontId="5" fillId="0" borderId="31" xfId="0" applyNumberFormat="1" applyFont="1" applyBorder="1" applyAlignment="1">
      <alignment horizontal="center"/>
    </xf>
    <xf numFmtId="16" fontId="5" fillId="0" borderId="33" xfId="0" applyNumberFormat="1" applyFont="1" applyBorder="1" applyAlignment="1">
      <alignment horizontal="center"/>
    </xf>
    <xf numFmtId="0" fontId="53" fillId="0" borderId="1" xfId="40" applyFont="1" applyBorder="1" applyAlignment="1">
      <alignment horizontal="center" vertical="center"/>
    </xf>
    <xf numFmtId="4" fontId="4" fillId="0" borderId="0" xfId="0" applyNumberFormat="1" applyFont="1" applyAlignment="1">
      <alignment vertical="center"/>
    </xf>
    <xf numFmtId="166" fontId="4" fillId="0" borderId="0" xfId="1" applyFont="1" applyAlignment="1">
      <alignment vertical="center"/>
    </xf>
    <xf numFmtId="166" fontId="4" fillId="0" borderId="0" xfId="0" applyNumberFormat="1" applyFont="1" applyAlignment="1">
      <alignment vertical="center"/>
    </xf>
    <xf numFmtId="2" fontId="22" fillId="12" borderId="0" xfId="0" applyNumberFormat="1" applyFont="1" applyFill="1" applyAlignment="1">
      <alignment horizontal="center"/>
    </xf>
    <xf numFmtId="0" fontId="4" fillId="12" borderId="0" xfId="0" applyFont="1" applyFill="1" applyAlignment="1">
      <alignment vertical="center"/>
    </xf>
    <xf numFmtId="0" fontId="25" fillId="0" borderId="0" xfId="0" applyFont="1"/>
    <xf numFmtId="9" fontId="25" fillId="0" borderId="0" xfId="0" applyNumberFormat="1" applyFont="1"/>
    <xf numFmtId="0" fontId="7" fillId="2" borderId="9" xfId="42" applyFont="1" applyFill="1" applyBorder="1" applyAlignment="1">
      <alignment horizontal="center"/>
    </xf>
    <xf numFmtId="0" fontId="7" fillId="2" borderId="34" xfId="42" applyFont="1" applyFill="1" applyBorder="1" applyAlignment="1">
      <alignment horizontal="center"/>
    </xf>
    <xf numFmtId="0" fontId="7" fillId="2" borderId="20" xfId="42" applyFont="1" applyFill="1" applyBorder="1" applyAlignment="1">
      <alignment horizontal="center"/>
    </xf>
    <xf numFmtId="0" fontId="7" fillId="2" borderId="35" xfId="42" applyFont="1" applyFill="1" applyBorder="1" applyAlignment="1">
      <alignment horizontal="center"/>
    </xf>
    <xf numFmtId="49" fontId="5" fillId="0" borderId="36" xfId="0" applyNumberFormat="1" applyFont="1" applyBorder="1" applyAlignment="1">
      <alignment horizontal="center"/>
    </xf>
    <xf numFmtId="49" fontId="5" fillId="0" borderId="37" xfId="0" applyNumberFormat="1" applyFont="1" applyBorder="1" applyAlignment="1">
      <alignment horizontal="center"/>
    </xf>
    <xf numFmtId="49" fontId="6" fillId="0" borderId="36" xfId="0" applyNumberFormat="1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right"/>
    </xf>
    <xf numFmtId="49" fontId="5" fillId="0" borderId="32" xfId="36" applyNumberFormat="1" applyFont="1" applyBorder="1" applyAlignment="1">
      <alignment horizontal="center"/>
    </xf>
    <xf numFmtId="49" fontId="8" fillId="2" borderId="0" xfId="0" applyNumberFormat="1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3" fillId="0" borderId="18" xfId="36" applyFont="1" applyBorder="1" applyAlignment="1">
      <alignment horizontal="left"/>
    </xf>
    <xf numFmtId="0" fontId="3" fillId="0" borderId="32" xfId="36" applyFont="1" applyBorder="1" applyAlignment="1">
      <alignment horizontal="left"/>
    </xf>
    <xf numFmtId="0" fontId="3" fillId="0" borderId="1" xfId="36" applyFont="1" applyBorder="1" applyAlignment="1">
      <alignment horizontal="left"/>
    </xf>
    <xf numFmtId="0" fontId="3" fillId="0" borderId="10" xfId="36" applyFont="1" applyBorder="1" applyAlignment="1">
      <alignment horizontal="left"/>
    </xf>
    <xf numFmtId="0" fontId="3" fillId="0" borderId="54" xfId="36" applyFont="1" applyBorder="1" applyAlignment="1">
      <alignment horizontal="left"/>
    </xf>
    <xf numFmtId="0" fontId="3" fillId="0" borderId="34" xfId="36" applyFont="1" applyBorder="1" applyAlignment="1">
      <alignment horizontal="left"/>
    </xf>
    <xf numFmtId="0" fontId="3" fillId="0" borderId="38" xfId="36" applyFont="1" applyBorder="1" applyAlignment="1">
      <alignment horizontal="left"/>
    </xf>
    <xf numFmtId="0" fontId="3" fillId="0" borderId="57" xfId="36" applyFont="1" applyBorder="1" applyAlignment="1">
      <alignment horizontal="left"/>
    </xf>
    <xf numFmtId="1" fontId="13" fillId="0" borderId="14" xfId="0" applyNumberFormat="1" applyFont="1" applyBorder="1" applyAlignment="1">
      <alignment horizontal="center"/>
    </xf>
    <xf numFmtId="1" fontId="13" fillId="0" borderId="32" xfId="0" applyNumberFormat="1" applyFont="1" applyBorder="1" applyAlignment="1">
      <alignment horizontal="center"/>
    </xf>
    <xf numFmtId="168" fontId="7" fillId="0" borderId="14" xfId="0" applyNumberFormat="1" applyFont="1" applyBorder="1" applyAlignment="1">
      <alignment horizontal="center"/>
    </xf>
    <xf numFmtId="168" fontId="7" fillId="0" borderId="15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9" fillId="3" borderId="7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12" fontId="13" fillId="0" borderId="14" xfId="0" applyNumberFormat="1" applyFont="1" applyBorder="1" applyAlignment="1">
      <alignment horizontal="center"/>
    </xf>
    <xf numFmtId="12" fontId="13" fillId="0" borderId="32" xfId="0" applyNumberFormat="1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168" fontId="7" fillId="0" borderId="14" xfId="0" applyNumberFormat="1" applyFont="1" applyBorder="1" applyAlignment="1">
      <alignment horizontal="right" wrapText="1"/>
    </xf>
    <xf numFmtId="168" fontId="7" fillId="0" borderId="32" xfId="0" applyNumberFormat="1" applyFont="1" applyBorder="1" applyAlignment="1">
      <alignment horizontal="right" wrapText="1"/>
    </xf>
    <xf numFmtId="0" fontId="9" fillId="0" borderId="31" xfId="0" applyFont="1" applyBorder="1" applyAlignment="1">
      <alignment horizontal="right"/>
    </xf>
    <xf numFmtId="0" fontId="9" fillId="0" borderId="36" xfId="0" applyFont="1" applyBorder="1" applyAlignment="1">
      <alignment horizontal="right"/>
    </xf>
    <xf numFmtId="0" fontId="9" fillId="0" borderId="32" xfId="0" applyFont="1" applyBorder="1" applyAlignment="1">
      <alignment horizontal="right"/>
    </xf>
    <xf numFmtId="0" fontId="9" fillId="0" borderId="40" xfId="0" applyFont="1" applyBorder="1" applyAlignment="1">
      <alignment horizontal="right"/>
    </xf>
    <xf numFmtId="0" fontId="9" fillId="0" borderId="41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168" fontId="7" fillId="0" borderId="4" xfId="0" applyNumberFormat="1" applyFont="1" applyBorder="1" applyAlignment="1">
      <alignment horizontal="right"/>
    </xf>
    <xf numFmtId="0" fontId="9" fillId="0" borderId="53" xfId="0" applyFont="1" applyBorder="1" applyAlignment="1">
      <alignment horizontal="right"/>
    </xf>
    <xf numFmtId="0" fontId="9" fillId="0" borderId="28" xfId="0" applyFont="1" applyBorder="1" applyAlignment="1">
      <alignment horizontal="right"/>
    </xf>
    <xf numFmtId="0" fontId="9" fillId="0" borderId="33" xfId="0" applyFont="1" applyBorder="1" applyAlignment="1">
      <alignment horizontal="right"/>
    </xf>
    <xf numFmtId="0" fontId="7" fillId="2" borderId="54" xfId="42" applyFont="1" applyFill="1" applyBorder="1" applyAlignment="1">
      <alignment horizontal="center"/>
    </xf>
    <xf numFmtId="0" fontId="7" fillId="2" borderId="55" xfId="42" applyFont="1" applyFill="1" applyBorder="1" applyAlignment="1">
      <alignment horizontal="center"/>
    </xf>
    <xf numFmtId="0" fontId="7" fillId="2" borderId="9" xfId="42" applyFont="1" applyFill="1" applyBorder="1" applyAlignment="1">
      <alignment horizontal="center"/>
    </xf>
    <xf numFmtId="0" fontId="7" fillId="2" borderId="56" xfId="42" applyFont="1" applyFill="1" applyBorder="1" applyAlignment="1">
      <alignment horizontal="center"/>
    </xf>
    <xf numFmtId="0" fontId="55" fillId="2" borderId="6" xfId="43" applyFont="1" applyFill="1" applyBorder="1" applyAlignment="1">
      <alignment horizontal="center" vertical="center"/>
    </xf>
    <xf numFmtId="0" fontId="14" fillId="3" borderId="13" xfId="36" applyFont="1" applyFill="1" applyBorder="1" applyAlignment="1">
      <alignment horizontal="center" vertical="center"/>
    </xf>
    <xf numFmtId="0" fontId="14" fillId="3" borderId="2" xfId="36" applyFont="1" applyFill="1" applyBorder="1" applyAlignment="1">
      <alignment horizontal="center" vertical="center"/>
    </xf>
    <xf numFmtId="0" fontId="14" fillId="3" borderId="47" xfId="36" applyFont="1" applyFill="1" applyBorder="1" applyAlignment="1">
      <alignment horizontal="center" vertical="center"/>
    </xf>
    <xf numFmtId="0" fontId="14" fillId="3" borderId="40" xfId="36" applyFont="1" applyFill="1" applyBorder="1" applyAlignment="1">
      <alignment horizontal="center" vertical="center"/>
    </xf>
    <xf numFmtId="0" fontId="12" fillId="2" borderId="16" xfId="42" applyFont="1" applyFill="1" applyBorder="1" applyAlignment="1">
      <alignment horizontal="center"/>
    </xf>
    <xf numFmtId="0" fontId="9" fillId="2" borderId="37" xfId="42" applyFont="1" applyFill="1" applyBorder="1" applyAlignment="1">
      <alignment horizontal="right" vertical="top" wrapText="1"/>
    </xf>
    <xf numFmtId="0" fontId="9" fillId="2" borderId="20" xfId="42" applyFont="1" applyFill="1" applyBorder="1" applyAlignment="1">
      <alignment horizontal="right" vertical="top" wrapText="1"/>
    </xf>
    <xf numFmtId="0" fontId="9" fillId="2" borderId="35" xfId="42" applyFont="1" applyFill="1" applyBorder="1" applyAlignment="1">
      <alignment horizontal="right" vertical="top" wrapText="1"/>
    </xf>
    <xf numFmtId="0" fontId="15" fillId="2" borderId="6" xfId="43" applyFont="1" applyFill="1" applyBorder="1" applyAlignment="1">
      <alignment vertical="center"/>
    </xf>
    <xf numFmtId="0" fontId="7" fillId="2" borderId="50" xfId="43" applyFont="1" applyFill="1" applyBorder="1" applyAlignment="1">
      <alignment horizontal="left" vertical="center"/>
    </xf>
    <xf numFmtId="0" fontId="7" fillId="2" borderId="51" xfId="43" applyFont="1" applyFill="1" applyBorder="1" applyAlignment="1">
      <alignment horizontal="left" vertical="center"/>
    </xf>
    <xf numFmtId="0" fontId="7" fillId="2" borderId="52" xfId="43" applyFont="1" applyFill="1" applyBorder="1" applyAlignment="1">
      <alignment horizontal="left" vertical="center"/>
    </xf>
    <xf numFmtId="0" fontId="14" fillId="3" borderId="38" xfId="36" applyFont="1" applyFill="1" applyBorder="1" applyAlignment="1">
      <alignment horizontal="center" vertical="center"/>
    </xf>
    <xf numFmtId="0" fontId="14" fillId="3" borderId="39" xfId="36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4" fontId="7" fillId="2" borderId="43" xfId="42" applyNumberFormat="1" applyFont="1" applyFill="1" applyBorder="1" applyAlignment="1">
      <alignment horizontal="center" vertical="center" wrapText="1"/>
    </xf>
    <xf numFmtId="14" fontId="7" fillId="2" borderId="48" xfId="42" applyNumberFormat="1" applyFont="1" applyFill="1" applyBorder="1" applyAlignment="1">
      <alignment horizontal="center" vertical="center" wrapText="1"/>
    </xf>
    <xf numFmtId="14" fontId="7" fillId="2" borderId="49" xfId="42" applyNumberFormat="1" applyFont="1" applyFill="1" applyBorder="1" applyAlignment="1">
      <alignment horizontal="center" vertical="center" wrapText="1"/>
    </xf>
    <xf numFmtId="0" fontId="15" fillId="2" borderId="7" xfId="43" applyFont="1" applyFill="1" applyBorder="1" applyAlignment="1">
      <alignment horizontal="right" vertical="center"/>
    </xf>
    <xf numFmtId="0" fontId="15" fillId="2" borderId="6" xfId="43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left" vertical="center"/>
    </xf>
    <xf numFmtId="0" fontId="7" fillId="0" borderId="42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43" xfId="0" applyFont="1" applyBorder="1" applyAlignment="1">
      <alignment horizontal="left"/>
    </xf>
    <xf numFmtId="0" fontId="12" fillId="2" borderId="13" xfId="42" applyFont="1" applyFill="1" applyBorder="1" applyAlignment="1">
      <alignment horizontal="center"/>
    </xf>
    <xf numFmtId="0" fontId="11" fillId="5" borderId="7" xfId="42" applyFont="1" applyFill="1" applyBorder="1" applyAlignment="1">
      <alignment horizontal="center" vertical="center" wrapText="1"/>
    </xf>
    <xf numFmtId="0" fontId="11" fillId="5" borderId="6" xfId="42" applyFont="1" applyFill="1" applyBorder="1" applyAlignment="1">
      <alignment horizontal="center" vertical="center" wrapText="1"/>
    </xf>
    <xf numFmtId="0" fontId="11" fillId="5" borderId="5" xfId="42" applyFont="1" applyFill="1" applyBorder="1" applyAlignment="1">
      <alignment horizontal="center" vertical="center" wrapText="1"/>
    </xf>
    <xf numFmtId="0" fontId="7" fillId="2" borderId="44" xfId="43" applyFont="1" applyFill="1" applyBorder="1" applyAlignment="1">
      <alignment horizontal="left" vertical="center"/>
    </xf>
    <xf numFmtId="0" fontId="7" fillId="2" borderId="45" xfId="43" applyFont="1" applyFill="1" applyBorder="1" applyAlignment="1">
      <alignment horizontal="left" vertical="center"/>
    </xf>
    <xf numFmtId="0" fontId="7" fillId="2" borderId="41" xfId="43" applyFont="1" applyFill="1" applyBorder="1" applyAlignment="1">
      <alignment horizontal="left" vertical="center"/>
    </xf>
    <xf numFmtId="168" fontId="7" fillId="0" borderId="44" xfId="0" applyNumberFormat="1" applyFont="1" applyBorder="1" applyAlignment="1">
      <alignment horizontal="center"/>
    </xf>
    <xf numFmtId="168" fontId="7" fillId="0" borderId="46" xfId="0" applyNumberFormat="1" applyFont="1" applyBorder="1" applyAlignment="1">
      <alignment horizontal="center"/>
    </xf>
    <xf numFmtId="0" fontId="11" fillId="5" borderId="21" xfId="42" applyFont="1" applyFill="1" applyBorder="1" applyAlignment="1">
      <alignment horizontal="center" vertical="center" wrapText="1"/>
    </xf>
    <xf numFmtId="0" fontId="11" fillId="5" borderId="22" xfId="42" applyFont="1" applyFill="1" applyBorder="1" applyAlignment="1">
      <alignment horizontal="center" vertical="center" wrapText="1"/>
    </xf>
    <xf numFmtId="0" fontId="11" fillId="5" borderId="23" xfId="42" applyFont="1" applyFill="1" applyBorder="1" applyAlignment="1">
      <alignment horizontal="center" vertical="center" wrapText="1"/>
    </xf>
    <xf numFmtId="0" fontId="15" fillId="2" borderId="0" xfId="43" applyFont="1" applyFill="1" applyAlignment="1">
      <alignment horizontal="right"/>
    </xf>
    <xf numFmtId="0" fontId="15" fillId="2" borderId="0" xfId="43" applyFont="1" applyFill="1"/>
    <xf numFmtId="0" fontId="16" fillId="0" borderId="0" xfId="0" applyFont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right" vertical="center" wrapText="1"/>
    </xf>
    <xf numFmtId="0" fontId="16" fillId="0" borderId="0" xfId="0" applyFont="1" applyAlignment="1">
      <alignment horizontal="right" vertical="center"/>
    </xf>
    <xf numFmtId="0" fontId="40" fillId="0" borderId="7" xfId="0" applyFont="1" applyBorder="1" applyAlignment="1">
      <alignment horizontal="right" vertical="center"/>
    </xf>
    <xf numFmtId="0" fontId="40" fillId="0" borderId="6" xfId="0" applyFont="1" applyBorder="1" applyAlignment="1">
      <alignment horizontal="right" vertical="center"/>
    </xf>
    <xf numFmtId="0" fontId="40" fillId="0" borderId="5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25" fillId="0" borderId="58" xfId="0" applyFont="1" applyBorder="1" applyAlignment="1">
      <alignment horizontal="right"/>
    </xf>
    <xf numFmtId="0" fontId="25" fillId="0" borderId="59" xfId="0" applyFont="1" applyBorder="1" applyAlignment="1">
      <alignment horizontal="right"/>
    </xf>
    <xf numFmtId="0" fontId="31" fillId="0" borderId="30" xfId="0" applyFont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29" fillId="4" borderId="7" xfId="0" applyFont="1" applyFill="1" applyBorder="1" applyAlignment="1">
      <alignment horizontal="right"/>
    </xf>
    <xf numFmtId="0" fontId="29" fillId="4" borderId="6" xfId="0" applyFont="1" applyFill="1" applyBorder="1" applyAlignment="1">
      <alignment horizontal="right"/>
    </xf>
    <xf numFmtId="0" fontId="4" fillId="0" borderId="0" xfId="0" applyFont="1" applyAlignment="1">
      <alignment horizontal="right" vertical="center"/>
    </xf>
    <xf numFmtId="0" fontId="25" fillId="0" borderId="0" xfId="0" applyFont="1" applyAlignment="1">
      <alignment horizontal="right"/>
    </xf>
    <xf numFmtId="0" fontId="32" fillId="0" borderId="1" xfId="0" applyFont="1" applyBorder="1" applyAlignment="1">
      <alignment horizontal="right" vertical="center"/>
    </xf>
    <xf numFmtId="0" fontId="33" fillId="0" borderId="9" xfId="0" applyFont="1" applyBorder="1" applyAlignment="1">
      <alignment horizontal="right"/>
    </xf>
    <xf numFmtId="0" fontId="33" fillId="0" borderId="0" xfId="0" applyFont="1" applyAlignment="1">
      <alignment horizontal="right"/>
    </xf>
    <xf numFmtId="0" fontId="33" fillId="0" borderId="8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16" fillId="0" borderId="30" xfId="0" applyFont="1" applyBorder="1" applyAlignment="1">
      <alignment horizontal="right" vertical="center"/>
    </xf>
    <xf numFmtId="0" fontId="16" fillId="0" borderId="60" xfId="0" applyFont="1" applyBorder="1" applyAlignment="1">
      <alignment horizontal="right" vertical="center"/>
    </xf>
    <xf numFmtId="0" fontId="16" fillId="8" borderId="7" xfId="0" applyFont="1" applyFill="1" applyBorder="1" applyAlignment="1">
      <alignment horizontal="right" vertical="center"/>
    </xf>
    <xf numFmtId="0" fontId="16" fillId="8" borderId="6" xfId="0" applyFont="1" applyFill="1" applyBorder="1" applyAlignment="1">
      <alignment horizontal="right" vertical="center"/>
    </xf>
    <xf numFmtId="0" fontId="16" fillId="8" borderId="5" xfId="0" applyFont="1" applyFill="1" applyBorder="1" applyAlignment="1">
      <alignment horizontal="right" vertical="center"/>
    </xf>
    <xf numFmtId="4" fontId="38" fillId="0" borderId="0" xfId="2" applyNumberFormat="1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43" fillId="0" borderId="7" xfId="0" applyFont="1" applyBorder="1" applyAlignment="1">
      <alignment horizontal="center"/>
    </xf>
    <xf numFmtId="0" fontId="43" fillId="0" borderId="6" xfId="0" applyFont="1" applyBorder="1" applyAlignment="1">
      <alignment horizontal="center"/>
    </xf>
    <xf numFmtId="0" fontId="43" fillId="0" borderId="5" xfId="0" applyFont="1" applyBorder="1" applyAlignment="1">
      <alignment horizontal="center"/>
    </xf>
    <xf numFmtId="0" fontId="43" fillId="0" borderId="61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right" vertical="center" wrapText="1"/>
    </xf>
    <xf numFmtId="0" fontId="28" fillId="0" borderId="0" xfId="0" applyFont="1" applyAlignment="1">
      <alignment horizontal="right"/>
    </xf>
    <xf numFmtId="0" fontId="28" fillId="0" borderId="8" xfId="0" applyFont="1" applyBorder="1" applyAlignment="1">
      <alignment horizontal="right"/>
    </xf>
    <xf numFmtId="0" fontId="26" fillId="4" borderId="7" xfId="0" applyFont="1" applyFill="1" applyBorder="1" applyAlignment="1">
      <alignment horizontal="center"/>
    </xf>
    <xf numFmtId="0" fontId="26" fillId="4" borderId="6" xfId="0" applyFont="1" applyFill="1" applyBorder="1" applyAlignment="1">
      <alignment horizontal="center"/>
    </xf>
    <xf numFmtId="0" fontId="47" fillId="0" borderId="59" xfId="0" applyFont="1" applyBorder="1" applyAlignment="1">
      <alignment horizontal="right"/>
    </xf>
    <xf numFmtId="0" fontId="47" fillId="0" borderId="0" xfId="0" applyFont="1" applyAlignment="1">
      <alignment horizontal="right"/>
    </xf>
    <xf numFmtId="0" fontId="13" fillId="4" borderId="7" xfId="0" applyFont="1" applyFill="1" applyBorder="1" applyAlignment="1">
      <alignment horizontal="right"/>
    </xf>
    <xf numFmtId="0" fontId="13" fillId="4" borderId="6" xfId="0" applyFont="1" applyFill="1" applyBorder="1" applyAlignment="1">
      <alignment horizontal="right"/>
    </xf>
    <xf numFmtId="0" fontId="57" fillId="0" borderId="0" xfId="0" applyFont="1" applyAlignment="1">
      <alignment horizontal="right"/>
    </xf>
    <xf numFmtId="0" fontId="47" fillId="11" borderId="0" xfId="0" applyFont="1" applyFill="1" applyAlignment="1">
      <alignment horizontal="right"/>
    </xf>
    <xf numFmtId="0" fontId="47" fillId="0" borderId="30" xfId="0" applyFont="1" applyBorder="1" applyAlignment="1">
      <alignment horizontal="right"/>
    </xf>
    <xf numFmtId="0" fontId="58" fillId="2" borderId="58" xfId="42" applyFont="1" applyFill="1" applyBorder="1" applyAlignment="1">
      <alignment horizontal="center"/>
    </xf>
    <xf numFmtId="0" fontId="58" fillId="2" borderId="59" xfId="42" applyFont="1" applyFill="1" applyBorder="1" applyAlignment="1">
      <alignment horizontal="center"/>
    </xf>
    <xf numFmtId="0" fontId="11" fillId="2" borderId="13" xfId="42" applyFont="1" applyFill="1" applyBorder="1" applyAlignment="1">
      <alignment horizontal="center"/>
    </xf>
    <xf numFmtId="0" fontId="11" fillId="2" borderId="13" xfId="42" applyFont="1" applyFill="1" applyBorder="1" applyAlignment="1">
      <alignment horizontal="right"/>
    </xf>
    <xf numFmtId="0" fontId="58" fillId="2" borderId="12" xfId="42" applyFont="1" applyFill="1" applyBorder="1" applyAlignment="1">
      <alignment horizontal="center"/>
    </xf>
    <xf numFmtId="0" fontId="58" fillId="2" borderId="9" xfId="42" applyFont="1" applyFill="1" applyBorder="1" applyAlignment="1">
      <alignment horizontal="center"/>
    </xf>
    <xf numFmtId="0" fontId="58" fillId="2" borderId="0" xfId="42" applyFont="1" applyFill="1" applyAlignment="1">
      <alignment horizontal="center"/>
    </xf>
    <xf numFmtId="0" fontId="11" fillId="2" borderId="44" xfId="42" applyFont="1" applyFill="1" applyBorder="1" applyAlignment="1">
      <alignment horizontal="center"/>
    </xf>
    <xf numFmtId="0" fontId="11" fillId="2" borderId="45" xfId="42" applyFont="1" applyFill="1" applyBorder="1" applyAlignment="1">
      <alignment horizontal="center"/>
    </xf>
    <xf numFmtId="0" fontId="11" fillId="2" borderId="41" xfId="42" applyFont="1" applyFill="1" applyBorder="1" applyAlignment="1">
      <alignment horizontal="center"/>
    </xf>
    <xf numFmtId="0" fontId="11" fillId="2" borderId="1" xfId="42" applyFont="1" applyFill="1" applyBorder="1" applyAlignment="1">
      <alignment horizontal="right"/>
    </xf>
    <xf numFmtId="49" fontId="58" fillId="2" borderId="10" xfId="42" applyNumberFormat="1" applyFont="1" applyFill="1" applyBorder="1" applyAlignment="1">
      <alignment horizontal="center"/>
    </xf>
    <xf numFmtId="0" fontId="11" fillId="2" borderId="37" xfId="42" applyFont="1" applyFill="1" applyBorder="1" applyAlignment="1">
      <alignment horizontal="right" vertical="top" wrapText="1"/>
    </xf>
    <xf numFmtId="14" fontId="58" fillId="2" borderId="43" xfId="42" applyNumberFormat="1" applyFont="1" applyFill="1" applyBorder="1" applyAlignment="1">
      <alignment horizontal="center" vertical="center" wrapText="1"/>
    </xf>
    <xf numFmtId="0" fontId="58" fillId="2" borderId="4" xfId="42" applyFont="1" applyFill="1" applyBorder="1" applyAlignment="1">
      <alignment horizontal="right"/>
    </xf>
    <xf numFmtId="0" fontId="58" fillId="2" borderId="50" xfId="42" applyFont="1" applyFill="1" applyBorder="1" applyAlignment="1">
      <alignment horizontal="left"/>
    </xf>
    <xf numFmtId="0" fontId="58" fillId="2" borderId="51" xfId="42" applyFont="1" applyFill="1" applyBorder="1" applyAlignment="1">
      <alignment horizontal="left"/>
    </xf>
    <xf numFmtId="0" fontId="58" fillId="2" borderId="52" xfId="42" applyFont="1" applyFill="1" applyBorder="1" applyAlignment="1">
      <alignment horizontal="left"/>
    </xf>
    <xf numFmtId="0" fontId="11" fillId="2" borderId="20" xfId="42" applyFont="1" applyFill="1" applyBorder="1" applyAlignment="1">
      <alignment horizontal="right" vertical="top" wrapText="1"/>
    </xf>
    <xf numFmtId="14" fontId="58" fillId="2" borderId="48" xfId="42" applyNumberFormat="1" applyFont="1" applyFill="1" applyBorder="1" applyAlignment="1">
      <alignment horizontal="center" vertical="center" wrapText="1"/>
    </xf>
    <xf numFmtId="0" fontId="58" fillId="2" borderId="53" xfId="42" applyFont="1" applyFill="1" applyBorder="1" applyAlignment="1">
      <alignment horizontal="center"/>
    </xf>
    <xf numFmtId="0" fontId="58" fillId="2" borderId="28" xfId="42" applyFont="1" applyFill="1" applyBorder="1" applyAlignment="1">
      <alignment horizontal="center"/>
    </xf>
    <xf numFmtId="0" fontId="58" fillId="2" borderId="1" xfId="42" applyFont="1" applyFill="1" applyBorder="1" applyAlignment="1">
      <alignment horizontal="right"/>
    </xf>
    <xf numFmtId="0" fontId="58" fillId="2" borderId="14" xfId="42" applyFont="1" applyFill="1" applyBorder="1" applyAlignment="1">
      <alignment horizontal="left"/>
    </xf>
    <xf numFmtId="0" fontId="58" fillId="2" borderId="36" xfId="42" applyFont="1" applyFill="1" applyBorder="1" applyAlignment="1">
      <alignment horizontal="left"/>
    </xf>
    <xf numFmtId="0" fontId="58" fillId="2" borderId="32" xfId="42" applyFont="1" applyFill="1" applyBorder="1" applyAlignment="1">
      <alignment horizontal="left"/>
    </xf>
    <xf numFmtId="0" fontId="11" fillId="2" borderId="35" xfId="42" applyFont="1" applyFill="1" applyBorder="1" applyAlignment="1">
      <alignment horizontal="right" vertical="top" wrapText="1"/>
    </xf>
    <xf numFmtId="14" fontId="58" fillId="2" borderId="64" xfId="42" applyNumberFormat="1" applyFont="1" applyFill="1" applyBorder="1" applyAlignment="1">
      <alignment horizontal="center" vertical="center" wrapText="1"/>
    </xf>
    <xf numFmtId="0" fontId="59" fillId="2" borderId="30" xfId="43" applyFont="1" applyFill="1" applyBorder="1" applyAlignment="1">
      <alignment horizontal="center"/>
    </xf>
    <xf numFmtId="14" fontId="59" fillId="2" borderId="0" xfId="43" applyNumberFormat="1" applyFont="1" applyFill="1" applyAlignment="1">
      <alignment horizontal="center" vertical="center" wrapText="1"/>
    </xf>
    <xf numFmtId="0" fontId="11" fillId="3" borderId="47" xfId="36" applyFont="1" applyFill="1" applyBorder="1" applyAlignment="1">
      <alignment horizontal="center" vertical="center"/>
    </xf>
    <xf numFmtId="0" fontId="11" fillId="3" borderId="47" xfId="36" applyFont="1" applyFill="1" applyBorder="1" applyAlignment="1">
      <alignment horizontal="center" vertical="center" wrapText="1"/>
    </xf>
    <xf numFmtId="0" fontId="11" fillId="3" borderId="13" xfId="36" applyFont="1" applyFill="1" applyBorder="1" applyAlignment="1">
      <alignment horizontal="center" vertical="center"/>
    </xf>
    <xf numFmtId="0" fontId="11" fillId="3" borderId="12" xfId="36" applyFont="1" applyFill="1" applyBorder="1" applyAlignment="1">
      <alignment horizontal="center" vertical="center" wrapText="1"/>
    </xf>
    <xf numFmtId="0" fontId="11" fillId="3" borderId="40" xfId="36" applyFont="1" applyFill="1" applyBorder="1" applyAlignment="1">
      <alignment horizontal="center" vertical="center"/>
    </xf>
    <xf numFmtId="0" fontId="11" fillId="3" borderId="40" xfId="36" applyFont="1" applyFill="1" applyBorder="1" applyAlignment="1">
      <alignment horizontal="center" vertical="center" wrapText="1"/>
    </xf>
    <xf numFmtId="0" fontId="11" fillId="3" borderId="2" xfId="36" applyFont="1" applyFill="1" applyBorder="1" applyAlignment="1">
      <alignment horizontal="center" vertical="center"/>
    </xf>
    <xf numFmtId="1" fontId="11" fillId="3" borderId="2" xfId="36" applyNumberFormat="1" applyFont="1" applyFill="1" applyBorder="1" applyAlignment="1">
      <alignment horizontal="center"/>
    </xf>
    <xf numFmtId="1" fontId="11" fillId="3" borderId="2" xfId="36" applyNumberFormat="1" applyFont="1" applyFill="1" applyBorder="1" applyAlignment="1">
      <alignment horizontal="center" wrapText="1"/>
    </xf>
    <xf numFmtId="0" fontId="11" fillId="3" borderId="17" xfId="36" applyFont="1" applyFill="1" applyBorder="1" applyAlignment="1">
      <alignment horizontal="center"/>
    </xf>
    <xf numFmtId="0" fontId="60" fillId="0" borderId="18" xfId="36" applyFont="1" applyBorder="1" applyAlignment="1">
      <alignment horizontal="center" vertical="center"/>
    </xf>
    <xf numFmtId="0" fontId="60" fillId="0" borderId="32" xfId="36" applyFont="1" applyBorder="1" applyAlignment="1">
      <alignment horizontal="center" vertical="center"/>
    </xf>
    <xf numFmtId="0" fontId="61" fillId="0" borderId="1" xfId="36" applyFont="1" applyBorder="1" applyAlignment="1">
      <alignment vertical="center"/>
    </xf>
    <xf numFmtId="0" fontId="60" fillId="0" borderId="1" xfId="36" applyFont="1" applyBorder="1" applyAlignment="1">
      <alignment horizontal="center" vertical="center"/>
    </xf>
    <xf numFmtId="1" fontId="60" fillId="0" borderId="1" xfId="36" applyNumberFormat="1" applyFont="1" applyBorder="1" applyAlignment="1">
      <alignment horizontal="center"/>
    </xf>
    <xf numFmtId="1" fontId="60" fillId="0" borderId="1" xfId="36" applyNumberFormat="1" applyFont="1" applyBorder="1" applyAlignment="1">
      <alignment horizontal="center" wrapText="1"/>
    </xf>
    <xf numFmtId="0" fontId="62" fillId="0" borderId="10" xfId="36" applyFont="1" applyBorder="1" applyAlignment="1">
      <alignment horizontal="center"/>
    </xf>
    <xf numFmtId="1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0" fontId="63" fillId="0" borderId="0" xfId="0" applyFont="1"/>
    <xf numFmtId="16" fontId="62" fillId="0" borderId="32" xfId="36" applyNumberFormat="1" applyFont="1" applyBorder="1" applyAlignment="1">
      <alignment horizontal="center"/>
    </xf>
    <xf numFmtId="1" fontId="62" fillId="0" borderId="1" xfId="36" applyNumberFormat="1" applyFont="1" applyBorder="1" applyAlignment="1">
      <alignment horizontal="center"/>
    </xf>
    <xf numFmtId="1" fontId="62" fillId="0" borderId="1" xfId="36" applyNumberFormat="1" applyFont="1" applyBorder="1" applyAlignment="1">
      <alignment horizontal="center" wrapText="1"/>
    </xf>
    <xf numFmtId="1" fontId="62" fillId="0" borderId="4" xfId="36" applyNumberFormat="1" applyFont="1" applyBorder="1" applyAlignment="1">
      <alignment horizontal="center"/>
    </xf>
    <xf numFmtId="12" fontId="58" fillId="0" borderId="4" xfId="0" applyNumberFormat="1" applyFont="1" applyBorder="1" applyAlignment="1">
      <alignment horizontal="center"/>
    </xf>
    <xf numFmtId="0" fontId="63" fillId="0" borderId="1" xfId="0" applyFont="1" applyBorder="1" applyAlignment="1">
      <alignment horizontal="center"/>
    </xf>
    <xf numFmtId="0" fontId="63" fillId="0" borderId="1" xfId="0" applyFont="1" applyBorder="1"/>
    <xf numFmtId="167" fontId="62" fillId="0" borderId="1" xfId="36" applyNumberFormat="1" applyFont="1" applyBorder="1" applyAlignment="1">
      <alignment horizontal="center"/>
    </xf>
    <xf numFmtId="1" fontId="63" fillId="0" borderId="1" xfId="0" applyNumberFormat="1" applyFont="1" applyBorder="1" applyAlignment="1">
      <alignment horizontal="center"/>
    </xf>
    <xf numFmtId="49" fontId="62" fillId="0" borderId="1" xfId="36" applyNumberFormat="1" applyFont="1" applyBorder="1" applyAlignment="1">
      <alignment horizontal="center"/>
    </xf>
    <xf numFmtId="49" fontId="62" fillId="0" borderId="1" xfId="36" applyNumberFormat="1" applyFont="1" applyBorder="1"/>
    <xf numFmtId="2" fontId="60" fillId="0" borderId="1" xfId="36" applyNumberFormat="1" applyFont="1" applyBorder="1" applyAlignment="1">
      <alignment horizontal="center"/>
    </xf>
    <xf numFmtId="0" fontId="63" fillId="0" borderId="63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0" borderId="32" xfId="0" applyFont="1" applyBorder="1" applyAlignment="1">
      <alignment horizontal="left" vertical="center"/>
    </xf>
    <xf numFmtId="16" fontId="62" fillId="0" borderId="32" xfId="0" applyNumberFormat="1" applyFont="1" applyBorder="1" applyAlignment="1">
      <alignment horizontal="center"/>
    </xf>
    <xf numFmtId="1" fontId="62" fillId="0" borderId="1" xfId="0" applyNumberFormat="1" applyFont="1" applyBorder="1" applyAlignment="1">
      <alignment horizontal="center"/>
    </xf>
    <xf numFmtId="1" fontId="62" fillId="0" borderId="1" xfId="0" applyNumberFormat="1" applyFont="1" applyBorder="1" applyAlignment="1">
      <alignment horizontal="center" wrapText="1"/>
    </xf>
    <xf numFmtId="49" fontId="62" fillId="0" borderId="18" xfId="36" applyNumberFormat="1" applyFont="1" applyBorder="1" applyAlignment="1">
      <alignment horizontal="center"/>
    </xf>
    <xf numFmtId="49" fontId="62" fillId="0" borderId="32" xfId="36" applyNumberFormat="1" applyFont="1" applyBorder="1" applyAlignment="1">
      <alignment horizontal="center"/>
    </xf>
    <xf numFmtId="0" fontId="60" fillId="9" borderId="1" xfId="36" applyFont="1" applyFill="1" applyBorder="1" applyAlignment="1">
      <alignment horizontal="left"/>
    </xf>
    <xf numFmtId="0" fontId="62" fillId="0" borderId="1" xfId="36" applyFont="1" applyBorder="1" applyAlignment="1">
      <alignment horizontal="center"/>
    </xf>
    <xf numFmtId="0" fontId="64" fillId="0" borderId="1" xfId="40" applyFont="1" applyBorder="1" applyAlignment="1">
      <alignment horizontal="center"/>
    </xf>
    <xf numFmtId="0" fontId="64" fillId="0" borderId="1" xfId="40" applyFont="1" applyBorder="1" applyAlignment="1">
      <alignment horizontal="left"/>
    </xf>
    <xf numFmtId="16" fontId="62" fillId="0" borderId="1" xfId="36" applyNumberFormat="1" applyFont="1" applyBorder="1" applyAlignment="1">
      <alignment horizontal="center"/>
    </xf>
    <xf numFmtId="0" fontId="63" fillId="0" borderId="1" xfId="36" applyFont="1" applyBorder="1" applyAlignment="1">
      <alignment horizontal="center"/>
    </xf>
    <xf numFmtId="0" fontId="65" fillId="0" borderId="1" xfId="40" applyFont="1" applyBorder="1" applyAlignment="1">
      <alignment horizontal="center"/>
    </xf>
    <xf numFmtId="0" fontId="65" fillId="0" borderId="1" xfId="40" applyFont="1" applyBorder="1" applyAlignment="1">
      <alignment horizontal="left"/>
    </xf>
    <xf numFmtId="0" fontId="66" fillId="0" borderId="1" xfId="0" applyFont="1" applyBorder="1" applyAlignment="1">
      <alignment horizontal="center" vertical="top"/>
    </xf>
    <xf numFmtId="0" fontId="66" fillId="0" borderId="1" xfId="0" applyFont="1" applyBorder="1" applyAlignment="1">
      <alignment vertical="top"/>
    </xf>
    <xf numFmtId="0" fontId="62" fillId="9" borderId="1" xfId="0" applyFont="1" applyFill="1" applyBorder="1" applyAlignment="1">
      <alignment horizontal="center" vertical="center"/>
    </xf>
    <xf numFmtId="1" fontId="62" fillId="9" borderId="1" xfId="0" applyNumberFormat="1" applyFont="1" applyFill="1" applyBorder="1" applyAlignment="1">
      <alignment horizontal="center"/>
    </xf>
    <xf numFmtId="1" fontId="62" fillId="9" borderId="1" xfId="0" applyNumberFormat="1" applyFont="1" applyFill="1" applyBorder="1" applyAlignment="1">
      <alignment horizontal="center" wrapText="1"/>
    </xf>
    <xf numFmtId="0" fontId="58" fillId="9" borderId="1" xfId="0" applyFont="1" applyFill="1" applyBorder="1" applyAlignment="1">
      <alignment horizontal="center" vertical="center"/>
    </xf>
    <xf numFmtId="1" fontId="58" fillId="9" borderId="1" xfId="0" applyNumberFormat="1" applyFont="1" applyFill="1" applyBorder="1" applyAlignment="1">
      <alignment horizontal="center"/>
    </xf>
    <xf numFmtId="1" fontId="58" fillId="9" borderId="4" xfId="0" applyNumberFormat="1" applyFont="1" applyFill="1" applyBorder="1" applyAlignment="1">
      <alignment horizontal="center" wrapText="1"/>
    </xf>
    <xf numFmtId="16" fontId="58" fillId="9" borderId="1" xfId="0" applyNumberFormat="1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/>
    </xf>
    <xf numFmtId="1" fontId="58" fillId="0" borderId="4" xfId="0" applyNumberFormat="1" applyFont="1" applyBorder="1" applyAlignment="1">
      <alignment horizontal="center" wrapText="1"/>
    </xf>
    <xf numFmtId="16" fontId="58" fillId="0" borderId="1" xfId="0" applyNumberFormat="1" applyFont="1" applyBorder="1" applyAlignment="1">
      <alignment horizontal="center"/>
    </xf>
    <xf numFmtId="1" fontId="58" fillId="0" borderId="4" xfId="0" applyNumberFormat="1" applyFont="1" applyBorder="1" applyAlignment="1">
      <alignment horizontal="center"/>
    </xf>
    <xf numFmtId="1" fontId="58" fillId="0" borderId="1" xfId="0" applyNumberFormat="1" applyFont="1" applyBorder="1" applyAlignment="1">
      <alignment horizontal="center"/>
    </xf>
    <xf numFmtId="1" fontId="58" fillId="0" borderId="1" xfId="0" applyNumberFormat="1" applyFont="1" applyBorder="1" applyAlignment="1">
      <alignment horizontal="center" wrapText="1"/>
    </xf>
    <xf numFmtId="49" fontId="60" fillId="0" borderId="31" xfId="36" applyNumberFormat="1" applyFont="1" applyBorder="1" applyAlignment="1">
      <alignment horizontal="center"/>
    </xf>
    <xf numFmtId="49" fontId="60" fillId="0" borderId="36" xfId="36" applyNumberFormat="1" applyFont="1" applyBorder="1" applyAlignment="1">
      <alignment horizontal="center"/>
    </xf>
    <xf numFmtId="0" fontId="61" fillId="9" borderId="1" xfId="36" applyFont="1" applyFill="1" applyBorder="1" applyAlignment="1">
      <alignment vertical="center"/>
    </xf>
    <xf numFmtId="0" fontId="60" fillId="0" borderId="32" xfId="36" applyFont="1" applyBorder="1" applyAlignment="1">
      <alignment horizontal="center"/>
    </xf>
    <xf numFmtId="167" fontId="60" fillId="0" borderId="1" xfId="36" applyNumberFormat="1" applyFont="1" applyBorder="1" applyAlignment="1">
      <alignment horizontal="center"/>
    </xf>
    <xf numFmtId="16" fontId="62" fillId="0" borderId="1" xfId="0" applyNumberFormat="1" applyFont="1" applyBorder="1" applyAlignment="1">
      <alignment horizontal="center"/>
    </xf>
    <xf numFmtId="172" fontId="11" fillId="9" borderId="1" xfId="1" applyNumberFormat="1" applyFont="1" applyFill="1" applyBorder="1" applyAlignment="1">
      <alignment horizontal="center"/>
    </xf>
    <xf numFmtId="0" fontId="62" fillId="0" borderId="1" xfId="0" applyFont="1" applyBorder="1" applyAlignment="1">
      <alignment horizontal="center"/>
    </xf>
    <xf numFmtId="0" fontId="62" fillId="0" borderId="1" xfId="0" applyFont="1" applyBorder="1"/>
    <xf numFmtId="12" fontId="62" fillId="0" borderId="1" xfId="36" applyNumberFormat="1" applyFont="1" applyBorder="1" applyAlignment="1">
      <alignment horizontal="center"/>
    </xf>
    <xf numFmtId="0" fontId="62" fillId="0" borderId="63" xfId="0" applyFont="1" applyBorder="1" applyAlignment="1">
      <alignment horizontal="center" vertical="center"/>
    </xf>
    <xf numFmtId="0" fontId="62" fillId="0" borderId="65" xfId="0" applyFont="1" applyBorder="1" applyAlignment="1">
      <alignment horizontal="center" vertical="center"/>
    </xf>
    <xf numFmtId="0" fontId="62" fillId="0" borderId="65" xfId="0" applyFont="1" applyBorder="1" applyAlignment="1">
      <alignment horizontal="left" vertical="center"/>
    </xf>
    <xf numFmtId="0" fontId="60" fillId="9" borderId="1" xfId="0" applyFont="1" applyFill="1" applyBorder="1" applyAlignment="1">
      <alignment horizontal="center" vertical="center"/>
    </xf>
    <xf numFmtId="49" fontId="67" fillId="2" borderId="9" xfId="36" applyNumberFormat="1" applyFont="1" applyFill="1" applyBorder="1" applyAlignment="1">
      <alignment horizontal="center" vertical="center"/>
    </xf>
    <xf numFmtId="49" fontId="67" fillId="2" borderId="0" xfId="36" applyNumberFormat="1" applyFont="1" applyFill="1" applyAlignment="1">
      <alignment horizontal="center" vertical="center"/>
    </xf>
    <xf numFmtId="0" fontId="58" fillId="2" borderId="0" xfId="36" applyFont="1" applyFill="1"/>
    <xf numFmtId="1" fontId="58" fillId="2" borderId="0" xfId="36" applyNumberFormat="1" applyFont="1" applyFill="1" applyAlignment="1">
      <alignment horizontal="center"/>
    </xf>
    <xf numFmtId="168" fontId="58" fillId="2" borderId="0" xfId="36" applyNumberFormat="1" applyFont="1" applyFill="1" applyAlignment="1">
      <alignment horizontal="center" wrapText="1"/>
    </xf>
    <xf numFmtId="0" fontId="58" fillId="2" borderId="8" xfId="36" applyFont="1" applyFill="1" applyBorder="1" applyAlignment="1">
      <alignment horizontal="center"/>
    </xf>
    <xf numFmtId="0" fontId="58" fillId="3" borderId="7" xfId="36" applyFont="1" applyFill="1" applyBorder="1" applyAlignment="1">
      <alignment horizontal="center"/>
    </xf>
    <xf numFmtId="0" fontId="58" fillId="3" borderId="6" xfId="36" applyFont="1" applyFill="1" applyBorder="1" applyAlignment="1">
      <alignment horizontal="center"/>
    </xf>
    <xf numFmtId="0" fontId="58" fillId="3" borderId="6" xfId="36" applyFont="1" applyFill="1" applyBorder="1"/>
    <xf numFmtId="0" fontId="11" fillId="3" borderId="6" xfId="36" applyFont="1" applyFill="1" applyBorder="1" applyAlignment="1">
      <alignment horizontal="center"/>
    </xf>
    <xf numFmtId="1" fontId="11" fillId="3" borderId="6" xfId="36" applyNumberFormat="1" applyFont="1" applyFill="1" applyBorder="1" applyAlignment="1">
      <alignment horizontal="center"/>
    </xf>
    <xf numFmtId="168" fontId="58" fillId="3" borderId="6" xfId="36" applyNumberFormat="1" applyFont="1" applyFill="1" applyBorder="1" applyAlignment="1">
      <alignment horizontal="center" wrapText="1"/>
    </xf>
    <xf numFmtId="0" fontId="58" fillId="3" borderId="5" xfId="36" applyFont="1" applyFill="1" applyBorder="1" applyAlignment="1">
      <alignment horizontal="center"/>
    </xf>
    <xf numFmtId="0" fontId="11" fillId="0" borderId="53" xfId="36" applyFont="1" applyBorder="1" applyAlignment="1">
      <alignment horizontal="right"/>
    </xf>
    <xf numFmtId="0" fontId="11" fillId="0" borderId="28" xfId="36" applyFont="1" applyBorder="1" applyAlignment="1">
      <alignment horizontal="right"/>
    </xf>
    <xf numFmtId="0" fontId="11" fillId="0" borderId="33" xfId="36" applyFont="1" applyBorder="1" applyAlignment="1">
      <alignment horizontal="right"/>
    </xf>
    <xf numFmtId="0" fontId="58" fillId="0" borderId="3" xfId="0" applyFont="1" applyBorder="1" applyAlignment="1">
      <alignment horizontal="center"/>
    </xf>
    <xf numFmtId="168" fontId="58" fillId="0" borderId="4" xfId="36" applyNumberFormat="1" applyFont="1" applyBorder="1" applyAlignment="1">
      <alignment horizontal="right"/>
    </xf>
    <xf numFmtId="0" fontId="58" fillId="2" borderId="3" xfId="36" applyFont="1" applyFill="1" applyBorder="1" applyAlignment="1">
      <alignment horizontal="center"/>
    </xf>
    <xf numFmtId="0" fontId="58" fillId="2" borderId="11" xfId="36" applyFont="1" applyFill="1" applyBorder="1" applyAlignment="1">
      <alignment horizontal="center"/>
    </xf>
    <xf numFmtId="0" fontId="11" fillId="0" borderId="31" xfId="36" applyFont="1" applyBorder="1" applyAlignment="1">
      <alignment horizontal="right"/>
    </xf>
    <xf numFmtId="0" fontId="11" fillId="0" borderId="36" xfId="36" applyFont="1" applyBorder="1" applyAlignment="1">
      <alignment horizontal="right"/>
    </xf>
    <xf numFmtId="0" fontId="11" fillId="0" borderId="32" xfId="36" applyFont="1" applyBorder="1" applyAlignment="1">
      <alignment horizontal="right"/>
    </xf>
    <xf numFmtId="0" fontId="11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8" fillId="0" borderId="1" xfId="36" applyFont="1" applyBorder="1" applyAlignment="1">
      <alignment horizontal="right"/>
    </xf>
    <xf numFmtId="168" fontId="58" fillId="0" borderId="14" xfId="36" applyNumberFormat="1" applyFont="1" applyBorder="1" applyAlignment="1">
      <alignment horizontal="center"/>
    </xf>
    <xf numFmtId="168" fontId="58" fillId="0" borderId="15" xfId="36" applyNumberFormat="1" applyFont="1" applyBorder="1" applyAlignment="1">
      <alignment horizontal="center"/>
    </xf>
    <xf numFmtId="168" fontId="58" fillId="0" borderId="14" xfId="36" applyNumberFormat="1" applyFont="1" applyBorder="1" applyAlignment="1">
      <alignment horizontal="right" wrapText="1"/>
    </xf>
    <xf numFmtId="168" fontId="58" fillId="0" borderId="32" xfId="36" applyNumberFormat="1" applyFont="1" applyBorder="1" applyAlignment="1">
      <alignment horizontal="right" wrapText="1"/>
    </xf>
    <xf numFmtId="168" fontId="58" fillId="0" borderId="14" xfId="0" applyNumberFormat="1" applyFont="1" applyBorder="1" applyAlignment="1">
      <alignment horizontal="center" wrapText="1"/>
    </xf>
    <xf numFmtId="168" fontId="58" fillId="0" borderId="15" xfId="0" applyNumberFormat="1" applyFont="1" applyBorder="1" applyAlignment="1">
      <alignment horizontal="center" wrapText="1"/>
    </xf>
    <xf numFmtId="0" fontId="11" fillId="0" borderId="40" xfId="36" applyFont="1" applyBorder="1" applyAlignment="1">
      <alignment horizontal="right"/>
    </xf>
    <xf numFmtId="0" fontId="11" fillId="0" borderId="41" xfId="36" applyFont="1" applyBorder="1" applyAlignment="1">
      <alignment horizontal="right"/>
    </xf>
    <xf numFmtId="0" fontId="11" fillId="0" borderId="2" xfId="36" applyFont="1" applyBorder="1" applyAlignment="1">
      <alignment horizontal="right"/>
    </xf>
    <xf numFmtId="1" fontId="58" fillId="0" borderId="2" xfId="0" applyNumberFormat="1" applyFont="1" applyBorder="1" applyAlignment="1">
      <alignment horizontal="center"/>
    </xf>
    <xf numFmtId="0" fontId="58" fillId="0" borderId="2" xfId="0" applyFont="1" applyBorder="1" applyAlignment="1">
      <alignment horizontal="center"/>
    </xf>
    <xf numFmtId="0" fontId="58" fillId="0" borderId="2" xfId="36" applyFont="1" applyBorder="1" applyAlignment="1">
      <alignment horizontal="right"/>
    </xf>
    <xf numFmtId="0" fontId="11" fillId="3" borderId="7" xfId="36" applyFont="1" applyFill="1" applyBorder="1" applyAlignment="1">
      <alignment horizontal="left"/>
    </xf>
    <xf numFmtId="0" fontId="11" fillId="3" borderId="6" xfId="36" applyFont="1" applyFill="1" applyBorder="1" applyAlignment="1">
      <alignment horizontal="left"/>
    </xf>
    <xf numFmtId="0" fontId="11" fillId="3" borderId="5" xfId="36" applyFont="1" applyFill="1" applyBorder="1" applyAlignment="1">
      <alignment horizontal="left"/>
    </xf>
    <xf numFmtId="0" fontId="62" fillId="0" borderId="54" xfId="36" applyFont="1" applyBorder="1" applyAlignment="1">
      <alignment horizontal="left"/>
    </xf>
    <xf numFmtId="0" fontId="62" fillId="0" borderId="34" xfId="36" applyFont="1" applyBorder="1" applyAlignment="1">
      <alignment horizontal="left"/>
    </xf>
    <xf numFmtId="0" fontId="62" fillId="0" borderId="38" xfId="36" applyFont="1" applyBorder="1" applyAlignment="1">
      <alignment horizontal="left"/>
    </xf>
    <xf numFmtId="0" fontId="62" fillId="0" borderId="57" xfId="36" applyFont="1" applyBorder="1" applyAlignment="1">
      <alignment horizontal="left"/>
    </xf>
    <xf numFmtId="0" fontId="62" fillId="0" borderId="18" xfId="36" applyFont="1" applyBorder="1" applyAlignment="1">
      <alignment horizontal="left"/>
    </xf>
    <xf numFmtId="0" fontId="62" fillId="0" borderId="32" xfId="36" applyFont="1" applyBorder="1" applyAlignment="1">
      <alignment horizontal="left"/>
    </xf>
    <xf numFmtId="0" fontId="62" fillId="0" borderId="1" xfId="36" applyFont="1" applyBorder="1" applyAlignment="1">
      <alignment horizontal="left"/>
    </xf>
    <xf numFmtId="0" fontId="62" fillId="0" borderId="10" xfId="36" applyFont="1" applyBorder="1" applyAlignment="1">
      <alignment horizontal="left"/>
    </xf>
    <xf numFmtId="0" fontId="58" fillId="0" borderId="31" xfId="0" applyFont="1" applyBorder="1" applyAlignment="1">
      <alignment horizontal="left"/>
    </xf>
    <xf numFmtId="0" fontId="58" fillId="0" borderId="36" xfId="0" applyFont="1" applyBorder="1" applyAlignment="1">
      <alignment horizontal="left"/>
    </xf>
    <xf numFmtId="0" fontId="58" fillId="0" borderId="15" xfId="0" applyFont="1" applyBorder="1" applyAlignment="1">
      <alignment horizontal="left"/>
    </xf>
    <xf numFmtId="0" fontId="60" fillId="0" borderId="31" xfId="0" applyFont="1" applyBorder="1" applyAlignment="1">
      <alignment horizontal="left"/>
    </xf>
    <xf numFmtId="0" fontId="60" fillId="0" borderId="36" xfId="0" applyFont="1" applyBorder="1" applyAlignment="1">
      <alignment horizontal="left"/>
    </xf>
    <xf numFmtId="0" fontId="60" fillId="0" borderId="15" xfId="0" applyFont="1" applyBorder="1" applyAlignment="1">
      <alignment horizontal="left"/>
    </xf>
    <xf numFmtId="0" fontId="11" fillId="13" borderId="66" xfId="42" applyFont="1" applyFill="1" applyBorder="1" applyAlignment="1">
      <alignment horizontal="center"/>
    </xf>
    <xf numFmtId="0" fontId="11" fillId="13" borderId="59" xfId="42" applyFont="1" applyFill="1" applyBorder="1" applyAlignment="1">
      <alignment horizontal="center"/>
    </xf>
    <xf numFmtId="0" fontId="58" fillId="2" borderId="19" xfId="42" applyFont="1" applyFill="1" applyBorder="1" applyAlignment="1">
      <alignment horizontal="left"/>
    </xf>
    <xf numFmtId="0" fontId="58" fillId="2" borderId="0" xfId="42" applyFont="1" applyFill="1" applyAlignment="1">
      <alignment horizontal="left"/>
    </xf>
  </cellXfs>
  <cellStyles count="50">
    <cellStyle name="Millares" xfId="1" builtinId="3"/>
    <cellStyle name="Millares [0]" xfId="2" builtinId="6"/>
    <cellStyle name="Millares [0] 2" xfId="3" xr:uid="{E5DD5BB4-B506-48E3-AB6A-F9FDCED0499C}"/>
    <cellStyle name="Millares [0] 2 2" xfId="4" xr:uid="{0E09C8B8-6F13-4CB9-AF0F-9BBD303F4E07}"/>
    <cellStyle name="Millares [0] 2 2 2" xfId="5" xr:uid="{0DCA9C00-4CFB-4BE9-94C6-335B39787A9D}"/>
    <cellStyle name="Millares [0] 2 2 2 2" xfId="6" xr:uid="{8DF96D53-8C48-42E2-A8AB-E5255B9AA434}"/>
    <cellStyle name="Millares [0] 2 2 2 2 2" xfId="7" xr:uid="{75B84B0E-920C-4D07-AD65-A2814D54526C}"/>
    <cellStyle name="Millares [0] 2 2 2 3" xfId="8" xr:uid="{1FA2FD81-3ECC-48C8-89F7-0E8AFB778A7F}"/>
    <cellStyle name="Millares [0] 2 2 3" xfId="9" xr:uid="{1518E4A5-1749-4EF1-898B-3BA1A1AC1C21}"/>
    <cellStyle name="Millares [0] 2 2 3 2" xfId="10" xr:uid="{7BD4ADFC-65F1-4803-9897-2B804DBA10A6}"/>
    <cellStyle name="Millares [0] 2 2 4" xfId="11" xr:uid="{2284F75E-9497-4670-83CF-7E40672B8E3A}"/>
    <cellStyle name="Millares [0] 2 3" xfId="12" xr:uid="{129974F7-5BFD-4BE1-AAEA-898610951AA8}"/>
    <cellStyle name="Millares [0] 2 3 2" xfId="13" xr:uid="{5D2323C6-0EED-4A50-8D9F-3BFAFB8449A2}"/>
    <cellStyle name="Millares [0] 2 4" xfId="14" xr:uid="{ABCADC34-90F9-45D0-B519-FDAA9A4E7FD7}"/>
    <cellStyle name="Millares [0] 3" xfId="15" xr:uid="{804D9019-360B-497F-AA5E-8B6058EC86D9}"/>
    <cellStyle name="Millares [0] 3 2" xfId="16" xr:uid="{A7178D5B-0E38-46FC-858B-A9CCB168F0D3}"/>
    <cellStyle name="Millares [0] 3 2 2" xfId="17" xr:uid="{108EE7FC-CF35-4454-939C-90812875BC29}"/>
    <cellStyle name="Millares [0] 3 2 3 2" xfId="18" xr:uid="{8EAB8053-38E7-404F-9CA9-B5605AF8E6A5}"/>
    <cellStyle name="Millares [0] 3 2 3 2 2" xfId="19" xr:uid="{BBCF2C22-D175-4F5C-9D6D-08642A1F7E26}"/>
    <cellStyle name="Millares [0] 3 2 3 2 2 2" xfId="20" xr:uid="{47CF0678-C512-413C-AA58-BE9FF158ED8E}"/>
    <cellStyle name="Millares [0] 3 2 3 2 3" xfId="21" xr:uid="{C00429DF-EF4B-4752-8E07-0D47BE38C52F}"/>
    <cellStyle name="Millares [0] 3 3" xfId="22" xr:uid="{65A6D864-2AB6-41D4-8B61-2F84E6E65505}"/>
    <cellStyle name="Millares 2" xfId="23" xr:uid="{ED77CDC5-7F75-46A8-B80E-B7BE234924F8}"/>
    <cellStyle name="Millares 2 2" xfId="24" xr:uid="{93A9F82F-1986-4664-B6D4-26BA82D61E95}"/>
    <cellStyle name="Millares 2 2 2" xfId="25" xr:uid="{896F2373-1352-4FE6-96F5-D395DA4390BD}"/>
    <cellStyle name="Millares 2 2 2 2" xfId="26" xr:uid="{D489BA41-4F15-4530-8429-5BCFD5923D0E}"/>
    <cellStyle name="Millares 2 2 3" xfId="27" xr:uid="{7CF3350E-6CAE-404F-9FC6-61B3439D189A}"/>
    <cellStyle name="Millares 2 3" xfId="28" xr:uid="{A49146CF-9581-4547-BA7C-F2B2E0FBB259}"/>
    <cellStyle name="Millares 2 3 2" xfId="29" xr:uid="{BCD55E66-1361-428A-A390-2741041A0233}"/>
    <cellStyle name="Millares 2 4" xfId="30" xr:uid="{AC3D9058-EDD1-42AC-8D2B-32EC01FB3E2F}"/>
    <cellStyle name="Millares 3" xfId="31" xr:uid="{C366B946-32CA-4186-B517-3232DDDFB850}"/>
    <cellStyle name="Millares 3 2" xfId="32" xr:uid="{20131DB7-6141-4479-8BEA-D88AA0BC0971}"/>
    <cellStyle name="Millares 3 2 2" xfId="33" xr:uid="{12AAB03F-53DF-41F3-8731-94069A4B73E1}"/>
    <cellStyle name="Millares 3 3" xfId="34" xr:uid="{15586D6B-3663-43D7-85EA-0AA6BB48D60C}"/>
    <cellStyle name="Millares 4" xfId="35" xr:uid="{D3F14695-9E6B-4244-8E67-088CC17A28AF}"/>
    <cellStyle name="Normal" xfId="0" builtinId="0"/>
    <cellStyle name="Normal 2" xfId="36" xr:uid="{C8F51568-7FF8-461D-B445-A1AAE5B37DA0}"/>
    <cellStyle name="Normal 3" xfId="37" xr:uid="{5B8C6FC6-C7EA-4662-A812-AD20963218CB}"/>
    <cellStyle name="Normal 3 2" xfId="38" xr:uid="{F43CA33A-24FE-4AE8-9454-9456221BE9B5}"/>
    <cellStyle name="Normal 4" xfId="39" xr:uid="{5B84607F-7ABC-4873-BCA6-63DBCC8C7B01}"/>
    <cellStyle name="Normal 5" xfId="40" xr:uid="{74B4B5F5-D9F3-461F-8B8A-802B4346C65E}"/>
    <cellStyle name="Normal 6" xfId="41" xr:uid="{DB7CA6E4-6A96-4FDD-A194-0EBC738107FB}"/>
    <cellStyle name="Normal_CRITERIOS DE EVALUACION PT DE GB" xfId="42" xr:uid="{FCF3562F-9A27-4B48-B618-7906F291D544}"/>
    <cellStyle name="Normal_CRITERIOS DE EVALUACION PT DE GB 2" xfId="43" xr:uid="{E4C8E857-874C-46B2-8BB1-F0F5733761F1}"/>
    <cellStyle name="Porcentaje" xfId="44" builtinId="5"/>
    <cellStyle name="Porcentaje 2" xfId="45" xr:uid="{EFCE79FF-616A-4C3F-A77E-3286D16933F9}"/>
    <cellStyle name="Porcentaje 2 2" xfId="46" xr:uid="{ED1CCC01-7CD5-4D76-BA8D-238D647046BE}"/>
    <cellStyle name="Porcentaje 3" xfId="47" xr:uid="{D619DAAA-6847-4C41-9AC1-B0C2A132517C}"/>
    <cellStyle name="Porcentaje 3 2" xfId="48" xr:uid="{56E13B23-73B9-4E43-A60E-223FB8019ADE}"/>
    <cellStyle name="Porcentaje 4" xfId="49" xr:uid="{176C9F2B-C3B4-4FBE-9A30-4148243C779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14" name="Picture 1">
          <a:extLst>
            <a:ext uri="{FF2B5EF4-FFF2-40B4-BE49-F238E27FC236}">
              <a16:creationId xmlns:a16="http://schemas.microsoft.com/office/drawing/2014/main" id="{C86CAC3C-9837-4938-8021-D098019AD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15" name="Picture 2">
          <a:extLst>
            <a:ext uri="{FF2B5EF4-FFF2-40B4-BE49-F238E27FC236}">
              <a16:creationId xmlns:a16="http://schemas.microsoft.com/office/drawing/2014/main" id="{0199D2E3-7934-1A53-252F-13E2D097C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16" name="Picture 3">
          <a:extLst>
            <a:ext uri="{FF2B5EF4-FFF2-40B4-BE49-F238E27FC236}">
              <a16:creationId xmlns:a16="http://schemas.microsoft.com/office/drawing/2014/main" id="{119FC50E-0228-F10C-A65E-9892B90A5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17" name="Picture 4">
          <a:extLst>
            <a:ext uri="{FF2B5EF4-FFF2-40B4-BE49-F238E27FC236}">
              <a16:creationId xmlns:a16="http://schemas.microsoft.com/office/drawing/2014/main" id="{A22B1571-3587-F970-EAAD-04B83CF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18" name="Picture 5">
          <a:extLst>
            <a:ext uri="{FF2B5EF4-FFF2-40B4-BE49-F238E27FC236}">
              <a16:creationId xmlns:a16="http://schemas.microsoft.com/office/drawing/2014/main" id="{E39428BA-AD3F-0062-C822-F4677753F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19" name="Picture 1">
          <a:extLst>
            <a:ext uri="{FF2B5EF4-FFF2-40B4-BE49-F238E27FC236}">
              <a16:creationId xmlns:a16="http://schemas.microsoft.com/office/drawing/2014/main" id="{6DBE5A66-03DC-0CC7-F363-69B26291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20" name="Picture 2">
          <a:extLst>
            <a:ext uri="{FF2B5EF4-FFF2-40B4-BE49-F238E27FC236}">
              <a16:creationId xmlns:a16="http://schemas.microsoft.com/office/drawing/2014/main" id="{52E65A19-6B65-994A-E5C8-ECC88E1D0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21" name="Picture 3">
          <a:extLst>
            <a:ext uri="{FF2B5EF4-FFF2-40B4-BE49-F238E27FC236}">
              <a16:creationId xmlns:a16="http://schemas.microsoft.com/office/drawing/2014/main" id="{B9DE15C6-9DEF-ED24-3512-6F7AC4189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22" name="Picture 4">
          <a:extLst>
            <a:ext uri="{FF2B5EF4-FFF2-40B4-BE49-F238E27FC236}">
              <a16:creationId xmlns:a16="http://schemas.microsoft.com/office/drawing/2014/main" id="{10D6404B-3487-3B93-8BA7-C64563ECE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23" name="Picture 5">
          <a:extLst>
            <a:ext uri="{FF2B5EF4-FFF2-40B4-BE49-F238E27FC236}">
              <a16:creationId xmlns:a16="http://schemas.microsoft.com/office/drawing/2014/main" id="{5967E305-BF87-620F-2199-181D8FD2F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24" name="Picture 1">
          <a:extLst>
            <a:ext uri="{FF2B5EF4-FFF2-40B4-BE49-F238E27FC236}">
              <a16:creationId xmlns:a16="http://schemas.microsoft.com/office/drawing/2014/main" id="{7218DC61-FB93-EE85-8C7F-0881CA4E6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25" name="Picture 2">
          <a:extLst>
            <a:ext uri="{FF2B5EF4-FFF2-40B4-BE49-F238E27FC236}">
              <a16:creationId xmlns:a16="http://schemas.microsoft.com/office/drawing/2014/main" id="{4C999BCC-04BA-2388-DA59-4F9F0799F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26" name="Picture 3">
          <a:extLst>
            <a:ext uri="{FF2B5EF4-FFF2-40B4-BE49-F238E27FC236}">
              <a16:creationId xmlns:a16="http://schemas.microsoft.com/office/drawing/2014/main" id="{B56A2453-C967-86DE-F441-8A57D2521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27" name="Picture 4">
          <a:extLst>
            <a:ext uri="{FF2B5EF4-FFF2-40B4-BE49-F238E27FC236}">
              <a16:creationId xmlns:a16="http://schemas.microsoft.com/office/drawing/2014/main" id="{39FAC522-29CC-51C8-0829-BABDEF949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28" name="Picture 5">
          <a:extLst>
            <a:ext uri="{FF2B5EF4-FFF2-40B4-BE49-F238E27FC236}">
              <a16:creationId xmlns:a16="http://schemas.microsoft.com/office/drawing/2014/main" id="{ADF6AF2A-BEE4-94CB-4027-62CD71F7E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29" name="Picture 1">
          <a:extLst>
            <a:ext uri="{FF2B5EF4-FFF2-40B4-BE49-F238E27FC236}">
              <a16:creationId xmlns:a16="http://schemas.microsoft.com/office/drawing/2014/main" id="{AF45C5A4-869D-7071-D1D5-DE43C6928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30" name="Picture 2">
          <a:extLst>
            <a:ext uri="{FF2B5EF4-FFF2-40B4-BE49-F238E27FC236}">
              <a16:creationId xmlns:a16="http://schemas.microsoft.com/office/drawing/2014/main" id="{49C7C474-864B-71E6-F694-337577542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31" name="Picture 3">
          <a:extLst>
            <a:ext uri="{FF2B5EF4-FFF2-40B4-BE49-F238E27FC236}">
              <a16:creationId xmlns:a16="http://schemas.microsoft.com/office/drawing/2014/main" id="{63EDD44A-CFD3-92CB-DD8E-CB889B9CF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32" name="Picture 4">
          <a:extLst>
            <a:ext uri="{FF2B5EF4-FFF2-40B4-BE49-F238E27FC236}">
              <a16:creationId xmlns:a16="http://schemas.microsoft.com/office/drawing/2014/main" id="{51CCD133-2B43-58D9-0129-99B501556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33" name="Picture 5">
          <a:extLst>
            <a:ext uri="{FF2B5EF4-FFF2-40B4-BE49-F238E27FC236}">
              <a16:creationId xmlns:a16="http://schemas.microsoft.com/office/drawing/2014/main" id="{D2E3E56C-25A1-F000-5AFA-1145A0D1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34" name="Picture 1">
          <a:extLst>
            <a:ext uri="{FF2B5EF4-FFF2-40B4-BE49-F238E27FC236}">
              <a16:creationId xmlns:a16="http://schemas.microsoft.com/office/drawing/2014/main" id="{17145008-E2C4-C1BA-3F34-DC7D93C46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35" name="Picture 2">
          <a:extLst>
            <a:ext uri="{FF2B5EF4-FFF2-40B4-BE49-F238E27FC236}">
              <a16:creationId xmlns:a16="http://schemas.microsoft.com/office/drawing/2014/main" id="{B2101966-B3B5-36CA-918D-F02188D9F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36" name="Picture 3">
          <a:extLst>
            <a:ext uri="{FF2B5EF4-FFF2-40B4-BE49-F238E27FC236}">
              <a16:creationId xmlns:a16="http://schemas.microsoft.com/office/drawing/2014/main" id="{942EA1B7-0A17-34D9-BBD5-75F585FA1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37" name="Picture 4">
          <a:extLst>
            <a:ext uri="{FF2B5EF4-FFF2-40B4-BE49-F238E27FC236}">
              <a16:creationId xmlns:a16="http://schemas.microsoft.com/office/drawing/2014/main" id="{95F56E89-8DD4-6D48-6FE3-2499C2F3A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38" name="Picture 5">
          <a:extLst>
            <a:ext uri="{FF2B5EF4-FFF2-40B4-BE49-F238E27FC236}">
              <a16:creationId xmlns:a16="http://schemas.microsoft.com/office/drawing/2014/main" id="{5084B0DC-3C57-78F4-A486-ADDA9779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39" name="Picture 1">
          <a:extLst>
            <a:ext uri="{FF2B5EF4-FFF2-40B4-BE49-F238E27FC236}">
              <a16:creationId xmlns:a16="http://schemas.microsoft.com/office/drawing/2014/main" id="{97EED87C-E295-E73B-1A05-8F0631339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40" name="Picture 2">
          <a:extLst>
            <a:ext uri="{FF2B5EF4-FFF2-40B4-BE49-F238E27FC236}">
              <a16:creationId xmlns:a16="http://schemas.microsoft.com/office/drawing/2014/main" id="{7264BEE3-415C-8A5A-50A9-97AC1F628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41" name="Picture 3">
          <a:extLst>
            <a:ext uri="{FF2B5EF4-FFF2-40B4-BE49-F238E27FC236}">
              <a16:creationId xmlns:a16="http://schemas.microsoft.com/office/drawing/2014/main" id="{2696FBF9-AC7E-65EA-357D-7B11AC542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42" name="Picture 4">
          <a:extLst>
            <a:ext uri="{FF2B5EF4-FFF2-40B4-BE49-F238E27FC236}">
              <a16:creationId xmlns:a16="http://schemas.microsoft.com/office/drawing/2014/main" id="{355DC978-5A60-413F-7848-C4245C2C9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6343" name="Picture 5">
          <a:extLst>
            <a:ext uri="{FF2B5EF4-FFF2-40B4-BE49-F238E27FC236}">
              <a16:creationId xmlns:a16="http://schemas.microsoft.com/office/drawing/2014/main" id="{2603861E-F618-7E5A-AF22-8331755B2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Planta/Planta%20Subrecetas/Almibar/908000021%20-%20ALMIB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  <cell r="M26" t="str">
            <v>Gramos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  <cell r="M36" t="str">
            <v>Gramos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  <cell r="M66" t="str">
            <v>Mililitros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  <cell r="M69" t="str">
            <v>Gramos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  <cell r="M90" t="str">
            <v>Gramos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  <cell r="M93" t="str">
            <v>Gramos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  <cell r="M94" t="str">
            <v>Gramos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  <cell r="M95" t="str">
            <v>Gramos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854318</v>
          </cell>
          <cell r="K116">
            <v>25000</v>
          </cell>
          <cell r="L116">
            <v>5.2933751999999998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538675.61450000003</v>
          </cell>
          <cell r="K117">
            <v>2500</v>
          </cell>
          <cell r="L117">
            <v>7.7204839999999999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151710.125</v>
          </cell>
          <cell r="K118">
            <v>2500</v>
          </cell>
          <cell r="L118">
            <v>1.9067479999999999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33116.695</v>
          </cell>
          <cell r="K120">
            <v>2500</v>
          </cell>
          <cell r="L120">
            <v>0.71349200000000002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  <cell r="M142" t="str">
            <v>Und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  <cell r="M143" t="str">
            <v>Und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  <cell r="M144" t="str">
            <v>Und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  <cell r="M145" t="str">
            <v>Und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  <cell r="M146" t="str">
            <v>Und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K164">
            <v>1</v>
          </cell>
          <cell r="L164" t="e">
            <v>#N/A</v>
          </cell>
          <cell r="M164" t="str">
            <v>Gramos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  <cell r="M168" t="str">
            <v>und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  <cell r="M181" t="str">
            <v>Gramos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  <cell r="M193" t="str">
            <v>Gramos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  <cell r="M196" t="str">
            <v>Mililitros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  <cell r="M197" t="str">
            <v>Mililitros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  <cell r="M219" t="str">
            <v>Gramos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  <cell r="M221" t="str">
            <v>Gramos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  <cell r="M233" t="str">
            <v>Gramos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K241">
            <v>150</v>
          </cell>
          <cell r="L241" t="e">
            <v>#N/A</v>
          </cell>
          <cell r="M241" t="str">
            <v>Und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  <cell r="M262" t="str">
            <v>Gramos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  <cell r="M273" t="str">
            <v>Und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  <cell r="M275" t="str">
            <v>Und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  <cell r="M278" t="str">
            <v>Und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  <cell r="M279" t="str">
            <v>Und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  <cell r="M288" t="str">
            <v>Und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  <cell r="M293" t="str">
            <v>Und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  <cell r="M295" t="str">
            <v>Und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  <cell r="M299" t="str">
            <v>Und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  <cell r="M300" t="str">
            <v>Gramos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  <cell r="M305" t="str">
            <v>Und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  <cell r="M306" t="str">
            <v>Und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  <cell r="M308" t="str">
            <v>Und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  <cell r="M309" t="str">
            <v>Und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  <cell r="M310" t="str">
            <v>Gramos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  <cell r="M315" t="str">
            <v>Und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  <cell r="M316" t="str">
            <v>Und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  <cell r="M317" t="str">
            <v>Und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  <cell r="M318" t="str">
            <v>Und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  <cell r="M321" t="str">
            <v>Und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  <cell r="M324" t="str">
            <v>Und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  <cell r="M325" t="str">
            <v>Und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  <cell r="M326" t="str">
            <v>Und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  <cell r="M329" t="str">
            <v>Und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  <cell r="M332" t="str">
            <v>Und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  <cell r="M338" t="str">
            <v>Mililitros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  <cell r="M344" t="str">
            <v>Gramos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  <cell r="M351" t="str">
            <v>Gramos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  <cell r="M352" t="str">
            <v>Mililitros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  <cell r="M354" t="str">
            <v>Gramos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  <cell r="M356" t="str">
            <v>Gramos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>
            <v>81.710833333333298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  <cell r="M358" t="str">
            <v>Mililitros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  <cell r="M359" t="str">
            <v>Mililitros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  <cell r="M360" t="str">
            <v>Mililitros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  <cell r="M362" t="str">
            <v>Gramos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K364">
            <v>1500</v>
          </cell>
          <cell r="L364" t="e">
            <v>#DIV/0!</v>
          </cell>
          <cell r="M364" t="str">
            <v>Gramos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K366">
            <v>250</v>
          </cell>
          <cell r="L366" t="e">
            <v>#DIV/0!</v>
          </cell>
          <cell r="M366" t="str">
            <v>Mililitros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  <cell r="M367"/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  <cell r="M368" t="str">
            <v>Gramos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  <cell r="M369" t="str">
            <v>und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  <cell r="M371" t="str">
            <v>Gramos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  <cell r="M373" t="str">
            <v>Gramos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K375">
            <v>900</v>
          </cell>
          <cell r="L375" t="e">
            <v>#N/A</v>
          </cell>
          <cell r="M375" t="str">
            <v>Gramos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  <cell r="M378" t="str">
            <v>Gramos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K380">
            <v>40</v>
          </cell>
          <cell r="L380" t="e">
            <v>#N/A</v>
          </cell>
          <cell r="M380" t="str">
            <v>Gramos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  <cell r="M382" t="str">
            <v>Gramos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  <cell r="M383" t="str">
            <v>und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  <cell r="M384"/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  <cell r="M385" t="str">
            <v>Gramos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  <cell r="M387" t="str">
            <v>Gramos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  <cell r="M389" t="str">
            <v>Gramos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  <cell r="M390" t="str">
            <v>Gramos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  <cell r="M392" t="str">
            <v>Gramos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  <cell r="M394" t="str">
            <v>Gramos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  <cell r="M395" t="str">
            <v>Gramos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K401">
            <v>5000</v>
          </cell>
          <cell r="L401" t="e">
            <v>#N/A</v>
          </cell>
          <cell r="M401" t="str">
            <v>Gramos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  <cell r="M402"/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  <cell r="M403" t="str">
            <v>Mililitros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  <cell r="M404" t="str">
            <v>Mililitros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  <cell r="M406" t="str">
            <v>Mililitros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K407">
            <v>1000</v>
          </cell>
          <cell r="L407" t="e">
            <v>#DIV/0!</v>
          </cell>
          <cell r="M407" t="str">
            <v>Gramos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  <cell r="M409" t="str">
            <v>Gramos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  <cell r="M413" t="str">
            <v>Gramos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K417">
            <v>210</v>
          </cell>
          <cell r="L417" t="e">
            <v>#N/A</v>
          </cell>
          <cell r="M417" t="str">
            <v>Gramos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  <cell r="M418" t="str">
            <v>Mililitros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  <cell r="M419" t="str">
            <v>Gramos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  <cell r="M420" t="str">
            <v>Gramos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K423">
            <v>2500</v>
          </cell>
          <cell r="L423" t="e">
            <v>#N/A</v>
          </cell>
          <cell r="M423" t="str">
            <v>Gramos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  <cell r="M424" t="str">
            <v>Gramos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K428">
            <v>1000</v>
          </cell>
          <cell r="L428" t="e">
            <v>#DIV/0!</v>
          </cell>
          <cell r="M428" t="str">
            <v>Gramos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  <cell r="M433" t="str">
            <v>Mililitros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K435">
            <v>3785</v>
          </cell>
          <cell r="L435" t="e">
            <v>#DIV/0!</v>
          </cell>
          <cell r="M435" t="str">
            <v>Gramos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  <cell r="M436" t="str">
            <v>Unidad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  <cell r="M437" t="str">
            <v>Unidad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  <cell r="M439" t="str">
            <v>Gramos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  <cell r="M440" t="str">
            <v>Gramos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  <cell r="M441" t="str">
            <v>Gramos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  <cell r="M442" t="str">
            <v>Gramos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  <cell r="M444" t="str">
            <v>Gramos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  <cell r="M446" t="str">
            <v>Mililitros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10100249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  <cell r="M449"/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  <cell r="M450"/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  <cell r="M451" t="str">
            <v>Unidad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  <cell r="M453" t="str">
            <v>Gramos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  <cell r="M454" t="str">
            <v>Gramos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  <cell r="M456" t="str">
            <v>Gramos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  <cell r="M459" t="str">
            <v>Mililitros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K460">
            <v>3785</v>
          </cell>
          <cell r="L460" t="e">
            <v>#DIV/0!</v>
          </cell>
          <cell r="M460" t="str">
            <v>Mililitros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K461"/>
          <cell r="L461" t="e">
            <v>#DIV/0!</v>
          </cell>
          <cell r="M461"/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K462">
            <v>1000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K463">
            <v>1</v>
          </cell>
          <cell r="L463" t="e">
            <v>#N/A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K464">
            <v>1</v>
          </cell>
          <cell r="L464" t="e">
            <v>#DIV/0!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K465">
            <v>1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K466">
            <v>1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K467">
            <v>1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  <cell r="M468" t="str">
            <v>Gramos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  <cell r="M469" t="str">
            <v>Mililitros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  <cell r="M471" t="str">
            <v>Mililitros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  <cell r="M473" t="str">
            <v>Gramos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  <cell r="M474" t="str">
            <v>Gramos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  <cell r="M479" t="str">
            <v>Gramos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  <cell r="M482" t="str">
            <v>Gramos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  <cell r="M485" t="str">
            <v>Gramos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  <cell r="M487" t="str">
            <v>Gramos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  <cell r="M488" t="str">
            <v>Gramos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  <cell r="M491" t="str">
            <v>Gramos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  <cell r="M494" t="str">
            <v>Gramos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K511">
            <v>130</v>
          </cell>
          <cell r="L511" t="e">
            <v>#DIV/0!</v>
          </cell>
          <cell r="M511" t="str">
            <v>Mililitros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  <cell r="M514" t="str">
            <v>Mililitros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  <cell r="M516" t="str">
            <v>Mililitros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K518">
            <v>1000</v>
          </cell>
          <cell r="L518" t="e">
            <v>#N/A</v>
          </cell>
          <cell r="M518" t="str">
            <v>Gramos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  <cell r="M520" t="str">
            <v>Gramos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  <cell r="M522" t="str">
            <v>Und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  <cell r="M525" t="str">
            <v>Und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  <cell r="M532" t="str">
            <v>Gramos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  <cell r="M533" t="str">
            <v>Gramos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  <cell r="M535" t="str">
            <v>Gramos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  <cell r="M536" t="str">
            <v>Gramos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  <cell r="M537" t="str">
            <v>Gramos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  <cell r="M539" t="str">
            <v>Gramos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  <cell r="M540" t="str">
            <v>Gramos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  <cell r="M542" t="str">
            <v>Gramos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  <cell r="M547" t="str">
            <v>Gramos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  <cell r="M548" t="str">
            <v>Und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  <cell r="M556" t="str">
            <v>Gramos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  <cell r="M557" t="str">
            <v>Gramos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  <cell r="M558" t="str">
            <v>Gramos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K560">
            <v>1</v>
          </cell>
          <cell r="L560" t="e">
            <v>#DIV/0!</v>
          </cell>
          <cell r="M560" t="str">
            <v>Gramos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  <cell r="M561"/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  <cell r="M562" t="str">
            <v>Und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  <cell r="M563" t="str">
            <v>Und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  <cell r="M565" t="str">
            <v>Und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  <cell r="M567" t="str">
            <v>Gramos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  <cell r="M568" t="str">
            <v>Gramos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  <cell r="M570" t="str">
            <v>Gramos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  <cell r="M576" t="str">
            <v>Gramos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  <cell r="M577" t="str">
            <v>Gramos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  <cell r="M578" t="str">
            <v>Gramos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  <cell r="M584" t="str">
            <v>Gramos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  <cell r="M585" t="str">
            <v>Gramos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  <cell r="M586" t="str">
            <v>Gramos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  <cell r="M587" t="str">
            <v>Gramos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K594">
            <v>11000</v>
          </cell>
          <cell r="L594" t="e">
            <v>#N/A</v>
          </cell>
          <cell r="M594" t="str">
            <v>Gramos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K595">
            <v>3785</v>
          </cell>
          <cell r="L595" t="e">
            <v>#N/A</v>
          </cell>
          <cell r="M595" t="str">
            <v>Mililitros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  <cell r="M596" t="str">
            <v>Gramos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  <cell r="M597" t="str">
            <v>Gramos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K598">
            <v>3030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K601">
            <v>500</v>
          </cell>
          <cell r="L601" t="e">
            <v>#DIV/0!</v>
          </cell>
          <cell r="M601" t="str">
            <v>Gramos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K602">
            <v>5000</v>
          </cell>
          <cell r="L602" t="e">
            <v>#DIV/0!</v>
          </cell>
          <cell r="M602" t="str">
            <v>Gramos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K603">
            <v>1000</v>
          </cell>
          <cell r="L603" t="e">
            <v>#DIV/0!</v>
          </cell>
          <cell r="M603" t="str">
            <v>Gramos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  <cell r="M604" t="str">
            <v>Gramos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K605">
            <v>13600</v>
          </cell>
          <cell r="L605" t="e">
            <v>#N/A</v>
          </cell>
          <cell r="M605" t="str">
            <v>Gramos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K606">
            <v>454</v>
          </cell>
          <cell r="L606" t="e">
            <v>#N/A</v>
          </cell>
          <cell r="M606" t="str">
            <v>Gramos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K609">
            <v>160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K610">
            <v>160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D620" t="str">
            <v>20400121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  <cell r="M621" t="str">
            <v>Und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  <cell r="M622" t="str">
            <v>Und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  <cell r="M623" t="str">
            <v>Und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  <cell r="M625" t="str">
            <v>Und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  <cell r="M626"/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  <cell r="M627"/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  <cell r="M630" t="str">
            <v>Und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K631">
            <v>500</v>
          </cell>
          <cell r="L631" t="e">
            <v>#DIV/0!</v>
          </cell>
          <cell r="M631" t="str">
            <v>Und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  <cell r="M632" t="str">
            <v>Und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  <cell r="M636" t="str">
            <v>Und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  <cell r="M637" t="str">
            <v>Und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  <cell r="M638" t="str">
            <v>Und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K639">
            <v>625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  <cell r="M641" t="str">
            <v>Und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  <cell r="M642" t="str">
            <v>Und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  <cell r="M643" t="str">
            <v>Und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  <cell r="M645" t="str">
            <v>Und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  <cell r="M650" t="str">
            <v>Und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  <cell r="M652" t="str">
            <v>Und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  <cell r="M653"/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  <cell r="M654"/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  <cell r="M657" t="str">
            <v>Und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  <cell r="M659" t="str">
            <v>Und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  <cell r="M660" t="str">
            <v>Und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  <cell r="M661" t="str">
            <v>Und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  <cell r="M662" t="str">
            <v>Und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  <cell r="M663" t="str">
            <v>Und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  <cell r="M664" t="str">
            <v>Und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  <cell r="M665" t="str">
            <v>Und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K672">
            <v>50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K673">
            <v>125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K675">
            <v>50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K677">
            <v>50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K679">
            <v>50</v>
          </cell>
          <cell r="L679" t="e">
            <v>#DIV/0!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K680">
            <v>25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  <cell r="M682" t="str">
            <v>Und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  <cell r="M683" t="str">
            <v>Und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  <cell r="M684" t="str">
            <v>Und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  <cell r="M688" t="str">
            <v>Und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  <cell r="M689" t="str">
            <v>Und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  <cell r="M693" t="str">
            <v>Und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  <cell r="M694"/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  <cell r="M695"/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  <cell r="M698" t="str">
            <v>Und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  <cell r="M699" t="str">
            <v>Und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K700">
            <v>1</v>
          </cell>
          <cell r="L700" t="e">
            <v>#DIV/0!</v>
          </cell>
          <cell r="M700" t="str">
            <v>Und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  <cell r="M701" t="str">
            <v>Und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  <cell r="M702" t="str">
            <v>Und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  <cell r="M703" t="str">
            <v>Und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  <cell r="M707" t="str">
            <v>Und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  <cell r="M709" t="str">
            <v>Mililitros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  <cell r="M710"/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K711">
            <v>1</v>
          </cell>
          <cell r="L711" t="e">
            <v>#N/A</v>
          </cell>
          <cell r="M711"/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K712">
            <v>1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  <cell r="M713"/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K714">
            <v>1</v>
          </cell>
          <cell r="L714" t="e">
            <v>#N/A</v>
          </cell>
          <cell r="M714"/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  <cell r="M715" t="str">
            <v>Mililitros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  <cell r="M716" t="str">
            <v>Mililitros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K717">
            <v>500</v>
          </cell>
          <cell r="L717" t="e">
            <v>#N/A</v>
          </cell>
          <cell r="M717" t="str">
            <v>Gramos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K719">
            <v>1000</v>
          </cell>
          <cell r="L719" t="e">
            <v>#N/A</v>
          </cell>
          <cell r="M719" t="str">
            <v>Mililitros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K720">
            <v>1</v>
          </cell>
          <cell r="L720" t="e">
            <v>#N/A</v>
          </cell>
          <cell r="M720" t="str">
            <v>Gramos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  <cell r="M735" t="str">
            <v>Gramos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  <cell r="M736" t="str">
            <v>Gramos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  <cell r="M737" t="str">
            <v>Gramos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  <cell r="M738" t="str">
            <v>Gramos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  <cell r="M739" t="str">
            <v>Gramos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  <cell r="M741" t="str">
            <v>Gramos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  <cell r="M742" t="str">
            <v>Gramos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  <cell r="M745" t="str">
            <v>Mililitros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  <cell r="M746" t="str">
            <v>Gramos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  <cell r="M749" t="str">
            <v>Gramos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  <cell r="M751" t="str">
            <v>Gramos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  <cell r="M752" t="str">
            <v>Gramos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  <cell r="M753" t="str">
            <v>Gramos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K760">
            <v>354</v>
          </cell>
          <cell r="L760" t="e">
            <v>#DIV/0!</v>
          </cell>
          <cell r="M760" t="str">
            <v>Gramos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  <cell r="M761" t="str">
            <v>Gramos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  <cell r="M763"/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K764">
            <v>1000</v>
          </cell>
          <cell r="L764" t="e">
            <v>#N/A</v>
          </cell>
          <cell r="M764" t="str">
            <v>Gramos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K765">
            <v>23000</v>
          </cell>
          <cell r="L765" t="e">
            <v>#N/A</v>
          </cell>
          <cell r="M765"/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K766">
            <v>25000</v>
          </cell>
          <cell r="L766" t="e">
            <v>#N/A</v>
          </cell>
          <cell r="M766"/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K768">
            <v>1000</v>
          </cell>
          <cell r="L768" t="e">
            <v>#N/A</v>
          </cell>
          <cell r="M768" t="str">
            <v>Mililitros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K769">
            <v>800</v>
          </cell>
          <cell r="L769" t="e">
            <v>#N/A</v>
          </cell>
          <cell r="M769" t="str">
            <v>Gramos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K770">
            <v>1000</v>
          </cell>
          <cell r="L770" t="e">
            <v>#N/A</v>
          </cell>
          <cell r="M770" t="str">
            <v>Gramos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K771">
            <v>1000</v>
          </cell>
          <cell r="L771" t="e">
            <v>#N/A</v>
          </cell>
          <cell r="M771" t="str">
            <v>Gramos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K772">
            <v>3000</v>
          </cell>
          <cell r="L772" t="e">
            <v>#DIV/0!</v>
          </cell>
          <cell r="M772" t="str">
            <v>Gramos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Und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  <cell r="M779" t="str">
            <v>Gramos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  <cell r="M780"/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  <cell r="M781" t="str">
            <v>Mililitros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K782">
            <v>4000</v>
          </cell>
          <cell r="L782" t="e">
            <v>#DIV/0!</v>
          </cell>
          <cell r="M782" t="str">
            <v>Gramos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  <cell r="M785" t="str">
            <v>Gramos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  <cell r="M786" t="str">
            <v>Gramos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D788" t="str">
            <v>119000002</v>
          </cell>
          <cell r="E788" t="str">
            <v>MATERIAS PRIMAS PLANTA</v>
          </cell>
          <cell r="F788" t="str">
            <v>LITRO</v>
          </cell>
          <cell r="G788"/>
          <cell r="H788" t="str">
            <v>28/03/2020</v>
          </cell>
          <cell r="I788">
            <v>100</v>
          </cell>
          <cell r="J788" t="e">
            <v>#N/A</v>
          </cell>
          <cell r="K788">
            <v>1000</v>
          </cell>
          <cell r="L788" t="e">
            <v>#N/A</v>
          </cell>
          <cell r="M788" t="str">
            <v>Mililitros</v>
          </cell>
        </row>
        <row r="789">
          <cell r="A789" t="str">
            <v>10415</v>
          </cell>
          <cell r="B789">
            <v>5668</v>
          </cell>
          <cell r="C789" t="str">
            <v>MANO OBRA</v>
          </cell>
          <cell r="D789" t="str">
            <v>119000012</v>
          </cell>
          <cell r="E789" t="str">
            <v>MANO OBRA</v>
          </cell>
          <cell r="F789" t="str">
            <v>Minuto</v>
          </cell>
          <cell r="G789">
            <v>500</v>
          </cell>
          <cell r="H789" t="str">
            <v>15/06/2020</v>
          </cell>
          <cell r="I789">
            <v>56</v>
          </cell>
          <cell r="J789" t="e">
            <v>#N/A</v>
          </cell>
          <cell r="K789">
            <v>1</v>
          </cell>
          <cell r="L789" t="e">
            <v>#N/A</v>
          </cell>
          <cell r="M789" t="str">
            <v>Minutos</v>
          </cell>
        </row>
        <row r="790">
          <cell r="A790" t="str">
            <v>10416</v>
          </cell>
          <cell r="B790">
            <v>14850</v>
          </cell>
          <cell r="C790" t="str">
            <v>MANO OBRA</v>
          </cell>
          <cell r="D790" t="str">
            <v>119000026</v>
          </cell>
          <cell r="E790" t="str">
            <v>EMPAQUES PLANTA</v>
          </cell>
          <cell r="F790" t="str">
            <v>UND</v>
          </cell>
          <cell r="G790">
            <v>500</v>
          </cell>
          <cell r="H790" t="str">
            <v>15/06/2020</v>
          </cell>
          <cell r="I790">
            <v>8990</v>
          </cell>
          <cell r="J790" t="e">
            <v>#N/A</v>
          </cell>
          <cell r="K790">
            <v>14000</v>
          </cell>
          <cell r="L790" t="e">
            <v>#N/A</v>
          </cell>
          <cell r="M790" t="str">
            <v>Centimetros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D791" t="str">
            <v>120000012</v>
          </cell>
          <cell r="E791" t="str">
            <v>MATERIAS PRIMAS PLANTA</v>
          </cell>
          <cell r="F791"/>
          <cell r="G791">
            <v>500</v>
          </cell>
          <cell r="H791" t="str">
            <v>03/12/2019</v>
          </cell>
          <cell r="I791" t="e">
            <v>#N/A</v>
          </cell>
          <cell r="J791">
            <v>1921</v>
          </cell>
          <cell r="K791">
            <v>3785</v>
          </cell>
          <cell r="L791">
            <v>0.50752972258916773</v>
          </cell>
          <cell r="M791" t="str">
            <v>Mililitros</v>
          </cell>
        </row>
        <row r="792">
          <cell r="A792" t="str">
            <v>18406411</v>
          </cell>
          <cell r="B792">
            <v>14824</v>
          </cell>
          <cell r="C792" t="str">
            <v xml:space="preserve">TRIPLE SEC </v>
          </cell>
          <cell r="D792" t="str">
            <v>120000017</v>
          </cell>
          <cell r="E792" t="str">
            <v>MATERIAS PRIMAS PLANTA</v>
          </cell>
          <cell r="F792" t="str">
            <v>UND</v>
          </cell>
          <cell r="G792">
            <v>500</v>
          </cell>
          <cell r="H792" t="str">
            <v>13/05/2020</v>
          </cell>
          <cell r="I792">
            <v>5600</v>
          </cell>
          <cell r="J792">
            <v>5600</v>
          </cell>
          <cell r="K792">
            <v>750</v>
          </cell>
          <cell r="L792">
            <v>7.4666666666666668</v>
          </cell>
          <cell r="M792" t="str">
            <v>Mililitros</v>
          </cell>
        </row>
        <row r="793">
          <cell r="A793" t="str">
            <v>1010339</v>
          </cell>
          <cell r="B793">
            <v>14825</v>
          </cell>
          <cell r="C793" t="str">
            <v>MERMELADA DE NARANJA SMUCKER (UND:361 G)</v>
          </cell>
          <cell r="D793" t="str">
            <v>120000018</v>
          </cell>
          <cell r="E793" t="str">
            <v>MATERIAS PRIMAS PLANTA</v>
          </cell>
          <cell r="F793" t="str">
            <v>UND</v>
          </cell>
          <cell r="G793">
            <v>500</v>
          </cell>
          <cell r="H793" t="str">
            <v>13/05/2020</v>
          </cell>
          <cell r="I793">
            <v>2323</v>
          </cell>
          <cell r="J793" t="e">
            <v>#N/A</v>
          </cell>
          <cell r="K793">
            <v>361</v>
          </cell>
          <cell r="L793" t="e">
            <v>#N/A</v>
          </cell>
          <cell r="M793" t="str">
            <v>Gramos</v>
          </cell>
        </row>
        <row r="794">
          <cell r="A794" t="str">
            <v>10100285</v>
          </cell>
          <cell r="B794">
            <v>14826</v>
          </cell>
          <cell r="C794" t="str">
            <v>CAFÉ INSTANTANEO (PAQ: 500 G)</v>
          </cell>
          <cell r="D794" t="str">
            <v>120000019</v>
          </cell>
          <cell r="E794" t="str">
            <v>MATERIAS PRIMAS PLANTA</v>
          </cell>
          <cell r="F794" t="str">
            <v>PAQUETE</v>
          </cell>
          <cell r="G794"/>
          <cell r="H794" t="str">
            <v>05/06/2020</v>
          </cell>
          <cell r="I794">
            <v>8555</v>
          </cell>
          <cell r="J794">
            <v>8983</v>
          </cell>
          <cell r="K794">
            <v>500</v>
          </cell>
          <cell r="L794">
            <v>17.966000000000001</v>
          </cell>
          <cell r="M794" t="str">
            <v>Gramos</v>
          </cell>
        </row>
        <row r="795">
          <cell r="A795" t="str">
            <v>512316</v>
          </cell>
          <cell r="B795">
            <v>15912</v>
          </cell>
          <cell r="C795" t="str">
            <v>ETIQ.FECHA VENCIMIENTO BLANCO (ROLLO)</v>
          </cell>
          <cell r="D795" t="str">
            <v>120000022</v>
          </cell>
          <cell r="E795" t="str">
            <v>EMPAQUES PLANTA</v>
          </cell>
          <cell r="F795" t="str">
            <v>rollo</v>
          </cell>
          <cell r="G795">
            <v>500</v>
          </cell>
          <cell r="H795" t="str">
            <v>21/05/2020</v>
          </cell>
          <cell r="I795">
            <v>205</v>
          </cell>
          <cell r="J795">
            <v>180</v>
          </cell>
          <cell r="K795">
            <v>900</v>
          </cell>
          <cell r="L795">
            <v>0.2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TOMATE PELADO ENTERO (UND: 2.89 K)</v>
          </cell>
          <cell r="D796" t="str">
            <v>120000023</v>
          </cell>
          <cell r="E796"/>
          <cell r="F796"/>
          <cell r="G796">
            <v>500</v>
          </cell>
          <cell r="H796" t="str">
            <v>16/04/2020</v>
          </cell>
          <cell r="I796">
            <v>2728</v>
          </cell>
          <cell r="J796">
            <v>2728</v>
          </cell>
          <cell r="K796">
            <v>2890</v>
          </cell>
          <cell r="L796">
            <v>0.94394463667820072</v>
          </cell>
          <cell r="M796" t="str">
            <v>Gramos</v>
          </cell>
        </row>
        <row r="797">
          <cell r="A797" t="str">
            <v>203000096</v>
          </cell>
          <cell r="B797">
            <v>12763</v>
          </cell>
          <cell r="C797" t="str">
            <v>CARNE MOLIDA 80-20 (KILO)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3195</v>
          </cell>
          <cell r="J797">
            <v>3195</v>
          </cell>
          <cell r="K797">
            <v>1000</v>
          </cell>
          <cell r="L797">
            <v>3.1949999999999998</v>
          </cell>
          <cell r="M797" t="str">
            <v>Gramos</v>
          </cell>
        </row>
        <row r="798">
          <cell r="A798" t="str">
            <v>207000001</v>
          </cell>
          <cell r="B798">
            <v>11323</v>
          </cell>
          <cell r="C798" t="str">
            <v>GALLETA CHOCOLATE (PAQ:KG)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3135</v>
          </cell>
          <cell r="J798">
            <v>3135</v>
          </cell>
          <cell r="K798">
            <v>1000</v>
          </cell>
          <cell r="L798">
            <v>3.1349999999999998</v>
          </cell>
          <cell r="M798" t="str">
            <v>Gramos</v>
          </cell>
        </row>
        <row r="799">
          <cell r="A799" t="str">
            <v>207000002</v>
          </cell>
          <cell r="B799">
            <v>11324</v>
          </cell>
          <cell r="C799" t="str">
            <v>LECHE CONDENSADA UNTABLE (PAQ:4.5 K)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11910</v>
          </cell>
          <cell r="J799">
            <v>11910</v>
          </cell>
          <cell r="K799">
            <v>4500</v>
          </cell>
          <cell r="L799">
            <v>2.6466666666666665</v>
          </cell>
          <cell r="M799" t="str">
            <v>Gramos</v>
          </cell>
        </row>
        <row r="800">
          <cell r="A800" t="str">
            <v>207000003</v>
          </cell>
          <cell r="B800">
            <v>11325</v>
          </cell>
          <cell r="C800" t="str">
            <v>BOLSA DOYPACK KRAFT 11X19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98.76</v>
          </cell>
          <cell r="J800">
            <v>106.19468999999999</v>
          </cell>
          <cell r="K800">
            <v>1</v>
          </cell>
          <cell r="L800">
            <v>106.19468999999999</v>
          </cell>
          <cell r="M800" t="str">
            <v>Und</v>
          </cell>
        </row>
        <row r="801">
          <cell r="A801" t="str">
            <v>401000002</v>
          </cell>
          <cell r="B801">
            <v>5679</v>
          </cell>
          <cell r="C801" t="str">
            <v>BOLSA TRANSPARENTE 8X10X4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 t="e">
            <v>#N/A</v>
          </cell>
          <cell r="K801">
            <v>196</v>
          </cell>
          <cell r="L801" t="e">
            <v>#N/A</v>
          </cell>
          <cell r="M801" t="str">
            <v>Und</v>
          </cell>
        </row>
        <row r="802">
          <cell r="A802" t="str">
            <v>401000003</v>
          </cell>
          <cell r="B802">
            <v>5680</v>
          </cell>
          <cell r="C802" t="str">
            <v>RON PLATA ESPECIAL (UND: LITRO)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5720</v>
          </cell>
          <cell r="J802">
            <v>6500</v>
          </cell>
          <cell r="K802">
            <v>1000</v>
          </cell>
          <cell r="L802">
            <v>6.5</v>
          </cell>
          <cell r="M802" t="str">
            <v>Mililitros</v>
          </cell>
        </row>
        <row r="803">
          <cell r="A803" t="str">
            <v>401000004</v>
          </cell>
          <cell r="B803">
            <v>5681</v>
          </cell>
          <cell r="C803" t="str">
            <v>CREMA ROSSANA (351g)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1345</v>
          </cell>
          <cell r="J803">
            <v>1345</v>
          </cell>
          <cell r="K803">
            <v>200</v>
          </cell>
          <cell r="L803">
            <v>6.7249999999999996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PREMEZCLA DAWN BROWNIE (SACO=22.68K)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40000</v>
          </cell>
          <cell r="J804">
            <v>40000</v>
          </cell>
          <cell r="K804">
            <v>22680</v>
          </cell>
          <cell r="L804">
            <v>1.7636684303350969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 xml:space="preserve">SABORIZANTE AVELLANA 1595 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10974</v>
          </cell>
          <cell r="J805">
            <v>10974.08</v>
          </cell>
          <cell r="K805">
            <v>1000</v>
          </cell>
          <cell r="L805">
            <v>10.974080000000001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CHOCOLATE LOGO ROSSANA UND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9750</v>
          </cell>
          <cell r="J806">
            <v>487.5</v>
          </cell>
          <cell r="K806">
            <v>20</v>
          </cell>
          <cell r="L806">
            <v>24.375</v>
          </cell>
          <cell r="M806" t="str">
            <v>UND</v>
          </cell>
        </row>
        <row r="807">
          <cell r="A807" t="str">
            <v>510000013</v>
          </cell>
          <cell r="B807">
            <v>8045</v>
          </cell>
          <cell r="C807" t="str">
            <v>MEZCLA QUESO UNIVERSAL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3456</v>
          </cell>
          <cell r="J807">
            <v>3456</v>
          </cell>
          <cell r="K807">
            <v>1000</v>
          </cell>
          <cell r="L807">
            <v>3.456</v>
          </cell>
          <cell r="M807" t="str">
            <v>Gramos</v>
          </cell>
        </row>
        <row r="808">
          <cell r="A808" t="str">
            <v>510000014</v>
          </cell>
          <cell r="B808">
            <v>15367</v>
          </cell>
          <cell r="C808" t="str">
            <v>FRUTOS DEL BOSQUE (PAQ: 500 G)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951</v>
          </cell>
          <cell r="J808">
            <v>951</v>
          </cell>
          <cell r="K808">
            <v>500</v>
          </cell>
          <cell r="L808">
            <v>1.9019999999999999</v>
          </cell>
          <cell r="M808" t="str">
            <v>Gramos</v>
          </cell>
        </row>
        <row r="809">
          <cell r="A809" t="str">
            <v>510000015</v>
          </cell>
          <cell r="B809">
            <v>15384</v>
          </cell>
          <cell r="C809" t="str">
            <v>CREMA PASTELERA (UND: 1 KILO)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1750</v>
          </cell>
          <cell r="J809">
            <v>1750</v>
          </cell>
          <cell r="K809">
            <v>1000</v>
          </cell>
          <cell r="L809">
            <v>1.75</v>
          </cell>
          <cell r="M809" t="str">
            <v>Gramos</v>
          </cell>
        </row>
        <row r="810">
          <cell r="A810" t="str">
            <v>510000016</v>
          </cell>
          <cell r="B810">
            <v>15385</v>
          </cell>
          <cell r="C810" t="str">
            <v>BOLSA AL VACIO 10X15 UND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83</v>
          </cell>
          <cell r="J810">
            <v>83</v>
          </cell>
          <cell r="K810">
            <v>1</v>
          </cell>
          <cell r="L810">
            <v>83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MERMELADA NARANJA UJARRAS (UND: 4.5 K)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 t="e">
            <v>#N/A</v>
          </cell>
          <cell r="K811">
            <v>2500</v>
          </cell>
          <cell r="L811" t="e">
            <v>#N/A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CAJA QUEQUE NAVIDEÑO 700g (UNIDAD)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 t="e">
            <v>#N/A</v>
          </cell>
          <cell r="K812">
            <v>20000</v>
          </cell>
          <cell r="L812" t="e">
            <v>#N/A</v>
          </cell>
          <cell r="M812" t="str">
            <v>Und</v>
          </cell>
        </row>
        <row r="813">
          <cell r="A813" t="str">
            <v>515000012</v>
          </cell>
          <cell r="B813">
            <v>5874</v>
          </cell>
          <cell r="C813" t="str">
            <v>ORLA NAVIDEÑA GRANDE (UND)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140</v>
          </cell>
          <cell r="J813">
            <v>105</v>
          </cell>
          <cell r="K813">
            <v>1</v>
          </cell>
          <cell r="L813">
            <v>105</v>
          </cell>
          <cell r="M813" t="str">
            <v>und</v>
          </cell>
        </row>
        <row r="814">
          <cell r="A814" t="str">
            <v>516000002</v>
          </cell>
          <cell r="B814">
            <v>8074</v>
          </cell>
          <cell r="C814" t="str">
            <v>BOLSA AL VACIO 8*10 ( 100 * PAQ 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39</v>
          </cell>
          <cell r="J814">
            <v>39</v>
          </cell>
          <cell r="K814">
            <v>1</v>
          </cell>
          <cell r="L814">
            <v>39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ORLA NAVIDEÑA PEQUEÑA (UND)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57</v>
          </cell>
          <cell r="J815">
            <v>65</v>
          </cell>
          <cell r="K815">
            <v>1</v>
          </cell>
          <cell r="L815">
            <v>65</v>
          </cell>
          <cell r="M815" t="str">
            <v>und</v>
          </cell>
        </row>
        <row r="816">
          <cell r="A816" t="str">
            <v>1020000471</v>
          </cell>
          <cell r="B816">
            <v>15833</v>
          </cell>
          <cell r="C816" t="str">
            <v>CAJA NAVIDEÑA PEQ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566</v>
          </cell>
          <cell r="J816" t="e">
            <v>#N/A</v>
          </cell>
          <cell r="K816">
            <v>1</v>
          </cell>
          <cell r="L816" t="e">
            <v>#N/A</v>
          </cell>
          <cell r="M816" t="str">
            <v>und</v>
          </cell>
        </row>
        <row r="817">
          <cell r="A817" t="str">
            <v>403000007</v>
          </cell>
          <cell r="B817">
            <v>5717</v>
          </cell>
          <cell r="C817" t="str">
            <v>CHILE MORRON ASADO (UND:2.9 K)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 t="e">
            <v>#N/A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 t="e">
            <v>#N/A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3000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24912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50700018</v>
          </cell>
          <cell r="E821" t="str">
            <v>MATERIAS PRIMAS PLANTA</v>
          </cell>
          <cell r="F821" t="str">
            <v>UND</v>
          </cell>
          <cell r="I821">
            <v>1921</v>
          </cell>
          <cell r="J821">
            <v>18041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 t="e">
            <v>#N/A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10700045</v>
          </cell>
          <cell r="E823" t="str">
            <v>EMPAQUES PLANTA</v>
          </cell>
          <cell r="F823" t="str">
            <v>CAJA</v>
          </cell>
          <cell r="G823">
            <v>500</v>
          </cell>
          <cell r="I823">
            <v>20298</v>
          </cell>
          <cell r="J823">
            <v>14720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e">
            <v>#N/A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e">
            <v>#N/A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/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/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/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/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/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/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/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700.0332620307172</v>
          </cell>
          <cell r="H22">
            <v>700.0332620307172</v>
          </cell>
          <cell r="I22">
            <v>12.859545896989289</v>
          </cell>
          <cell r="J22">
            <v>12.859545896989289</v>
          </cell>
          <cell r="K22">
            <v>128.32070542698716</v>
          </cell>
          <cell r="L22">
            <v>128.32070542698716</v>
          </cell>
          <cell r="M22">
            <v>841.21351335469365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1593.0374000738313</v>
          </cell>
          <cell r="H30">
            <v>1.5930374000738314</v>
          </cell>
          <cell r="I30">
            <v>7.4431822897142874</v>
          </cell>
          <cell r="J30">
            <v>7.4431822897142877E-3</v>
          </cell>
          <cell r="K30">
            <v>288.08650482543823</v>
          </cell>
          <cell r="L30">
            <v>0.28808650482543824</v>
          </cell>
          <cell r="M30">
            <v>1888.5670871889838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1593.0374000738313</v>
          </cell>
          <cell r="H32">
            <v>1.5930374000738314</v>
          </cell>
          <cell r="I32">
            <v>13.833182289714285</v>
          </cell>
          <cell r="J32">
            <v>1.3833182289714285E-2</v>
          </cell>
          <cell r="K32">
            <v>289.23670482543821</v>
          </cell>
          <cell r="L32">
            <v>0.28923670482543823</v>
          </cell>
          <cell r="M32">
            <v>1896.1072871889839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2864.1182771565104</v>
          </cell>
          <cell r="H33">
            <v>2.8641182771565106</v>
          </cell>
          <cell r="I33">
            <v>2.9821618449499545</v>
          </cell>
          <cell r="J33">
            <v>2.9821618449499547E-3</v>
          </cell>
          <cell r="K33">
            <v>516.07807902026286</v>
          </cell>
          <cell r="L33">
            <v>0.51607807902026281</v>
          </cell>
          <cell r="M33">
            <v>3383.1785180217234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1705.1220937636363</v>
          </cell>
          <cell r="H38">
            <v>1.7051220937636362</v>
          </cell>
          <cell r="I38">
            <v>0</v>
          </cell>
          <cell r="J38">
            <v>0</v>
          </cell>
          <cell r="K38">
            <v>306.92197687745454</v>
          </cell>
          <cell r="L38">
            <v>0.30692197687745454</v>
          </cell>
          <cell r="M38">
            <v>2012.0440706410909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1797.4820086666666</v>
          </cell>
          <cell r="H39">
            <v>1.7974820086666665</v>
          </cell>
          <cell r="I39">
            <v>2.5266999999999999</v>
          </cell>
          <cell r="J39">
            <v>2.5266999999999998E-3</v>
          </cell>
          <cell r="K39">
            <v>324.00156755999996</v>
          </cell>
          <cell r="L39">
            <v>0.32400156755999998</v>
          </cell>
          <cell r="M39">
            <v>2124.0102762266665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1145.0543024964591</v>
          </cell>
          <cell r="H46">
            <v>1.145054302496459</v>
          </cell>
          <cell r="I46">
            <v>0</v>
          </cell>
          <cell r="J46">
            <v>0</v>
          </cell>
          <cell r="K46">
            <v>206.10977444936262</v>
          </cell>
          <cell r="L46">
            <v>0.20610977444936263</v>
          </cell>
          <cell r="M46">
            <v>1351.1640769458218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>
            <v>2504.1564981818178</v>
          </cell>
          <cell r="H47">
            <v>2.5041564981818176</v>
          </cell>
          <cell r="I47">
            <v>0</v>
          </cell>
          <cell r="J47">
            <v>0</v>
          </cell>
          <cell r="K47">
            <v>450.74816967272722</v>
          </cell>
          <cell r="L47">
            <v>0.45074816967272724</v>
          </cell>
          <cell r="M47">
            <v>2954.9046678545451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1789.0081859191432</v>
          </cell>
          <cell r="H50">
            <v>1.7890081859191431</v>
          </cell>
          <cell r="I50">
            <v>0</v>
          </cell>
          <cell r="J50">
            <v>0</v>
          </cell>
          <cell r="K50">
            <v>322.02147346544575</v>
          </cell>
          <cell r="L50">
            <v>0.32202147346544574</v>
          </cell>
          <cell r="M50">
            <v>2111.0296593845887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850.13760658916988</v>
          </cell>
          <cell r="H51">
            <v>850.13760658916988</v>
          </cell>
          <cell r="I51">
            <v>0.1903076391304348</v>
          </cell>
          <cell r="J51">
            <v>0.1903076391304348</v>
          </cell>
          <cell r="K51">
            <v>153.05902456109405</v>
          </cell>
          <cell r="L51">
            <v>153.05902456109405</v>
          </cell>
          <cell r="M51">
            <v>1003.3869387893943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1165.7715950409997</v>
          </cell>
          <cell r="H54">
            <v>1165.7715950409997</v>
          </cell>
          <cell r="I54">
            <v>5.033799369984469</v>
          </cell>
          <cell r="J54">
            <v>5.033799369984469</v>
          </cell>
          <cell r="K54">
            <v>210.74497099397715</v>
          </cell>
          <cell r="L54">
            <v>210.74497099397715</v>
          </cell>
          <cell r="M54">
            <v>1381.5503654049614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4813.616</v>
          </cell>
          <cell r="H55">
            <v>4.8136159999999997</v>
          </cell>
          <cell r="I55">
            <v>36.582167664670656</v>
          </cell>
          <cell r="J55">
            <v>3.6582167664670658E-2</v>
          </cell>
          <cell r="K55">
            <v>873.03567017964076</v>
          </cell>
          <cell r="L55">
            <v>0.87303567017964079</v>
          </cell>
          <cell r="M55">
            <v>5723.2338378443119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1539.4991299367618</v>
          </cell>
          <cell r="H58">
            <v>1.5394991299367617</v>
          </cell>
          <cell r="I58">
            <v>0.11130476977080322</v>
          </cell>
          <cell r="J58">
            <v>1.1130476977080323E-4</v>
          </cell>
          <cell r="K58">
            <v>277.1298782471759</v>
          </cell>
          <cell r="L58">
            <v>0.27712987824717589</v>
          </cell>
          <cell r="M58">
            <v>1816.7403129537086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599.91600195615933</v>
          </cell>
          <cell r="H59">
            <v>599.91600195615933</v>
          </cell>
          <cell r="I59">
            <v>0.28924104485204349</v>
          </cell>
          <cell r="J59">
            <v>0.28924104485204349</v>
          </cell>
          <cell r="K59">
            <v>108.03694374018204</v>
          </cell>
          <cell r="L59">
            <v>108.03694374018204</v>
          </cell>
          <cell r="M59">
            <v>708.24218674119334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346.25580237725381</v>
          </cell>
          <cell r="H63">
            <v>346.25580237725381</v>
          </cell>
          <cell r="I63">
            <v>2.8205168851981419</v>
          </cell>
          <cell r="J63">
            <v>2.8205168851981419</v>
          </cell>
          <cell r="K63">
            <v>62.833737467241349</v>
          </cell>
          <cell r="L63">
            <v>62.833737467241349</v>
          </cell>
          <cell r="M63">
            <v>411.91005672969328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1326.1626390163178</v>
          </cell>
          <cell r="H85">
            <v>1.3261626390163179</v>
          </cell>
          <cell r="I85">
            <v>17.500383714188949</v>
          </cell>
          <cell r="J85">
            <v>1.7500383714188949E-2</v>
          </cell>
          <cell r="K85">
            <v>241.85934409149121</v>
          </cell>
          <cell r="L85">
            <v>0.24185934409149121</v>
          </cell>
          <cell r="M85">
            <v>1585.522366821998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1072.9232369515012</v>
          </cell>
          <cell r="H157">
            <v>1.0729232369515012</v>
          </cell>
          <cell r="I157">
            <v>12.579106805434751</v>
          </cell>
          <cell r="J157">
            <v>1.2579106805434752E-2</v>
          </cell>
          <cell r="K157">
            <v>195.39042187624847</v>
          </cell>
          <cell r="L157">
            <v>0.19539042187624847</v>
          </cell>
          <cell r="M157">
            <v>1280.8927656331844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1180.6517899637722</v>
          </cell>
          <cell r="H158">
            <v>1.1806517899637723</v>
          </cell>
          <cell r="I158">
            <v>14.451714285714285</v>
          </cell>
          <cell r="J158">
            <v>1.4451714285714285E-2</v>
          </cell>
          <cell r="K158">
            <v>215.11863076490758</v>
          </cell>
          <cell r="L158">
            <v>0.21511863076490759</v>
          </cell>
          <cell r="M158">
            <v>1410.2221350143941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2425.6345916922501</v>
          </cell>
          <cell r="H159">
            <v>2425.6345916922501</v>
          </cell>
          <cell r="I159">
            <v>58.686285714285717</v>
          </cell>
          <cell r="J159">
            <v>58.686285714285717</v>
          </cell>
          <cell r="K159">
            <v>447.17775793317639</v>
          </cell>
          <cell r="L159">
            <v>447.17775793317639</v>
          </cell>
          <cell r="M159">
            <v>2931.4986353397121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1244.9828017284781</v>
          </cell>
          <cell r="H189">
            <v>1244.9828017284781</v>
          </cell>
          <cell r="I189">
            <v>57.337428571428568</v>
          </cell>
          <cell r="J189">
            <v>57.337428571428568</v>
          </cell>
          <cell r="K189">
            <v>234.41764145398318</v>
          </cell>
          <cell r="L189">
            <v>234.41764145398318</v>
          </cell>
          <cell r="M189">
            <v>1536.7378717538897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4561.0324161729222</v>
          </cell>
          <cell r="H190">
            <v>4561.0324161729222</v>
          </cell>
          <cell r="I190">
            <v>57.337428571428568</v>
          </cell>
          <cell r="J190">
            <v>57.337428571428568</v>
          </cell>
          <cell r="K190">
            <v>831.30657205398313</v>
          </cell>
          <cell r="L190">
            <v>831.30657205398313</v>
          </cell>
          <cell r="M190">
            <v>5449.6764167983347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1103.4125912447257</v>
          </cell>
          <cell r="H215">
            <v>1.1034125912447257</v>
          </cell>
          <cell r="I215">
            <v>5.2667269439421336</v>
          </cell>
          <cell r="J215">
            <v>5.2667269439421339E-3</v>
          </cell>
          <cell r="K215">
            <v>199.56227727396021</v>
          </cell>
          <cell r="L215">
            <v>0.1995622772739602</v>
          </cell>
          <cell r="M215">
            <v>1308.2415954626281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1093.445359826087</v>
          </cell>
          <cell r="H216">
            <v>1.0934453598260871</v>
          </cell>
          <cell r="I216">
            <v>5.2099378881987581</v>
          </cell>
          <cell r="J216">
            <v>5.209937888198758E-3</v>
          </cell>
          <cell r="K216">
            <v>197.75795358857144</v>
          </cell>
          <cell r="L216">
            <v>0.19775795358857143</v>
          </cell>
          <cell r="M216">
            <v>1296.4132513028571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16.900725168757766</v>
          </cell>
          <cell r="H217">
            <v>16.900725168757766</v>
          </cell>
          <cell r="I217">
            <v>8.0009760425909501E-2</v>
          </cell>
          <cell r="J217">
            <v>8.0009760425909501E-2</v>
          </cell>
          <cell r="K217">
            <v>3.0565322872530616</v>
          </cell>
          <cell r="L217">
            <v>3.0565322872530616</v>
          </cell>
          <cell r="M217">
            <v>20.037267216436739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6724.1880000000001</v>
          </cell>
          <cell r="H234">
            <v>6.7241879999999998</v>
          </cell>
          <cell r="I234">
            <v>24</v>
          </cell>
          <cell r="J234">
            <v>2.4E-2</v>
          </cell>
          <cell r="K234">
            <v>1214.6738399999999</v>
          </cell>
          <cell r="L234">
            <v>1.2146738399999999</v>
          </cell>
          <cell r="M234">
            <v>7962.8618399999996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4813.616</v>
          </cell>
          <cell r="H241">
            <v>4.8136159999999997</v>
          </cell>
          <cell r="I241">
            <v>62.538922155688617</v>
          </cell>
          <cell r="J241">
            <v>6.2538922155688612E-2</v>
          </cell>
          <cell r="K241">
            <v>877.70788598802392</v>
          </cell>
          <cell r="L241">
            <v>0.87770788598802396</v>
          </cell>
          <cell r="M241">
            <v>5753.8628081437128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1013.3042023251105</v>
          </cell>
          <cell r="H242">
            <v>1.0133042023251104</v>
          </cell>
          <cell r="I242">
            <v>0.18021968965295213</v>
          </cell>
          <cell r="J242">
            <v>1.8021968965295211E-4</v>
          </cell>
          <cell r="K242">
            <v>182.42719596265741</v>
          </cell>
          <cell r="L242">
            <v>0.18242719596265741</v>
          </cell>
          <cell r="M242">
            <v>1195.911617977421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362.87905383438704</v>
          </cell>
          <cell r="H243">
            <v>362.87905383438704</v>
          </cell>
          <cell r="I243">
            <v>4.0402951302202048</v>
          </cell>
          <cell r="J243">
            <v>4.0402951302202048</v>
          </cell>
          <cell r="K243">
            <v>66.045482813629306</v>
          </cell>
          <cell r="L243">
            <v>66.045482813629306</v>
          </cell>
          <cell r="M243">
            <v>432.96483177823654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1304.3720784313728</v>
          </cell>
          <cell r="H247">
            <v>1.3043720784313728</v>
          </cell>
          <cell r="I247">
            <v>6.3061377245508989</v>
          </cell>
          <cell r="J247">
            <v>6.3061377245508992E-3</v>
          </cell>
          <cell r="K247">
            <v>235.92207890806623</v>
          </cell>
          <cell r="L247">
            <v>0.23592207890806621</v>
          </cell>
          <cell r="M247">
            <v>1546.6002950639897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470.74613981229282</v>
          </cell>
          <cell r="H249">
            <v>470.74613981229282</v>
          </cell>
          <cell r="I249">
            <v>5.0211537743488694</v>
          </cell>
          <cell r="J249">
            <v>5.0211537743488694</v>
          </cell>
          <cell r="K249">
            <v>85.638112845595501</v>
          </cell>
          <cell r="L249">
            <v>85.638112845595501</v>
          </cell>
          <cell r="M249">
            <v>561.40540643223721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2300.2934436977612</v>
          </cell>
          <cell r="H253">
            <v>2.3002934436977611</v>
          </cell>
          <cell r="I253">
            <v>2.3980769230769225E-3</v>
          </cell>
          <cell r="J253">
            <v>2.3980769230769227E-6</v>
          </cell>
          <cell r="K253">
            <v>414.05325151944311</v>
          </cell>
          <cell r="L253">
            <v>0.41405325151944311</v>
          </cell>
          <cell r="M253">
            <v>2714.3490932941272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4813.616</v>
          </cell>
          <cell r="H269">
            <v>4.8136159999999997</v>
          </cell>
          <cell r="I269">
            <v>79.08323353293413</v>
          </cell>
          <cell r="J269">
            <v>7.908323353293413E-2</v>
          </cell>
          <cell r="K269">
            <v>880.68586203592815</v>
          </cell>
          <cell r="L269">
            <v>0.88068586203592814</v>
          </cell>
          <cell r="M269">
            <v>5773.3850955688622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1131.293554229102</v>
          </cell>
          <cell r="H270">
            <v>1.131293554229102</v>
          </cell>
          <cell r="I270">
            <v>0.22060059880239519</v>
          </cell>
          <cell r="J270">
            <v>2.206005988023952E-4</v>
          </cell>
          <cell r="K270">
            <v>203.67254786902276</v>
          </cell>
          <cell r="L270">
            <v>0.20367254786902275</v>
          </cell>
          <cell r="M270">
            <v>1335.1867026969271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470.74613981229282</v>
          </cell>
          <cell r="H271">
            <v>470.74613981229282</v>
          </cell>
          <cell r="I271">
            <v>5.0211537743488694</v>
          </cell>
          <cell r="J271">
            <v>5.0211537743488694</v>
          </cell>
          <cell r="K271">
            <v>85.638112845595501</v>
          </cell>
          <cell r="L271">
            <v>85.638112845595501</v>
          </cell>
          <cell r="M271">
            <v>561.40540643223721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423.37125930395325</v>
          </cell>
          <cell r="H273">
            <v>423.37125930395325</v>
          </cell>
          <cell r="I273">
            <v>5.031816807120733</v>
          </cell>
          <cell r="J273">
            <v>5.031816807120733</v>
          </cell>
          <cell r="K273">
            <v>77.112553699993313</v>
          </cell>
          <cell r="L273">
            <v>77.112553699993313</v>
          </cell>
          <cell r="M273">
            <v>505.5156298110673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687.68934944791829</v>
          </cell>
          <cell r="H276">
            <v>687.68934944791829</v>
          </cell>
          <cell r="I276">
            <v>27.840802689219387</v>
          </cell>
          <cell r="J276">
            <v>27.840802689219387</v>
          </cell>
          <cell r="K276">
            <v>128.79542738468476</v>
          </cell>
          <cell r="L276">
            <v>128.79542738468476</v>
          </cell>
          <cell r="M276">
            <v>844.32557952182242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4813.616</v>
          </cell>
          <cell r="H278">
            <v>4.8136159999999997</v>
          </cell>
          <cell r="I278">
            <v>36.582167664670656</v>
          </cell>
          <cell r="J278">
            <v>3.6582167664670658E-2</v>
          </cell>
          <cell r="K278">
            <v>873.03567017964076</v>
          </cell>
          <cell r="L278">
            <v>0.87303567017964079</v>
          </cell>
          <cell r="M278">
            <v>5723.2338378443119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1539.4991299367618</v>
          </cell>
          <cell r="H279">
            <v>1.5394991299367617</v>
          </cell>
          <cell r="I279">
            <v>0.11130476977080322</v>
          </cell>
          <cell r="J279">
            <v>1.1130476977080323E-4</v>
          </cell>
          <cell r="K279">
            <v>277.1298782471759</v>
          </cell>
          <cell r="L279">
            <v>0.27712987824717589</v>
          </cell>
          <cell r="M279">
            <v>1816.7403129537086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599.91600195615933</v>
          </cell>
          <cell r="H280">
            <v>599.91600195615933</v>
          </cell>
          <cell r="I280">
            <v>4.9705349976953173</v>
          </cell>
          <cell r="J280">
            <v>4.9705349976953173</v>
          </cell>
          <cell r="K280">
            <v>108.87957665169382</v>
          </cell>
          <cell r="L280">
            <v>108.87957665169382</v>
          </cell>
          <cell r="M280">
            <v>713.76611360554841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758.36836890131644</v>
          </cell>
          <cell r="H286">
            <v>758.36836890131644</v>
          </cell>
          <cell r="I286">
            <v>13.93209514404295</v>
          </cell>
          <cell r="J286">
            <v>13.93209514404295</v>
          </cell>
          <cell r="K286">
            <v>139.01408352816469</v>
          </cell>
          <cell r="L286">
            <v>139.01408352816469</v>
          </cell>
          <cell r="M286">
            <v>911.31454757352412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1910.5098767273901</v>
          </cell>
          <cell r="H295">
            <v>1910.5098767273901</v>
          </cell>
          <cell r="I295">
            <v>13.821448779897347</v>
          </cell>
          <cell r="J295">
            <v>13.821448779897347</v>
          </cell>
          <cell r="K295">
            <v>346.37963859131173</v>
          </cell>
          <cell r="L295">
            <v>346.37963859131173</v>
          </cell>
          <cell r="M295">
            <v>2270.7109640985991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1486.866454761659</v>
          </cell>
          <cell r="H317">
            <v>1.486866454761659</v>
          </cell>
          <cell r="I317">
            <v>8.8886066612174144</v>
          </cell>
          <cell r="J317">
            <v>8.8886066612174144E-3</v>
          </cell>
          <cell r="K317">
            <v>269.23591105611774</v>
          </cell>
          <cell r="L317">
            <v>0.26923591105611772</v>
          </cell>
          <cell r="M317">
            <v>1764.9909724789941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2072.8666823410599</v>
          </cell>
          <cell r="H318">
            <v>2072.8666823410599</v>
          </cell>
          <cell r="I318">
            <v>27.45985484613222</v>
          </cell>
          <cell r="J318">
            <v>27.45985484613222</v>
          </cell>
          <cell r="K318">
            <v>378.05877669369454</v>
          </cell>
          <cell r="L318">
            <v>378.05877669369454</v>
          </cell>
          <cell r="M318">
            <v>2478.3853138808868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91.219547314885247</v>
          </cell>
          <cell r="H319">
            <v>91.219547314885247</v>
          </cell>
          <cell r="I319">
            <v>7.391531301034294</v>
          </cell>
          <cell r="J319">
            <v>7.391531301034294</v>
          </cell>
          <cell r="K319">
            <v>17.749994150865515</v>
          </cell>
          <cell r="L319">
            <v>17.749994150865515</v>
          </cell>
          <cell r="M319">
            <v>116.36107276678506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1509.0371335443592</v>
          </cell>
          <cell r="H320">
            <v>1509.0371335443592</v>
          </cell>
          <cell r="I320">
            <v>16.166730011238602</v>
          </cell>
          <cell r="J320">
            <v>16.166730011238602</v>
          </cell>
          <cell r="K320">
            <v>274.53669544000758</v>
          </cell>
          <cell r="L320">
            <v>274.53669544000758</v>
          </cell>
          <cell r="M320">
            <v>1799.7405589956054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1843.3397736906572</v>
          </cell>
          <cell r="H328">
            <v>1843.3397736906572</v>
          </cell>
          <cell r="I328">
            <v>0.24805175150499653</v>
          </cell>
          <cell r="J328">
            <v>0.24805175150499653</v>
          </cell>
          <cell r="K328">
            <v>331.84580857958917</v>
          </cell>
          <cell r="L328">
            <v>331.84580857958917</v>
          </cell>
          <cell r="M328">
            <v>2175.4336340217515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2236.1518983669466</v>
          </cell>
          <cell r="H329">
            <v>2.2361518983669466</v>
          </cell>
          <cell r="I329">
            <v>15.039097569340143</v>
          </cell>
          <cell r="J329">
            <v>1.5039097569340142E-2</v>
          </cell>
          <cell r="K329">
            <v>405.21437926853162</v>
          </cell>
          <cell r="L329">
            <v>0.4052143792685316</v>
          </cell>
          <cell r="M329">
            <v>2656.4053752048185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1462.1898201768411</v>
          </cell>
          <cell r="H334">
            <v>1462.1898201768411</v>
          </cell>
          <cell r="I334">
            <v>15.508077391264223</v>
          </cell>
          <cell r="J334">
            <v>15.508077391264223</v>
          </cell>
          <cell r="K334">
            <v>265.98562156225893</v>
          </cell>
          <cell r="L334">
            <v>265.98562156225893</v>
          </cell>
          <cell r="M334">
            <v>1743.6835191303642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/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ETA"/>
      <sheetName val="REC  17-09-2020"/>
      <sheetName val="COSTEO"/>
    </sheetNames>
    <sheetDataSet>
      <sheetData sheetId="0"/>
      <sheetData sheetId="1"/>
      <sheetData sheetId="2">
        <row r="37">
          <cell r="E37">
            <v>0.21835146670926517</v>
          </cell>
        </row>
        <row r="42">
          <cell r="E42">
            <v>2.6357827476038338E-2</v>
          </cell>
        </row>
        <row r="44">
          <cell r="E44">
            <v>6.0856453674121404E-3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9465-ED4E-42B3-8FBF-DAEBBC4606FC}">
  <dimension ref="A1:N48"/>
  <sheetViews>
    <sheetView view="pageBreakPreview" topLeftCell="A10" zoomScale="90" zoomScaleNormal="100" zoomScaleSheetLayoutView="90" workbookViewId="0">
      <selection activeCell="B33" sqref="B33"/>
    </sheetView>
  </sheetViews>
  <sheetFormatPr baseColWidth="10" defaultColWidth="9.140625" defaultRowHeight="13.5" x14ac:dyDescent="0.25"/>
  <cols>
    <col min="1" max="1" width="16.140625" style="5" customWidth="1"/>
    <col min="2" max="3" width="24.5703125" style="5" customWidth="1"/>
    <col min="4" max="4" width="44.42578125" style="5" customWidth="1"/>
    <col min="5" max="5" width="15.5703125" style="5" customWidth="1"/>
    <col min="6" max="6" width="9.140625" style="5" customWidth="1"/>
    <col min="7" max="7" width="13.140625" style="5" customWidth="1"/>
    <col min="8" max="8" width="22.42578125" style="5" customWidth="1"/>
    <col min="9" max="9" width="22.140625" style="5" customWidth="1"/>
    <col min="10" max="10" width="16" style="5" customWidth="1"/>
    <col min="11" max="16384" width="9.140625" style="5"/>
  </cols>
  <sheetData>
    <row r="1" spans="1:10" ht="15.75" x14ac:dyDescent="0.25">
      <c r="A1" s="276"/>
      <c r="B1" s="231"/>
      <c r="C1" s="231"/>
      <c r="D1" s="306" t="s">
        <v>31</v>
      </c>
      <c r="E1" s="306"/>
      <c r="F1" s="306"/>
      <c r="G1" s="306"/>
      <c r="H1" s="306"/>
      <c r="I1" s="36" t="s">
        <v>30</v>
      </c>
      <c r="J1" s="35"/>
    </row>
    <row r="2" spans="1:10" ht="16.5" thickBot="1" x14ac:dyDescent="0.3">
      <c r="A2" s="277"/>
      <c r="B2" s="232"/>
      <c r="C2" s="232"/>
      <c r="D2" s="285" t="s">
        <v>0</v>
      </c>
      <c r="E2" s="285"/>
      <c r="F2" s="285"/>
      <c r="G2" s="285"/>
      <c r="H2" s="285"/>
      <c r="I2" s="34" t="s">
        <v>29</v>
      </c>
      <c r="J2" s="33"/>
    </row>
    <row r="3" spans="1:10" ht="50.1" customHeight="1" thickBot="1" x14ac:dyDescent="0.3">
      <c r="A3" s="278"/>
      <c r="B3" s="230"/>
      <c r="C3" s="230"/>
      <c r="D3" s="307" t="s">
        <v>196</v>
      </c>
      <c r="E3" s="308"/>
      <c r="F3" s="308"/>
      <c r="G3" s="308"/>
      <c r="H3" s="309"/>
      <c r="I3" s="286" t="s">
        <v>28</v>
      </c>
      <c r="J3" s="296"/>
    </row>
    <row r="4" spans="1:10" s="57" customFormat="1" ht="16.5" customHeight="1" x14ac:dyDescent="0.25">
      <c r="A4" s="277"/>
      <c r="B4" s="232"/>
      <c r="C4" s="232"/>
      <c r="D4" s="56" t="s">
        <v>27</v>
      </c>
      <c r="E4" s="290" t="s">
        <v>69</v>
      </c>
      <c r="F4" s="291"/>
      <c r="G4" s="291"/>
      <c r="H4" s="292"/>
      <c r="I4" s="287"/>
      <c r="J4" s="297"/>
    </row>
    <row r="5" spans="1:10" s="57" customFormat="1" ht="16.5" customHeight="1" x14ac:dyDescent="0.25">
      <c r="A5" s="277"/>
      <c r="B5" s="232"/>
      <c r="C5" s="232"/>
      <c r="D5" s="56"/>
      <c r="E5" s="58"/>
      <c r="F5" s="59"/>
      <c r="G5" s="59"/>
      <c r="H5" s="60"/>
      <c r="I5" s="287"/>
      <c r="J5" s="297"/>
    </row>
    <row r="6" spans="1:10" s="57" customFormat="1" ht="16.5" customHeight="1" thickBot="1" x14ac:dyDescent="0.3">
      <c r="A6" s="279"/>
      <c r="B6" s="233"/>
      <c r="C6" s="233"/>
      <c r="D6" s="61" t="s">
        <v>26</v>
      </c>
      <c r="E6" s="310" t="s">
        <v>70</v>
      </c>
      <c r="F6" s="311"/>
      <c r="G6" s="311"/>
      <c r="H6" s="312"/>
      <c r="I6" s="288"/>
      <c r="J6" s="298"/>
    </row>
    <row r="7" spans="1:10" s="57" customFormat="1" ht="16.5" customHeight="1" thickBot="1" x14ac:dyDescent="0.25">
      <c r="A7" s="299" t="s">
        <v>89</v>
      </c>
      <c r="B7" s="300"/>
      <c r="C7" s="300"/>
      <c r="D7" s="300"/>
      <c r="E7" s="280" t="s">
        <v>23</v>
      </c>
      <c r="F7" s="280"/>
      <c r="G7" s="280"/>
      <c r="H7" s="289" t="s">
        <v>90</v>
      </c>
      <c r="I7" s="289"/>
      <c r="J7" s="62" t="s">
        <v>23</v>
      </c>
    </row>
    <row r="8" spans="1:10" ht="22.5" customHeight="1" x14ac:dyDescent="0.25">
      <c r="A8" s="283" t="s">
        <v>1</v>
      </c>
      <c r="B8" s="293" t="s">
        <v>186</v>
      </c>
      <c r="C8" s="293" t="s">
        <v>186</v>
      </c>
      <c r="D8" s="281" t="s">
        <v>2</v>
      </c>
      <c r="E8" s="281" t="s">
        <v>3</v>
      </c>
      <c r="F8" s="281" t="s">
        <v>4</v>
      </c>
      <c r="G8" s="281"/>
      <c r="H8" s="281" t="s">
        <v>25</v>
      </c>
      <c r="I8" s="281"/>
      <c r="J8" s="53" t="s">
        <v>5</v>
      </c>
    </row>
    <row r="9" spans="1:10" ht="26.25" thickBot="1" x14ac:dyDescent="0.3">
      <c r="A9" s="284"/>
      <c r="B9" s="294"/>
      <c r="C9" s="294"/>
      <c r="D9" s="282"/>
      <c r="E9" s="282"/>
      <c r="F9" s="48" t="s">
        <v>6</v>
      </c>
      <c r="G9" s="52" t="s">
        <v>7</v>
      </c>
      <c r="H9" s="48" t="s">
        <v>6</v>
      </c>
      <c r="I9" s="52" t="s">
        <v>7</v>
      </c>
      <c r="J9" s="51" t="s">
        <v>8</v>
      </c>
    </row>
    <row r="10" spans="1:10" ht="15" x14ac:dyDescent="0.25">
      <c r="A10" s="220"/>
      <c r="B10" s="234"/>
      <c r="C10" s="234"/>
      <c r="D10" s="212" t="s">
        <v>24</v>
      </c>
      <c r="E10" s="221"/>
      <c r="F10" s="209"/>
      <c r="G10" s="32"/>
      <c r="H10" s="31"/>
      <c r="I10" s="31"/>
      <c r="J10" s="30"/>
    </row>
    <row r="11" spans="1:10" ht="15.75" x14ac:dyDescent="0.25">
      <c r="A11" s="214" t="s">
        <v>71</v>
      </c>
      <c r="B11" s="214" t="s">
        <v>187</v>
      </c>
      <c r="C11" s="214"/>
      <c r="D11" s="215" t="s">
        <v>72</v>
      </c>
      <c r="E11" s="41" t="s">
        <v>46</v>
      </c>
      <c r="F11" s="222">
        <v>330</v>
      </c>
      <c r="G11" s="43" t="s">
        <v>14</v>
      </c>
      <c r="H11" s="44">
        <v>1.5</v>
      </c>
      <c r="I11" s="44" t="s">
        <v>42</v>
      </c>
      <c r="J11" s="30"/>
    </row>
    <row r="12" spans="1:10" ht="15.75" x14ac:dyDescent="0.25">
      <c r="A12" s="45" t="s">
        <v>38</v>
      </c>
      <c r="B12" s="45" t="s">
        <v>187</v>
      </c>
      <c r="C12" s="45"/>
      <c r="D12" s="207" t="s">
        <v>37</v>
      </c>
      <c r="E12" s="41" t="s">
        <v>36</v>
      </c>
      <c r="F12" s="1">
        <v>70</v>
      </c>
      <c r="G12" s="4" t="s">
        <v>14</v>
      </c>
      <c r="H12" s="253" t="s">
        <v>73</v>
      </c>
      <c r="I12" s="254" t="s">
        <v>9</v>
      </c>
      <c r="J12" s="30"/>
    </row>
    <row r="13" spans="1:10" ht="15.75" x14ac:dyDescent="0.25">
      <c r="A13" s="45" t="s">
        <v>47</v>
      </c>
      <c r="B13" s="44" t="s">
        <v>187</v>
      </c>
      <c r="C13" s="44"/>
      <c r="D13" s="208" t="s">
        <v>48</v>
      </c>
      <c r="E13" s="41" t="s">
        <v>46</v>
      </c>
      <c r="F13" s="209">
        <v>50</v>
      </c>
      <c r="G13" s="32" t="s">
        <v>14</v>
      </c>
      <c r="H13" s="253" t="s">
        <v>74</v>
      </c>
      <c r="I13" s="254"/>
      <c r="J13" s="30"/>
    </row>
    <row r="14" spans="1:10" ht="15.75" x14ac:dyDescent="0.25">
      <c r="A14" s="45" t="s">
        <v>49</v>
      </c>
      <c r="B14" s="44" t="s">
        <v>188</v>
      </c>
      <c r="C14" s="44"/>
      <c r="D14" s="208" t="s">
        <v>50</v>
      </c>
      <c r="E14" s="41" t="s">
        <v>46</v>
      </c>
      <c r="F14" s="1">
        <v>75</v>
      </c>
      <c r="G14" s="4" t="s">
        <v>14</v>
      </c>
      <c r="H14" s="253" t="s">
        <v>73</v>
      </c>
      <c r="I14" s="254"/>
      <c r="J14" s="30"/>
    </row>
    <row r="15" spans="1:10" ht="15.75" x14ac:dyDescent="0.25">
      <c r="A15" s="45" t="s">
        <v>34</v>
      </c>
      <c r="B15" s="44" t="s">
        <v>189</v>
      </c>
      <c r="C15" s="44"/>
      <c r="D15" s="208" t="s">
        <v>35</v>
      </c>
      <c r="E15" s="41" t="s">
        <v>46</v>
      </c>
      <c r="F15" s="1">
        <v>12</v>
      </c>
      <c r="G15" s="4" t="s">
        <v>14</v>
      </c>
      <c r="H15" s="1"/>
      <c r="I15" s="2"/>
      <c r="J15" s="30"/>
    </row>
    <row r="16" spans="1:10" ht="15.75" x14ac:dyDescent="0.25">
      <c r="A16" s="210"/>
      <c r="B16" s="235"/>
      <c r="C16" s="235"/>
      <c r="D16" s="50"/>
      <c r="E16" s="41"/>
      <c r="F16" s="1"/>
      <c r="G16" s="4"/>
      <c r="H16" s="253"/>
      <c r="I16" s="254"/>
      <c r="J16" s="42"/>
    </row>
    <row r="17" spans="1:13" ht="15.75" x14ac:dyDescent="0.25">
      <c r="A17" s="211"/>
      <c r="B17" s="236"/>
      <c r="C17" s="236"/>
      <c r="D17" s="212" t="s">
        <v>23</v>
      </c>
      <c r="E17" s="213"/>
      <c r="F17" s="1"/>
      <c r="G17" s="4"/>
      <c r="H17" s="1"/>
      <c r="I17" s="2"/>
      <c r="J17" s="29"/>
    </row>
    <row r="18" spans="1:13" ht="15.75" x14ac:dyDescent="0.25">
      <c r="A18" s="45" t="s">
        <v>51</v>
      </c>
      <c r="B18" s="44" t="s">
        <v>190</v>
      </c>
      <c r="C18" s="44"/>
      <c r="D18" s="208" t="s">
        <v>52</v>
      </c>
      <c r="E18" s="41" t="s">
        <v>46</v>
      </c>
      <c r="F18" s="1">
        <v>100</v>
      </c>
      <c r="G18" s="4" t="s">
        <v>14</v>
      </c>
      <c r="H18" s="1"/>
      <c r="I18" s="2"/>
      <c r="J18" s="29"/>
    </row>
    <row r="19" spans="1:13" ht="15.75" x14ac:dyDescent="0.25">
      <c r="A19" s="45" t="s">
        <v>34</v>
      </c>
      <c r="B19" s="44" t="s">
        <v>189</v>
      </c>
      <c r="C19" s="44"/>
      <c r="D19" s="208" t="s">
        <v>35</v>
      </c>
      <c r="E19" s="41" t="s">
        <v>46</v>
      </c>
      <c r="F19" s="1">
        <v>42</v>
      </c>
      <c r="G19" s="4" t="s">
        <v>14</v>
      </c>
      <c r="H19" s="295" t="s">
        <v>86</v>
      </c>
      <c r="I19" s="295"/>
      <c r="J19" s="39"/>
    </row>
    <row r="20" spans="1:13" ht="15.75" x14ac:dyDescent="0.25">
      <c r="A20" s="45" t="s">
        <v>53</v>
      </c>
      <c r="B20" s="44" t="s">
        <v>191</v>
      </c>
      <c r="C20" s="44"/>
      <c r="D20" s="208" t="s">
        <v>54</v>
      </c>
      <c r="E20" s="41" t="s">
        <v>57</v>
      </c>
      <c r="F20" s="1">
        <v>5</v>
      </c>
      <c r="G20" s="4" t="s">
        <v>14</v>
      </c>
      <c r="H20" s="249" t="s">
        <v>75</v>
      </c>
      <c r="I20" s="250"/>
      <c r="J20" s="29"/>
    </row>
    <row r="21" spans="1:13" ht="15.75" x14ac:dyDescent="0.25">
      <c r="A21" s="45" t="s">
        <v>55</v>
      </c>
      <c r="B21" s="44" t="s">
        <v>187</v>
      </c>
      <c r="C21" s="44"/>
      <c r="D21" s="208" t="s">
        <v>56</v>
      </c>
      <c r="E21" s="41" t="s">
        <v>46</v>
      </c>
      <c r="F21" s="1">
        <v>4</v>
      </c>
      <c r="G21" s="4" t="s">
        <v>14</v>
      </c>
      <c r="H21" s="249" t="s">
        <v>80</v>
      </c>
      <c r="I21" s="250"/>
      <c r="J21" s="29"/>
    </row>
    <row r="22" spans="1:13" ht="15.75" x14ac:dyDescent="0.25">
      <c r="A22" s="214" t="s">
        <v>58</v>
      </c>
      <c r="B22" s="214" t="s">
        <v>192</v>
      </c>
      <c r="C22" s="214"/>
      <c r="D22" s="215" t="s">
        <v>59</v>
      </c>
      <c r="E22" s="41" t="s">
        <v>46</v>
      </c>
      <c r="F22" s="1">
        <v>5</v>
      </c>
      <c r="G22" s="4" t="s">
        <v>14</v>
      </c>
      <c r="H22" s="259" t="s">
        <v>60</v>
      </c>
      <c r="I22" s="260"/>
      <c r="J22" s="29"/>
    </row>
    <row r="23" spans="1:13" ht="15.75" x14ac:dyDescent="0.25">
      <c r="A23" s="210"/>
      <c r="B23" s="235"/>
      <c r="C23" s="235"/>
      <c r="D23" s="50"/>
      <c r="E23" s="216"/>
      <c r="F23" s="40"/>
      <c r="G23" s="3"/>
      <c r="H23" s="37"/>
      <c r="I23" s="28"/>
      <c r="J23" s="27"/>
    </row>
    <row r="24" spans="1:13" ht="15" x14ac:dyDescent="0.25">
      <c r="A24" s="217"/>
      <c r="B24" s="237"/>
      <c r="C24" s="237"/>
      <c r="D24" s="218" t="s">
        <v>13</v>
      </c>
      <c r="E24" s="219"/>
      <c r="F24" s="14"/>
      <c r="G24" s="26"/>
      <c r="H24" s="38"/>
      <c r="I24" s="10"/>
      <c r="J24" s="25"/>
    </row>
    <row r="25" spans="1:13" ht="15" x14ac:dyDescent="0.25">
      <c r="A25" s="47" t="s">
        <v>76</v>
      </c>
      <c r="B25" s="47" t="s">
        <v>187</v>
      </c>
      <c r="C25" s="47"/>
      <c r="D25" s="47" t="s">
        <v>77</v>
      </c>
      <c r="E25" s="49" t="s">
        <v>61</v>
      </c>
      <c r="F25" s="46">
        <v>1</v>
      </c>
      <c r="G25" s="43" t="s">
        <v>42</v>
      </c>
      <c r="H25" s="38"/>
      <c r="I25" s="10"/>
      <c r="J25" s="25"/>
    </row>
    <row r="26" spans="1:13" ht="15" x14ac:dyDescent="0.25">
      <c r="A26" s="47" t="s">
        <v>78</v>
      </c>
      <c r="B26" s="47" t="s">
        <v>193</v>
      </c>
      <c r="C26" s="47"/>
      <c r="D26" s="47" t="s">
        <v>79</v>
      </c>
      <c r="E26" s="49" t="s">
        <v>62</v>
      </c>
      <c r="F26" s="46">
        <v>1</v>
      </c>
      <c r="G26" s="43" t="s">
        <v>42</v>
      </c>
      <c r="H26" s="11"/>
      <c r="I26" s="10"/>
      <c r="J26" s="25"/>
    </row>
    <row r="27" spans="1:13" ht="15" x14ac:dyDescent="0.25">
      <c r="A27" s="47" t="s">
        <v>63</v>
      </c>
      <c r="B27" s="47" t="s">
        <v>187</v>
      </c>
      <c r="C27" s="47"/>
      <c r="D27" s="47" t="s">
        <v>64</v>
      </c>
      <c r="E27" s="49" t="s">
        <v>32</v>
      </c>
      <c r="F27" s="46">
        <v>1</v>
      </c>
      <c r="G27" s="43" t="s">
        <v>42</v>
      </c>
      <c r="H27" s="11"/>
      <c r="I27" s="11"/>
      <c r="J27" s="25"/>
    </row>
    <row r="28" spans="1:13" ht="15" x14ac:dyDescent="0.25">
      <c r="A28" s="47" t="s">
        <v>40</v>
      </c>
      <c r="B28" s="47" t="s">
        <v>187</v>
      </c>
      <c r="C28" s="47"/>
      <c r="D28" s="47" t="s">
        <v>41</v>
      </c>
      <c r="E28" s="49" t="s">
        <v>33</v>
      </c>
      <c r="F28" s="46">
        <v>1</v>
      </c>
      <c r="G28" s="43" t="s">
        <v>42</v>
      </c>
      <c r="H28" s="11"/>
      <c r="I28" s="11"/>
      <c r="J28" s="25"/>
    </row>
    <row r="29" spans="1:13" ht="15" x14ac:dyDescent="0.25">
      <c r="A29" s="45" t="s">
        <v>65</v>
      </c>
      <c r="B29" s="45" t="s">
        <v>194</v>
      </c>
      <c r="C29" s="45"/>
      <c r="D29" s="45" t="s">
        <v>66</v>
      </c>
      <c r="E29" s="49" t="s">
        <v>33</v>
      </c>
      <c r="F29" s="46">
        <v>1</v>
      </c>
      <c r="G29" s="43" t="s">
        <v>42</v>
      </c>
      <c r="H29" s="11"/>
      <c r="I29" s="11"/>
      <c r="J29" s="25"/>
    </row>
    <row r="30" spans="1:13" ht="15" x14ac:dyDescent="0.25">
      <c r="A30" s="45">
        <v>703020</v>
      </c>
      <c r="B30" s="45" t="s">
        <v>195</v>
      </c>
      <c r="C30" s="45"/>
      <c r="D30" s="45" t="s">
        <v>44</v>
      </c>
      <c r="E30" s="49" t="s">
        <v>32</v>
      </c>
      <c r="F30" s="46">
        <v>60</v>
      </c>
      <c r="G30" s="43" t="s">
        <v>45</v>
      </c>
      <c r="H30" s="11"/>
      <c r="I30" s="11"/>
      <c r="J30" s="25"/>
    </row>
    <row r="31" spans="1:13" ht="15" x14ac:dyDescent="0.25">
      <c r="A31" s="54" t="s">
        <v>67</v>
      </c>
      <c r="B31" s="238" t="s">
        <v>187</v>
      </c>
      <c r="C31" s="238"/>
      <c r="D31" s="55" t="s">
        <v>68</v>
      </c>
      <c r="E31" s="49" t="s">
        <v>32</v>
      </c>
      <c r="F31" s="46">
        <v>1</v>
      </c>
      <c r="G31" s="43" t="s">
        <v>42</v>
      </c>
      <c r="H31" s="11"/>
      <c r="I31" s="11"/>
      <c r="J31" s="25"/>
    </row>
    <row r="32" spans="1:13" ht="14.25" thickBot="1" x14ac:dyDescent="0.3">
      <c r="A32" s="24"/>
      <c r="B32" s="239"/>
      <c r="C32" s="239"/>
      <c r="F32" s="23"/>
      <c r="G32" s="22"/>
      <c r="J32" s="21"/>
      <c r="M32" s="6"/>
    </row>
    <row r="33" spans="1:14" ht="14.25" thickBot="1" x14ac:dyDescent="0.3">
      <c r="A33" s="20"/>
      <c r="B33" s="240"/>
      <c r="C33" s="240"/>
      <c r="D33" s="16"/>
      <c r="E33" s="19" t="s">
        <v>6</v>
      </c>
      <c r="F33" s="18" t="s">
        <v>15</v>
      </c>
      <c r="G33" s="17"/>
      <c r="H33" s="16"/>
      <c r="I33" s="16"/>
      <c r="J33" s="15"/>
      <c r="M33" s="6"/>
    </row>
    <row r="34" spans="1:14" x14ac:dyDescent="0.25">
      <c r="A34" s="273" t="s">
        <v>11</v>
      </c>
      <c r="B34" s="274"/>
      <c r="C34" s="274"/>
      <c r="D34" s="275"/>
      <c r="E34" s="14">
        <v>625</v>
      </c>
      <c r="F34" s="13" t="s">
        <v>14</v>
      </c>
      <c r="G34" s="272" t="s">
        <v>22</v>
      </c>
      <c r="H34" s="272"/>
      <c r="I34" s="261"/>
      <c r="J34" s="262"/>
      <c r="M34" s="6"/>
    </row>
    <row r="35" spans="1:14" x14ac:dyDescent="0.25">
      <c r="A35" s="265" t="s">
        <v>10</v>
      </c>
      <c r="B35" s="266"/>
      <c r="C35" s="266"/>
      <c r="D35" s="267"/>
      <c r="E35" s="12">
        <v>7</v>
      </c>
      <c r="F35" s="10" t="s">
        <v>43</v>
      </c>
      <c r="G35" s="255" t="s">
        <v>21</v>
      </c>
      <c r="H35" s="255"/>
      <c r="I35" s="251"/>
      <c r="J35" s="252"/>
      <c r="M35" s="6"/>
    </row>
    <row r="36" spans="1:14" x14ac:dyDescent="0.25">
      <c r="A36" s="265" t="s">
        <v>20</v>
      </c>
      <c r="B36" s="266"/>
      <c r="C36" s="266"/>
      <c r="D36" s="267"/>
      <c r="E36" s="11">
        <v>1</v>
      </c>
      <c r="F36" s="10" t="s">
        <v>42</v>
      </c>
      <c r="G36" s="255" t="s">
        <v>19</v>
      </c>
      <c r="H36" s="255"/>
      <c r="I36" s="251"/>
      <c r="J36" s="252"/>
      <c r="M36" s="6"/>
    </row>
    <row r="37" spans="1:14" x14ac:dyDescent="0.25">
      <c r="A37" s="265" t="s">
        <v>18</v>
      </c>
      <c r="B37" s="266"/>
      <c r="C37" s="266"/>
      <c r="D37" s="267"/>
      <c r="E37" s="11">
        <v>625</v>
      </c>
      <c r="F37" s="10" t="s">
        <v>14</v>
      </c>
      <c r="G37" s="263" t="s">
        <v>17</v>
      </c>
      <c r="H37" s="264"/>
      <c r="I37" s="251"/>
      <c r="J37" s="252"/>
      <c r="M37" s="6"/>
      <c r="N37" s="9"/>
    </row>
    <row r="38" spans="1:14" ht="16.5" customHeight="1" thickBot="1" x14ac:dyDescent="0.3">
      <c r="A38" s="268" t="s">
        <v>12</v>
      </c>
      <c r="B38" s="269"/>
      <c r="C38" s="269"/>
      <c r="D38" s="270"/>
      <c r="E38" s="8">
        <f>SUM(F11:F22)-E34</f>
        <v>68</v>
      </c>
      <c r="F38" s="7" t="s">
        <v>14</v>
      </c>
      <c r="G38" s="271"/>
      <c r="H38" s="271"/>
      <c r="I38" s="313"/>
      <c r="J38" s="314"/>
      <c r="M38" s="6"/>
    </row>
    <row r="39" spans="1:14" ht="16.5" customHeight="1" thickBot="1" x14ac:dyDescent="0.3">
      <c r="A39" s="256" t="s">
        <v>16</v>
      </c>
      <c r="B39" s="257"/>
      <c r="C39" s="257"/>
      <c r="D39" s="257"/>
      <c r="E39" s="257"/>
      <c r="F39" s="257"/>
      <c r="G39" s="257"/>
      <c r="H39" s="257"/>
      <c r="I39" s="257"/>
      <c r="J39" s="258"/>
    </row>
    <row r="40" spans="1:14" ht="15.75" x14ac:dyDescent="0.25">
      <c r="A40" s="245" t="s">
        <v>84</v>
      </c>
      <c r="B40" s="246"/>
      <c r="C40" s="246"/>
      <c r="D40" s="247"/>
      <c r="E40" s="247"/>
      <c r="F40" s="247"/>
      <c r="G40" s="247"/>
      <c r="H40" s="247"/>
      <c r="I40" s="247"/>
      <c r="J40" s="248"/>
    </row>
    <row r="41" spans="1:14" ht="15.75" x14ac:dyDescent="0.25">
      <c r="A41" s="241" t="s">
        <v>81</v>
      </c>
      <c r="B41" s="242"/>
      <c r="C41" s="242"/>
      <c r="D41" s="243"/>
      <c r="E41" s="243"/>
      <c r="F41" s="243"/>
      <c r="G41" s="243"/>
      <c r="H41" s="243"/>
      <c r="I41" s="243"/>
      <c r="J41" s="244"/>
    </row>
    <row r="42" spans="1:14" ht="15.75" x14ac:dyDescent="0.25">
      <c r="A42" s="241" t="s">
        <v>85</v>
      </c>
      <c r="B42" s="242"/>
      <c r="C42" s="242"/>
      <c r="D42" s="243"/>
      <c r="E42" s="243"/>
      <c r="F42" s="243"/>
      <c r="G42" s="243"/>
      <c r="H42" s="243"/>
      <c r="I42" s="243"/>
      <c r="J42" s="244"/>
    </row>
    <row r="43" spans="1:14" ht="15.75" x14ac:dyDescent="0.25">
      <c r="A43" s="241" t="s">
        <v>87</v>
      </c>
      <c r="B43" s="242"/>
      <c r="C43" s="242"/>
      <c r="D43" s="243"/>
      <c r="E43" s="243"/>
      <c r="F43" s="243"/>
      <c r="G43" s="243"/>
      <c r="H43" s="243"/>
      <c r="I43" s="243"/>
      <c r="J43" s="244"/>
    </row>
    <row r="44" spans="1:14" ht="15.75" x14ac:dyDescent="0.25">
      <c r="A44" s="241" t="s">
        <v>82</v>
      </c>
      <c r="B44" s="242"/>
      <c r="C44" s="242"/>
      <c r="D44" s="243"/>
      <c r="E44" s="243"/>
      <c r="F44" s="243"/>
      <c r="G44" s="243"/>
      <c r="H44" s="243"/>
      <c r="I44" s="243"/>
      <c r="J44" s="244"/>
    </row>
    <row r="45" spans="1:14" ht="15.75" x14ac:dyDescent="0.25">
      <c r="A45" s="241" t="s">
        <v>83</v>
      </c>
      <c r="B45" s="242"/>
      <c r="C45" s="242"/>
      <c r="D45" s="243"/>
      <c r="E45" s="243"/>
      <c r="F45" s="243"/>
      <c r="G45" s="243"/>
      <c r="H45" s="243"/>
      <c r="I45" s="243"/>
      <c r="J45" s="244"/>
    </row>
    <row r="46" spans="1:14" ht="15.75" x14ac:dyDescent="0.25">
      <c r="A46" s="241" t="s">
        <v>88</v>
      </c>
      <c r="B46" s="242"/>
      <c r="C46" s="242"/>
      <c r="D46" s="243"/>
      <c r="E46" s="243"/>
      <c r="F46" s="243"/>
      <c r="G46" s="243"/>
      <c r="H46" s="243"/>
      <c r="I46" s="243"/>
      <c r="J46" s="244"/>
    </row>
    <row r="47" spans="1:14" x14ac:dyDescent="0.25">
      <c r="A47" s="302"/>
      <c r="B47" s="303"/>
      <c r="C47" s="303"/>
      <c r="D47" s="304"/>
      <c r="E47" s="304"/>
      <c r="F47" s="304"/>
      <c r="G47" s="304"/>
      <c r="H47" s="304"/>
      <c r="I47" s="304"/>
      <c r="J47" s="305"/>
    </row>
    <row r="48" spans="1:14" ht="15.75" x14ac:dyDescent="0.25">
      <c r="A48" s="301" t="s">
        <v>39</v>
      </c>
      <c r="B48" s="301"/>
      <c r="C48" s="301"/>
      <c r="D48" s="301"/>
      <c r="E48" s="301"/>
      <c r="F48" s="301"/>
      <c r="G48" s="301"/>
      <c r="H48" s="301"/>
      <c r="I48" s="301"/>
      <c r="J48" s="301"/>
    </row>
  </sheetData>
  <mergeCells count="51">
    <mergeCell ref="A46:J46"/>
    <mergeCell ref="A44:J44"/>
    <mergeCell ref="A42:J42"/>
    <mergeCell ref="A43:J43"/>
    <mergeCell ref="A45:J45"/>
    <mergeCell ref="J3:J6"/>
    <mergeCell ref="A7:D7"/>
    <mergeCell ref="A48:J48"/>
    <mergeCell ref="A47:J47"/>
    <mergeCell ref="D1:H1"/>
    <mergeCell ref="D8:D9"/>
    <mergeCell ref="A36:D36"/>
    <mergeCell ref="G36:H36"/>
    <mergeCell ref="I36:J36"/>
    <mergeCell ref="H8:I8"/>
    <mergeCell ref="F8:G8"/>
    <mergeCell ref="C8:C9"/>
    <mergeCell ref="D3:H3"/>
    <mergeCell ref="E6:H6"/>
    <mergeCell ref="I38:J38"/>
    <mergeCell ref="A37:D37"/>
    <mergeCell ref="A1:A6"/>
    <mergeCell ref="E7:G7"/>
    <mergeCell ref="H20:I20"/>
    <mergeCell ref="H13:I13"/>
    <mergeCell ref="E8:E9"/>
    <mergeCell ref="A8:A9"/>
    <mergeCell ref="D2:H2"/>
    <mergeCell ref="I3:I6"/>
    <mergeCell ref="H7:I7"/>
    <mergeCell ref="H16:I16"/>
    <mergeCell ref="E4:H4"/>
    <mergeCell ref="H14:I14"/>
    <mergeCell ref="B8:B9"/>
    <mergeCell ref="H19:I19"/>
    <mergeCell ref="A41:J41"/>
    <mergeCell ref="A40:J40"/>
    <mergeCell ref="H21:I21"/>
    <mergeCell ref="I35:J35"/>
    <mergeCell ref="H12:I12"/>
    <mergeCell ref="G35:H35"/>
    <mergeCell ref="A39:J39"/>
    <mergeCell ref="H22:I22"/>
    <mergeCell ref="I34:J34"/>
    <mergeCell ref="G37:H37"/>
    <mergeCell ref="A35:D35"/>
    <mergeCell ref="A38:D38"/>
    <mergeCell ref="G38:H38"/>
    <mergeCell ref="G34:H34"/>
    <mergeCell ref="A34:D34"/>
    <mergeCell ref="I37:J37"/>
  </mergeCells>
  <printOptions horizontalCentered="1"/>
  <pageMargins left="0" right="0" top="0.27559055118110237" bottom="0.27559055118110237" header="0" footer="0"/>
  <pageSetup scale="67" orientation="portrait" r:id="rId1"/>
  <headerFooter alignWithMargins="0"/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8CDE-3DCD-4298-BFB3-EF7CC24DFCE3}">
  <dimension ref="A1:I55"/>
  <sheetViews>
    <sheetView tabSelected="1" view="pageBreakPreview" zoomScale="60" zoomScaleNormal="70" workbookViewId="0">
      <selection activeCell="N15" sqref="N15"/>
    </sheetView>
  </sheetViews>
  <sheetFormatPr baseColWidth="10" defaultRowHeight="12.75" x14ac:dyDescent="0.2"/>
  <cols>
    <col min="1" max="1" width="15.42578125" bestFit="1" customWidth="1"/>
    <col min="2" max="2" width="13.5703125" bestFit="1" customWidth="1"/>
    <col min="3" max="3" width="49" customWidth="1"/>
    <col min="4" max="4" width="34.42578125" bestFit="1" customWidth="1"/>
    <col min="5" max="5" width="11.5703125" bestFit="1" customWidth="1"/>
    <col min="8" max="8" width="27" customWidth="1"/>
    <col min="9" max="9" width="21.140625" bestFit="1" customWidth="1"/>
  </cols>
  <sheetData>
    <row r="1" spans="1:9" ht="18" x14ac:dyDescent="0.25">
      <c r="A1" s="368"/>
      <c r="B1" s="369"/>
      <c r="C1" s="370" t="s">
        <v>31</v>
      </c>
      <c r="D1" s="370"/>
      <c r="E1" s="370"/>
      <c r="F1" s="370"/>
      <c r="G1" s="370"/>
      <c r="H1" s="371" t="s">
        <v>30</v>
      </c>
      <c r="I1" s="372" t="s">
        <v>229</v>
      </c>
    </row>
    <row r="2" spans="1:9" ht="18" customHeight="1" thickBot="1" x14ac:dyDescent="0.3">
      <c r="A2" s="373"/>
      <c r="B2" s="374"/>
      <c r="C2" s="375" t="s">
        <v>0</v>
      </c>
      <c r="D2" s="376"/>
      <c r="E2" s="376"/>
      <c r="F2" s="376"/>
      <c r="G2" s="377"/>
      <c r="H2" s="378" t="s">
        <v>29</v>
      </c>
      <c r="I2" s="379" t="s">
        <v>232</v>
      </c>
    </row>
    <row r="3" spans="1:9" ht="31.5" customHeight="1" thickBot="1" x14ac:dyDescent="0.25">
      <c r="A3" s="373"/>
      <c r="B3" s="374"/>
      <c r="C3" s="315" t="s">
        <v>206</v>
      </c>
      <c r="D3" s="316"/>
      <c r="E3" s="316"/>
      <c r="F3" s="316"/>
      <c r="G3" s="317"/>
      <c r="H3" s="380" t="s">
        <v>28</v>
      </c>
      <c r="I3" s="381">
        <v>45612</v>
      </c>
    </row>
    <row r="4" spans="1:9" ht="18" customHeight="1" x14ac:dyDescent="0.25">
      <c r="A4" s="373"/>
      <c r="B4" s="374"/>
      <c r="C4" s="382" t="s">
        <v>27</v>
      </c>
      <c r="D4" s="383" t="s">
        <v>214</v>
      </c>
      <c r="E4" s="384"/>
      <c r="F4" s="384"/>
      <c r="G4" s="385"/>
      <c r="H4" s="386"/>
      <c r="I4" s="387"/>
    </row>
    <row r="5" spans="1:9" ht="18.75" thickBot="1" x14ac:dyDescent="0.3">
      <c r="A5" s="388"/>
      <c r="B5" s="389"/>
      <c r="C5" s="390" t="s">
        <v>26</v>
      </c>
      <c r="D5" s="391" t="s">
        <v>176</v>
      </c>
      <c r="E5" s="392"/>
      <c r="F5" s="392"/>
      <c r="G5" s="393"/>
      <c r="H5" s="394"/>
      <c r="I5" s="395"/>
    </row>
    <row r="6" spans="1:9" ht="18.75" thickBot="1" x14ac:dyDescent="0.3">
      <c r="A6" s="318" t="s">
        <v>89</v>
      </c>
      <c r="B6" s="318"/>
      <c r="C6" s="318"/>
      <c r="D6" s="396" t="s">
        <v>215</v>
      </c>
      <c r="E6" s="396"/>
      <c r="F6" s="396"/>
      <c r="G6" s="319" t="s">
        <v>90</v>
      </c>
      <c r="H6" s="319"/>
      <c r="I6" s="397" t="s">
        <v>215</v>
      </c>
    </row>
    <row r="7" spans="1:9" ht="36" x14ac:dyDescent="0.2">
      <c r="A7" s="398" t="s">
        <v>1</v>
      </c>
      <c r="B7" s="399" t="s">
        <v>197</v>
      </c>
      <c r="C7" s="400" t="s">
        <v>2</v>
      </c>
      <c r="D7" s="400" t="s">
        <v>3</v>
      </c>
      <c r="E7" s="400" t="s">
        <v>4</v>
      </c>
      <c r="F7" s="400"/>
      <c r="G7" s="400" t="s">
        <v>25</v>
      </c>
      <c r="H7" s="400"/>
      <c r="I7" s="401" t="s">
        <v>5</v>
      </c>
    </row>
    <row r="8" spans="1:9" ht="54.75" thickBot="1" x14ac:dyDescent="0.3">
      <c r="A8" s="402"/>
      <c r="B8" s="403"/>
      <c r="C8" s="404"/>
      <c r="D8" s="404"/>
      <c r="E8" s="405" t="s">
        <v>6</v>
      </c>
      <c r="F8" s="406" t="s">
        <v>7</v>
      </c>
      <c r="G8" s="405" t="s">
        <v>6</v>
      </c>
      <c r="H8" s="406" t="s">
        <v>7</v>
      </c>
      <c r="I8" s="407" t="s">
        <v>8</v>
      </c>
    </row>
    <row r="9" spans="1:9" ht="18.75" x14ac:dyDescent="0.3">
      <c r="A9" s="408"/>
      <c r="B9" s="409"/>
      <c r="C9" s="410" t="s">
        <v>216</v>
      </c>
      <c r="D9" s="411"/>
      <c r="E9" s="412"/>
      <c r="F9" s="413"/>
      <c r="G9" s="412"/>
      <c r="H9" s="413"/>
      <c r="I9" s="414"/>
    </row>
    <row r="10" spans="1:9" ht="18" customHeight="1" x14ac:dyDescent="0.3">
      <c r="A10" s="415">
        <v>907000290</v>
      </c>
      <c r="B10" s="416" t="s">
        <v>207</v>
      </c>
      <c r="C10" s="417" t="s">
        <v>217</v>
      </c>
      <c r="D10" s="418" t="s">
        <v>46</v>
      </c>
      <c r="E10" s="419">
        <v>310</v>
      </c>
      <c r="F10" s="420" t="s">
        <v>14</v>
      </c>
      <c r="G10" s="421"/>
      <c r="H10" s="422" t="s">
        <v>218</v>
      </c>
      <c r="I10" s="414"/>
    </row>
    <row r="11" spans="1:9" ht="18.75" x14ac:dyDescent="0.3">
      <c r="A11" s="423" t="s">
        <v>208</v>
      </c>
      <c r="B11" s="423" t="s">
        <v>199</v>
      </c>
      <c r="C11" s="424" t="s">
        <v>209</v>
      </c>
      <c r="D11" s="418" t="s">
        <v>46</v>
      </c>
      <c r="E11" s="419">
        <v>50</v>
      </c>
      <c r="F11" s="420" t="s">
        <v>14</v>
      </c>
      <c r="G11" s="425"/>
      <c r="H11" s="422" t="s">
        <v>219</v>
      </c>
      <c r="I11" s="414"/>
    </row>
    <row r="12" spans="1:9" ht="18.75" x14ac:dyDescent="0.3">
      <c r="A12" s="423" t="s">
        <v>49</v>
      </c>
      <c r="B12" s="423" t="s">
        <v>188</v>
      </c>
      <c r="C12" s="424" t="s">
        <v>50</v>
      </c>
      <c r="D12" s="418" t="s">
        <v>46</v>
      </c>
      <c r="E12" s="419">
        <v>75</v>
      </c>
      <c r="F12" s="420" t="s">
        <v>14</v>
      </c>
      <c r="G12" s="426"/>
      <c r="H12" s="422" t="s">
        <v>220</v>
      </c>
      <c r="I12" s="414"/>
    </row>
    <row r="13" spans="1:9" ht="18.75" x14ac:dyDescent="0.3">
      <c r="A13" s="427" t="s">
        <v>34</v>
      </c>
      <c r="B13" s="427" t="s">
        <v>189</v>
      </c>
      <c r="C13" s="428" t="s">
        <v>210</v>
      </c>
      <c r="D13" s="418" t="s">
        <v>46</v>
      </c>
      <c r="E13" s="419">
        <v>15</v>
      </c>
      <c r="F13" s="420" t="s">
        <v>14</v>
      </c>
      <c r="G13" s="429"/>
      <c r="H13" s="422" t="s">
        <v>230</v>
      </c>
      <c r="I13" s="414"/>
    </row>
    <row r="14" spans="1:9" ht="18.75" x14ac:dyDescent="0.3">
      <c r="A14" s="430">
        <v>11400066</v>
      </c>
      <c r="B14" s="431" t="s">
        <v>198</v>
      </c>
      <c r="C14" s="432" t="s">
        <v>211</v>
      </c>
      <c r="D14" s="418" t="s">
        <v>212</v>
      </c>
      <c r="E14" s="419">
        <v>70</v>
      </c>
      <c r="F14" s="420" t="s">
        <v>14</v>
      </c>
      <c r="G14" s="429"/>
      <c r="H14" s="422" t="s">
        <v>220</v>
      </c>
      <c r="I14" s="414"/>
    </row>
    <row r="15" spans="1:9" ht="18.75" x14ac:dyDescent="0.3">
      <c r="A15" s="423"/>
      <c r="B15" s="423"/>
      <c r="C15" s="424"/>
      <c r="D15" s="433"/>
      <c r="E15" s="434"/>
      <c r="F15" s="435"/>
      <c r="G15" s="429"/>
      <c r="H15" s="422"/>
      <c r="I15" s="414"/>
    </row>
    <row r="16" spans="1:9" ht="18.75" x14ac:dyDescent="0.3">
      <c r="A16" s="423"/>
      <c r="B16" s="423"/>
      <c r="C16" s="424"/>
      <c r="D16" s="433"/>
      <c r="E16" s="434"/>
      <c r="F16" s="435"/>
      <c r="G16" s="412"/>
      <c r="H16" s="422"/>
      <c r="I16" s="414"/>
    </row>
    <row r="17" spans="1:9" ht="18.75" x14ac:dyDescent="0.3">
      <c r="A17" s="436"/>
      <c r="B17" s="437"/>
      <c r="C17" s="438" t="s">
        <v>215</v>
      </c>
      <c r="D17" s="439"/>
      <c r="E17" s="425"/>
      <c r="F17" s="420"/>
      <c r="G17" s="412"/>
      <c r="H17" s="413"/>
      <c r="I17" s="414"/>
    </row>
    <row r="18" spans="1:9" ht="18.75" x14ac:dyDescent="0.3">
      <c r="A18" s="440">
        <v>910000019</v>
      </c>
      <c r="B18" s="424" t="s">
        <v>189</v>
      </c>
      <c r="C18" s="441" t="s">
        <v>52</v>
      </c>
      <c r="D18" s="442" t="s">
        <v>46</v>
      </c>
      <c r="E18" s="419">
        <v>75</v>
      </c>
      <c r="F18" s="420" t="s">
        <v>14</v>
      </c>
      <c r="G18" s="412"/>
      <c r="H18" s="413"/>
      <c r="I18" s="414"/>
    </row>
    <row r="19" spans="1:9" ht="18.75" x14ac:dyDescent="0.3">
      <c r="A19" s="443">
        <v>908000032</v>
      </c>
      <c r="B19" s="424" t="s">
        <v>192</v>
      </c>
      <c r="C19" s="424" t="s">
        <v>221</v>
      </c>
      <c r="D19" s="442" t="s">
        <v>46</v>
      </c>
      <c r="E19" s="419">
        <v>10</v>
      </c>
      <c r="F19" s="420" t="s">
        <v>14</v>
      </c>
      <c r="G19" s="412"/>
      <c r="H19" s="413"/>
      <c r="I19" s="414"/>
    </row>
    <row r="20" spans="1:9" ht="18.75" x14ac:dyDescent="0.3">
      <c r="A20" s="444">
        <v>1210398</v>
      </c>
      <c r="B20" s="424" t="s">
        <v>200</v>
      </c>
      <c r="C20" s="445" t="s">
        <v>177</v>
      </c>
      <c r="D20" s="442" t="s">
        <v>178</v>
      </c>
      <c r="E20" s="419">
        <v>40</v>
      </c>
      <c r="F20" s="420" t="s">
        <v>14</v>
      </c>
      <c r="G20" s="412"/>
      <c r="H20" s="413"/>
      <c r="I20" s="414"/>
    </row>
    <row r="21" spans="1:9" ht="18.75" x14ac:dyDescent="0.3">
      <c r="A21" s="446"/>
      <c r="B21" s="446"/>
      <c r="C21" s="447"/>
      <c r="D21" s="448"/>
      <c r="E21" s="449"/>
      <c r="F21" s="450"/>
      <c r="G21" s="412"/>
      <c r="H21" s="413"/>
      <c r="I21" s="414"/>
    </row>
    <row r="22" spans="1:9" ht="18.75" x14ac:dyDescent="0.3">
      <c r="A22" s="426"/>
      <c r="B22" s="423"/>
      <c r="C22" s="424"/>
      <c r="D22" s="451"/>
      <c r="E22" s="452"/>
      <c r="F22" s="453"/>
      <c r="G22" s="412"/>
      <c r="H22" s="413"/>
      <c r="I22" s="414"/>
    </row>
    <row r="23" spans="1:9" ht="18.75" x14ac:dyDescent="0.3">
      <c r="A23" s="416"/>
      <c r="B23" s="416"/>
      <c r="C23" s="417"/>
      <c r="D23" s="454"/>
      <c r="E23" s="455"/>
      <c r="F23" s="456"/>
      <c r="G23" s="412"/>
      <c r="H23" s="413"/>
      <c r="I23" s="414"/>
    </row>
    <row r="24" spans="1:9" ht="18.75" x14ac:dyDescent="0.3">
      <c r="A24" s="423"/>
      <c r="B24" s="423"/>
      <c r="C24" s="424"/>
      <c r="D24" s="457"/>
      <c r="E24" s="458"/>
      <c r="F24" s="456"/>
      <c r="G24" s="412"/>
      <c r="H24" s="413"/>
      <c r="I24" s="414"/>
    </row>
    <row r="25" spans="1:9" ht="18.75" x14ac:dyDescent="0.3">
      <c r="A25" s="423"/>
      <c r="B25" s="423"/>
      <c r="C25" s="424"/>
      <c r="D25" s="457"/>
      <c r="E25" s="459"/>
      <c r="F25" s="460"/>
      <c r="G25" s="412"/>
      <c r="H25" s="413"/>
      <c r="I25" s="414"/>
    </row>
    <row r="26" spans="1:9" ht="18.75" x14ac:dyDescent="0.3">
      <c r="A26" s="461"/>
      <c r="B26" s="462"/>
      <c r="C26" s="463" t="s">
        <v>222</v>
      </c>
      <c r="D26" s="464"/>
      <c r="E26" s="465"/>
      <c r="F26" s="413"/>
      <c r="G26" s="412"/>
      <c r="H26" s="417"/>
      <c r="I26" s="414"/>
    </row>
    <row r="27" spans="1:9" ht="18.75" x14ac:dyDescent="0.3">
      <c r="A27" s="423">
        <v>51400021</v>
      </c>
      <c r="B27" s="423" t="s">
        <v>203</v>
      </c>
      <c r="C27" s="424" t="s">
        <v>223</v>
      </c>
      <c r="D27" s="466" t="s">
        <v>224</v>
      </c>
      <c r="E27" s="434">
        <v>1</v>
      </c>
      <c r="F27" s="435" t="s">
        <v>42</v>
      </c>
      <c r="G27" s="467"/>
      <c r="H27" s="413"/>
      <c r="I27" s="414"/>
    </row>
    <row r="28" spans="1:9" ht="18.75" x14ac:dyDescent="0.3">
      <c r="A28" s="468">
        <v>1952874</v>
      </c>
      <c r="B28" s="468" t="s">
        <v>201</v>
      </c>
      <c r="C28" s="469" t="s">
        <v>184</v>
      </c>
      <c r="D28" s="466" t="s">
        <v>185</v>
      </c>
      <c r="E28" s="434">
        <v>1</v>
      </c>
      <c r="F28" s="435" t="s">
        <v>42</v>
      </c>
      <c r="G28" s="467"/>
      <c r="H28" s="413"/>
      <c r="I28" s="414"/>
    </row>
    <row r="29" spans="1:9" ht="18.75" x14ac:dyDescent="0.3">
      <c r="A29" s="468">
        <v>702069</v>
      </c>
      <c r="B29" s="468" t="s">
        <v>205</v>
      </c>
      <c r="C29" s="469" t="s">
        <v>225</v>
      </c>
      <c r="D29" s="448" t="s">
        <v>226</v>
      </c>
      <c r="E29" s="449">
        <v>1</v>
      </c>
      <c r="F29" s="449" t="s">
        <v>42</v>
      </c>
      <c r="G29" s="467"/>
      <c r="H29" s="413"/>
      <c r="I29" s="414"/>
    </row>
    <row r="30" spans="1:9" ht="18.75" x14ac:dyDescent="0.3">
      <c r="A30" s="468" t="s">
        <v>40</v>
      </c>
      <c r="B30" s="468" t="s">
        <v>202</v>
      </c>
      <c r="C30" s="469" t="s">
        <v>41</v>
      </c>
      <c r="D30" s="448" t="s">
        <v>227</v>
      </c>
      <c r="E30" s="449">
        <v>1</v>
      </c>
      <c r="F30" s="449" t="s">
        <v>42</v>
      </c>
      <c r="G30" s="412"/>
      <c r="H30" s="413"/>
      <c r="I30" s="414"/>
    </row>
    <row r="31" spans="1:9" ht="18.75" x14ac:dyDescent="0.3">
      <c r="A31" s="468">
        <v>701096</v>
      </c>
      <c r="B31" s="468" t="s">
        <v>194</v>
      </c>
      <c r="C31" s="469" t="s">
        <v>66</v>
      </c>
      <c r="D31" s="448" t="s">
        <v>227</v>
      </c>
      <c r="E31" s="449">
        <v>1</v>
      </c>
      <c r="F31" s="449" t="s">
        <v>42</v>
      </c>
      <c r="G31" s="412"/>
      <c r="H31" s="413"/>
      <c r="I31" s="414"/>
    </row>
    <row r="32" spans="1:9" ht="18.75" x14ac:dyDescent="0.3">
      <c r="A32" s="415">
        <v>703020</v>
      </c>
      <c r="B32" s="416" t="s">
        <v>195</v>
      </c>
      <c r="C32" s="417" t="s">
        <v>44</v>
      </c>
      <c r="D32" s="448" t="s">
        <v>226</v>
      </c>
      <c r="E32" s="449">
        <v>60</v>
      </c>
      <c r="F32" s="449" t="s">
        <v>45</v>
      </c>
      <c r="G32" s="470"/>
      <c r="H32" s="413"/>
      <c r="I32" s="414"/>
    </row>
    <row r="33" spans="1:9" ht="18.75" x14ac:dyDescent="0.3">
      <c r="A33" s="471"/>
      <c r="B33" s="472"/>
      <c r="C33" s="473"/>
      <c r="D33" s="474"/>
      <c r="E33" s="449"/>
      <c r="F33" s="450"/>
      <c r="G33" s="419"/>
      <c r="H33" s="413"/>
      <c r="I33" s="414"/>
    </row>
    <row r="34" spans="1:9" ht="18.75" x14ac:dyDescent="0.3">
      <c r="A34" s="436"/>
      <c r="B34" s="437"/>
      <c r="C34" s="428"/>
      <c r="D34" s="468"/>
      <c r="E34" s="419"/>
      <c r="F34" s="420"/>
      <c r="G34" s="419"/>
      <c r="H34" s="420"/>
      <c r="I34" s="414"/>
    </row>
    <row r="35" spans="1:9" ht="18.75" x14ac:dyDescent="0.3">
      <c r="A35" s="436"/>
      <c r="B35" s="437"/>
      <c r="C35" s="428"/>
      <c r="D35" s="439"/>
      <c r="E35" s="439"/>
      <c r="F35" s="420"/>
      <c r="G35" s="439"/>
      <c r="H35" s="439"/>
      <c r="I35" s="414"/>
    </row>
    <row r="36" spans="1:9" ht="18.75" thickBot="1" x14ac:dyDescent="0.3">
      <c r="A36" s="475"/>
      <c r="B36" s="476"/>
      <c r="C36" s="477"/>
      <c r="D36" s="477"/>
      <c r="E36" s="478"/>
      <c r="F36" s="479"/>
      <c r="G36" s="477"/>
      <c r="H36" s="477"/>
      <c r="I36" s="480"/>
    </row>
    <row r="37" spans="1:9" ht="18.75" thickBot="1" x14ac:dyDescent="0.3">
      <c r="A37" s="481"/>
      <c r="B37" s="482"/>
      <c r="C37" s="483"/>
      <c r="D37" s="484" t="s">
        <v>6</v>
      </c>
      <c r="E37" s="485" t="s">
        <v>15</v>
      </c>
      <c r="F37" s="486"/>
      <c r="G37" s="483"/>
      <c r="H37" s="483"/>
      <c r="I37" s="487"/>
    </row>
    <row r="38" spans="1:9" ht="18" x14ac:dyDescent="0.25">
      <c r="A38" s="488" t="s">
        <v>11</v>
      </c>
      <c r="B38" s="489"/>
      <c r="C38" s="490"/>
      <c r="D38" s="458">
        <v>564</v>
      </c>
      <c r="E38" s="491" t="s">
        <v>14</v>
      </c>
      <c r="F38" s="492" t="s">
        <v>22</v>
      </c>
      <c r="G38" s="492"/>
      <c r="H38" s="493"/>
      <c r="I38" s="494"/>
    </row>
    <row r="39" spans="1:9" ht="18" x14ac:dyDescent="0.25">
      <c r="A39" s="495" t="s">
        <v>10</v>
      </c>
      <c r="B39" s="496"/>
      <c r="C39" s="497"/>
      <c r="D39" s="498">
        <v>7</v>
      </c>
      <c r="E39" s="499" t="s">
        <v>43</v>
      </c>
      <c r="F39" s="500" t="s">
        <v>21</v>
      </c>
      <c r="G39" s="500"/>
      <c r="H39" s="501"/>
      <c r="I39" s="502"/>
    </row>
    <row r="40" spans="1:9" ht="18" x14ac:dyDescent="0.25">
      <c r="A40" s="495" t="s">
        <v>20</v>
      </c>
      <c r="B40" s="496"/>
      <c r="C40" s="497"/>
      <c r="D40" s="499">
        <v>1</v>
      </c>
      <c r="E40" s="499" t="s">
        <v>42</v>
      </c>
      <c r="F40" s="500" t="s">
        <v>19</v>
      </c>
      <c r="G40" s="500"/>
      <c r="H40" s="501"/>
      <c r="I40" s="502"/>
    </row>
    <row r="41" spans="1:9" ht="18" x14ac:dyDescent="0.25">
      <c r="A41" s="495" t="s">
        <v>18</v>
      </c>
      <c r="B41" s="496"/>
      <c r="C41" s="497"/>
      <c r="D41" s="459">
        <v>564</v>
      </c>
      <c r="E41" s="499" t="s">
        <v>14</v>
      </c>
      <c r="F41" s="503" t="s">
        <v>17</v>
      </c>
      <c r="G41" s="504"/>
      <c r="H41" s="505"/>
      <c r="I41" s="506"/>
    </row>
    <row r="42" spans="1:9" ht="18.75" thickBot="1" x14ac:dyDescent="0.3">
      <c r="A42" s="507" t="s">
        <v>12</v>
      </c>
      <c r="B42" s="508"/>
      <c r="C42" s="509"/>
      <c r="D42" s="510">
        <f>SUM(E10:E20)-D38</f>
        <v>81</v>
      </c>
      <c r="E42" s="511" t="s">
        <v>14</v>
      </c>
      <c r="F42" s="512"/>
      <c r="G42" s="512"/>
      <c r="H42" s="501"/>
      <c r="I42" s="502"/>
    </row>
    <row r="43" spans="1:9" ht="18.75" thickBot="1" x14ac:dyDescent="0.3">
      <c r="A43" s="513" t="s">
        <v>16</v>
      </c>
      <c r="B43" s="514"/>
      <c r="C43" s="514"/>
      <c r="D43" s="514"/>
      <c r="E43" s="514"/>
      <c r="F43" s="514"/>
      <c r="G43" s="514"/>
      <c r="H43" s="514"/>
      <c r="I43" s="515"/>
    </row>
    <row r="44" spans="1:9" ht="18.600000000000001" customHeight="1" x14ac:dyDescent="0.3">
      <c r="A44" s="516" t="s">
        <v>84</v>
      </c>
      <c r="B44" s="517"/>
      <c r="C44" s="518"/>
      <c r="D44" s="518"/>
      <c r="E44" s="518"/>
      <c r="F44" s="518"/>
      <c r="G44" s="518"/>
      <c r="H44" s="518"/>
      <c r="I44" s="519"/>
    </row>
    <row r="45" spans="1:9" ht="14.45" customHeight="1" x14ac:dyDescent="0.3">
      <c r="A45" s="520" t="s">
        <v>81</v>
      </c>
      <c r="B45" s="521"/>
      <c r="C45" s="522"/>
      <c r="D45" s="522"/>
      <c r="E45" s="522"/>
      <c r="F45" s="522"/>
      <c r="G45" s="522"/>
      <c r="H45" s="522"/>
      <c r="I45" s="523"/>
    </row>
    <row r="46" spans="1:9" ht="14.45" customHeight="1" x14ac:dyDescent="0.3">
      <c r="A46" s="520" t="s">
        <v>85</v>
      </c>
      <c r="B46" s="521"/>
      <c r="C46" s="522"/>
      <c r="D46" s="522"/>
      <c r="E46" s="522"/>
      <c r="F46" s="522"/>
      <c r="G46" s="522"/>
      <c r="H46" s="522"/>
      <c r="I46" s="523"/>
    </row>
    <row r="47" spans="1:9" ht="14.45" customHeight="1" x14ac:dyDescent="0.3">
      <c r="A47" s="520" t="s">
        <v>179</v>
      </c>
      <c r="B47" s="521"/>
      <c r="C47" s="522"/>
      <c r="D47" s="522"/>
      <c r="E47" s="522"/>
      <c r="F47" s="522"/>
      <c r="G47" s="522"/>
      <c r="H47" s="522"/>
      <c r="I47" s="523"/>
    </row>
    <row r="48" spans="1:9" ht="14.45" customHeight="1" x14ac:dyDescent="0.3">
      <c r="A48" s="520" t="s">
        <v>204</v>
      </c>
      <c r="B48" s="521"/>
      <c r="C48" s="522"/>
      <c r="D48" s="522"/>
      <c r="E48" s="522"/>
      <c r="F48" s="522"/>
      <c r="G48" s="522"/>
      <c r="H48" s="522"/>
      <c r="I48" s="523"/>
    </row>
    <row r="49" spans="1:9" ht="14.45" customHeight="1" x14ac:dyDescent="0.3">
      <c r="A49" s="520" t="s">
        <v>180</v>
      </c>
      <c r="B49" s="521"/>
      <c r="C49" s="522"/>
      <c r="D49" s="522"/>
      <c r="E49" s="522"/>
      <c r="F49" s="522"/>
      <c r="G49" s="522"/>
      <c r="H49" s="522"/>
      <c r="I49" s="523"/>
    </row>
    <row r="50" spans="1:9" ht="18" customHeight="1" x14ac:dyDescent="0.3">
      <c r="A50" s="520" t="s">
        <v>213</v>
      </c>
      <c r="B50" s="521"/>
      <c r="C50" s="522"/>
      <c r="D50" s="522"/>
      <c r="E50" s="522"/>
      <c r="F50" s="522"/>
      <c r="G50" s="522"/>
      <c r="H50" s="522"/>
      <c r="I50" s="523"/>
    </row>
    <row r="51" spans="1:9" ht="18" x14ac:dyDescent="0.25">
      <c r="A51" s="524"/>
      <c r="B51" s="525"/>
      <c r="C51" s="525"/>
      <c r="D51" s="525"/>
      <c r="E51" s="525"/>
      <c r="F51" s="525"/>
      <c r="G51" s="525"/>
      <c r="H51" s="525"/>
      <c r="I51" s="526"/>
    </row>
    <row r="52" spans="1:9" ht="19.5" thickBot="1" x14ac:dyDescent="0.35">
      <c r="A52" s="527"/>
      <c r="B52" s="528"/>
      <c r="C52" s="528"/>
      <c r="D52" s="528"/>
      <c r="E52" s="528"/>
      <c r="F52" s="528"/>
      <c r="G52" s="528"/>
      <c r="H52" s="528"/>
      <c r="I52" s="529"/>
    </row>
    <row r="53" spans="1:9" ht="18" x14ac:dyDescent="0.25">
      <c r="A53" s="530" t="s">
        <v>228</v>
      </c>
      <c r="B53" s="531"/>
      <c r="C53" s="531"/>
      <c r="D53" s="531"/>
      <c r="E53" s="531"/>
      <c r="F53" s="531"/>
      <c r="G53" s="531"/>
      <c r="H53" s="531"/>
      <c r="I53" s="531"/>
    </row>
    <row r="54" spans="1:9" ht="18" x14ac:dyDescent="0.25">
      <c r="A54" s="391" t="s">
        <v>231</v>
      </c>
      <c r="B54" s="392"/>
      <c r="C54" s="392"/>
      <c r="D54" s="392"/>
      <c r="E54" s="392"/>
      <c r="F54" s="392"/>
      <c r="G54" s="392"/>
      <c r="H54" s="392"/>
      <c r="I54" s="393"/>
    </row>
    <row r="55" spans="1:9" ht="18" x14ac:dyDescent="0.25">
      <c r="A55" s="532"/>
      <c r="B55" s="533"/>
      <c r="C55" s="533"/>
      <c r="D55" s="533"/>
      <c r="E55" s="533"/>
      <c r="F55" s="533"/>
      <c r="G55" s="533"/>
      <c r="H55" s="533"/>
      <c r="I55" s="533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C4BD-8F39-4BD5-B8BD-3C83052D4C35}">
  <dimension ref="A1:Q97"/>
  <sheetViews>
    <sheetView topLeftCell="A54" workbookViewId="0">
      <selection activeCell="F61" sqref="F61"/>
    </sheetView>
  </sheetViews>
  <sheetFormatPr baseColWidth="10" defaultColWidth="8.42578125" defaultRowHeight="12.75" x14ac:dyDescent="0.2"/>
  <cols>
    <col min="1" max="1" width="10" style="68" bestFit="1" customWidth="1"/>
    <col min="2" max="2" width="44.140625" style="68" bestFit="1" customWidth="1"/>
    <col min="3" max="3" width="10.42578125" style="68" bestFit="1" customWidth="1"/>
    <col min="4" max="4" width="10.42578125" style="68" customWidth="1"/>
    <col min="5" max="5" width="9.85546875" style="68" bestFit="1" customWidth="1"/>
    <col min="6" max="6" width="9.5703125" style="68" bestFit="1" customWidth="1"/>
    <col min="7" max="7" width="9.5703125" style="148" bestFit="1" customWidth="1"/>
    <col min="8" max="8" width="11.85546875" style="139" customWidth="1"/>
    <col min="9" max="9" width="4.5703125" style="139" customWidth="1"/>
    <col min="10" max="10" width="1.85546875" style="67" customWidth="1"/>
    <col min="11" max="11" width="7" style="68" bestFit="1" customWidth="1"/>
    <col min="12" max="12" width="6.140625" style="68" customWidth="1"/>
    <col min="13" max="13" width="20.42578125" style="68" customWidth="1"/>
    <col min="14" max="14" width="6.42578125" style="68" bestFit="1" customWidth="1"/>
    <col min="15" max="15" width="9" style="68" bestFit="1" customWidth="1"/>
    <col min="16" max="16" width="8.42578125" style="68"/>
    <col min="17" max="17" width="3.140625" style="68" customWidth="1"/>
    <col min="18" max="16384" width="8.42578125" style="68"/>
  </cols>
  <sheetData>
    <row r="1" spans="1:10" ht="27.75" customHeight="1" x14ac:dyDescent="0.2">
      <c r="A1" s="63"/>
      <c r="B1" s="63"/>
      <c r="C1" s="63"/>
      <c r="D1" s="63"/>
      <c r="E1" s="64" t="s">
        <v>91</v>
      </c>
      <c r="F1" s="65" t="s">
        <v>92</v>
      </c>
      <c r="G1" s="65" t="s">
        <v>93</v>
      </c>
      <c r="H1" s="65" t="s">
        <v>94</v>
      </c>
      <c r="I1" s="66"/>
    </row>
    <row r="2" spans="1:10" ht="30.75" customHeight="1" x14ac:dyDescent="0.2">
      <c r="A2" s="63"/>
      <c r="B2" s="63"/>
      <c r="C2" s="63"/>
      <c r="D2" s="63"/>
      <c r="E2" s="69">
        <f>IFERROR(O68,"")</f>
        <v>2792.1551414517485</v>
      </c>
      <c r="F2" s="69">
        <f>IFERROR(H59,"")</f>
        <v>1652.3804052298599</v>
      </c>
      <c r="G2" s="69">
        <f>IFERROR(H60,"")</f>
        <v>431.31746152517621</v>
      </c>
      <c r="H2" s="69">
        <f>IFERROR(H62,"")</f>
        <v>646.99498230504901</v>
      </c>
      <c r="I2" s="70"/>
    </row>
    <row r="3" spans="1:10" ht="15" customHeight="1" x14ac:dyDescent="0.2">
      <c r="A3" s="63"/>
      <c r="B3" s="63"/>
      <c r="C3" s="63"/>
      <c r="D3" s="63"/>
      <c r="E3" s="63"/>
      <c r="F3" s="71"/>
      <c r="G3" s="71"/>
      <c r="H3" s="71"/>
      <c r="I3" s="71"/>
    </row>
    <row r="4" spans="1:10" ht="24.75" customHeight="1" thickBot="1" x14ac:dyDescent="0.25">
      <c r="A4" s="321"/>
      <c r="B4" s="321"/>
      <c r="C4" s="321"/>
      <c r="D4" s="321"/>
      <c r="E4" s="321"/>
      <c r="F4" s="321"/>
      <c r="G4" s="321"/>
      <c r="H4" s="321"/>
      <c r="I4" s="72"/>
    </row>
    <row r="5" spans="1:10" ht="19.5" customHeight="1" thickBot="1" x14ac:dyDescent="0.25">
      <c r="A5" s="322" t="s">
        <v>95</v>
      </c>
      <c r="B5" s="323"/>
      <c r="C5" s="323"/>
      <c r="D5" s="323"/>
      <c r="E5" s="323"/>
      <c r="F5" s="323"/>
      <c r="G5" s="323"/>
      <c r="H5" s="324"/>
      <c r="I5" s="73"/>
    </row>
    <row r="6" spans="1:10" ht="19.5" thickBot="1" x14ac:dyDescent="0.25">
      <c r="A6" s="73"/>
      <c r="B6" s="73"/>
      <c r="C6" s="73"/>
      <c r="D6" s="73"/>
      <c r="E6" s="73"/>
      <c r="F6" s="325" t="s">
        <v>96</v>
      </c>
      <c r="G6" s="325"/>
      <c r="H6" s="74">
        <f ca="1">TODAY()</f>
        <v>45751</v>
      </c>
      <c r="I6" s="74"/>
    </row>
    <row r="7" spans="1:10" ht="26.25" thickBot="1" x14ac:dyDescent="0.25">
      <c r="A7" s="75" t="s">
        <v>97</v>
      </c>
      <c r="B7" s="76" t="s">
        <v>98</v>
      </c>
      <c r="C7" s="76" t="s">
        <v>97</v>
      </c>
      <c r="D7" s="77" t="s">
        <v>99</v>
      </c>
      <c r="E7" s="77" t="s">
        <v>100</v>
      </c>
      <c r="F7" s="77" t="s">
        <v>101</v>
      </c>
      <c r="G7" s="77" t="s">
        <v>102</v>
      </c>
      <c r="H7" s="78" t="s">
        <v>103</v>
      </c>
      <c r="I7" s="79"/>
    </row>
    <row r="8" spans="1:10" ht="13.5" x14ac:dyDescent="0.25">
      <c r="A8" s="226">
        <v>70</v>
      </c>
      <c r="B8" s="227" t="str">
        <f>IFERROR(VLOOKUP(H8,'[1]Consolidado MP Planta'!$A$2:$M$823,3,0),"")</f>
        <v>MANJAR LECHE CONDENSADA (PAQ: 4.5 K)</v>
      </c>
      <c r="C8" s="81">
        <f>+A8</f>
        <v>70</v>
      </c>
      <c r="D8" s="82" t="str">
        <f>IFERROR(VLOOKUP(H8,'[1]Consolidado MP Planta'!$A$2:$M$823,13,0),"")</f>
        <v>Gramos</v>
      </c>
      <c r="E8" s="82">
        <f>IFERROR(VLOOKUP(H8,'[1]Consolidado MP Planta'!$A$2:$M$823,12,0),"")</f>
        <v>2.5188888888888887</v>
      </c>
      <c r="F8" s="82">
        <f>IFERROR(C8*E8,"")</f>
        <v>176.32222222222222</v>
      </c>
      <c r="G8" s="83">
        <f t="shared" ref="G8:G14" si="0">IFERROR(F8/$F$72,"")</f>
        <v>7.0479680684588916E-2</v>
      </c>
      <c r="H8" s="84" t="s">
        <v>38</v>
      </c>
      <c r="I8" s="84"/>
      <c r="J8" s="85"/>
    </row>
    <row r="9" spans="1:10" ht="13.5" hidden="1" x14ac:dyDescent="0.25">
      <c r="A9" s="80"/>
      <c r="B9" s="68" t="str">
        <f>IFERROR(VLOOKUP(H9,'[1]Consolidado MP Planta'!$A$2:$M$823,3,0),"")</f>
        <v>CEREZA ROJA C/TALLO MARASCH (UND:GALON)</v>
      </c>
      <c r="C9" s="81">
        <f t="shared" ref="C9:C14" si="1">+A9</f>
        <v>0</v>
      </c>
      <c r="D9" s="82" t="str">
        <f>IFERROR(VLOOKUP(H9,'[1]Consolidado MP Planta'!$A$2:$M$823,13,0),"")</f>
        <v>Gramos</v>
      </c>
      <c r="E9" s="82">
        <f>IFERROR(VLOOKUP(H9,'[1]Consolidado MP Planta'!$A$2:$M$823,12,0),"")</f>
        <v>2.9793923381770147</v>
      </c>
      <c r="F9" s="82">
        <f t="shared" ref="F9:F14" si="2">IFERROR(C9*E9,"")</f>
        <v>0</v>
      </c>
      <c r="G9" s="83">
        <f t="shared" si="0"/>
        <v>0</v>
      </c>
      <c r="H9" s="84" t="s">
        <v>53</v>
      </c>
      <c r="I9" s="84"/>
      <c r="J9" s="85"/>
    </row>
    <row r="10" spans="1:10" ht="13.5" hidden="1" x14ac:dyDescent="0.25">
      <c r="A10" s="80"/>
      <c r="B10" s="68" t="str">
        <f>IFERROR(VLOOKUP(H10,'[1]Consolidado MP Planta'!$A$2:$M$823,3,0),"")</f>
        <v/>
      </c>
      <c r="C10" s="81">
        <f t="shared" si="1"/>
        <v>0</v>
      </c>
      <c r="D10" s="82" t="str">
        <f>IFERROR(VLOOKUP(H10,'[1]Consolidado MP Planta'!$A$2:$M$823,13,0),"")</f>
        <v/>
      </c>
      <c r="E10" s="82" t="str">
        <f>IFERROR(VLOOKUP(H10,'[1]Consolidado MP Planta'!$A$2:$M$823,12,0),"")</f>
        <v/>
      </c>
      <c r="F10" s="82" t="str">
        <f t="shared" si="2"/>
        <v/>
      </c>
      <c r="G10" s="83" t="str">
        <f t="shared" si="0"/>
        <v/>
      </c>
      <c r="H10" s="84"/>
      <c r="I10" s="84"/>
      <c r="J10" s="85"/>
    </row>
    <row r="11" spans="1:10" ht="13.5" hidden="1" x14ac:dyDescent="0.25">
      <c r="A11" s="80"/>
      <c r="B11" s="68" t="str">
        <f>IFERROR(VLOOKUP(H11,'[1]Consolidado MP Planta'!$A$2:$M$823,3,0),"")</f>
        <v/>
      </c>
      <c r="C11" s="81">
        <f t="shared" si="1"/>
        <v>0</v>
      </c>
      <c r="D11" s="82" t="str">
        <f>IFERROR(VLOOKUP(H11,'[1]Consolidado MP Planta'!$A$2:$M$823,13,0),"")</f>
        <v/>
      </c>
      <c r="E11" s="82" t="str">
        <f>IFERROR(VLOOKUP(H11,'[1]Consolidado MP Planta'!$A$2:$M$823,12,0),"")</f>
        <v/>
      </c>
      <c r="F11" s="82" t="str">
        <f t="shared" si="2"/>
        <v/>
      </c>
      <c r="G11" s="83" t="str">
        <f t="shared" si="0"/>
        <v/>
      </c>
      <c r="H11" s="84"/>
      <c r="I11" s="84"/>
      <c r="J11" s="85"/>
    </row>
    <row r="12" spans="1:10" ht="13.5" hidden="1" x14ac:dyDescent="0.25">
      <c r="A12" s="80"/>
      <c r="B12" s="68" t="str">
        <f>IFERROR(VLOOKUP(H12,'[1]Consolidado MP Planta'!$A$2:$M$823,3,0),"")</f>
        <v/>
      </c>
      <c r="C12" s="81">
        <f t="shared" si="1"/>
        <v>0</v>
      </c>
      <c r="D12" s="82" t="str">
        <f>IFERROR(VLOOKUP(H12,'[1]Consolidado MP Planta'!$A$2:$M$823,13,0),"")</f>
        <v/>
      </c>
      <c r="E12" s="82" t="str">
        <f>IFERROR(VLOOKUP(H12,'[1]Consolidado MP Planta'!$A$2:$M$823,12,0),"")</f>
        <v/>
      </c>
      <c r="F12" s="82" t="str">
        <f t="shared" si="2"/>
        <v/>
      </c>
      <c r="G12" s="83" t="str">
        <f t="shared" si="0"/>
        <v/>
      </c>
      <c r="H12" s="84"/>
      <c r="I12" s="84"/>
      <c r="J12" s="85"/>
    </row>
    <row r="13" spans="1:10" ht="13.5" hidden="1" x14ac:dyDescent="0.25">
      <c r="A13" s="80"/>
      <c r="B13" s="68" t="str">
        <f>IFERROR(VLOOKUP(H13,'[1]Consolidado MP Planta'!$A$2:$M$823,3,0),"")</f>
        <v/>
      </c>
      <c r="C13" s="81">
        <f t="shared" si="1"/>
        <v>0</v>
      </c>
      <c r="D13" s="82" t="str">
        <f>IFERROR(VLOOKUP(H13,'[1]Consolidado MP Planta'!$A$2:$M$823,13,0),"")</f>
        <v/>
      </c>
      <c r="E13" s="82" t="str">
        <f>IFERROR(VLOOKUP(H13,'[1]Consolidado MP Planta'!$A$2:$M$823,12,0),"")</f>
        <v/>
      </c>
      <c r="F13" s="82" t="str">
        <f t="shared" si="2"/>
        <v/>
      </c>
      <c r="G13" s="83" t="str">
        <f t="shared" si="0"/>
        <v/>
      </c>
      <c r="H13" s="84"/>
      <c r="I13" s="84"/>
      <c r="J13" s="85"/>
    </row>
    <row r="14" spans="1:10" ht="13.5" hidden="1" x14ac:dyDescent="0.25">
      <c r="A14" s="80"/>
      <c r="B14" s="68" t="str">
        <f>IFERROR(VLOOKUP(H14,'[1]Consolidado MP Planta'!$A$2:$M$823,3,0),"")</f>
        <v/>
      </c>
      <c r="C14" s="81">
        <f t="shared" si="1"/>
        <v>0</v>
      </c>
      <c r="D14" s="82" t="str">
        <f>IFERROR(VLOOKUP(H14,'[1]Consolidado MP Planta'!$A$2:$M$823,13,0),"")</f>
        <v/>
      </c>
      <c r="E14" s="82" t="str">
        <f>IFERROR(VLOOKUP(H14,'[1]Consolidado MP Planta'!$A$2:$M$823,12,0),"")</f>
        <v/>
      </c>
      <c r="F14" s="82" t="str">
        <f t="shared" si="2"/>
        <v/>
      </c>
      <c r="G14" s="83" t="str">
        <f t="shared" si="0"/>
        <v/>
      </c>
      <c r="H14" s="84"/>
      <c r="I14" s="84"/>
      <c r="J14" s="85"/>
    </row>
    <row r="15" spans="1:10" ht="14.25" thickBot="1" x14ac:dyDescent="0.3">
      <c r="A15" s="80"/>
      <c r="B15" s="68" t="str">
        <f>IFERROR(VLOOKUP(H15,'[2]ARTICULOS MP PLANTA'!$A$2:$G$589,2,0),"")</f>
        <v/>
      </c>
      <c r="C15" s="81"/>
      <c r="D15" s="82"/>
      <c r="E15" s="82"/>
      <c r="F15" s="82"/>
      <c r="G15" s="83"/>
      <c r="H15" s="84"/>
      <c r="I15" s="84"/>
      <c r="J15" s="85"/>
    </row>
    <row r="16" spans="1:10" ht="26.25" thickBot="1" x14ac:dyDescent="0.25">
      <c r="A16" s="75" t="s">
        <v>97</v>
      </c>
      <c r="B16" s="76" t="s">
        <v>104</v>
      </c>
      <c r="C16" s="76" t="s">
        <v>97</v>
      </c>
      <c r="D16" s="77" t="s">
        <v>99</v>
      </c>
      <c r="E16" s="77" t="s">
        <v>100</v>
      </c>
      <c r="F16" s="77" t="s">
        <v>101</v>
      </c>
      <c r="G16" s="77" t="s">
        <v>102</v>
      </c>
      <c r="H16" s="78" t="s">
        <v>103</v>
      </c>
      <c r="I16" s="79"/>
      <c r="J16" s="85"/>
    </row>
    <row r="17" spans="1:12" ht="13.5" x14ac:dyDescent="0.25">
      <c r="A17" s="226">
        <v>1.5</v>
      </c>
      <c r="B17" s="227" t="str">
        <f>IFERROR(VLOOKUP(H17,[1]SEMIELABORADOS!$A$2:$M$6000,2,0),"")</f>
        <v>ROSQUETE CHOCOLATE BUCCA 280 g</v>
      </c>
      <c r="C17" s="81">
        <f>+A17</f>
        <v>1.5</v>
      </c>
      <c r="D17" s="81" t="str">
        <f>IFERROR(VLOOKUP(H17,[1]SEMIELABORADOS!$A$2:$M$6000,6,0),"")</f>
        <v>Und</v>
      </c>
      <c r="E17" s="82">
        <f>IFERROR(VLOOKUP(H17,[1]SEMIELABORADOS!$A$2:$H$65536,8,0),"")</f>
        <v>346.10629783755019</v>
      </c>
      <c r="F17" s="82">
        <f>IFERROR(E17*C17,"")</f>
        <v>519.15944675632522</v>
      </c>
      <c r="G17" s="83">
        <f t="shared" ref="G17:G24" si="3">IFERROR(F17/$F$72,"")</f>
        <v>0.20751889109960475</v>
      </c>
      <c r="H17" s="84" t="s">
        <v>71</v>
      </c>
      <c r="I17" s="84"/>
      <c r="J17" s="85"/>
    </row>
    <row r="18" spans="1:12" ht="13.5" x14ac:dyDescent="0.25">
      <c r="A18" s="226">
        <v>50</v>
      </c>
      <c r="B18" s="227" t="s">
        <v>48</v>
      </c>
      <c r="C18" s="81">
        <f t="shared" ref="C18:C24" si="4">+A18</f>
        <v>50</v>
      </c>
      <c r="D18" s="81" t="s">
        <v>106</v>
      </c>
      <c r="E18" s="82">
        <f>+[3]COSTEO!$E$37</f>
        <v>0.21835146670926517</v>
      </c>
      <c r="F18" s="82">
        <f t="shared" ref="F18:F24" si="5">IFERROR(E18*C18,"")</f>
        <v>10.917573335463258</v>
      </c>
      <c r="G18" s="83">
        <f t="shared" si="3"/>
        <v>4.3639824455266839E-3</v>
      </c>
      <c r="H18" s="84" t="s">
        <v>47</v>
      </c>
      <c r="I18" s="84"/>
      <c r="J18" s="85"/>
    </row>
    <row r="19" spans="1:12" ht="13.5" x14ac:dyDescent="0.25">
      <c r="A19" s="226">
        <v>75</v>
      </c>
      <c r="B19" s="227" t="str">
        <f>IFERROR(VLOOKUP(H19,[1]SEMIELABORADOS!$A$2:$M$6000,2,0),"")</f>
        <v>SALSA FRESA KILO</v>
      </c>
      <c r="C19" s="81">
        <f>+A19</f>
        <v>75</v>
      </c>
      <c r="D19" s="81" t="str">
        <f>IFERROR(VLOOKUP(H19,[1]SEMIELABORADOS!$A$2:$M$6000,6,0),"")</f>
        <v>Gramo</v>
      </c>
      <c r="E19" s="82">
        <f>IFERROR(VLOOKUP(H19,[1]SEMIELABORADOS!$A$2:$H$65536,8,0),"")</f>
        <v>1.6784986433954574</v>
      </c>
      <c r="F19" s="82">
        <f>IFERROR(E19*C19,"")</f>
        <v>125.8873982546593</v>
      </c>
      <c r="G19" s="83">
        <f t="shared" si="3"/>
        <v>5.0319826505021474E-2</v>
      </c>
      <c r="H19" s="84" t="s">
        <v>49</v>
      </c>
      <c r="I19" s="84"/>
      <c r="J19" s="85"/>
    </row>
    <row r="20" spans="1:12" ht="13.5" x14ac:dyDescent="0.25">
      <c r="A20" s="226">
        <v>12</v>
      </c>
      <c r="B20" s="227" t="str">
        <f>IFERROR(VLOOKUP(H20,[1]SEMIELABORADOS!$A$2:$M$6000,2,0),"")</f>
        <v>CREMA CHANTILLY BLANCA SPOON-IND KILO</v>
      </c>
      <c r="C20" s="81">
        <f>+A20</f>
        <v>12</v>
      </c>
      <c r="D20" s="81" t="str">
        <f>IFERROR(VLOOKUP(H20,[1]SEMIELABORADOS!$A$2:$M$6000,6,0),"")</f>
        <v>Gramo</v>
      </c>
      <c r="E20" s="82">
        <f>IFERROR(VLOOKUP(H20,[1]SEMIELABORADOS!$A$2:$H$65536,8,0),"")</f>
        <v>1.8754027331730769</v>
      </c>
      <c r="F20" s="82">
        <f>IFERROR(E20*C20,"")</f>
        <v>22.504832798076922</v>
      </c>
      <c r="G20" s="83">
        <f t="shared" si="3"/>
        <v>8.9956524451551625E-3</v>
      </c>
      <c r="H20" s="84" t="s">
        <v>34</v>
      </c>
      <c r="I20" s="84"/>
      <c r="J20" s="85"/>
    </row>
    <row r="21" spans="1:12" ht="13.5" x14ac:dyDescent="0.25">
      <c r="A21" s="226">
        <v>100</v>
      </c>
      <c r="B21" s="227" t="str">
        <f>IFERROR(VLOOKUP(H21,[1]SEMIELABORADOS!$A$2:$M$6000,2,0),"")</f>
        <v>CREMA BLANCA C/GALLETA CHOCO (KILO)</v>
      </c>
      <c r="C21" s="81">
        <f>+A21</f>
        <v>100</v>
      </c>
      <c r="D21" s="81" t="str">
        <f>IFERROR(VLOOKUP(H21,[1]SEMIELABORADOS!$A$2:$M$6000,6,0),"")</f>
        <v>Gramo</v>
      </c>
      <c r="E21" s="82">
        <f>IFERROR(VLOOKUP(H21,[1]SEMIELABORADOS!$A$2:$H$65536,8,0),"")</f>
        <v>1.8719433726851848</v>
      </c>
      <c r="F21" s="82">
        <f>IFERROR(E21*C21,"")</f>
        <v>187.1943372685185</v>
      </c>
      <c r="G21" s="83">
        <f t="shared" si="3"/>
        <v>7.4825492500999333E-2</v>
      </c>
      <c r="H21" s="84" t="s">
        <v>51</v>
      </c>
      <c r="I21" s="84"/>
      <c r="J21" s="85"/>
    </row>
    <row r="22" spans="1:12" ht="13.5" hidden="1" x14ac:dyDescent="0.25">
      <c r="A22" s="80"/>
      <c r="B22" s="68" t="str">
        <f>IFERROR(VLOOKUP(H22,[1]SEMIELABORADOS!$A$2:$M$6000,2,0),"")</f>
        <v>CHOCOLATE LECHE RALLADO (KILO)</v>
      </c>
      <c r="C22" s="81">
        <f t="shared" si="4"/>
        <v>0</v>
      </c>
      <c r="D22" s="81" t="str">
        <f>IFERROR(VLOOKUP(H22,[1]SEMIELABORADOS!$A$2:$M$6000,6,0),"")</f>
        <v>Gramo</v>
      </c>
      <c r="E22" s="82">
        <f>IFERROR(VLOOKUP(H22,[1]SEMIELABORADOS!$A$2:$H$65536,8,0),"")</f>
        <v>4.7536442553191485</v>
      </c>
      <c r="F22" s="82">
        <f t="shared" si="5"/>
        <v>0</v>
      </c>
      <c r="G22" s="83">
        <f t="shared" si="3"/>
        <v>0</v>
      </c>
      <c r="H22" s="84" t="s">
        <v>55</v>
      </c>
      <c r="I22" s="84"/>
      <c r="J22" s="85"/>
    </row>
    <row r="23" spans="1:12" ht="13.5" x14ac:dyDescent="0.25">
      <c r="A23" s="226">
        <v>10</v>
      </c>
      <c r="B23" s="227" t="str">
        <f>IFERROR(VLOOKUP(H23,[1]SEMIELABORADOS!$A$2:$M$6000,2,0),"")</f>
        <v>GANACHE CHOCOLATE OSCURO (KILO)</v>
      </c>
      <c r="C23" s="81">
        <f t="shared" si="4"/>
        <v>10</v>
      </c>
      <c r="D23" s="81" t="str">
        <f>IFERROR(VLOOKUP(H23,[1]SEMIELABORADOS!$A$2:$M$6000,6,0),"")</f>
        <v>Gramo</v>
      </c>
      <c r="E23" s="82">
        <f>IFERROR(VLOOKUP(H23,[1]SEMIELABORADOS!$A$2:$H$65536,8,0),"")</f>
        <v>3.5394594594594593</v>
      </c>
      <c r="F23" s="82">
        <f t="shared" si="5"/>
        <v>35.394594594594594</v>
      </c>
      <c r="G23" s="83">
        <f t="shared" si="3"/>
        <v>1.4147959874527402E-2</v>
      </c>
      <c r="H23" s="84" t="s">
        <v>58</v>
      </c>
      <c r="I23" s="84"/>
      <c r="J23" s="85"/>
    </row>
    <row r="24" spans="1:12" ht="13.5" x14ac:dyDescent="0.25">
      <c r="A24" s="80">
        <v>50</v>
      </c>
      <c r="B24" s="68" t="s">
        <v>177</v>
      </c>
      <c r="C24" s="81">
        <f t="shared" si="4"/>
        <v>50</v>
      </c>
      <c r="D24" s="81" t="s">
        <v>181</v>
      </c>
      <c r="E24" s="82">
        <v>11.5</v>
      </c>
      <c r="F24" s="82">
        <f t="shared" si="5"/>
        <v>575</v>
      </c>
      <c r="G24" s="83">
        <f t="shared" si="3"/>
        <v>0.22983952835260421</v>
      </c>
      <c r="H24" s="84" t="s">
        <v>182</v>
      </c>
      <c r="I24" s="84"/>
      <c r="J24" s="85"/>
    </row>
    <row r="25" spans="1:12" ht="14.25" thickBot="1" x14ac:dyDescent="0.3">
      <c r="A25" s="80"/>
      <c r="C25" s="81"/>
      <c r="D25" s="81"/>
      <c r="E25" s="82"/>
      <c r="F25" s="82"/>
      <c r="G25" s="83"/>
      <c r="H25" s="84"/>
      <c r="I25" s="84"/>
      <c r="J25" s="85"/>
    </row>
    <row r="26" spans="1:12" ht="26.25" thickBot="1" x14ac:dyDescent="0.25">
      <c r="A26" s="75" t="s">
        <v>97</v>
      </c>
      <c r="B26" s="76" t="s">
        <v>13</v>
      </c>
      <c r="C26" s="76" t="s">
        <v>97</v>
      </c>
      <c r="D26" s="77" t="s">
        <v>99</v>
      </c>
      <c r="E26" s="77" t="s">
        <v>100</v>
      </c>
      <c r="F26" s="77" t="s">
        <v>101</v>
      </c>
      <c r="G26" s="77" t="s">
        <v>102</v>
      </c>
      <c r="H26" s="78" t="s">
        <v>103</v>
      </c>
      <c r="I26" s="79"/>
    </row>
    <row r="27" spans="1:12" ht="13.5" x14ac:dyDescent="0.25">
      <c r="A27" s="80">
        <v>1</v>
      </c>
      <c r="B27" s="86" t="str">
        <f>IFERROR(VLOOKUP(H27,'[1]Consolidado MP Planta'!$A$2:$M$823,3,0),"")</f>
        <v>BASE QUEQUERA 8" ALTA (CAJA:200 UND)</v>
      </c>
      <c r="C27" s="81">
        <f>+A27</f>
        <v>1</v>
      </c>
      <c r="D27" s="82" t="s">
        <v>107</v>
      </c>
      <c r="E27" s="82">
        <f>IFERROR(VLOOKUP(H27,'[1]Consolidado MP Planta'!$A$2:$M$823,12,0),"")</f>
        <v>110.63500000000001</v>
      </c>
      <c r="F27" s="82">
        <f>IFERROR(C27*E27,"")</f>
        <v>110.63500000000001</v>
      </c>
      <c r="G27" s="83">
        <f>IFERROR(F27/$F$72,"")</f>
        <v>4.4223123859635421E-2</v>
      </c>
      <c r="H27" s="87" t="s">
        <v>183</v>
      </c>
      <c r="I27" s="87"/>
      <c r="J27" s="85"/>
      <c r="K27" s="320"/>
      <c r="L27" s="320"/>
    </row>
    <row r="28" spans="1:12" ht="13.5" x14ac:dyDescent="0.25">
      <c r="A28" s="80">
        <v>1</v>
      </c>
      <c r="B28" s="86" t="str">
        <f>IFERROR(VLOOKUP(H28,'[1]Consolidado MP Planta'!$A$2:$M$823,3,0),"")</f>
        <v>DOMO QUEQUERA 8" ALTA (CAJA:100 UND)</v>
      </c>
      <c r="C28" s="81">
        <f>+A28</f>
        <v>1</v>
      </c>
      <c r="D28" s="82" t="s">
        <v>107</v>
      </c>
      <c r="E28" s="82">
        <f>IFERROR(VLOOKUP(H28,'[1]Consolidado MP Planta'!$A$2:$M$823,12,0),"")</f>
        <v>185.95</v>
      </c>
      <c r="F28" s="82">
        <f>IFERROR(C28*E28,"")</f>
        <v>185.95</v>
      </c>
      <c r="G28" s="83">
        <f>IFERROR(F28/$F$72,"")</f>
        <v>7.4328104864637826E-2</v>
      </c>
      <c r="H28" s="87" t="s">
        <v>173</v>
      </c>
      <c r="I28" s="87"/>
      <c r="J28" s="85"/>
      <c r="K28" s="66"/>
      <c r="L28" s="66"/>
    </row>
    <row r="29" spans="1:12" ht="15" customHeight="1" x14ac:dyDescent="0.25">
      <c r="A29" s="80">
        <v>1</v>
      </c>
      <c r="B29" s="86" t="str">
        <f>IFERROR(VLOOKUP(H29,'[1]Consolidado MP Planta'!$A$2:$M$823,3,0),"")</f>
        <v>ORLA CARTON  8" DORADA (UND)</v>
      </c>
      <c r="C29" s="81">
        <f t="shared" ref="C29:C34" si="6">+A29</f>
        <v>1</v>
      </c>
      <c r="D29" s="82" t="s">
        <v>107</v>
      </c>
      <c r="E29" s="82">
        <f>IFERROR(VLOOKUP(H29,'[1]Consolidado MP Planta'!$A$2:$M$823,12,0),"")</f>
        <v>85</v>
      </c>
      <c r="F29" s="82">
        <f t="shared" ref="F29:F34" si="7">IFERROR(C29*E29,"")</f>
        <v>85</v>
      </c>
      <c r="G29" s="83">
        <f t="shared" ref="G29:G34" si="8">IFERROR(F29/$F$72,"")</f>
        <v>3.3976278104298013E-2</v>
      </c>
      <c r="H29" s="87" t="s">
        <v>78</v>
      </c>
      <c r="I29" s="87"/>
      <c r="J29" s="85"/>
      <c r="K29" s="320"/>
      <c r="L29" s="320"/>
    </row>
    <row r="30" spans="1:12" ht="15" customHeight="1" x14ac:dyDescent="0.25">
      <c r="A30" s="80">
        <v>1</v>
      </c>
      <c r="B30" s="86" t="s">
        <v>64</v>
      </c>
      <c r="C30" s="81">
        <f t="shared" si="6"/>
        <v>1</v>
      </c>
      <c r="D30" s="82" t="s">
        <v>107</v>
      </c>
      <c r="E30" s="82">
        <v>0.18</v>
      </c>
      <c r="F30" s="82">
        <f t="shared" si="7"/>
        <v>0.18</v>
      </c>
      <c r="G30" s="83">
        <f t="shared" si="8"/>
        <v>7.1949765397336967E-5</v>
      </c>
      <c r="H30" s="87" t="s">
        <v>63</v>
      </c>
      <c r="I30" s="87"/>
      <c r="J30" s="85"/>
      <c r="K30" s="66"/>
      <c r="L30" s="66"/>
    </row>
    <row r="31" spans="1:12" ht="15" customHeight="1" x14ac:dyDescent="0.25">
      <c r="A31" s="80">
        <v>1</v>
      </c>
      <c r="B31" s="86" t="str">
        <f>IFERROR(VLOOKUP(H31,'[1]Consolidado MP Planta'!$A$2:$M$823,3,0),"")</f>
        <v>ETIQUETA BLANCA 2 5/8X1 15/16 (UND)</v>
      </c>
      <c r="C31" s="81">
        <f t="shared" si="6"/>
        <v>1</v>
      </c>
      <c r="D31" s="82" t="s">
        <v>107</v>
      </c>
      <c r="E31" s="82">
        <f>IFERROR(VLOOKUP(H31,'[1]Consolidado MP Planta'!$A$2:$M$823,12,0),"")</f>
        <v>2.1280000000000001</v>
      </c>
      <c r="F31" s="82">
        <f t="shared" si="7"/>
        <v>2.1280000000000001</v>
      </c>
      <c r="G31" s="83">
        <f t="shared" si="8"/>
        <v>8.5060611536407274E-4</v>
      </c>
      <c r="H31" s="87" t="s">
        <v>40</v>
      </c>
      <c r="I31" s="87"/>
      <c r="J31" s="85"/>
      <c r="K31" s="66"/>
      <c r="L31" s="66"/>
    </row>
    <row r="32" spans="1:12" ht="15" customHeight="1" x14ac:dyDescent="0.25">
      <c r="A32" s="80">
        <v>1</v>
      </c>
      <c r="B32" s="86" t="str">
        <f>IFERROR(VLOOKUP(H32,'[1]Consolidado MP Planta'!$A$2:$M$823,3,0),"")</f>
        <v>ETIQUETA BLANCA R-153 (UND)</v>
      </c>
      <c r="C32" s="81">
        <f t="shared" si="6"/>
        <v>1</v>
      </c>
      <c r="D32" s="82" t="s">
        <v>107</v>
      </c>
      <c r="E32" s="82">
        <f>IFERROR(VLOOKUP(H32,'[1]Consolidado MP Planta'!$A$2:$M$823,12,0),"")</f>
        <v>0.39</v>
      </c>
      <c r="F32" s="82">
        <f t="shared" si="7"/>
        <v>0.39</v>
      </c>
      <c r="G32" s="83">
        <f t="shared" si="8"/>
        <v>1.5589115836089679E-4</v>
      </c>
      <c r="H32" s="87" t="s">
        <v>65</v>
      </c>
      <c r="I32" s="87"/>
      <c r="J32" s="85"/>
      <c r="K32" s="66"/>
      <c r="L32" s="66"/>
    </row>
    <row r="33" spans="1:12" ht="13.5" x14ac:dyDescent="0.25">
      <c r="A33" s="80">
        <v>60</v>
      </c>
      <c r="B33" s="86" t="str">
        <f>IFERROR(VLOOKUP(H33,'[1]Consolidado MP Planta'!$A$2:$M$823,3,0),"")</f>
        <v>CINTA ADHESIVA TRANSPARENT 2*100 M (UND)</v>
      </c>
      <c r="C33" s="81">
        <f t="shared" si="6"/>
        <v>60</v>
      </c>
      <c r="D33" s="82" t="s">
        <v>107</v>
      </c>
      <c r="E33" s="82">
        <f>IFERROR(VLOOKUP(H33,'[1]Consolidado MP Planta'!$A$2:$M$823,12,0),"")</f>
        <v>0.17499999999999999</v>
      </c>
      <c r="F33" s="82">
        <f t="shared" si="7"/>
        <v>10.5</v>
      </c>
      <c r="G33" s="83">
        <f t="shared" si="8"/>
        <v>4.1970696481779899E-3</v>
      </c>
      <c r="H33" s="87" t="s">
        <v>108</v>
      </c>
      <c r="I33" s="87"/>
      <c r="J33" s="85"/>
      <c r="K33" s="320"/>
      <c r="L33" s="320"/>
    </row>
    <row r="34" spans="1:12" ht="13.5" x14ac:dyDescent="0.25">
      <c r="A34" s="80">
        <v>1</v>
      </c>
      <c r="B34" s="86" t="s">
        <v>68</v>
      </c>
      <c r="C34" s="81">
        <f t="shared" si="6"/>
        <v>1</v>
      </c>
      <c r="D34" s="82" t="s">
        <v>107</v>
      </c>
      <c r="E34" s="82">
        <v>25</v>
      </c>
      <c r="F34" s="82">
        <f t="shared" si="7"/>
        <v>25</v>
      </c>
      <c r="G34" s="83">
        <f t="shared" si="8"/>
        <v>9.993022971852358E-3</v>
      </c>
      <c r="H34" s="87" t="s">
        <v>67</v>
      </c>
      <c r="I34" s="87"/>
      <c r="J34" s="85"/>
      <c r="K34" s="320"/>
      <c r="L34" s="320"/>
    </row>
    <row r="35" spans="1:12" ht="13.5" hidden="1" x14ac:dyDescent="0.25">
      <c r="A35" s="80"/>
      <c r="B35" s="86" t="str">
        <f>IFERROR(VLOOKUP(H35,'[1]Consolidado MP Planta'!$A$2:$M$823,3,0),"")</f>
        <v/>
      </c>
      <c r="C35" s="81">
        <f>+A35</f>
        <v>0</v>
      </c>
      <c r="D35" s="82" t="str">
        <f>IFERROR(VLOOKUP(H35,'[1]Consolidado MP Planta'!$A$2:$M$823,13,0),"")</f>
        <v/>
      </c>
      <c r="E35" s="82" t="str">
        <f>IFERROR(VLOOKUP(H35,'[1]Consolidado MP Planta'!$A$2:$M$823,12,0),"")</f>
        <v/>
      </c>
      <c r="F35" s="82" t="str">
        <f>IFERROR(C35*E35,"")</f>
        <v/>
      </c>
      <c r="G35" s="83" t="str">
        <f>IFERROR(F35/$F$72,"")</f>
        <v/>
      </c>
      <c r="H35" s="87"/>
      <c r="I35" s="87"/>
      <c r="J35" s="85"/>
      <c r="K35" s="88"/>
      <c r="L35" s="89"/>
    </row>
    <row r="36" spans="1:12" ht="13.5" hidden="1" x14ac:dyDescent="0.25">
      <c r="A36" s="80"/>
      <c r="B36" s="86" t="str">
        <f>IFERROR(VLOOKUP(H36,'[1]Consolidado MP Planta'!$A$2:$M$823,3,0),"")</f>
        <v/>
      </c>
      <c r="C36" s="81">
        <f>+A36</f>
        <v>0</v>
      </c>
      <c r="D36" s="82" t="str">
        <f>IFERROR(VLOOKUP(H36,'[1]Consolidado MP Planta'!$A$2:$M$823,13,0),"")</f>
        <v/>
      </c>
      <c r="E36" s="82" t="str">
        <f>IFERROR(VLOOKUP(H36,'[1]Consolidado MP Planta'!$A$2:$M$823,12,0),"")</f>
        <v/>
      </c>
      <c r="F36" s="82" t="str">
        <f>IFERROR(C36*E36,"")</f>
        <v/>
      </c>
      <c r="G36" s="83" t="str">
        <f>IFERROR(F36/$F$72,"")</f>
        <v/>
      </c>
      <c r="H36" s="87"/>
      <c r="I36" s="87"/>
      <c r="J36" s="85"/>
    </row>
    <row r="37" spans="1:12" ht="14.25" thickBot="1" x14ac:dyDescent="0.3">
      <c r="A37" s="80"/>
      <c r="B37" s="86"/>
      <c r="C37" s="81"/>
      <c r="D37" s="82"/>
      <c r="E37" s="82"/>
      <c r="F37" s="82"/>
      <c r="G37" s="83"/>
      <c r="H37" s="87"/>
      <c r="I37" s="87"/>
      <c r="J37" s="85"/>
    </row>
    <row r="38" spans="1:12" ht="26.25" thickBot="1" x14ac:dyDescent="0.25">
      <c r="A38" s="75" t="s">
        <v>97</v>
      </c>
      <c r="B38" s="76" t="s">
        <v>109</v>
      </c>
      <c r="C38" s="76" t="s">
        <v>97</v>
      </c>
      <c r="D38" s="77" t="s">
        <v>99</v>
      </c>
      <c r="E38" s="77" t="s">
        <v>100</v>
      </c>
      <c r="F38" s="77" t="s">
        <v>101</v>
      </c>
      <c r="G38" s="77" t="s">
        <v>102</v>
      </c>
      <c r="H38" s="78" t="s">
        <v>103</v>
      </c>
      <c r="I38" s="87"/>
      <c r="J38" s="85"/>
    </row>
    <row r="39" spans="1:12" ht="13.5" x14ac:dyDescent="0.25">
      <c r="A39" s="80">
        <v>2</v>
      </c>
      <c r="B39" s="86" t="str">
        <f>IFERROR(VLOOKUP(H39,[1]SEMIELABORADOS!$A$2:$M$6000,2,0),"")</f>
        <v>ROSQUETE CHOCOLATE BUCCA 425g</v>
      </c>
      <c r="C39" s="81">
        <f>+A39</f>
        <v>2</v>
      </c>
      <c r="D39" s="82" t="str">
        <f>IFERROR(VLOOKUP(H39,[1]SEMIELABORADOS!$A$2:$M$6000,6,0),"")</f>
        <v>Und</v>
      </c>
      <c r="E39" s="82">
        <f>IFERROR(VLOOKUP(H39,[1]SEMIELABORADOS!$A$2:$M$65536,10,0),"")</f>
        <v>5.0864834613899612</v>
      </c>
      <c r="F39" s="82">
        <f>IFERROR(E39*C39,"")</f>
        <v>10.172966922779922</v>
      </c>
      <c r="G39" s="83">
        <f t="shared" ref="G39:G46" si="9">IFERROR(F39/$F$72,"")</f>
        <v>4.0663476860493585E-3</v>
      </c>
      <c r="H39" s="87" t="s">
        <v>105</v>
      </c>
      <c r="I39" s="87"/>
      <c r="J39" s="85"/>
    </row>
    <row r="40" spans="1:12" ht="13.5" x14ac:dyDescent="0.25">
      <c r="A40" s="80">
        <f t="shared" ref="A40:A46" si="10">+A18</f>
        <v>50</v>
      </c>
      <c r="B40" s="86" t="s">
        <v>48</v>
      </c>
      <c r="C40" s="81">
        <f t="shared" ref="C40:C46" si="11">+A40</f>
        <v>50</v>
      </c>
      <c r="D40" s="82" t="s">
        <v>106</v>
      </c>
      <c r="E40" s="82">
        <f>+[3]COSTEO!$E$44</f>
        <v>6.0856453674121404E-3</v>
      </c>
      <c r="F40" s="82">
        <f t="shared" ref="F40:F46" si="12">IFERROR(E40*C40,"")</f>
        <v>0.30428226837060701</v>
      </c>
      <c r="G40" s="83">
        <f t="shared" si="9"/>
        <v>1.216279879101928E-4</v>
      </c>
      <c r="H40" s="87" t="s">
        <v>47</v>
      </c>
      <c r="I40" s="87"/>
      <c r="J40" s="85"/>
    </row>
    <row r="41" spans="1:12" ht="13.5" x14ac:dyDescent="0.25">
      <c r="A41" s="80">
        <f t="shared" si="10"/>
        <v>75</v>
      </c>
      <c r="B41" s="86" t="str">
        <f>IFERROR(VLOOKUP(H41,[1]SEMIELABORADOS!$A$2:$M$6000,2,0),"")</f>
        <v>SALSA FRESA KILO</v>
      </c>
      <c r="C41" s="81">
        <f t="shared" si="11"/>
        <v>75</v>
      </c>
      <c r="D41" s="82" t="str">
        <f>IFERROR(VLOOKUP(H41,[1]SEMIELABORADOS!$A$2:$M$6000,6,0),"")</f>
        <v>Gramo</v>
      </c>
      <c r="E41" s="82">
        <f>IFERROR(VLOOKUP(H41,[1]SEMIELABORADOS!$A$2:$M$65536,10,0),"")</f>
        <v>1.3958444808623188E-2</v>
      </c>
      <c r="F41" s="82">
        <f t="shared" si="12"/>
        <v>1.0468833606467391</v>
      </c>
      <c r="G41" s="83">
        <f t="shared" si="9"/>
        <v>4.1846117887171444E-4</v>
      </c>
      <c r="H41" s="87" t="s">
        <v>49</v>
      </c>
      <c r="I41" s="87"/>
      <c r="J41" s="85"/>
    </row>
    <row r="42" spans="1:12" ht="13.5" x14ac:dyDescent="0.25">
      <c r="A42" s="80">
        <f t="shared" si="10"/>
        <v>12</v>
      </c>
      <c r="B42" s="86" t="str">
        <f>IFERROR(VLOOKUP(H42,[1]SEMIELABORADOS!$A$2:$M$6000,2,0),"")</f>
        <v>CREMA CHANTILLY BLANCA SPOON-IND KILO</v>
      </c>
      <c r="C42" s="81">
        <f>+A42</f>
        <v>12</v>
      </c>
      <c r="D42" s="82" t="str">
        <f>IFERROR(VLOOKUP(H42,[1]SEMIELABORADOS!$A$2:$M$6000,6,0),"")</f>
        <v>Gramo</v>
      </c>
      <c r="E42" s="82">
        <f>IFERROR(VLOOKUP(H42,[1]SEMIELABORADOS!$A$2:$M$65536,10,0),"")</f>
        <v>2.7884615384615379E-5</v>
      </c>
      <c r="F42" s="82">
        <f>IFERROR(E42*C42,"")</f>
        <v>3.3461538461538454E-4</v>
      </c>
      <c r="G42" s="83">
        <f t="shared" si="9"/>
        <v>1.3375276900787E-7</v>
      </c>
      <c r="H42" s="87" t="s">
        <v>34</v>
      </c>
      <c r="I42" s="87"/>
      <c r="J42" s="85"/>
    </row>
    <row r="43" spans="1:12" ht="13.5" x14ac:dyDescent="0.25">
      <c r="A43" s="80">
        <f t="shared" si="10"/>
        <v>100</v>
      </c>
      <c r="B43" s="86" t="str">
        <f>IFERROR(VLOOKUP(H43,[1]SEMIELABORADOS!$A$2:$M$6000,2,0),"")</f>
        <v>CREMA BLANCA C/GALLETA CHOCO (KILO)</v>
      </c>
      <c r="C43" s="81">
        <f>+A43</f>
        <v>100</v>
      </c>
      <c r="D43" s="82" t="str">
        <f>IFERROR(VLOOKUP(H43,[1]SEMIELABORADOS!$A$2:$M$6000,6,0),"")</f>
        <v>Gramo</v>
      </c>
      <c r="E43" s="82">
        <f>IFERROR(VLOOKUP(H43,[1]SEMIELABORADOS!$A$2:$M$65536,10,0),"")</f>
        <v>9.8518518518518521E-5</v>
      </c>
      <c r="F43" s="82">
        <f>IFERROR(E43*C43,"")</f>
        <v>9.851851851851853E-3</v>
      </c>
      <c r="G43" s="83">
        <f t="shared" si="9"/>
        <v>3.9379912748336699E-6</v>
      </c>
      <c r="H43" s="87" t="s">
        <v>51</v>
      </c>
      <c r="I43" s="87"/>
      <c r="J43" s="85"/>
    </row>
    <row r="44" spans="1:12" ht="13.5" x14ac:dyDescent="0.25">
      <c r="A44" s="80">
        <f t="shared" si="10"/>
        <v>0</v>
      </c>
      <c r="B44" s="86" t="str">
        <f>IFERROR(VLOOKUP(H44,[1]SEMIELABORADOS!$A$2:$M$6000,2,0),"")</f>
        <v>CHOCOLATE LECHE RALLADO (KILO)</v>
      </c>
      <c r="C44" s="81">
        <f t="shared" si="11"/>
        <v>0</v>
      </c>
      <c r="D44" s="82" t="str">
        <f>IFERROR(VLOOKUP(H44,[1]SEMIELABORADOS!$A$2:$M$6000,6,0),"")</f>
        <v>Gramo</v>
      </c>
      <c r="E44" s="82">
        <f>IFERROR(VLOOKUP(H44,[1]SEMIELABORADOS!$A$2:$M$65536,10,0),"")</f>
        <v>7.5987841945288756E-3</v>
      </c>
      <c r="F44" s="82">
        <f t="shared" si="12"/>
        <v>0</v>
      </c>
      <c r="G44" s="83">
        <f t="shared" si="9"/>
        <v>0</v>
      </c>
      <c r="H44" s="87" t="s">
        <v>55</v>
      </c>
      <c r="I44" s="87"/>
      <c r="J44" s="85"/>
    </row>
    <row r="45" spans="1:12" ht="13.5" x14ac:dyDescent="0.25">
      <c r="A45" s="80">
        <f t="shared" si="10"/>
        <v>10</v>
      </c>
      <c r="B45" s="86" t="str">
        <f>IFERROR(VLOOKUP(H45,[1]SEMIELABORADOS!$A$2:$M$6000,2,0),"")</f>
        <v>GANACHE CHOCOLATE OSCURO (KILO)</v>
      </c>
      <c r="C45" s="81">
        <f t="shared" si="11"/>
        <v>10</v>
      </c>
      <c r="D45" s="82" t="str">
        <f>IFERROR(VLOOKUP(H45,[1]SEMIELABORADOS!$A$2:$M$6000,6,0),"")</f>
        <v>Gramo</v>
      </c>
      <c r="E45" s="82">
        <f>IFERROR(VLOOKUP(H45,[1]SEMIELABORADOS!$A$2:$M$65536,10,0),"")</f>
        <v>1.4250614250614247E-5</v>
      </c>
      <c r="F45" s="82">
        <f t="shared" si="12"/>
        <v>1.4250614250614247E-4</v>
      </c>
      <c r="G45" s="83">
        <f t="shared" si="9"/>
        <v>5.6962686227757899E-8</v>
      </c>
      <c r="H45" s="87" t="s">
        <v>58</v>
      </c>
      <c r="I45" s="87"/>
      <c r="J45" s="85"/>
    </row>
    <row r="46" spans="1:12" ht="13.5" x14ac:dyDescent="0.25">
      <c r="A46" s="80">
        <f t="shared" si="10"/>
        <v>50</v>
      </c>
      <c r="B46" s="86" t="str">
        <f>IFERROR(VLOOKUP(H46,[1]SEMIELABORADOS!$A$2:$M$6000,2,0),"")</f>
        <v/>
      </c>
      <c r="C46" s="81">
        <f t="shared" si="11"/>
        <v>50</v>
      </c>
      <c r="D46" s="82" t="str">
        <f>IFERROR(VLOOKUP(H46,[1]SEMIELABORADOS!$A$2:$M$6000,6,0),"")</f>
        <v/>
      </c>
      <c r="E46" s="82" t="str">
        <f>IFERROR(VLOOKUP(H46,[1]SEMIELABORADOS!$A$2:$M$65536,10,0),"")</f>
        <v/>
      </c>
      <c r="F46" s="82" t="str">
        <f t="shared" si="12"/>
        <v/>
      </c>
      <c r="G46" s="83" t="str">
        <f t="shared" si="9"/>
        <v/>
      </c>
      <c r="H46" s="87"/>
      <c r="I46" s="87"/>
      <c r="J46" s="85"/>
    </row>
    <row r="47" spans="1:12" ht="14.25" thickBot="1" x14ac:dyDescent="0.3">
      <c r="A47" s="80"/>
      <c r="B47" s="86"/>
      <c r="C47" s="81"/>
      <c r="D47" s="82"/>
      <c r="E47" s="82"/>
      <c r="F47" s="82"/>
      <c r="G47" s="83"/>
      <c r="H47" s="87"/>
      <c r="I47" s="87"/>
      <c r="J47" s="85"/>
    </row>
    <row r="48" spans="1:12" ht="26.25" thickBot="1" x14ac:dyDescent="0.25">
      <c r="A48" s="75" t="s">
        <v>97</v>
      </c>
      <c r="B48" s="76" t="s">
        <v>110</v>
      </c>
      <c r="C48" s="76" t="s">
        <v>97</v>
      </c>
      <c r="D48" s="77" t="s">
        <v>99</v>
      </c>
      <c r="E48" s="77" t="s">
        <v>100</v>
      </c>
      <c r="F48" s="77" t="s">
        <v>101</v>
      </c>
      <c r="G48" s="77" t="s">
        <v>102</v>
      </c>
      <c r="H48" s="78" t="s">
        <v>103</v>
      </c>
      <c r="I48" s="79"/>
      <c r="J48" s="85"/>
    </row>
    <row r="49" spans="1:17" ht="13.5" x14ac:dyDescent="0.25">
      <c r="A49" s="80">
        <f t="shared" ref="A49:A56" si="13">+A39</f>
        <v>2</v>
      </c>
      <c r="B49" s="86" t="str">
        <f>IFERROR(VLOOKUP(H49,[1]SEMIELABORADOS!$A$2:$M$6000,2,0),"")</f>
        <v>ROSQUETE CHOCOLATE BUCCA 425g</v>
      </c>
      <c r="C49" s="81">
        <f>+A49</f>
        <v>2</v>
      </c>
      <c r="D49" s="82" t="str">
        <f>IFERROR(VLOOKUP(H49,[1]SEMIELABORADOS!$A$2:$M$6000,6,0),"")</f>
        <v>Und</v>
      </c>
      <c r="E49" s="82">
        <f>IFERROR(VLOOKUP(H49,[1]SEMIELABORADOS!$A$2:$M$65536,12,0),"")</f>
        <v>96.85509169313481</v>
      </c>
      <c r="F49" s="82">
        <f>IFERROR(E49*C49,"")</f>
        <v>193.71018338626962</v>
      </c>
      <c r="G49" s="83">
        <f>IFERROR(F49/$F$72,"")</f>
        <v>7.7430012498429013E-2</v>
      </c>
      <c r="H49" s="87" t="s">
        <v>105</v>
      </c>
      <c r="I49" s="79"/>
      <c r="J49" s="85"/>
    </row>
    <row r="50" spans="1:17" ht="13.5" x14ac:dyDescent="0.25">
      <c r="A50" s="80">
        <f t="shared" si="13"/>
        <v>50</v>
      </c>
      <c r="B50" s="86" t="s">
        <v>48</v>
      </c>
      <c r="C50" s="81">
        <f t="shared" ref="C50:C56" si="14">+A50</f>
        <v>50</v>
      </c>
      <c r="D50" s="82" t="s">
        <v>106</v>
      </c>
      <c r="E50" s="82">
        <f>+[3]COSTEO!$E$42</f>
        <v>2.6357827476038338E-2</v>
      </c>
      <c r="F50" s="82">
        <f t="shared" ref="F50:F56" si="15">IFERROR(E50*C50,"")</f>
        <v>1.3178913738019169</v>
      </c>
      <c r="G50" s="83">
        <f t="shared" ref="G50:G56" si="16">IFERROR(F50/$F$72,"")</f>
        <v>5.2678875091234471E-4</v>
      </c>
      <c r="H50" s="87" t="s">
        <v>47</v>
      </c>
      <c r="I50" s="79"/>
      <c r="J50" s="85"/>
    </row>
    <row r="51" spans="1:17" ht="13.5" x14ac:dyDescent="0.25">
      <c r="A51" s="80">
        <f t="shared" si="13"/>
        <v>75</v>
      </c>
      <c r="B51" s="86" t="str">
        <f>IFERROR(VLOOKUP(H51,[1]SEMIELABORADOS!$A$2:$M$6000,2,0),"")</f>
        <v>SALSA FRESA KILO</v>
      </c>
      <c r="C51" s="81">
        <f t="shared" si="14"/>
        <v>75</v>
      </c>
      <c r="D51" s="82" t="str">
        <f>IFERROR(VLOOKUP(H51,[1]SEMIELABORADOS!$A$2:$M$6000,6,0),"")</f>
        <v>Gramo</v>
      </c>
      <c r="E51" s="82">
        <f>IFERROR(VLOOKUP(H51,[1]SEMIELABORADOS!$A$2:$M$65536,12,0),"")</f>
        <v>0.30464227587673448</v>
      </c>
      <c r="F51" s="82">
        <f t="shared" si="15"/>
        <v>22.848170690755087</v>
      </c>
      <c r="G51" s="83">
        <f t="shared" si="16"/>
        <v>9.1328917831007723E-3</v>
      </c>
      <c r="H51" s="87" t="s">
        <v>49</v>
      </c>
      <c r="I51" s="79"/>
      <c r="J51" s="85"/>
    </row>
    <row r="52" spans="1:17" ht="13.5" x14ac:dyDescent="0.25">
      <c r="A52" s="80">
        <f t="shared" si="13"/>
        <v>12</v>
      </c>
      <c r="B52" s="86" t="str">
        <f>IFERROR(VLOOKUP(H52,[1]SEMIELABORADOS!$A$2:$M$6000,2,0),"")</f>
        <v>CREMA CHANTILLY BLANCA SPOON-IND KILO</v>
      </c>
      <c r="C52" s="81">
        <f t="shared" si="14"/>
        <v>12</v>
      </c>
      <c r="D52" s="82" t="str">
        <f>IFERROR(VLOOKUP(H52,[1]SEMIELABORADOS!$A$2:$M$6000,6,0),"")</f>
        <v>Gramo</v>
      </c>
      <c r="E52" s="82">
        <f>IFERROR(VLOOKUP(H52,[1]SEMIELABORADOS!$A$2:$M$65536,12,0),"")</f>
        <v>0.33757751120192309</v>
      </c>
      <c r="F52" s="82">
        <f t="shared" si="15"/>
        <v>4.0509301344230773</v>
      </c>
      <c r="G52" s="83">
        <f t="shared" si="16"/>
        <v>1.6192415156263509E-3</v>
      </c>
      <c r="H52" s="87" t="s">
        <v>34</v>
      </c>
      <c r="I52" s="79"/>
      <c r="J52" s="85"/>
    </row>
    <row r="53" spans="1:17" ht="13.5" x14ac:dyDescent="0.25">
      <c r="A53" s="80">
        <f t="shared" si="13"/>
        <v>100</v>
      </c>
      <c r="B53" s="86" t="str">
        <f>IFERROR(VLOOKUP(H53,[1]SEMIELABORADOS!$A$2:$M$6000,2,0),"")</f>
        <v>CREMA BLANCA C/GALLETA CHOCO (KILO)</v>
      </c>
      <c r="C53" s="81">
        <f t="shared" si="14"/>
        <v>100</v>
      </c>
      <c r="D53" s="82" t="str">
        <f>IFERROR(VLOOKUP(H53,[1]SEMIELABORADOS!$A$2:$M$6000,6,0),"")</f>
        <v>Gramo</v>
      </c>
      <c r="E53" s="82">
        <f>IFERROR(VLOOKUP(H53,[1]SEMIELABORADOS!$A$2:$M$65536,12,0),"")</f>
        <v>0.3369675404166666</v>
      </c>
      <c r="F53" s="82">
        <f t="shared" si="15"/>
        <v>33.696754041666658</v>
      </c>
      <c r="G53" s="83">
        <f t="shared" si="16"/>
        <v>1.3469297488609347E-2</v>
      </c>
      <c r="H53" s="87" t="s">
        <v>51</v>
      </c>
      <c r="I53" s="79"/>
      <c r="J53" s="85"/>
    </row>
    <row r="54" spans="1:17" ht="13.5" x14ac:dyDescent="0.25">
      <c r="A54" s="80">
        <f t="shared" si="13"/>
        <v>0</v>
      </c>
      <c r="B54" s="86" t="str">
        <f>IFERROR(VLOOKUP(H54,[1]SEMIELABORADOS!$A$2:$M$6000,2,0),"")</f>
        <v>CHOCOLATE LECHE RALLADO (KILO)</v>
      </c>
      <c r="C54" s="81">
        <f t="shared" si="14"/>
        <v>0</v>
      </c>
      <c r="D54" s="82" t="str">
        <f>IFERROR(VLOOKUP(H54,[1]SEMIELABORADOS!$A$2:$M$6000,6,0),"")</f>
        <v>Gramo</v>
      </c>
      <c r="E54" s="82">
        <f>IFERROR(VLOOKUP(H54,[1]SEMIELABORADOS!$A$2:$M$65536,12,0),"")</f>
        <v>0.85702374711246176</v>
      </c>
      <c r="F54" s="82">
        <f t="shared" si="15"/>
        <v>0</v>
      </c>
      <c r="G54" s="83">
        <f t="shared" si="16"/>
        <v>0</v>
      </c>
      <c r="H54" s="87" t="s">
        <v>55</v>
      </c>
      <c r="I54" s="79"/>
      <c r="J54" s="85"/>
    </row>
    <row r="55" spans="1:17" ht="13.5" x14ac:dyDescent="0.25">
      <c r="A55" s="80">
        <f t="shared" si="13"/>
        <v>10</v>
      </c>
      <c r="B55" s="86" t="str">
        <f>IFERROR(VLOOKUP(H55,[1]SEMIELABORADOS!$A$2:$M$6000,2,0),"")</f>
        <v>GANACHE CHOCOLATE OSCURO (KILO)</v>
      </c>
      <c r="C55" s="81">
        <f t="shared" si="14"/>
        <v>10</v>
      </c>
      <c r="D55" s="82" t="str">
        <f>IFERROR(VLOOKUP(H55,[1]SEMIELABORADOS!$A$2:$M$6000,6,0),"")</f>
        <v>Gramo</v>
      </c>
      <c r="E55" s="82">
        <f>IFERROR(VLOOKUP(H55,[1]SEMIELABORADOS!$A$2:$M$65536,12,0),"")</f>
        <v>0.63710526781326771</v>
      </c>
      <c r="F55" s="82">
        <f t="shared" si="15"/>
        <v>6.3710526781326768</v>
      </c>
      <c r="G55" s="83">
        <f t="shared" si="16"/>
        <v>2.5466430306984528E-3</v>
      </c>
      <c r="H55" s="86" t="s">
        <v>58</v>
      </c>
      <c r="I55" s="79"/>
      <c r="J55" s="85"/>
    </row>
    <row r="56" spans="1:17" ht="13.5" x14ac:dyDescent="0.25">
      <c r="A56" s="80">
        <f t="shared" si="13"/>
        <v>50</v>
      </c>
      <c r="B56" s="86" t="str">
        <f>IFERROR(VLOOKUP(H56,[1]SEMIELABORADOS!$A$2:$M$6000,2,0),"")</f>
        <v/>
      </c>
      <c r="C56" s="81">
        <f t="shared" si="14"/>
        <v>50</v>
      </c>
      <c r="D56" s="82" t="str">
        <f>IFERROR(VLOOKUP(H56,[1]SEMIELABORADOS!$A$2:$M$6000,6,0),"")</f>
        <v/>
      </c>
      <c r="E56" s="82" t="str">
        <f>IFERROR(VLOOKUP(H56,[1]SEMIELABORADOS!$A$2:$M$65536,12,0),"")</f>
        <v/>
      </c>
      <c r="F56" s="82" t="str">
        <f t="shared" si="15"/>
        <v/>
      </c>
      <c r="G56" s="83" t="str">
        <f t="shared" si="16"/>
        <v/>
      </c>
      <c r="H56" s="86"/>
      <c r="I56" s="79"/>
      <c r="J56" s="85"/>
    </row>
    <row r="57" spans="1:17" ht="13.5" x14ac:dyDescent="0.25">
      <c r="A57" s="80">
        <v>1</v>
      </c>
      <c r="B57" s="86" t="s">
        <v>111</v>
      </c>
      <c r="C57" s="81">
        <f>+A57</f>
        <v>1</v>
      </c>
      <c r="D57" s="81" t="s">
        <v>112</v>
      </c>
      <c r="E57" s="82">
        <f>+F71</f>
        <v>385</v>
      </c>
      <c r="F57" s="82">
        <f>IFERROR(C57*E57,"")</f>
        <v>385</v>
      </c>
      <c r="G57" s="83">
        <f>IFERROR(F57/$F$72,"")</f>
        <v>0.1538925537665263</v>
      </c>
      <c r="H57" s="90"/>
      <c r="I57" s="90"/>
      <c r="J57" s="85"/>
    </row>
    <row r="58" spans="1:17" ht="14.25" thickBot="1" x14ac:dyDescent="0.3">
      <c r="A58" s="80"/>
      <c r="B58" s="86"/>
      <c r="C58" s="81"/>
      <c r="D58" s="81"/>
      <c r="E58" s="82"/>
      <c r="F58" s="82"/>
      <c r="G58" s="83"/>
      <c r="H58" s="90"/>
      <c r="I58" s="90"/>
      <c r="J58" s="85"/>
    </row>
    <row r="59" spans="1:17" ht="13.5" thickBot="1" x14ac:dyDescent="0.25">
      <c r="A59" s="91"/>
      <c r="B59" s="326" t="s">
        <v>113</v>
      </c>
      <c r="C59" s="326"/>
      <c r="D59" s="326"/>
      <c r="E59" s="326"/>
      <c r="F59" s="93">
        <f>SUM(F8:F14,F17:F24)</f>
        <v>1652.3804052298599</v>
      </c>
      <c r="G59" s="83">
        <f>+F59/$F$72</f>
        <v>0.66049101390802789</v>
      </c>
      <c r="H59" s="94">
        <f>+F59/$D$66</f>
        <v>1652.3804052298599</v>
      </c>
      <c r="I59" s="94"/>
      <c r="J59" s="95"/>
      <c r="K59" s="96"/>
      <c r="L59" s="96"/>
      <c r="M59" s="96"/>
      <c r="N59" s="96"/>
      <c r="O59" s="96"/>
      <c r="P59" s="96"/>
      <c r="Q59" s="97"/>
    </row>
    <row r="60" spans="1:17" x14ac:dyDescent="0.2">
      <c r="A60" s="91"/>
      <c r="B60" s="326" t="s">
        <v>114</v>
      </c>
      <c r="C60" s="326"/>
      <c r="D60" s="326"/>
      <c r="E60" s="326"/>
      <c r="F60" s="93">
        <f>SUM(F27:F36,F39:F45)</f>
        <v>431.31746152517621</v>
      </c>
      <c r="G60" s="83">
        <f>+F60/$F$72</f>
        <v>0.17240661204728525</v>
      </c>
      <c r="H60" s="94">
        <f>+F60/$D$66</f>
        <v>431.31746152517621</v>
      </c>
      <c r="I60" s="94"/>
      <c r="J60" s="98"/>
      <c r="K60" s="331" t="s">
        <v>115</v>
      </c>
      <c r="L60" s="332"/>
      <c r="M60" s="332"/>
      <c r="N60" s="332"/>
      <c r="O60" s="99">
        <f>+F61</f>
        <v>2083.6978667550361</v>
      </c>
      <c r="P60" s="99"/>
      <c r="Q60" s="100"/>
    </row>
    <row r="61" spans="1:17" x14ac:dyDescent="0.2">
      <c r="A61" s="91"/>
      <c r="B61" s="326" t="s">
        <v>116</v>
      </c>
      <c r="C61" s="326"/>
      <c r="D61" s="326"/>
      <c r="E61" s="326"/>
      <c r="F61" s="93">
        <f>+F59+F60</f>
        <v>2083.6978667550361</v>
      </c>
      <c r="G61" s="83">
        <f>+F61/$F$72</f>
        <v>0.83289762595531314</v>
      </c>
      <c r="H61" s="94">
        <f>+F61/$D$66</f>
        <v>2083.6978667550361</v>
      </c>
      <c r="I61" s="94"/>
      <c r="J61" s="101"/>
      <c r="K61" s="102"/>
      <c r="M61" s="228" t="s">
        <v>117</v>
      </c>
      <c r="N61" s="229">
        <v>0.18</v>
      </c>
      <c r="O61" s="99">
        <f>+O60*N61</f>
        <v>375.06561601590647</v>
      </c>
      <c r="P61" s="99"/>
      <c r="Q61" s="100"/>
    </row>
    <row r="62" spans="1:17" ht="13.5" thickBot="1" x14ac:dyDescent="0.25">
      <c r="A62" s="91"/>
      <c r="B62" s="92"/>
      <c r="C62" s="326" t="s">
        <v>118</v>
      </c>
      <c r="D62" s="326"/>
      <c r="E62" s="326"/>
      <c r="F62" s="93">
        <f>SUM(F49:F57)</f>
        <v>646.99498230504901</v>
      </c>
      <c r="G62" s="83">
        <f>+F62/$F$72</f>
        <v>0.2586174288339026</v>
      </c>
      <c r="H62" s="94">
        <f>+F62/$D$66</f>
        <v>646.99498230504901</v>
      </c>
      <c r="I62" s="94"/>
      <c r="J62" s="101"/>
      <c r="K62" s="102"/>
      <c r="L62" s="102"/>
      <c r="M62" s="102" t="s">
        <v>119</v>
      </c>
      <c r="N62" s="103"/>
      <c r="O62" s="99">
        <f>O60*N62</f>
        <v>0</v>
      </c>
      <c r="P62" s="99"/>
      <c r="Q62" s="100"/>
    </row>
    <row r="63" spans="1:17" ht="13.5" thickBot="1" x14ac:dyDescent="0.25">
      <c r="A63" s="91"/>
      <c r="B63" s="104"/>
      <c r="C63" s="104"/>
      <c r="D63" s="104"/>
      <c r="E63" s="104"/>
      <c r="F63" s="105"/>
      <c r="G63" s="83"/>
      <c r="H63" s="106"/>
      <c r="I63" s="94"/>
      <c r="J63" s="101"/>
      <c r="K63" s="107"/>
      <c r="M63" s="108" t="s">
        <v>120</v>
      </c>
      <c r="N63" s="109"/>
      <c r="O63" s="110">
        <f>SUM(O60:O62)</f>
        <v>2458.7634827709426</v>
      </c>
      <c r="P63" s="111"/>
      <c r="Q63" s="100"/>
    </row>
    <row r="64" spans="1:17" x14ac:dyDescent="0.2">
      <c r="B64" s="330" t="s">
        <v>121</v>
      </c>
      <c r="C64" s="330"/>
      <c r="D64" s="112">
        <v>625</v>
      </c>
      <c r="E64" s="113"/>
      <c r="G64" s="83"/>
      <c r="H64" s="106"/>
      <c r="I64" s="114"/>
      <c r="J64" s="101"/>
      <c r="K64" s="107"/>
      <c r="L64" s="102"/>
      <c r="M64" s="102" t="s">
        <v>122</v>
      </c>
      <c r="N64" s="115">
        <v>0.16</v>
      </c>
      <c r="O64" s="99">
        <f>+O60*N64</f>
        <v>333.39165868080579</v>
      </c>
      <c r="P64" s="99"/>
      <c r="Q64" s="100"/>
    </row>
    <row r="65" spans="2:17" x14ac:dyDescent="0.2">
      <c r="B65" s="330" t="s">
        <v>123</v>
      </c>
      <c r="C65" s="330"/>
      <c r="D65" s="116">
        <v>625</v>
      </c>
      <c r="E65" s="113"/>
      <c r="G65" s="83"/>
      <c r="H65" s="106"/>
      <c r="I65" s="114"/>
      <c r="J65" s="101"/>
      <c r="K65" s="107"/>
      <c r="L65" s="102"/>
      <c r="M65" s="338" t="s">
        <v>120</v>
      </c>
      <c r="N65" s="338"/>
      <c r="O65" s="99">
        <f>SUM(O63:O64)</f>
        <v>2792.1551414517485</v>
      </c>
      <c r="P65" s="99"/>
      <c r="Q65" s="100"/>
    </row>
    <row r="66" spans="2:17" ht="13.5" thickBot="1" x14ac:dyDescent="0.25">
      <c r="B66" s="339" t="s">
        <v>124</v>
      </c>
      <c r="C66" s="339"/>
      <c r="D66" s="112">
        <f>+D64/D65</f>
        <v>1</v>
      </c>
      <c r="E66" s="113"/>
      <c r="F66" s="117"/>
      <c r="G66" s="83"/>
      <c r="H66" s="106"/>
      <c r="I66" s="114"/>
      <c r="J66" s="101"/>
      <c r="K66" s="107"/>
      <c r="L66" s="338" t="s">
        <v>125</v>
      </c>
      <c r="M66" s="338"/>
      <c r="N66" s="115"/>
      <c r="O66" s="99">
        <f>+O65*N66</f>
        <v>0</v>
      </c>
      <c r="P66" s="99"/>
      <c r="Q66" s="100"/>
    </row>
    <row r="67" spans="2:17" ht="13.5" thickBot="1" x14ac:dyDescent="0.25">
      <c r="B67" s="339" t="s">
        <v>126</v>
      </c>
      <c r="C67" s="339"/>
      <c r="D67" s="118" t="s">
        <v>127</v>
      </c>
      <c r="E67" s="113"/>
      <c r="F67" s="117"/>
      <c r="G67" s="83"/>
      <c r="H67" s="106"/>
      <c r="I67" s="114"/>
      <c r="J67" s="101"/>
      <c r="K67" s="340" t="s">
        <v>128</v>
      </c>
      <c r="L67" s="341"/>
      <c r="M67" s="341"/>
      <c r="N67" s="342"/>
      <c r="O67" s="110">
        <f>SUM(O65:O66)</f>
        <v>2792.1551414517485</v>
      </c>
      <c r="P67" s="119" t="s">
        <v>129</v>
      </c>
      <c r="Q67" s="100"/>
    </row>
    <row r="68" spans="2:17" ht="13.5" thickBot="1" x14ac:dyDescent="0.25">
      <c r="C68" s="91" t="s">
        <v>130</v>
      </c>
      <c r="D68" s="120"/>
      <c r="E68" s="66" t="s">
        <v>131</v>
      </c>
      <c r="F68" s="121" t="s">
        <v>132</v>
      </c>
      <c r="G68" s="83"/>
      <c r="H68" s="106"/>
      <c r="I68" s="114"/>
      <c r="J68" s="122"/>
      <c r="K68" s="123"/>
      <c r="L68" s="333" t="s">
        <v>133</v>
      </c>
      <c r="M68" s="333"/>
      <c r="N68" s="333"/>
      <c r="O68" s="124">
        <f>+O67/D66</f>
        <v>2792.1551414517485</v>
      </c>
      <c r="P68" s="125">
        <f>+O68/D65</f>
        <v>4.4674482263227979</v>
      </c>
      <c r="Q68" s="126"/>
    </row>
    <row r="69" spans="2:17" ht="13.5" thickBot="1" x14ac:dyDescent="0.25">
      <c r="B69" s="334" t="s">
        <v>116</v>
      </c>
      <c r="C69" s="334"/>
      <c r="D69" s="334"/>
      <c r="E69" s="127">
        <f>+F69/F69</f>
        <v>1</v>
      </c>
      <c r="F69" s="128">
        <f>SUM(F61)</f>
        <v>2083.6978667550361</v>
      </c>
      <c r="G69" s="83">
        <f>+F69/$F$72</f>
        <v>0.83289762595531314</v>
      </c>
      <c r="H69" s="106"/>
      <c r="I69" s="114"/>
      <c r="K69" s="335"/>
      <c r="L69" s="336"/>
      <c r="M69" s="336"/>
      <c r="N69" s="336"/>
      <c r="O69" s="129"/>
      <c r="P69" s="130"/>
    </row>
    <row r="70" spans="2:17" ht="13.5" thickBot="1" x14ac:dyDescent="0.25">
      <c r="B70" s="337" t="s">
        <v>134</v>
      </c>
      <c r="C70" s="337"/>
      <c r="D70" s="337"/>
      <c r="E70" s="131">
        <v>0.02</v>
      </c>
      <c r="F70" s="128">
        <f>+F59*E70</f>
        <v>33.047608104597195</v>
      </c>
      <c r="G70" s="83">
        <f>+F70/$F$72</f>
        <v>1.3209820278160556E-2</v>
      </c>
      <c r="H70" s="94"/>
      <c r="I70" s="114"/>
      <c r="J70" s="132"/>
      <c r="O70" s="133">
        <v>3002.76</v>
      </c>
      <c r="P70" s="92"/>
    </row>
    <row r="71" spans="2:17" ht="13.5" thickBot="1" x14ac:dyDescent="0.25">
      <c r="B71" s="344" t="s">
        <v>135</v>
      </c>
      <c r="C71" s="345"/>
      <c r="D71" s="134">
        <v>7</v>
      </c>
      <c r="E71" s="135">
        <v>55</v>
      </c>
      <c r="F71" s="128">
        <f>+E71*D71</f>
        <v>385</v>
      </c>
      <c r="G71" s="83">
        <f>+F71/$F$72</f>
        <v>0.1538925537665263</v>
      </c>
      <c r="H71" s="94"/>
      <c r="I71" s="94"/>
      <c r="J71" s="85"/>
    </row>
    <row r="72" spans="2:17" ht="13.5" thickBot="1" x14ac:dyDescent="0.25">
      <c r="B72" s="346" t="s">
        <v>136</v>
      </c>
      <c r="C72" s="347"/>
      <c r="D72" s="347"/>
      <c r="E72" s="348"/>
      <c r="F72" s="105">
        <f>SUM(F69:F71)</f>
        <v>2501.7454748596333</v>
      </c>
      <c r="G72" s="83">
        <f>+F72/$F$72</f>
        <v>1</v>
      </c>
      <c r="H72" s="349"/>
      <c r="I72" s="94"/>
      <c r="J72" s="85"/>
    </row>
    <row r="73" spans="2:17" x14ac:dyDescent="0.2">
      <c r="C73" s="137"/>
      <c r="D73" s="137"/>
      <c r="E73" s="138"/>
      <c r="F73" s="128"/>
      <c r="G73" s="83"/>
      <c r="H73" s="349"/>
      <c r="I73" s="136"/>
      <c r="J73" s="68"/>
      <c r="M73" s="223">
        <v>1296.4272834430578</v>
      </c>
      <c r="N73" s="68" t="s">
        <v>171</v>
      </c>
    </row>
    <row r="74" spans="2:17" ht="13.5" thickBot="1" x14ac:dyDescent="0.25">
      <c r="B74" s="350" t="s">
        <v>137</v>
      </c>
      <c r="C74" s="350"/>
      <c r="D74" s="350"/>
      <c r="E74" s="350"/>
      <c r="F74" s="350"/>
      <c r="G74" s="83"/>
      <c r="H74" s="140"/>
      <c r="I74" s="136"/>
      <c r="J74" s="68"/>
      <c r="M74" s="223">
        <v>309.42084149370345</v>
      </c>
      <c r="N74" s="68" t="s">
        <v>172</v>
      </c>
    </row>
    <row r="75" spans="2:17" ht="13.5" thickBot="1" x14ac:dyDescent="0.25">
      <c r="B75" s="141" t="s">
        <v>138</v>
      </c>
      <c r="C75" s="142">
        <f>+F59</f>
        <v>1652.3804052298599</v>
      </c>
      <c r="D75" s="142">
        <f>+D64</f>
        <v>625</v>
      </c>
      <c r="E75" s="143">
        <f>+C75/D75</f>
        <v>2.6438086483677758</v>
      </c>
      <c r="F75" s="83"/>
      <c r="G75" s="140"/>
      <c r="H75" s="85"/>
      <c r="I75" s="140"/>
      <c r="J75" s="68"/>
      <c r="M75" s="224">
        <v>289.05266248861699</v>
      </c>
      <c r="N75" s="68" t="s">
        <v>174</v>
      </c>
    </row>
    <row r="76" spans="2:17" x14ac:dyDescent="0.2">
      <c r="B76" s="144"/>
      <c r="C76" s="145"/>
      <c r="D76" s="146"/>
      <c r="E76" s="128"/>
      <c r="F76" s="83"/>
      <c r="G76" s="140"/>
      <c r="H76" s="85"/>
      <c r="I76" s="85"/>
      <c r="J76" s="68"/>
      <c r="M76" s="224">
        <v>240.87721874051417</v>
      </c>
      <c r="N76" s="68" t="s">
        <v>175</v>
      </c>
    </row>
    <row r="77" spans="2:17" x14ac:dyDescent="0.2">
      <c r="B77" s="141" t="s">
        <v>139</v>
      </c>
      <c r="C77" s="142">
        <f>SUM(F69:F70)</f>
        <v>2116.7454748596333</v>
      </c>
      <c r="D77" s="142">
        <f>+D64</f>
        <v>625</v>
      </c>
      <c r="E77" s="147">
        <f>+C77/D77</f>
        <v>3.3867927597754135</v>
      </c>
      <c r="F77" s="83"/>
      <c r="G77" s="140"/>
      <c r="H77" s="85"/>
      <c r="I77" s="85"/>
      <c r="J77" s="68"/>
      <c r="M77" s="225">
        <v>2135.7780061658923</v>
      </c>
      <c r="N77" s="68" t="s">
        <v>132</v>
      </c>
    </row>
    <row r="78" spans="2:17" x14ac:dyDescent="0.2">
      <c r="B78" s="141"/>
      <c r="C78" s="142"/>
      <c r="D78" s="142"/>
      <c r="E78" s="147"/>
      <c r="F78" s="83"/>
      <c r="G78" s="140"/>
      <c r="H78" s="85"/>
      <c r="I78" s="85"/>
      <c r="J78" s="68"/>
    </row>
    <row r="79" spans="2:17" ht="13.5" thickBot="1" x14ac:dyDescent="0.25">
      <c r="B79" s="141" t="s">
        <v>140</v>
      </c>
      <c r="C79" s="142">
        <f>+F71</f>
        <v>385</v>
      </c>
      <c r="D79" s="142">
        <f>+D64</f>
        <v>625</v>
      </c>
      <c r="E79" s="147">
        <f>+C79/D79</f>
        <v>0.61599999999999999</v>
      </c>
      <c r="F79" s="83"/>
      <c r="G79" s="140"/>
      <c r="H79" s="85"/>
      <c r="I79" s="85"/>
      <c r="J79" s="68"/>
    </row>
    <row r="80" spans="2:17" ht="13.5" thickBot="1" x14ac:dyDescent="0.25">
      <c r="B80" s="141" t="s">
        <v>141</v>
      </c>
      <c r="C80" s="142">
        <f>+F62</f>
        <v>646.99498230504901</v>
      </c>
      <c r="D80" s="142">
        <f>+D79</f>
        <v>625</v>
      </c>
      <c r="E80" s="143">
        <f>+C80/D80</f>
        <v>1.0351919716880784</v>
      </c>
      <c r="F80" s="83"/>
      <c r="G80" s="140"/>
      <c r="H80" s="85"/>
      <c r="I80" s="85"/>
      <c r="J80" s="68"/>
    </row>
    <row r="81" spans="1:10" ht="13.5" thickBot="1" x14ac:dyDescent="0.25">
      <c r="B81" s="104"/>
      <c r="C81" s="105"/>
      <c r="D81" s="105"/>
      <c r="E81" s="147"/>
      <c r="F81" s="83"/>
      <c r="G81" s="140"/>
      <c r="H81" s="85"/>
      <c r="I81" s="85"/>
      <c r="J81" s="68"/>
    </row>
    <row r="82" spans="1:10" ht="13.5" thickBot="1" x14ac:dyDescent="0.25">
      <c r="B82" s="141" t="s">
        <v>142</v>
      </c>
      <c r="C82" s="142">
        <f>+F60</f>
        <v>431.31746152517621</v>
      </c>
      <c r="D82" s="142">
        <f>+D80</f>
        <v>625</v>
      </c>
      <c r="E82" s="143">
        <f>+C82/D82</f>
        <v>0.69010793844028195</v>
      </c>
      <c r="F82" s="83"/>
      <c r="G82" s="140"/>
      <c r="H82" s="85"/>
      <c r="I82" s="85"/>
      <c r="J82" s="85"/>
    </row>
    <row r="83" spans="1:10" ht="13.5" thickBot="1" x14ac:dyDescent="0.25">
      <c r="B83" s="104"/>
      <c r="C83" s="105"/>
      <c r="D83" s="105"/>
      <c r="E83" s="147"/>
      <c r="F83" s="83"/>
      <c r="G83" s="140"/>
      <c r="H83" s="85"/>
      <c r="I83" s="85"/>
    </row>
    <row r="84" spans="1:10" ht="13.5" thickBot="1" x14ac:dyDescent="0.25">
      <c r="B84" s="327" t="s">
        <v>143</v>
      </c>
      <c r="C84" s="328"/>
      <c r="D84" s="329"/>
      <c r="E84" s="143">
        <f>+E75+E80</f>
        <v>3.679000620055854</v>
      </c>
      <c r="G84" s="83"/>
      <c r="H84" s="140"/>
      <c r="I84" s="85"/>
      <c r="J84" s="147"/>
    </row>
    <row r="85" spans="1:10" x14ac:dyDescent="0.2">
      <c r="I85" s="140"/>
      <c r="J85" s="68"/>
    </row>
    <row r="86" spans="1:10" ht="13.5" thickBot="1" x14ac:dyDescent="0.25">
      <c r="B86" s="350" t="s">
        <v>144</v>
      </c>
      <c r="C86" s="350"/>
      <c r="D86" s="350"/>
      <c r="E86" s="350"/>
      <c r="F86" s="350"/>
      <c r="G86" s="83"/>
      <c r="H86" s="140"/>
      <c r="J86" s="68"/>
    </row>
    <row r="87" spans="1:10" ht="13.5" thickBot="1" x14ac:dyDescent="0.25">
      <c r="B87" s="141" t="s">
        <v>138</v>
      </c>
      <c r="C87" s="142">
        <f>+C75</f>
        <v>1652.3804052298599</v>
      </c>
      <c r="D87" s="142">
        <f>+D66</f>
        <v>1</v>
      </c>
      <c r="E87" s="143">
        <f>+C87/D87</f>
        <v>1652.3804052298599</v>
      </c>
      <c r="F87" s="83"/>
      <c r="G87" s="140"/>
      <c r="H87" s="85"/>
      <c r="I87" s="140"/>
      <c r="J87" s="68"/>
    </row>
    <row r="88" spans="1:10" x14ac:dyDescent="0.2">
      <c r="B88" s="144"/>
      <c r="C88" s="145"/>
      <c r="D88" s="146"/>
      <c r="E88" s="128"/>
      <c r="F88" s="83"/>
      <c r="G88" s="140"/>
      <c r="H88" s="85"/>
      <c r="I88" s="85"/>
      <c r="J88" s="68"/>
    </row>
    <row r="89" spans="1:10" x14ac:dyDescent="0.2">
      <c r="B89" s="141" t="s">
        <v>139</v>
      </c>
      <c r="C89" s="142">
        <f>+C77</f>
        <v>2116.7454748596333</v>
      </c>
      <c r="D89" s="142">
        <f>+D66</f>
        <v>1</v>
      </c>
      <c r="E89" s="147">
        <f>+C89/D89</f>
        <v>2116.7454748596333</v>
      </c>
      <c r="F89" s="83"/>
      <c r="G89" s="140"/>
      <c r="H89" s="85"/>
      <c r="I89" s="85"/>
      <c r="J89" s="68"/>
    </row>
    <row r="90" spans="1:10" x14ac:dyDescent="0.2">
      <c r="B90" s="141"/>
      <c r="C90" s="142"/>
      <c r="D90" s="142"/>
      <c r="E90" s="147"/>
      <c r="F90" s="83"/>
      <c r="G90" s="140"/>
      <c r="H90" s="85"/>
      <c r="I90" s="85"/>
      <c r="J90" s="68"/>
    </row>
    <row r="91" spans="1:10" ht="13.5" thickBot="1" x14ac:dyDescent="0.25">
      <c r="B91" s="141" t="s">
        <v>141</v>
      </c>
      <c r="C91" s="142">
        <f>+C79</f>
        <v>385</v>
      </c>
      <c r="D91" s="142">
        <f>+D66</f>
        <v>1</v>
      </c>
      <c r="E91" s="147">
        <f>+C91/D91</f>
        <v>385</v>
      </c>
      <c r="F91" s="149"/>
      <c r="G91" s="139"/>
      <c r="H91" s="67"/>
      <c r="I91" s="85"/>
    </row>
    <row r="92" spans="1:10" ht="13.5" thickBot="1" x14ac:dyDescent="0.25">
      <c r="B92" s="141" t="s">
        <v>141</v>
      </c>
      <c r="C92" s="142">
        <f>+C80</f>
        <v>646.99498230504901</v>
      </c>
      <c r="D92" s="142">
        <f>+D91</f>
        <v>1</v>
      </c>
      <c r="E92" s="143">
        <f>+C92/D92</f>
        <v>646.99498230504901</v>
      </c>
      <c r="F92" s="148"/>
      <c r="G92" s="139"/>
      <c r="H92" s="67"/>
      <c r="I92" s="67"/>
    </row>
    <row r="93" spans="1:10" x14ac:dyDescent="0.2">
      <c r="I93" s="67"/>
    </row>
    <row r="94" spans="1:10" x14ac:dyDescent="0.2">
      <c r="A94" s="343"/>
      <c r="B94" s="343"/>
      <c r="C94" s="150"/>
      <c r="D94" s="150"/>
      <c r="E94" s="151"/>
      <c r="G94" s="152"/>
    </row>
    <row r="95" spans="1:10" x14ac:dyDescent="0.2">
      <c r="A95" s="86"/>
      <c r="B95" s="153"/>
      <c r="C95" s="154"/>
      <c r="D95" s="154"/>
      <c r="E95" s="155"/>
      <c r="G95" s="152"/>
    </row>
    <row r="96" spans="1:10" x14ac:dyDescent="0.2">
      <c r="A96" s="86"/>
      <c r="B96" s="153"/>
      <c r="C96" s="156"/>
      <c r="D96" s="156"/>
      <c r="E96" s="86"/>
      <c r="G96" s="152"/>
    </row>
    <row r="97" spans="1:7" x14ac:dyDescent="0.2">
      <c r="A97" s="86"/>
      <c r="B97" s="153"/>
      <c r="C97" s="157"/>
      <c r="D97" s="157"/>
      <c r="E97" s="86"/>
      <c r="G97" s="152"/>
    </row>
  </sheetData>
  <mergeCells count="30">
    <mergeCell ref="B67:C67"/>
    <mergeCell ref="K67:N67"/>
    <mergeCell ref="A94:B94"/>
    <mergeCell ref="B71:C71"/>
    <mergeCell ref="B72:E72"/>
    <mergeCell ref="H72:H73"/>
    <mergeCell ref="B74:F74"/>
    <mergeCell ref="B86:F86"/>
    <mergeCell ref="K34:L34"/>
    <mergeCell ref="B59:E59"/>
    <mergeCell ref="B60:E60"/>
    <mergeCell ref="B84:D84"/>
    <mergeCell ref="B64:C64"/>
    <mergeCell ref="B65:C65"/>
    <mergeCell ref="K60:N60"/>
    <mergeCell ref="B61:E61"/>
    <mergeCell ref="L68:N68"/>
    <mergeCell ref="B69:D69"/>
    <mergeCell ref="K69:N69"/>
    <mergeCell ref="B70:D70"/>
    <mergeCell ref="C62:E62"/>
    <mergeCell ref="M65:N65"/>
    <mergeCell ref="B66:C66"/>
    <mergeCell ref="L66:M66"/>
    <mergeCell ref="K33:L33"/>
    <mergeCell ref="A4:H4"/>
    <mergeCell ref="A5:H5"/>
    <mergeCell ref="F6:G6"/>
    <mergeCell ref="K27:L27"/>
    <mergeCell ref="K29:L2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A4D1-8E16-40D8-8EDF-B16224BC7DE5}">
  <dimension ref="A1:AK43"/>
  <sheetViews>
    <sheetView topLeftCell="A13" workbookViewId="0">
      <selection activeCell="E28" sqref="E28"/>
    </sheetView>
  </sheetViews>
  <sheetFormatPr baseColWidth="10" defaultColWidth="8.42578125" defaultRowHeight="11.25" x14ac:dyDescent="0.2"/>
  <cols>
    <col min="1" max="1" width="7.5703125" style="158" customWidth="1"/>
    <col min="2" max="2" width="7.85546875" style="158" bestFit="1" customWidth="1"/>
    <col min="3" max="3" width="39.140625" style="158" customWidth="1"/>
    <col min="4" max="4" width="10" style="158" bestFit="1" customWidth="1"/>
    <col min="5" max="5" width="9.42578125" style="158" bestFit="1" customWidth="1"/>
    <col min="6" max="6" width="11.85546875" style="202" customWidth="1"/>
    <col min="7" max="7" width="8.85546875" style="203" bestFit="1" customWidth="1"/>
    <col min="8" max="8" width="10.140625" style="204" bestFit="1" customWidth="1"/>
    <col min="9" max="16384" width="8.42578125" style="158"/>
  </cols>
  <sheetData>
    <row r="1" spans="2:8" ht="36" customHeight="1" thickBot="1" x14ac:dyDescent="0.35">
      <c r="B1" s="351"/>
      <c r="C1" s="352"/>
      <c r="D1" s="352"/>
      <c r="E1" s="352"/>
      <c r="F1" s="352"/>
      <c r="G1" s="352"/>
      <c r="H1" s="353"/>
    </row>
    <row r="2" spans="2:8" ht="19.5" customHeight="1" thickBot="1" x14ac:dyDescent="0.25">
      <c r="B2" s="354" t="s">
        <v>145</v>
      </c>
      <c r="C2" s="354"/>
      <c r="D2" s="354"/>
      <c r="E2" s="354"/>
      <c r="F2" s="354"/>
      <c r="G2" s="354"/>
      <c r="H2" s="354"/>
    </row>
    <row r="3" spans="2:8" ht="19.5" customHeight="1" thickTop="1" x14ac:dyDescent="0.2">
      <c r="B3" s="355" t="s">
        <v>146</v>
      </c>
      <c r="C3" s="355"/>
      <c r="D3" s="355"/>
      <c r="E3" s="355"/>
      <c r="F3" s="355"/>
      <c r="G3" s="355"/>
      <c r="H3" s="355"/>
    </row>
    <row r="4" spans="2:8" ht="19.5" customHeight="1" x14ac:dyDescent="0.2">
      <c r="B4" s="159"/>
      <c r="C4" s="159"/>
      <c r="D4" s="159"/>
      <c r="E4" s="159"/>
      <c r="F4" s="356" t="s">
        <v>96</v>
      </c>
      <c r="G4" s="356"/>
      <c r="H4" s="74"/>
    </row>
    <row r="5" spans="2:8" ht="30" customHeight="1" x14ac:dyDescent="0.2">
      <c r="B5" s="160" t="s">
        <v>133</v>
      </c>
      <c r="C5" s="160" t="s">
        <v>98</v>
      </c>
      <c r="D5" s="160" t="s">
        <v>133</v>
      </c>
      <c r="E5" s="161" t="s">
        <v>147</v>
      </c>
      <c r="F5" s="161" t="s">
        <v>148</v>
      </c>
      <c r="G5" s="161" t="s">
        <v>149</v>
      </c>
      <c r="H5" s="161" t="s">
        <v>150</v>
      </c>
    </row>
    <row r="6" spans="2:8" s="162" customFormat="1" ht="20.100000000000001" customHeight="1" x14ac:dyDescent="0.2">
      <c r="B6" s="163">
        <v>1</v>
      </c>
      <c r="C6" s="162" t="s">
        <v>170</v>
      </c>
      <c r="D6" s="164">
        <f>+B6</f>
        <v>1</v>
      </c>
      <c r="E6" s="164">
        <v>1652.3804052298599</v>
      </c>
      <c r="F6" s="165">
        <f>+D6*E6</f>
        <v>1652.3804052298599</v>
      </c>
      <c r="G6" s="166">
        <f>+F6/$F$23</f>
        <v>0.57934237130126121</v>
      </c>
      <c r="H6" s="167" t="s">
        <v>151</v>
      </c>
    </row>
    <row r="7" spans="2:8" s="162" customFormat="1" ht="20.100000000000001" customHeight="1" x14ac:dyDescent="0.2">
      <c r="B7" s="163"/>
      <c r="D7" s="164"/>
      <c r="E7" s="164"/>
      <c r="F7" s="165"/>
      <c r="G7" s="166"/>
      <c r="H7" s="167"/>
    </row>
    <row r="8" spans="2:8" ht="30" customHeight="1" x14ac:dyDescent="0.2">
      <c r="B8" s="160" t="s">
        <v>133</v>
      </c>
      <c r="C8" s="160" t="s">
        <v>13</v>
      </c>
      <c r="D8" s="160" t="s">
        <v>133</v>
      </c>
      <c r="E8" s="161" t="s">
        <v>147</v>
      </c>
      <c r="F8" s="161" t="s">
        <v>148</v>
      </c>
      <c r="G8" s="161" t="s">
        <v>149</v>
      </c>
      <c r="H8" s="161" t="s">
        <v>150</v>
      </c>
    </row>
    <row r="9" spans="2:8" s="162" customFormat="1" ht="20.100000000000001" customHeight="1" x14ac:dyDescent="0.2">
      <c r="B9" s="163">
        <v>1</v>
      </c>
      <c r="C9" s="162" t="s">
        <v>152</v>
      </c>
      <c r="D9" s="164">
        <f>+B9</f>
        <v>1</v>
      </c>
      <c r="E9" s="164">
        <v>431.31746152517621</v>
      </c>
      <c r="F9" s="165">
        <f>+D9*E9</f>
        <v>431.31746152517621</v>
      </c>
      <c r="G9" s="166">
        <f>+F9/$F$23</f>
        <v>0.15122454862860443</v>
      </c>
      <c r="H9" s="167" t="s">
        <v>153</v>
      </c>
    </row>
    <row r="10" spans="2:8" s="168" customFormat="1" ht="17.25" customHeight="1" x14ac:dyDescent="0.2">
      <c r="B10" s="169"/>
      <c r="C10" s="170"/>
      <c r="D10" s="171"/>
      <c r="E10" s="171"/>
      <c r="F10" s="172"/>
      <c r="G10" s="173"/>
      <c r="H10" s="174"/>
    </row>
    <row r="11" spans="2:8" s="168" customFormat="1" ht="12" x14ac:dyDescent="0.2">
      <c r="B11" s="163"/>
      <c r="C11" s="338" t="s">
        <v>154</v>
      </c>
      <c r="D11" s="338"/>
      <c r="E11" s="164"/>
      <c r="F11" s="99">
        <f>SUM(F6)</f>
        <v>1652.3804052298599</v>
      </c>
      <c r="G11" s="175">
        <f>+F11/$F$23</f>
        <v>0.57934237130126121</v>
      </c>
      <c r="H11" s="167"/>
    </row>
    <row r="12" spans="2:8" s="168" customFormat="1" ht="12.75" thickBot="1" x14ac:dyDescent="0.25">
      <c r="B12" s="163"/>
      <c r="C12" s="338" t="s">
        <v>155</v>
      </c>
      <c r="D12" s="338"/>
      <c r="E12" s="164"/>
      <c r="F12" s="176">
        <f>SUM(F9)</f>
        <v>431.31746152517621</v>
      </c>
      <c r="G12" s="175">
        <f>+F12/$F$23</f>
        <v>0.15122454862860443</v>
      </c>
      <c r="H12" s="167"/>
    </row>
    <row r="13" spans="2:8" s="168" customFormat="1" ht="12.75" thickTop="1" x14ac:dyDescent="0.2">
      <c r="B13" s="163"/>
      <c r="C13" s="341" t="s">
        <v>115</v>
      </c>
      <c r="D13" s="341"/>
      <c r="E13" s="341"/>
      <c r="F13" s="111">
        <f>SUM(F11:F12)</f>
        <v>2083.6978667550361</v>
      </c>
      <c r="G13" s="175">
        <f>+F13/$F$23</f>
        <v>0.73056691992986555</v>
      </c>
      <c r="H13" s="167"/>
    </row>
    <row r="14" spans="2:8" s="168" customFormat="1" ht="12" x14ac:dyDescent="0.2">
      <c r="C14" s="107"/>
      <c r="D14" s="107"/>
      <c r="E14" s="177"/>
      <c r="F14" s="178"/>
      <c r="G14" s="175"/>
    </row>
    <row r="15" spans="2:8" s="168" customFormat="1" ht="12" x14ac:dyDescent="0.2">
      <c r="B15" s="338" t="s">
        <v>115</v>
      </c>
      <c r="C15" s="338"/>
      <c r="D15" s="338"/>
      <c r="E15" s="179" t="s">
        <v>156</v>
      </c>
      <c r="F15" s="99">
        <f>+F13</f>
        <v>2083.6978667550361</v>
      </c>
      <c r="G15" s="175">
        <f t="shared" ref="G15:G23" si="0">+F15/$F$23</f>
        <v>0.73056691992986555</v>
      </c>
      <c r="H15" s="180"/>
    </row>
    <row r="16" spans="2:8" s="168" customFormat="1" ht="12.75" customHeight="1" thickBot="1" x14ac:dyDescent="0.25">
      <c r="B16" s="102"/>
      <c r="C16" s="338" t="s">
        <v>117</v>
      </c>
      <c r="D16" s="338"/>
      <c r="E16" s="181"/>
      <c r="F16" s="99">
        <v>375.06561601590647</v>
      </c>
      <c r="G16" s="175">
        <f t="shared" si="0"/>
        <v>0.1315020455873758</v>
      </c>
      <c r="H16" s="180"/>
    </row>
    <row r="17" spans="1:37" s="168" customFormat="1" ht="12.75" hidden="1" customHeight="1" x14ac:dyDescent="0.2">
      <c r="B17" s="102"/>
      <c r="C17" s="338" t="s">
        <v>157</v>
      </c>
      <c r="D17" s="338"/>
      <c r="E17" s="182">
        <v>0</v>
      </c>
      <c r="F17" s="99">
        <f>+(F15+F16)*E17</f>
        <v>0</v>
      </c>
      <c r="G17" s="175">
        <f t="shared" si="0"/>
        <v>0</v>
      </c>
      <c r="H17" s="180"/>
    </row>
    <row r="18" spans="1:37" s="168" customFormat="1" ht="12.75" hidden="1" thickBot="1" x14ac:dyDescent="0.25">
      <c r="B18" s="102"/>
      <c r="C18" s="338" t="s">
        <v>158</v>
      </c>
      <c r="D18" s="338"/>
      <c r="E18" s="182">
        <v>0</v>
      </c>
      <c r="F18" s="99">
        <f>+F16*E18</f>
        <v>0</v>
      </c>
      <c r="G18" s="175">
        <f t="shared" si="0"/>
        <v>0</v>
      </c>
      <c r="H18" s="180"/>
    </row>
    <row r="19" spans="1:37" s="168" customFormat="1" ht="12.75" thickBot="1" x14ac:dyDescent="0.25">
      <c r="B19" s="107"/>
      <c r="C19" s="357"/>
      <c r="D19" s="357"/>
      <c r="E19" s="358"/>
      <c r="F19" s="110">
        <f>SUM(F15:F18)</f>
        <v>2458.7634827709426</v>
      </c>
      <c r="G19" s="183">
        <f>+F19/$F$21</f>
        <v>0.86206896551724144</v>
      </c>
      <c r="H19" s="180"/>
    </row>
    <row r="20" spans="1:37" s="168" customFormat="1" ht="12" x14ac:dyDescent="0.2">
      <c r="B20" s="107"/>
      <c r="C20" s="338" t="s">
        <v>122</v>
      </c>
      <c r="D20" s="338"/>
      <c r="E20" s="184">
        <v>0.16</v>
      </c>
      <c r="F20" s="99">
        <f>+F19*E20</f>
        <v>393.40215724335081</v>
      </c>
      <c r="G20" s="175">
        <f t="shared" si="0"/>
        <v>0.13793103448275862</v>
      </c>
      <c r="H20" s="180"/>
    </row>
    <row r="21" spans="1:37" s="168" customFormat="1" ht="12" x14ac:dyDescent="0.2">
      <c r="B21" s="107"/>
      <c r="C21" s="338" t="s">
        <v>120</v>
      </c>
      <c r="D21" s="338"/>
      <c r="E21" s="338"/>
      <c r="F21" s="99">
        <f>SUM(F19:F20)</f>
        <v>2852.1656400142933</v>
      </c>
      <c r="G21" s="175">
        <f t="shared" si="0"/>
        <v>1</v>
      </c>
      <c r="H21" s="180"/>
    </row>
    <row r="22" spans="1:37" s="168" customFormat="1" ht="12.75" thickBot="1" x14ac:dyDescent="0.25">
      <c r="B22" s="107"/>
      <c r="C22" s="338" t="s">
        <v>125</v>
      </c>
      <c r="D22" s="338"/>
      <c r="E22" s="184"/>
      <c r="F22" s="99">
        <f>+F21*E22</f>
        <v>0</v>
      </c>
      <c r="G22" s="175">
        <f t="shared" si="0"/>
        <v>0</v>
      </c>
      <c r="H22" s="180"/>
    </row>
    <row r="23" spans="1:37" s="168" customFormat="1" ht="12.75" thickBot="1" x14ac:dyDescent="0.25">
      <c r="B23" s="107"/>
      <c r="C23" s="341" t="s">
        <v>128</v>
      </c>
      <c r="D23" s="341"/>
      <c r="E23" s="342"/>
      <c r="F23" s="110">
        <f>SUM(F21:F22)</f>
        <v>2852.1656400142933</v>
      </c>
      <c r="G23" s="175">
        <f t="shared" si="0"/>
        <v>1</v>
      </c>
      <c r="H23" s="185"/>
    </row>
    <row r="24" spans="1:37" s="168" customFormat="1" ht="12.75" thickBot="1" x14ac:dyDescent="0.25">
      <c r="B24" s="107"/>
      <c r="C24" s="186"/>
      <c r="D24" s="186"/>
      <c r="E24" s="186"/>
      <c r="F24" s="111"/>
      <c r="G24" s="187"/>
      <c r="H24" s="185"/>
    </row>
    <row r="25" spans="1:37" s="188" customFormat="1" ht="19.5" customHeight="1" thickBot="1" x14ac:dyDescent="0.25">
      <c r="A25" s="359"/>
      <c r="B25" s="360"/>
      <c r="C25" s="360"/>
      <c r="D25" s="360"/>
      <c r="E25" s="360"/>
      <c r="F25" s="360"/>
      <c r="G25" s="360"/>
      <c r="H25" s="360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</row>
    <row r="26" spans="1:37" s="168" customFormat="1" ht="19.5" customHeight="1" thickBot="1" x14ac:dyDescent="0.25">
      <c r="F26" s="189"/>
      <c r="G26" s="190"/>
      <c r="H26" s="180"/>
    </row>
    <row r="27" spans="1:37" s="168" customFormat="1" ht="13.5" customHeight="1" thickBot="1" x14ac:dyDescent="0.25">
      <c r="B27" s="107"/>
      <c r="C27" s="341" t="s">
        <v>128</v>
      </c>
      <c r="D27" s="341"/>
      <c r="E27" s="342"/>
      <c r="F27" s="110">
        <f>+F23</f>
        <v>2852.1656400142933</v>
      </c>
      <c r="H27" s="180"/>
    </row>
    <row r="28" spans="1:37" s="168" customFormat="1" ht="13.5" customHeight="1" x14ac:dyDescent="0.2">
      <c r="B28" s="107"/>
      <c r="C28" s="362" t="s">
        <v>159</v>
      </c>
      <c r="D28" s="362" t="s">
        <v>160</v>
      </c>
      <c r="E28" s="184"/>
      <c r="F28" s="191">
        <f>+F27*E28</f>
        <v>0</v>
      </c>
      <c r="G28" s="192" t="s">
        <v>161</v>
      </c>
      <c r="H28" s="180" t="s">
        <v>162</v>
      </c>
    </row>
    <row r="29" spans="1:37" s="168" customFormat="1" ht="13.5" customHeight="1" x14ac:dyDescent="0.2">
      <c r="B29" s="107"/>
      <c r="C29" s="365" t="s">
        <v>163</v>
      </c>
      <c r="D29" s="365"/>
      <c r="E29" s="365"/>
      <c r="F29" s="191">
        <f>SUM(F27:F28)</f>
        <v>2852.1656400142933</v>
      </c>
      <c r="G29" s="192">
        <f>+F29/$F$31</f>
        <v>0.68965517241379315</v>
      </c>
      <c r="H29" s="193">
        <f>1-(F29/F31)</f>
        <v>0.31034482758620685</v>
      </c>
    </row>
    <row r="30" spans="1:37" s="168" customFormat="1" ht="12" x14ac:dyDescent="0.2">
      <c r="B30" s="170"/>
      <c r="C30" s="362" t="s">
        <v>164</v>
      </c>
      <c r="D30" s="362"/>
      <c r="E30" s="184">
        <v>0.45</v>
      </c>
      <c r="F30" s="99">
        <f>+F29*E30</f>
        <v>1283.4745380064321</v>
      </c>
      <c r="G30" s="187"/>
      <c r="H30" s="194"/>
    </row>
    <row r="31" spans="1:37" s="168" customFormat="1" ht="12.75" thickBot="1" x14ac:dyDescent="0.25">
      <c r="B31" s="170"/>
      <c r="C31" s="366" t="s">
        <v>165</v>
      </c>
      <c r="D31" s="366"/>
      <c r="E31" s="205"/>
      <c r="F31" s="206">
        <f>SUM(F29:F30)</f>
        <v>4135.6401780207252</v>
      </c>
      <c r="G31" s="187"/>
      <c r="H31" s="185"/>
      <c r="J31" s="168">
        <v>4704.6099999999997</v>
      </c>
    </row>
    <row r="32" spans="1:37" s="168" customFormat="1" ht="12.75" thickBot="1" x14ac:dyDescent="0.25">
      <c r="B32" s="170"/>
      <c r="C32" s="367" t="s">
        <v>166</v>
      </c>
      <c r="D32" s="367"/>
      <c r="E32" s="195">
        <v>0.13</v>
      </c>
      <c r="F32" s="196">
        <f>+F31*(1+E32)</f>
        <v>4673.2734011634193</v>
      </c>
      <c r="G32" s="187"/>
      <c r="H32" s="185"/>
    </row>
    <row r="33" spans="1:37" s="168" customFormat="1" ht="12.75" thickBot="1" x14ac:dyDescent="0.25">
      <c r="A33" s="359"/>
      <c r="B33" s="360"/>
      <c r="C33" s="360"/>
      <c r="D33" s="360"/>
      <c r="E33" s="360"/>
      <c r="F33" s="360"/>
      <c r="G33" s="360"/>
      <c r="H33" s="360"/>
    </row>
    <row r="34" spans="1:37" s="168" customFormat="1" ht="12" x14ac:dyDescent="0.2">
      <c r="B34" s="170"/>
      <c r="C34" s="361" t="s">
        <v>167</v>
      </c>
      <c r="D34" s="361"/>
      <c r="E34" s="197">
        <v>0.65</v>
      </c>
      <c r="F34" s="198">
        <f>+F31/0.65</f>
        <v>6362.5233508011152</v>
      </c>
      <c r="G34" s="187"/>
      <c r="H34" s="185"/>
    </row>
    <row r="35" spans="1:37" s="168" customFormat="1" ht="12" x14ac:dyDescent="0.2">
      <c r="B35" s="170"/>
      <c r="C35" s="362" t="s">
        <v>168</v>
      </c>
      <c r="D35" s="362"/>
      <c r="E35" s="197">
        <v>0.13</v>
      </c>
      <c r="F35" s="198">
        <f>+F34*1.13</f>
        <v>7189.6513864052595</v>
      </c>
      <c r="G35" s="187"/>
      <c r="H35" s="185"/>
    </row>
    <row r="36" spans="1:37" s="168" customFormat="1" ht="12.75" thickBot="1" x14ac:dyDescent="0.25">
      <c r="C36" s="333"/>
      <c r="D36" s="333"/>
      <c r="F36" s="199"/>
      <c r="G36" s="200"/>
      <c r="H36" s="180"/>
    </row>
    <row r="37" spans="1:37" s="188" customFormat="1" ht="19.5" customHeight="1" thickBot="1" x14ac:dyDescent="0.3">
      <c r="A37" s="363" t="s">
        <v>169</v>
      </c>
      <c r="B37" s="364"/>
      <c r="C37" s="364"/>
      <c r="D37" s="364"/>
      <c r="E37" s="364"/>
      <c r="F37" s="364"/>
      <c r="G37" s="364"/>
      <c r="H37" s="364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</row>
    <row r="38" spans="1:37" s="168" customFormat="1" ht="12" x14ac:dyDescent="0.2">
      <c r="F38" s="201"/>
      <c r="G38" s="200"/>
      <c r="H38" s="180"/>
    </row>
    <row r="43" spans="1:37" ht="12" x14ac:dyDescent="0.2">
      <c r="H43" s="172"/>
    </row>
  </sheetData>
  <mergeCells count="28"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12:D12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1C00F6-8FAC-4524-B91C-7E908921F19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6F10CFA-8BC0-45C9-BED6-380E2E7F2E69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497715F-7019-48CF-9272-F02EDD0AD53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E387726-5E29-4AF6-BBD7-9C363DF41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REC ENSAMBLE</vt:lpstr>
      <vt:lpstr>Hoja1</vt:lpstr>
      <vt:lpstr>COSTEO </vt:lpstr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Miguel Coto Consultor</cp:lastModifiedBy>
  <cp:lastPrinted>2025-04-04T19:39:55Z</cp:lastPrinted>
  <dcterms:created xsi:type="dcterms:W3CDTF">2012-06-06T14:59:15Z</dcterms:created>
  <dcterms:modified xsi:type="dcterms:W3CDTF">2025-04-04T19:39:58Z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197000.000000000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
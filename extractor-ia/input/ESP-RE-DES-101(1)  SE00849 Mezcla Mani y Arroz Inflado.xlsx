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06D50A78-6F5E-4A67-BAEF-73125F190074}" xr6:coauthVersionLast="47" xr6:coauthVersionMax="47" xr10:uidLastSave="{54CF637A-2890-4443-9492-20B06990848F}"/>
  <bookViews>
    <workbookView xWindow="-120" yWindow="-120" windowWidth="20730" windowHeight="11040" xr2:uid="{8C5BEE28-AF25-4C3E-B1B2-06E41EF164D3}"/>
  </bookViews>
  <sheets>
    <sheet name="Mezcla Mani y Arroz" sheetId="1" r:id="rId1"/>
  </sheets>
  <definedNames>
    <definedName name="_xlnm.Print_Area" localSheetId="0">'Mezcla Mani y Arroz'!$A$1:$I$32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11" i="1"/>
  <c r="J21" i="1"/>
  <c r="D25" i="1"/>
</calcChain>
</file>

<file path=xl/sharedStrings.xml><?xml version="1.0" encoding="utf-8"?>
<sst xmlns="http://schemas.openxmlformats.org/spreadsheetml/2006/main" count="65" uniqueCount="56">
  <si>
    <t>CONTROL DE CAMBIOS</t>
  </si>
  <si>
    <t xml:space="preserve">2, Utilizar inmediatamente. </t>
  </si>
  <si>
    <t xml:space="preserve">1, Mezclar el mani tostado con el arroz inflado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</si>
  <si>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</si>
  <si>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</si>
  <si>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</si>
  <si>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</si>
  <si>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</si>
  <si>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</si>
  <si>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</si>
  <si>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</si>
  <si>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</si>
  <si>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</si>
  <si>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</si>
  <si>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</si>
  <si>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</si>
  <si>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</si>
  <si>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</si>
  <si>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</si>
  <si>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BOLSA 17x25 TRANSP KILO</t>
  </si>
  <si>
    <t>EM10013</t>
  </si>
  <si>
    <t>CEMUSA</t>
  </si>
  <si>
    <t>ETIQUETA BLANCA 2 5/8X1 15/16 (UND)</t>
  </si>
  <si>
    <t>EM10011</t>
  </si>
  <si>
    <t>Empaque</t>
  </si>
  <si>
    <t>Decoración</t>
  </si>
  <si>
    <t xml:space="preserve">Arroz Inflado </t>
  </si>
  <si>
    <t>MP10946</t>
  </si>
  <si>
    <t>FAS</t>
  </si>
  <si>
    <t xml:space="preserve">Mani Tostado </t>
  </si>
  <si>
    <t>SE00820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</si>
  <si>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</si>
  <si>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</si>
  <si>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</si>
  <si>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</si>
  <si>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</si>
  <si>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</si>
  <si>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</si>
  <si>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</si>
  <si>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</si>
  <si>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</si>
  <si>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Decoración </t>
  </si>
  <si>
    <t xml:space="preserve">AREA QUE EMPACA: </t>
  </si>
  <si>
    <t>AREA QUE PRODUCE:</t>
  </si>
  <si>
    <t>Sebastian Díaz, Gte Manufactura</t>
  </si>
  <si>
    <t>Aprobado</t>
  </si>
  <si>
    <t>Mariela Barrantes, Chef</t>
  </si>
  <si>
    <t>Elaborado</t>
  </si>
  <si>
    <t>FECHA DE APROBACIÓN:</t>
  </si>
  <si>
    <t xml:space="preserve">SE00849 Mezcla Mani y Arroz Inflado </t>
  </si>
  <si>
    <t>REVISIÓN:</t>
  </si>
  <si>
    <t>ESPECIFICACION DE RECETA</t>
  </si>
  <si>
    <t>CÓDIGO:</t>
  </si>
  <si>
    <t>SERVICIOS DE PASTELERIA S.A.</t>
  </si>
  <si>
    <t>01</t>
  </si>
  <si>
    <t>ESP-RE-DES-101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</si>
</sst>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8"/>
      <name val="Century Gothic"/>
      <family val="2"/>
    </font>
    <font>
      <b/>
      <sz val="14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</cellStyleXfs>
  <cellXfs count="140">
    <xf numFmtId="0" fontId="0" fillId="0" borderId="0" xfId="0"/>
    <xf numFmtId="0" fontId="3" fillId="2" borderId="1" xfId="2" applyFont="1" applyFill="1" applyBorder="1" applyAlignment="1">
      <alignment horizontal="left"/>
    </xf>
    <xf numFmtId="0" fontId="4" fillId="3" borderId="1" xfId="2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4" borderId="9" xfId="3" applyFont="1" applyFill="1" applyBorder="1" applyAlignment="1">
      <alignment horizontal="center"/>
    </xf>
    <xf numFmtId="0" fontId="4" fillId="4" borderId="10" xfId="3" applyFont="1" applyFill="1" applyBorder="1" applyAlignment="1">
      <alignment horizontal="center"/>
    </xf>
    <xf numFmtId="0" fontId="4" fillId="4" borderId="11" xfId="3" applyFont="1" applyFill="1" applyBorder="1" applyAlignment="1">
      <alignment horizontal="center"/>
    </xf>
    <xf numFmtId="164" fontId="3" fillId="0" borderId="12" xfId="3" applyNumberFormat="1" applyFont="1" applyBorder="1" applyAlignment="1">
      <alignment horizontal="center"/>
    </xf>
    <xf numFmtId="164" fontId="3" fillId="0" borderId="13" xfId="3" applyNumberFormat="1" applyFont="1" applyBorder="1" applyAlignment="1">
      <alignment horizontal="center"/>
    </xf>
    <xf numFmtId="0" fontId="3" fillId="0" borderId="14" xfId="3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0" fontId="4" fillId="0" borderId="14" xfId="3" applyFont="1" applyBorder="1" applyAlignment="1">
      <alignment horizontal="right"/>
    </xf>
    <xf numFmtId="0" fontId="4" fillId="0" borderId="15" xfId="3" applyFont="1" applyBorder="1" applyAlignment="1">
      <alignment horizontal="right"/>
    </xf>
    <xf numFmtId="0" fontId="4" fillId="0" borderId="16" xfId="3" applyFont="1" applyBorder="1" applyAlignment="1">
      <alignment horizontal="right"/>
    </xf>
    <xf numFmtId="164" fontId="3" fillId="0" borderId="12" xfId="0" applyNumberFormat="1" applyFont="1" applyBorder="1" applyAlignment="1">
      <alignment horizontal="center" wrapText="1"/>
    </xf>
    <xf numFmtId="164" fontId="3" fillId="0" borderId="13" xfId="0" applyNumberFormat="1" applyFont="1" applyBorder="1" applyAlignment="1">
      <alignment horizontal="center" wrapText="1"/>
    </xf>
    <xf numFmtId="164" fontId="3" fillId="0" borderId="17" xfId="3" applyNumberFormat="1" applyFont="1" applyBorder="1" applyAlignment="1">
      <alignment horizontal="right" wrapText="1"/>
    </xf>
    <xf numFmtId="164" fontId="3" fillId="0" borderId="13" xfId="3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4" fillId="0" borderId="17" xfId="3" applyFont="1" applyBorder="1" applyAlignment="1">
      <alignment horizontal="right"/>
    </xf>
    <xf numFmtId="0" fontId="4" fillId="0" borderId="18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3" fillId="0" borderId="1" xfId="3" applyFont="1" applyBorder="1" applyAlignment="1">
      <alignment horizontal="right"/>
    </xf>
    <xf numFmtId="0" fontId="3" fillId="2" borderId="20" xfId="3" applyFont="1" applyFill="1" applyBorder="1" applyAlignment="1">
      <alignment horizontal="center"/>
    </xf>
    <xf numFmtId="0" fontId="3" fillId="2" borderId="21" xfId="3" applyFont="1" applyFill="1" applyBorder="1" applyAlignment="1">
      <alignment horizontal="center"/>
    </xf>
    <xf numFmtId="164" fontId="3" fillId="0" borderId="6" xfId="3" applyNumberFormat="1" applyFont="1" applyBorder="1" applyAlignment="1">
      <alignment horizontal="right"/>
    </xf>
    <xf numFmtId="0" fontId="3" fillId="0" borderId="21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4" fillId="0" borderId="7" xfId="3" applyFont="1" applyBorder="1" applyAlignment="1">
      <alignment horizontal="right"/>
    </xf>
    <xf numFmtId="0" fontId="4" fillId="0" borderId="22" xfId="3" applyFont="1" applyBorder="1" applyAlignment="1">
      <alignment horizontal="right"/>
    </xf>
    <xf numFmtId="0" fontId="4" fillId="0" borderId="23" xfId="3" applyFont="1" applyBorder="1" applyAlignment="1">
      <alignment horizontal="right"/>
    </xf>
    <xf numFmtId="0" fontId="3" fillId="4" borderId="9" xfId="3" applyFont="1" applyFill="1" applyBorder="1" applyAlignment="1">
      <alignment horizontal="center"/>
    </xf>
    <xf numFmtId="0" fontId="3" fillId="4" borderId="10" xfId="3" applyFont="1" applyFill="1" applyBorder="1"/>
    <xf numFmtId="164" fontId="3" fillId="4" borderId="10" xfId="3" applyNumberFormat="1" applyFont="1" applyFill="1" applyBorder="1" applyAlignment="1">
      <alignment horizontal="center" wrapText="1"/>
    </xf>
    <xf numFmtId="1" fontId="4" fillId="4" borderId="10" xfId="3" applyNumberFormat="1" applyFont="1" applyFill="1" applyBorder="1" applyAlignment="1">
      <alignment horizontal="center"/>
    </xf>
    <xf numFmtId="0" fontId="4" fillId="4" borderId="10" xfId="3" applyFont="1" applyFill="1" applyBorder="1" applyAlignment="1">
      <alignment horizontal="center"/>
    </xf>
    <xf numFmtId="0" fontId="3" fillId="4" borderId="10" xfId="3" applyFont="1" applyFill="1" applyBorder="1" applyAlignment="1">
      <alignment horizontal="center"/>
    </xf>
    <xf numFmtId="0" fontId="3" fillId="4" borderId="11" xfId="3" applyFont="1" applyFill="1" applyBorder="1" applyAlignment="1">
      <alignment horizontal="center"/>
    </xf>
    <xf numFmtId="0" fontId="3" fillId="2" borderId="24" xfId="3" applyFont="1" applyFill="1" applyBorder="1" applyAlignment="1">
      <alignment horizontal="center"/>
    </xf>
    <xf numFmtId="0" fontId="3" fillId="2" borderId="0" xfId="3" applyFont="1" applyFill="1"/>
    <xf numFmtId="164" fontId="3" fillId="2" borderId="0" xfId="3" applyNumberFormat="1" applyFont="1" applyFill="1" applyAlignment="1">
      <alignment horizontal="center" wrapText="1"/>
    </xf>
    <xf numFmtId="1" fontId="3" fillId="2" borderId="0" xfId="3" applyNumberFormat="1" applyFont="1" applyFill="1" applyAlignment="1">
      <alignment horizontal="center"/>
    </xf>
    <xf numFmtId="49" fontId="6" fillId="2" borderId="0" xfId="3" applyNumberFormat="1" applyFont="1" applyFill="1" applyAlignment="1">
      <alignment horizontal="center" vertical="center"/>
    </xf>
    <xf numFmtId="49" fontId="6" fillId="2" borderId="25" xfId="3" applyNumberFormat="1" applyFont="1" applyFill="1" applyBorder="1" applyAlignment="1">
      <alignment horizontal="center" vertical="center"/>
    </xf>
    <xf numFmtId="0" fontId="3" fillId="0" borderId="26" xfId="3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1" fontId="3" fillId="0" borderId="1" xfId="3" applyNumberFormat="1" applyFont="1" applyBorder="1" applyAlignment="1">
      <alignment horizontal="center" wrapText="1"/>
    </xf>
    <xf numFmtId="49" fontId="3" fillId="0" borderId="1" xfId="3" applyNumberFormat="1" applyFont="1" applyBorder="1"/>
    <xf numFmtId="49" fontId="3" fillId="0" borderId="17" xfId="3" applyNumberFormat="1" applyFont="1" applyBorder="1" applyAlignment="1">
      <alignment horizontal="center"/>
    </xf>
    <xf numFmtId="49" fontId="3" fillId="0" borderId="27" xfId="3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 wrapText="1"/>
    </xf>
    <xf numFmtId="165" fontId="4" fillId="5" borderId="1" xfId="1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7" fillId="0" borderId="1" xfId="4" applyFont="1" applyBorder="1" applyAlignment="1">
      <alignment horizontal="left"/>
    </xf>
    <xf numFmtId="0" fontId="7" fillId="0" borderId="1" xfId="4" applyFont="1" applyBorder="1" applyAlignment="1">
      <alignment horizontal="center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0" fontId="7" fillId="0" borderId="0" xfId="0" applyFont="1"/>
    <xf numFmtId="1" fontId="4" fillId="0" borderId="1" xfId="3" applyNumberFormat="1" applyFont="1" applyBorder="1" applyAlignment="1">
      <alignment horizontal="center"/>
    </xf>
    <xf numFmtId="166" fontId="4" fillId="0" borderId="1" xfId="3" applyNumberFormat="1" applyFont="1" applyBorder="1" applyAlignment="1">
      <alignment horizontal="center"/>
    </xf>
    <xf numFmtId="0" fontId="4" fillId="0" borderId="17" xfId="3" applyFont="1" applyBorder="1" applyAlignment="1">
      <alignment horizontal="center"/>
    </xf>
    <xf numFmtId="0" fontId="8" fillId="5" borderId="1" xfId="3" applyFont="1" applyFill="1" applyBorder="1" applyAlignment="1">
      <alignment vertical="center"/>
    </xf>
    <xf numFmtId="16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" fontId="4" fillId="0" borderId="6" xfId="3" applyNumberFormat="1" applyFont="1" applyBorder="1" applyAlignment="1">
      <alignment horizontal="center"/>
    </xf>
    <xf numFmtId="1" fontId="3" fillId="0" borderId="6" xfId="3" applyNumberFormat="1" applyFont="1" applyBorder="1" applyAlignment="1">
      <alignment horizontal="center" wrapText="1"/>
    </xf>
    <xf numFmtId="166" fontId="3" fillId="0" borderId="6" xfId="3" applyNumberFormat="1" applyFont="1" applyBorder="1" applyAlignment="1">
      <alignment horizontal="center"/>
    </xf>
    <xf numFmtId="0" fontId="3" fillId="0" borderId="6" xfId="3" applyFont="1" applyBorder="1" applyAlignment="1">
      <alignment horizontal="center"/>
    </xf>
    <xf numFmtId="0" fontId="4" fillId="5" borderId="6" xfId="3" applyFont="1" applyFill="1" applyBorder="1" applyAlignment="1">
      <alignment horizontal="left"/>
    </xf>
    <xf numFmtId="12" fontId="3" fillId="0" borderId="7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4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vertical="center"/>
    </xf>
    <xf numFmtId="0" fontId="4" fillId="0" borderId="17" xfId="3" applyFont="1" applyBorder="1" applyAlignment="1">
      <alignment horizontal="center" vertical="center"/>
    </xf>
    <xf numFmtId="0" fontId="4" fillId="0" borderId="27" xfId="3" applyFont="1" applyBorder="1" applyAlignment="1">
      <alignment horizontal="center" vertical="center"/>
    </xf>
    <xf numFmtId="0" fontId="11" fillId="4" borderId="29" xfId="3" applyFont="1" applyFill="1" applyBorder="1" applyAlignment="1">
      <alignment horizontal="center"/>
    </xf>
    <xf numFmtId="1" fontId="11" fillId="4" borderId="14" xfId="3" applyNumberFormat="1" applyFont="1" applyFill="1" applyBorder="1" applyAlignment="1">
      <alignment horizontal="center" wrapText="1"/>
    </xf>
    <xf numFmtId="1" fontId="11" fillId="4" borderId="14" xfId="3" applyNumberFormat="1" applyFont="1" applyFill="1" applyBorder="1" applyAlignment="1">
      <alignment horizontal="center"/>
    </xf>
    <xf numFmtId="0" fontId="11" fillId="4" borderId="14" xfId="3" applyFont="1" applyFill="1" applyBorder="1" applyAlignment="1">
      <alignment horizontal="center" vertical="center"/>
    </xf>
    <xf numFmtId="0" fontId="11" fillId="4" borderId="16" xfId="3" applyFont="1" applyFill="1" applyBorder="1" applyAlignment="1">
      <alignment horizontal="center" vertical="center" wrapText="1"/>
    </xf>
    <xf numFmtId="0" fontId="11" fillId="4" borderId="16" xfId="3" applyFont="1" applyFill="1" applyBorder="1" applyAlignment="1">
      <alignment horizontal="center" vertical="center"/>
    </xf>
    <xf numFmtId="0" fontId="11" fillId="4" borderId="30" xfId="3" applyFont="1" applyFill="1" applyBorder="1" applyAlignment="1">
      <alignment horizontal="center" vertical="center" wrapText="1"/>
    </xf>
    <xf numFmtId="0" fontId="11" fillId="4" borderId="31" xfId="3" applyFont="1" applyFill="1" applyBorder="1" applyAlignment="1">
      <alignment horizontal="center" vertical="center"/>
    </xf>
    <xf numFmtId="0" fontId="11" fillId="4" borderId="32" xfId="3" applyFont="1" applyFill="1" applyBorder="1" applyAlignment="1">
      <alignment horizontal="center" vertical="center" wrapText="1"/>
    </xf>
    <xf numFmtId="0" fontId="11" fillId="4" borderId="32" xfId="3" applyFont="1" applyFill="1" applyBorder="1" applyAlignment="1">
      <alignment horizontal="center" vertical="center"/>
    </xf>
    <xf numFmtId="14" fontId="12" fillId="2" borderId="0" xfId="2" applyNumberFormat="1" applyFont="1" applyFill="1" applyAlignment="1">
      <alignment horizontal="center" vertical="center" wrapText="1"/>
    </xf>
    <xf numFmtId="0" fontId="10" fillId="2" borderId="0" xfId="2" applyFont="1" applyFill="1"/>
    <xf numFmtId="0" fontId="12" fillId="2" borderId="33" xfId="2" applyFont="1" applyFill="1" applyBorder="1" applyAlignment="1">
      <alignment horizontal="center"/>
    </xf>
    <xf numFmtId="0" fontId="10" fillId="2" borderId="0" xfId="2" applyFont="1" applyFill="1" applyAlignment="1">
      <alignment horizontal="right"/>
    </xf>
    <xf numFmtId="14" fontId="13" fillId="2" borderId="5" xfId="2" applyNumberFormat="1" applyFont="1" applyFill="1" applyBorder="1" applyAlignment="1">
      <alignment horizontal="center" vertical="center" wrapText="1"/>
    </xf>
    <xf numFmtId="0" fontId="11" fillId="2" borderId="34" xfId="2" applyFont="1" applyFill="1" applyBorder="1" applyAlignment="1">
      <alignment horizontal="right" vertical="top" wrapText="1"/>
    </xf>
    <xf numFmtId="0" fontId="13" fillId="2" borderId="17" xfId="2" applyFont="1" applyFill="1" applyBorder="1" applyAlignment="1">
      <alignment horizontal="left"/>
    </xf>
    <xf numFmtId="0" fontId="13" fillId="2" borderId="18" xfId="2" applyFont="1" applyFill="1" applyBorder="1" applyAlignment="1">
      <alignment horizontal="left"/>
    </xf>
    <xf numFmtId="0" fontId="13" fillId="2" borderId="13" xfId="2" applyFont="1" applyFill="1" applyBorder="1" applyAlignment="1">
      <alignment horizontal="left"/>
    </xf>
    <xf numFmtId="0" fontId="13" fillId="2" borderId="1" xfId="2" applyFont="1" applyFill="1" applyBorder="1" applyAlignment="1">
      <alignment horizontal="right"/>
    </xf>
    <xf numFmtId="0" fontId="13" fillId="2" borderId="22" xfId="2" applyFont="1" applyFill="1" applyBorder="1" applyAlignment="1">
      <alignment horizontal="center"/>
    </xf>
    <xf numFmtId="0" fontId="13" fillId="2" borderId="23" xfId="2" applyFont="1" applyFill="1" applyBorder="1" applyAlignment="1">
      <alignment horizontal="center"/>
    </xf>
    <xf numFmtId="14" fontId="13" fillId="2" borderId="35" xfId="2" applyNumberFormat="1" applyFont="1" applyFill="1" applyBorder="1" applyAlignment="1">
      <alignment horizontal="center" vertical="center" wrapText="1"/>
    </xf>
    <xf numFmtId="0" fontId="11" fillId="2" borderId="36" xfId="2" applyFont="1" applyFill="1" applyBorder="1" applyAlignment="1">
      <alignment horizontal="right" vertical="top" wrapText="1"/>
    </xf>
    <xf numFmtId="0" fontId="13" fillId="2" borderId="37" xfId="2" applyFont="1" applyFill="1" applyBorder="1" applyAlignment="1">
      <alignment horizontal="left"/>
    </xf>
    <xf numFmtId="0" fontId="13" fillId="2" borderId="38" xfId="2" applyFont="1" applyFill="1" applyBorder="1" applyAlignment="1">
      <alignment horizontal="left"/>
    </xf>
    <xf numFmtId="0" fontId="13" fillId="2" borderId="39" xfId="2" applyFont="1" applyFill="1" applyBorder="1" applyAlignment="1">
      <alignment horizontal="left"/>
    </xf>
    <xf numFmtId="0" fontId="13" fillId="2" borderId="6" xfId="2" applyFont="1" applyFill="1" applyBorder="1" applyAlignment="1">
      <alignment horizontal="right"/>
    </xf>
    <xf numFmtId="0" fontId="13" fillId="2" borderId="0" xfId="2" applyFont="1" applyFill="1" applyAlignment="1">
      <alignment horizontal="center"/>
    </xf>
    <xf numFmtId="0" fontId="13" fillId="2" borderId="25" xfId="2" applyFont="1" applyFill="1" applyBorder="1" applyAlignment="1">
      <alignment horizontal="center"/>
    </xf>
    <xf numFmtId="14" fontId="13" fillId="2" borderId="40" xfId="2" applyNumberFormat="1" applyFont="1" applyFill="1" applyBorder="1" applyAlignment="1">
      <alignment horizontal="center" vertical="center" wrapText="1"/>
    </xf>
    <xf numFmtId="0" fontId="11" fillId="2" borderId="41" xfId="2" applyFont="1" applyFill="1" applyBorder="1" applyAlignment="1">
      <alignment horizontal="right" vertical="top" wrapText="1"/>
    </xf>
    <xf numFmtId="0" fontId="9" fillId="6" borderId="9" xfId="2" applyFont="1" applyFill="1" applyBorder="1" applyAlignment="1">
      <alignment horizontal="center" vertical="center" wrapText="1"/>
    </xf>
    <xf numFmtId="0" fontId="9" fillId="6" borderId="10" xfId="2" applyFont="1" applyFill="1" applyBorder="1" applyAlignment="1">
      <alignment horizontal="center" vertical="center" wrapText="1"/>
    </xf>
    <xf numFmtId="0" fontId="9" fillId="6" borderId="11" xfId="2" applyFont="1" applyFill="1" applyBorder="1" applyAlignment="1">
      <alignment horizontal="center" vertical="center" wrapText="1"/>
    </xf>
    <xf numFmtId="49" fontId="13" fillId="2" borderId="26" xfId="2" applyNumberFormat="1" applyFont="1" applyFill="1" applyBorder="1" applyAlignment="1">
      <alignment horizontal="center"/>
    </xf>
    <xf numFmtId="0" fontId="11" fillId="2" borderId="1" xfId="2" applyFont="1" applyFill="1" applyBorder="1" applyAlignment="1">
      <alignment horizontal="right"/>
    </xf>
    <xf numFmtId="0" fontId="14" fillId="2" borderId="15" xfId="2" applyFont="1" applyFill="1" applyBorder="1" applyAlignment="1">
      <alignment horizontal="center"/>
    </xf>
    <xf numFmtId="0" fontId="14" fillId="2" borderId="42" xfId="2" applyFont="1" applyFill="1" applyBorder="1" applyAlignment="1">
      <alignment horizontal="center"/>
    </xf>
    <xf numFmtId="0" fontId="14" fillId="2" borderId="43" xfId="2" applyFont="1" applyFill="1" applyBorder="1" applyAlignment="1">
      <alignment horizontal="center"/>
    </xf>
    <xf numFmtId="0" fontId="13" fillId="2" borderId="30" xfId="2" applyFont="1" applyFill="1" applyBorder="1" applyAlignment="1">
      <alignment horizontal="center"/>
    </xf>
    <xf numFmtId="0" fontId="11" fillId="2" borderId="31" xfId="2" applyFont="1" applyFill="1" applyBorder="1" applyAlignment="1">
      <alignment horizontal="right"/>
    </xf>
    <xf numFmtId="0" fontId="14" fillId="2" borderId="31" xfId="2" applyFont="1" applyFill="1" applyBorder="1" applyAlignment="1">
      <alignment horizontal="center"/>
    </xf>
    <xf numFmtId="0" fontId="13" fillId="2" borderId="44" xfId="2" applyFont="1" applyFill="1" applyBorder="1" applyAlignment="1">
      <alignment horizontal="center"/>
    </xf>
    <xf numFmtId="0" fontId="13" fillId="2" borderId="45" xfId="2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3" fillId="5" borderId="1" xfId="2" applyFont="1" applyFill="1" applyBorder="1" applyAlignment="1">
      <alignment horizontal="left" vertical="center" wrapText="1"/>
    </xf>
    <xf numFmtId="0" fontId="3" fillId="5" borderId="1" xfId="2" applyFont="1" applyFill="1" applyBorder="1" applyAlignment="1">
      <alignment horizontal="center" vertical="center" wrapText="1"/>
    </xf>
    <xf numFmtId="1" fontId="3" fillId="5" borderId="28" xfId="0" applyNumberFormat="1" applyFont="1" applyFill="1" applyBorder="1" applyAlignment="1">
      <alignment horizontal="center" wrapText="1"/>
    </xf>
    <xf numFmtId="0" fontId="4" fillId="5" borderId="1" xfId="2" applyFont="1" applyFill="1" applyBorder="1" applyAlignment="1">
      <alignment vertical="center" wrapText="1"/>
    </xf>
    <xf numFmtId="0" fontId="7" fillId="0" borderId="18" xfId="0" applyFont="1" applyBorder="1" applyAlignment="1">
      <alignment horizontal="center"/>
    </xf>
    <xf numFmtId="0" fontId="3" fillId="5" borderId="6" xfId="2" applyFont="1" applyFill="1" applyBorder="1" applyAlignment="1">
      <alignment horizontal="left" vertical="center" wrapText="1"/>
    </xf>
    <xf numFmtId="0" fontId="3" fillId="5" borderId="6" xfId="2" applyFont="1" applyFill="1" applyBorder="1" applyAlignment="1">
      <alignment vertical="center" wrapText="1"/>
    </xf>
    <xf numFmtId="0" fontId="3" fillId="5" borderId="6" xfId="2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vertical="center" wrapText="1"/>
    </xf>
    <xf numFmtId="49" fontId="4" fillId="0" borderId="1" xfId="3" applyNumberFormat="1" applyFont="1" applyBorder="1" applyAlignment="1">
      <alignment horizontal="center"/>
    </xf>
  </cellXfs>
  <cellStyles count="5">
    <cellStyle name="Millares" xfId="1" builtinId="3"/>
    <cellStyle name="Normal" xfId="0" builtinId="0"/>
    <cellStyle name="Normal 2" xfId="3" xr:uid="{239605CA-4FD8-45BF-9271-027467D7FF00}"/>
    <cellStyle name="Normal 3" xfId="4" xr:uid="{0AF07977-4B7C-4885-BC11-45FA0D0AE7B3}"/>
    <cellStyle name="Normal_CRITERIOS DE EVALUACION PT DE GB 2" xfId="2" xr:uid="{77CB6592-46F0-407B-92D7-1FE77B24B8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71438</xdr:colOff>
      <xdr:row>0</xdr:row>
      <xdr:rowOff>185261</xdr:rowOff>
    </xdr:from>
    <xdr:ext cx="1594103" cy="767239"/>
    <xdr:pic>
      <xdr:nvPicPr>
        <xdr:cNvPr id="2" name="Imagen 1">
          <a:extLst>
            <a:ext uri="{FF2B5EF4-FFF2-40B4-BE49-F238E27FC236}">
              <a16:creationId xmlns:a16="http://schemas.microsoft.com/office/drawing/2014/main" id="{FEB3D274-2A78-47E8-A586-3F81F21E8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185261"/>
          <a:ext cx="1594103" cy="7672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86C6-38F2-44AB-A5B3-46DBAF29849D}">
  <sheetPr>
    <pageSetUpPr fitToPage="1"/>
  </sheetPr>
  <dimension ref="A1:J3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4.7109375" customWidth="1"/>
    <col min="3" max="3" width="56.28515625" customWidth="1"/>
    <col min="4" max="4" width="19" customWidth="1"/>
    <col min="5" max="5" width="14.28515625" customWidth="1"/>
    <col min="6" max="6" width="12.140625" customWidth="1"/>
    <col min="7" max="7" width="21.42578125" customWidth="1"/>
    <col min="8" max="8" width="17" customWidth="1"/>
    <col min="9" max="9" width="17.42578125" bestFit="1" customWidth="1"/>
  </cols>
  <sheetData>
    <row r="1" spans="1:9" ht="15.75" x14ac:dyDescent="0.25">
      <c r="A1" s="128"/>
      <c r="B1" s="127"/>
      <c r="C1" s="126" t="s">
        <v>53</v>
      </c>
      <c r="D1" s="126"/>
      <c r="E1" s="126"/>
      <c r="F1" s="126"/>
      <c r="G1" s="126"/>
      <c r="H1" s="125" t="s">
        <v>52</v>
      </c>
      <c r="I1" s="124" t="s">
        <v>55</v>
      </c>
    </row>
    <row r="2" spans="1:9" ht="16.5" thickBot="1" x14ac:dyDescent="0.3">
      <c r="A2" s="113"/>
      <c r="B2" s="112"/>
      <c r="C2" s="123" t="s">
        <v>51</v>
      </c>
      <c r="D2" s="122"/>
      <c r="E2" s="122"/>
      <c r="F2" s="122"/>
      <c r="G2" s="121"/>
      <c r="H2" s="120" t="s">
        <v>50</v>
      </c>
      <c r="I2" s="119" t="s">
        <v>54</v>
      </c>
    </row>
    <row r="3" spans="1:9" ht="23.25" thickBot="1" x14ac:dyDescent="0.3">
      <c r="A3" s="113"/>
      <c r="B3" s="112"/>
      <c r="C3" s="118" t="s">
        <v>49</v>
      </c>
      <c r="D3" s="117"/>
      <c r="E3" s="117"/>
      <c r="F3" s="117"/>
      <c r="G3" s="116"/>
      <c r="H3" s="115" t="s">
        <v>48</v>
      </c>
      <c r="I3" s="114">
        <v>46148</v>
      </c>
    </row>
    <row r="4" spans="1:9" ht="18" customHeight="1" x14ac:dyDescent="0.25">
      <c r="A4" s="113"/>
      <c r="B4" s="112"/>
      <c r="C4" s="111" t="s">
        <v>47</v>
      </c>
      <c r="D4" s="110" t="s">
        <v>46</v>
      </c>
      <c r="E4" s="109"/>
      <c r="F4" s="109"/>
      <c r="G4" s="108"/>
      <c r="H4" s="107"/>
      <c r="I4" s="106"/>
    </row>
    <row r="5" spans="1:9" ht="15.75" thickBot="1" x14ac:dyDescent="0.3">
      <c r="A5" s="105"/>
      <c r="B5" s="104"/>
      <c r="C5" s="103" t="s">
        <v>45</v>
      </c>
      <c r="D5" s="102" t="s">
        <v>44</v>
      </c>
      <c r="E5" s="101"/>
      <c r="F5" s="101"/>
      <c r="G5" s="100"/>
      <c r="H5" s="99"/>
      <c r="I5" s="98"/>
    </row>
    <row r="6" spans="1:9" ht="18.75" thickBot="1" x14ac:dyDescent="0.3">
      <c r="A6" s="97" t="s">
        <v>43</v>
      </c>
      <c r="B6" s="97"/>
      <c r="C6" s="97"/>
      <c r="D6" s="96" t="s">
        <v>41</v>
      </c>
      <c r="E6" s="96"/>
      <c r="F6" s="96"/>
      <c r="G6" s="95" t="s">
        <v>42</v>
      </c>
      <c r="H6" s="95"/>
      <c r="I6" s="94" t="s">
        <v>41</v>
      </c>
    </row>
    <row r="7" spans="1:9" ht="25.5" x14ac:dyDescent="0.25">
      <c r="A7" s="93" t="s">
        <v>40</v>
      </c>
      <c r="B7" s="92" t="s">
        <v>39</v>
      </c>
      <c r="C7" s="91" t="s">
        <v>38</v>
      </c>
      <c r="D7" s="91" t="s">
        <v>37</v>
      </c>
      <c r="E7" s="91" t="s">
        <v>36</v>
      </c>
      <c r="F7" s="91"/>
      <c r="G7" s="91" t="s">
        <v>35</v>
      </c>
      <c r="H7" s="91"/>
      <c r="I7" s="90" t="s">
        <v>34</v>
      </c>
    </row>
    <row r="8" spans="1:9" ht="27" thickBot="1" x14ac:dyDescent="0.3">
      <c r="A8" s="89"/>
      <c r="B8" s="88"/>
      <c r="C8" s="87"/>
      <c r="D8" s="87"/>
      <c r="E8" s="86" t="s">
        <v>17</v>
      </c>
      <c r="F8" s="85" t="s">
        <v>33</v>
      </c>
      <c r="G8" s="86" t="s">
        <v>17</v>
      </c>
      <c r="H8" s="85" t="s">
        <v>33</v>
      </c>
      <c r="I8" s="84" t="s">
        <v>32</v>
      </c>
    </row>
    <row r="9" spans="1:9" ht="20.25" x14ac:dyDescent="0.3">
      <c r="A9" s="83"/>
      <c r="B9" s="82"/>
      <c r="C9" s="81" t="s">
        <v>31</v>
      </c>
      <c r="D9" s="80"/>
      <c r="E9" s="66"/>
      <c r="F9" s="58"/>
      <c r="G9" s="66"/>
      <c r="H9" s="58"/>
      <c r="I9" s="52"/>
    </row>
    <row r="10" spans="1:9" ht="20.25" x14ac:dyDescent="0.3">
      <c r="A10" s="72"/>
      <c r="B10" s="129" t="s">
        <v>30</v>
      </c>
      <c r="C10" s="130" t="s">
        <v>29</v>
      </c>
      <c r="D10" s="131" t="s">
        <v>28</v>
      </c>
      <c r="E10" s="131">
        <f>100*7.14</f>
        <v>714</v>
      </c>
      <c r="F10" s="132" t="s">
        <v>4</v>
      </c>
      <c r="G10" s="133"/>
      <c r="H10" s="78"/>
      <c r="I10" s="52"/>
    </row>
    <row r="11" spans="1:9" ht="20.25" x14ac:dyDescent="0.3">
      <c r="A11" s="79"/>
      <c r="B11" s="134" t="s">
        <v>27</v>
      </c>
      <c r="C11" s="135" t="s">
        <v>26</v>
      </c>
      <c r="D11" s="136"/>
      <c r="E11" s="137">
        <f>50*7.14</f>
        <v>357</v>
      </c>
      <c r="F11" s="132" t="s">
        <v>4</v>
      </c>
      <c r="G11" s="138"/>
      <c r="H11" s="78"/>
      <c r="I11" s="52"/>
    </row>
    <row r="12" spans="1:9" ht="20.25" x14ac:dyDescent="0.3">
      <c r="A12" s="79"/>
      <c r="B12" s="134"/>
      <c r="C12" s="137"/>
      <c r="D12" s="136"/>
      <c r="E12" s="138"/>
      <c r="F12" s="133"/>
      <c r="G12" s="138"/>
      <c r="H12" s="78"/>
      <c r="I12" s="52"/>
    </row>
    <row r="13" spans="1:9" ht="20.25" x14ac:dyDescent="0.3">
      <c r="A13" s="57"/>
      <c r="B13" s="56"/>
      <c r="C13" s="77" t="s">
        <v>25</v>
      </c>
      <c r="D13" s="76"/>
      <c r="E13" s="75"/>
      <c r="F13" s="74"/>
      <c r="G13" s="73"/>
      <c r="H13" s="58"/>
      <c r="I13" s="52"/>
    </row>
    <row r="14" spans="1:9" ht="20.25" x14ac:dyDescent="0.3">
      <c r="A14" s="72"/>
      <c r="B14" s="72"/>
      <c r="C14" s="71"/>
      <c r="D14" s="70"/>
      <c r="E14" s="26"/>
      <c r="F14" s="60"/>
      <c r="G14" s="66"/>
      <c r="H14" s="58"/>
      <c r="I14" s="52"/>
    </row>
    <row r="15" spans="1:9" ht="20.25" x14ac:dyDescent="0.3">
      <c r="A15" s="139"/>
      <c r="B15" s="139"/>
      <c r="C15" s="69" t="s">
        <v>24</v>
      </c>
      <c r="D15" s="68"/>
      <c r="E15" s="67"/>
      <c r="F15" s="58"/>
      <c r="G15" s="66"/>
      <c r="H15" s="65"/>
      <c r="I15" s="52"/>
    </row>
    <row r="16" spans="1:9" ht="20.25" x14ac:dyDescent="0.3">
      <c r="A16" s="64"/>
      <c r="B16" s="64" t="s">
        <v>23</v>
      </c>
      <c r="C16" s="63" t="s">
        <v>22</v>
      </c>
      <c r="D16" s="25" t="s">
        <v>21</v>
      </c>
      <c r="E16" s="26">
        <v>1</v>
      </c>
      <c r="F16" s="60" t="s">
        <v>18</v>
      </c>
      <c r="G16" s="59"/>
      <c r="H16" s="58"/>
      <c r="I16" s="52"/>
    </row>
    <row r="17" spans="1:10" ht="20.25" x14ac:dyDescent="0.3">
      <c r="A17" s="62"/>
      <c r="B17" s="62" t="s">
        <v>20</v>
      </c>
      <c r="C17" s="61" t="s">
        <v>19</v>
      </c>
      <c r="D17" s="25"/>
      <c r="E17" s="26">
        <v>1</v>
      </c>
      <c r="F17" s="60" t="s">
        <v>18</v>
      </c>
      <c r="G17" s="59"/>
      <c r="H17" s="58"/>
      <c r="I17" s="52"/>
    </row>
    <row r="18" spans="1:10" ht="20.25" x14ac:dyDescent="0.3">
      <c r="A18" s="57"/>
      <c r="B18" s="56"/>
      <c r="C18" s="55"/>
      <c r="D18" s="53"/>
      <c r="E18" s="53"/>
      <c r="F18" s="54"/>
      <c r="G18" s="53"/>
      <c r="H18" s="53"/>
      <c r="I18" s="52"/>
    </row>
    <row r="19" spans="1:10" ht="21" thickBot="1" x14ac:dyDescent="0.35">
      <c r="A19" s="51"/>
      <c r="B19" s="50"/>
      <c r="C19" s="47"/>
      <c r="D19" s="47"/>
      <c r="E19" s="49"/>
      <c r="F19" s="48"/>
      <c r="G19" s="47"/>
      <c r="H19" s="47"/>
      <c r="I19" s="46"/>
    </row>
    <row r="20" spans="1:10" ht="21" thickBot="1" x14ac:dyDescent="0.35">
      <c r="A20" s="45"/>
      <c r="B20" s="44"/>
      <c r="C20" s="40"/>
      <c r="D20" s="43" t="s">
        <v>17</v>
      </c>
      <c r="E20" s="42" t="s">
        <v>16</v>
      </c>
      <c r="F20" s="41"/>
      <c r="G20" s="40"/>
      <c r="H20" s="40"/>
      <c r="I20" s="39"/>
    </row>
    <row r="21" spans="1:10" ht="20.25" x14ac:dyDescent="0.3">
      <c r="A21" s="38" t="s">
        <v>15</v>
      </c>
      <c r="B21" s="37"/>
      <c r="C21" s="36"/>
      <c r="D21" s="35">
        <v>1000</v>
      </c>
      <c r="E21" s="34" t="s">
        <v>4</v>
      </c>
      <c r="F21" s="33" t="s">
        <v>14</v>
      </c>
      <c r="G21" s="33"/>
      <c r="H21" s="32"/>
      <c r="I21" s="31"/>
      <c r="J21">
        <f>1000/140</f>
        <v>7.1428571428571432</v>
      </c>
    </row>
    <row r="22" spans="1:10" ht="20.25" x14ac:dyDescent="0.3">
      <c r="A22" s="29" t="s">
        <v>13</v>
      </c>
      <c r="B22" s="28"/>
      <c r="C22" s="27"/>
      <c r="D22" s="25">
        <v>3</v>
      </c>
      <c r="E22" s="25" t="s">
        <v>12</v>
      </c>
      <c r="F22" s="30" t="s">
        <v>11</v>
      </c>
      <c r="G22" s="30"/>
      <c r="H22" s="14"/>
      <c r="I22" s="13"/>
    </row>
    <row r="23" spans="1:10" ht="20.25" x14ac:dyDescent="0.3">
      <c r="A23" s="29" t="s">
        <v>10</v>
      </c>
      <c r="B23" s="28"/>
      <c r="C23" s="27"/>
      <c r="D23" s="25">
        <v>1</v>
      </c>
      <c r="E23" s="25" t="s">
        <v>9</v>
      </c>
      <c r="F23" s="30" t="s">
        <v>8</v>
      </c>
      <c r="G23" s="30"/>
      <c r="H23" s="14"/>
      <c r="I23" s="13"/>
    </row>
    <row r="24" spans="1:10" ht="20.25" x14ac:dyDescent="0.3">
      <c r="A24" s="29" t="s">
        <v>7</v>
      </c>
      <c r="B24" s="28"/>
      <c r="C24" s="27"/>
      <c r="D24" s="26">
        <v>1000</v>
      </c>
      <c r="E24" s="25" t="s">
        <v>4</v>
      </c>
      <c r="F24" s="24" t="s">
        <v>6</v>
      </c>
      <c r="G24" s="23"/>
      <c r="H24" s="22"/>
      <c r="I24" s="21"/>
    </row>
    <row r="25" spans="1:10" ht="21" thickBot="1" x14ac:dyDescent="0.35">
      <c r="A25" s="20" t="s">
        <v>5</v>
      </c>
      <c r="B25" s="19"/>
      <c r="C25" s="18"/>
      <c r="D25" s="17">
        <f>SUM(E10:E11)-D21</f>
        <v>71</v>
      </c>
      <c r="E25" s="16" t="s">
        <v>4</v>
      </c>
      <c r="F25" s="15"/>
      <c r="G25" s="15"/>
      <c r="H25" s="14"/>
      <c r="I25" s="13"/>
    </row>
    <row r="26" spans="1:10" ht="21" thickBot="1" x14ac:dyDescent="0.35">
      <c r="A26" s="12" t="s">
        <v>3</v>
      </c>
      <c r="B26" s="11"/>
      <c r="C26" s="11"/>
      <c r="D26" s="11"/>
      <c r="E26" s="11"/>
      <c r="F26" s="11"/>
      <c r="G26" s="11"/>
      <c r="H26" s="11"/>
      <c r="I26" s="10"/>
    </row>
    <row r="27" spans="1:10" ht="20.25" x14ac:dyDescent="0.3">
      <c r="A27" s="9" t="s">
        <v>2</v>
      </c>
      <c r="B27" s="8"/>
      <c r="C27" s="7"/>
      <c r="D27" s="7"/>
      <c r="E27" s="7"/>
      <c r="F27" s="7"/>
      <c r="G27" s="7"/>
      <c r="H27" s="7"/>
      <c r="I27" s="6"/>
    </row>
    <row r="28" spans="1:10" ht="20.25" x14ac:dyDescent="0.3">
      <c r="A28" s="9" t="s">
        <v>1</v>
      </c>
      <c r="B28" s="8"/>
      <c r="C28" s="7"/>
      <c r="D28" s="7"/>
      <c r="E28" s="7"/>
      <c r="F28" s="7"/>
      <c r="G28" s="7"/>
      <c r="H28" s="7"/>
      <c r="I28" s="6"/>
    </row>
    <row r="29" spans="1:10" ht="20.25" x14ac:dyDescent="0.3">
      <c r="A29" s="5"/>
      <c r="B29" s="4"/>
      <c r="C29" s="4"/>
      <c r="D29" s="4"/>
      <c r="E29" s="4"/>
      <c r="F29" s="4"/>
      <c r="G29" s="4"/>
      <c r="H29" s="4"/>
      <c r="I29" s="3"/>
    </row>
    <row r="30" spans="1:10" ht="20.25" x14ac:dyDescent="0.3">
      <c r="A30" s="2" t="s">
        <v>0</v>
      </c>
      <c r="B30" s="2"/>
      <c r="C30" s="2"/>
      <c r="D30" s="2"/>
      <c r="E30" s="2"/>
      <c r="F30" s="2"/>
      <c r="G30" s="2"/>
      <c r="H30" s="2"/>
      <c r="I30" s="2"/>
    </row>
    <row r="31" spans="1:10" ht="20.25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0" ht="20.25" x14ac:dyDescent="0.3">
      <c r="A32" s="1"/>
      <c r="B32" s="1"/>
      <c r="C32" s="1"/>
      <c r="D32" s="1"/>
      <c r="E32" s="1"/>
      <c r="F32" s="1"/>
      <c r="G32" s="1"/>
      <c r="H32" s="1"/>
      <c r="I32" s="1"/>
    </row>
  </sheetData>
  <mergeCells count="39">
    <mergeCell ref="A29:I29"/>
    <mergeCell ref="A30:I30"/>
    <mergeCell ref="A31:I31"/>
    <mergeCell ref="A32:I32"/>
    <mergeCell ref="A25:C25"/>
    <mergeCell ref="F25:G25"/>
    <mergeCell ref="H25:I25"/>
    <mergeCell ref="A26:I26"/>
    <mergeCell ref="A27:I27"/>
    <mergeCell ref="A28:I28"/>
    <mergeCell ref="A23:C23"/>
    <mergeCell ref="F23:G23"/>
    <mergeCell ref="H23:I23"/>
    <mergeCell ref="A24:C24"/>
    <mergeCell ref="F24:G24"/>
    <mergeCell ref="H24:I24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1E08D830-DF4B-4771-8875-9E70FA12011B}"/>
</file>

<file path=customXml/itemProps2.xml><?xml version="1.0" encoding="utf-8"?>
<ds:datastoreItem xmlns:ds="http://schemas.openxmlformats.org/officeDocument/2006/customXml" ds:itemID="{1338D3F3-80DC-4763-85B2-B9C48A7B5A59}"/>
</file>

<file path=customXml/itemProps3.xml><?xml version="1.0" encoding="utf-8"?>
<ds:datastoreItem xmlns:ds="http://schemas.openxmlformats.org/officeDocument/2006/customXml" ds:itemID="{0F738FB7-4C0D-4D81-9F78-C43B7D489F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Mezcla Mani y Arroz</vt:lpstr>
      <vt:lpstr>'Mezcla Mani y Arroz'!Área_de_impresión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2026-05-06T21:38:36Z</cp:lastPrinted>
  <dcterms:created xsi:type="dcterms:W3CDTF">2026-05-06T21:30:29Z</dcterms:created>
  <dcterms:modified xsi:type="dcterms:W3CDTF">2026-05-06T21:38:44Z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
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26" documentId="8_{21A29AAA-C53A-4394-A306-E21148C8241D}" xr6:coauthVersionLast="47" xr6:coauthVersionMax="47" xr10:uidLastSave="{0BE3B249-987B-4606-AA5D-90C79D06C32E}"/>
  <bookViews>
    <workbookView xWindow="-120" yWindow="-120" windowWidth="20730" windowHeight="11040" xr2:uid="{44BE35E4-8063-43E4-A915-F0B7B7B21C6F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7" i="2" l="1"/>
  <c r="D29" i="2"/>
</calcChain>
</file>

<file path=xl/sharedStrings.xml><?xml version="1.0" encoding="utf-8"?>
<sst xmlns="http://schemas.openxmlformats.org/spreadsheetml/2006/main" count="98" uniqueCount="81">
  <si>
    <t>3, Colocar en bandejas y hacer choque termico.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</si>
  <si>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</si>
  <si>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</si>
  <si>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</si>
  <si>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</si>
  <si>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</si>
  <si>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</si>
  <si>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bolsas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</si>
  <si>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</si>
  <si>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</si>
  <si>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</si>
  <si>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</si>
  <si>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</si>
  <si>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</si>
  <si>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CEMUSA</t>
  </si>
  <si>
    <t>ETIQUETA BLANCA 2 5/8X1 15/16 (UND)</t>
  </si>
  <si>
    <t>0702123</t>
  </si>
  <si>
    <t>ANCLA</t>
  </si>
  <si>
    <t>COLORANTE ROJO (50ML)</t>
  </si>
  <si>
    <t>10400010</t>
  </si>
  <si>
    <t>AMERICOLOR</t>
  </si>
  <si>
    <t>COLORANTE GEL SUPER RED</t>
  </si>
  <si>
    <t>10400009</t>
  </si>
  <si>
    <t>FAS</t>
  </si>
  <si>
    <t>10415</t>
  </si>
  <si>
    <t>ASEAL</t>
  </si>
  <si>
    <t>ALMIDON MODIFICADO ( 25 KG )</t>
  </si>
  <si>
    <t>0510215</t>
  </si>
  <si>
    <t>PRESERVANTE 1017S (PAQ=5 KILO)</t>
  </si>
  <si>
    <t>1212412</t>
  </si>
  <si>
    <t>JUGO LIMON (KILO)</t>
  </si>
  <si>
    <t>AZUCAR BLANCO INDUSTRIAL (BOLSAS:1500g)</t>
  </si>
  <si>
    <t>BEGRO</t>
  </si>
  <si>
    <t>FRESA CONGELADA BEGRO (PAQ:1 K)</t>
  </si>
  <si>
    <t>10100230</t>
  </si>
  <si>
    <t>Colones</t>
  </si>
  <si>
    <t xml:space="preserve">Unidad medida </t>
  </si>
  <si>
    <t>Cantidad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</si>
  <si>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</si>
  <si>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</si>
  <si>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</si>
  <si>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</si>
  <si>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</si>
  <si>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</si>
  <si>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Empaque</t>
  </si>
  <si>
    <t xml:space="preserve">AREA QUE EMPACA: </t>
  </si>
  <si>
    <t>Cocina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</si>
  <si>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</si>
  <si>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</si>
  <si>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</si>
  <si>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</si>
  <si>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</si>
  <si>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</si>
  <si>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</si>
  <si>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</si>
  <si>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ud</t>
  </si>
  <si>
    <t>CONTROL DE CAMBIOS</t>
  </si>
  <si>
    <t>AGUA POTABLE (PLANTA)</t>
  </si>
  <si>
    <t xml:space="preserve"> 90100285(SE00027) Relleno de fresa  PLANTA</t>
  </si>
  <si>
    <t>MP10191</t>
  </si>
  <si>
    <t>SE00016</t>
  </si>
  <si>
    <t>SE00015</t>
  </si>
  <si>
    <t>MP10025</t>
  </si>
  <si>
    <t>MP10157</t>
  </si>
  <si>
    <t>MP10509</t>
  </si>
  <si>
    <t>MP10026</t>
  </si>
  <si>
    <t>EM10011</t>
  </si>
  <si>
    <t>ESP-RE-COCS-033</t>
  </si>
  <si>
    <t>Javier Tong, Chef</t>
  </si>
  <si>
    <t>Esteban Cartin, Gte Manufactura</t>
  </si>
  <si>
    <t># Código Netsuite</t>
  </si>
  <si>
    <t>Ensamble</t>
  </si>
  <si>
    <t>Unidad</t>
  </si>
  <si>
    <t>2, Mezclar el almidon con el preservante, juego de limon y el agua . Agregar a la mezcla anterior. Hervir</t>
  </si>
  <si>
    <t>1, Colocar la fresa congelada en la marmita con el azucar y el colorante. Hervir</t>
  </si>
  <si>
    <t>PROGRAMACION MARMITA</t>
  </si>
  <si>
    <t>Temperatura del piso 230ºC con la agitacion al maximo de 45 por cada lado y paredes a la mitad con 100ºC.</t>
  </si>
  <si>
    <t>Tiempo 58 minutos, la preparacion empieza a hervir ente los 55-57 minutos, a los 58 espesamos y mezclamos para incorporar bien.</t>
  </si>
  <si>
    <t>Sacamos a enfriamiento.</t>
  </si>
  <si>
    <t xml:space="preserve">Revision #2: Se adapta la tanda para la marmita y se agrega la programacion. 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</si>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</sst>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13" x14ac:knownFonts="1">
    <font>
      <sz val="10"/>
      <name val="Arial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0"/>
      <name val="Arial"/>
      <family val="2"/>
    </font>
    <font>
      <b/>
      <sz val="14"/>
      <color indexed="8"/>
      <name val="Arial"/>
      <family val="2"/>
    </font>
    <font>
      <sz val="14"/>
      <name val="Arial"/>
      <family val="2"/>
    </font>
    <font>
      <sz val="14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4" fillId="0" borderId="0"/>
    <xf numFmtId="43" fontId="9" fillId="0" borderId="0" applyFont="0" applyFill="0" applyBorder="0" applyAlignment="0" applyProtection="0"/>
    <xf numFmtId="0" fontId="3" fillId="0" borderId="0"/>
    <xf numFmtId="0" fontId="3" fillId="0" borderId="0"/>
  </cellStyleXfs>
  <cellXfs count="136">
    <xf numFmtId="0" fontId="0" fillId="0" borderId="0" xfId="0"/>
    <xf numFmtId="14" fontId="5" fillId="2" borderId="0" xfId="1" applyNumberFormat="1" applyFont="1" applyFill="1" applyAlignment="1">
      <alignment horizontal="center" vertical="center" wrapText="1"/>
    </xf>
    <xf numFmtId="0" fontId="1" fillId="2" borderId="18" xfId="1" applyFont="1" applyFill="1" applyBorder="1" applyAlignment="1">
      <alignment horizontal="right"/>
    </xf>
    <xf numFmtId="0" fontId="1" fillId="2" borderId="22" xfId="1" applyFont="1" applyFill="1" applyBorder="1" applyAlignment="1">
      <alignment horizontal="right"/>
    </xf>
    <xf numFmtId="49" fontId="1" fillId="2" borderId="32" xfId="1" applyNumberFormat="1" applyFont="1" applyFill="1" applyBorder="1" applyAlignment="1">
      <alignment horizontal="center"/>
    </xf>
    <xf numFmtId="0" fontId="2" fillId="2" borderId="18" xfId="1" applyFont="1" applyFill="1" applyBorder="1" applyAlignment="1">
      <alignment horizontal="right"/>
    </xf>
    <xf numFmtId="0" fontId="1" fillId="2" borderId="25" xfId="1" applyFont="1" applyFill="1" applyBorder="1" applyAlignment="1">
      <alignment horizontal="center"/>
    </xf>
    <xf numFmtId="0" fontId="2" fillId="2" borderId="33" xfId="1" applyFont="1" applyFill="1" applyBorder="1" applyAlignment="1">
      <alignment horizontal="right"/>
    </xf>
    <xf numFmtId="0" fontId="2" fillId="3" borderId="25" xfId="3" applyFont="1" applyFill="1" applyBorder="1" applyAlignment="1">
      <alignment horizontal="center" vertical="center" wrapText="1"/>
    </xf>
    <xf numFmtId="1" fontId="2" fillId="3" borderId="15" xfId="3" applyNumberFormat="1" applyFont="1" applyFill="1" applyBorder="1" applyAlignment="1">
      <alignment horizontal="center"/>
    </xf>
    <xf numFmtId="1" fontId="2" fillId="3" borderId="15" xfId="3" applyNumberFormat="1" applyFont="1" applyFill="1" applyBorder="1" applyAlignment="1">
      <alignment horizontal="center" wrapText="1"/>
    </xf>
    <xf numFmtId="0" fontId="2" fillId="3" borderId="41" xfId="3" applyFont="1" applyFill="1" applyBorder="1" applyAlignment="1">
      <alignment horizontal="center"/>
    </xf>
    <xf numFmtId="0" fontId="6" fillId="0" borderId="42" xfId="3" applyFont="1" applyBorder="1" applyAlignment="1">
      <alignment horizontal="center" vertical="center"/>
    </xf>
    <xf numFmtId="0" fontId="6" fillId="0" borderId="17" xfId="3" applyFont="1" applyBorder="1" applyAlignment="1">
      <alignment horizontal="center" vertical="center"/>
    </xf>
    <xf numFmtId="0" fontId="10" fillId="0" borderId="18" xfId="3" applyFont="1" applyBorder="1" applyAlignment="1">
      <alignment vertical="center"/>
    </xf>
    <xf numFmtId="0" fontId="6" fillId="0" borderId="18" xfId="3" applyFont="1" applyBorder="1" applyAlignment="1">
      <alignment horizontal="center" vertical="center"/>
    </xf>
    <xf numFmtId="1" fontId="6" fillId="0" borderId="18" xfId="3" applyNumberFormat="1" applyFont="1" applyBorder="1" applyAlignment="1">
      <alignment horizontal="center"/>
    </xf>
    <xf numFmtId="1" fontId="6" fillId="0" borderId="18" xfId="3" applyNumberFormat="1" applyFont="1" applyBorder="1" applyAlignment="1">
      <alignment horizontal="center" wrapText="1"/>
    </xf>
    <xf numFmtId="0" fontId="11" fillId="0" borderId="32" xfId="3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1" fillId="0" borderId="18" xfId="0" applyFont="1" applyBorder="1" applyAlignment="1">
      <alignment horizontal="left"/>
    </xf>
    <xf numFmtId="0" fontId="12" fillId="0" borderId="18" xfId="0" applyFont="1" applyBorder="1" applyAlignment="1">
      <alignment horizontal="center" vertical="top"/>
    </xf>
    <xf numFmtId="1" fontId="11" fillId="4" borderId="18" xfId="0" applyNumberFormat="1" applyFont="1" applyFill="1" applyBorder="1" applyAlignment="1">
      <alignment horizontal="center"/>
    </xf>
    <xf numFmtId="1" fontId="11" fillId="4" borderId="18" xfId="0" applyNumberFormat="1" applyFont="1" applyFill="1" applyBorder="1" applyAlignment="1">
      <alignment horizontal="center" wrapText="1"/>
    </xf>
    <xf numFmtId="1" fontId="11" fillId="0" borderId="22" xfId="0" applyNumberFormat="1" applyFont="1" applyBorder="1" applyAlignment="1">
      <alignment horizontal="center"/>
    </xf>
    <xf numFmtId="0" fontId="12" fillId="0" borderId="18" xfId="0" applyFont="1" applyBorder="1" applyAlignment="1">
      <alignment vertical="top"/>
    </xf>
    <xf numFmtId="1" fontId="11" fillId="4" borderId="22" xfId="0" applyNumberFormat="1" applyFont="1" applyFill="1" applyBorder="1" applyAlignment="1">
      <alignment horizontal="center"/>
    </xf>
    <xf numFmtId="1" fontId="11" fillId="4" borderId="22" xfId="0" applyNumberFormat="1" applyFont="1" applyFill="1" applyBorder="1" applyAlignment="1">
      <alignment horizontal="center" wrapText="1"/>
    </xf>
    <xf numFmtId="43" fontId="11" fillId="0" borderId="22" xfId="2" applyFont="1" applyBorder="1" applyAlignment="1">
      <alignment horizontal="center"/>
    </xf>
    <xf numFmtId="2" fontId="6" fillId="0" borderId="18" xfId="3" applyNumberFormat="1" applyFont="1" applyBorder="1" applyAlignment="1">
      <alignment horizontal="center"/>
    </xf>
    <xf numFmtId="0" fontId="11" fillId="0" borderId="18" xfId="0" applyFont="1" applyBorder="1" applyAlignment="1">
      <alignment horizontal="center" vertical="top" wrapText="1"/>
    </xf>
    <xf numFmtId="0" fontId="11" fillId="0" borderId="18" xfId="0" applyFont="1" applyBorder="1" applyAlignment="1">
      <alignment horizontal="left" vertical="top" wrapText="1"/>
    </xf>
    <xf numFmtId="0" fontId="11" fillId="0" borderId="0" xfId="0" applyFont="1" applyAlignment="1">
      <alignment horizontal="center"/>
    </xf>
    <xf numFmtId="0" fontId="11" fillId="0" borderId="0" xfId="0" applyFont="1"/>
    <xf numFmtId="16" fontId="11" fillId="0" borderId="24" xfId="0" applyNumberFormat="1" applyFont="1" applyBorder="1" applyAlignment="1">
      <alignment horizontal="center"/>
    </xf>
    <xf numFmtId="1" fontId="11" fillId="0" borderId="18" xfId="0" applyNumberFormat="1" applyFont="1" applyBorder="1" applyAlignment="1">
      <alignment horizontal="center" wrapText="1"/>
    </xf>
    <xf numFmtId="49" fontId="6" fillId="0" borderId="6" xfId="3" applyNumberFormat="1" applyFont="1" applyBorder="1" applyAlignment="1">
      <alignment horizontal="center"/>
    </xf>
    <xf numFmtId="49" fontId="6" fillId="0" borderId="5" xfId="3" applyNumberFormat="1" applyFont="1" applyBorder="1" applyAlignment="1">
      <alignment horizontal="center"/>
    </xf>
    <xf numFmtId="0" fontId="10" fillId="4" borderId="18" xfId="3" applyFont="1" applyFill="1" applyBorder="1" applyAlignment="1">
      <alignment vertical="center"/>
    </xf>
    <xf numFmtId="0" fontId="6" fillId="0" borderId="17" xfId="3" applyFont="1" applyBorder="1" applyAlignment="1">
      <alignment horizontal="center"/>
    </xf>
    <xf numFmtId="0" fontId="11" fillId="0" borderId="0" xfId="0" applyFont="1" applyAlignment="1">
      <alignment horizontal="left"/>
    </xf>
    <xf numFmtId="2" fontId="11" fillId="0" borderId="18" xfId="3" applyNumberFormat="1" applyFont="1" applyBorder="1" applyAlignment="1">
      <alignment horizontal="center"/>
    </xf>
    <xf numFmtId="0" fontId="11" fillId="0" borderId="18" xfId="3" applyFont="1" applyBorder="1" applyAlignment="1">
      <alignment horizontal="center"/>
    </xf>
    <xf numFmtId="49" fontId="11" fillId="0" borderId="42" xfId="3" applyNumberFormat="1" applyFont="1" applyBorder="1" applyAlignment="1">
      <alignment horizontal="center"/>
    </xf>
    <xf numFmtId="49" fontId="11" fillId="0" borderId="17" xfId="3" applyNumberFormat="1" applyFont="1" applyBorder="1" applyAlignment="1">
      <alignment horizontal="center"/>
    </xf>
    <xf numFmtId="49" fontId="11" fillId="0" borderId="18" xfId="3" applyNumberFormat="1" applyFont="1" applyBorder="1"/>
    <xf numFmtId="1" fontId="11" fillId="0" borderId="18" xfId="3" applyNumberFormat="1" applyFont="1" applyBorder="1" applyAlignment="1">
      <alignment horizontal="center" wrapText="1"/>
    </xf>
    <xf numFmtId="49" fontId="12" fillId="2" borderId="30" xfId="3" applyNumberFormat="1" applyFont="1" applyFill="1" applyBorder="1" applyAlignment="1">
      <alignment horizontal="center" vertical="center"/>
    </xf>
    <xf numFmtId="49" fontId="12" fillId="2" borderId="0" xfId="3" applyNumberFormat="1" applyFont="1" applyFill="1" applyAlignment="1">
      <alignment horizontal="center" vertical="center"/>
    </xf>
    <xf numFmtId="0" fontId="11" fillId="2" borderId="0" xfId="3" applyFont="1" applyFill="1"/>
    <xf numFmtId="1" fontId="11" fillId="2" borderId="0" xfId="3" applyNumberFormat="1" applyFont="1" applyFill="1" applyAlignment="1">
      <alignment horizontal="center"/>
    </xf>
    <xf numFmtId="164" fontId="11" fillId="2" borderId="0" xfId="3" applyNumberFormat="1" applyFont="1" applyFill="1" applyAlignment="1">
      <alignment horizontal="center" wrapText="1"/>
    </xf>
    <xf numFmtId="0" fontId="11" fillId="2" borderId="43" xfId="3" applyFont="1" applyFill="1" applyBorder="1" applyAlignment="1">
      <alignment horizontal="center"/>
    </xf>
    <xf numFmtId="0" fontId="11" fillId="3" borderId="12" xfId="3" applyFont="1" applyFill="1" applyBorder="1" applyAlignment="1">
      <alignment horizontal="center"/>
    </xf>
    <xf numFmtId="0" fontId="11" fillId="3" borderId="11" xfId="3" applyFont="1" applyFill="1" applyBorder="1" applyAlignment="1">
      <alignment horizontal="center"/>
    </xf>
    <xf numFmtId="0" fontId="11" fillId="3" borderId="11" xfId="3" applyFont="1" applyFill="1" applyBorder="1"/>
    <xf numFmtId="0" fontId="6" fillId="3" borderId="11" xfId="3" applyFont="1" applyFill="1" applyBorder="1" applyAlignment="1">
      <alignment horizontal="center"/>
    </xf>
    <xf numFmtId="1" fontId="6" fillId="3" borderId="11" xfId="3" applyNumberFormat="1" applyFont="1" applyFill="1" applyBorder="1" applyAlignment="1">
      <alignment horizontal="center"/>
    </xf>
    <xf numFmtId="164" fontId="11" fillId="3" borderId="11" xfId="3" applyNumberFormat="1" applyFont="1" applyFill="1" applyBorder="1" applyAlignment="1">
      <alignment horizontal="center" wrapText="1"/>
    </xf>
    <xf numFmtId="0" fontId="11" fillId="3" borderId="10" xfId="3" applyFont="1" applyFill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1" fontId="11" fillId="0" borderId="18" xfId="0" applyNumberFormat="1" applyFont="1" applyBorder="1" applyAlignment="1">
      <alignment horizontal="center"/>
    </xf>
    <xf numFmtId="1" fontId="11" fillId="0" borderId="15" xfId="0" applyNumberFormat="1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5" xfId="0" applyFont="1" applyBorder="1" applyAlignment="1">
      <alignment horizontal="left"/>
    </xf>
    <xf numFmtId="14" fontId="1" fillId="2" borderId="23" xfId="1" applyNumberFormat="1" applyFont="1" applyFill="1" applyBorder="1" applyAlignment="1">
      <alignment horizontal="center" vertical="center" wrapText="1"/>
    </xf>
    <xf numFmtId="14" fontId="1" fillId="2" borderId="28" xfId="1" applyNumberFormat="1" applyFont="1" applyFill="1" applyBorder="1" applyAlignment="1">
      <alignment horizontal="center" vertical="center" wrapText="1"/>
    </xf>
    <xf numFmtId="14" fontId="1" fillId="2" borderId="38" xfId="1" applyNumberFormat="1" applyFont="1" applyFill="1" applyBorder="1" applyAlignment="1">
      <alignment horizontal="center" vertical="center" wrapText="1"/>
    </xf>
    <xf numFmtId="0" fontId="1" fillId="2" borderId="19" xfId="1" applyFont="1" applyFill="1" applyBorder="1" applyAlignment="1">
      <alignment horizontal="left"/>
    </xf>
    <xf numFmtId="0" fontId="1" fillId="2" borderId="8" xfId="1" applyFont="1" applyFill="1" applyBorder="1" applyAlignment="1">
      <alignment horizontal="left"/>
    </xf>
    <xf numFmtId="0" fontId="1" fillId="2" borderId="20" xfId="1" applyFont="1" applyFill="1" applyBorder="1" applyAlignment="1">
      <alignment horizontal="left"/>
    </xf>
    <xf numFmtId="0" fontId="1" fillId="2" borderId="16" xfId="1" applyFont="1" applyFill="1" applyBorder="1" applyAlignment="1">
      <alignment horizontal="left"/>
    </xf>
    <xf numFmtId="0" fontId="1" fillId="2" borderId="5" xfId="1" applyFont="1" applyFill="1" applyBorder="1" applyAlignment="1">
      <alignment horizontal="left"/>
    </xf>
    <xf numFmtId="0" fontId="1" fillId="2" borderId="17" xfId="1" applyFont="1" applyFill="1" applyBorder="1" applyAlignment="1">
      <alignment horizontal="left"/>
    </xf>
    <xf numFmtId="0" fontId="1" fillId="2" borderId="34" xfId="1" applyFont="1" applyFill="1" applyBorder="1" applyAlignment="1">
      <alignment horizontal="center"/>
    </xf>
    <xf numFmtId="0" fontId="1" fillId="2" borderId="35" xfId="1" applyFont="1" applyFill="1" applyBorder="1" applyAlignment="1">
      <alignment horizontal="center"/>
    </xf>
    <xf numFmtId="0" fontId="1" fillId="2" borderId="30" xfId="1" applyFont="1" applyFill="1" applyBorder="1" applyAlignment="1">
      <alignment horizontal="center"/>
    </xf>
    <xf numFmtId="0" fontId="1" fillId="2" borderId="0" xfId="1" applyFont="1" applyFill="1" applyAlignment="1">
      <alignment horizontal="center"/>
    </xf>
    <xf numFmtId="0" fontId="1" fillId="2" borderId="36" xfId="1" applyFont="1" applyFill="1" applyBorder="1" applyAlignment="1">
      <alignment horizontal="center"/>
    </xf>
    <xf numFmtId="0" fontId="1" fillId="2" borderId="37" xfId="1" applyFont="1" applyFill="1" applyBorder="1" applyAlignment="1">
      <alignment horizontal="center"/>
    </xf>
    <xf numFmtId="0" fontId="8" fillId="2" borderId="33" xfId="1" applyFont="1" applyFill="1" applyBorder="1" applyAlignment="1">
      <alignment horizontal="center"/>
    </xf>
    <xf numFmtId="0" fontId="8" fillId="2" borderId="24" xfId="1" applyFont="1" applyFill="1" applyBorder="1" applyAlignment="1">
      <alignment horizontal="center"/>
    </xf>
    <xf numFmtId="0" fontId="7" fillId="5" borderId="12" xfId="1" applyFont="1" applyFill="1" applyBorder="1" applyAlignment="1">
      <alignment horizontal="center" vertical="center" wrapText="1"/>
    </xf>
    <xf numFmtId="0" fontId="7" fillId="5" borderId="11" xfId="1" applyFont="1" applyFill="1" applyBorder="1" applyAlignment="1">
      <alignment horizontal="center" vertical="center" wrapText="1"/>
    </xf>
    <xf numFmtId="0" fontId="7" fillId="5" borderId="10" xfId="1" applyFont="1" applyFill="1" applyBorder="1" applyAlignment="1">
      <alignment horizontal="center" vertical="center" wrapText="1"/>
    </xf>
    <xf numFmtId="0" fontId="2" fillId="2" borderId="31" xfId="1" applyFont="1" applyFill="1" applyBorder="1" applyAlignment="1">
      <alignment horizontal="right" vertical="top" wrapText="1"/>
    </xf>
    <xf numFmtId="0" fontId="2" fillId="2" borderId="29" xfId="1" applyFont="1" applyFill="1" applyBorder="1" applyAlignment="1">
      <alignment horizontal="right" vertical="top" wrapText="1"/>
    </xf>
    <xf numFmtId="0" fontId="2" fillId="2" borderId="27" xfId="1" applyFont="1" applyFill="1" applyBorder="1" applyAlignment="1">
      <alignment horizontal="right" vertical="top" wrapText="1"/>
    </xf>
    <xf numFmtId="0" fontId="6" fillId="2" borderId="0" xfId="1" applyFont="1" applyFill="1" applyAlignment="1">
      <alignment horizontal="right"/>
    </xf>
    <xf numFmtId="0" fontId="5" fillId="2" borderId="26" xfId="1" applyFont="1" applyFill="1" applyBorder="1" applyAlignment="1">
      <alignment horizontal="center"/>
    </xf>
    <xf numFmtId="0" fontId="6" fillId="2" borderId="0" xfId="1" applyFont="1" applyFill="1"/>
    <xf numFmtId="0" fontId="2" fillId="3" borderId="39" xfId="3" applyFont="1" applyFill="1" applyBorder="1" applyAlignment="1">
      <alignment horizontal="center" vertical="center"/>
    </xf>
    <xf numFmtId="0" fontId="2" fillId="3" borderId="40" xfId="3" applyFont="1" applyFill="1" applyBorder="1" applyAlignment="1">
      <alignment horizontal="center" vertical="center"/>
    </xf>
    <xf numFmtId="0" fontId="2" fillId="3" borderId="39" xfId="3" applyFont="1" applyFill="1" applyBorder="1" applyAlignment="1">
      <alignment horizontal="center" vertical="center" wrapText="1"/>
    </xf>
    <xf numFmtId="0" fontId="2" fillId="3" borderId="40" xfId="3" applyFont="1" applyFill="1" applyBorder="1" applyAlignment="1">
      <alignment horizontal="center" vertical="center" wrapText="1"/>
    </xf>
    <xf numFmtId="0" fontId="2" fillId="3" borderId="33" xfId="3" applyFont="1" applyFill="1" applyBorder="1" applyAlignment="1">
      <alignment horizontal="center" vertical="center"/>
    </xf>
    <xf numFmtId="0" fontId="2" fillId="3" borderId="15" xfId="3" applyFont="1" applyFill="1" applyBorder="1" applyAlignment="1">
      <alignment horizontal="center" vertical="center"/>
    </xf>
    <xf numFmtId="0" fontId="6" fillId="0" borderId="36" xfId="3" applyFont="1" applyBorder="1" applyAlignment="1">
      <alignment horizontal="right"/>
    </xf>
    <xf numFmtId="0" fontId="6" fillId="0" borderId="37" xfId="3" applyFont="1" applyBorder="1" applyAlignment="1">
      <alignment horizontal="right"/>
    </xf>
    <xf numFmtId="0" fontId="6" fillId="0" borderId="44" xfId="3" applyFont="1" applyBorder="1" applyAlignment="1">
      <alignment horizontal="right"/>
    </xf>
    <xf numFmtId="164" fontId="11" fillId="0" borderId="22" xfId="3" applyNumberFormat="1" applyFont="1" applyBorder="1" applyAlignment="1">
      <alignment horizontal="right"/>
    </xf>
    <xf numFmtId="0" fontId="11" fillId="2" borderId="21" xfId="3" applyFont="1" applyFill="1" applyBorder="1" applyAlignment="1">
      <alignment horizontal="center"/>
    </xf>
    <xf numFmtId="0" fontId="11" fillId="2" borderId="45" xfId="3" applyFont="1" applyFill="1" applyBorder="1" applyAlignment="1">
      <alignment horizontal="center"/>
    </xf>
    <xf numFmtId="0" fontId="6" fillId="0" borderId="6" xfId="3" applyFont="1" applyBorder="1" applyAlignment="1">
      <alignment horizontal="right"/>
    </xf>
    <xf numFmtId="0" fontId="6" fillId="0" borderId="5" xfId="3" applyFont="1" applyBorder="1" applyAlignment="1">
      <alignment horizontal="right"/>
    </xf>
    <xf numFmtId="0" fontId="6" fillId="0" borderId="17" xfId="3" applyFont="1" applyBorder="1" applyAlignment="1">
      <alignment horizontal="right"/>
    </xf>
    <xf numFmtId="0" fontId="11" fillId="0" borderId="18" xfId="3" applyFont="1" applyBorder="1" applyAlignment="1">
      <alignment horizontal="right"/>
    </xf>
    <xf numFmtId="164" fontId="11" fillId="0" borderId="16" xfId="3" applyNumberFormat="1" applyFont="1" applyBorder="1" applyAlignment="1">
      <alignment horizontal="center"/>
    </xf>
    <xf numFmtId="164" fontId="11" fillId="0" borderId="4" xfId="3" applyNumberFormat="1" applyFont="1" applyBorder="1" applyAlignment="1">
      <alignment horizontal="center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164" fontId="11" fillId="0" borderId="16" xfId="3" applyNumberFormat="1" applyFont="1" applyBorder="1" applyAlignment="1">
      <alignment horizontal="right" wrapText="1"/>
    </xf>
    <xf numFmtId="164" fontId="11" fillId="0" borderId="17" xfId="3" applyNumberFormat="1" applyFont="1" applyBorder="1" applyAlignment="1">
      <alignment horizontal="right" wrapText="1"/>
    </xf>
    <xf numFmtId="0" fontId="6" fillId="0" borderId="40" xfId="3" applyFont="1" applyBorder="1" applyAlignment="1">
      <alignment horizontal="right"/>
    </xf>
    <xf numFmtId="0" fontId="6" fillId="0" borderId="14" xfId="3" applyFont="1" applyBorder="1" applyAlignment="1">
      <alignment horizontal="right"/>
    </xf>
    <xf numFmtId="0" fontId="6" fillId="0" borderId="15" xfId="3" applyFont="1" applyBorder="1" applyAlignment="1">
      <alignment horizontal="right"/>
    </xf>
    <xf numFmtId="0" fontId="11" fillId="0" borderId="15" xfId="3" applyFont="1" applyBorder="1" applyAlignment="1">
      <alignment horizontal="right"/>
    </xf>
    <xf numFmtId="164" fontId="11" fillId="0" borderId="13" xfId="3" applyNumberFormat="1" applyFont="1" applyBorder="1" applyAlignment="1">
      <alignment horizontal="center"/>
    </xf>
    <xf numFmtId="164" fontId="11" fillId="0" borderId="1" xfId="3" applyNumberFormat="1" applyFont="1" applyBorder="1" applyAlignment="1">
      <alignment horizontal="center"/>
    </xf>
    <xf numFmtId="0" fontId="6" fillId="3" borderId="12" xfId="3" applyFont="1" applyFill="1" applyBorder="1" applyAlignment="1">
      <alignment horizontal="left"/>
    </xf>
    <xf numFmtId="0" fontId="6" fillId="3" borderId="11" xfId="3" applyFont="1" applyFill="1" applyBorder="1" applyAlignment="1">
      <alignment horizontal="left"/>
    </xf>
    <xf numFmtId="0" fontId="6" fillId="3" borderId="10" xfId="3" applyFont="1" applyFill="1" applyBorder="1" applyAlignment="1">
      <alignment horizontal="left"/>
    </xf>
    <xf numFmtId="0" fontId="11" fillId="0" borderId="9" xfId="0" applyFont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6" fillId="6" borderId="46" xfId="1" applyFont="1" applyFill="1" applyBorder="1" applyAlignment="1">
      <alignment horizontal="center"/>
    </xf>
    <xf numFmtId="0" fontId="6" fillId="6" borderId="35" xfId="1" applyFont="1" applyFill="1" applyBorder="1" applyAlignment="1">
      <alignment horizontal="center"/>
    </xf>
    <xf numFmtId="0" fontId="11" fillId="2" borderId="47" xfId="1" applyFont="1" applyFill="1" applyBorder="1" applyAlignment="1">
      <alignment horizontal="left"/>
    </xf>
    <xf numFmtId="0" fontId="11" fillId="2" borderId="0" xfId="1" applyFont="1" applyFill="1" applyAlignment="1">
      <alignment horizontal="left"/>
    </xf>
    <xf numFmtId="0" fontId="11" fillId="0" borderId="37" xfId="0" applyFont="1" applyBorder="1" applyAlignment="1">
      <alignment horizontal="left"/>
    </xf>
    <xf numFmtId="0" fontId="11" fillId="7" borderId="5" xfId="0" applyFont="1" applyFill="1" applyBorder="1" applyAlignment="1">
      <alignment horizontal="left"/>
    </xf>
    <xf numFmtId="0" fontId="11" fillId="0" borderId="3" xfId="3" applyFont="1" applyBorder="1" applyAlignment="1">
      <alignment horizontal="left"/>
    </xf>
    <xf numFmtId="0" fontId="11" fillId="0" borderId="2" xfId="3" applyFont="1" applyBorder="1" applyAlignment="1">
      <alignment horizontal="left"/>
    </xf>
    <xf numFmtId="0" fontId="11" fillId="0" borderId="1" xfId="3" applyFont="1" applyBorder="1" applyAlignment="1">
      <alignment horizontal="left"/>
    </xf>
  </cellXfs>
  <cellStyles count="5">
    <cellStyle name="Millares" xfId="2" builtinId="3"/>
    <cellStyle name="Normal" xfId="0" builtinId="0"/>
    <cellStyle name="Normal 2" xfId="3" xr:uid="{4C52D098-F036-453B-9151-DF27F5C26FB4}"/>
    <cellStyle name="Normal 3 2" xfId="4" xr:uid="{7B4B7912-6BFD-43DF-9D2C-29A13ADE238D}"/>
    <cellStyle name="Normal_CRITERIOS DE EVALUACION PT DE GB 2" xfId="1" xr:uid="{402D037B-0690-4DA1-8D7B-B513C3C970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179919</xdr:colOff>
      <xdr:row>0</xdr:row>
      <xdr:rowOff>116417</xdr:rowOff>
    </xdr:from>
    <xdr:to>
      <xdr:col>1</xdr:col>
      <xdr:colOff>816814</xdr:colOff>
      <xdr:row>4</xdr:row>
      <xdr:rowOff>42333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A694169D-520E-4F62-9C12-F80202615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919" y="116417"/>
          <a:ext cx="1663478" cy="7514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198F9-567D-4663-96E4-1BDB4A7502CA}">
  <sheetPr>
    <pageSetUpPr fitToPage="1"/>
  </sheetPr>
  <dimension ref="A1:I44"/>
  <sheetViews>
    <sheetView tabSelected="1" zoomScale="90" zoomScaleNormal="90" zoomScaleSheetLayoutView="100" workbookViewId="0">
      <selection activeCell="C1" sqref="C1:G1"/>
    </sheetView>
  </sheetViews>
  <sheetFormatPr baseColWidth="10" defaultRowHeight="12.75" x14ac:dyDescent="0.2"/>
  <cols>
    <col min="1" max="1" width="15.42578125" bestFit="1" customWidth="1"/>
    <col min="2" max="2" width="14.7109375" customWidth="1"/>
    <col min="3" max="3" width="59.5703125" customWidth="1"/>
    <col min="4" max="4" width="20" customWidth="1"/>
    <col min="5" max="5" width="11.5703125" bestFit="1" customWidth="1"/>
    <col min="7" max="7" width="17.5703125" customWidth="1"/>
    <col min="8" max="8" width="15.85546875" customWidth="1"/>
    <col min="9" max="9" width="19" bestFit="1" customWidth="1"/>
  </cols>
  <sheetData>
    <row r="1" spans="1:9" ht="15.75" x14ac:dyDescent="0.25">
      <c r="A1" s="75"/>
      <c r="B1" s="76"/>
      <c r="C1" s="81" t="s">
        <v>54</v>
      </c>
      <c r="D1" s="81"/>
      <c r="E1" s="81"/>
      <c r="F1" s="81"/>
      <c r="G1" s="81"/>
      <c r="H1" s="7" t="s">
        <v>53</v>
      </c>
      <c r="I1" s="6" t="s">
        <v>67</v>
      </c>
    </row>
    <row r="2" spans="1:9" ht="16.5" thickBot="1" x14ac:dyDescent="0.3">
      <c r="A2" s="77"/>
      <c r="B2" s="78"/>
      <c r="C2" s="82" t="s">
        <v>52</v>
      </c>
      <c r="D2" s="82"/>
      <c r="E2" s="82"/>
      <c r="F2" s="82"/>
      <c r="G2" s="82"/>
      <c r="H2" s="5" t="s">
        <v>51</v>
      </c>
      <c r="I2" s="4" t="s">
        <v>80</v>
      </c>
    </row>
    <row r="3" spans="1:9" ht="18.75" thickBot="1" x14ac:dyDescent="0.25">
      <c r="A3" s="77"/>
      <c r="B3" s="78"/>
      <c r="C3" s="83" t="s">
        <v>58</v>
      </c>
      <c r="D3" s="84"/>
      <c r="E3" s="84"/>
      <c r="F3" s="84"/>
      <c r="G3" s="85"/>
      <c r="H3" s="86" t="s">
        <v>50</v>
      </c>
      <c r="I3" s="66">
        <v>45609</v>
      </c>
    </row>
    <row r="4" spans="1:9" ht="13.5" x14ac:dyDescent="0.25">
      <c r="A4" s="77"/>
      <c r="B4" s="78"/>
      <c r="C4" s="3" t="s">
        <v>49</v>
      </c>
      <c r="D4" s="69" t="s">
        <v>68</v>
      </c>
      <c r="E4" s="70"/>
      <c r="F4" s="70"/>
      <c r="G4" s="71"/>
      <c r="H4" s="87"/>
      <c r="I4" s="67"/>
    </row>
    <row r="5" spans="1:9" ht="14.25" thickBot="1" x14ac:dyDescent="0.3">
      <c r="A5" s="79"/>
      <c r="B5" s="80"/>
      <c r="C5" s="2" t="s">
        <v>48</v>
      </c>
      <c r="D5" s="72" t="s">
        <v>69</v>
      </c>
      <c r="E5" s="73"/>
      <c r="F5" s="73"/>
      <c r="G5" s="74"/>
      <c r="H5" s="88"/>
      <c r="I5" s="68"/>
    </row>
    <row r="6" spans="1:9" ht="18.75" thickBot="1" x14ac:dyDescent="0.3">
      <c r="A6" s="89" t="s">
        <v>47</v>
      </c>
      <c r="B6" s="89"/>
      <c r="C6" s="89"/>
      <c r="D6" s="90" t="s">
        <v>46</v>
      </c>
      <c r="E6" s="90"/>
      <c r="F6" s="90"/>
      <c r="G6" s="91" t="s">
        <v>45</v>
      </c>
      <c r="H6" s="91"/>
      <c r="I6" s="1" t="s">
        <v>44</v>
      </c>
    </row>
    <row r="7" spans="1:9" x14ac:dyDescent="0.2">
      <c r="A7" s="92" t="s">
        <v>43</v>
      </c>
      <c r="B7" s="94" t="s">
        <v>70</v>
      </c>
      <c r="C7" s="96" t="s">
        <v>42</v>
      </c>
      <c r="D7" s="96" t="s">
        <v>41</v>
      </c>
      <c r="E7" s="96" t="s">
        <v>40</v>
      </c>
      <c r="F7" s="96"/>
      <c r="G7" s="96" t="s">
        <v>39</v>
      </c>
      <c r="H7" s="96"/>
      <c r="I7" s="8" t="s">
        <v>38</v>
      </c>
    </row>
    <row r="8" spans="1:9" ht="26.25" thickBot="1" x14ac:dyDescent="0.25">
      <c r="A8" s="93"/>
      <c r="B8" s="95"/>
      <c r="C8" s="97"/>
      <c r="D8" s="97"/>
      <c r="E8" s="9" t="s">
        <v>37</v>
      </c>
      <c r="F8" s="10" t="s">
        <v>36</v>
      </c>
      <c r="G8" s="9" t="s">
        <v>37</v>
      </c>
      <c r="H8" s="10" t="s">
        <v>36</v>
      </c>
      <c r="I8" s="11" t="s">
        <v>35</v>
      </c>
    </row>
    <row r="9" spans="1:9" ht="18" x14ac:dyDescent="0.25">
      <c r="A9" s="12"/>
      <c r="B9" s="13"/>
      <c r="C9" s="14" t="s">
        <v>71</v>
      </c>
      <c r="D9" s="15"/>
      <c r="E9" s="16"/>
      <c r="F9" s="17"/>
      <c r="G9" s="16"/>
      <c r="H9" s="17"/>
      <c r="I9" s="18"/>
    </row>
    <row r="10" spans="1:9" ht="16.149999999999999" customHeight="1" x14ac:dyDescent="0.25">
      <c r="A10" s="19" t="s">
        <v>34</v>
      </c>
      <c r="B10" s="19" t="s">
        <v>59</v>
      </c>
      <c r="C10" s="20" t="s">
        <v>33</v>
      </c>
      <c r="D10" s="21" t="s">
        <v>32</v>
      </c>
      <c r="E10" s="22">
        <v>46000</v>
      </c>
      <c r="F10" s="23" t="s">
        <v>2</v>
      </c>
      <c r="G10" s="24"/>
      <c r="H10" s="17"/>
      <c r="I10" s="18"/>
    </row>
    <row r="11" spans="1:9" ht="18" x14ac:dyDescent="0.25">
      <c r="A11" s="19">
        <v>90100131</v>
      </c>
      <c r="B11" s="19" t="s">
        <v>60</v>
      </c>
      <c r="C11" s="20" t="s">
        <v>31</v>
      </c>
      <c r="D11" s="21" t="s">
        <v>23</v>
      </c>
      <c r="E11" s="22">
        <v>14260</v>
      </c>
      <c r="F11" s="23" t="s">
        <v>2</v>
      </c>
      <c r="G11" s="24"/>
      <c r="H11" s="17"/>
      <c r="I11" s="18"/>
    </row>
    <row r="12" spans="1:9" ht="18" x14ac:dyDescent="0.25">
      <c r="A12" s="19">
        <v>908000036</v>
      </c>
      <c r="B12" s="19" t="s">
        <v>61</v>
      </c>
      <c r="C12" s="20" t="s">
        <v>30</v>
      </c>
      <c r="D12" s="21" t="s">
        <v>23</v>
      </c>
      <c r="E12" s="22">
        <v>1840</v>
      </c>
      <c r="F12" s="23" t="s">
        <v>2</v>
      </c>
      <c r="G12" s="24"/>
      <c r="H12" s="17"/>
      <c r="I12" s="18"/>
    </row>
    <row r="13" spans="1:9" ht="18" x14ac:dyDescent="0.25">
      <c r="A13" s="19" t="s">
        <v>29</v>
      </c>
      <c r="B13" s="19" t="s">
        <v>62</v>
      </c>
      <c r="C13" s="20" t="s">
        <v>28</v>
      </c>
      <c r="D13" s="21" t="s">
        <v>25</v>
      </c>
      <c r="E13" s="22">
        <v>124</v>
      </c>
      <c r="F13" s="23" t="s">
        <v>2</v>
      </c>
      <c r="G13" s="24"/>
      <c r="H13" s="17"/>
      <c r="I13" s="18"/>
    </row>
    <row r="14" spans="1:9" ht="18" x14ac:dyDescent="0.25">
      <c r="A14" s="21" t="s">
        <v>27</v>
      </c>
      <c r="B14" s="19" t="s">
        <v>65</v>
      </c>
      <c r="C14" s="25" t="s">
        <v>26</v>
      </c>
      <c r="D14" s="21" t="s">
        <v>25</v>
      </c>
      <c r="E14" s="22">
        <v>1700</v>
      </c>
      <c r="F14" s="23" t="s">
        <v>2</v>
      </c>
      <c r="G14" s="24"/>
      <c r="H14" s="17"/>
      <c r="I14" s="18"/>
    </row>
    <row r="15" spans="1:9" ht="18" x14ac:dyDescent="0.25">
      <c r="A15" s="21"/>
      <c r="B15" s="21"/>
      <c r="C15" s="25"/>
      <c r="D15" s="21"/>
      <c r="E15" s="26"/>
      <c r="F15" s="27"/>
      <c r="G15" s="24"/>
      <c r="H15" s="17"/>
      <c r="I15" s="18"/>
    </row>
    <row r="16" spans="1:9" ht="18" x14ac:dyDescent="0.25">
      <c r="A16" s="19" t="s">
        <v>24</v>
      </c>
      <c r="B16" s="19"/>
      <c r="C16" s="20" t="s">
        <v>57</v>
      </c>
      <c r="D16" s="21" t="s">
        <v>23</v>
      </c>
      <c r="E16" s="26">
        <v>1620</v>
      </c>
      <c r="F16" s="27" t="s">
        <v>2</v>
      </c>
      <c r="G16" s="28"/>
      <c r="H16" s="17"/>
      <c r="I16" s="18"/>
    </row>
    <row r="17" spans="1:9" ht="18" x14ac:dyDescent="0.25">
      <c r="A17" s="19" t="s">
        <v>22</v>
      </c>
      <c r="B17" s="19" t="s">
        <v>63</v>
      </c>
      <c r="C17" s="20" t="s">
        <v>21</v>
      </c>
      <c r="D17" s="21" t="s">
        <v>20</v>
      </c>
      <c r="E17" s="26">
        <v>4</v>
      </c>
      <c r="F17" s="27" t="s">
        <v>2</v>
      </c>
      <c r="G17" s="29"/>
      <c r="H17" s="17"/>
      <c r="I17" s="18"/>
    </row>
    <row r="18" spans="1:9" ht="18" x14ac:dyDescent="0.25">
      <c r="A18" s="30" t="s">
        <v>19</v>
      </c>
      <c r="B18" s="19" t="s">
        <v>64</v>
      </c>
      <c r="C18" s="31" t="s">
        <v>18</v>
      </c>
      <c r="D18" s="21" t="s">
        <v>17</v>
      </c>
      <c r="E18" s="26">
        <v>4</v>
      </c>
      <c r="F18" s="27" t="s">
        <v>2</v>
      </c>
      <c r="G18" s="29"/>
      <c r="H18" s="17"/>
      <c r="I18" s="18"/>
    </row>
    <row r="19" spans="1:9" ht="18" x14ac:dyDescent="0.25">
      <c r="A19" s="32"/>
      <c r="B19" s="32"/>
      <c r="C19" s="33"/>
      <c r="D19" s="34"/>
      <c r="E19" s="19"/>
      <c r="F19" s="35"/>
      <c r="G19" s="29"/>
      <c r="H19" s="17"/>
      <c r="I19" s="18"/>
    </row>
    <row r="20" spans="1:9" ht="18" x14ac:dyDescent="0.25">
      <c r="A20" s="36"/>
      <c r="B20" s="37"/>
      <c r="C20" s="38" t="s">
        <v>44</v>
      </c>
      <c r="D20" s="39"/>
      <c r="E20" s="16"/>
      <c r="F20" s="17"/>
      <c r="G20" s="16"/>
      <c r="H20" s="17"/>
      <c r="I20" s="18"/>
    </row>
    <row r="21" spans="1:9" ht="18" x14ac:dyDescent="0.25">
      <c r="A21" s="33" t="s">
        <v>16</v>
      </c>
      <c r="B21" s="32" t="s">
        <v>66</v>
      </c>
      <c r="C21" s="40" t="s">
        <v>15</v>
      </c>
      <c r="D21" s="21" t="s">
        <v>14</v>
      </c>
      <c r="E21" s="22">
        <v>1</v>
      </c>
      <c r="F21" s="23" t="s">
        <v>55</v>
      </c>
      <c r="G21" s="41"/>
      <c r="H21" s="42"/>
      <c r="I21" s="18"/>
    </row>
    <row r="22" spans="1:9" ht="18" x14ac:dyDescent="0.25">
      <c r="A22" s="43"/>
      <c r="B22" s="44"/>
      <c r="C22" s="45"/>
      <c r="D22" s="42"/>
      <c r="E22" s="42"/>
      <c r="F22" s="46"/>
      <c r="G22" s="42"/>
      <c r="H22" s="42"/>
      <c r="I22" s="18"/>
    </row>
    <row r="23" spans="1:9" ht="18.75" thickBot="1" x14ac:dyDescent="0.3">
      <c r="A23" s="47"/>
      <c r="B23" s="48"/>
      <c r="C23" s="49"/>
      <c r="D23" s="49"/>
      <c r="E23" s="50"/>
      <c r="F23" s="51"/>
      <c r="G23" s="49"/>
      <c r="H23" s="49"/>
      <c r="I23" s="52"/>
    </row>
    <row r="24" spans="1:9" ht="18.75" thickBot="1" x14ac:dyDescent="0.3">
      <c r="A24" s="53"/>
      <c r="B24" s="54"/>
      <c r="C24" s="55"/>
      <c r="D24" s="56" t="s">
        <v>37</v>
      </c>
      <c r="E24" s="57" t="s">
        <v>72</v>
      </c>
      <c r="F24" s="58"/>
      <c r="G24" s="55"/>
      <c r="H24" s="55"/>
      <c r="I24" s="59"/>
    </row>
    <row r="25" spans="1:9" ht="18" x14ac:dyDescent="0.25">
      <c r="A25" s="98" t="s">
        <v>13</v>
      </c>
      <c r="B25" s="99"/>
      <c r="C25" s="100"/>
      <c r="D25" s="24">
        <v>62600</v>
      </c>
      <c r="E25" s="60" t="s">
        <v>2</v>
      </c>
      <c r="F25" s="101" t="s">
        <v>12</v>
      </c>
      <c r="G25" s="101"/>
      <c r="H25" s="102"/>
      <c r="I25" s="103"/>
    </row>
    <row r="26" spans="1:9" ht="18" x14ac:dyDescent="0.25">
      <c r="A26" s="104" t="s">
        <v>11</v>
      </c>
      <c r="B26" s="105"/>
      <c r="C26" s="106"/>
      <c r="D26" s="61">
        <v>35</v>
      </c>
      <c r="E26" s="19" t="s">
        <v>10</v>
      </c>
      <c r="F26" s="107" t="s">
        <v>9</v>
      </c>
      <c r="G26" s="107"/>
      <c r="H26" s="108"/>
      <c r="I26" s="109"/>
    </row>
    <row r="27" spans="1:9" ht="18" x14ac:dyDescent="0.25">
      <c r="A27" s="104" t="s">
        <v>8</v>
      </c>
      <c r="B27" s="105"/>
      <c r="C27" s="106"/>
      <c r="D27" s="19">
        <f>D25/D28</f>
        <v>12.52</v>
      </c>
      <c r="E27" s="19" t="s">
        <v>7</v>
      </c>
      <c r="F27" s="107" t="s">
        <v>6</v>
      </c>
      <c r="G27" s="107"/>
      <c r="H27" s="108"/>
      <c r="I27" s="109"/>
    </row>
    <row r="28" spans="1:9" ht="18" x14ac:dyDescent="0.25">
      <c r="A28" s="104" t="s">
        <v>5</v>
      </c>
      <c r="B28" s="105"/>
      <c r="C28" s="106"/>
      <c r="D28" s="62">
        <v>5000</v>
      </c>
      <c r="E28" s="19" t="s">
        <v>2</v>
      </c>
      <c r="F28" s="113" t="s">
        <v>4</v>
      </c>
      <c r="G28" s="114"/>
      <c r="H28" s="108"/>
      <c r="I28" s="109"/>
    </row>
    <row r="29" spans="1:9" ht="18.75" thickBot="1" x14ac:dyDescent="0.3">
      <c r="A29" s="115" t="s">
        <v>3</v>
      </c>
      <c r="B29" s="116"/>
      <c r="C29" s="117"/>
      <c r="D29" s="63">
        <f>SUM(E10:E18)-D25</f>
        <v>2952</v>
      </c>
      <c r="E29" s="64" t="s">
        <v>2</v>
      </c>
      <c r="F29" s="118"/>
      <c r="G29" s="118"/>
      <c r="H29" s="119"/>
      <c r="I29" s="120"/>
    </row>
    <row r="30" spans="1:9" ht="18.75" thickBot="1" x14ac:dyDescent="0.3">
      <c r="A30" s="121" t="s">
        <v>1</v>
      </c>
      <c r="B30" s="122"/>
      <c r="C30" s="122"/>
      <c r="D30" s="122"/>
      <c r="E30" s="122"/>
      <c r="F30" s="122"/>
      <c r="G30" s="122"/>
      <c r="H30" s="122"/>
      <c r="I30" s="123"/>
    </row>
    <row r="31" spans="1:9" ht="18.399999999999999" customHeight="1" x14ac:dyDescent="0.25">
      <c r="A31" s="124" t="s">
        <v>74</v>
      </c>
      <c r="B31" s="125"/>
      <c r="C31" s="125"/>
      <c r="D31" s="125"/>
      <c r="E31" s="125"/>
      <c r="F31" s="125"/>
      <c r="G31" s="125"/>
      <c r="H31" s="125"/>
      <c r="I31" s="126"/>
    </row>
    <row r="32" spans="1:9" ht="18" x14ac:dyDescent="0.25">
      <c r="A32" s="110" t="s">
        <v>73</v>
      </c>
      <c r="B32" s="111"/>
      <c r="C32" s="111"/>
      <c r="D32" s="111"/>
      <c r="E32" s="111"/>
      <c r="F32" s="111"/>
      <c r="G32" s="111"/>
      <c r="H32" s="111"/>
      <c r="I32" s="112"/>
    </row>
    <row r="33" spans="1:9" ht="18" x14ac:dyDescent="0.25">
      <c r="A33" s="110" t="s">
        <v>0</v>
      </c>
      <c r="B33" s="111"/>
      <c r="C33" s="111"/>
      <c r="D33" s="111"/>
      <c r="E33" s="111"/>
      <c r="F33" s="111"/>
      <c r="G33" s="111"/>
      <c r="H33" s="111"/>
      <c r="I33" s="112"/>
    </row>
    <row r="34" spans="1:9" ht="18" x14ac:dyDescent="0.25">
      <c r="A34" s="110"/>
      <c r="B34" s="111"/>
      <c r="C34" s="111"/>
      <c r="D34" s="111"/>
      <c r="E34" s="111"/>
      <c r="F34" s="111"/>
      <c r="G34" s="111"/>
      <c r="H34" s="111"/>
      <c r="I34" s="112"/>
    </row>
    <row r="35" spans="1:9" ht="18" x14ac:dyDescent="0.25">
      <c r="A35" s="131"/>
      <c r="B35" s="131"/>
      <c r="C35" s="131"/>
      <c r="D35" s="131"/>
      <c r="E35" s="131"/>
      <c r="F35" s="131"/>
      <c r="G35" s="131"/>
      <c r="H35" s="131"/>
      <c r="I35" s="65"/>
    </row>
    <row r="36" spans="1:9" ht="18" x14ac:dyDescent="0.25">
      <c r="A36" s="132" t="s">
        <v>75</v>
      </c>
      <c r="B36" s="132"/>
      <c r="C36" s="132"/>
      <c r="D36" s="132"/>
      <c r="E36" s="132"/>
      <c r="F36" s="132"/>
      <c r="G36" s="132"/>
      <c r="H36" s="132"/>
      <c r="I36" s="132"/>
    </row>
    <row r="37" spans="1:9" ht="18" x14ac:dyDescent="0.25">
      <c r="A37" s="65" t="s">
        <v>76</v>
      </c>
      <c r="B37" s="65"/>
      <c r="C37" s="65"/>
      <c r="D37" s="65"/>
      <c r="E37" s="65"/>
      <c r="F37" s="65"/>
      <c r="G37" s="65"/>
      <c r="H37" s="65"/>
      <c r="I37" s="65"/>
    </row>
    <row r="38" spans="1:9" ht="18" x14ac:dyDescent="0.25">
      <c r="A38" s="111" t="s">
        <v>77</v>
      </c>
      <c r="B38" s="111"/>
      <c r="C38" s="111"/>
      <c r="D38" s="111"/>
      <c r="E38" s="111"/>
      <c r="F38" s="111"/>
      <c r="G38" s="111"/>
      <c r="H38" s="111"/>
      <c r="I38" s="111"/>
    </row>
    <row r="39" spans="1:9" ht="18" customHeight="1" x14ac:dyDescent="0.25">
      <c r="A39" s="65" t="s">
        <v>78</v>
      </c>
      <c r="B39" s="65"/>
      <c r="C39" s="65"/>
      <c r="D39" s="65"/>
      <c r="E39" s="65"/>
      <c r="F39" s="65"/>
      <c r="G39" s="65"/>
      <c r="H39" s="65"/>
      <c r="I39" s="65"/>
    </row>
    <row r="40" spans="1:9" ht="18" x14ac:dyDescent="0.25">
      <c r="A40" s="65"/>
      <c r="B40" s="65"/>
      <c r="C40" s="65"/>
      <c r="D40" s="65"/>
      <c r="E40" s="65"/>
      <c r="F40" s="65"/>
      <c r="G40" s="65"/>
      <c r="H40" s="65"/>
      <c r="I40" s="65"/>
    </row>
    <row r="41" spans="1:9" ht="18.75" thickBot="1" x14ac:dyDescent="0.3">
      <c r="A41" s="133"/>
      <c r="B41" s="134"/>
      <c r="C41" s="134"/>
      <c r="D41" s="134"/>
      <c r="E41" s="134"/>
      <c r="F41" s="134"/>
      <c r="G41" s="134"/>
      <c r="H41" s="134"/>
      <c r="I41" s="135"/>
    </row>
    <row r="42" spans="1:9" ht="18" x14ac:dyDescent="0.25">
      <c r="A42" s="127" t="s">
        <v>56</v>
      </c>
      <c r="B42" s="128"/>
      <c r="C42" s="128"/>
      <c r="D42" s="128"/>
      <c r="E42" s="128"/>
      <c r="F42" s="128"/>
      <c r="G42" s="128"/>
      <c r="H42" s="128"/>
      <c r="I42" s="128"/>
    </row>
    <row r="43" spans="1:9" ht="18" x14ac:dyDescent="0.25">
      <c r="A43" s="129" t="s">
        <v>79</v>
      </c>
      <c r="B43" s="130"/>
      <c r="C43" s="130"/>
      <c r="D43" s="130"/>
      <c r="E43" s="130"/>
      <c r="F43" s="130"/>
      <c r="G43" s="130"/>
      <c r="H43" s="130"/>
      <c r="I43" s="130"/>
    </row>
    <row r="44" spans="1:9" ht="18" x14ac:dyDescent="0.25">
      <c r="A44" s="129"/>
      <c r="B44" s="130"/>
      <c r="C44" s="130"/>
      <c r="D44" s="130"/>
      <c r="E44" s="130"/>
      <c r="F44" s="130"/>
      <c r="G44" s="130"/>
      <c r="H44" s="130"/>
      <c r="I44" s="130"/>
    </row>
  </sheetData>
  <mergeCells count="44">
    <mergeCell ref="A42:I42"/>
    <mergeCell ref="A43:I43"/>
    <mergeCell ref="A44:I44"/>
    <mergeCell ref="A33:I33"/>
    <mergeCell ref="A34:I34"/>
    <mergeCell ref="A35:H35"/>
    <mergeCell ref="A36:I36"/>
    <mergeCell ref="A38:I38"/>
    <mergeCell ref="A41:I41"/>
    <mergeCell ref="A32:I32"/>
    <mergeCell ref="A27:C27"/>
    <mergeCell ref="F27:G27"/>
    <mergeCell ref="H27:I27"/>
    <mergeCell ref="A28:C28"/>
    <mergeCell ref="F28:G28"/>
    <mergeCell ref="H28:I28"/>
    <mergeCell ref="A29:C29"/>
    <mergeCell ref="F29:G29"/>
    <mergeCell ref="H29:I29"/>
    <mergeCell ref="A30:I30"/>
    <mergeCell ref="A31:I31"/>
    <mergeCell ref="A25:C25"/>
    <mergeCell ref="F25:G25"/>
    <mergeCell ref="H25:I25"/>
    <mergeCell ref="A26:C26"/>
    <mergeCell ref="F26:G26"/>
    <mergeCell ref="H26:I2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4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23298B5-89FB-4B3D-8BFA-396AD14356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9B075F-2E5E-4633-AD03-C090E1354437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1EECB2CA-5E7F-4DA2-A257-501D714D2F1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Allan Brenes</cp:lastModifiedBy>
  <cp:lastPrinted>2025-07-08T19:02:44Z</cp:lastPrinted>
  <dcterms:created xsi:type="dcterms:W3CDTF">2020-04-06T21:21:55Z</dcterms:created>
  <dcterms:modified xsi:type="dcterms:W3CDTF">2025-07-15T17:23:42Z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110600</vt:r8>
  </property>
  <property fmtid="{D5CDD505-2E9C-101B-9397-08002B2CF9AE}" pid="4" name="MediaServiceImageTags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
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2" documentId="8_{84369EB5-D2C8-42BD-BDDE-23F9A342FECF}" xr6:coauthVersionLast="47" xr6:coauthVersionMax="47" xr10:uidLastSave="{E4E67053-8F38-4376-9EE9-4F77D0E66630}"/>
  <bookViews>
    <workbookView xWindow="-108" yWindow="-108" windowWidth="23256" windowHeight="12456" tabRatio="876" xr2:uid="{48E3BA81-2A89-4691-98C0-B633975E6C79}"/>
  </bookViews>
  <sheets>
    <sheet name="Hoja2" sheetId="7" r:id="rId1"/>
    <sheet name="Hoja1" sheetId="6" state="hidden" r:id="rId2"/>
  </sheets>
  <externalReferences>
    <externalReference r:id="rId3"/>
    <externalReference r:id="rId4"/>
  </externalReferences>
  <definedNames>
    <definedName name="_xlnm.Print_Area" localSheetId="0">Hoja2!$A$1:$I$41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F2" i="6"/>
  <c r="G2" i="6"/>
  <c r="H2" i="6"/>
  <c r="H6" i="6"/>
  <c r="B8" i="6"/>
  <c r="C8" i="6"/>
  <c r="D8" i="6"/>
  <c r="E8" i="6"/>
  <c r="F8" i="6"/>
  <c r="G8" i="6"/>
  <c r="B9" i="6"/>
  <c r="C9" i="6"/>
  <c r="D9" i="6"/>
  <c r="E9" i="6"/>
  <c r="F9" i="6"/>
  <c r="G9" i="6"/>
  <c r="B10" i="6"/>
  <c r="C10" i="6"/>
  <c r="D10" i="6"/>
  <c r="E10" i="6"/>
  <c r="F10" i="6"/>
  <c r="G10" i="6"/>
  <c r="B11" i="6"/>
  <c r="C11" i="6"/>
  <c r="D11" i="6"/>
  <c r="E11" i="6"/>
  <c r="F11" i="6"/>
  <c r="G11" i="6"/>
  <c r="B12" i="6"/>
  <c r="C12" i="6"/>
  <c r="D12" i="6"/>
  <c r="E12" i="6"/>
  <c r="F12" i="6"/>
  <c r="G12" i="6"/>
  <c r="B13" i="6"/>
  <c r="C13" i="6"/>
  <c r="D13" i="6"/>
  <c r="E13" i="6"/>
  <c r="F13" i="6"/>
  <c r="G13" i="6"/>
  <c r="B14" i="6"/>
  <c r="C14" i="6"/>
  <c r="D14" i="6"/>
  <c r="E14" i="6"/>
  <c r="F14" i="6"/>
  <c r="G14" i="6"/>
  <c r="B17" i="6"/>
  <c r="C17" i="6"/>
  <c r="E17" i="6"/>
  <c r="F17" i="6"/>
  <c r="G17" i="6"/>
  <c r="B18" i="6"/>
  <c r="C18" i="6"/>
  <c r="D18" i="6"/>
  <c r="E18" i="6"/>
  <c r="F18" i="6"/>
  <c r="G18" i="6"/>
  <c r="B19" i="6"/>
  <c r="C19" i="6"/>
  <c r="D19" i="6"/>
  <c r="E19" i="6"/>
  <c r="F19" i="6"/>
  <c r="G19" i="6"/>
  <c r="B20" i="6"/>
  <c r="C20" i="6"/>
  <c r="D20" i="6"/>
  <c r="E20" i="6"/>
  <c r="F20" i="6"/>
  <c r="G20" i="6"/>
  <c r="B21" i="6"/>
  <c r="C21" i="6"/>
  <c r="D21" i="6"/>
  <c r="E21" i="6"/>
  <c r="F21" i="6"/>
  <c r="G21" i="6"/>
  <c r="C24" i="6"/>
  <c r="F24" i="6"/>
  <c r="G24" i="6"/>
  <c r="B25" i="6"/>
  <c r="C25" i="6"/>
  <c r="D25" i="6"/>
  <c r="E25" i="6"/>
  <c r="F25" i="6"/>
  <c r="G25" i="6"/>
  <c r="B26" i="6"/>
  <c r="C26" i="6"/>
  <c r="D26" i="6"/>
  <c r="E26" i="6"/>
  <c r="F26" i="6"/>
  <c r="G26" i="6"/>
  <c r="C27" i="6"/>
  <c r="F27" i="6"/>
  <c r="G27" i="6"/>
  <c r="B28" i="6"/>
  <c r="C28" i="6"/>
  <c r="D28" i="6"/>
  <c r="E28" i="6"/>
  <c r="F28" i="6"/>
  <c r="G28" i="6"/>
  <c r="B29" i="6"/>
  <c r="C29" i="6"/>
  <c r="D29" i="6"/>
  <c r="E29" i="6"/>
  <c r="F29" i="6"/>
  <c r="G29" i="6"/>
  <c r="A32" i="6"/>
  <c r="C32" i="6"/>
  <c r="E32" i="6"/>
  <c r="F32" i="6"/>
  <c r="G32" i="6"/>
  <c r="A33" i="6"/>
  <c r="C33" i="6"/>
  <c r="E33" i="6"/>
  <c r="F33" i="6"/>
  <c r="G33" i="6"/>
  <c r="A34" i="6"/>
  <c r="C34" i="6"/>
  <c r="E34" i="6"/>
  <c r="F34" i="6"/>
  <c r="G34" i="6"/>
  <c r="A35" i="6"/>
  <c r="C35" i="6"/>
  <c r="E35" i="6"/>
  <c r="F35" i="6"/>
  <c r="G35" i="6"/>
  <c r="A36" i="6"/>
  <c r="C36" i="6"/>
  <c r="E36" i="6"/>
  <c r="F36" i="6"/>
  <c r="G36" i="6"/>
  <c r="A39" i="6"/>
  <c r="C39" i="6"/>
  <c r="E39" i="6"/>
  <c r="F39" i="6"/>
  <c r="G39" i="6"/>
  <c r="A40" i="6"/>
  <c r="C40" i="6"/>
  <c r="E40" i="6"/>
  <c r="F40" i="6"/>
  <c r="G40" i="6"/>
  <c r="A41" i="6"/>
  <c r="C41" i="6"/>
  <c r="E41" i="6"/>
  <c r="F41" i="6"/>
  <c r="G41" i="6"/>
  <c r="A42" i="6"/>
  <c r="C42" i="6"/>
  <c r="E42" i="6"/>
  <c r="F42" i="6"/>
  <c r="G42" i="6"/>
  <c r="A43" i="6"/>
  <c r="C43" i="6"/>
  <c r="E43" i="6"/>
  <c r="F43" i="6"/>
  <c r="G43" i="6"/>
  <c r="C44" i="6"/>
  <c r="E44" i="6"/>
  <c r="F44" i="6"/>
  <c r="G44" i="6"/>
  <c r="F46" i="6"/>
  <c r="G46" i="6"/>
  <c r="H46" i="6"/>
  <c r="F47" i="6"/>
  <c r="G47" i="6"/>
  <c r="H47" i="6"/>
  <c r="O47" i="6"/>
  <c r="F48" i="6"/>
  <c r="G48" i="6"/>
  <c r="H48" i="6"/>
  <c r="O48" i="6"/>
  <c r="F49" i="6"/>
  <c r="G49" i="6"/>
  <c r="H49" i="6"/>
  <c r="O49" i="6"/>
  <c r="O50" i="6"/>
  <c r="O51" i="6"/>
  <c r="O52" i="6"/>
  <c r="D53" i="6"/>
  <c r="O53" i="6"/>
  <c r="O54" i="6"/>
  <c r="O55" i="6"/>
  <c r="P55" i="6"/>
  <c r="E56" i="6"/>
  <c r="F56" i="6"/>
  <c r="G56" i="6"/>
  <c r="F57" i="6"/>
  <c r="G57" i="6"/>
  <c r="F58" i="6"/>
  <c r="G58" i="6"/>
  <c r="F59" i="6"/>
  <c r="G59" i="6"/>
  <c r="C62" i="6"/>
  <c r="D62" i="6"/>
  <c r="E62" i="6"/>
  <c r="C64" i="6"/>
  <c r="D64" i="6"/>
  <c r="E64" i="6"/>
  <c r="C66" i="6"/>
  <c r="D66" i="6"/>
  <c r="E66" i="6"/>
  <c r="C67" i="6"/>
  <c r="D67" i="6"/>
  <c r="E67" i="6"/>
  <c r="C69" i="6"/>
  <c r="D69" i="6"/>
  <c r="E69" i="6"/>
  <c r="E71" i="6"/>
  <c r="C74" i="6"/>
  <c r="D74" i="6"/>
  <c r="E74" i="6"/>
  <c r="C76" i="6"/>
  <c r="D76" i="6"/>
  <c r="E76" i="6"/>
  <c r="C78" i="6"/>
  <c r="D78" i="6"/>
  <c r="E78" i="6"/>
  <c r="C79" i="6"/>
  <c r="D79" i="6"/>
  <c r="E79" i="6"/>
</calcChain>
</file>

<file path=xl/sharedStrings.xml><?xml version="1.0" encoding="utf-8"?>
<sst xmlns="http://schemas.openxmlformats.org/spreadsheetml/2006/main" count="177" uniqueCount="115">
  <si>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</si>
  <si>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</si>
  <si>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</si>
  <si>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</si>
  <si>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</si>
  <si>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</si>
  <si>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</si>
  <si>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</si>
  <si>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</si>
  <si>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</si>
  <si>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</si>
  <si>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</si>
  <si>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</si>
  <si>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</si>
  <si>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</si>
  <si>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</si>
  <si>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</si>
  <si>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</si>
  <si>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</si>
  <si>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</si>
  <si>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</si>
  <si>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</si>
  <si>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</si>
  <si>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</si>
  <si>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</si>
  <si>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ADOBO PECHUGA PARRILLA  (41940g)</t>
  </si>
  <si>
    <t>ud</t>
  </si>
  <si>
    <t>BOLSA TRANSPARENTE 7X9X4 (KILO)</t>
  </si>
  <si>
    <t>ETIQ.FECHA VENCIMIENTO BLANCO (ROLLO)</t>
  </si>
  <si>
    <t>ETIQUETA BLANCA R-153</t>
  </si>
  <si>
    <t>g</t>
  </si>
  <si>
    <t>min</t>
  </si>
  <si>
    <t>Empaque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</si>
  <si>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</si>
  <si>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</si>
  <si>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</si>
  <si>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</si>
  <si>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</si>
  <si>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</si>
  <si>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</si>
  <si>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</si>
  <si>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</si>
  <si>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</si>
  <si>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</si>
  <si>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</si>
  <si>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</si>
  <si>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</si>
  <si>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</si>
  <si>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</si>
  <si>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</si>
  <si>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</si>
  <si>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</si>
  <si>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</si>
  <si>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</si>
  <si>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</si>
  <si>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</si>
  <si>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</si>
  <si>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</si>
  <si>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</si>
  <si>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</si>
  <si>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</si>
  <si>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</si>
  <si>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</si>
  <si>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</si>
  <si>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</si>
  <si>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</si>
  <si>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</si>
  <si>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</si>
  <si>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</si>
  <si>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</si>
  <si>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</si>
  <si>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</si>
  <si>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</si>
  <si>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</si>
  <si>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</si>
  <si>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</si>
  <si>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</si>
  <si>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</si>
  <si>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</si>
  <si>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</si>
  <si>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</si>
  <si>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</si>
  <si>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</si>
  <si>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95634</t>
  </si>
  <si>
    <t>UND</t>
  </si>
  <si>
    <t>0702067</t>
  </si>
  <si>
    <t>0702007</t>
  </si>
  <si>
    <t>0701096</t>
  </si>
  <si>
    <t>EMPAQUE PECHUGA PARRILLA CRUDA ( 1 UNIDAD)</t>
  </si>
  <si>
    <t>FAS</t>
  </si>
  <si>
    <t>ETIQ.BLANCA 1 1/4 * 3/4 (UND)</t>
  </si>
  <si>
    <t>Esteban Cartin, Gte Manufactura</t>
  </si>
  <si>
    <t>EM10002</t>
  </si>
  <si>
    <t>EM10004</t>
  </si>
  <si>
    <t>EM10124</t>
  </si>
  <si>
    <t xml:space="preserve">2, Etiquetar </t>
  </si>
  <si>
    <t>-</t>
  </si>
  <si>
    <t>SE00657</t>
  </si>
  <si>
    <t>Javier Tong, Chef</t>
  </si>
  <si>
    <t># Código Netsuite</t>
  </si>
  <si>
    <t>Ensamble</t>
  </si>
  <si>
    <t>Tiempo de Horneo:</t>
  </si>
  <si>
    <t>Horno:</t>
  </si>
  <si>
    <t>Temperatura de Horneo:</t>
  </si>
  <si>
    <t>Otros</t>
  </si>
  <si>
    <t>CONTROL DE CAMBIOS</t>
  </si>
  <si>
    <t>Cocina</t>
  </si>
  <si>
    <t>ESP-RE-EMPS-033</t>
  </si>
  <si>
    <t>EM10046</t>
  </si>
  <si>
    <t>Bolsa Transparente 6X8X4</t>
  </si>
  <si>
    <t>0.5</t>
  </si>
  <si>
    <t>1, Colocar 150 g de pechuga  en una bolsa 6x8x4 (maximo 3 pedazos). Sellar</t>
  </si>
  <si>
    <t>Revision #2: Actualizacion de la bolsa.</t>
  </si>
  <si>
    <t>02</t>
  </si>
  <si>
    <t xml:space="preserve"> 20100079(PTL00039) Empaque pechuga parrilla Cruda 150g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</si>
</sst>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_-* #,##0\ _€_-;\-* #,##0\ _€_-;_-* &quot;-&quot;\ _€_-;_-@_-"/>
    <numFmt numFmtId="170" formatCode="0.0"/>
    <numFmt numFmtId="171" formatCode="_(* #,##0.000_);_(* \(#,##0.000\);_(* &quot;-&quot;??_);_(@_)"/>
  </numFmts>
  <fonts count="5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86">
    <xf numFmtId="0" fontId="0" fillId="0" borderId="0" xfId="0"/>
    <xf numFmtId="0" fontId="1" fillId="2" borderId="2" xfId="6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9" borderId="0" xfId="0" applyFont="1" applyFill="1" applyAlignment="1">
      <alignment vertical="center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0" fillId="0" borderId="3" xfId="1" applyFont="1" applyBorder="1" applyAlignment="1">
      <alignment horizontal="center" vertical="center"/>
    </xf>
    <xf numFmtId="43" fontId="10" fillId="0" borderId="0" xfId="1" applyFont="1" applyAlignment="1">
      <alignment horizontal="center" vertical="center"/>
    </xf>
    <xf numFmtId="43" fontId="12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2" applyNumberFormat="1" applyFont="1" applyAlignment="1">
      <alignment horizontal="center" vertical="center"/>
    </xf>
    <xf numFmtId="4" fontId="10" fillId="0" borderId="0" xfId="2" applyNumberFormat="1" applyFont="1" applyAlignment="1">
      <alignment horizontal="center" vertical="center"/>
    </xf>
    <xf numFmtId="10" fontId="10" fillId="0" borderId="0" xfId="7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7" applyNumberFormat="1" applyFont="1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/>
    <xf numFmtId="49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1" applyNumberFormat="1" applyFont="1" applyAlignment="1">
      <alignment vertical="center"/>
    </xf>
    <xf numFmtId="43" fontId="18" fillId="0" borderId="0" xfId="1" applyFont="1" applyAlignment="1">
      <alignment horizontal="center" vertical="center"/>
    </xf>
    <xf numFmtId="10" fontId="11" fillId="4" borderId="19" xfId="7" applyNumberFormat="1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/>
    </xf>
    <xf numFmtId="43" fontId="18" fillId="4" borderId="20" xfId="1" applyFont="1" applyFill="1" applyBorder="1" applyAlignment="1">
      <alignment horizontal="center" vertical="center"/>
    </xf>
    <xf numFmtId="43" fontId="20" fillId="0" borderId="0" xfId="1" applyFont="1" applyAlignment="1">
      <alignment horizontal="right"/>
    </xf>
    <xf numFmtId="0" fontId="9" fillId="4" borderId="20" xfId="0" applyFont="1" applyFill="1" applyBorder="1" applyAlignment="1">
      <alignment vertical="center"/>
    </xf>
    <xf numFmtId="10" fontId="11" fillId="4" borderId="20" xfId="7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9" fontId="37" fillId="0" borderId="0" xfId="7" applyFont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Alignment="1">
      <alignment vertical="center"/>
    </xf>
    <xf numFmtId="4" fontId="18" fillId="0" borderId="0" xfId="2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8" xfId="0" applyFont="1" applyBorder="1" applyAlignment="1">
      <alignment horizontal="right"/>
    </xf>
    <xf numFmtId="43" fontId="23" fillId="5" borderId="21" xfId="1" applyFont="1" applyFill="1" applyBorder="1" applyAlignment="1">
      <alignment horizontal="right"/>
    </xf>
    <xf numFmtId="43" fontId="23" fillId="0" borderId="0" xfId="1" applyFont="1" applyAlignment="1">
      <alignment horizontal="right"/>
    </xf>
    <xf numFmtId="43" fontId="10" fillId="0" borderId="3" xfId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0" fontId="25" fillId="0" borderId="0" xfId="7" applyNumberFormat="1" applyFont="1" applyAlignment="1">
      <alignment horizontal="right"/>
    </xf>
    <xf numFmtId="168" fontId="10" fillId="4" borderId="3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3" fontId="10" fillId="6" borderId="3" xfId="1" applyFont="1" applyFill="1" applyBorder="1" applyAlignment="1">
      <alignment vertical="center"/>
    </xf>
    <xf numFmtId="165" fontId="26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4" borderId="22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1" applyNumberFormat="1" applyFont="1" applyAlignment="1">
      <alignment horizontal="center"/>
    </xf>
    <xf numFmtId="2" fontId="22" fillId="0" borderId="0" xfId="1" applyNumberFormat="1" applyFont="1" applyAlignment="1">
      <alignment horizontal="center"/>
    </xf>
    <xf numFmtId="0" fontId="9" fillId="4" borderId="22" xfId="0" applyFont="1" applyFill="1" applyBorder="1" applyAlignment="1">
      <alignment vertical="center"/>
    </xf>
    <xf numFmtId="10" fontId="9" fillId="0" borderId="0" xfId="7" applyNumberFormat="1" applyFont="1" applyAlignment="1">
      <alignment vertical="center"/>
    </xf>
    <xf numFmtId="4" fontId="9" fillId="0" borderId="0" xfId="1" applyNumberFormat="1" applyFont="1" applyAlignment="1">
      <alignment vertical="center"/>
    </xf>
    <xf numFmtId="43" fontId="23" fillId="4" borderId="10" xfId="1" applyFont="1" applyFill="1" applyBorder="1" applyAlignment="1">
      <alignment horizontal="right"/>
    </xf>
    <xf numFmtId="0" fontId="10" fillId="4" borderId="11" xfId="0" applyFont="1" applyFill="1" applyBorder="1" applyAlignment="1">
      <alignment horizontal="right" vertical="center"/>
    </xf>
    <xf numFmtId="10" fontId="29" fillId="0" borderId="0" xfId="1" applyNumberFormat="1" applyFont="1" applyAlignment="1">
      <alignment vertical="center"/>
    </xf>
    <xf numFmtId="165" fontId="30" fillId="0" borderId="0" xfId="0" applyNumberFormat="1" applyFont="1" applyAlignment="1">
      <alignment horizontal="center" vertical="center"/>
    </xf>
    <xf numFmtId="0" fontId="9" fillId="9" borderId="21" xfId="0" applyFont="1" applyFill="1" applyBorder="1" applyAlignment="1">
      <alignment horizontal="center" vertical="center"/>
    </xf>
    <xf numFmtId="43" fontId="31" fillId="0" borderId="0" xfId="1" applyFont="1" applyAlignment="1">
      <alignment vertical="center"/>
    </xf>
    <xf numFmtId="4" fontId="32" fillId="0" borderId="0" xfId="2" applyNumberFormat="1" applyFont="1" applyAlignment="1">
      <alignment horizontal="center" vertical="center" wrapText="1"/>
    </xf>
    <xf numFmtId="43" fontId="9" fillId="0" borderId="0" xfId="1" applyFont="1" applyAlignment="1">
      <alignment vertical="center"/>
    </xf>
    <xf numFmtId="9" fontId="9" fillId="0" borderId="0" xfId="1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Alignment="1">
      <alignment vertical="center"/>
    </xf>
    <xf numFmtId="4" fontId="10" fillId="7" borderId="21" xfId="1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43" fontId="33" fillId="0" borderId="0" xfId="1" applyFont="1" applyAlignment="1">
      <alignment vertical="center"/>
    </xf>
    <xf numFmtId="9" fontId="33" fillId="0" borderId="0" xfId="1" applyNumberFormat="1" applyFont="1" applyAlignment="1">
      <alignment vertical="center"/>
    </xf>
    <xf numFmtId="4" fontId="10" fillId="0" borderId="0" xfId="1" applyNumberFormat="1" applyFont="1" applyAlignment="1">
      <alignment horizontal="center" vertical="center"/>
    </xf>
    <xf numFmtId="10" fontId="26" fillId="0" borderId="0" xfId="7" applyNumberFormat="1" applyFont="1" applyAlignment="1">
      <alignment vertical="center"/>
    </xf>
    <xf numFmtId="43" fontId="26" fillId="0" borderId="0" xfId="1" applyFont="1" applyAlignment="1">
      <alignment vertical="center"/>
    </xf>
    <xf numFmtId="4" fontId="9" fillId="0" borderId="0" xfId="0" applyNumberFormat="1" applyFont="1" applyAlignment="1">
      <alignment horizontal="center"/>
    </xf>
    <xf numFmtId="43" fontId="9" fillId="0" borderId="0" xfId="1" applyFont="1"/>
    <xf numFmtId="0" fontId="26" fillId="0" borderId="0" xfId="0" applyFont="1" applyAlignment="1">
      <alignment horizontal="right"/>
    </xf>
    <xf numFmtId="43" fontId="9" fillId="0" borderId="0" xfId="1" applyFont="1" applyAlignment="1">
      <alignment horizontal="center"/>
    </xf>
    <xf numFmtId="9" fontId="36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5" fontId="10" fillId="0" borderId="0" xfId="0" applyNumberFormat="1" applyFont="1"/>
    <xf numFmtId="0" fontId="41" fillId="2" borderId="1" xfId="5" applyFont="1" applyFill="1" applyBorder="1" applyAlignment="1">
      <alignment horizontal="right"/>
    </xf>
    <xf numFmtId="0" fontId="41" fillId="2" borderId="3" xfId="5" applyFont="1" applyFill="1" applyBorder="1" applyAlignment="1">
      <alignment horizontal="right"/>
    </xf>
    <xf numFmtId="49" fontId="39" fillId="2" borderId="4" xfId="5" applyNumberFormat="1" applyFont="1" applyFill="1" applyBorder="1" applyAlignment="1">
      <alignment horizontal="center"/>
    </xf>
    <xf numFmtId="0" fontId="39" fillId="2" borderId="12" xfId="5" applyFont="1" applyFill="1" applyBorder="1" applyAlignment="1">
      <alignment horizontal="right"/>
    </xf>
    <xf numFmtId="0" fontId="39" fillId="2" borderId="3" xfId="5" applyFont="1" applyFill="1" applyBorder="1" applyAlignment="1">
      <alignment horizontal="right"/>
    </xf>
    <xf numFmtId="14" fontId="38" fillId="2" borderId="0" xfId="6" applyNumberFormat="1" applyFont="1" applyFill="1" applyAlignment="1">
      <alignment horizontal="center" vertical="center" wrapText="1"/>
    </xf>
    <xf numFmtId="0" fontId="41" fillId="3" borderId="2" xfId="4" applyFont="1" applyFill="1" applyBorder="1" applyAlignment="1">
      <alignment horizontal="center" vertical="center" wrapText="1"/>
    </xf>
    <xf numFmtId="1" fontId="41" fillId="3" borderId="5" xfId="4" applyNumberFormat="1" applyFont="1" applyFill="1" applyBorder="1" applyAlignment="1">
      <alignment horizontal="center"/>
    </xf>
    <xf numFmtId="1" fontId="41" fillId="3" borderId="5" xfId="4" applyNumberFormat="1" applyFont="1" applyFill="1" applyBorder="1" applyAlignment="1">
      <alignment horizontal="center" wrapText="1"/>
    </xf>
    <xf numFmtId="0" fontId="41" fillId="3" borderId="15" xfId="4" applyFont="1" applyFill="1" applyBorder="1" applyAlignment="1">
      <alignment horizontal="center"/>
    </xf>
    <xf numFmtId="0" fontId="42" fillId="0" borderId="6" xfId="4" applyFont="1" applyBorder="1" applyAlignment="1">
      <alignment horizontal="center" vertical="center"/>
    </xf>
    <xf numFmtId="0" fontId="42" fillId="0" borderId="23" xfId="4" applyFont="1" applyBorder="1" applyAlignment="1">
      <alignment horizontal="center" vertical="center"/>
    </xf>
    <xf numFmtId="0" fontId="43" fillId="0" borderId="3" xfId="4" applyFont="1" applyBorder="1" applyAlignment="1">
      <alignment vertical="center"/>
    </xf>
    <xf numFmtId="0" fontId="42" fillId="0" borderId="3" xfId="4" applyFont="1" applyBorder="1" applyAlignment="1">
      <alignment horizontal="center" vertical="center"/>
    </xf>
    <xf numFmtId="1" fontId="42" fillId="0" borderId="3" xfId="4" applyNumberFormat="1" applyFont="1" applyBorder="1" applyAlignment="1">
      <alignment horizontal="center"/>
    </xf>
    <xf numFmtId="1" fontId="42" fillId="0" borderId="3" xfId="4" applyNumberFormat="1" applyFont="1" applyBorder="1" applyAlignment="1">
      <alignment horizontal="center" wrapText="1"/>
    </xf>
    <xf numFmtId="0" fontId="44" fillId="0" borderId="4" xfId="4" applyFont="1" applyBorder="1" applyAlignment="1">
      <alignment horizontal="center"/>
    </xf>
    <xf numFmtId="49" fontId="5" fillId="0" borderId="6" xfId="4" applyNumberFormat="1" applyFont="1" applyBorder="1" applyAlignment="1">
      <alignment horizontal="center"/>
    </xf>
    <xf numFmtId="49" fontId="5" fillId="0" borderId="23" xfId="4" applyNumberFormat="1" applyFont="1" applyBorder="1" applyAlignment="1">
      <alignment horizontal="center"/>
    </xf>
    <xf numFmtId="49" fontId="5" fillId="0" borderId="3" xfId="4" applyNumberFormat="1" applyFont="1" applyBorder="1"/>
    <xf numFmtId="16" fontId="5" fillId="0" borderId="3" xfId="4" applyNumberFormat="1" applyFont="1" applyBorder="1" applyAlignment="1">
      <alignment horizontal="center"/>
    </xf>
    <xf numFmtId="1" fontId="5" fillId="0" borderId="3" xfId="4" applyNumberFormat="1" applyFont="1" applyBorder="1" applyAlignment="1">
      <alignment horizontal="center"/>
    </xf>
    <xf numFmtId="1" fontId="5" fillId="0" borderId="3" xfId="4" applyNumberFormat="1" applyFont="1" applyBorder="1" applyAlignment="1">
      <alignment horizontal="center" wrapText="1"/>
    </xf>
    <xf numFmtId="1" fontId="39" fillId="0" borderId="12" xfId="0" applyNumberFormat="1" applyFont="1" applyBorder="1" applyAlignment="1">
      <alignment horizontal="center"/>
    </xf>
    <xf numFmtId="1" fontId="41" fillId="9" borderId="50" xfId="4" applyNumberFormat="1" applyFont="1" applyFill="1" applyBorder="1" applyAlignment="1">
      <alignment horizontal="center" wrapText="1"/>
    </xf>
    <xf numFmtId="0" fontId="9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vertical="center"/>
    </xf>
    <xf numFmtId="16" fontId="44" fillId="0" borderId="3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/>
    </xf>
    <xf numFmtId="1" fontId="44" fillId="0" borderId="3" xfId="0" applyNumberFormat="1" applyFont="1" applyBorder="1" applyAlignment="1">
      <alignment horizontal="center" wrapText="1"/>
    </xf>
    <xf numFmtId="2" fontId="42" fillId="0" borderId="3" xfId="4" applyNumberFormat="1" applyFont="1" applyBorder="1" applyAlignment="1">
      <alignment horizontal="center"/>
    </xf>
    <xf numFmtId="1" fontId="44" fillId="0" borderId="3" xfId="4" applyNumberFormat="1" applyFont="1" applyBorder="1" applyAlignment="1">
      <alignment horizontal="center"/>
    </xf>
    <xf numFmtId="1" fontId="44" fillId="0" borderId="3" xfId="4" applyNumberFormat="1" applyFont="1" applyBorder="1" applyAlignment="1">
      <alignment horizontal="center" wrapText="1"/>
    </xf>
    <xf numFmtId="49" fontId="44" fillId="0" borderId="6" xfId="4" applyNumberFormat="1" applyFont="1" applyBorder="1" applyAlignment="1">
      <alignment horizontal="center"/>
    </xf>
    <xf numFmtId="49" fontId="44" fillId="0" borderId="23" xfId="4" applyNumberFormat="1" applyFont="1" applyBorder="1" applyAlignment="1">
      <alignment horizontal="center"/>
    </xf>
    <xf numFmtId="0" fontId="44" fillId="0" borderId="3" xfId="4" applyFont="1" applyBorder="1" applyAlignment="1">
      <alignment horizontal="center"/>
    </xf>
    <xf numFmtId="49" fontId="42" fillId="0" borderId="35" xfId="4" applyNumberFormat="1" applyFont="1" applyBorder="1" applyAlignment="1">
      <alignment horizontal="center"/>
    </xf>
    <xf numFmtId="49" fontId="42" fillId="0" borderId="28" xfId="4" applyNumberFormat="1" applyFont="1" applyBorder="1" applyAlignment="1">
      <alignment horizontal="center"/>
    </xf>
    <xf numFmtId="0" fontId="46" fillId="9" borderId="3" xfId="4" applyFont="1" applyFill="1" applyBorder="1" applyAlignment="1">
      <alignment vertical="center"/>
    </xf>
    <xf numFmtId="0" fontId="42" fillId="0" borderId="23" xfId="4" applyFont="1" applyBorder="1" applyAlignment="1">
      <alignment horizontal="center"/>
    </xf>
    <xf numFmtId="170" fontId="42" fillId="0" borderId="3" xfId="4" applyNumberFormat="1" applyFont="1" applyBorder="1" applyAlignment="1">
      <alignment horizontal="center"/>
    </xf>
    <xf numFmtId="0" fontId="5" fillId="0" borderId="12" xfId="4" applyFont="1" applyBorder="1" applyAlignment="1">
      <alignment horizontal="center"/>
    </xf>
    <xf numFmtId="171" fontId="41" fillId="9" borderId="3" xfId="1" applyNumberFormat="1" applyFont="1" applyFill="1" applyBorder="1" applyAlignment="1">
      <alignment horizontal="center"/>
    </xf>
    <xf numFmtId="0" fontId="47" fillId="0" borderId="51" xfId="4" applyFont="1" applyBorder="1" applyAlignment="1">
      <alignment horizontal="center" vertical="center"/>
    </xf>
    <xf numFmtId="0" fontId="5" fillId="0" borderId="12" xfId="4" applyFont="1" applyBorder="1"/>
    <xf numFmtId="0" fontId="47" fillId="0" borderId="39" xfId="4" applyFont="1" applyBorder="1" applyAlignment="1">
      <alignment horizontal="center" vertical="center"/>
    </xf>
    <xf numFmtId="1" fontId="41" fillId="9" borderId="3" xfId="4" applyNumberFormat="1" applyFont="1" applyFill="1" applyBorder="1" applyAlignment="1">
      <alignment horizontal="center" wrapText="1"/>
    </xf>
    <xf numFmtId="0" fontId="48" fillId="0" borderId="6" xfId="0" quotePrefix="1" applyFont="1" applyBorder="1" applyAlignment="1">
      <alignment horizontal="center"/>
    </xf>
    <xf numFmtId="0" fontId="48" fillId="0" borderId="23" xfId="0" quotePrefix="1" applyFont="1" applyBorder="1" applyAlignment="1">
      <alignment horizontal="center"/>
    </xf>
    <xf numFmtId="0" fontId="49" fillId="0" borderId="3" xfId="0" quotePrefix="1" applyFont="1" applyBorder="1"/>
    <xf numFmtId="0" fontId="41" fillId="9" borderId="3" xfId="0" applyFont="1" applyFill="1" applyBorder="1" applyAlignment="1">
      <alignment horizontal="center" vertical="center"/>
    </xf>
    <xf numFmtId="1" fontId="39" fillId="9" borderId="3" xfId="0" applyNumberFormat="1" applyFont="1" applyFill="1" applyBorder="1" applyAlignment="1">
      <alignment horizontal="center"/>
    </xf>
    <xf numFmtId="1" fontId="39" fillId="9" borderId="3" xfId="0" applyNumberFormat="1" applyFont="1" applyFill="1" applyBorder="1" applyAlignment="1">
      <alignment horizontal="center" wrapText="1"/>
    </xf>
    <xf numFmtId="49" fontId="44" fillId="9" borderId="6" xfId="4" applyNumberFormat="1" applyFont="1" applyFill="1" applyBorder="1" applyAlignment="1">
      <alignment horizontal="center"/>
    </xf>
    <xf numFmtId="49" fontId="44" fillId="9" borderId="23" xfId="4" applyNumberFormat="1" applyFont="1" applyFill="1" applyBorder="1" applyAlignment="1">
      <alignment horizontal="center"/>
    </xf>
    <xf numFmtId="49" fontId="9" fillId="9" borderId="3" xfId="4" applyNumberFormat="1" applyFont="1" applyFill="1" applyBorder="1"/>
    <xf numFmtId="0" fontId="44" fillId="0" borderId="3" xfId="0" applyFont="1" applyBorder="1" applyAlignment="1">
      <alignment horizontal="center"/>
    </xf>
    <xf numFmtId="12" fontId="44" fillId="0" borderId="3" xfId="4" applyNumberFormat="1" applyFont="1" applyBorder="1" applyAlignment="1">
      <alignment horizontal="center"/>
    </xf>
    <xf numFmtId="49" fontId="9" fillId="0" borderId="3" xfId="4" applyNumberFormat="1" applyFont="1" applyBorder="1"/>
    <xf numFmtId="1" fontId="50" fillId="0" borderId="3" xfId="4" applyNumberFormat="1" applyFont="1" applyBorder="1" applyAlignment="1">
      <alignment horizontal="center"/>
    </xf>
    <xf numFmtId="0" fontId="50" fillId="0" borderId="3" xfId="4" applyFont="1" applyBorder="1" applyAlignment="1">
      <alignment horizontal="center"/>
    </xf>
    <xf numFmtId="49" fontId="51" fillId="2" borderId="7" xfId="4" applyNumberFormat="1" applyFont="1" applyFill="1" applyBorder="1" applyAlignment="1">
      <alignment horizontal="center" vertical="center"/>
    </xf>
    <xf numFmtId="49" fontId="51" fillId="2" borderId="0" xfId="4" applyNumberFormat="1" applyFont="1" applyFill="1" applyAlignment="1">
      <alignment horizontal="center" vertical="center"/>
    </xf>
    <xf numFmtId="0" fontId="39" fillId="2" borderId="0" xfId="4" applyFont="1" applyFill="1"/>
    <xf numFmtId="1" fontId="39" fillId="2" borderId="0" xfId="4" applyNumberFormat="1" applyFont="1" applyFill="1" applyAlignment="1">
      <alignment horizontal="center"/>
    </xf>
    <xf numFmtId="164" fontId="39" fillId="2" borderId="0" xfId="4" applyNumberFormat="1" applyFont="1" applyFill="1" applyAlignment="1">
      <alignment horizontal="center" wrapText="1"/>
    </xf>
    <xf numFmtId="0" fontId="39" fillId="2" borderId="8" xfId="4" applyFont="1" applyFill="1" applyBorder="1" applyAlignment="1">
      <alignment horizontal="center"/>
    </xf>
    <xf numFmtId="0" fontId="1" fillId="0" borderId="0" xfId="4"/>
    <xf numFmtId="0" fontId="39" fillId="2" borderId="0" xfId="4" applyFont="1" applyFill="1" applyAlignment="1">
      <alignment horizontal="left" indent="1"/>
    </xf>
    <xf numFmtId="0" fontId="39" fillId="3" borderId="9" xfId="4" applyFont="1" applyFill="1" applyBorder="1" applyAlignment="1">
      <alignment horizontal="center"/>
    </xf>
    <xf numFmtId="0" fontId="39" fillId="3" borderId="10" xfId="4" applyFont="1" applyFill="1" applyBorder="1" applyAlignment="1">
      <alignment horizontal="center"/>
    </xf>
    <xf numFmtId="0" fontId="39" fillId="3" borderId="10" xfId="4" applyFont="1" applyFill="1" applyBorder="1"/>
    <xf numFmtId="0" fontId="41" fillId="3" borderId="10" xfId="4" applyFont="1" applyFill="1" applyBorder="1" applyAlignment="1">
      <alignment horizontal="center"/>
    </xf>
    <xf numFmtId="1" fontId="41" fillId="3" borderId="10" xfId="4" applyNumberFormat="1" applyFont="1" applyFill="1" applyBorder="1" applyAlignment="1">
      <alignment horizontal="center"/>
    </xf>
    <xf numFmtId="164" fontId="39" fillId="3" borderId="10" xfId="4" applyNumberFormat="1" applyFont="1" applyFill="1" applyBorder="1" applyAlignment="1">
      <alignment horizontal="center" wrapText="1"/>
    </xf>
    <xf numFmtId="0" fontId="39" fillId="3" borderId="11" xfId="4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9" fontId="39" fillId="2" borderId="0" xfId="10" applyFont="1" applyFill="1"/>
    <xf numFmtId="0" fontId="39" fillId="0" borderId="52" xfId="4" applyFont="1" applyBorder="1" applyAlignment="1">
      <alignment horizontal="left"/>
    </xf>
    <xf numFmtId="0" fontId="39" fillId="0" borderId="53" xfId="4" applyFont="1" applyBorder="1" applyAlignment="1">
      <alignment horizontal="left"/>
    </xf>
    <xf numFmtId="0" fontId="39" fillId="0" borderId="42" xfId="4" applyFont="1" applyBorder="1" applyAlignment="1">
      <alignment horizontal="left"/>
    </xf>
    <xf numFmtId="0" fontId="41" fillId="11" borderId="54" xfId="5" applyFont="1" applyFill="1" applyBorder="1" applyAlignment="1">
      <alignment horizontal="center"/>
    </xf>
    <xf numFmtId="0" fontId="41" fillId="11" borderId="25" xfId="5" applyFont="1" applyFill="1" applyBorder="1" applyAlignment="1">
      <alignment horizontal="center"/>
    </xf>
    <xf numFmtId="0" fontId="39" fillId="2" borderId="55" xfId="5" applyFont="1" applyFill="1" applyBorder="1" applyAlignment="1">
      <alignment horizontal="left"/>
    </xf>
    <xf numFmtId="0" fontId="39" fillId="2" borderId="0" xfId="5" applyFont="1" applyFill="1" applyAlignment="1">
      <alignment horizontal="left"/>
    </xf>
    <xf numFmtId="0" fontId="6" fillId="0" borderId="37" xfId="4" applyFont="1" applyBorder="1" applyAlignment="1">
      <alignment horizontal="left" wrapText="1"/>
    </xf>
    <xf numFmtId="0" fontId="6" fillId="0" borderId="38" xfId="4" applyFont="1" applyBorder="1" applyAlignment="1">
      <alignment horizontal="left" wrapText="1"/>
    </xf>
    <xf numFmtId="0" fontId="6" fillId="0" borderId="32" xfId="4" applyFont="1" applyBorder="1" applyAlignment="1">
      <alignment horizontal="left" wrapText="1"/>
    </xf>
    <xf numFmtId="0" fontId="44" fillId="0" borderId="28" xfId="0" applyFont="1" applyBorder="1" applyAlignment="1">
      <alignment horizontal="left"/>
    </xf>
    <xf numFmtId="0" fontId="39" fillId="0" borderId="51" xfId="0" applyFont="1" applyBorder="1" applyAlignment="1">
      <alignment horizontal="left" wrapText="1"/>
    </xf>
    <xf numFmtId="0" fontId="39" fillId="0" borderId="39" xfId="0" applyFont="1" applyBorder="1" applyAlignment="1">
      <alignment horizontal="left" wrapText="1"/>
    </xf>
    <xf numFmtId="0" fontId="39" fillId="0" borderId="12" xfId="0" applyFont="1" applyBorder="1" applyAlignment="1">
      <alignment horizontal="left" wrapText="1"/>
    </xf>
    <xf numFmtId="0" fontId="39" fillId="0" borderId="14" xfId="0" applyFont="1" applyBorder="1" applyAlignment="1">
      <alignment horizontal="left" wrapText="1"/>
    </xf>
    <xf numFmtId="0" fontId="9" fillId="0" borderId="35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39" fillId="0" borderId="35" xfId="4" applyFont="1" applyBorder="1" applyAlignment="1">
      <alignment horizontal="left" wrapText="1"/>
    </xf>
    <xf numFmtId="0" fontId="39" fillId="0" borderId="28" xfId="4" applyFont="1" applyBorder="1" applyAlignment="1">
      <alignment horizontal="left" wrapText="1"/>
    </xf>
    <xf numFmtId="0" fontId="39" fillId="0" borderId="36" xfId="4" applyFont="1" applyBorder="1" applyAlignment="1">
      <alignment horizontal="left" wrapText="1"/>
    </xf>
    <xf numFmtId="0" fontId="41" fillId="0" borderId="35" xfId="4" applyFont="1" applyBorder="1" applyAlignment="1">
      <alignment horizontal="right"/>
    </xf>
    <xf numFmtId="0" fontId="41" fillId="0" borderId="28" xfId="4" applyFont="1" applyBorder="1" applyAlignment="1">
      <alignment horizontal="right"/>
    </xf>
    <xf numFmtId="0" fontId="41" fillId="0" borderId="23" xfId="4" applyFont="1" applyBorder="1" applyAlignment="1">
      <alignment horizontal="right"/>
    </xf>
    <xf numFmtId="0" fontId="39" fillId="0" borderId="3" xfId="4" applyFont="1" applyBorder="1" applyAlignment="1">
      <alignment horizontal="right"/>
    </xf>
    <xf numFmtId="164" fontId="39" fillId="0" borderId="27" xfId="4" applyNumberFormat="1" applyFont="1" applyBorder="1" applyAlignment="1">
      <alignment horizontal="center"/>
    </xf>
    <xf numFmtId="164" fontId="39" fillId="0" borderId="36" xfId="4" applyNumberFormat="1" applyFont="1" applyBorder="1" applyAlignment="1">
      <alignment horizontal="center"/>
    </xf>
    <xf numFmtId="164" fontId="39" fillId="0" borderId="27" xfId="4" applyNumberFormat="1" applyFont="1" applyBorder="1" applyAlignment="1">
      <alignment horizontal="right" wrapText="1"/>
    </xf>
    <xf numFmtId="164" fontId="39" fillId="0" borderId="23" xfId="4" applyNumberFormat="1" applyFont="1" applyBorder="1" applyAlignment="1">
      <alignment horizontal="right" wrapText="1"/>
    </xf>
    <xf numFmtId="0" fontId="41" fillId="0" borderId="34" xfId="4" applyFont="1" applyBorder="1" applyAlignment="1">
      <alignment horizontal="right"/>
    </xf>
    <xf numFmtId="0" fontId="41" fillId="0" borderId="40" xfId="4" applyFont="1" applyBorder="1" applyAlignment="1">
      <alignment horizontal="right"/>
    </xf>
    <xf numFmtId="0" fontId="41" fillId="0" borderId="5" xfId="4" applyFont="1" applyBorder="1" applyAlignment="1">
      <alignment horizontal="right"/>
    </xf>
    <xf numFmtId="0" fontId="39" fillId="0" borderId="5" xfId="4" applyFont="1" applyBorder="1" applyAlignment="1">
      <alignment horizontal="right"/>
    </xf>
    <xf numFmtId="164" fontId="39" fillId="0" borderId="41" xfId="4" applyNumberFormat="1" applyFont="1" applyBorder="1" applyAlignment="1">
      <alignment horizontal="center"/>
    </xf>
    <xf numFmtId="164" fontId="39" fillId="0" borderId="42" xfId="4" applyNumberFormat="1" applyFont="1" applyBorder="1" applyAlignment="1">
      <alignment horizontal="center"/>
    </xf>
    <xf numFmtId="0" fontId="41" fillId="3" borderId="9" xfId="4" applyFont="1" applyFill="1" applyBorder="1" applyAlignment="1">
      <alignment horizontal="left"/>
    </xf>
    <xf numFmtId="0" fontId="41" fillId="3" borderId="10" xfId="4" applyFont="1" applyFill="1" applyBorder="1" applyAlignment="1">
      <alignment horizontal="left"/>
    </xf>
    <xf numFmtId="0" fontId="41" fillId="3" borderId="11" xfId="4" applyFont="1" applyFill="1" applyBorder="1" applyAlignment="1">
      <alignment horizontal="left"/>
    </xf>
    <xf numFmtId="0" fontId="41" fillId="0" borderId="37" xfId="4" applyFont="1" applyBorder="1" applyAlignment="1">
      <alignment horizontal="right"/>
    </xf>
    <xf numFmtId="0" fontId="41" fillId="0" borderId="38" xfId="4" applyFont="1" applyBorder="1" applyAlignment="1">
      <alignment horizontal="right"/>
    </xf>
    <xf numFmtId="0" fontId="41" fillId="0" borderId="39" xfId="4" applyFont="1" applyBorder="1" applyAlignment="1">
      <alignment horizontal="right"/>
    </xf>
    <xf numFmtId="164" fontId="39" fillId="0" borderId="12" xfId="4" applyNumberFormat="1" applyFont="1" applyBorder="1" applyAlignment="1">
      <alignment horizontal="right"/>
    </xf>
    <xf numFmtId="0" fontId="39" fillId="2" borderId="13" xfId="4" applyFont="1" applyFill="1" applyBorder="1" applyAlignment="1">
      <alignment horizontal="center"/>
    </xf>
    <xf numFmtId="0" fontId="39" fillId="2" borderId="32" xfId="4" applyFont="1" applyFill="1" applyBorder="1" applyAlignment="1">
      <alignment horizontal="center"/>
    </xf>
    <xf numFmtId="0" fontId="4" fillId="2" borderId="0" xfId="6" applyFont="1" applyFill="1" applyAlignment="1">
      <alignment horizontal="right"/>
    </xf>
    <xf numFmtId="0" fontId="38" fillId="2" borderId="29" xfId="6" applyFont="1" applyFill="1" applyBorder="1" applyAlignment="1">
      <alignment horizontal="center"/>
    </xf>
    <xf numFmtId="0" fontId="4" fillId="2" borderId="0" xfId="6" applyFont="1" applyFill="1"/>
    <xf numFmtId="0" fontId="41" fillId="3" borderId="33" xfId="4" applyFont="1" applyFill="1" applyBorder="1" applyAlignment="1">
      <alignment horizontal="center" vertical="center"/>
    </xf>
    <xf numFmtId="0" fontId="41" fillId="3" borderId="34" xfId="4" applyFont="1" applyFill="1" applyBorder="1" applyAlignment="1">
      <alignment horizontal="center" vertical="center"/>
    </xf>
    <xf numFmtId="0" fontId="41" fillId="3" borderId="33" xfId="4" applyFont="1" applyFill="1" applyBorder="1" applyAlignment="1">
      <alignment horizontal="center" vertical="center" wrapText="1"/>
    </xf>
    <xf numFmtId="0" fontId="41" fillId="3" borderId="34" xfId="4" applyFont="1" applyFill="1" applyBorder="1" applyAlignment="1">
      <alignment horizontal="center" vertical="center" wrapText="1"/>
    </xf>
    <xf numFmtId="0" fontId="41" fillId="3" borderId="1" xfId="4" applyFont="1" applyFill="1" applyBorder="1" applyAlignment="1">
      <alignment horizontal="center" vertical="center"/>
    </xf>
    <xf numFmtId="0" fontId="41" fillId="3" borderId="5" xfId="4" applyFont="1" applyFill="1" applyBorder="1" applyAlignment="1">
      <alignment horizontal="center" vertical="center"/>
    </xf>
    <xf numFmtId="14" fontId="39" fillId="2" borderId="47" xfId="5" applyNumberFormat="1" applyFont="1" applyFill="1" applyBorder="1" applyAlignment="1">
      <alignment horizontal="center" vertical="center" wrapText="1"/>
    </xf>
    <xf numFmtId="14" fontId="39" fillId="2" borderId="49" xfId="5" applyNumberFormat="1" applyFont="1" applyFill="1" applyBorder="1" applyAlignment="1">
      <alignment horizontal="center" vertical="center" wrapText="1"/>
    </xf>
    <xf numFmtId="14" fontId="39" fillId="2" borderId="14" xfId="5" applyNumberFormat="1" applyFont="1" applyFill="1" applyBorder="1" applyAlignment="1">
      <alignment horizontal="center" vertical="center" wrapText="1"/>
    </xf>
    <xf numFmtId="0" fontId="39" fillId="2" borderId="43" xfId="5" applyFont="1" applyFill="1" applyBorder="1" applyAlignment="1">
      <alignment horizontal="left"/>
    </xf>
    <xf numFmtId="0" fontId="39" fillId="2" borderId="44" xfId="5" applyFont="1" applyFill="1" applyBorder="1" applyAlignment="1">
      <alignment horizontal="left"/>
    </xf>
    <xf numFmtId="0" fontId="39" fillId="2" borderId="48" xfId="5" applyFont="1" applyFill="1" applyBorder="1" applyAlignment="1">
      <alignment horizontal="left"/>
    </xf>
    <xf numFmtId="0" fontId="39" fillId="2" borderId="27" xfId="5" applyFont="1" applyFill="1" applyBorder="1" applyAlignment="1">
      <alignment horizontal="left"/>
    </xf>
    <xf numFmtId="0" fontId="39" fillId="2" borderId="28" xfId="5" applyFont="1" applyFill="1" applyBorder="1" applyAlignment="1">
      <alignment horizontal="left"/>
    </xf>
    <xf numFmtId="0" fontId="39" fillId="2" borderId="23" xfId="5" applyFont="1" applyFill="1" applyBorder="1" applyAlignment="1">
      <alignment horizontal="left"/>
    </xf>
    <xf numFmtId="0" fontId="39" fillId="2" borderId="24" xfId="5" applyFont="1" applyFill="1" applyBorder="1" applyAlignment="1">
      <alignment horizontal="center"/>
    </xf>
    <xf numFmtId="0" fontId="39" fillId="2" borderId="25" xfId="5" applyFont="1" applyFill="1" applyBorder="1" applyAlignment="1">
      <alignment horizontal="center"/>
    </xf>
    <xf numFmtId="0" fontId="39" fillId="2" borderId="7" xfId="5" applyFont="1" applyFill="1" applyBorder="1" applyAlignment="1">
      <alignment horizontal="center"/>
    </xf>
    <xf numFmtId="0" fontId="39" fillId="2" borderId="0" xfId="5" applyFont="1" applyFill="1" applyAlignment="1">
      <alignment horizontal="center"/>
    </xf>
    <xf numFmtId="0" fontId="39" fillId="2" borderId="37" xfId="5" applyFont="1" applyFill="1" applyBorder="1" applyAlignment="1">
      <alignment horizontal="center"/>
    </xf>
    <xf numFmtId="0" fontId="39" fillId="2" borderId="38" xfId="5" applyFont="1" applyFill="1" applyBorder="1" applyAlignment="1">
      <alignment horizontal="center"/>
    </xf>
    <xf numFmtId="0" fontId="40" fillId="2" borderId="1" xfId="5" applyFont="1" applyFill="1" applyBorder="1" applyAlignment="1">
      <alignment horizontal="center"/>
    </xf>
    <xf numFmtId="0" fontId="40" fillId="2" borderId="45" xfId="5" applyFont="1" applyFill="1" applyBorder="1" applyAlignment="1">
      <alignment horizontal="center"/>
    </xf>
    <xf numFmtId="0" fontId="7" fillId="5" borderId="27" xfId="6" applyFont="1" applyFill="1" applyBorder="1" applyAlignment="1">
      <alignment horizontal="center" vertical="center" wrapText="1"/>
    </xf>
    <xf numFmtId="0" fontId="7" fillId="5" borderId="28" xfId="6" applyFont="1" applyFill="1" applyBorder="1" applyAlignment="1">
      <alignment horizontal="center" vertical="center" wrapText="1"/>
    </xf>
    <xf numFmtId="0" fontId="7" fillId="5" borderId="23" xfId="6" applyFont="1" applyFill="1" applyBorder="1" applyAlignment="1">
      <alignment horizontal="center" vertical="center" wrapText="1"/>
    </xf>
    <xf numFmtId="0" fontId="41" fillId="2" borderId="46" xfId="5" applyFont="1" applyFill="1" applyBorder="1" applyAlignment="1">
      <alignment horizontal="right" vertical="top" wrapText="1"/>
    </xf>
    <xf numFmtId="0" fontId="41" fillId="2" borderId="30" xfId="5" applyFont="1" applyFill="1" applyBorder="1" applyAlignment="1">
      <alignment horizontal="right" vertical="top" wrapText="1"/>
    </xf>
    <xf numFmtId="0" fontId="41" fillId="2" borderId="31" xfId="5" applyFont="1" applyFill="1" applyBorder="1" applyAlignment="1">
      <alignment horizontal="right" vertical="top" wrapText="1"/>
    </xf>
    <xf numFmtId="0" fontId="13" fillId="0" borderId="2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9" fillId="0" borderId="24" xfId="0" applyFont="1" applyBorder="1" applyAlignment="1">
      <alignment horizontal="right"/>
    </xf>
    <xf numFmtId="0" fontId="19" fillId="0" borderId="25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9" fillId="0" borderId="3" xfId="0" applyFont="1" applyBorder="1" applyAlignment="1">
      <alignment horizontal="right" vertical="center"/>
    </xf>
    <xf numFmtId="0" fontId="26" fillId="0" borderId="3" xfId="0" applyFont="1" applyBorder="1" applyAlignment="1">
      <alignment horizontal="right" vertical="center"/>
    </xf>
    <xf numFmtId="0" fontId="27" fillId="0" borderId="7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8" xfId="0" applyFont="1" applyBorder="1" applyAlignment="1">
      <alignment horizontal="right"/>
    </xf>
    <xf numFmtId="0" fontId="25" fillId="0" borderId="29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3" fillId="4" borderId="9" xfId="0" applyFont="1" applyFill="1" applyBorder="1" applyAlignment="1">
      <alignment horizontal="right"/>
    </xf>
    <xf numFmtId="0" fontId="23" fillId="4" borderId="10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35" fillId="0" borderId="0" xfId="0" applyFont="1" applyAlignment="1">
      <alignment horizontal="right"/>
    </xf>
    <xf numFmtId="0" fontId="10" fillId="0" borderId="29" xfId="0" applyFont="1" applyBorder="1" applyAlignment="1">
      <alignment horizontal="right" vertical="center"/>
    </xf>
    <xf numFmtId="0" fontId="10" fillId="0" borderId="26" xfId="0" applyFont="1" applyBorder="1" applyAlignment="1">
      <alignment horizontal="right" vertical="center"/>
    </xf>
    <xf numFmtId="0" fontId="10" fillId="8" borderId="9" xfId="0" applyFont="1" applyFill="1" applyBorder="1" applyAlignment="1">
      <alignment horizontal="right" vertical="center"/>
    </xf>
    <xf numFmtId="0" fontId="10" fillId="8" borderId="10" xfId="0" applyFont="1" applyFill="1" applyBorder="1" applyAlignment="1">
      <alignment horizontal="right" vertical="center"/>
    </xf>
    <xf numFmtId="0" fontId="10" fillId="8" borderId="11" xfId="0" applyFont="1" applyFill="1" applyBorder="1" applyAlignment="1">
      <alignment horizontal="right" vertical="center"/>
    </xf>
    <xf numFmtId="4" fontId="32" fillId="0" borderId="0" xfId="2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4" fillId="0" borderId="9" xfId="0" applyFont="1" applyBorder="1" applyAlignment="1">
      <alignment horizontal="right" vertical="center"/>
    </xf>
    <xf numFmtId="0" fontId="34" fillId="0" borderId="10" xfId="0" applyFont="1" applyBorder="1" applyAlignment="1">
      <alignment horizontal="right" vertical="center"/>
    </xf>
    <xf numFmtId="0" fontId="34" fillId="0" borderId="11" xfId="0" applyFont="1" applyBorder="1" applyAlignment="1">
      <alignment horizontal="right" vertical="center"/>
    </xf>
  </cellXfs>
  <cellStyles count="11">
    <cellStyle name="Millares" xfId="1" builtinId="3"/>
    <cellStyle name="Millares [0]" xfId="2" builtinId="6"/>
    <cellStyle name="Millares [0] 2" xfId="3" xr:uid="{FEC7A4D7-7800-4DD7-A36E-F0F0542BF87E}"/>
    <cellStyle name="Normal" xfId="0" builtinId="0"/>
    <cellStyle name="Normal 2" xfId="4" xr:uid="{95900531-A816-469E-A2BF-82BCB40AD3E1}"/>
    <cellStyle name="Normal 3 2" xfId="9" xr:uid="{10183038-BD05-4381-9061-E1BE9C83725B}"/>
    <cellStyle name="Normal_CRITERIOS DE EVALUACION PT DE GB" xfId="5" xr:uid="{1D8D0ACF-54C2-4FC6-9560-A0E0513C5D41}"/>
    <cellStyle name="Normal_CRITERIOS DE EVALUACION PT DE GB 2" xfId="6" xr:uid="{11A1F825-E5EA-4360-B534-CF7D441C9BAB}"/>
    <cellStyle name="Porcentaje" xfId="7" builtinId="5"/>
    <cellStyle name="Porcentaje 2" xfId="8" xr:uid="{23684BC7-1A34-4FA6-ADC4-355E6C262B37}"/>
    <cellStyle name="Porcentaje 2 2" xfId="10" xr:uid="{FEDC78FA-8E37-4188-996A-DE93F35F8B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%20datos%20costos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Industria/Planta/Planta%20Subrecetas/Pollos/95634%20-%20ADOBO%20PECHUGA%20PARRILLA%20-%20PILO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B317" t="str">
            <v>RELLENO CHOCOMENTA</v>
          </cell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B318" t="str">
            <v>MEZCLA DULCE LECHE CON AGUA</v>
          </cell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B319" t="str">
            <v>SUSPIRO QUEBRADO 7650 g</v>
          </cell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B320" t="str">
            <v>SALSA NARANJA (TANDA= 500 g)</v>
          </cell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B321" t="str">
            <v>ROSQUETE CHOCOLATE BUCCA 800G</v>
          </cell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B322" t="str">
            <v>PREMEZCLA VAINILLA RICH 170G</v>
          </cell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B323" t="str">
            <v>Batido Vainilla Rich FAS 24000g</v>
          </cell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B324" t="str">
            <v>ROSQUETE VAINILLA RICH 900G</v>
          </cell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B325" t="str">
            <v xml:space="preserve">PREMEZCLA P/BATIDO CHOCO PASTELERO </v>
          </cell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B326" t="str">
            <v>BATIDO CHOCOLATE PASTELERO REAL 32400G</v>
          </cell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B327" t="str">
            <v>PLANCHA CHOCOLATE PASTELERO REAL 1300g</v>
          </cell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B328" t="str">
            <v>ROSQUETE MELOCOTON MED 300G</v>
          </cell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B329" t="str">
            <v>PREMEZCLA TORTA DE TRES LECHES RP 4527G</v>
          </cell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B330" t="str">
            <v>BATIDO TORTA DE TRES LECHES RP 9600G</v>
          </cell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B331" t="str">
            <v>ROSQUETE GUSTITO 4 LECHES 90g</v>
          </cell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B332" t="str">
            <v>PREMEZCLA TORTA QQ CRISTAL (8176g)</v>
          </cell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B333" t="str">
            <v>BATIDO CHOCOLATE 27500g</v>
          </cell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B334" t="str">
            <v>ROSQUETE DE CHOCOLATE 1100g</v>
          </cell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B335" t="str">
            <v>BORONA CHOCOLATE ROSTI POLLOS 3900G</v>
          </cell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B336" t="str">
            <v>BATIDO QUEQUE ARCOIRIS 33930</v>
          </cell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B337" t="str">
            <v>JAMON PAVO REBANADO 2870G</v>
          </cell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B338" t="str">
            <v>ROSQUETE TORTA DE TRES LECHES RP (960 gr)</v>
          </cell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B339" t="str">
            <v>MEZCLA DE TRES LECHES RP</v>
          </cell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B340" t="str">
            <v>MERENGUE PARA TRES LECHES RP</v>
          </cell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B341" t="str">
            <v xml:space="preserve">BASE PREMEZCLA P/BATIDO VAINILLA PASTELERO </v>
          </cell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B342" t="str">
            <v>Ensamble media torta chocolate</v>
          </cell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B343" t="str">
            <v>Ensamble media torta melocoton</v>
          </cell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B344" t="str">
            <v>BASE Premezcla Batidos para Rosquete Super esponja</v>
          </cell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B345" t="str">
            <v>BATIDO Super Esponja (40120g</v>
          </cell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B346" t="str">
            <v>Rosquete Super Esponja 380g</v>
          </cell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B347" t="str">
            <v>BATIDO P/ARROLLADO DULCE LECHE 3600G</v>
          </cell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B348" t="str">
            <v>RUEDA HOJALDRE EMPANADA DE POLLO PEQUEÑA</v>
          </cell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B349" t="str">
            <v>Crema de Garbanzos 10000G</v>
          </cell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B350" t="str">
            <v>Premezcla Pasta Piña(5262g) Spoon</v>
          </cell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B351" t="str">
            <v>Pasta para empanada de piña</v>
          </cell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B352" t="str">
            <v>ROSQUETE ARROLLADO 1000G</v>
          </cell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B353" t="str">
            <v>SALSA POMODORO 15000</v>
          </cell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B354" t="str">
            <v>CALDO POLLO C/CARCASA 47000</v>
          </cell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B355" t="str">
            <v>ALMIDON MODIFICADO (BOLSA:5000g)</v>
          </cell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B356" t="str">
            <v>SALSA CULANTRO 2000G</v>
          </cell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B357" t="str">
            <v>RELLENO LOMO SALTEADO 3150G</v>
          </cell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B358" t="str">
            <v>SALSA DE AJI 1400G</v>
          </cell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B359" t="str">
            <v>MEZCLA GALLO PINTO BUCCA 4000G</v>
          </cell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B360" t="str">
            <v>COCCION POLLO DIABLA TIA FLORITA 9600G</v>
          </cell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B361" t="str">
            <v>SALSA DIABLA TIA FLORITA 10025G</v>
          </cell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B362" t="str">
            <v>COCCION SALSA BOLOGNESA TIA FLORITA 8495</v>
          </cell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B363" t="str">
            <v>COCCION CARNE STROGANOFF TIA FLORITA 7000G</v>
          </cell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B364" t="str">
            <v>SALSA STROGANOFF TIA FLORITA 5400G</v>
          </cell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B365" t="str">
            <v>ESTOFADO RES TIA FLORITA</v>
          </cell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B366" t="str">
            <v>RELLENO ESPINACA-POLLO 9200G</v>
          </cell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B367" t="str">
            <v>BATIDO MELOCOTON FROM SCRATCH 21600</v>
          </cell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B368" t="str">
            <v>ROSQUETE MELOCOTON PERSONAL 180G</v>
          </cell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B369" t="str">
            <v>RELLENO LIMON PLANTA 2000G</v>
          </cell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B370" t="str">
            <v>AZUCAR BLANCO INDUSTRIAL</v>
          </cell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B371" t="str">
            <v>TOPPING MELOCOTON PLANTA 10000G</v>
          </cell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B372" t="str">
            <v>EMPAQUE TOPPING MELOCOTON PLANTA 2000G</v>
          </cell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B373" t="str">
            <v>TOPPING MELOCOON C/TOPPING 8000G PLANTA</v>
          </cell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B374" t="str">
            <v>SALSA TOMATE NUEVAPLANTA 5950G</v>
          </cell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B375" t="str">
            <v>STRIPS RP 15850G</v>
          </cell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B376" t="str">
            <v>PATACONES RP UND</v>
          </cell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B377" t="str">
            <v>REPOLLO RALLADO ROTIPOLLOS 14500G</v>
          </cell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B378" t="str">
            <v>ZANAHORIA RALLADA ROSTIPOLLOS 3700G</v>
          </cell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B379" t="str">
            <v>CHILE RALLADO RP 2400G</v>
          </cell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B380" t="str">
            <v>BATIDO DE VAINILLA RP 27500G</v>
          </cell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B381" t="str">
            <v>ROSQUETE DE VAINILLA RP (1100G)</v>
          </cell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B382" t="str">
            <v>ENSAMBLE TORTA VAINILLA RP</v>
          </cell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B383" t="str">
            <v>RELLENO MELOCOTON BUCCA  16000G</v>
          </cell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B384" t="str">
            <v>EMPAQUE RELLENO MELOCOTON BUCCA 4000G</v>
          </cell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B385" t="str">
            <v>ROSQUETE SUPER ESPONJA 250G</v>
          </cell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B386" t="str">
            <v>MEZCLA FLAN COCO SPOON 14000G</v>
          </cell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B387" t="str">
            <v>SOMBRERO PALMITO FROLA 65G</v>
          </cell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B388" t="str">
            <v>CUADRO HOJALDRE ENCHILADA PAPA</v>
          </cell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B389" t="str">
            <v>ENCHILADA PAPA Y CARNE</v>
          </cell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B390" t="str">
            <v>RELLENO PAPA CON CARNE ENCHILADA</v>
          </cell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B391" t="str">
            <v>CIRCULO HOJALDRE 6 CM</v>
          </cell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B392" t="str">
            <v>ARREGLADO MINI</v>
          </cell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B393" t="str">
            <v>BATIDO BROWNIE BLONDIE</v>
          </cell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B394" t="str">
            <v>PLANCHA BROWNIE BLONDIE</v>
          </cell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B395" t="str">
            <v>MEZCLA TRES LECHES CON DULCE LECHE</v>
          </cell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B396" t="str">
            <v>Crema Chantilly Fucsia</v>
          </cell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B397" t="str">
            <v>PASTEL PALMITO PEQ</v>
          </cell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B398" t="str">
            <v>RELLENO PASTEL ALMENDRAS 7500G</v>
          </cell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B399" t="str">
            <v>PIE ALMENDRAS Y PECANAS PERSONAL</v>
          </cell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B400" t="str">
            <v>RUEDA PASTA FROLA EMPANA POLLO Y CEBOLLA</v>
          </cell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B401" t="str">
            <v>RELLENO POLLO Y CEBOLLA 400G</v>
          </cell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B402" t="str">
            <v>EMPANADA POLLO Y CEBOLLA 72G</v>
          </cell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B403" t="str">
            <v>EMPANADA PIÑA Y COCO 85G</v>
          </cell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B404" t="str">
            <v>ADEREZO CULANTRO 2400G</v>
          </cell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B405" t="str">
            <v>ROSQUETE ZANAHORIA RECT (900g)</v>
          </cell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ADOBO (2)"/>
      <sheetName val="REC ADOBO"/>
      <sheetName val="COSTEO ADOBO"/>
    </sheetNames>
    <sheetDataSet>
      <sheetData sheetId="0"/>
      <sheetData sheetId="1"/>
      <sheetData sheetId="2">
        <row r="47">
          <cell r="H47">
            <v>696.41615371794853</v>
          </cell>
        </row>
        <row r="48">
          <cell r="H48">
            <v>4.6495161858974354</v>
          </cell>
        </row>
        <row r="50">
          <cell r="H50">
            <v>5.384615384615385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A643-936C-4C19-8DBB-61576F4637FE}">
  <dimension ref="A1:M41"/>
  <sheetViews>
    <sheetView tabSelected="1" view="pageBreakPreview" zoomScale="60" zoomScaleNormal="70" workbookViewId="0">
      <selection activeCell="D19" sqref="D19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18.6640625" bestFit="1" customWidth="1"/>
  </cols>
  <sheetData>
    <row r="1" spans="1:9" ht="15" x14ac:dyDescent="0.25">
      <c r="A1" s="241"/>
      <c r="B1" s="242"/>
      <c r="C1" s="247" t="s">
        <v>22</v>
      </c>
      <c r="D1" s="247"/>
      <c r="E1" s="247"/>
      <c r="F1" s="247"/>
      <c r="G1" s="247"/>
      <c r="H1" s="101" t="s">
        <v>21</v>
      </c>
      <c r="I1" s="1" t="s">
        <v>107</v>
      </c>
    </row>
    <row r="2" spans="1:9" ht="15" x14ac:dyDescent="0.25">
      <c r="A2" s="243"/>
      <c r="B2" s="244"/>
      <c r="C2" s="248" t="s">
        <v>0</v>
      </c>
      <c r="D2" s="248"/>
      <c r="E2" s="248"/>
      <c r="F2" s="248"/>
      <c r="G2" s="248"/>
      <c r="H2" s="102" t="s">
        <v>20</v>
      </c>
      <c r="I2" s="103" t="s">
        <v>113</v>
      </c>
    </row>
    <row r="3" spans="1:9" ht="15.9" customHeight="1" thickBot="1" x14ac:dyDescent="0.3">
      <c r="A3" s="243"/>
      <c r="B3" s="244"/>
      <c r="C3" s="249" t="s">
        <v>114</v>
      </c>
      <c r="D3" s="250"/>
      <c r="E3" s="250"/>
      <c r="F3" s="250"/>
      <c r="G3" s="251"/>
      <c r="H3" s="252" t="s">
        <v>19</v>
      </c>
      <c r="I3" s="232">
        <v>45610</v>
      </c>
    </row>
    <row r="4" spans="1:9" ht="18" customHeight="1" x14ac:dyDescent="0.25">
      <c r="A4" s="243"/>
      <c r="B4" s="244"/>
      <c r="C4" s="104" t="s">
        <v>18</v>
      </c>
      <c r="D4" s="235" t="s">
        <v>98</v>
      </c>
      <c r="E4" s="236"/>
      <c r="F4" s="236"/>
      <c r="G4" s="237"/>
      <c r="H4" s="253"/>
      <c r="I4" s="233"/>
    </row>
    <row r="5" spans="1:9" ht="13.8" thickBot="1" x14ac:dyDescent="0.3">
      <c r="A5" s="245"/>
      <c r="B5" s="246"/>
      <c r="C5" s="105" t="s">
        <v>17</v>
      </c>
      <c r="D5" s="238" t="s">
        <v>91</v>
      </c>
      <c r="E5" s="239"/>
      <c r="F5" s="239"/>
      <c r="G5" s="240"/>
      <c r="H5" s="254"/>
      <c r="I5" s="234"/>
    </row>
    <row r="6" spans="1:9" ht="18" thickBot="1" x14ac:dyDescent="0.35">
      <c r="A6" s="223" t="s">
        <v>23</v>
      </c>
      <c r="B6" s="223"/>
      <c r="C6" s="223"/>
      <c r="D6" s="224" t="s">
        <v>106</v>
      </c>
      <c r="E6" s="224"/>
      <c r="F6" s="224"/>
      <c r="G6" s="225" t="s">
        <v>24</v>
      </c>
      <c r="H6" s="225"/>
      <c r="I6" s="106" t="s">
        <v>32</v>
      </c>
    </row>
    <row r="7" spans="1:9" x14ac:dyDescent="0.25">
      <c r="A7" s="226" t="s">
        <v>1</v>
      </c>
      <c r="B7" s="228" t="s">
        <v>99</v>
      </c>
      <c r="C7" s="230" t="s">
        <v>2</v>
      </c>
      <c r="D7" s="230" t="s">
        <v>3</v>
      </c>
      <c r="E7" s="230" t="s">
        <v>4</v>
      </c>
      <c r="F7" s="230"/>
      <c r="G7" s="230" t="s">
        <v>16</v>
      </c>
      <c r="H7" s="230"/>
      <c r="I7" s="107" t="s">
        <v>5</v>
      </c>
    </row>
    <row r="8" spans="1:9" ht="26.4" thickBot="1" x14ac:dyDescent="0.3">
      <c r="A8" s="227"/>
      <c r="B8" s="229"/>
      <c r="C8" s="231"/>
      <c r="D8" s="231"/>
      <c r="E8" s="108" t="s">
        <v>6</v>
      </c>
      <c r="F8" s="109" t="s">
        <v>7</v>
      </c>
      <c r="G8" s="108" t="s">
        <v>6</v>
      </c>
      <c r="H8" s="109" t="s">
        <v>7</v>
      </c>
      <c r="I8" s="110" t="s">
        <v>8</v>
      </c>
    </row>
    <row r="9" spans="1:9" ht="13.8" x14ac:dyDescent="0.25">
      <c r="A9" s="111"/>
      <c r="B9" s="112"/>
      <c r="C9" s="113" t="s">
        <v>100</v>
      </c>
      <c r="D9" s="114"/>
      <c r="E9" s="115"/>
      <c r="F9" s="116"/>
      <c r="G9" s="115"/>
      <c r="H9" s="116"/>
      <c r="I9" s="117"/>
    </row>
    <row r="10" spans="1:9" ht="13.8" x14ac:dyDescent="0.25">
      <c r="A10" s="118" t="s">
        <v>96</v>
      </c>
      <c r="B10" s="119" t="s">
        <v>97</v>
      </c>
      <c r="C10" s="120" t="s">
        <v>25</v>
      </c>
      <c r="D10" s="121" t="s">
        <v>89</v>
      </c>
      <c r="E10" s="122">
        <v>150</v>
      </c>
      <c r="F10" s="123" t="s">
        <v>30</v>
      </c>
      <c r="G10" s="124"/>
      <c r="H10" s="125"/>
      <c r="I10" s="117"/>
    </row>
    <row r="11" spans="1:9" ht="13.8" x14ac:dyDescent="0.25">
      <c r="A11" s="126"/>
      <c r="B11" s="126"/>
      <c r="C11" s="127"/>
      <c r="D11" s="128"/>
      <c r="E11" s="129"/>
      <c r="F11" s="130"/>
      <c r="G11" s="131"/>
      <c r="H11" s="125"/>
      <c r="I11" s="117"/>
    </row>
    <row r="12" spans="1:9" ht="15.6" x14ac:dyDescent="0.25">
      <c r="A12" s="137"/>
      <c r="B12" s="138"/>
      <c r="C12" s="139" t="s">
        <v>32</v>
      </c>
      <c r="D12" s="140"/>
      <c r="E12" s="141"/>
      <c r="F12" s="116"/>
      <c r="G12" s="115"/>
      <c r="I12" s="117"/>
    </row>
    <row r="13" spans="1:9" ht="13.8" x14ac:dyDescent="0.25">
      <c r="A13" s="118"/>
      <c r="B13" t="s">
        <v>108</v>
      </c>
      <c r="C13" t="s">
        <v>109</v>
      </c>
      <c r="D13" s="142"/>
      <c r="E13" s="142">
        <v>1</v>
      </c>
      <c r="F13" s="142" t="s">
        <v>26</v>
      </c>
      <c r="G13" s="143"/>
      <c r="H13" s="116"/>
      <c r="I13" s="117"/>
    </row>
    <row r="14" spans="1:9" ht="13.8" x14ac:dyDescent="0.25">
      <c r="A14" s="144">
        <v>702069</v>
      </c>
      <c r="B14" t="s">
        <v>92</v>
      </c>
      <c r="C14" s="145" t="s">
        <v>90</v>
      </c>
      <c r="D14" s="142"/>
      <c r="E14" s="142">
        <v>1</v>
      </c>
      <c r="F14" s="142" t="s">
        <v>26</v>
      </c>
      <c r="G14" s="143"/>
      <c r="H14" s="116"/>
      <c r="I14" s="117"/>
    </row>
    <row r="15" spans="1:9" ht="13.8" x14ac:dyDescent="0.25">
      <c r="A15" s="144">
        <v>702007</v>
      </c>
      <c r="B15" t="s">
        <v>93</v>
      </c>
      <c r="C15" s="145" t="s">
        <v>28</v>
      </c>
      <c r="D15" s="142"/>
      <c r="E15" s="122">
        <v>1</v>
      </c>
      <c r="F15" s="123" t="s">
        <v>26</v>
      </c>
      <c r="G15" s="143"/>
      <c r="H15" s="116"/>
      <c r="I15" s="117"/>
    </row>
    <row r="16" spans="1:9" ht="13.8" x14ac:dyDescent="0.25">
      <c r="A16" s="144">
        <v>701096</v>
      </c>
      <c r="B16" s="146" t="s">
        <v>94</v>
      </c>
      <c r="C16" s="145" t="s">
        <v>29</v>
      </c>
      <c r="D16" s="142"/>
      <c r="E16" s="122">
        <v>1</v>
      </c>
      <c r="F16" s="123" t="s">
        <v>26</v>
      </c>
      <c r="G16" s="115"/>
      <c r="H16" s="147"/>
      <c r="I16" s="117"/>
    </row>
    <row r="17" spans="1:13" ht="13.8" x14ac:dyDescent="0.25">
      <c r="A17" s="148"/>
      <c r="B17" s="149"/>
      <c r="C17" s="150"/>
      <c r="D17" s="151"/>
      <c r="E17" s="152"/>
      <c r="F17" s="153"/>
      <c r="G17" s="115"/>
      <c r="H17" s="116"/>
      <c r="I17" s="117"/>
    </row>
    <row r="18" spans="1:13" ht="13.8" x14ac:dyDescent="0.25">
      <c r="A18" s="154"/>
      <c r="B18" s="155"/>
      <c r="C18" s="156"/>
      <c r="D18" s="157"/>
      <c r="E18" s="132"/>
      <c r="F18" s="133"/>
      <c r="G18" s="158"/>
      <c r="H18" s="136"/>
      <c r="I18" s="117"/>
    </row>
    <row r="19" spans="1:13" ht="13.8" x14ac:dyDescent="0.25">
      <c r="A19" s="134"/>
      <c r="B19" s="135"/>
      <c r="C19" s="159"/>
      <c r="D19" s="157"/>
      <c r="E19" s="132"/>
      <c r="F19" s="133"/>
      <c r="G19" s="132"/>
      <c r="H19" s="136"/>
      <c r="I19" s="117"/>
    </row>
    <row r="20" spans="1:13" ht="15.6" x14ac:dyDescent="0.3">
      <c r="A20" s="134"/>
      <c r="B20" s="135"/>
      <c r="C20" s="159"/>
      <c r="D20" s="157"/>
      <c r="E20" s="132"/>
      <c r="F20" s="133"/>
      <c r="G20" s="160"/>
      <c r="H20" s="133"/>
      <c r="I20" s="117"/>
    </row>
    <row r="21" spans="1:13" ht="15.6" x14ac:dyDescent="0.3">
      <c r="A21" s="134"/>
      <c r="B21" s="135"/>
      <c r="C21" s="159"/>
      <c r="D21" s="136"/>
      <c r="E21" s="136"/>
      <c r="F21" s="133"/>
      <c r="G21" s="161"/>
      <c r="H21" s="161"/>
      <c r="I21" s="117"/>
    </row>
    <row r="22" spans="1:13" ht="13.8" thickBot="1" x14ac:dyDescent="0.3">
      <c r="A22" s="162"/>
      <c r="B22" s="163"/>
      <c r="C22" s="164"/>
      <c r="D22" s="164"/>
      <c r="E22" s="165"/>
      <c r="F22" s="166"/>
      <c r="G22" s="164"/>
      <c r="H22" s="164"/>
      <c r="I22" s="167"/>
      <c r="J22" s="168"/>
      <c r="K22" s="168"/>
      <c r="L22" s="169"/>
      <c r="M22" s="168"/>
    </row>
    <row r="23" spans="1:13" ht="13.8" thickBot="1" x14ac:dyDescent="0.3">
      <c r="A23" s="170"/>
      <c r="B23" s="171"/>
      <c r="C23" s="172"/>
      <c r="D23" s="173" t="s">
        <v>6</v>
      </c>
      <c r="E23" s="174" t="s">
        <v>15</v>
      </c>
      <c r="F23" s="175"/>
      <c r="G23" s="172"/>
      <c r="H23" s="172"/>
      <c r="I23" s="176"/>
      <c r="J23" s="168"/>
      <c r="K23" s="168"/>
      <c r="L23" s="169"/>
      <c r="M23" s="168"/>
    </row>
    <row r="24" spans="1:13" x14ac:dyDescent="0.25">
      <c r="A24" s="217" t="s">
        <v>10</v>
      </c>
      <c r="B24" s="218"/>
      <c r="C24" s="219"/>
      <c r="D24" s="4">
        <v>150</v>
      </c>
      <c r="E24" s="5" t="s">
        <v>30</v>
      </c>
      <c r="F24" s="220" t="s">
        <v>101</v>
      </c>
      <c r="G24" s="220"/>
      <c r="H24" s="221"/>
      <c r="I24" s="222"/>
      <c r="J24" s="168"/>
      <c r="K24" s="168"/>
      <c r="L24" s="169"/>
      <c r="M24" s="168"/>
    </row>
    <row r="25" spans="1:13" x14ac:dyDescent="0.25">
      <c r="A25" s="200" t="s">
        <v>9</v>
      </c>
      <c r="B25" s="201"/>
      <c r="C25" s="202"/>
      <c r="D25" s="177" t="s">
        <v>110</v>
      </c>
      <c r="E25" s="3" t="s">
        <v>31</v>
      </c>
      <c r="F25" s="203" t="s">
        <v>102</v>
      </c>
      <c r="G25" s="203"/>
      <c r="H25" s="204"/>
      <c r="I25" s="205"/>
      <c r="J25" s="168"/>
      <c r="K25" s="168"/>
      <c r="L25" s="169"/>
      <c r="M25" s="168"/>
    </row>
    <row r="26" spans="1:13" x14ac:dyDescent="0.25">
      <c r="A26" s="200" t="s">
        <v>14</v>
      </c>
      <c r="B26" s="201"/>
      <c r="C26" s="202"/>
      <c r="D26" s="3">
        <v>1</v>
      </c>
      <c r="E26" s="3" t="s">
        <v>26</v>
      </c>
      <c r="F26" s="203" t="s">
        <v>103</v>
      </c>
      <c r="G26" s="203"/>
      <c r="H26" s="204"/>
      <c r="I26" s="205"/>
      <c r="J26" s="168"/>
      <c r="K26" s="168"/>
      <c r="L26" s="169"/>
      <c r="M26" s="168"/>
    </row>
    <row r="27" spans="1:13" x14ac:dyDescent="0.25">
      <c r="A27" s="200" t="s">
        <v>13</v>
      </c>
      <c r="B27" s="201"/>
      <c r="C27" s="202"/>
      <c r="D27" s="2">
        <v>150</v>
      </c>
      <c r="E27" s="3" t="s">
        <v>30</v>
      </c>
      <c r="F27" s="206" t="s">
        <v>104</v>
      </c>
      <c r="G27" s="207"/>
      <c r="H27" s="204"/>
      <c r="I27" s="205"/>
      <c r="J27" s="168"/>
      <c r="K27" s="168"/>
      <c r="L27" s="169"/>
      <c r="M27" s="178"/>
    </row>
    <row r="28" spans="1:13" ht="13.8" thickBot="1" x14ac:dyDescent="0.3">
      <c r="A28" s="208" t="s">
        <v>12</v>
      </c>
      <c r="B28" s="209"/>
      <c r="C28" s="210"/>
      <c r="D28" s="6">
        <v>0</v>
      </c>
      <c r="E28" s="7" t="s">
        <v>30</v>
      </c>
      <c r="F28" s="211"/>
      <c r="G28" s="211"/>
      <c r="H28" s="212"/>
      <c r="I28" s="213"/>
      <c r="J28" s="164"/>
      <c r="K28" s="164"/>
      <c r="L28" s="169"/>
      <c r="M28" s="164"/>
    </row>
    <row r="29" spans="1:13" ht="13.8" thickBot="1" x14ac:dyDescent="0.3">
      <c r="A29" s="214" t="s">
        <v>11</v>
      </c>
      <c r="B29" s="215"/>
      <c r="C29" s="215"/>
      <c r="D29" s="215"/>
      <c r="E29" s="215"/>
      <c r="F29" s="215"/>
      <c r="G29" s="215"/>
      <c r="H29" s="215"/>
      <c r="I29" s="216"/>
      <c r="J29" s="168"/>
      <c r="K29" s="168"/>
      <c r="L29" s="168"/>
      <c r="M29" s="168"/>
    </row>
    <row r="30" spans="1:13" ht="18.600000000000001" customHeight="1" x14ac:dyDescent="0.25">
      <c r="A30" s="186" t="s">
        <v>111</v>
      </c>
      <c r="B30" s="187"/>
      <c r="C30" s="187"/>
      <c r="D30" s="187"/>
      <c r="E30" s="187"/>
      <c r="F30" s="187"/>
      <c r="G30" s="187"/>
      <c r="H30" s="187"/>
      <c r="I30" s="188"/>
      <c r="J30" s="168"/>
      <c r="K30" s="168"/>
      <c r="L30" s="168"/>
      <c r="M30" s="168"/>
    </row>
    <row r="31" spans="1:13" ht="14.4" customHeight="1" x14ac:dyDescent="0.25">
      <c r="A31" s="186" t="s">
        <v>95</v>
      </c>
      <c r="B31" s="187"/>
      <c r="C31" s="187"/>
      <c r="D31" s="187"/>
      <c r="E31" s="187"/>
      <c r="F31" s="187"/>
      <c r="G31" s="187"/>
      <c r="H31" s="187"/>
      <c r="I31" s="188"/>
      <c r="J31" s="168"/>
      <c r="K31" s="168"/>
      <c r="L31" s="168"/>
      <c r="M31" s="168"/>
    </row>
    <row r="32" spans="1:13" ht="14.4" customHeight="1" x14ac:dyDescent="0.25">
      <c r="A32" s="186"/>
      <c r="B32" s="187"/>
      <c r="C32" s="187"/>
      <c r="D32" s="187"/>
      <c r="E32" s="187"/>
      <c r="F32" s="187"/>
      <c r="G32" s="187"/>
      <c r="H32" s="187"/>
      <c r="I32" s="188"/>
      <c r="J32" s="168"/>
      <c r="K32" s="168"/>
      <c r="L32" s="168"/>
      <c r="M32" s="168"/>
    </row>
    <row r="33" spans="1:13" ht="14.4" customHeight="1" x14ac:dyDescent="0.25">
      <c r="A33" s="189"/>
      <c r="B33" s="189"/>
      <c r="C33" s="189"/>
      <c r="D33" s="189"/>
      <c r="E33" s="189"/>
      <c r="F33" s="189"/>
      <c r="G33" s="189"/>
      <c r="H33" s="189"/>
      <c r="I33" s="189"/>
      <c r="J33" s="168"/>
      <c r="K33" s="168"/>
      <c r="L33" s="168"/>
      <c r="M33" s="168"/>
    </row>
    <row r="34" spans="1:13" ht="14.4" customHeight="1" x14ac:dyDescent="0.25">
      <c r="A34" s="190"/>
      <c r="B34" s="191"/>
      <c r="C34" s="192"/>
      <c r="D34" s="192"/>
      <c r="E34" s="192"/>
      <c r="F34" s="192"/>
      <c r="G34" s="192"/>
      <c r="H34" s="192"/>
      <c r="I34" s="193"/>
      <c r="J34" s="168"/>
      <c r="K34" s="168"/>
      <c r="L34" s="168"/>
      <c r="M34" s="168"/>
    </row>
    <row r="35" spans="1:13" ht="13.8" x14ac:dyDescent="0.25">
      <c r="A35" s="186"/>
      <c r="B35" s="187"/>
      <c r="C35" s="187"/>
      <c r="D35" s="187"/>
      <c r="E35" s="187"/>
      <c r="F35" s="187"/>
      <c r="G35" s="187"/>
      <c r="H35" s="187"/>
      <c r="I35" s="188"/>
      <c r="J35" s="168"/>
      <c r="K35" s="168"/>
      <c r="L35" s="168"/>
      <c r="M35" s="168"/>
    </row>
    <row r="36" spans="1:13" ht="18" customHeight="1" x14ac:dyDescent="0.25">
      <c r="A36" s="194"/>
      <c r="B36" s="195"/>
      <c r="C36" s="195"/>
      <c r="D36" s="195"/>
      <c r="E36" s="195"/>
      <c r="F36" s="195"/>
      <c r="G36" s="195"/>
      <c r="H36" s="195"/>
      <c r="I36" s="196"/>
      <c r="J36" s="168"/>
      <c r="K36" s="168"/>
      <c r="L36" s="168"/>
      <c r="M36" s="168"/>
    </row>
    <row r="37" spans="1:13" x14ac:dyDescent="0.25">
      <c r="A37" s="197"/>
      <c r="B37" s="198"/>
      <c r="C37" s="198"/>
      <c r="D37" s="198"/>
      <c r="E37" s="198"/>
      <c r="F37" s="198"/>
      <c r="G37" s="198"/>
      <c r="H37" s="198"/>
      <c r="I37" s="199"/>
      <c r="J37" s="168"/>
      <c r="K37" s="168"/>
      <c r="L37" s="168"/>
      <c r="M37" s="168"/>
    </row>
    <row r="38" spans="1:13" ht="13.8" thickBot="1" x14ac:dyDescent="0.3">
      <c r="A38" s="179"/>
      <c r="B38" s="180"/>
      <c r="C38" s="180"/>
      <c r="D38" s="180"/>
      <c r="E38" s="180"/>
      <c r="F38" s="180"/>
      <c r="G38" s="180"/>
      <c r="H38" s="180"/>
      <c r="I38" s="181"/>
      <c r="J38" s="168"/>
      <c r="K38" s="168"/>
      <c r="L38" s="168"/>
      <c r="M38" s="168"/>
    </row>
    <row r="39" spans="1:13" x14ac:dyDescent="0.25">
      <c r="A39" s="182" t="s">
        <v>105</v>
      </c>
      <c r="B39" s="183"/>
      <c r="C39" s="183"/>
      <c r="D39" s="183"/>
      <c r="E39" s="183"/>
      <c r="F39" s="183"/>
      <c r="G39" s="183"/>
      <c r="H39" s="183"/>
      <c r="I39" s="183"/>
      <c r="J39" s="168"/>
      <c r="K39" s="168"/>
      <c r="L39" s="168"/>
      <c r="M39" s="168"/>
    </row>
    <row r="40" spans="1:13" x14ac:dyDescent="0.25">
      <c r="A40" s="184" t="s">
        <v>112</v>
      </c>
      <c r="B40" s="185"/>
      <c r="C40" s="185"/>
      <c r="D40" s="185"/>
      <c r="E40" s="185"/>
      <c r="F40" s="185"/>
      <c r="G40" s="185"/>
      <c r="H40" s="185"/>
      <c r="I40" s="185"/>
      <c r="J40" s="168"/>
      <c r="K40" s="168"/>
      <c r="L40" s="168"/>
      <c r="M40" s="168"/>
    </row>
    <row r="41" spans="1:13" x14ac:dyDescent="0.25">
      <c r="A41" s="184"/>
      <c r="B41" s="185"/>
      <c r="C41" s="185"/>
      <c r="D41" s="185"/>
      <c r="E41" s="185"/>
      <c r="F41" s="185"/>
      <c r="G41" s="185"/>
      <c r="H41" s="185"/>
      <c r="I41" s="18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38:I38"/>
    <mergeCell ref="A39:I39"/>
    <mergeCell ref="A40:I40"/>
    <mergeCell ref="A41:I41"/>
    <mergeCell ref="A32:I32"/>
    <mergeCell ref="A33:I33"/>
    <mergeCell ref="A34:I34"/>
    <mergeCell ref="A35:I35"/>
    <mergeCell ref="A36:I36"/>
    <mergeCell ref="A37:I37"/>
  </mergeCells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F19A-5065-4BC2-819E-96F09232D999}">
  <dimension ref="A1:Q84"/>
  <sheetViews>
    <sheetView workbookViewId="0">
      <selection activeCell="G51" sqref="G51"/>
    </sheetView>
  </sheetViews>
  <sheetFormatPr baseColWidth="10" defaultColWidth="8.44140625" defaultRowHeight="13.2" x14ac:dyDescent="0.25"/>
  <cols>
    <col min="1" max="1" width="10" style="13" bestFit="1" customWidth="1"/>
    <col min="2" max="2" width="44.33203125" style="13" bestFit="1" customWidth="1"/>
    <col min="3" max="3" width="10.44140625" style="13" bestFit="1" customWidth="1"/>
    <col min="4" max="4" width="10.44140625" style="13" customWidth="1"/>
    <col min="5" max="5" width="9.6640625" style="13" bestFit="1" customWidth="1"/>
    <col min="6" max="6" width="9.5546875" style="13" bestFit="1" customWidth="1"/>
    <col min="7" max="7" width="9.5546875" style="92" bestFit="1" customWidth="1"/>
    <col min="8" max="8" width="10.44140625" style="83" bestFit="1" customWidth="1"/>
    <col min="9" max="9" width="4.5546875" style="83" customWidth="1"/>
    <col min="10" max="10" width="1.88671875" style="12" customWidth="1"/>
    <col min="11" max="11" width="7" style="13" bestFit="1" customWidth="1"/>
    <col min="12" max="12" width="6.33203125" style="13" customWidth="1"/>
    <col min="13" max="13" width="20.44140625" style="13" customWidth="1"/>
    <col min="14" max="14" width="6.44140625" style="13" bestFit="1" customWidth="1"/>
    <col min="15" max="16" width="8.44140625" style="13"/>
    <col min="17" max="17" width="3.33203125" style="13" customWidth="1"/>
    <col min="18" max="16384" width="8.44140625" style="13"/>
  </cols>
  <sheetData>
    <row r="1" spans="1:10" ht="27.75" customHeight="1" x14ac:dyDescent="0.25">
      <c r="A1" s="8"/>
      <c r="B1" s="8"/>
      <c r="C1" s="8"/>
      <c r="D1" s="8"/>
      <c r="E1" s="9" t="s">
        <v>33</v>
      </c>
      <c r="F1" s="10" t="s">
        <v>34</v>
      </c>
      <c r="G1" s="10" t="s">
        <v>35</v>
      </c>
      <c r="H1" s="10" t="s">
        <v>36</v>
      </c>
      <c r="I1" s="11"/>
    </row>
    <row r="2" spans="1:10" ht="30.75" customHeight="1" x14ac:dyDescent="0.25">
      <c r="A2" s="8"/>
      <c r="B2" s="8"/>
      <c r="C2" s="8"/>
      <c r="D2" s="8"/>
      <c r="E2" s="14">
        <f>IFERROR(O55,"")</f>
        <v>1019.5888234710934</v>
      </c>
      <c r="F2" s="14">
        <f>IFERROR(H46,"")</f>
        <v>696.41615371794853</v>
      </c>
      <c r="G2" s="14">
        <f>IFERROR(H47,"")</f>
        <v>12.935296185897435</v>
      </c>
      <c r="H2" s="14">
        <f>IFERROR(H49,"")</f>
        <v>60.384615384615387</v>
      </c>
      <c r="I2" s="15"/>
    </row>
    <row r="3" spans="1:10" ht="15" customHeight="1" x14ac:dyDescent="0.25">
      <c r="A3" s="8"/>
      <c r="B3" s="8"/>
      <c r="C3" s="8"/>
      <c r="D3" s="8"/>
      <c r="E3" s="8"/>
      <c r="F3" s="16"/>
      <c r="G3" s="16"/>
      <c r="H3" s="16"/>
      <c r="I3" s="16"/>
    </row>
    <row r="4" spans="1:10" ht="24.75" customHeight="1" thickBot="1" x14ac:dyDescent="0.3">
      <c r="A4" s="255" t="s">
        <v>88</v>
      </c>
      <c r="B4" s="255"/>
      <c r="C4" s="255"/>
      <c r="D4" s="255"/>
      <c r="E4" s="255"/>
      <c r="F4" s="255"/>
      <c r="G4" s="255"/>
      <c r="H4" s="255"/>
      <c r="I4" s="17"/>
    </row>
    <row r="5" spans="1:10" ht="19.5" customHeight="1" thickBot="1" x14ac:dyDescent="0.3">
      <c r="A5" s="256" t="s">
        <v>37</v>
      </c>
      <c r="B5" s="257"/>
      <c r="C5" s="257"/>
      <c r="D5" s="257"/>
      <c r="E5" s="257"/>
      <c r="F5" s="257"/>
      <c r="G5" s="257"/>
      <c r="H5" s="258"/>
      <c r="I5" s="18"/>
    </row>
    <row r="6" spans="1:10" ht="18" thickBot="1" x14ac:dyDescent="0.3">
      <c r="A6" s="18"/>
      <c r="B6" s="18"/>
      <c r="C6" s="18"/>
      <c r="D6" s="18"/>
      <c r="E6" s="18"/>
      <c r="F6" s="259" t="s">
        <v>38</v>
      </c>
      <c r="G6" s="259"/>
      <c r="H6" s="19">
        <f ca="1">TODAY()</f>
        <v>45873</v>
      </c>
      <c r="I6" s="19"/>
    </row>
    <row r="7" spans="1:10" ht="40.200000000000003" hidden="1" thickBot="1" x14ac:dyDescent="0.3">
      <c r="A7" s="20" t="s">
        <v>39</v>
      </c>
      <c r="B7" s="21" t="s">
        <v>40</v>
      </c>
      <c r="C7" s="21" t="s">
        <v>39</v>
      </c>
      <c r="D7" s="22" t="s">
        <v>41</v>
      </c>
      <c r="E7" s="22" t="s">
        <v>42</v>
      </c>
      <c r="F7" s="22" t="s">
        <v>43</v>
      </c>
      <c r="G7" s="22" t="s">
        <v>44</v>
      </c>
      <c r="H7" s="23" t="s">
        <v>45</v>
      </c>
      <c r="I7" s="24"/>
    </row>
    <row r="8" spans="1:10" ht="13.8" hidden="1" x14ac:dyDescent="0.3">
      <c r="A8" s="25"/>
      <c r="B8" s="13" t="str">
        <f>IFERROR(VLOOKUP($H8,'[1]MP PLANTA'!$A$2:$F$500,2,0),"")</f>
        <v/>
      </c>
      <c r="C8" s="26">
        <f>+A8</f>
        <v>0</v>
      </c>
      <c r="D8" s="27" t="str">
        <f>IFERROR(VLOOKUP($H8,'[1]MP PLANTA'!$A$2:$F$500,5,0),"")</f>
        <v/>
      </c>
      <c r="E8" s="27" t="str">
        <f>IFERROR(VLOOKUP($H8,'[1]MP PLANTA'!$A$2:$F$500,6,0),"")</f>
        <v/>
      </c>
      <c r="F8" s="27" t="str">
        <f>IFERROR(C8*E8,"")</f>
        <v/>
      </c>
      <c r="G8" s="28" t="str">
        <f>IFERROR(F8/$F$59,"")</f>
        <v/>
      </c>
      <c r="H8" s="29"/>
      <c r="I8" s="29"/>
      <c r="J8" s="30"/>
    </row>
    <row r="9" spans="1:10" ht="13.8" hidden="1" x14ac:dyDescent="0.3">
      <c r="A9" s="25"/>
      <c r="B9" s="13" t="str">
        <f>IFERROR(VLOOKUP($H9,'[1]MP PLANTA'!$A$2:$F$500,2,0),"")</f>
        <v/>
      </c>
      <c r="C9" s="26">
        <f t="shared" ref="C9:C14" si="0">+A9</f>
        <v>0</v>
      </c>
      <c r="D9" s="27" t="str">
        <f>IFERROR(VLOOKUP($H9,'[1]MP PLANTA'!$A$2:$F$500,5,0),"")</f>
        <v/>
      </c>
      <c r="E9" s="27" t="str">
        <f>IFERROR(VLOOKUP($H9,'[1]MP PLANTA'!$A$2:$F$500,6,0),"")</f>
        <v/>
      </c>
      <c r="F9" s="27" t="str">
        <f t="shared" ref="F9:F14" si="1">IFERROR(C9*E9,"")</f>
        <v/>
      </c>
      <c r="G9" s="28" t="str">
        <f t="shared" ref="G9:G14" si="2">IFERROR(F9/$F$59,"")</f>
        <v/>
      </c>
      <c r="H9" s="29"/>
      <c r="I9" s="29"/>
      <c r="J9" s="30"/>
    </row>
    <row r="10" spans="1:10" ht="13.8" hidden="1" x14ac:dyDescent="0.3">
      <c r="A10" s="25"/>
      <c r="B10" s="13" t="str">
        <f>IFERROR(VLOOKUP($H10,'[1]MP PLANTA'!$A$2:$F$500,2,0),"")</f>
        <v/>
      </c>
      <c r="C10" s="26">
        <f t="shared" si="0"/>
        <v>0</v>
      </c>
      <c r="D10" s="27" t="str">
        <f>IFERROR(VLOOKUP($H10,'[1]MP PLANTA'!$A$2:$F$500,5,0),"")</f>
        <v/>
      </c>
      <c r="E10" s="27" t="str">
        <f>IFERROR(VLOOKUP($H10,'[1]MP PLANTA'!$A$2:$F$500,6,0),"")</f>
        <v/>
      </c>
      <c r="F10" s="27" t="str">
        <f t="shared" si="1"/>
        <v/>
      </c>
      <c r="G10" s="28" t="str">
        <f t="shared" si="2"/>
        <v/>
      </c>
      <c r="H10" s="29"/>
      <c r="I10" s="29"/>
      <c r="J10" s="30"/>
    </row>
    <row r="11" spans="1:10" ht="13.8" hidden="1" x14ac:dyDescent="0.3">
      <c r="A11" s="25"/>
      <c r="B11" s="13" t="str">
        <f>IFERROR(VLOOKUP($H11,'[1]MP PLANTA'!$A$2:$F$500,2,0),"")</f>
        <v/>
      </c>
      <c r="C11" s="26">
        <f t="shared" si="0"/>
        <v>0</v>
      </c>
      <c r="D11" s="27" t="str">
        <f>IFERROR(VLOOKUP($H11,'[1]MP PLANTA'!$A$2:$F$500,5,0),"")</f>
        <v/>
      </c>
      <c r="E11" s="27" t="str">
        <f>IFERROR(VLOOKUP($H11,'[1]MP PLANTA'!$A$2:$F$500,6,0),"")</f>
        <v/>
      </c>
      <c r="F11" s="27" t="str">
        <f t="shared" si="1"/>
        <v/>
      </c>
      <c r="G11" s="28" t="str">
        <f t="shared" si="2"/>
        <v/>
      </c>
      <c r="H11" s="29"/>
      <c r="I11" s="29"/>
      <c r="J11" s="30"/>
    </row>
    <row r="12" spans="1:10" ht="13.8" hidden="1" x14ac:dyDescent="0.3">
      <c r="A12" s="25"/>
      <c r="B12" s="13" t="str">
        <f>IFERROR(VLOOKUP($H12,'[1]MP PLANTA'!$A$2:$F$500,2,0),"")</f>
        <v/>
      </c>
      <c r="C12" s="26">
        <f t="shared" si="0"/>
        <v>0</v>
      </c>
      <c r="D12" s="27" t="str">
        <f>IFERROR(VLOOKUP($H12,'[1]MP PLANTA'!$A$2:$F$500,5,0),"")</f>
        <v/>
      </c>
      <c r="E12" s="27" t="str">
        <f>IFERROR(VLOOKUP($H12,'[1]MP PLANTA'!$A$2:$F$500,6,0),"")</f>
        <v/>
      </c>
      <c r="F12" s="27" t="str">
        <f t="shared" si="1"/>
        <v/>
      </c>
      <c r="G12" s="28" t="str">
        <f t="shared" si="2"/>
        <v/>
      </c>
      <c r="H12" s="29"/>
      <c r="I12" s="29"/>
      <c r="J12" s="30"/>
    </row>
    <row r="13" spans="1:10" ht="13.8" hidden="1" x14ac:dyDescent="0.3">
      <c r="A13" s="25"/>
      <c r="B13" s="13" t="str">
        <f>IFERROR(VLOOKUP($H13,'[1]MP PLANTA'!$A$2:$F$500,2,0),"")</f>
        <v/>
      </c>
      <c r="C13" s="26">
        <f t="shared" si="0"/>
        <v>0</v>
      </c>
      <c r="D13" s="27" t="str">
        <f>IFERROR(VLOOKUP($H13,'[1]MP PLANTA'!$A$2:$F$500,5,0),"")</f>
        <v/>
      </c>
      <c r="E13" s="27" t="str">
        <f>IFERROR(VLOOKUP($H13,'[1]MP PLANTA'!$A$2:$F$500,6,0),"")</f>
        <v/>
      </c>
      <c r="F13" s="27" t="str">
        <f t="shared" si="1"/>
        <v/>
      </c>
      <c r="G13" s="28" t="str">
        <f t="shared" si="2"/>
        <v/>
      </c>
      <c r="H13" s="29"/>
      <c r="I13" s="29"/>
      <c r="J13" s="30"/>
    </row>
    <row r="14" spans="1:10" ht="13.8" hidden="1" x14ac:dyDescent="0.3">
      <c r="A14" s="25"/>
      <c r="B14" s="13" t="str">
        <f>IFERROR(VLOOKUP($H14,'[1]MP PLANTA'!$A$2:$F$500,2,0),"")</f>
        <v/>
      </c>
      <c r="C14" s="26">
        <f t="shared" si="0"/>
        <v>0</v>
      </c>
      <c r="D14" s="27" t="str">
        <f>IFERROR(VLOOKUP($H14,'[1]MP PLANTA'!$A$2:$F$500,5,0),"")</f>
        <v/>
      </c>
      <c r="E14" s="27" t="str">
        <f>IFERROR(VLOOKUP($H14,'[1]MP PLANTA'!$A$2:$F$500,6,0),"")</f>
        <v/>
      </c>
      <c r="F14" s="27" t="str">
        <f t="shared" si="1"/>
        <v/>
      </c>
      <c r="G14" s="28" t="str">
        <f t="shared" si="2"/>
        <v/>
      </c>
      <c r="H14" s="29"/>
      <c r="I14" s="29"/>
      <c r="J14" s="30"/>
    </row>
    <row r="15" spans="1:10" ht="14.4" hidden="1" thickBot="1" x14ac:dyDescent="0.35">
      <c r="A15" s="25"/>
      <c r="C15" s="26"/>
      <c r="D15" s="27"/>
      <c r="E15" s="27"/>
      <c r="F15" s="27"/>
      <c r="G15" s="28"/>
      <c r="H15" s="29"/>
      <c r="I15" s="29"/>
      <c r="J15" s="30"/>
    </row>
    <row r="16" spans="1:10" ht="40.200000000000003" thickBot="1" x14ac:dyDescent="0.3">
      <c r="A16" s="20" t="s">
        <v>39</v>
      </c>
      <c r="B16" s="21" t="s">
        <v>46</v>
      </c>
      <c r="C16" s="21" t="s">
        <v>39</v>
      </c>
      <c r="D16" s="22" t="s">
        <v>41</v>
      </c>
      <c r="E16" s="22" t="s">
        <v>42</v>
      </c>
      <c r="F16" s="22" t="s">
        <v>43</v>
      </c>
      <c r="G16" s="22" t="s">
        <v>44</v>
      </c>
      <c r="H16" s="23" t="s">
        <v>45</v>
      </c>
      <c r="I16" s="24"/>
      <c r="J16" s="30"/>
    </row>
    <row r="17" spans="1:12" ht="13.8" x14ac:dyDescent="0.3">
      <c r="A17" s="25">
        <v>1</v>
      </c>
      <c r="B17" s="13" t="str">
        <f>IFERROR(VLOOKUP($H17,[1]SEMIELABORADOS!$A$1:$J$999,2,0),"")</f>
        <v>ADOBO PECHUGA PARRILLA  (41940g)</v>
      </c>
      <c r="C17" s="26">
        <f>+A17</f>
        <v>1</v>
      </c>
      <c r="D17" s="26" t="s">
        <v>84</v>
      </c>
      <c r="E17" s="27">
        <f>+'[2]COSTEO ADOBO'!$H$47</f>
        <v>696.41615371794853</v>
      </c>
      <c r="F17" s="27">
        <f>IFERROR(E17*C17,"")</f>
        <v>696.41615371794853</v>
      </c>
      <c r="G17" s="28">
        <f>IFERROR(F17/$F$59,"")</f>
        <v>0.89481466420874212</v>
      </c>
      <c r="H17" s="29" t="s">
        <v>83</v>
      </c>
      <c r="I17" s="29"/>
      <c r="J17" s="30"/>
    </row>
    <row r="18" spans="1:12" ht="13.8" hidden="1" x14ac:dyDescent="0.3">
      <c r="A18" s="25"/>
      <c r="B18" s="13" t="str">
        <f>IFERROR(VLOOKUP($H18,[1]SEMIELABORADOS!$A$1:$J$999,2,0),"")</f>
        <v/>
      </c>
      <c r="C18" s="26">
        <f>+A18</f>
        <v>0</v>
      </c>
      <c r="D18" s="26" t="str">
        <f>IFERROR(VLOOKUP($H18,[1]SEMIELABORADOS!$A$1:$J$999,4,0),"")</f>
        <v/>
      </c>
      <c r="E18" s="27" t="str">
        <f>IFERROR(VLOOKUP($H18,[1]SEMIELABORADOS!$A$1:$J$999,6,0),"")</f>
        <v/>
      </c>
      <c r="F18" s="27" t="str">
        <f>IFERROR(E18*C18,"")</f>
        <v/>
      </c>
      <c r="G18" s="28" t="str">
        <f>IFERROR(F18/$F$59,"")</f>
        <v/>
      </c>
      <c r="H18" s="29"/>
      <c r="I18" s="29"/>
      <c r="J18" s="30"/>
    </row>
    <row r="19" spans="1:12" ht="13.8" hidden="1" x14ac:dyDescent="0.3">
      <c r="A19" s="25"/>
      <c r="B19" s="13" t="str">
        <f>IFERROR(VLOOKUP($H19,[1]SEMIELABORADOS!$A$1:$J$999,2,0),"")</f>
        <v/>
      </c>
      <c r="C19" s="26">
        <f>+A19</f>
        <v>0</v>
      </c>
      <c r="D19" s="26" t="str">
        <f>IFERROR(VLOOKUP($H19,[1]SEMIELABORADOS!$A$1:$J$999,4,0),"")</f>
        <v/>
      </c>
      <c r="E19" s="27" t="str">
        <f>IFERROR(VLOOKUP($H19,[1]SEMIELABORADOS!$A$1:$J$999,6,0),"")</f>
        <v/>
      </c>
      <c r="F19" s="27" t="str">
        <f>IFERROR(E19*C19,"")</f>
        <v/>
      </c>
      <c r="G19" s="28" t="str">
        <f>IFERROR(F19/$F$59,"")</f>
        <v/>
      </c>
      <c r="H19" s="29"/>
      <c r="I19" s="29"/>
      <c r="J19" s="30"/>
    </row>
    <row r="20" spans="1:12" ht="13.8" hidden="1" x14ac:dyDescent="0.3">
      <c r="A20" s="25"/>
      <c r="B20" s="13" t="str">
        <f>IFERROR(VLOOKUP($H20,[1]SEMIELABORADOS!$A$1:$J$999,2,0),"")</f>
        <v/>
      </c>
      <c r="C20" s="26">
        <f>+A20</f>
        <v>0</v>
      </c>
      <c r="D20" s="26" t="str">
        <f>IFERROR(VLOOKUP($H20,[1]SEMIELABORADOS!$A$1:$J$999,4,0),"")</f>
        <v/>
      </c>
      <c r="E20" s="27" t="str">
        <f>IFERROR(VLOOKUP($H20,[1]SEMIELABORADOS!$A$1:$J$999,6,0),"")</f>
        <v/>
      </c>
      <c r="F20" s="27" t="str">
        <f>IFERROR(E20*C20,"")</f>
        <v/>
      </c>
      <c r="G20" s="28" t="str">
        <f>IFERROR(F20/$F$59,"")</f>
        <v/>
      </c>
      <c r="H20" s="29"/>
      <c r="I20" s="29"/>
      <c r="J20" s="30"/>
    </row>
    <row r="21" spans="1:12" ht="13.8" hidden="1" x14ac:dyDescent="0.3">
      <c r="A21" s="25"/>
      <c r="B21" s="13" t="str">
        <f>IFERROR(VLOOKUP($H21,[1]SEMIELABORADOS!$A$1:$J$999,2,0),"")</f>
        <v/>
      </c>
      <c r="C21" s="26">
        <f>+A21</f>
        <v>0</v>
      </c>
      <c r="D21" s="26" t="str">
        <f>IFERROR(VLOOKUP($H21,[1]SEMIELABORADOS!$A$1:$J$999,4,0),"")</f>
        <v/>
      </c>
      <c r="E21" s="27" t="str">
        <f>IFERROR(VLOOKUP($H21,[1]SEMIELABORADOS!$A$1:$J$999,6,0),"")</f>
        <v/>
      </c>
      <c r="F21" s="27" t="str">
        <f>IFERROR(E21*C21,"")</f>
        <v/>
      </c>
      <c r="G21" s="28" t="str">
        <f>IFERROR(F21/$F$59,"")</f>
        <v/>
      </c>
      <c r="H21" s="29"/>
      <c r="I21" s="29"/>
      <c r="J21" s="30"/>
    </row>
    <row r="22" spans="1:12" ht="14.4" thickBot="1" x14ac:dyDescent="0.35">
      <c r="A22" s="25"/>
      <c r="C22" s="26"/>
      <c r="D22" s="26"/>
      <c r="E22" s="27"/>
      <c r="F22" s="27"/>
      <c r="G22" s="28"/>
      <c r="H22" s="29"/>
      <c r="I22" s="29"/>
      <c r="J22" s="30"/>
    </row>
    <row r="23" spans="1:12" ht="40.200000000000003" thickBot="1" x14ac:dyDescent="0.3">
      <c r="A23" s="20" t="s">
        <v>39</v>
      </c>
      <c r="B23" s="21" t="s">
        <v>47</v>
      </c>
      <c r="C23" s="21" t="s">
        <v>39</v>
      </c>
      <c r="D23" s="22" t="s">
        <v>41</v>
      </c>
      <c r="E23" s="22" t="s">
        <v>42</v>
      </c>
      <c r="F23" s="22" t="s">
        <v>43</v>
      </c>
      <c r="G23" s="22" t="s">
        <v>44</v>
      </c>
      <c r="H23" s="23" t="s">
        <v>45</v>
      </c>
      <c r="I23" s="24"/>
    </row>
    <row r="24" spans="1:12" ht="13.8" x14ac:dyDescent="0.3">
      <c r="A24" s="25">
        <v>1</v>
      </c>
      <c r="B24" s="31" t="s">
        <v>27</v>
      </c>
      <c r="C24" s="26">
        <f t="shared" ref="C24:C29" si="3">+A24</f>
        <v>1</v>
      </c>
      <c r="D24" s="27" t="s">
        <v>84</v>
      </c>
      <c r="E24" s="27">
        <v>5.6</v>
      </c>
      <c r="F24" s="27">
        <f t="shared" ref="F24:F29" si="4">IFERROR(E24*C24,"")</f>
        <v>5.6</v>
      </c>
      <c r="G24" s="28">
        <f t="shared" ref="G24:G29" si="5">IFERROR(F24/$F$59,"")</f>
        <v>7.1953559560860164E-3</v>
      </c>
      <c r="H24" s="32">
        <v>401000004</v>
      </c>
      <c r="I24" s="32"/>
      <c r="J24" s="30"/>
      <c r="K24" s="260"/>
      <c r="L24" s="260"/>
    </row>
    <row r="25" spans="1:12" ht="13.8" x14ac:dyDescent="0.3">
      <c r="A25" s="25">
        <v>1</v>
      </c>
      <c r="B25" s="31" t="str">
        <f>IFERROR(VLOOKUP($H25,'[1]EMP PLANTA'!$A$2:$F$500,2,0),"")</f>
        <v>ETIQ.BLANCA 1 13/16 * 1 7/8</v>
      </c>
      <c r="C25" s="26">
        <f t="shared" si="3"/>
        <v>1</v>
      </c>
      <c r="D25" s="27" t="str">
        <f>IFERROR(VLOOKUP($H25,'[1]EMP PLANTA'!$A$2:$F$500,5,0),"")</f>
        <v>UND</v>
      </c>
      <c r="E25" s="27">
        <f>IFERROR(VLOOKUP($H25,'[1]EMP PLANTA'!$A$2:$F$500,6,0),"")</f>
        <v>2.0470000000000002</v>
      </c>
      <c r="F25" s="27">
        <f t="shared" si="4"/>
        <v>2.0470000000000002</v>
      </c>
      <c r="G25" s="28">
        <f t="shared" si="5"/>
        <v>2.6301595789478709E-3</v>
      </c>
      <c r="H25" s="32" t="s">
        <v>85</v>
      </c>
      <c r="I25" s="32"/>
      <c r="J25" s="30"/>
      <c r="K25" s="260"/>
      <c r="L25" s="260"/>
    </row>
    <row r="26" spans="1:12" ht="13.8" x14ac:dyDescent="0.3">
      <c r="A26" s="25">
        <v>1</v>
      </c>
      <c r="B26" s="31" t="str">
        <f>IFERROR(VLOOKUP($H26,'[1]EMP PLANTA'!$A$2:$F$500,2,0),"")</f>
        <v>ETIQ.FECHA VENCIMIENTO BLANCO</v>
      </c>
      <c r="C26" s="26">
        <f t="shared" si="3"/>
        <v>1</v>
      </c>
      <c r="D26" s="27" t="str">
        <f>IFERROR(VLOOKUP($H26,'[1]EMP PLANTA'!$A$2:$F$500,5,0),"")</f>
        <v>UND</v>
      </c>
      <c r="E26" s="27">
        <f>IFERROR(VLOOKUP($H26,'[1]EMP PLANTA'!$A$2:$F$500,6,0),"")</f>
        <v>0.22877999999999998</v>
      </c>
      <c r="F26" s="27">
        <f t="shared" si="4"/>
        <v>0.22877999999999998</v>
      </c>
      <c r="G26" s="28">
        <f t="shared" si="5"/>
        <v>2.9395598850595693E-4</v>
      </c>
      <c r="H26" s="32" t="s">
        <v>86</v>
      </c>
      <c r="I26" s="32"/>
      <c r="J26" s="30"/>
      <c r="K26" s="260"/>
      <c r="L26" s="260"/>
    </row>
    <row r="27" spans="1:12" ht="13.8" x14ac:dyDescent="0.3">
      <c r="A27" s="25">
        <v>1</v>
      </c>
      <c r="B27" s="31" t="s">
        <v>29</v>
      </c>
      <c r="C27" s="26">
        <f t="shared" si="3"/>
        <v>1</v>
      </c>
      <c r="D27" s="27" t="s">
        <v>84</v>
      </c>
      <c r="E27" s="27">
        <v>0.41</v>
      </c>
      <c r="F27" s="27">
        <f t="shared" si="4"/>
        <v>0.41</v>
      </c>
      <c r="G27" s="28">
        <f t="shared" si="5"/>
        <v>5.2680284678486905E-4</v>
      </c>
      <c r="H27" s="32" t="s">
        <v>87</v>
      </c>
      <c r="I27" s="32"/>
      <c r="J27" s="30"/>
      <c r="K27" s="260"/>
      <c r="L27" s="260"/>
    </row>
    <row r="28" spans="1:12" ht="13.8" hidden="1" x14ac:dyDescent="0.3">
      <c r="A28" s="25"/>
      <c r="B28" s="31" t="str">
        <f>IFERROR(VLOOKUP($H28,'[1]EMP PLANTA'!$A$2:$F$500,2,0),"")</f>
        <v/>
      </c>
      <c r="C28" s="26">
        <f t="shared" si="3"/>
        <v>0</v>
      </c>
      <c r="D28" s="27" t="str">
        <f>IFERROR(VLOOKUP($H28,'[1]EMP PLANTA'!$A$2:$F$500,5,0),"")</f>
        <v/>
      </c>
      <c r="E28" s="27" t="str">
        <f>IFERROR(VLOOKUP($H28,'[1]EMP PLANTA'!$A$2:$F$500,6,0),"")</f>
        <v/>
      </c>
      <c r="F28" s="27" t="str">
        <f t="shared" si="4"/>
        <v/>
      </c>
      <c r="G28" s="28" t="str">
        <f t="shared" si="5"/>
        <v/>
      </c>
      <c r="H28" s="32"/>
      <c r="I28" s="32"/>
      <c r="J28" s="30"/>
      <c r="K28" s="33"/>
      <c r="L28" s="34"/>
    </row>
    <row r="29" spans="1:12" ht="13.8" hidden="1" x14ac:dyDescent="0.3">
      <c r="A29" s="25"/>
      <c r="B29" s="31" t="str">
        <f>IFERROR(VLOOKUP($H29,'[1]EMP PLANTA'!$A$2:$F$500,2,0),"")</f>
        <v/>
      </c>
      <c r="C29" s="26">
        <f t="shared" si="3"/>
        <v>0</v>
      </c>
      <c r="D29" s="27" t="str">
        <f>IFERROR(VLOOKUP($H29,'[1]EMP PLANTA'!$A$2:$F$500,5,0),"")</f>
        <v/>
      </c>
      <c r="E29" s="27" t="str">
        <f>IFERROR(VLOOKUP($H29,'[1]EMP PLANTA'!$A$2:$F$500,6,0),"")</f>
        <v/>
      </c>
      <c r="F29" s="27" t="str">
        <f t="shared" si="4"/>
        <v/>
      </c>
      <c r="G29" s="28" t="str">
        <f t="shared" si="5"/>
        <v/>
      </c>
      <c r="H29" s="32"/>
      <c r="I29" s="32"/>
      <c r="J29" s="30"/>
    </row>
    <row r="30" spans="1:12" ht="14.4" thickBot="1" x14ac:dyDescent="0.35">
      <c r="A30" s="25"/>
      <c r="B30" s="31"/>
      <c r="C30" s="26"/>
      <c r="D30" s="27"/>
      <c r="E30" s="27"/>
      <c r="F30" s="27"/>
      <c r="G30" s="28"/>
      <c r="H30" s="32"/>
      <c r="I30" s="32"/>
      <c r="J30" s="30"/>
    </row>
    <row r="31" spans="1:12" ht="40.200000000000003" thickBot="1" x14ac:dyDescent="0.3">
      <c r="A31" s="20" t="s">
        <v>39</v>
      </c>
      <c r="B31" s="21" t="s">
        <v>48</v>
      </c>
      <c r="C31" s="21" t="s">
        <v>39</v>
      </c>
      <c r="D31" s="22" t="s">
        <v>41</v>
      </c>
      <c r="E31" s="22" t="s">
        <v>42</v>
      </c>
      <c r="F31" s="22" t="s">
        <v>43</v>
      </c>
      <c r="G31" s="22" t="s">
        <v>44</v>
      </c>
      <c r="H31" s="23" t="s">
        <v>45</v>
      </c>
      <c r="I31" s="24"/>
      <c r="J31" s="30"/>
    </row>
    <row r="32" spans="1:12" ht="13.8" x14ac:dyDescent="0.3">
      <c r="A32" s="25">
        <f>+A17</f>
        <v>1</v>
      </c>
      <c r="B32" s="31" t="s">
        <v>25</v>
      </c>
      <c r="C32" s="26">
        <f>+A32</f>
        <v>1</v>
      </c>
      <c r="D32" s="27" t="s">
        <v>49</v>
      </c>
      <c r="E32" s="27">
        <f>+'[2]COSTEO ADOBO'!$H$48</f>
        <v>4.6495161858974354</v>
      </c>
      <c r="F32" s="27">
        <f>IFERROR(E32*C32,"")</f>
        <v>4.6495161858974354</v>
      </c>
      <c r="G32" s="28">
        <f>IFERROR(F32/$F$58,"")</f>
        <v>8.4536657925407918E-2</v>
      </c>
      <c r="H32" s="32" t="s">
        <v>83</v>
      </c>
      <c r="I32" s="32"/>
      <c r="J32" s="30"/>
    </row>
    <row r="33" spans="1:17" ht="13.8" hidden="1" x14ac:dyDescent="0.3">
      <c r="A33" s="25">
        <f>+A18</f>
        <v>0</v>
      </c>
      <c r="B33" s="31"/>
      <c r="C33" s="26">
        <f>+A33</f>
        <v>0</v>
      </c>
      <c r="D33" s="27" t="s">
        <v>49</v>
      </c>
      <c r="E33" s="27" t="str">
        <f>IFERROR(VLOOKUP($H33,[1]SEMIELABORADOS!$A$1:$J$999,8,0),"")</f>
        <v/>
      </c>
      <c r="F33" s="27" t="str">
        <f>IFERROR(E33*C33,"")</f>
        <v/>
      </c>
      <c r="G33" s="28" t="str">
        <f>IFERROR(F33/$F$58,"")</f>
        <v/>
      </c>
      <c r="H33" s="32"/>
      <c r="I33" s="32"/>
      <c r="J33" s="30"/>
    </row>
    <row r="34" spans="1:17" ht="13.8" hidden="1" x14ac:dyDescent="0.3">
      <c r="A34" s="25">
        <f>+A19</f>
        <v>0</v>
      </c>
      <c r="B34" s="31"/>
      <c r="C34" s="26">
        <f>+A34</f>
        <v>0</v>
      </c>
      <c r="D34" s="27" t="s">
        <v>49</v>
      </c>
      <c r="E34" s="27" t="str">
        <f>IFERROR(VLOOKUP($H34,[1]SEMIELABORADOS!$A$1:$J$999,8,0),"")</f>
        <v/>
      </c>
      <c r="F34" s="27" t="str">
        <f>IFERROR(E34*C34,"")</f>
        <v/>
      </c>
      <c r="G34" s="28" t="str">
        <f>IFERROR(F34/$F$58,"")</f>
        <v/>
      </c>
      <c r="H34" s="32"/>
      <c r="I34" s="32"/>
      <c r="J34" s="30"/>
    </row>
    <row r="35" spans="1:17" ht="13.8" hidden="1" x14ac:dyDescent="0.3">
      <c r="A35" s="25">
        <f>+A20</f>
        <v>0</v>
      </c>
      <c r="B35" s="31"/>
      <c r="C35" s="26">
        <f>+A35</f>
        <v>0</v>
      </c>
      <c r="D35" s="27" t="s">
        <v>49</v>
      </c>
      <c r="E35" s="27" t="str">
        <f>IFERROR(VLOOKUP($H35,[1]SEMIELABORADOS!$A$1:$J$999,8,0),"")</f>
        <v/>
      </c>
      <c r="F35" s="27" t="str">
        <f>IFERROR(E35*C35,"")</f>
        <v/>
      </c>
      <c r="G35" s="28" t="str">
        <f>IFERROR(F35/$F$58,"")</f>
        <v/>
      </c>
      <c r="H35" s="32"/>
      <c r="I35" s="32"/>
      <c r="J35" s="30"/>
    </row>
    <row r="36" spans="1:17" ht="13.8" hidden="1" x14ac:dyDescent="0.3">
      <c r="A36" s="25">
        <f>+A21</f>
        <v>0</v>
      </c>
      <c r="B36" s="31"/>
      <c r="C36" s="26">
        <f>+A36</f>
        <v>0</v>
      </c>
      <c r="D36" s="27" t="s">
        <v>49</v>
      </c>
      <c r="E36" s="27" t="str">
        <f>IFERROR(VLOOKUP($H36,[1]SEMIELABORADOS!$A$1:$J$999,8,0),"")</f>
        <v/>
      </c>
      <c r="F36" s="27" t="str">
        <f>IFERROR(E36*C36,"")</f>
        <v/>
      </c>
      <c r="G36" s="28" t="str">
        <f>IFERROR(F36/$F$58,"")</f>
        <v/>
      </c>
      <c r="H36" s="32"/>
      <c r="I36" s="32"/>
      <c r="J36" s="30"/>
    </row>
    <row r="37" spans="1:17" ht="14.4" thickBot="1" x14ac:dyDescent="0.35">
      <c r="A37" s="25"/>
      <c r="B37" s="31"/>
      <c r="C37" s="26"/>
      <c r="D37" s="27"/>
      <c r="E37" s="27"/>
      <c r="F37" s="27"/>
      <c r="G37" s="28"/>
      <c r="H37" s="32"/>
      <c r="I37" s="32"/>
      <c r="J37" s="30"/>
    </row>
    <row r="38" spans="1:17" ht="40.200000000000003" thickBot="1" x14ac:dyDescent="0.3">
      <c r="A38" s="20" t="s">
        <v>39</v>
      </c>
      <c r="B38" s="21" t="s">
        <v>50</v>
      </c>
      <c r="C38" s="21" t="s">
        <v>39</v>
      </c>
      <c r="D38" s="21"/>
      <c r="E38" s="22" t="s">
        <v>42</v>
      </c>
      <c r="F38" s="22" t="s">
        <v>43</v>
      </c>
      <c r="G38" s="22" t="s">
        <v>44</v>
      </c>
      <c r="H38" s="23" t="s">
        <v>45</v>
      </c>
      <c r="I38" s="24"/>
      <c r="J38" s="30"/>
    </row>
    <row r="39" spans="1:17" ht="13.8" x14ac:dyDescent="0.3">
      <c r="A39" s="25">
        <f>+A17</f>
        <v>1</v>
      </c>
      <c r="B39" s="35" t="s">
        <v>25</v>
      </c>
      <c r="C39" s="26">
        <f t="shared" ref="C39:C44" si="6">+A39</f>
        <v>1</v>
      </c>
      <c r="D39" s="26" t="s">
        <v>49</v>
      </c>
      <c r="E39" s="27">
        <f>+'[2]COSTEO ADOBO'!$H$50</f>
        <v>5.384615384615385</v>
      </c>
      <c r="F39" s="27">
        <f t="shared" ref="F39:F44" si="7">IFERROR(C39*E39,"")</f>
        <v>5.384615384615385</v>
      </c>
      <c r="G39" s="28">
        <f t="shared" ref="G39:G44" si="8">IFERROR(F39/$F$59,"")</f>
        <v>6.9186114962365552E-3</v>
      </c>
      <c r="H39" s="36" t="s">
        <v>83</v>
      </c>
      <c r="I39" s="36"/>
      <c r="J39" s="30"/>
    </row>
    <row r="40" spans="1:17" ht="13.8" hidden="1" x14ac:dyDescent="0.3">
      <c r="A40" s="25">
        <f>+A18</f>
        <v>0</v>
      </c>
      <c r="B40" s="35"/>
      <c r="C40" s="26">
        <f t="shared" si="6"/>
        <v>0</v>
      </c>
      <c r="D40" s="26" t="s">
        <v>49</v>
      </c>
      <c r="E40" s="27" t="str">
        <f>IFERROR(VLOOKUP($H40,[1]SEMIELABORADOS!$A$1:$J$999,10,0),"")</f>
        <v/>
      </c>
      <c r="F40" s="27" t="str">
        <f t="shared" si="7"/>
        <v/>
      </c>
      <c r="G40" s="28" t="str">
        <f t="shared" si="8"/>
        <v/>
      </c>
      <c r="H40" s="36"/>
      <c r="I40" s="36"/>
      <c r="J40" s="30"/>
    </row>
    <row r="41" spans="1:17" ht="13.8" hidden="1" x14ac:dyDescent="0.3">
      <c r="A41" s="25">
        <f>+A19</f>
        <v>0</v>
      </c>
      <c r="B41" s="35"/>
      <c r="C41" s="26">
        <f t="shared" si="6"/>
        <v>0</v>
      </c>
      <c r="D41" s="26" t="s">
        <v>49</v>
      </c>
      <c r="E41" s="27" t="str">
        <f>IFERROR(VLOOKUP($H41,[1]SEMIELABORADOS!$A$1:$J$999,10,0),"")</f>
        <v/>
      </c>
      <c r="F41" s="27" t="str">
        <f t="shared" si="7"/>
        <v/>
      </c>
      <c r="G41" s="28" t="str">
        <f t="shared" si="8"/>
        <v/>
      </c>
      <c r="H41" s="36"/>
      <c r="I41" s="36"/>
      <c r="J41" s="30"/>
    </row>
    <row r="42" spans="1:17" ht="13.8" hidden="1" x14ac:dyDescent="0.3">
      <c r="A42" s="25">
        <f>+A20</f>
        <v>0</v>
      </c>
      <c r="B42" s="35"/>
      <c r="C42" s="26">
        <f t="shared" si="6"/>
        <v>0</v>
      </c>
      <c r="D42" s="26" t="s">
        <v>49</v>
      </c>
      <c r="E42" s="27" t="str">
        <f>IFERROR(VLOOKUP($H42,[1]SEMIELABORADOS!$A$1:$J$999,10,0),"")</f>
        <v/>
      </c>
      <c r="F42" s="27" t="str">
        <f t="shared" si="7"/>
        <v/>
      </c>
      <c r="G42" s="28" t="str">
        <f t="shared" si="8"/>
        <v/>
      </c>
      <c r="H42" s="36"/>
      <c r="I42" s="36"/>
      <c r="J42" s="30"/>
    </row>
    <row r="43" spans="1:17" ht="13.8" hidden="1" x14ac:dyDescent="0.3">
      <c r="A43" s="25">
        <f>+A21</f>
        <v>0</v>
      </c>
      <c r="B43" s="35"/>
      <c r="C43" s="26">
        <f t="shared" si="6"/>
        <v>0</v>
      </c>
      <c r="D43" s="26" t="s">
        <v>49</v>
      </c>
      <c r="E43" s="27" t="str">
        <f>IFERROR(VLOOKUP($H43,[1]SEMIELABORADOS!$A$1:$J$999,10,0),"")</f>
        <v/>
      </c>
      <c r="F43" s="27" t="str">
        <f t="shared" si="7"/>
        <v/>
      </c>
      <c r="G43" s="28" t="str">
        <f t="shared" si="8"/>
        <v/>
      </c>
      <c r="H43" s="36"/>
      <c r="I43" s="36"/>
      <c r="J43" s="30"/>
    </row>
    <row r="44" spans="1:17" ht="13.8" x14ac:dyDescent="0.3">
      <c r="A44" s="25">
        <v>1</v>
      </c>
      <c r="B44" s="31" t="s">
        <v>51</v>
      </c>
      <c r="C44" s="26">
        <f t="shared" si="6"/>
        <v>1</v>
      </c>
      <c r="D44" s="26" t="s">
        <v>49</v>
      </c>
      <c r="E44" s="27">
        <f>+F58</f>
        <v>55</v>
      </c>
      <c r="F44" s="27">
        <f t="shared" si="7"/>
        <v>55</v>
      </c>
      <c r="G44" s="28">
        <f t="shared" si="8"/>
        <v>7.0668674568701947E-2</v>
      </c>
      <c r="H44" s="36"/>
      <c r="I44" s="36"/>
      <c r="J44" s="30"/>
    </row>
    <row r="45" spans="1:17" ht="14.4" thickBot="1" x14ac:dyDescent="0.35">
      <c r="A45" s="25"/>
      <c r="B45" s="31"/>
      <c r="C45" s="26"/>
      <c r="D45" s="26"/>
      <c r="E45" s="27"/>
      <c r="F45" s="27"/>
      <c r="G45" s="28"/>
      <c r="H45" s="36"/>
      <c r="I45" s="36"/>
      <c r="J45" s="30"/>
    </row>
    <row r="46" spans="1:17" ht="13.8" thickBot="1" x14ac:dyDescent="0.3">
      <c r="A46" s="37"/>
      <c r="B46" s="261" t="s">
        <v>52</v>
      </c>
      <c r="C46" s="261"/>
      <c r="D46" s="261"/>
      <c r="E46" s="261"/>
      <c r="F46" s="39">
        <f>SUM(F8:F14,F17:F21)</f>
        <v>696.41615371794853</v>
      </c>
      <c r="G46" s="28">
        <f>+F46/$F$59</f>
        <v>0.89481466420874212</v>
      </c>
      <c r="H46" s="40">
        <f>+F46/$D$53</f>
        <v>696.41615371794853</v>
      </c>
      <c r="I46" s="40"/>
      <c r="J46" s="41"/>
      <c r="K46" s="42"/>
      <c r="L46" s="42"/>
      <c r="M46" s="42"/>
      <c r="N46" s="42"/>
      <c r="O46" s="42"/>
      <c r="P46" s="42"/>
      <c r="Q46" s="43"/>
    </row>
    <row r="47" spans="1:17" x14ac:dyDescent="0.25">
      <c r="A47" s="37"/>
      <c r="B47" s="261" t="s">
        <v>53</v>
      </c>
      <c r="C47" s="261"/>
      <c r="D47" s="261"/>
      <c r="E47" s="261"/>
      <c r="F47" s="39">
        <f>SUM(F24:F29,F32:F36)</f>
        <v>12.935296185897435</v>
      </c>
      <c r="G47" s="28">
        <f>+F47/$F$59</f>
        <v>1.6620367938381043E-2</v>
      </c>
      <c r="H47" s="40">
        <f>+F47/$D$53</f>
        <v>12.935296185897435</v>
      </c>
      <c r="I47" s="40"/>
      <c r="J47" s="44"/>
      <c r="K47" s="262" t="s">
        <v>54</v>
      </c>
      <c r="L47" s="263"/>
      <c r="M47" s="263"/>
      <c r="N47" s="263"/>
      <c r="O47" s="45">
        <f>+F48</f>
        <v>709.35144990384595</v>
      </c>
      <c r="P47" s="45"/>
      <c r="Q47" s="46"/>
    </row>
    <row r="48" spans="1:17" x14ac:dyDescent="0.25">
      <c r="A48" s="37"/>
      <c r="B48" s="261" t="s">
        <v>55</v>
      </c>
      <c r="C48" s="261"/>
      <c r="D48" s="261"/>
      <c r="E48" s="261"/>
      <c r="F48" s="39">
        <f>+F46+F47</f>
        <v>709.35144990384595</v>
      </c>
      <c r="G48" s="28">
        <f>+F48/$F$59</f>
        <v>0.91143503214712318</v>
      </c>
      <c r="H48" s="40">
        <f>+F48/$D$53</f>
        <v>709.35144990384595</v>
      </c>
      <c r="I48" s="40"/>
      <c r="J48" s="47"/>
      <c r="K48" s="48"/>
      <c r="L48" s="264" t="s">
        <v>56</v>
      </c>
      <c r="M48" s="264"/>
      <c r="N48" s="264"/>
      <c r="O48" s="45">
        <f>+F49</f>
        <v>60.384615384615387</v>
      </c>
      <c r="P48" s="45"/>
      <c r="Q48" s="46"/>
    </row>
    <row r="49" spans="1:17" ht="13.8" thickBot="1" x14ac:dyDescent="0.3">
      <c r="A49" s="37"/>
      <c r="B49" s="38"/>
      <c r="C49" s="261" t="s">
        <v>57</v>
      </c>
      <c r="D49" s="261"/>
      <c r="E49" s="261"/>
      <c r="F49" s="39">
        <f>SUM(F39:F44)</f>
        <v>60.384615384615387</v>
      </c>
      <c r="G49" s="28">
        <f>+F49/$F$59</f>
        <v>7.7587286064938504E-2</v>
      </c>
      <c r="H49" s="40">
        <f>+F49/$D$53</f>
        <v>60.384615384615387</v>
      </c>
      <c r="I49" s="40"/>
      <c r="J49" s="47"/>
      <c r="K49" s="48"/>
      <c r="L49" s="48"/>
      <c r="M49" s="48" t="s">
        <v>58</v>
      </c>
      <c r="N49" s="49">
        <v>0.01</v>
      </c>
      <c r="O49" s="45">
        <f>O47*N49</f>
        <v>7.0935144990384593</v>
      </c>
      <c r="P49" s="45"/>
      <c r="Q49" s="46"/>
    </row>
    <row r="50" spans="1:17" ht="13.8" thickBot="1" x14ac:dyDescent="0.25">
      <c r="A50" s="37"/>
      <c r="B50" s="50"/>
      <c r="C50" s="50"/>
      <c r="D50" s="50"/>
      <c r="E50" s="50"/>
      <c r="F50" s="51"/>
      <c r="G50" s="28"/>
      <c r="H50" s="52"/>
      <c r="I50" s="40"/>
      <c r="J50" s="47"/>
      <c r="K50" s="53"/>
      <c r="M50" s="54" t="s">
        <v>59</v>
      </c>
      <c r="N50" s="55"/>
      <c r="O50" s="56">
        <f>SUM(O47:O49)</f>
        <v>776.82957978749971</v>
      </c>
      <c r="P50" s="57"/>
      <c r="Q50" s="46"/>
    </row>
    <row r="51" spans="1:17" x14ac:dyDescent="0.25">
      <c r="B51" s="265" t="s">
        <v>60</v>
      </c>
      <c r="C51" s="265"/>
      <c r="D51" s="58">
        <v>165</v>
      </c>
      <c r="E51" s="59"/>
      <c r="G51" s="28"/>
      <c r="H51" s="52"/>
      <c r="I51" s="52"/>
      <c r="J51" s="47"/>
      <c r="K51" s="53"/>
      <c r="L51" s="48"/>
      <c r="M51" s="48" t="s">
        <v>61</v>
      </c>
      <c r="N51" s="60">
        <v>0.25</v>
      </c>
      <c r="O51" s="45">
        <f>+O50*N51</f>
        <v>194.20739494687493</v>
      </c>
      <c r="P51" s="45"/>
      <c r="Q51" s="46"/>
    </row>
    <row r="52" spans="1:17" x14ac:dyDescent="0.25">
      <c r="B52" s="265" t="s">
        <v>62</v>
      </c>
      <c r="C52" s="265"/>
      <c r="D52" s="61">
        <v>165</v>
      </c>
      <c r="E52" s="59"/>
      <c r="G52" s="28"/>
      <c r="H52" s="52"/>
      <c r="I52" s="52"/>
      <c r="J52" s="47"/>
      <c r="K52" s="53"/>
      <c r="L52" s="48"/>
      <c r="M52" s="264" t="s">
        <v>59</v>
      </c>
      <c r="N52" s="264"/>
      <c r="O52" s="45">
        <f>SUM(O50:O51)</f>
        <v>971.03697473437467</v>
      </c>
      <c r="P52" s="45"/>
      <c r="Q52" s="46"/>
    </row>
    <row r="53" spans="1:17" ht="13.8" thickBot="1" x14ac:dyDescent="0.3">
      <c r="B53" s="266" t="s">
        <v>63</v>
      </c>
      <c r="C53" s="266"/>
      <c r="D53" s="58">
        <f>+D51/D52</f>
        <v>1</v>
      </c>
      <c r="E53" s="59"/>
      <c r="F53" s="62"/>
      <c r="G53" s="28"/>
      <c r="H53" s="52"/>
      <c r="I53" s="52"/>
      <c r="J53" s="47"/>
      <c r="K53" s="53"/>
      <c r="L53" s="264" t="s">
        <v>64</v>
      </c>
      <c r="M53" s="264"/>
      <c r="N53" s="60">
        <v>0.05</v>
      </c>
      <c r="O53" s="45">
        <f>+O52*N53</f>
        <v>48.551848736718739</v>
      </c>
      <c r="P53" s="45"/>
      <c r="Q53" s="46"/>
    </row>
    <row r="54" spans="1:17" ht="13.8" thickBot="1" x14ac:dyDescent="0.25">
      <c r="B54" s="266" t="s">
        <v>65</v>
      </c>
      <c r="C54" s="266"/>
      <c r="D54" s="63"/>
      <c r="E54" s="59"/>
      <c r="F54" s="62"/>
      <c r="G54" s="28"/>
      <c r="H54" s="52"/>
      <c r="I54" s="52"/>
      <c r="J54" s="47"/>
      <c r="K54" s="267" t="s">
        <v>66</v>
      </c>
      <c r="L54" s="268"/>
      <c r="M54" s="268"/>
      <c r="N54" s="269"/>
      <c r="O54" s="56">
        <f>SUM(O52:O53)</f>
        <v>1019.5888234710934</v>
      </c>
      <c r="P54" s="64" t="s">
        <v>67</v>
      </c>
      <c r="Q54" s="46"/>
    </row>
    <row r="55" spans="1:17" ht="13.8" thickBot="1" x14ac:dyDescent="0.25">
      <c r="C55" s="37" t="s">
        <v>68</v>
      </c>
      <c r="D55" s="65"/>
      <c r="E55" s="11" t="s">
        <v>69</v>
      </c>
      <c r="F55" s="66" t="s">
        <v>70</v>
      </c>
      <c r="G55" s="28"/>
      <c r="H55" s="52"/>
      <c r="I55" s="52"/>
      <c r="J55" s="67"/>
      <c r="K55" s="68"/>
      <c r="L55" s="270" t="s">
        <v>71</v>
      </c>
      <c r="M55" s="270"/>
      <c r="N55" s="270"/>
      <c r="O55" s="69">
        <f>+O54/D53</f>
        <v>1019.5888234710934</v>
      </c>
      <c r="P55" s="70">
        <f>+O55/D52</f>
        <v>6.1793262028551119</v>
      </c>
      <c r="Q55" s="71"/>
    </row>
    <row r="56" spans="1:17" ht="13.8" thickBot="1" x14ac:dyDescent="0.25">
      <c r="B56" s="271" t="s">
        <v>55</v>
      </c>
      <c r="C56" s="271"/>
      <c r="D56" s="271"/>
      <c r="E56" s="72">
        <f>+F56/F56</f>
        <v>1</v>
      </c>
      <c r="F56" s="73">
        <f>SUM(F48)</f>
        <v>709.35144990384595</v>
      </c>
      <c r="G56" s="28">
        <f>+F56/$F$59</f>
        <v>0.91143503214712318</v>
      </c>
      <c r="H56" s="52"/>
      <c r="I56" s="52"/>
      <c r="K56" s="272"/>
      <c r="L56" s="273"/>
      <c r="M56" s="273"/>
      <c r="N56" s="273"/>
      <c r="O56" s="74"/>
      <c r="P56" s="75"/>
    </row>
    <row r="57" spans="1:17" ht="13.8" thickBot="1" x14ac:dyDescent="0.3">
      <c r="B57" s="274" t="s">
        <v>72</v>
      </c>
      <c r="C57" s="274"/>
      <c r="D57" s="274"/>
      <c r="E57" s="76">
        <v>0.02</v>
      </c>
      <c r="F57" s="73">
        <f>+F46*E57</f>
        <v>13.928323074358971</v>
      </c>
      <c r="G57" s="28">
        <f>+F57/$F$59</f>
        <v>1.7896293284174844E-2</v>
      </c>
      <c r="H57" s="40"/>
      <c r="I57" s="52"/>
      <c r="J57" s="30"/>
      <c r="O57" s="77"/>
      <c r="P57" s="38"/>
    </row>
    <row r="58" spans="1:17" ht="13.8" thickBot="1" x14ac:dyDescent="0.3">
      <c r="B58" s="276" t="s">
        <v>73</v>
      </c>
      <c r="C58" s="277"/>
      <c r="D58" s="78">
        <v>1</v>
      </c>
      <c r="E58" s="79">
        <v>55</v>
      </c>
      <c r="F58" s="73">
        <f>+E58*D58</f>
        <v>55</v>
      </c>
      <c r="G58" s="28">
        <f>+F58/$F$59</f>
        <v>7.0668674568701947E-2</v>
      </c>
      <c r="H58" s="40"/>
      <c r="I58" s="40"/>
      <c r="J58" s="30"/>
    </row>
    <row r="59" spans="1:17" ht="13.8" thickBot="1" x14ac:dyDescent="0.3">
      <c r="B59" s="278" t="s">
        <v>74</v>
      </c>
      <c r="C59" s="279"/>
      <c r="D59" s="279"/>
      <c r="E59" s="280"/>
      <c r="F59" s="51">
        <f>SUM(F56:F58)</f>
        <v>778.27977297820496</v>
      </c>
      <c r="G59" s="28">
        <f>+F59/$F$59</f>
        <v>1</v>
      </c>
      <c r="H59" s="281"/>
      <c r="I59" s="40"/>
      <c r="J59" s="30"/>
    </row>
    <row r="60" spans="1:17" x14ac:dyDescent="0.25">
      <c r="C60" s="81"/>
      <c r="D60" s="81"/>
      <c r="E60" s="82"/>
      <c r="F60" s="73"/>
      <c r="G60" s="28"/>
      <c r="H60" s="281"/>
      <c r="I60" s="80"/>
      <c r="J60" s="13"/>
    </row>
    <row r="61" spans="1:17" ht="13.8" thickBot="1" x14ac:dyDescent="0.3">
      <c r="B61" s="282" t="s">
        <v>75</v>
      </c>
      <c r="C61" s="282"/>
      <c r="D61" s="282"/>
      <c r="E61" s="282"/>
      <c r="F61" s="282"/>
      <c r="G61" s="28"/>
      <c r="H61" s="84"/>
      <c r="I61" s="80"/>
      <c r="J61" s="13"/>
    </row>
    <row r="62" spans="1:17" ht="13.8" thickBot="1" x14ac:dyDescent="0.3">
      <c r="B62" s="85" t="s">
        <v>76</v>
      </c>
      <c r="C62" s="86">
        <f>+F46</f>
        <v>696.41615371794853</v>
      </c>
      <c r="D62" s="86">
        <f>+D51</f>
        <v>165</v>
      </c>
      <c r="E62" s="87">
        <f>+C62/D62</f>
        <v>4.2207039619269606</v>
      </c>
      <c r="F62" s="28"/>
      <c r="G62" s="84"/>
      <c r="H62" s="30"/>
      <c r="I62" s="84"/>
      <c r="J62" s="13"/>
    </row>
    <row r="63" spans="1:17" x14ac:dyDescent="0.25">
      <c r="B63" s="88"/>
      <c r="C63" s="89"/>
      <c r="D63" s="90"/>
      <c r="E63" s="73"/>
      <c r="F63" s="28"/>
      <c r="G63" s="84"/>
      <c r="H63" s="30"/>
      <c r="I63" s="30"/>
      <c r="J63" s="13"/>
    </row>
    <row r="64" spans="1:17" x14ac:dyDescent="0.25">
      <c r="B64" s="85" t="s">
        <v>77</v>
      </c>
      <c r="C64" s="86">
        <f>SUM(F56:F57)</f>
        <v>723.27977297820496</v>
      </c>
      <c r="D64" s="86">
        <f>+D51</f>
        <v>165</v>
      </c>
      <c r="E64" s="91">
        <f>+C64/D64</f>
        <v>4.3835137756254845</v>
      </c>
      <c r="F64" s="28"/>
      <c r="G64" s="84"/>
      <c r="H64" s="30"/>
      <c r="I64" s="30"/>
      <c r="J64" s="13"/>
    </row>
    <row r="65" spans="2:10" x14ac:dyDescent="0.25">
      <c r="B65" s="85"/>
      <c r="C65" s="86"/>
      <c r="D65" s="86"/>
      <c r="E65" s="91"/>
      <c r="F65" s="28"/>
      <c r="G65" s="84"/>
      <c r="H65" s="30"/>
      <c r="I65" s="30"/>
      <c r="J65" s="13"/>
    </row>
    <row r="66" spans="2:10" ht="13.8" thickBot="1" x14ac:dyDescent="0.3">
      <c r="B66" s="85" t="s">
        <v>78</v>
      </c>
      <c r="C66" s="86">
        <f>+F58</f>
        <v>55</v>
      </c>
      <c r="D66" s="86">
        <f>+D51</f>
        <v>165</v>
      </c>
      <c r="E66" s="91">
        <f>+C66/D66</f>
        <v>0.33333333333333331</v>
      </c>
      <c r="F66" s="28"/>
      <c r="G66" s="84"/>
      <c r="H66" s="30"/>
      <c r="I66" s="30"/>
      <c r="J66" s="13"/>
    </row>
    <row r="67" spans="2:10" ht="13.8" thickBot="1" x14ac:dyDescent="0.3">
      <c r="B67" s="85" t="s">
        <v>79</v>
      </c>
      <c r="C67" s="86">
        <f>+F49</f>
        <v>60.384615384615387</v>
      </c>
      <c r="D67" s="86">
        <f>+D66</f>
        <v>165</v>
      </c>
      <c r="E67" s="87">
        <f>+C67/D67</f>
        <v>0.36596736596736595</v>
      </c>
      <c r="F67" s="28"/>
      <c r="G67" s="84"/>
      <c r="H67" s="30"/>
      <c r="I67" s="30"/>
      <c r="J67" s="13"/>
    </row>
    <row r="68" spans="2:10" ht="13.8" thickBot="1" x14ac:dyDescent="0.3">
      <c r="B68" s="50"/>
      <c r="C68" s="51"/>
      <c r="D68" s="51"/>
      <c r="E68" s="91"/>
      <c r="F68" s="28"/>
      <c r="G68" s="84"/>
      <c r="H68" s="30"/>
      <c r="I68" s="30"/>
      <c r="J68" s="13"/>
    </row>
    <row r="69" spans="2:10" ht="13.8" thickBot="1" x14ac:dyDescent="0.3">
      <c r="B69" s="85" t="s">
        <v>80</v>
      </c>
      <c r="C69" s="86">
        <f>+F47</f>
        <v>12.935296185897435</v>
      </c>
      <c r="D69" s="86">
        <f>+D67</f>
        <v>165</v>
      </c>
      <c r="E69" s="87">
        <f>+C69/D69</f>
        <v>7.8395734459984462E-2</v>
      </c>
      <c r="F69" s="28"/>
      <c r="G69" s="84"/>
      <c r="H69" s="30"/>
      <c r="I69" s="30"/>
      <c r="J69" s="30"/>
    </row>
    <row r="70" spans="2:10" ht="13.8" thickBot="1" x14ac:dyDescent="0.3">
      <c r="B70" s="50"/>
      <c r="C70" s="51"/>
      <c r="D70" s="51"/>
      <c r="E70" s="91"/>
      <c r="F70" s="28"/>
      <c r="G70" s="84"/>
      <c r="H70" s="30"/>
      <c r="I70" s="30"/>
    </row>
    <row r="71" spans="2:10" ht="13.8" thickBot="1" x14ac:dyDescent="0.3">
      <c r="B71" s="283" t="s">
        <v>81</v>
      </c>
      <c r="C71" s="284"/>
      <c r="D71" s="285"/>
      <c r="E71" s="87">
        <f>+E62+E67</f>
        <v>4.5866713278943267</v>
      </c>
      <c r="G71" s="28"/>
      <c r="H71" s="84"/>
      <c r="I71" s="30"/>
      <c r="J71" s="91"/>
    </row>
    <row r="72" spans="2:10" x14ac:dyDescent="0.25">
      <c r="I72" s="84"/>
      <c r="J72" s="13"/>
    </row>
    <row r="73" spans="2:10" ht="13.8" thickBot="1" x14ac:dyDescent="0.3">
      <c r="B73" s="282" t="s">
        <v>82</v>
      </c>
      <c r="C73" s="282"/>
      <c r="D73" s="282"/>
      <c r="E73" s="282"/>
      <c r="F73" s="282"/>
      <c r="G73" s="28"/>
      <c r="H73" s="84"/>
      <c r="J73" s="13"/>
    </row>
    <row r="74" spans="2:10" ht="13.8" thickBot="1" x14ac:dyDescent="0.3">
      <c r="B74" s="85" t="s">
        <v>76</v>
      </c>
      <c r="C74" s="86">
        <f>+C62</f>
        <v>696.41615371794853</v>
      </c>
      <c r="D74" s="86">
        <f>+D53</f>
        <v>1</v>
      </c>
      <c r="E74" s="87">
        <f>+C74/D74</f>
        <v>696.41615371794853</v>
      </c>
      <c r="F74" s="28"/>
      <c r="G74" s="84"/>
      <c r="H74" s="30"/>
      <c r="I74" s="84"/>
      <c r="J74" s="13"/>
    </row>
    <row r="75" spans="2:10" x14ac:dyDescent="0.25">
      <c r="B75" s="88"/>
      <c r="C75" s="89"/>
      <c r="D75" s="90"/>
      <c r="E75" s="73"/>
      <c r="F75" s="28"/>
      <c r="G75" s="84"/>
      <c r="H75" s="30"/>
      <c r="I75" s="30"/>
      <c r="J75" s="13"/>
    </row>
    <row r="76" spans="2:10" x14ac:dyDescent="0.25">
      <c r="B76" s="85" t="s">
        <v>77</v>
      </c>
      <c r="C76" s="86">
        <f>+C64</f>
        <v>723.27977297820496</v>
      </c>
      <c r="D76" s="86">
        <f>+D53</f>
        <v>1</v>
      </c>
      <c r="E76" s="91">
        <f>+C76/D76</f>
        <v>723.27977297820496</v>
      </c>
      <c r="F76" s="28"/>
      <c r="G76" s="84"/>
      <c r="H76" s="30"/>
      <c r="I76" s="30"/>
      <c r="J76" s="13"/>
    </row>
    <row r="77" spans="2:10" x14ac:dyDescent="0.25">
      <c r="B77" s="85"/>
      <c r="C77" s="86"/>
      <c r="D77" s="86"/>
      <c r="E77" s="91"/>
      <c r="F77" s="28"/>
      <c r="G77" s="84"/>
      <c r="H77" s="30"/>
      <c r="I77" s="30"/>
      <c r="J77" s="13"/>
    </row>
    <row r="78" spans="2:10" ht="13.8" thickBot="1" x14ac:dyDescent="0.3">
      <c r="B78" s="85" t="s">
        <v>79</v>
      </c>
      <c r="C78" s="86">
        <f>+C66</f>
        <v>55</v>
      </c>
      <c r="D78" s="86">
        <f>+D53</f>
        <v>1</v>
      </c>
      <c r="E78" s="91">
        <f>+C78/D78</f>
        <v>55</v>
      </c>
      <c r="F78" s="93"/>
      <c r="G78" s="83"/>
      <c r="H78" s="12"/>
      <c r="I78" s="30"/>
    </row>
    <row r="79" spans="2:10" ht="13.8" thickBot="1" x14ac:dyDescent="0.3">
      <c r="B79" s="85" t="s">
        <v>79</v>
      </c>
      <c r="C79" s="86">
        <f>+C67</f>
        <v>60.384615384615387</v>
      </c>
      <c r="D79" s="86">
        <f>+D78</f>
        <v>1</v>
      </c>
      <c r="E79" s="87">
        <f>+C79/D79</f>
        <v>60.384615384615387</v>
      </c>
      <c r="F79" s="92"/>
      <c r="G79" s="83"/>
      <c r="H79" s="12"/>
      <c r="I79" s="12"/>
    </row>
    <row r="80" spans="2:10" x14ac:dyDescent="0.25">
      <c r="I80" s="12"/>
    </row>
    <row r="81" spans="1:5" x14ac:dyDescent="0.25">
      <c r="A81" s="275"/>
      <c r="B81" s="275"/>
      <c r="C81" s="94"/>
      <c r="D81" s="94"/>
      <c r="E81" s="95"/>
    </row>
    <row r="82" spans="1:5" x14ac:dyDescent="0.25">
      <c r="A82" s="31"/>
      <c r="B82" s="96"/>
      <c r="C82" s="97"/>
      <c r="D82" s="97"/>
      <c r="E82" s="98"/>
    </row>
    <row r="83" spans="1:5" x14ac:dyDescent="0.25">
      <c r="A83" s="31"/>
      <c r="B83" s="96"/>
      <c r="C83" s="99"/>
      <c r="D83" s="99"/>
      <c r="E83" s="31"/>
    </row>
    <row r="84" spans="1:5" x14ac:dyDescent="0.25">
      <c r="A84" s="31"/>
      <c r="B84" s="96"/>
      <c r="C84" s="100"/>
      <c r="D84" s="100"/>
      <c r="E84" s="31"/>
    </row>
  </sheetData>
  <mergeCells count="31">
    <mergeCell ref="B56:D56"/>
    <mergeCell ref="K56:N56"/>
    <mergeCell ref="B57:D57"/>
    <mergeCell ref="A81:B81"/>
    <mergeCell ref="B58:C58"/>
    <mergeCell ref="B59:E59"/>
    <mergeCell ref="H59:H60"/>
    <mergeCell ref="B61:F61"/>
    <mergeCell ref="B71:D71"/>
    <mergeCell ref="B73:F73"/>
    <mergeCell ref="B53:C53"/>
    <mergeCell ref="L53:M53"/>
    <mergeCell ref="B54:C54"/>
    <mergeCell ref="K54:N54"/>
    <mergeCell ref="L55:N55"/>
    <mergeCell ref="B48:E48"/>
    <mergeCell ref="L48:N48"/>
    <mergeCell ref="C49:E49"/>
    <mergeCell ref="B51:C51"/>
    <mergeCell ref="B52:C52"/>
    <mergeCell ref="M52:N52"/>
    <mergeCell ref="K26:L26"/>
    <mergeCell ref="K27:L27"/>
    <mergeCell ref="B46:E46"/>
    <mergeCell ref="B47:E47"/>
    <mergeCell ref="K47:N47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47EC5D-334D-4286-9C80-813A7A0BEB94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1512AA8-644B-418B-BD0F-1A6989776A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C60399-0A03-4D1C-A554-138C0AA364D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29E73872-FDBB-4F03-9873-DD7E132C8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Hoja1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2025-02-21T17:37:16Z</cp:lastPrinted>
  <dcterms:created xsi:type="dcterms:W3CDTF">2009-03-11T22:07:15Z</dcterms:created>
  <dcterms:modified xsi:type="dcterms:W3CDTF">2025-08-04T17:14:15Z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277000.000000000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
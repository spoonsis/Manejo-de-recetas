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07B7E1D9-AD74-45CF-BCDF-69804DFE4018}" xr6:coauthVersionLast="47" xr6:coauthVersionMax="47" xr10:uidLastSave="{52B79FA7-6639-40A6-92AC-73D901F0403C}"/>
  <bookViews>
    <workbookView xWindow="-120" yWindow="-120" windowWidth="29040" windowHeight="15840" tabRatio="876" xr2:uid="{00000000-000D-0000-FFFF-FFFF00000000}"/>
  </bookViews>
  <sheets>
    <sheet name="Hoja1" sheetId="7" r:id="rId1"/>
    <sheet name="Costo Rosquete " sheetId="6" state="hidden" r:id="rId2"/>
  </sheets>
  <externalReferences>
    <externalReference r:id="rId3"/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6" l="1"/>
  <c r="D67" i="6"/>
  <c r="D69" i="6"/>
  <c r="D64" i="6"/>
  <c r="D62" i="6"/>
  <c r="F58" i="6"/>
  <c r="C66" i="6"/>
  <c r="D53" i="6"/>
  <c r="D78" i="6"/>
  <c r="D79" i="6"/>
  <c r="C44" i="6"/>
  <c r="E43" i="6"/>
  <c r="C43" i="6"/>
  <c r="A43" i="6"/>
  <c r="E42" i="6"/>
  <c r="A42" i="6"/>
  <c r="C42" i="6"/>
  <c r="E41" i="6"/>
  <c r="A41" i="6"/>
  <c r="C41" i="6"/>
  <c r="F41" i="6"/>
  <c r="E40" i="6"/>
  <c r="A40" i="6"/>
  <c r="C40" i="6"/>
  <c r="F40" i="6"/>
  <c r="A39" i="6"/>
  <c r="C39" i="6"/>
  <c r="E36" i="6"/>
  <c r="A36" i="6"/>
  <c r="C36" i="6"/>
  <c r="E35" i="6"/>
  <c r="A35" i="6"/>
  <c r="C35" i="6"/>
  <c r="E34" i="6"/>
  <c r="A34" i="6"/>
  <c r="C34" i="6"/>
  <c r="F34" i="6"/>
  <c r="G34" i="6"/>
  <c r="E33" i="6"/>
  <c r="A33" i="6"/>
  <c r="C33" i="6"/>
  <c r="A32" i="6"/>
  <c r="C32" i="6"/>
  <c r="E29" i="6"/>
  <c r="F29" i="6"/>
  <c r="D29" i="6"/>
  <c r="C29" i="6"/>
  <c r="B29" i="6"/>
  <c r="E28" i="6"/>
  <c r="F28" i="6"/>
  <c r="D28" i="6"/>
  <c r="C28" i="6"/>
  <c r="B28" i="6"/>
  <c r="E27" i="6"/>
  <c r="F27" i="6"/>
  <c r="D27" i="6"/>
  <c r="C27" i="6"/>
  <c r="B27" i="6"/>
  <c r="E26" i="6"/>
  <c r="D26" i="6"/>
  <c r="C26" i="6"/>
  <c r="B26" i="6"/>
  <c r="E25" i="6"/>
  <c r="D25" i="6"/>
  <c r="C25" i="6"/>
  <c r="F25" i="6"/>
  <c r="B25" i="6"/>
  <c r="C24" i="6"/>
  <c r="F24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F18" i="6"/>
  <c r="D18" i="6"/>
  <c r="C18" i="6"/>
  <c r="B18" i="6"/>
  <c r="C17" i="6"/>
  <c r="E14" i="6"/>
  <c r="F14" i="6"/>
  <c r="D14" i="6"/>
  <c r="C14" i="6"/>
  <c r="B14" i="6"/>
  <c r="E13" i="6"/>
  <c r="F13" i="6"/>
  <c r="D13" i="6"/>
  <c r="C13" i="6"/>
  <c r="B13" i="6"/>
  <c r="E12" i="6"/>
  <c r="D12" i="6"/>
  <c r="C12" i="6"/>
  <c r="F12" i="6"/>
  <c r="B12" i="6"/>
  <c r="E11" i="6"/>
  <c r="D11" i="6"/>
  <c r="C11" i="6"/>
  <c r="F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D76" i="6"/>
  <c r="F36" i="6"/>
  <c r="G36" i="6"/>
  <c r="F26" i="6"/>
  <c r="F19" i="6"/>
  <c r="F20" i="6"/>
  <c r="F21" i="6"/>
  <c r="F42" i="6"/>
  <c r="F43" i="6"/>
  <c r="F33" i="6"/>
  <c r="G33" i="6"/>
  <c r="E44" i="6"/>
  <c r="F44" i="6"/>
  <c r="D74" i="6"/>
  <c r="E32" i="6"/>
  <c r="F32" i="6"/>
  <c r="G32" i="6"/>
  <c r="E39" i="6"/>
  <c r="F39" i="6"/>
  <c r="E17" i="6"/>
  <c r="F17" i="6"/>
  <c r="F46" i="6"/>
  <c r="F47" i="6"/>
  <c r="E66" i="6"/>
  <c r="C78" i="6"/>
  <c r="E78" i="6"/>
  <c r="F35" i="6"/>
  <c r="G35" i="6"/>
  <c r="F49" i="6"/>
  <c r="H49" i="6"/>
  <c r="H2" i="6"/>
  <c r="O48" i="6"/>
  <c r="C67" i="6"/>
  <c r="F48" i="6"/>
  <c r="C62" i="6"/>
  <c r="H46" i="6"/>
  <c r="F2" i="6"/>
  <c r="F57" i="6"/>
  <c r="C69" i="6"/>
  <c r="E69" i="6"/>
  <c r="H47" i="6"/>
  <c r="G2" i="6"/>
  <c r="C79" i="6"/>
  <c r="E79" i="6"/>
  <c r="E67" i="6"/>
  <c r="C74" i="6"/>
  <c r="E74" i="6"/>
  <c r="E62" i="6"/>
  <c r="H48" i="6"/>
  <c r="O47" i="6"/>
  <c r="F56" i="6"/>
  <c r="O49" i="6"/>
  <c r="O50" i="6"/>
  <c r="F59" i="6"/>
  <c r="G56" i="6"/>
  <c r="E56" i="6"/>
  <c r="C64" i="6"/>
  <c r="E71" i="6"/>
  <c r="O51" i="6"/>
  <c r="O52" i="6"/>
  <c r="G29" i="6"/>
  <c r="G59" i="6"/>
  <c r="G20" i="6"/>
  <c r="G14" i="6"/>
  <c r="G26" i="6"/>
  <c r="G58" i="6"/>
  <c r="G21" i="6"/>
  <c r="G19" i="6"/>
  <c r="G11" i="6"/>
  <c r="G28" i="6"/>
  <c r="G44" i="6"/>
  <c r="G40" i="6"/>
  <c r="G27" i="6"/>
  <c r="G24" i="6"/>
  <c r="G41" i="6"/>
  <c r="G18" i="6"/>
  <c r="G13" i="6"/>
  <c r="G25" i="6"/>
  <c r="G43" i="6"/>
  <c r="G42" i="6"/>
  <c r="G39" i="6"/>
  <c r="G8" i="6"/>
  <c r="G12" i="6"/>
  <c r="G10" i="6"/>
  <c r="G9" i="6"/>
  <c r="G17" i="6"/>
  <c r="G46" i="6"/>
  <c r="G49" i="6"/>
  <c r="G47" i="6"/>
  <c r="G57" i="6"/>
  <c r="G48" i="6"/>
  <c r="C76" i="6"/>
  <c r="E76" i="6"/>
  <c r="E64" i="6"/>
  <c r="O53" i="6"/>
  <c r="O54" i="6"/>
  <c r="O55" i="6"/>
  <c r="E2" i="6"/>
  <c r="P55" i="6"/>
</calcChain>
</file>

<file path=xl/sharedStrings.xml><?xml version="1.0" encoding="utf-8"?>
<sst xmlns="http://schemas.openxmlformats.org/spreadsheetml/2006/main" count="185" uniqueCount="122">
  <si>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</si>
  <si>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</si>
  <si>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</si>
  <si>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</si>
  <si>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</si>
  <si>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</si>
  <si>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</si>
  <si>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</si>
  <si>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</si>
  <si>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</si>
  <si>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</si>
  <si>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</si>
  <si>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</si>
  <si>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</si>
  <si>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</si>
  <si>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</si>
  <si>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</si>
  <si>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</si>
  <si>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</si>
  <si>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</si>
  <si>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</si>
  <si>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</si>
  <si>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</si>
  <si>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</si>
  <si>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</si>
  <si>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</si>
  <si>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Tiempo de Horneo:</t>
  </si>
  <si>
    <t>Minutos</t>
  </si>
  <si>
    <t>Horno:</t>
  </si>
  <si>
    <t>Temperatura de Horneo:</t>
  </si>
  <si>
    <t>Otros</t>
  </si>
  <si>
    <t>uds</t>
  </si>
  <si>
    <t>EMPAQUE</t>
  </si>
  <si>
    <t>BOLSAS TRANSP GRANDE (KILO)</t>
  </si>
  <si>
    <t>902000019</t>
  </si>
  <si>
    <t>503000034</t>
  </si>
  <si>
    <t>0702007</t>
  </si>
  <si>
    <t>ETIQ.FECHA VENCIMIENTO BLANCO (ROLLO)</t>
  </si>
  <si>
    <t>0702069</t>
  </si>
  <si>
    <t>902000009</t>
  </si>
  <si>
    <t>BATIDO MELOCOTON FROM SCRATCH (KILO)</t>
  </si>
  <si>
    <t>3.- Enfriar, desmoldar, colocar 22 rosquetes por lata, etiquetar con nombre y fecha de producción.</t>
  </si>
  <si>
    <t>1.- Pesar 180g de mezcla en los moldes previamente engrasados.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</si>
  <si>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</si>
  <si>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</si>
  <si>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</si>
  <si>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</si>
  <si>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</si>
  <si>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</si>
  <si>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</si>
  <si>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</si>
  <si>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</si>
  <si>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</si>
  <si>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</si>
  <si>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</si>
  <si>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</si>
  <si>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</si>
  <si>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</si>
  <si>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</si>
  <si>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</si>
  <si>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</si>
  <si>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</si>
  <si>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</si>
  <si>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</si>
  <si>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</si>
  <si>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</si>
  <si>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</si>
  <si>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</si>
  <si>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</si>
  <si>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</si>
  <si>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</si>
  <si>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</si>
  <si>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</si>
  <si>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</si>
  <si>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</si>
  <si>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</si>
  <si>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</si>
  <si>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</si>
  <si>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</si>
  <si>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</si>
  <si>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</si>
  <si>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</si>
  <si>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</si>
  <si>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</si>
  <si>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</si>
  <si>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</si>
  <si>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</si>
  <si>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</si>
  <si>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</si>
  <si>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</si>
  <si>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</si>
  <si>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</si>
  <si>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95720</t>
  </si>
  <si>
    <t>MEZCLA ENGRASE MOLDES (29800g)</t>
  </si>
  <si>
    <t>GRAMO</t>
  </si>
  <si>
    <t>UND</t>
  </si>
  <si>
    <t>ud</t>
  </si>
  <si>
    <t>BATIDO NUCLEO VAINILLA DAWN</t>
  </si>
  <si>
    <t>FAS</t>
  </si>
  <si>
    <t>MEZCLA P/ENGRASE MOLDES KILO</t>
  </si>
  <si>
    <t>BOLSA TRANSPARENTE 56X96X1.80 KILO</t>
  </si>
  <si>
    <t>ETIQ.BLANCA 1 1/4 * 3/4 (UND)</t>
  </si>
  <si>
    <t>2.- Hornear por Dicte 1 o 2 a 175°C por 50 min</t>
  </si>
  <si>
    <t xml:space="preserve">907000308(SE00445) Rosquete nucleo vainilla Dawn redondo 180g </t>
  </si>
  <si>
    <t>SE00444</t>
  </si>
  <si>
    <t>AS00028</t>
  </si>
  <si>
    <t>EM10002</t>
  </si>
  <si>
    <t>EM10004</t>
  </si>
  <si>
    <t>01</t>
  </si>
  <si>
    <t>Javier Tong, Chef</t>
  </si>
  <si>
    <t>Esteban Cartin, Gte Manufactura</t>
  </si>
  <si>
    <t>Batidos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</si>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</sst>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_(* #,##0.000_);_(* \(#,##0.000\);_(* &quot;-&quot;??_);_(@_)"/>
  </numFmts>
  <fonts count="4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307">
    <xf numFmtId="0" fontId="0" fillId="0" borderId="0" xfId="0"/>
    <xf numFmtId="14" fontId="40" fillId="2" borderId="0" xfId="5" applyNumberFormat="1" applyFont="1" applyFill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49" fontId="9" fillId="0" borderId="3" xfId="0" applyNumberFormat="1" applyFont="1" applyBorder="1"/>
    <xf numFmtId="49" fontId="7" fillId="0" borderId="15" xfId="3" applyNumberFormat="1" applyFont="1" applyBorder="1" applyAlignment="1">
      <alignment horizontal="center"/>
    </xf>
    <xf numFmtId="49" fontId="7" fillId="0" borderId="15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8" fillId="9" borderId="0" xfId="0" applyFont="1" applyFill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9" fillId="0" borderId="3" xfId="1" applyFont="1" applyFill="1" applyBorder="1" applyAlignment="1">
      <alignment horizontal="center" vertical="center"/>
    </xf>
    <xf numFmtId="165" fontId="9" fillId="0" borderId="0" xfId="1" applyFont="1" applyFill="1" applyBorder="1" applyAlignment="1">
      <alignment horizontal="center" vertical="center"/>
    </xf>
    <xf numFmtId="165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6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2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165" fontId="21" fillId="0" borderId="0" xfId="1" applyFont="1" applyFill="1" applyAlignment="1">
      <alignment horizontal="center" vertical="center"/>
    </xf>
    <xf numFmtId="10" fontId="14" fillId="4" borderId="19" xfId="6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5" fontId="21" fillId="4" borderId="20" xfId="1" applyFont="1" applyFill="1" applyBorder="1" applyAlignment="1">
      <alignment horizontal="center" vertical="center"/>
    </xf>
    <xf numFmtId="165" fontId="23" fillId="0" borderId="0" xfId="1" applyFont="1" applyFill="1" applyBorder="1" applyAlignment="1">
      <alignment horizontal="right"/>
    </xf>
    <xf numFmtId="0" fontId="8" fillId="4" borderId="20" xfId="0" applyFont="1" applyFill="1" applyBorder="1" applyAlignment="1">
      <alignment vertical="center"/>
    </xf>
    <xf numFmtId="10" fontId="14" fillId="4" borderId="20" xfId="6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9" fontId="41" fillId="0" borderId="0" xfId="6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165" fontId="26" fillId="5" borderId="21" xfId="1" applyFont="1" applyFill="1" applyBorder="1" applyAlignment="1">
      <alignment horizontal="right"/>
    </xf>
    <xf numFmtId="165" fontId="26" fillId="0" borderId="0" xfId="1" applyFont="1" applyFill="1" applyBorder="1" applyAlignment="1">
      <alignment horizontal="right"/>
    </xf>
    <xf numFmtId="165" fontId="9" fillId="0" borderId="3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horizontal="right"/>
    </xf>
    <xf numFmtId="170" fontId="9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9" fillId="6" borderId="3" xfId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4" fillId="4" borderId="22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8" fillId="4" borderId="22" xfId="0" applyFont="1" applyFill="1" applyBorder="1" applyAlignment="1">
      <alignment vertical="center"/>
    </xf>
    <xf numFmtId="10" fontId="8" fillId="0" borderId="0" xfId="6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26" fillId="4" borderId="10" xfId="1" applyFont="1" applyFill="1" applyBorder="1" applyAlignment="1">
      <alignment horizontal="right"/>
    </xf>
    <xf numFmtId="0" fontId="9" fillId="4" borderId="11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6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165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165" fontId="8" fillId="0" borderId="0" xfId="1" applyFont="1" applyFill="1" applyAlignment="1">
      <alignment vertical="center"/>
    </xf>
    <xf numFmtId="9" fontId="8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9" fillId="7" borderId="21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5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vertical="center"/>
    </xf>
    <xf numFmtId="165" fontId="29" fillId="0" borderId="0" xfId="1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165" fontId="8" fillId="0" borderId="0" xfId="1" applyFont="1" applyFill="1" applyBorder="1"/>
    <xf numFmtId="10" fontId="29" fillId="0" borderId="0" xfId="6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5" fontId="8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5" fontId="9" fillId="0" borderId="0" xfId="0" applyNumberFormat="1" applyFont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7" fillId="0" borderId="23" xfId="0" applyNumberFormat="1" applyFont="1" applyBorder="1" applyAlignment="1">
      <alignment horizontal="center"/>
    </xf>
    <xf numFmtId="0" fontId="13" fillId="2" borderId="1" xfId="5" applyFont="1" applyFill="1" applyBorder="1" applyAlignment="1">
      <alignment horizontal="right"/>
    </xf>
    <xf numFmtId="0" fontId="12" fillId="2" borderId="2" xfId="5" applyFont="1" applyFill="1" applyBorder="1" applyAlignment="1">
      <alignment horizontal="center"/>
    </xf>
    <xf numFmtId="0" fontId="13" fillId="2" borderId="3" xfId="5" applyFont="1" applyFill="1" applyBorder="1" applyAlignment="1">
      <alignment horizontal="right"/>
    </xf>
    <xf numFmtId="49" fontId="12" fillId="2" borderId="4" xfId="5" applyNumberFormat="1" applyFont="1" applyFill="1" applyBorder="1" applyAlignment="1">
      <alignment horizontal="center"/>
    </xf>
    <xf numFmtId="0" fontId="12" fillId="2" borderId="12" xfId="5" applyFont="1" applyFill="1" applyBorder="1" applyAlignment="1">
      <alignment horizontal="right"/>
    </xf>
    <xf numFmtId="0" fontId="12" fillId="2" borderId="3" xfId="5" applyFont="1" applyFill="1" applyBorder="1" applyAlignment="1">
      <alignment horizontal="right"/>
    </xf>
    <xf numFmtId="0" fontId="13" fillId="3" borderId="2" xfId="3" applyFont="1" applyFill="1" applyBorder="1" applyAlignment="1">
      <alignment horizontal="center" vertical="center" wrapText="1"/>
    </xf>
    <xf numFmtId="1" fontId="13" fillId="3" borderId="5" xfId="3" applyNumberFormat="1" applyFont="1" applyFill="1" applyBorder="1" applyAlignment="1">
      <alignment horizontal="center"/>
    </xf>
    <xf numFmtId="1" fontId="13" fillId="3" borderId="5" xfId="3" applyNumberFormat="1" applyFont="1" applyFill="1" applyBorder="1" applyAlignment="1">
      <alignment horizontal="center" wrapText="1"/>
    </xf>
    <xf numFmtId="0" fontId="13" fillId="3" borderId="6" xfId="3" applyFont="1" applyFill="1" applyBorder="1" applyAlignment="1">
      <alignment horizontal="center"/>
    </xf>
    <xf numFmtId="0" fontId="6" fillId="0" borderId="15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43" fillId="0" borderId="3" xfId="3" applyFont="1" applyBorder="1" applyAlignment="1">
      <alignment vertical="center"/>
    </xf>
    <xf numFmtId="0" fontId="6" fillId="0" borderId="3" xfId="3" applyFont="1" applyBorder="1" applyAlignment="1">
      <alignment horizontal="center" vertical="center"/>
    </xf>
    <xf numFmtId="1" fontId="6" fillId="0" borderId="3" xfId="3" applyNumberFormat="1" applyFont="1" applyBorder="1" applyAlignment="1">
      <alignment horizontal="center"/>
    </xf>
    <xf numFmtId="1" fontId="6" fillId="0" borderId="3" xfId="3" applyNumberFormat="1" applyFont="1" applyBorder="1" applyAlignment="1">
      <alignment horizontal="center" wrapText="1"/>
    </xf>
    <xf numFmtId="0" fontId="7" fillId="0" borderId="4" xfId="3" applyFont="1" applyBorder="1" applyAlignment="1">
      <alignment horizontal="center"/>
    </xf>
    <xf numFmtId="1" fontId="0" fillId="0" borderId="3" xfId="0" applyNumberFormat="1" applyBorder="1"/>
    <xf numFmtId="0" fontId="12" fillId="0" borderId="3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wrapText="1"/>
    </xf>
    <xf numFmtId="12" fontId="12" fillId="0" borderId="12" xfId="0" applyNumberFormat="1" applyFont="1" applyBorder="1" applyAlignment="1">
      <alignment horizontal="center"/>
    </xf>
    <xf numFmtId="0" fontId="12" fillId="0" borderId="3" xfId="0" applyFont="1" applyBorder="1" applyAlignment="1">
      <alignment horizontal="left" vertical="center"/>
    </xf>
    <xf numFmtId="0" fontId="0" fillId="0" borderId="23" xfId="0" applyBorder="1" applyAlignment="1">
      <alignment horizontal="center"/>
    </xf>
    <xf numFmtId="49" fontId="7" fillId="0" borderId="23" xfId="3" applyNumberFormat="1" applyFont="1" applyBorder="1" applyAlignment="1">
      <alignment horizontal="center"/>
    </xf>
    <xf numFmtId="0" fontId="44" fillId="9" borderId="3" xfId="3" applyFont="1" applyFill="1" applyBorder="1" applyAlignment="1">
      <alignment horizontal="left"/>
    </xf>
    <xf numFmtId="0" fontId="12" fillId="9" borderId="3" xfId="3" applyFont="1" applyFill="1" applyBorder="1" applyAlignment="1">
      <alignment horizontal="center"/>
    </xf>
    <xf numFmtId="1" fontId="0" fillId="0" borderId="23" xfId="0" applyNumberFormat="1" applyBorder="1"/>
    <xf numFmtId="0" fontId="7" fillId="0" borderId="3" xfId="3" applyFont="1" applyBorder="1" applyAlignment="1">
      <alignment horizontal="center"/>
    </xf>
    <xf numFmtId="168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45" fillId="9" borderId="15" xfId="0" applyFont="1" applyFill="1" applyBorder="1" applyAlignment="1">
      <alignment horizontal="center"/>
    </xf>
    <xf numFmtId="0" fontId="45" fillId="9" borderId="31" xfId="0" applyFont="1" applyFill="1" applyBorder="1" applyAlignment="1">
      <alignment horizontal="center"/>
    </xf>
    <xf numFmtId="0" fontId="45" fillId="9" borderId="12" xfId="0" applyFont="1" applyFill="1" applyBorder="1"/>
    <xf numFmtId="0" fontId="12" fillId="9" borderId="23" xfId="0" applyFont="1" applyFill="1" applyBorder="1" applyAlignment="1">
      <alignment horizontal="center"/>
    </xf>
    <xf numFmtId="1" fontId="12" fillId="9" borderId="12" xfId="0" applyNumberFormat="1" applyFont="1" applyFill="1" applyBorder="1" applyAlignment="1">
      <alignment horizontal="center"/>
    </xf>
    <xf numFmtId="1" fontId="12" fillId="9" borderId="12" xfId="0" applyNumberFormat="1" applyFont="1" applyFill="1" applyBorder="1" applyAlignment="1">
      <alignment horizontal="center" wrapText="1"/>
    </xf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49" fontId="6" fillId="0" borderId="26" xfId="3" applyNumberFormat="1" applyFont="1" applyBorder="1" applyAlignment="1">
      <alignment horizontal="center"/>
    </xf>
    <xf numFmtId="49" fontId="6" fillId="0" borderId="33" xfId="3" applyNumberFormat="1" applyFont="1" applyBorder="1" applyAlignment="1">
      <alignment horizontal="center"/>
    </xf>
    <xf numFmtId="0" fontId="46" fillId="9" borderId="3" xfId="3" applyFont="1" applyFill="1" applyBorder="1" applyAlignment="1">
      <alignment vertical="center"/>
    </xf>
    <xf numFmtId="0" fontId="6" fillId="0" borderId="23" xfId="3" applyFont="1" applyBorder="1" applyAlignment="1">
      <alignment horizontal="center"/>
    </xf>
    <xf numFmtId="168" fontId="6" fillId="0" borderId="3" xfId="3" applyNumberFormat="1" applyFont="1" applyBorder="1" applyAlignment="1">
      <alignment horizontal="center"/>
    </xf>
    <xf numFmtId="171" fontId="13" fillId="9" borderId="3" xfId="1" applyNumberFormat="1" applyFont="1" applyFill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7" fillId="0" borderId="23" xfId="0" applyFont="1" applyBorder="1" applyAlignment="1">
      <alignment horizontal="center"/>
    </xf>
    <xf numFmtId="0" fontId="36" fillId="0" borderId="3" xfId="0" applyFont="1" applyBorder="1"/>
    <xf numFmtId="12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3" xfId="0" quotePrefix="1" applyFont="1" applyBorder="1"/>
    <xf numFmtId="49" fontId="11" fillId="2" borderId="7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7" fontId="12" fillId="2" borderId="0" xfId="3" applyNumberFormat="1" applyFont="1" applyFill="1" applyAlignment="1">
      <alignment horizontal="center" wrapText="1"/>
    </xf>
    <xf numFmtId="0" fontId="12" fillId="2" borderId="8" xfId="3" applyFont="1" applyFill="1" applyBorder="1" applyAlignment="1">
      <alignment horizontal="center"/>
    </xf>
    <xf numFmtId="0" fontId="12" fillId="3" borderId="9" xfId="3" applyFont="1" applyFill="1" applyBorder="1" applyAlignment="1">
      <alignment horizontal="center"/>
    </xf>
    <xf numFmtId="0" fontId="12" fillId="3" borderId="10" xfId="3" applyFont="1" applyFill="1" applyBorder="1" applyAlignment="1">
      <alignment horizontal="center"/>
    </xf>
    <xf numFmtId="0" fontId="12" fillId="3" borderId="10" xfId="3" applyFont="1" applyFill="1" applyBorder="1"/>
    <xf numFmtId="0" fontId="13" fillId="3" borderId="10" xfId="3" applyFont="1" applyFill="1" applyBorder="1" applyAlignment="1">
      <alignment horizontal="center"/>
    </xf>
    <xf numFmtId="1" fontId="13" fillId="3" borderId="10" xfId="3" applyNumberFormat="1" applyFont="1" applyFill="1" applyBorder="1" applyAlignment="1">
      <alignment horizontal="center"/>
    </xf>
    <xf numFmtId="167" fontId="12" fillId="3" borderId="10" xfId="3" applyNumberFormat="1" applyFont="1" applyFill="1" applyBorder="1" applyAlignment="1">
      <alignment horizontal="center" wrapText="1"/>
    </xf>
    <xf numFmtId="0" fontId="12" fillId="3" borderId="11" xfId="3" applyFont="1" applyFill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2" fillId="2" borderId="45" xfId="5" applyNumberFormat="1" applyFont="1" applyFill="1" applyBorder="1" applyAlignment="1">
      <alignment horizontal="center" vertical="center" wrapText="1"/>
    </xf>
    <xf numFmtId="14" fontId="12" fillId="2" borderId="49" xfId="5" applyNumberFormat="1" applyFont="1" applyFill="1" applyBorder="1" applyAlignment="1">
      <alignment horizontal="center" vertical="center" wrapText="1"/>
    </xf>
    <xf numFmtId="14" fontId="12" fillId="2" borderId="29" xfId="5" applyNumberFormat="1" applyFont="1" applyFill="1" applyBorder="1" applyAlignment="1">
      <alignment horizontal="center" vertical="center" wrapText="1"/>
    </xf>
    <xf numFmtId="0" fontId="12" fillId="2" borderId="46" xfId="5" applyFont="1" applyFill="1" applyBorder="1" applyAlignment="1">
      <alignment horizontal="left"/>
    </xf>
    <xf numFmtId="0" fontId="12" fillId="2" borderId="47" xfId="5" applyFont="1" applyFill="1" applyBorder="1" applyAlignment="1">
      <alignment horizontal="left"/>
    </xf>
    <xf numFmtId="0" fontId="12" fillId="2" borderId="48" xfId="5" applyFont="1" applyFill="1" applyBorder="1" applyAlignment="1">
      <alignment horizontal="left"/>
    </xf>
    <xf numFmtId="0" fontId="12" fillId="2" borderId="25" xfId="5" applyFont="1" applyFill="1" applyBorder="1" applyAlignment="1">
      <alignment horizontal="left"/>
    </xf>
    <xf numFmtId="0" fontId="12" fillId="2" borderId="33" xfId="5" applyFont="1" applyFill="1" applyBorder="1" applyAlignment="1">
      <alignment horizontal="left"/>
    </xf>
    <xf numFmtId="0" fontId="12" fillId="2" borderId="23" xfId="5" applyFont="1" applyFill="1" applyBorder="1" applyAlignment="1">
      <alignment horizontal="left"/>
    </xf>
    <xf numFmtId="0" fontId="12" fillId="2" borderId="36" xfId="5" applyFont="1" applyFill="1" applyBorder="1" applyAlignment="1">
      <alignment horizontal="center"/>
    </xf>
    <xf numFmtId="0" fontId="12" fillId="2" borderId="37" xfId="5" applyFont="1" applyFill="1" applyBorder="1" applyAlignment="1">
      <alignment horizontal="center"/>
    </xf>
    <xf numFmtId="0" fontId="12" fillId="2" borderId="7" xfId="5" applyFont="1" applyFill="1" applyBorder="1" applyAlignment="1">
      <alignment horizontal="center"/>
    </xf>
    <xf numFmtId="0" fontId="12" fillId="2" borderId="0" xfId="5" applyFont="1" applyFill="1" applyAlignment="1">
      <alignment horizontal="center"/>
    </xf>
    <xf numFmtId="0" fontId="12" fillId="2" borderId="30" xfId="5" applyFont="1" applyFill="1" applyBorder="1" applyAlignment="1">
      <alignment horizontal="center"/>
    </xf>
    <xf numFmtId="0" fontId="12" fillId="2" borderId="40" xfId="5" applyFont="1" applyFill="1" applyBorder="1" applyAlignment="1">
      <alignment horizontal="center"/>
    </xf>
    <xf numFmtId="0" fontId="42" fillId="2" borderId="1" xfId="5" applyFont="1" applyFill="1" applyBorder="1" applyAlignment="1">
      <alignment horizontal="center"/>
    </xf>
    <xf numFmtId="0" fontId="42" fillId="2" borderId="27" xfId="5" applyFont="1" applyFill="1" applyBorder="1" applyAlignment="1">
      <alignment horizontal="center"/>
    </xf>
    <xf numFmtId="0" fontId="42" fillId="2" borderId="43" xfId="5" applyFont="1" applyFill="1" applyBorder="1" applyAlignment="1">
      <alignment horizontal="center"/>
    </xf>
    <xf numFmtId="0" fontId="42" fillId="2" borderId="39" xfId="5" applyFont="1" applyFill="1" applyBorder="1" applyAlignment="1">
      <alignment horizontal="center"/>
    </xf>
    <xf numFmtId="0" fontId="4" fillId="5" borderId="25" xfId="5" applyFont="1" applyFill="1" applyBorder="1" applyAlignment="1">
      <alignment horizontal="center" vertical="center" wrapText="1"/>
    </xf>
    <xf numFmtId="0" fontId="4" fillId="5" borderId="33" xfId="5" applyFont="1" applyFill="1" applyBorder="1" applyAlignment="1">
      <alignment horizontal="center" vertical="center" wrapText="1"/>
    </xf>
    <xf numFmtId="0" fontId="4" fillId="5" borderId="23" xfId="5" applyFont="1" applyFill="1" applyBorder="1" applyAlignment="1">
      <alignment horizontal="center" vertical="center" wrapText="1"/>
    </xf>
    <xf numFmtId="0" fontId="13" fillId="2" borderId="44" xfId="5" applyFont="1" applyFill="1" applyBorder="1" applyAlignment="1">
      <alignment horizontal="right" vertical="top" wrapText="1"/>
    </xf>
    <xf numFmtId="0" fontId="13" fillId="2" borderId="41" xfId="5" applyFont="1" applyFill="1" applyBorder="1" applyAlignment="1">
      <alignment horizontal="right" vertical="top" wrapText="1"/>
    </xf>
    <xf numFmtId="0" fontId="13" fillId="2" borderId="42" xfId="5" applyFont="1" applyFill="1" applyBorder="1" applyAlignment="1">
      <alignment horizontal="right" vertical="top" wrapText="1"/>
    </xf>
    <xf numFmtId="0" fontId="3" fillId="2" borderId="0" xfId="5" applyFont="1" applyFill="1" applyAlignment="1">
      <alignment horizontal="right"/>
    </xf>
    <xf numFmtId="0" fontId="40" fillId="2" borderId="35" xfId="5" applyFont="1" applyFill="1" applyBorder="1" applyAlignment="1">
      <alignment horizontal="center"/>
    </xf>
    <xf numFmtId="0" fontId="3" fillId="2" borderId="0" xfId="5" applyFont="1" applyFill="1"/>
    <xf numFmtId="0" fontId="13" fillId="3" borderId="34" xfId="3" applyFont="1" applyFill="1" applyBorder="1" applyAlignment="1">
      <alignment horizontal="center" vertical="center"/>
    </xf>
    <xf numFmtId="0" fontId="13" fillId="3" borderId="24" xfId="3" applyFont="1" applyFill="1" applyBorder="1" applyAlignment="1">
      <alignment horizontal="center" vertical="center"/>
    </xf>
    <xf numFmtId="0" fontId="13" fillId="3" borderId="34" xfId="3" applyFont="1" applyFill="1" applyBorder="1" applyAlignment="1">
      <alignment horizontal="center" vertical="center" wrapText="1"/>
    </xf>
    <xf numFmtId="0" fontId="13" fillId="3" borderId="24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3" fillId="3" borderId="5" xfId="3" applyFont="1" applyFill="1" applyBorder="1" applyAlignment="1">
      <alignment horizontal="center" vertical="center"/>
    </xf>
    <xf numFmtId="0" fontId="13" fillId="0" borderId="30" xfId="3" applyFont="1" applyBorder="1" applyAlignment="1">
      <alignment horizontal="right"/>
    </xf>
    <xf numFmtId="0" fontId="13" fillId="0" borderId="40" xfId="3" applyFont="1" applyBorder="1" applyAlignment="1">
      <alignment horizontal="right"/>
    </xf>
    <xf numFmtId="0" fontId="13" fillId="0" borderId="31" xfId="3" applyFont="1" applyBorder="1" applyAlignment="1">
      <alignment horizontal="right"/>
    </xf>
    <xf numFmtId="167" fontId="12" fillId="0" borderId="12" xfId="3" applyNumberFormat="1" applyFont="1" applyBorder="1" applyAlignment="1">
      <alignment horizontal="right"/>
    </xf>
    <xf numFmtId="0" fontId="12" fillId="2" borderId="13" xfId="3" applyFont="1" applyFill="1" applyBorder="1" applyAlignment="1">
      <alignment horizontal="center"/>
    </xf>
    <xf numFmtId="0" fontId="12" fillId="2" borderId="32" xfId="3" applyFont="1" applyFill="1" applyBorder="1" applyAlignment="1">
      <alignment horizontal="center"/>
    </xf>
    <xf numFmtId="0" fontId="13" fillId="0" borderId="26" xfId="3" applyFont="1" applyBorder="1" applyAlignment="1">
      <alignment horizontal="right"/>
    </xf>
    <xf numFmtId="0" fontId="13" fillId="0" borderId="33" xfId="3" applyFont="1" applyBorder="1" applyAlignment="1">
      <alignment horizontal="right"/>
    </xf>
    <xf numFmtId="0" fontId="13" fillId="0" borderId="23" xfId="3" applyFont="1" applyBorder="1" applyAlignment="1">
      <alignment horizontal="right"/>
    </xf>
    <xf numFmtId="0" fontId="12" fillId="0" borderId="3" xfId="3" applyFont="1" applyBorder="1" applyAlignment="1">
      <alignment horizontal="right"/>
    </xf>
    <xf numFmtId="167" fontId="12" fillId="0" borderId="25" xfId="3" applyNumberFormat="1" applyFont="1" applyBorder="1" applyAlignment="1">
      <alignment horizontal="center"/>
    </xf>
    <xf numFmtId="167" fontId="12" fillId="0" borderId="14" xfId="3" applyNumberFormat="1" applyFont="1" applyBorder="1" applyAlignment="1">
      <alignment horizontal="center"/>
    </xf>
    <xf numFmtId="167" fontId="12" fillId="0" borderId="25" xfId="3" applyNumberFormat="1" applyFont="1" applyBorder="1" applyAlignment="1">
      <alignment horizontal="right" wrapText="1"/>
    </xf>
    <xf numFmtId="167" fontId="12" fillId="0" borderId="23" xfId="3" applyNumberFormat="1" applyFont="1" applyBorder="1" applyAlignment="1">
      <alignment horizontal="right" wrapText="1"/>
    </xf>
    <xf numFmtId="167" fontId="12" fillId="0" borderId="25" xfId="0" applyNumberFormat="1" applyFont="1" applyBorder="1" applyAlignment="1">
      <alignment horizontal="center" wrapText="1"/>
    </xf>
    <xf numFmtId="167" fontId="12" fillId="0" borderId="14" xfId="0" applyNumberFormat="1" applyFont="1" applyBorder="1" applyAlignment="1">
      <alignment horizontal="center" wrapText="1"/>
    </xf>
    <xf numFmtId="0" fontId="12" fillId="0" borderId="28" xfId="3" applyFont="1" applyBorder="1" applyAlignment="1">
      <alignment horizontal="left"/>
    </xf>
    <xf numFmtId="0" fontId="12" fillId="0" borderId="31" xfId="3" applyFont="1" applyBorder="1" applyAlignment="1">
      <alignment horizontal="left"/>
    </xf>
    <xf numFmtId="0" fontId="12" fillId="0" borderId="12" xfId="3" applyFont="1" applyBorder="1" applyAlignment="1">
      <alignment horizontal="left"/>
    </xf>
    <xf numFmtId="0" fontId="12" fillId="0" borderId="29" xfId="3" applyFont="1" applyBorder="1" applyAlignment="1">
      <alignment horizontal="left"/>
    </xf>
    <xf numFmtId="0" fontId="13" fillId="0" borderId="24" xfId="3" applyFont="1" applyBorder="1" applyAlignment="1">
      <alignment horizontal="right"/>
    </xf>
    <xf numFmtId="0" fontId="13" fillId="0" borderId="39" xfId="3" applyFont="1" applyBorder="1" applyAlignment="1">
      <alignment horizontal="right"/>
    </xf>
    <xf numFmtId="0" fontId="13" fillId="0" borderId="5" xfId="3" applyFont="1" applyBorder="1" applyAlignment="1">
      <alignment horizontal="right"/>
    </xf>
    <xf numFmtId="0" fontId="12" fillId="0" borderId="5" xfId="3" applyFont="1" applyBorder="1" applyAlignment="1">
      <alignment horizontal="right"/>
    </xf>
    <xf numFmtId="0" fontId="13" fillId="3" borderId="9" xfId="3" applyFont="1" applyFill="1" applyBorder="1" applyAlignment="1">
      <alignment horizontal="left"/>
    </xf>
    <xf numFmtId="0" fontId="13" fillId="3" borderId="10" xfId="3" applyFont="1" applyFill="1" applyBorder="1" applyAlignment="1">
      <alignment horizontal="left"/>
    </xf>
    <xf numFmtId="0" fontId="13" fillId="3" borderId="11" xfId="3" applyFont="1" applyFill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31" xfId="4" applyFont="1" applyBorder="1" applyAlignment="1">
      <alignment horizontal="left"/>
    </xf>
    <xf numFmtId="0" fontId="12" fillId="0" borderId="12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28" xfId="4" applyFont="1" applyBorder="1" applyAlignment="1">
      <alignment horizontal="left" wrapText="1"/>
    </xf>
    <xf numFmtId="0" fontId="12" fillId="0" borderId="31" xfId="4" applyFont="1" applyBorder="1" applyAlignment="1">
      <alignment horizontal="left" wrapText="1"/>
    </xf>
    <xf numFmtId="0" fontId="12" fillId="0" borderId="12" xfId="4" applyFont="1" applyBorder="1" applyAlignment="1">
      <alignment horizontal="left" wrapText="1"/>
    </xf>
    <xf numFmtId="0" fontId="12" fillId="0" borderId="29" xfId="4" applyFont="1" applyBorder="1" applyAlignment="1">
      <alignment horizontal="left" wrapText="1"/>
    </xf>
    <xf numFmtId="0" fontId="12" fillId="0" borderId="26" xfId="4" applyFont="1" applyBorder="1" applyAlignment="1">
      <alignment horizontal="left"/>
    </xf>
    <xf numFmtId="0" fontId="12" fillId="0" borderId="33" xfId="4" applyFont="1" applyBorder="1" applyAlignment="1">
      <alignment horizontal="left"/>
    </xf>
    <xf numFmtId="0" fontId="12" fillId="0" borderId="14" xfId="4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48" fillId="0" borderId="30" xfId="3" applyFont="1" applyBorder="1" applyAlignment="1">
      <alignment horizontal="left" wrapText="1"/>
    </xf>
    <xf numFmtId="0" fontId="48" fillId="0" borderId="40" xfId="3" applyFont="1" applyBorder="1" applyAlignment="1">
      <alignment horizontal="left" wrapText="1"/>
    </xf>
    <xf numFmtId="0" fontId="48" fillId="0" borderId="32" xfId="3" applyFont="1" applyBorder="1" applyAlignment="1">
      <alignment horizontal="left" wrapText="1"/>
    </xf>
    <xf numFmtId="0" fontId="12" fillId="0" borderId="28" xfId="3" applyFont="1" applyBorder="1" applyAlignment="1">
      <alignment horizontal="left" wrapText="1"/>
    </xf>
    <xf numFmtId="0" fontId="12" fillId="0" borderId="31" xfId="3" applyFont="1" applyBorder="1" applyAlignment="1">
      <alignment horizontal="left" wrapText="1"/>
    </xf>
    <xf numFmtId="0" fontId="12" fillId="0" borderId="12" xfId="3" applyFont="1" applyBorder="1" applyAlignment="1">
      <alignment horizontal="left" wrapText="1"/>
    </xf>
    <xf numFmtId="0" fontId="12" fillId="0" borderId="29" xfId="3" applyFont="1" applyBorder="1" applyAlignment="1">
      <alignment horizontal="left" wrapText="1"/>
    </xf>
    <xf numFmtId="0" fontId="12" fillId="0" borderId="24" xfId="3" applyFont="1" applyBorder="1" applyAlignment="1">
      <alignment horizontal="left"/>
    </xf>
    <xf numFmtId="0" fontId="12" fillId="0" borderId="39" xfId="3" applyFont="1" applyBorder="1" applyAlignment="1">
      <alignment horizontal="left"/>
    </xf>
    <xf numFmtId="0" fontId="12" fillId="0" borderId="5" xfId="3" applyFont="1" applyBorder="1" applyAlignment="1">
      <alignment horizontal="left"/>
    </xf>
    <xf numFmtId="0" fontId="12" fillId="0" borderId="6" xfId="3" applyFont="1" applyBorder="1" applyAlignment="1">
      <alignment horizontal="left"/>
    </xf>
    <xf numFmtId="0" fontId="12" fillId="0" borderId="25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3" fillId="11" borderId="50" xfId="5" applyFont="1" applyFill="1" applyBorder="1" applyAlignment="1">
      <alignment horizontal="center"/>
    </xf>
    <xf numFmtId="0" fontId="13" fillId="11" borderId="37" xfId="5" applyFont="1" applyFill="1" applyBorder="1" applyAlignment="1">
      <alignment horizontal="center"/>
    </xf>
    <xf numFmtId="0" fontId="12" fillId="2" borderId="51" xfId="5" applyFont="1" applyFill="1" applyBorder="1" applyAlignment="1">
      <alignment horizontal="left"/>
    </xf>
    <xf numFmtId="0" fontId="12" fillId="2" borderId="0" xfId="5" applyFont="1" applyFill="1" applyAlignment="1">
      <alignment horizontal="left"/>
    </xf>
    <xf numFmtId="0" fontId="21" fillId="0" borderId="0" xfId="0" applyFont="1" applyAlignment="1">
      <alignment horizontal="right" vertical="center"/>
    </xf>
    <xf numFmtId="0" fontId="26" fillId="4" borderId="9" xfId="0" applyFont="1" applyFill="1" applyBorder="1" applyAlignment="1">
      <alignment horizontal="right"/>
    </xf>
    <xf numFmtId="0" fontId="26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38" fillId="0" borderId="0" xfId="0" applyFont="1" applyAlignment="1">
      <alignment horizontal="right"/>
    </xf>
    <xf numFmtId="0" fontId="9" fillId="0" borderId="35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0" fontId="9" fillId="8" borderId="11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right" vertical="center"/>
    </xf>
    <xf numFmtId="0" fontId="37" fillId="0" borderId="10" xfId="0" applyFont="1" applyBorder="1" applyAlignment="1">
      <alignment horizontal="right" vertical="center"/>
    </xf>
    <xf numFmtId="0" fontId="37" fillId="0" borderId="11" xfId="0" applyFont="1" applyBorder="1" applyAlignment="1">
      <alignment horizontal="right" vertical="center"/>
    </xf>
    <xf numFmtId="0" fontId="29" fillId="0" borderId="3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30" fillId="0" borderId="7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8" xfId="0" applyFont="1" applyBorder="1" applyAlignment="1">
      <alignment horizontal="right"/>
    </xf>
    <xf numFmtId="0" fontId="28" fillId="0" borderId="35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2" fillId="0" borderId="36" xfId="0" applyFont="1" applyBorder="1" applyAlignment="1">
      <alignment horizontal="right"/>
    </xf>
    <xf numFmtId="0" fontId="22" fillId="0" borderId="37" xfId="0" applyFont="1" applyBorder="1" applyAlignment="1">
      <alignment horizontal="right"/>
    </xf>
    <xf numFmtId="0" fontId="16" fillId="0" borderId="3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2 2" xfId="4" xr:uid="{00000000-0005-0000-0000-000004000000}"/>
    <cellStyle name="Normal_CRITERIOS DE EVALUACION PT DE GB 2" xfId="5" xr:uid="{00000000-0005-0000-0000-000005000000}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Desktop/Navidad%202018/ESP-RE-BAS-014(03)%20Batido%20Melocoton%20From%20Scratch%20%209588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4097</v>
          </cell>
          <cell r="E146" t="str">
            <v>UND</v>
          </cell>
          <cell r="F146">
            <v>10.781578947368422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54480.682748715342</v>
          </cell>
          <cell r="F11">
            <v>1.2634666685694653</v>
          </cell>
          <cell r="G11">
            <v>129.47633523809526</v>
          </cell>
          <cell r="H11">
            <v>3.0026979415142684E-3</v>
          </cell>
          <cell r="I11">
            <v>880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678.51380087546431</v>
          </cell>
          <cell r="F24">
            <v>678.51380087546431</v>
          </cell>
          <cell r="G24">
            <v>10.458115476693255</v>
          </cell>
          <cell r="H24">
            <v>10.458115476693255</v>
          </cell>
          <cell r="I24">
            <v>25.731889744833179</v>
          </cell>
          <cell r="J24">
            <v>25.731889744833179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37.970244000000001</v>
          </cell>
          <cell r="H26">
            <v>2.6866372320101888E-3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907000050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19.822725555555557</v>
          </cell>
          <cell r="H62">
            <v>1.6155440550575027E-2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2800.6299308377893</v>
          </cell>
          <cell r="F75">
            <v>2.8006299308377893</v>
          </cell>
          <cell r="G75">
            <v>229.3948051948052</v>
          </cell>
          <cell r="H75">
            <v>0.22939480519480521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124.95451935071979</v>
          </cell>
          <cell r="F77">
            <v>124.95451935071979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20134.403702399999</v>
          </cell>
          <cell r="F81">
            <v>0.8641374979570815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20134.403702399999</v>
          </cell>
          <cell r="F86">
            <v>0.85590901642577788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130.48862249999999</v>
          </cell>
          <cell r="H96">
            <v>9.0680071230020837E-3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1295.8859589591082</v>
          </cell>
          <cell r="F97">
            <v>1.2958859589591081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145.32452499999999</v>
          </cell>
          <cell r="H99">
            <v>3.5371674577096262E-3</v>
          </cell>
          <cell r="I99">
            <v>825</v>
          </cell>
          <cell r="J99">
            <v>2.0080321285140562E-2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1695.2357207995622</v>
          </cell>
          <cell r="F103">
            <v>1.6952357207995621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1925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25.02874111111111</v>
          </cell>
          <cell r="H123">
            <v>2.2753401010101007E-3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95722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KILO</v>
          </cell>
          <cell r="D138" t="str">
            <v>GRAMO</v>
          </cell>
          <cell r="E138">
            <v>1505.085</v>
          </cell>
          <cell r="F138">
            <v>1.505085</v>
          </cell>
          <cell r="G138">
            <v>10.958269000000001</v>
          </cell>
          <cell r="H138">
            <v>1.0958269000000001E-2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KILO</v>
          </cell>
          <cell r="D147" t="str">
            <v>GRAMO</v>
          </cell>
          <cell r="E147">
            <v>1874.0260666666668</v>
          </cell>
          <cell r="F147">
            <v>1.8740260666666668</v>
          </cell>
          <cell r="G147">
            <v>4.7666666666666663E-2</v>
          </cell>
          <cell r="H147">
            <v>4.7666666666666662E-5</v>
          </cell>
          <cell r="I147">
            <v>26.666666666666668</v>
          </cell>
          <cell r="J147">
            <v>2.6666666666666668E-2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95817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871.41789396866682</v>
          </cell>
          <cell r="F164">
            <v>871.41789396866682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GENOVESA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69.895097488372087</v>
          </cell>
          <cell r="F181">
            <v>69.895097488372087</v>
          </cell>
          <cell r="G181">
            <v>1.0934808139534881E-2</v>
          </cell>
          <cell r="H181">
            <v>1.0934808139534881E-2</v>
          </cell>
          <cell r="I181">
            <v>7.7703488372093021</v>
          </cell>
          <cell r="J181">
            <v>7.7703488372093021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(1516g)</v>
          </cell>
          <cell r="C196" t="str">
            <v>KILO</v>
          </cell>
          <cell r="D196" t="str">
            <v>GRAMO</v>
          </cell>
          <cell r="E196">
            <v>3038.1794284166672</v>
          </cell>
          <cell r="F196">
            <v>3.038179428416667</v>
          </cell>
          <cell r="G196">
            <v>0</v>
          </cell>
          <cell r="H196">
            <v>0</v>
          </cell>
          <cell r="I196">
            <v>160.41666666666669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96180</v>
          </cell>
          <cell r="B200" t="str">
            <v>RELLENO DELIZZIA (7.150 Kg)</v>
          </cell>
          <cell r="C200" t="str">
            <v>KILO</v>
          </cell>
          <cell r="D200" t="str">
            <v>GRAMO</v>
          </cell>
          <cell r="E200">
            <v>1901.6339954888927</v>
          </cell>
          <cell r="F200">
            <v>1.9016339954888926</v>
          </cell>
          <cell r="G200">
            <v>1.5039062499999999E-2</v>
          </cell>
          <cell r="H200">
            <v>1.5039062499999999E-5</v>
          </cell>
          <cell r="I200">
            <v>77.01322115384616</v>
          </cell>
          <cell r="J200">
            <v>7.7013221153846165E-2</v>
          </cell>
        </row>
        <row r="201">
          <cell r="A201" t="str">
            <v>96192</v>
          </cell>
          <cell r="B201" t="str">
            <v>ACEITE DE AJO Y PEREJIL (1000g)</v>
          </cell>
          <cell r="C201" t="str">
            <v>TANDA</v>
          </cell>
          <cell r="D201" t="str">
            <v>GRAMO</v>
          </cell>
          <cell r="E201">
            <v>2790.6051721925132</v>
          </cell>
          <cell r="F201">
            <v>2.7906051721925134</v>
          </cell>
          <cell r="G201">
            <v>14.672860317171718</v>
          </cell>
          <cell r="H201">
            <v>1.4672860317171719E-2</v>
          </cell>
          <cell r="I201">
            <v>222.55</v>
          </cell>
          <cell r="J201">
            <v>0.22255</v>
          </cell>
        </row>
        <row r="202">
          <cell r="A202" t="str">
            <v>96197</v>
          </cell>
          <cell r="B202" t="str">
            <v>MEZCLA DE YEMA PARA PINTAR (1430g)</v>
          </cell>
          <cell r="C202" t="str">
            <v>TANDA</v>
          </cell>
          <cell r="D202" t="str">
            <v>GRAMO</v>
          </cell>
          <cell r="E202">
            <v>2413.21</v>
          </cell>
          <cell r="F202">
            <v>1.6875594405594405</v>
          </cell>
          <cell r="G202">
            <v>0</v>
          </cell>
          <cell r="H202">
            <v>0</v>
          </cell>
          <cell r="I202">
            <v>55</v>
          </cell>
          <cell r="J202">
            <v>3.8461538461538464E-2</v>
          </cell>
        </row>
        <row r="203">
          <cell r="A203" t="str">
            <v>96199</v>
          </cell>
          <cell r="B203" t="str">
            <v>COBERTURA CHOCOLATE LECHE RALLADO (4700g)</v>
          </cell>
          <cell r="C203" t="str">
            <v>KILO</v>
          </cell>
          <cell r="D203" t="str">
            <v>GRAMO</v>
          </cell>
          <cell r="E203">
            <v>22340</v>
          </cell>
          <cell r="F203">
            <v>4.7531914893617024</v>
          </cell>
          <cell r="G203">
            <v>1.1990000000000001</v>
          </cell>
          <cell r="H203">
            <v>2.5510638297872339E-4</v>
          </cell>
          <cell r="I203">
            <v>385</v>
          </cell>
          <cell r="J203">
            <v>8.191489361702127E-2</v>
          </cell>
        </row>
        <row r="204">
          <cell r="A204" t="str">
            <v>96223</v>
          </cell>
          <cell r="B204" t="str">
            <v>GANACHE DE DULCE LECHE (4800g)</v>
          </cell>
          <cell r="C204" t="str">
            <v>KILO</v>
          </cell>
          <cell r="D204" t="str">
            <v>GRAMO</v>
          </cell>
          <cell r="E204">
            <v>2483.106770833333</v>
          </cell>
          <cell r="F204">
            <v>2.483106770833333</v>
          </cell>
          <cell r="G204">
            <v>0</v>
          </cell>
          <cell r="H204">
            <v>0</v>
          </cell>
          <cell r="I204">
            <v>116.66666666666667</v>
          </cell>
          <cell r="J204">
            <v>0.11666666666666667</v>
          </cell>
        </row>
        <row r="205">
          <cell r="A205" t="str">
            <v>96242</v>
          </cell>
          <cell r="B205" t="str">
            <v>PURE PAPA (2000g)</v>
          </cell>
          <cell r="C205" t="str">
            <v>KILO</v>
          </cell>
          <cell r="D205" t="str">
            <v>GRAMO</v>
          </cell>
          <cell r="E205">
            <v>1997.5468639999997</v>
          </cell>
          <cell r="F205">
            <v>1.9975468639999996</v>
          </cell>
          <cell r="G205">
            <v>11.666437714285715</v>
          </cell>
          <cell r="H205">
            <v>1.1666437714285716E-2</v>
          </cell>
          <cell r="I205">
            <v>165.7</v>
          </cell>
          <cell r="J205">
            <v>0.16569999999999999</v>
          </cell>
        </row>
        <row r="206">
          <cell r="A206" t="str">
            <v>96251</v>
          </cell>
          <cell r="B206" t="str">
            <v>GALLETA P/TORTA CHILENA FAS (210g)</v>
          </cell>
          <cell r="C206" t="str">
            <v>UND</v>
          </cell>
          <cell r="D206" t="str">
            <v>UND</v>
          </cell>
          <cell r="E206">
            <v>226.41733244134201</v>
          </cell>
          <cell r="F206">
            <v>226.41733244134201</v>
          </cell>
          <cell r="G206">
            <v>0.65629030839002267</v>
          </cell>
          <cell r="H206">
            <v>0.65629030839002267</v>
          </cell>
          <cell r="I206">
            <v>27.595238095238095</v>
          </cell>
          <cell r="J206">
            <v>27.595238095238095</v>
          </cell>
        </row>
        <row r="207">
          <cell r="A207" t="str">
            <v>96252</v>
          </cell>
          <cell r="B207" t="str">
            <v>RELLENO CHEESE CAKE INDUSTRIA (9000g)</v>
          </cell>
          <cell r="C207" t="str">
            <v>TANDA</v>
          </cell>
          <cell r="D207" t="str">
            <v>GRAMO</v>
          </cell>
          <cell r="E207">
            <v>18145.277160472564</v>
          </cell>
          <cell r="F207">
            <v>2.0161419067191737</v>
          </cell>
          <cell r="G207">
            <v>0.13834615384615384</v>
          </cell>
          <cell r="H207">
            <v>1.5371794871794872E-5</v>
          </cell>
          <cell r="I207">
            <v>888.46153846153845</v>
          </cell>
          <cell r="J207">
            <v>9.8717948717948714E-2</v>
          </cell>
        </row>
        <row r="208">
          <cell r="A208" t="str">
            <v>96263</v>
          </cell>
          <cell r="B208" t="str">
            <v>QUESO PARMESANO LAMINADO (8580g)</v>
          </cell>
          <cell r="C208" t="str">
            <v>TANDA</v>
          </cell>
          <cell r="D208" t="str">
            <v>GRAMO</v>
          </cell>
          <cell r="E208">
            <v>94190.862500000003</v>
          </cell>
          <cell r="F208">
            <v>10.977956002331002</v>
          </cell>
          <cell r="G208">
            <v>26.763632000000001</v>
          </cell>
          <cell r="H208">
            <v>3.1193044289044292E-3</v>
          </cell>
          <cell r="I208">
            <v>275</v>
          </cell>
          <cell r="J208">
            <v>3.2051282051282048E-2</v>
          </cell>
        </row>
        <row r="209">
          <cell r="A209" t="str">
            <v>96266</v>
          </cell>
          <cell r="B209" t="str">
            <v>LAMINA AZUCAR ESCANEADA (UND)</v>
          </cell>
          <cell r="C209" t="str">
            <v>UND</v>
          </cell>
          <cell r="D209" t="str">
            <v>UND</v>
          </cell>
          <cell r="E209">
            <v>1387.384</v>
          </cell>
          <cell r="F209">
            <v>1387.384</v>
          </cell>
          <cell r="G209">
            <v>0</v>
          </cell>
          <cell r="H209">
            <v>0</v>
          </cell>
          <cell r="I209">
            <v>275</v>
          </cell>
          <cell r="J209">
            <v>275</v>
          </cell>
        </row>
        <row r="210">
          <cell r="A210" t="str">
            <v>96267</v>
          </cell>
          <cell r="B210" t="str">
            <v>ROSQUETE CHOCOLATE BUCCA (320g)</v>
          </cell>
          <cell r="C210" t="str">
            <v>UND</v>
          </cell>
          <cell r="D210" t="str">
            <v>UND</v>
          </cell>
          <cell r="E210">
            <v>355.25335753863862</v>
          </cell>
          <cell r="F210">
            <v>355.25335753863862</v>
          </cell>
          <cell r="G210">
            <v>8.2092643814880741</v>
          </cell>
          <cell r="H210">
            <v>8.2092643814880741</v>
          </cell>
          <cell r="I210">
            <v>35.876510067114097</v>
          </cell>
          <cell r="J210">
            <v>35.876510067114097</v>
          </cell>
        </row>
        <row r="211">
          <cell r="A211" t="str">
            <v>96270</v>
          </cell>
          <cell r="B211" t="str">
            <v>ROSQUETE MELOCOTON PURATOS (360g)</v>
          </cell>
          <cell r="C211" t="str">
            <v>UND</v>
          </cell>
          <cell r="D211" t="str">
            <v>UND</v>
          </cell>
          <cell r="E211">
            <v>422.05372617403651</v>
          </cell>
          <cell r="F211">
            <v>422.05372617403651</v>
          </cell>
          <cell r="G211">
            <v>8.7370147215647176</v>
          </cell>
          <cell r="H211">
            <v>8.7370147215647176</v>
          </cell>
          <cell r="I211">
            <v>19.774041546820072</v>
          </cell>
          <cell r="J211">
            <v>19.774041546820072</v>
          </cell>
        </row>
        <row r="212">
          <cell r="A212" t="str">
            <v>96271</v>
          </cell>
          <cell r="B212" t="str">
            <v>CORTE  P/GALLETA ESC (UND)</v>
          </cell>
          <cell r="C212" t="str">
            <v>UND</v>
          </cell>
          <cell r="D212" t="str">
            <v>UND</v>
          </cell>
          <cell r="E212">
            <v>21.349894497743044</v>
          </cell>
          <cell r="F212">
            <v>21.349894497743044</v>
          </cell>
          <cell r="G212">
            <v>0</v>
          </cell>
          <cell r="H212">
            <v>0</v>
          </cell>
          <cell r="I212">
            <v>10.686239816064377</v>
          </cell>
          <cell r="J212">
            <v>10.686239816064377</v>
          </cell>
        </row>
        <row r="213">
          <cell r="A213" t="str">
            <v>96272</v>
          </cell>
          <cell r="B213" t="str">
            <v>EMPANADA POLLO C/AJONJOLI (UND)</v>
          </cell>
          <cell r="C213" t="str">
            <v>UND</v>
          </cell>
          <cell r="D213" t="str">
            <v>UND</v>
          </cell>
          <cell r="E213">
            <v>185.40642008823716</v>
          </cell>
          <cell r="F213">
            <v>185.40642008823716</v>
          </cell>
          <cell r="G213">
            <v>1.7940720010640245</v>
          </cell>
          <cell r="H213">
            <v>1.7940720010640245</v>
          </cell>
          <cell r="I213">
            <v>45.17753744451764</v>
          </cell>
          <cell r="J213">
            <v>45.17753744451764</v>
          </cell>
        </row>
        <row r="214">
          <cell r="A214" t="str">
            <v>96275</v>
          </cell>
          <cell r="B214" t="str">
            <v>GALLETA CHOCOLATE CHIPS STARBUCKS (UND)</v>
          </cell>
          <cell r="C214" t="str">
            <v>UND</v>
          </cell>
          <cell r="D214" t="str">
            <v>UND</v>
          </cell>
          <cell r="E214">
            <v>142.47345146308726</v>
          </cell>
          <cell r="F214">
            <v>142.47345146308726</v>
          </cell>
          <cell r="G214">
            <v>0.13315657482254814</v>
          </cell>
          <cell r="H214">
            <v>0.13315657482254814</v>
          </cell>
          <cell r="I214">
            <v>9.8643519761372112</v>
          </cell>
          <cell r="J214">
            <v>9.8643519761372112</v>
          </cell>
        </row>
        <row r="215">
          <cell r="A215" t="str">
            <v>96276</v>
          </cell>
          <cell r="B215" t="str">
            <v>ROSQUETE CARAMELO PURATOS (335g)</v>
          </cell>
          <cell r="C215" t="str">
            <v>UND</v>
          </cell>
          <cell r="D215" t="str">
            <v>UND</v>
          </cell>
          <cell r="E215">
            <v>446.846888464561</v>
          </cell>
          <cell r="F215">
            <v>446.846888464561</v>
          </cell>
          <cell r="G215">
            <v>7.6483473744357671</v>
          </cell>
          <cell r="H215">
            <v>7.6483473744357671</v>
          </cell>
          <cell r="I215">
            <v>5.5005424229143616</v>
          </cell>
          <cell r="J215">
            <v>5.5005424229143616</v>
          </cell>
        </row>
        <row r="216">
          <cell r="A216" t="str">
            <v>96277</v>
          </cell>
          <cell r="B216" t="str">
            <v>ARREGLADOS GRANDE (UND)</v>
          </cell>
          <cell r="C216" t="str">
            <v>UND</v>
          </cell>
          <cell r="D216" t="str">
            <v>UND</v>
          </cell>
          <cell r="E216">
            <v>61.2487247127549</v>
          </cell>
          <cell r="F216">
            <v>61.2487247127549</v>
          </cell>
          <cell r="G216">
            <v>0.33516442918327466</v>
          </cell>
          <cell r="H216">
            <v>0.33516442918327466</v>
          </cell>
          <cell r="I216">
            <v>14.436503612785934</v>
          </cell>
          <cell r="J216">
            <v>14.436503612785934</v>
          </cell>
        </row>
        <row r="217">
          <cell r="A217" t="str">
            <v>96280</v>
          </cell>
          <cell r="B217" t="str">
            <v>OREJITAS DULCES (5409g)</v>
          </cell>
          <cell r="C217" t="str">
            <v>KILO</v>
          </cell>
          <cell r="D217" t="str">
            <v>GRAMO</v>
          </cell>
          <cell r="E217">
            <v>935.32970759169018</v>
          </cell>
          <cell r="F217">
            <v>0.93532970759169021</v>
          </cell>
          <cell r="G217">
            <v>4.3075589700960348</v>
          </cell>
          <cell r="H217">
            <v>4.3075589700960351E-3</v>
          </cell>
          <cell r="I217">
            <v>625.67426218810954</v>
          </cell>
          <cell r="J217">
            <v>0.62567426218810951</v>
          </cell>
        </row>
        <row r="218">
          <cell r="A218" t="str">
            <v>96284</v>
          </cell>
          <cell r="B218" t="str">
            <v>CROISSANT SPOON 110g (UND)</v>
          </cell>
          <cell r="C218" t="str">
            <v>UND</v>
          </cell>
          <cell r="D218" t="str">
            <v>UND</v>
          </cell>
          <cell r="E218">
            <v>123.89697454065589</v>
          </cell>
          <cell r="F218">
            <v>123.89697454065589</v>
          </cell>
          <cell r="G218">
            <v>0.39982959433249193</v>
          </cell>
          <cell r="H218">
            <v>0.39982959433249193</v>
          </cell>
          <cell r="I218">
            <v>46.883423180592985</v>
          </cell>
          <cell r="J218">
            <v>46.883423180592985</v>
          </cell>
        </row>
        <row r="219">
          <cell r="A219" t="str">
            <v>96292</v>
          </cell>
          <cell r="B219" t="str">
            <v>ROSQUETE TRES LECHES RED. (150g)</v>
          </cell>
          <cell r="C219" t="str">
            <v>UND</v>
          </cell>
          <cell r="D219" t="str">
            <v>UND</v>
          </cell>
          <cell r="E219">
            <v>161.62757625425056</v>
          </cell>
          <cell r="F219">
            <v>161.62757625425056</v>
          </cell>
          <cell r="G219">
            <v>1.7718978079258554</v>
          </cell>
          <cell r="H219">
            <v>1.7718978079258554</v>
          </cell>
          <cell r="I219">
            <v>29.720637583892618</v>
          </cell>
          <cell r="J219">
            <v>29.720637583892618</v>
          </cell>
        </row>
        <row r="220">
          <cell r="A220" t="str">
            <v>96293</v>
          </cell>
          <cell r="B220" t="str">
            <v>BATIDO P/ROSQUETE TRES LECHES (16700g)</v>
          </cell>
          <cell r="C220" t="str">
            <v>KILO</v>
          </cell>
          <cell r="D220" t="str">
            <v>GRAMO</v>
          </cell>
          <cell r="E220">
            <v>812.68024883060116</v>
          </cell>
          <cell r="F220">
            <v>0.81268024883060119</v>
          </cell>
          <cell r="G220">
            <v>3.6661407407407403</v>
          </cell>
          <cell r="H220">
            <v>3.6661407407407405E-3</v>
          </cell>
          <cell r="I220">
            <v>24.043715846994537</v>
          </cell>
          <cell r="J220">
            <v>2.4043715846994537E-2</v>
          </cell>
        </row>
        <row r="221">
          <cell r="A221" t="str">
            <v>96296</v>
          </cell>
          <cell r="B221" t="str">
            <v>BATIDO P/ROSQUETE CHOCOLATE BUCCA (48100g)</v>
          </cell>
          <cell r="C221" t="str">
            <v>TANDA</v>
          </cell>
          <cell r="D221" t="str">
            <v>GRAMO</v>
          </cell>
          <cell r="E221">
            <v>39777.513660588236</v>
          </cell>
          <cell r="F221">
            <v>0.82697533597896544</v>
          </cell>
          <cell r="G221">
            <v>2.9325322222222225</v>
          </cell>
          <cell r="H221">
            <v>6.0967405867405874E-5</v>
          </cell>
          <cell r="I221">
            <v>550</v>
          </cell>
          <cell r="J221">
            <v>1.1434511434511435E-2</v>
          </cell>
        </row>
        <row r="222">
          <cell r="A222" t="str">
            <v>96299</v>
          </cell>
          <cell r="B222" t="str">
            <v>CROISSANT C/JAMON STB (UND)</v>
          </cell>
          <cell r="C222" t="str">
            <v>UND</v>
          </cell>
          <cell r="D222" t="str">
            <v>UND</v>
          </cell>
          <cell r="E222">
            <v>307.09518973819553</v>
          </cell>
          <cell r="F222">
            <v>307.09518973819553</v>
          </cell>
          <cell r="G222">
            <v>0.73358858788922221</v>
          </cell>
          <cell r="H222">
            <v>0.73358858788922221</v>
          </cell>
          <cell r="I222">
            <v>50.787974886339036</v>
          </cell>
          <cell r="J222">
            <v>50.787974886339036</v>
          </cell>
        </row>
        <row r="223">
          <cell r="A223" t="str">
            <v>902000014</v>
          </cell>
          <cell r="B223" t="str">
            <v>BATIDO P/BROWNIE SPOON (8000g)</v>
          </cell>
          <cell r="C223" t="str">
            <v>KILO</v>
          </cell>
          <cell r="D223" t="str">
            <v>GRAMO</v>
          </cell>
          <cell r="E223">
            <v>8947.9594560000005</v>
          </cell>
          <cell r="F223">
            <v>1.1184949320000002</v>
          </cell>
          <cell r="G223">
            <v>117.03071158730158</v>
          </cell>
          <cell r="H223">
            <v>1.4628838948412697E-2</v>
          </cell>
          <cell r="I223">
            <v>412.5</v>
          </cell>
          <cell r="J223">
            <v>5.1562499999999997E-2</v>
          </cell>
        </row>
        <row r="224">
          <cell r="A224" t="str">
            <v>96306</v>
          </cell>
          <cell r="B224" t="str">
            <v>BATIDO P/COCADA SPOON (21500g)</v>
          </cell>
          <cell r="C224" t="str">
            <v>TANDA</v>
          </cell>
          <cell r="D224" t="str">
            <v>GRAMO</v>
          </cell>
          <cell r="E224">
            <v>49322.221812189833</v>
          </cell>
          <cell r="F224">
            <v>2.2940568284739458</v>
          </cell>
          <cell r="G224">
            <v>0</v>
          </cell>
          <cell r="H224">
            <v>0</v>
          </cell>
          <cell r="I224">
            <v>550</v>
          </cell>
          <cell r="J224">
            <v>2.5581395348837209E-2</v>
          </cell>
        </row>
        <row r="225">
          <cell r="A225" t="str">
            <v>96311</v>
          </cell>
          <cell r="B225" t="str">
            <v>ROSQUETE CHOCOLATE RED. (700g)</v>
          </cell>
          <cell r="C225" t="str">
            <v>UND</v>
          </cell>
          <cell r="D225" t="str">
            <v>UND</v>
          </cell>
          <cell r="E225">
            <v>852.46206408625835</v>
          </cell>
          <cell r="F225">
            <v>852.46206408625835</v>
          </cell>
          <cell r="G225">
            <v>15.921994095213645</v>
          </cell>
          <cell r="H225">
            <v>15.921994095213645</v>
          </cell>
          <cell r="I225">
            <v>29.022774782704367</v>
          </cell>
          <cell r="J225">
            <v>29.022774782704367</v>
          </cell>
        </row>
        <row r="226">
          <cell r="A226" t="str">
            <v>96322</v>
          </cell>
          <cell r="B226" t="str">
            <v>BATIDO P/ROSQUETE CARAMELO (18150g)</v>
          </cell>
          <cell r="C226" t="str">
            <v>KILO</v>
          </cell>
          <cell r="D226" t="str">
            <v>GRAMO</v>
          </cell>
          <cell r="E226">
            <v>1190.2698842975205</v>
          </cell>
          <cell r="F226">
            <v>1.1902698842975206</v>
          </cell>
          <cell r="G226">
            <v>0</v>
          </cell>
          <cell r="H226">
            <v>0</v>
          </cell>
          <cell r="I226">
            <v>15.426997245179065</v>
          </cell>
          <cell r="J226">
            <v>1.5426997245179064E-2</v>
          </cell>
        </row>
        <row r="227">
          <cell r="A227" t="str">
            <v>96324</v>
          </cell>
          <cell r="B227" t="str">
            <v>ROSQUETE CARAMELO PURATOS (1060g)</v>
          </cell>
          <cell r="C227" t="str">
            <v>UND</v>
          </cell>
          <cell r="D227" t="str">
            <v>UND</v>
          </cell>
          <cell r="E227">
            <v>1440.5810135573906</v>
          </cell>
          <cell r="F227">
            <v>1440.5810135573906</v>
          </cell>
          <cell r="G227">
            <v>19.769060411482837</v>
          </cell>
          <cell r="H227">
            <v>19.769060411482837</v>
          </cell>
          <cell r="I227">
            <v>43.943276172306241</v>
          </cell>
          <cell r="J227">
            <v>43.943276172306241</v>
          </cell>
        </row>
        <row r="228">
          <cell r="A228" t="str">
            <v>96328</v>
          </cell>
          <cell r="B228" t="str">
            <v>ROSQUETE MELOCOTON RECT.PURATOS (3400g)</v>
          </cell>
          <cell r="C228" t="str">
            <v>UND</v>
          </cell>
          <cell r="D228" t="str">
            <v>UND</v>
          </cell>
          <cell r="E228">
            <v>4595.986369707296</v>
          </cell>
          <cell r="F228">
            <v>4595.986369707296</v>
          </cell>
          <cell r="G228">
            <v>29.641797018394229</v>
          </cell>
          <cell r="H228">
            <v>29.641797018394229</v>
          </cell>
          <cell r="I228">
            <v>140.25143489451781</v>
          </cell>
          <cell r="J228">
            <v>140.25143489451781</v>
          </cell>
        </row>
        <row r="229">
          <cell r="A229" t="str">
            <v>96329</v>
          </cell>
          <cell r="B229" t="str">
            <v>PRALINE (1380g)</v>
          </cell>
          <cell r="C229" t="str">
            <v>KILO</v>
          </cell>
          <cell r="D229" t="str">
            <v>GRAMO</v>
          </cell>
          <cell r="E229">
            <v>5776.4652173913037</v>
          </cell>
          <cell r="F229">
            <v>5.776465217391304</v>
          </cell>
          <cell r="G229">
            <v>7.8260869565217401</v>
          </cell>
          <cell r="H229">
            <v>7.8260869565217397E-3</v>
          </cell>
          <cell r="I229">
            <v>405.79710144927537</v>
          </cell>
          <cell r="J229">
            <v>0.40579710144927539</v>
          </cell>
        </row>
        <row r="230">
          <cell r="A230" t="str">
            <v>96331</v>
          </cell>
          <cell r="B230" t="str">
            <v>BOLLETA BLANCA P/CROCANTINI (80g)</v>
          </cell>
          <cell r="C230" t="str">
            <v>UND</v>
          </cell>
          <cell r="D230" t="str">
            <v>UND</v>
          </cell>
          <cell r="E230">
            <v>45.417622234316674</v>
          </cell>
          <cell r="F230">
            <v>45.417622234316674</v>
          </cell>
          <cell r="G230">
            <v>0.39930195657604239</v>
          </cell>
          <cell r="H230">
            <v>0.39930195657604239</v>
          </cell>
          <cell r="I230">
            <v>23.408856882257645</v>
          </cell>
          <cell r="J230">
            <v>23.408856882257645</v>
          </cell>
        </row>
        <row r="231">
          <cell r="A231" t="str">
            <v>96340</v>
          </cell>
          <cell r="B231" t="str">
            <v>CREMA MOKA C/BAILEYS (1200g)</v>
          </cell>
          <cell r="C231" t="str">
            <v>KILO</v>
          </cell>
          <cell r="D231" t="str">
            <v>GRAMO</v>
          </cell>
          <cell r="E231">
            <v>4033.7853397038107</v>
          </cell>
          <cell r="F231">
            <v>4.0337853397038108</v>
          </cell>
          <cell r="G231">
            <v>0.93512481943999726</v>
          </cell>
          <cell r="H231">
            <v>9.3512481943999726E-4</v>
          </cell>
          <cell r="I231">
            <v>249.85910983029137</v>
          </cell>
          <cell r="J231">
            <v>0.24985910983029139</v>
          </cell>
        </row>
        <row r="232">
          <cell r="A232" t="str">
            <v>96341</v>
          </cell>
          <cell r="B232" t="str">
            <v>PECANA CUBIERTA C/COCOLATE BLANCO (500g)</v>
          </cell>
          <cell r="C232" t="str">
            <v>KILO</v>
          </cell>
          <cell r="D232" t="str">
            <v>GRAMO</v>
          </cell>
          <cell r="E232">
            <v>6432.4953750000004</v>
          </cell>
          <cell r="F232">
            <v>6.4324953750000002</v>
          </cell>
          <cell r="G232">
            <v>32.96543615625</v>
          </cell>
          <cell r="H232">
            <v>3.296543615625E-2</v>
          </cell>
          <cell r="I232">
            <v>600.16666666666663</v>
          </cell>
          <cell r="J232">
            <v>0.60016666666666663</v>
          </cell>
        </row>
        <row r="233">
          <cell r="A233" t="str">
            <v>96342</v>
          </cell>
          <cell r="B233" t="str">
            <v>MEZCLA DE TRES LECHES C/BAILEYS (3600g)</v>
          </cell>
          <cell r="C233" t="str">
            <v>LITRO</v>
          </cell>
          <cell r="D233" t="str">
            <v>GRAMO</v>
          </cell>
          <cell r="E233">
            <v>6479.2919439704865</v>
          </cell>
          <cell r="F233">
            <v>6.4792919439704866</v>
          </cell>
          <cell r="G233">
            <v>2.6780055555555555</v>
          </cell>
          <cell r="H233">
            <v>2.6780055555555553E-3</v>
          </cell>
          <cell r="I233">
            <v>35.223765432098766</v>
          </cell>
          <cell r="J233">
            <v>3.5223765432098764E-2</v>
          </cell>
        </row>
        <row r="234">
          <cell r="A234" t="str">
            <v>96343</v>
          </cell>
          <cell r="B234" t="str">
            <v>GANACHE BAILEYS (700g)</v>
          </cell>
          <cell r="C234" t="str">
            <v>KILO</v>
          </cell>
          <cell r="D234" t="str">
            <v>GRAMO</v>
          </cell>
          <cell r="E234">
            <v>4033.9998857142855</v>
          </cell>
          <cell r="F234">
            <v>4.0339998857142856</v>
          </cell>
          <cell r="G234">
            <v>13.772599999999999</v>
          </cell>
          <cell r="H234">
            <v>1.3772599999999999E-2</v>
          </cell>
          <cell r="I234">
            <v>392.85714285714283</v>
          </cell>
          <cell r="J234">
            <v>0.39285714285714285</v>
          </cell>
        </row>
        <row r="235">
          <cell r="A235" t="str">
            <v>96344</v>
          </cell>
          <cell r="B235" t="str">
            <v>CREMA DULCE LECHE (24500g)</v>
          </cell>
          <cell r="C235" t="str">
            <v>TANDA</v>
          </cell>
          <cell r="D235" t="str">
            <v>GRAMO</v>
          </cell>
          <cell r="E235">
            <v>47842.976727200003</v>
          </cell>
          <cell r="F235">
            <v>1.9527745602938777</v>
          </cell>
          <cell r="G235">
            <v>0</v>
          </cell>
          <cell r="H235">
            <v>0</v>
          </cell>
          <cell r="I235">
            <v>275</v>
          </cell>
          <cell r="J235">
            <v>1.1224489795918367E-2</v>
          </cell>
        </row>
        <row r="236">
          <cell r="A236" t="str">
            <v>96349</v>
          </cell>
          <cell r="B236" t="str">
            <v>BATIDO P/ROSQUETE ZANAHORIA (10200g)</v>
          </cell>
          <cell r="C236" t="str">
            <v>KILO</v>
          </cell>
          <cell r="D236" t="str">
            <v>GRAMO</v>
          </cell>
          <cell r="E236">
            <v>19770.832487975571</v>
          </cell>
          <cell r="F236">
            <v>1.8306326377755158</v>
          </cell>
          <cell r="G236">
            <v>11.122917368936587</v>
          </cell>
          <cell r="H236">
            <v>1.0298997563830173E-3</v>
          </cell>
          <cell r="I236">
            <v>991.51782292065923</v>
          </cell>
          <cell r="J236">
            <v>9.1807205825986962E-2</v>
          </cell>
        </row>
        <row r="237">
          <cell r="A237" t="str">
            <v>96352</v>
          </cell>
          <cell r="B237" t="str">
            <v>GALLETA P/TORTA CHILENA BUCCA</v>
          </cell>
          <cell r="C237" t="str">
            <v>UND</v>
          </cell>
          <cell r="D237" t="str">
            <v>UND</v>
          </cell>
          <cell r="E237">
            <v>59.974259271360751</v>
          </cell>
          <cell r="F237">
            <v>59.974259271360751</v>
          </cell>
          <cell r="G237">
            <v>0.46606528812537668</v>
          </cell>
          <cell r="H237">
            <v>0.46606528812537668</v>
          </cell>
          <cell r="I237">
            <v>15.320253164556961</v>
          </cell>
          <cell r="J237">
            <v>15.320253164556961</v>
          </cell>
        </row>
        <row r="238">
          <cell r="A238" t="str">
            <v>90100143</v>
          </cell>
          <cell r="B238" t="str">
            <v>ROSQUETE VAINILLA PURATOS  (1000g)</v>
          </cell>
          <cell r="C238" t="str">
            <v>UND</v>
          </cell>
          <cell r="D238" t="str">
            <v>UND</v>
          </cell>
          <cell r="E238">
            <v>1023.982802590923</v>
          </cell>
          <cell r="F238">
            <v>1023.982802590923</v>
          </cell>
          <cell r="G238">
            <v>24.187790337380832</v>
          </cell>
          <cell r="H238">
            <v>24.187790337380832</v>
          </cell>
          <cell r="I238">
            <v>34.421435367327526</v>
          </cell>
          <cell r="J238">
            <v>34.421435367327526</v>
          </cell>
        </row>
        <row r="239">
          <cell r="A239" t="str">
            <v>96357</v>
          </cell>
          <cell r="B239" t="str">
            <v>ROSQUETE CHOCOLATE SPOON  (280g)</v>
          </cell>
          <cell r="C239" t="str">
            <v>UND</v>
          </cell>
          <cell r="D239" t="str">
            <v>UND</v>
          </cell>
          <cell r="E239">
            <v>361.52154215254848</v>
          </cell>
          <cell r="F239">
            <v>361.52154215254848</v>
          </cell>
          <cell r="G239">
            <v>4.9894117266091946</v>
          </cell>
          <cell r="H239">
            <v>4.9894117266091946</v>
          </cell>
          <cell r="I239">
            <v>15.669346192538576</v>
          </cell>
          <cell r="J239">
            <v>15.669346192538576</v>
          </cell>
        </row>
        <row r="240">
          <cell r="A240" t="str">
            <v>96360</v>
          </cell>
          <cell r="B240" t="str">
            <v>COCCION PALMITO P/ENSALADA (1900g)</v>
          </cell>
          <cell r="C240" t="str">
            <v>KILO</v>
          </cell>
          <cell r="D240" t="str">
            <v>GRAMO</v>
          </cell>
          <cell r="E240">
            <v>2347.4006557894736</v>
          </cell>
          <cell r="F240">
            <v>2.3474006557894738</v>
          </cell>
          <cell r="G240">
            <v>44.225973684210523</v>
          </cell>
          <cell r="H240">
            <v>4.4225973684210523E-2</v>
          </cell>
          <cell r="I240">
            <v>86.842105263157904</v>
          </cell>
          <cell r="J240">
            <v>8.6842105263157901E-2</v>
          </cell>
        </row>
        <row r="241">
          <cell r="A241" t="str">
            <v>96361</v>
          </cell>
          <cell r="B241" t="str">
            <v>BATIDO YOGURT CAKE (10500g)</v>
          </cell>
          <cell r="C241" t="str">
            <v>KILO</v>
          </cell>
          <cell r="D241" t="str">
            <v>GRAMO</v>
          </cell>
          <cell r="E241">
            <v>1356.717147051859</v>
          </cell>
          <cell r="F241">
            <v>1.3567171470518591</v>
          </cell>
          <cell r="G241">
            <v>3.1315248243744573</v>
          </cell>
          <cell r="H241">
            <v>3.1315248243744573E-3</v>
          </cell>
          <cell r="I241">
            <v>47.738574473123371</v>
          </cell>
          <cell r="J241">
            <v>4.7738574473123373E-2</v>
          </cell>
        </row>
        <row r="242">
          <cell r="A242" t="str">
            <v>96362</v>
          </cell>
          <cell r="B242" t="str">
            <v>ADEREZO CULANTRO RANCH (500g)</v>
          </cell>
          <cell r="C242" t="str">
            <v>KILO</v>
          </cell>
          <cell r="D242" t="str">
            <v>GRAMO</v>
          </cell>
          <cell r="E242">
            <v>1313.3792668857036</v>
          </cell>
          <cell r="F242">
            <v>1.3133792668857036</v>
          </cell>
          <cell r="G242">
            <v>64.31460317543943</v>
          </cell>
          <cell r="H242">
            <v>6.4314603175439425E-2</v>
          </cell>
          <cell r="I242">
            <v>604.54374873079269</v>
          </cell>
          <cell r="J242">
            <v>0.60454374873079264</v>
          </cell>
        </row>
        <row r="243">
          <cell r="A243" t="str">
            <v>96367</v>
          </cell>
          <cell r="B243" t="str">
            <v>ADEREZO PESTO ALBAHACA (300g)</v>
          </cell>
          <cell r="C243" t="str">
            <v>KILO</v>
          </cell>
          <cell r="D243" t="str">
            <v>GRAMO</v>
          </cell>
          <cell r="E243">
            <v>3256.399145833333</v>
          </cell>
          <cell r="F243">
            <v>3.256399145833333</v>
          </cell>
          <cell r="G243">
            <v>54.084525925925938</v>
          </cell>
          <cell r="H243">
            <v>5.4084525925925934E-2</v>
          </cell>
          <cell r="I243">
            <v>566.93693693693706</v>
          </cell>
          <cell r="J243">
            <v>0.56693693693693703</v>
          </cell>
        </row>
        <row r="244">
          <cell r="A244" t="str">
            <v>96368</v>
          </cell>
          <cell r="B244" t="str">
            <v>COCCION CARNE PHILLY (500g)</v>
          </cell>
          <cell r="C244" t="str">
            <v>KILO</v>
          </cell>
          <cell r="D244" t="str">
            <v>GRAMO</v>
          </cell>
          <cell r="E244">
            <v>11091.887170000002</v>
          </cell>
          <cell r="F244">
            <v>11.091887170000001</v>
          </cell>
          <cell r="G244">
            <v>49.338826999999995</v>
          </cell>
          <cell r="H244">
            <v>4.9338826999999995E-2</v>
          </cell>
          <cell r="I244">
            <v>560</v>
          </cell>
          <cell r="J244">
            <v>0.56000000000000005</v>
          </cell>
        </row>
        <row r="245">
          <cell r="A245" t="str">
            <v>96369</v>
          </cell>
          <cell r="B245" t="str">
            <v>COCCION CEBOLLA PHILLY (200g)</v>
          </cell>
          <cell r="C245" t="str">
            <v>KILO</v>
          </cell>
          <cell r="D245" t="str">
            <v>GRAMO</v>
          </cell>
          <cell r="E245">
            <v>7895.8827233333341</v>
          </cell>
          <cell r="F245">
            <v>7.895882723333334</v>
          </cell>
          <cell r="G245">
            <v>123.34706749999999</v>
          </cell>
          <cell r="H245">
            <v>0.12334706749999999</v>
          </cell>
          <cell r="I245">
            <v>1400</v>
          </cell>
          <cell r="J245">
            <v>1.4</v>
          </cell>
        </row>
        <row r="246">
          <cell r="A246" t="str">
            <v>96370</v>
          </cell>
          <cell r="B246" t="str">
            <v>MEZCLA CLARAS P/TORTA (1700g)</v>
          </cell>
          <cell r="C246" t="str">
            <v>KILO</v>
          </cell>
          <cell r="D246" t="str">
            <v>GRAMO</v>
          </cell>
          <cell r="E246">
            <v>2967.8659223529412</v>
          </cell>
          <cell r="F246">
            <v>2.9678659223529413</v>
          </cell>
          <cell r="G246">
            <v>0</v>
          </cell>
          <cell r="H246">
            <v>0</v>
          </cell>
          <cell r="I246">
            <v>98.823529411764696</v>
          </cell>
          <cell r="J246">
            <v>9.8823529411764699E-2</v>
          </cell>
        </row>
        <row r="247">
          <cell r="A247" t="str">
            <v>96371</v>
          </cell>
          <cell r="B247" t="str">
            <v>MEZCLA DE HUEVOS ENTEROS P/TORTA (750g)</v>
          </cell>
          <cell r="C247" t="str">
            <v>KILO</v>
          </cell>
          <cell r="D247" t="str">
            <v>GRAMO</v>
          </cell>
          <cell r="E247">
            <v>1409.0171506666668</v>
          </cell>
          <cell r="F247">
            <v>1.4090171506666669</v>
          </cell>
          <cell r="G247">
            <v>0</v>
          </cell>
          <cell r="H247">
            <v>0</v>
          </cell>
          <cell r="I247">
            <v>224</v>
          </cell>
          <cell r="J247">
            <v>0.224</v>
          </cell>
        </row>
        <row r="248">
          <cell r="A248" t="str">
            <v>96372</v>
          </cell>
          <cell r="B248" t="str">
            <v>QUESO CHEDDAR BLANCO LAMINADO Y EMPACADO (1000g)</v>
          </cell>
          <cell r="C248" t="str">
            <v>KILO</v>
          </cell>
          <cell r="D248" t="str">
            <v>GRAMO</v>
          </cell>
          <cell r="E248">
            <v>9278.7842700000001</v>
          </cell>
          <cell r="F248">
            <v>9.2787842700000009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96373</v>
          </cell>
          <cell r="B249" t="str">
            <v>QUESO CHEDDAR LAMINADO Y EMPACADO (1000g)</v>
          </cell>
          <cell r="C249" t="str">
            <v>KILO</v>
          </cell>
          <cell r="D249" t="str">
            <v>GRAMO</v>
          </cell>
          <cell r="E249">
            <v>9065.4797699999999</v>
          </cell>
          <cell r="F249">
            <v>9.0654797699999996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96374</v>
          </cell>
          <cell r="B250" t="str">
            <v>QUESO GOUDA BLANCO LAMINADO Y EMPACADO (1000g)</v>
          </cell>
          <cell r="C250" t="str">
            <v>KILO</v>
          </cell>
          <cell r="D250" t="str">
            <v>GRAMO</v>
          </cell>
          <cell r="E250">
            <v>6766.1310899999999</v>
          </cell>
          <cell r="F250">
            <v>6.76613109</v>
          </cell>
          <cell r="G250">
            <v>52.103924444444445</v>
          </cell>
          <cell r="H250">
            <v>5.2103924444444442E-2</v>
          </cell>
          <cell r="I250">
            <v>224</v>
          </cell>
          <cell r="J250">
            <v>0.224</v>
          </cell>
        </row>
        <row r="251">
          <cell r="A251" t="str">
            <v>96375</v>
          </cell>
          <cell r="B251" t="str">
            <v>QUESO MONTERREY JACK LAMINADO Y EMPACADO (1000g)</v>
          </cell>
          <cell r="C251" t="str">
            <v>KILO</v>
          </cell>
          <cell r="D251" t="str">
            <v>GRAMO</v>
          </cell>
          <cell r="E251">
            <v>6933.1377600000005</v>
          </cell>
          <cell r="F251">
            <v>6.9331377600000001</v>
          </cell>
          <cell r="G251">
            <v>52.223357777777778</v>
          </cell>
          <cell r="H251">
            <v>5.2223357777777778E-2</v>
          </cell>
          <cell r="I251">
            <v>224</v>
          </cell>
          <cell r="J251">
            <v>0.224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UND</v>
          </cell>
          <cell r="D252" t="str">
            <v>UND</v>
          </cell>
          <cell r="E252">
            <v>263.25</v>
          </cell>
          <cell r="F252">
            <v>263.25</v>
          </cell>
          <cell r="G252">
            <v>0</v>
          </cell>
          <cell r="H252">
            <v>0</v>
          </cell>
          <cell r="I252">
            <v>16.8</v>
          </cell>
          <cell r="J252">
            <v>16.8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KILO</v>
          </cell>
          <cell r="D253" t="str">
            <v>GRAMO</v>
          </cell>
          <cell r="E253">
            <v>263.25</v>
          </cell>
          <cell r="F253">
            <v>0.26324999999999998</v>
          </cell>
          <cell r="G253">
            <v>0</v>
          </cell>
          <cell r="H253">
            <v>0</v>
          </cell>
          <cell r="I253">
            <v>16.8</v>
          </cell>
          <cell r="J253">
            <v>1.6800000000000002E-2</v>
          </cell>
        </row>
        <row r="254">
          <cell r="A254" t="str">
            <v>96377</v>
          </cell>
          <cell r="B254" t="str">
            <v>SALSA CEBOLLA PHILLY (500g)</v>
          </cell>
          <cell r="C254" t="str">
            <v>KILO</v>
          </cell>
          <cell r="D254" t="str">
            <v>GRAMO</v>
          </cell>
          <cell r="E254">
            <v>2593.4490490000003</v>
          </cell>
          <cell r="F254">
            <v>2.5934490490000002</v>
          </cell>
          <cell r="G254">
            <v>0</v>
          </cell>
          <cell r="H254">
            <v>0</v>
          </cell>
          <cell r="I254">
            <v>560</v>
          </cell>
          <cell r="J254">
            <v>0.56000000000000005</v>
          </cell>
        </row>
        <row r="255">
          <cell r="A255" t="str">
            <v>96378</v>
          </cell>
          <cell r="B255" t="str">
            <v>TOCINETA TOSTADA (150g)</v>
          </cell>
          <cell r="C255" t="str">
            <v>KILO</v>
          </cell>
          <cell r="D255" t="str">
            <v>GRAMO</v>
          </cell>
          <cell r="E255">
            <v>12643.866666666667</v>
          </cell>
          <cell r="F255">
            <v>12.643866666666666</v>
          </cell>
          <cell r="G255">
            <v>0</v>
          </cell>
          <cell r="H255">
            <v>0</v>
          </cell>
          <cell r="I255">
            <v>1120</v>
          </cell>
          <cell r="J255">
            <v>1.1200000000000001</v>
          </cell>
        </row>
        <row r="256">
          <cell r="A256" t="str">
            <v>96379</v>
          </cell>
          <cell r="B256" t="str">
            <v>TORTA DE CLARAS (110g)</v>
          </cell>
          <cell r="C256" t="str">
            <v>UND</v>
          </cell>
          <cell r="D256" t="str">
            <v>UND</v>
          </cell>
          <cell r="E256">
            <v>508.87973196778529</v>
          </cell>
          <cell r="F256">
            <v>508.87973196778529</v>
          </cell>
          <cell r="G256">
            <v>0</v>
          </cell>
          <cell r="H256">
            <v>0</v>
          </cell>
          <cell r="I256">
            <v>33.881879194630869</v>
          </cell>
          <cell r="J256">
            <v>33.881879194630869</v>
          </cell>
        </row>
        <row r="257">
          <cell r="A257" t="str">
            <v>96380</v>
          </cell>
          <cell r="B257" t="str">
            <v>TORTA DE HUEVO (75g)</v>
          </cell>
          <cell r="C257" t="str">
            <v>UND</v>
          </cell>
          <cell r="D257" t="str">
            <v>UND</v>
          </cell>
          <cell r="E257">
            <v>107.84754888389264</v>
          </cell>
          <cell r="F257">
            <v>107.84754888389264</v>
          </cell>
          <cell r="G257">
            <v>2.838254697986577E-2</v>
          </cell>
          <cell r="H257">
            <v>2.838254697986577E-2</v>
          </cell>
          <cell r="I257">
            <v>39.340939597315433</v>
          </cell>
          <cell r="J257">
            <v>39.340939597315433</v>
          </cell>
        </row>
        <row r="258">
          <cell r="A258" t="str">
            <v>96381</v>
          </cell>
          <cell r="B258" t="str">
            <v>TORTA HUEVOS Y VEGETALES (75g)</v>
          </cell>
          <cell r="C258" t="str">
            <v>UND</v>
          </cell>
          <cell r="D258" t="str">
            <v>UND</v>
          </cell>
          <cell r="E258">
            <v>113.89141737722596</v>
          </cell>
          <cell r="F258">
            <v>113.89141737722596</v>
          </cell>
          <cell r="G258">
            <v>2.838254697986577E-2</v>
          </cell>
          <cell r="H258">
            <v>2.838254697986577E-2</v>
          </cell>
          <cell r="I258">
            <v>37.100939597315438</v>
          </cell>
          <cell r="J258">
            <v>37.100939597315438</v>
          </cell>
        </row>
        <row r="259">
          <cell r="A259" t="str">
            <v>96388</v>
          </cell>
          <cell r="B259" t="str">
            <v>BASE DE GALLETA DE CHOCOLATE (1000g)</v>
          </cell>
          <cell r="C259" t="str">
            <v>KILO</v>
          </cell>
          <cell r="D259" t="str">
            <v>GRAMO</v>
          </cell>
          <cell r="E259">
            <v>1553.7802000000001</v>
          </cell>
          <cell r="F259">
            <v>1.5537802000000001</v>
          </cell>
          <cell r="G259">
            <v>0</v>
          </cell>
          <cell r="H259">
            <v>0</v>
          </cell>
          <cell r="I259">
            <v>220</v>
          </cell>
          <cell r="J259">
            <v>0.22</v>
          </cell>
        </row>
        <row r="260">
          <cell r="A260" t="str">
            <v>96392</v>
          </cell>
          <cell r="B260" t="str">
            <v>BASTONES QUESO TURRIALBA P/TIQUEÑOS</v>
          </cell>
          <cell r="C260" t="str">
            <v>KILO</v>
          </cell>
          <cell r="D260" t="str">
            <v>GRAMO</v>
          </cell>
          <cell r="E260">
            <v>3036.3153488372091</v>
          </cell>
          <cell r="F260">
            <v>3.036315348837209</v>
          </cell>
          <cell r="G260">
            <v>1.0934808139534882</v>
          </cell>
          <cell r="H260">
            <v>1.0934808139534881E-3</v>
          </cell>
          <cell r="I260">
            <v>89.534883720930225</v>
          </cell>
          <cell r="J260">
            <v>8.9534883720930228E-2</v>
          </cell>
        </row>
        <row r="261">
          <cell r="A261" t="str">
            <v>96393</v>
          </cell>
          <cell r="B261" t="str">
            <v>BATIDO P/PAN BLANCO (24650g)</v>
          </cell>
          <cell r="C261" t="str">
            <v>KILO</v>
          </cell>
          <cell r="D261" t="str">
            <v>GRAMO</v>
          </cell>
          <cell r="E261">
            <v>496.04960787018251</v>
          </cell>
          <cell r="F261">
            <v>0.49604960787018249</v>
          </cell>
          <cell r="G261">
            <v>1.8606731317814482</v>
          </cell>
          <cell r="H261">
            <v>1.8606731317814481E-3</v>
          </cell>
          <cell r="I261">
            <v>20.081135902636916</v>
          </cell>
          <cell r="J261">
            <v>2.0081135902636917E-2</v>
          </cell>
        </row>
        <row r="262">
          <cell r="A262" t="str">
            <v>96395</v>
          </cell>
          <cell r="B262" t="str">
            <v>PRALINE C/CHOCOLATE BLANCO (2600g)</v>
          </cell>
          <cell r="C262" t="str">
            <v>KILO</v>
          </cell>
          <cell r="D262" t="str">
            <v>GRAMO</v>
          </cell>
          <cell r="E262">
            <v>4516.5968076923073</v>
          </cell>
          <cell r="F262">
            <v>4.5165968076923075</v>
          </cell>
          <cell r="G262">
            <v>8.6926923076923082</v>
          </cell>
          <cell r="H262">
            <v>8.6926923076923075E-3</v>
          </cell>
          <cell r="I262">
            <v>430.76923076923077</v>
          </cell>
          <cell r="J262">
            <v>0.43076923076923079</v>
          </cell>
        </row>
        <row r="263">
          <cell r="A263" t="str">
            <v>96396</v>
          </cell>
          <cell r="B263" t="str">
            <v>CREMA CHANTILLY BEIDGE (10400g)</v>
          </cell>
          <cell r="C263" t="str">
            <v>KILO</v>
          </cell>
          <cell r="D263" t="str">
            <v>GRAMO</v>
          </cell>
          <cell r="E263">
            <v>1565.0805096153845</v>
          </cell>
          <cell r="F263">
            <v>1.5650805096153844</v>
          </cell>
          <cell r="G263">
            <v>9.6249999999999988E-2</v>
          </cell>
          <cell r="H263">
            <v>9.6249999999999995E-5</v>
          </cell>
          <cell r="I263">
            <v>26.923076923076923</v>
          </cell>
          <cell r="J263">
            <v>2.6923076923076925E-2</v>
          </cell>
        </row>
        <row r="264">
          <cell r="A264" t="str">
            <v>96398</v>
          </cell>
          <cell r="B264" t="str">
            <v>ALMIBAR CON LICOR DE CAFE (3000g)</v>
          </cell>
          <cell r="C264" t="str">
            <v>KILO</v>
          </cell>
          <cell r="D264" t="str">
            <v>GRAMO</v>
          </cell>
          <cell r="E264">
            <v>9455.557774311821</v>
          </cell>
          <cell r="F264">
            <v>3.1518525914372737</v>
          </cell>
          <cell r="G264">
            <v>19.751088578274761</v>
          </cell>
          <cell r="H264">
            <v>6.5836961927582538E-3</v>
          </cell>
          <cell r="I264">
            <v>103.76198083067092</v>
          </cell>
          <cell r="J264">
            <v>3.4587326943556977E-2</v>
          </cell>
        </row>
        <row r="265">
          <cell r="A265" t="str">
            <v>96399</v>
          </cell>
          <cell r="B265" t="str">
            <v>BATIDO P/TORTA KALUA (7684g)</v>
          </cell>
          <cell r="C265" t="str">
            <v>KILO</v>
          </cell>
          <cell r="D265" t="str">
            <v>GRAMO</v>
          </cell>
          <cell r="E265">
            <v>2598.1708149431574</v>
          </cell>
          <cell r="F265">
            <v>2.5981708149431575</v>
          </cell>
          <cell r="G265">
            <v>7.0082209161000613</v>
          </cell>
          <cell r="H265">
            <v>7.0082209161000612E-3</v>
          </cell>
          <cell r="I265">
            <v>111.33659065921081</v>
          </cell>
          <cell r="J265">
            <v>0.11133659065921081</v>
          </cell>
        </row>
        <row r="266">
          <cell r="A266" t="str">
            <v>96409</v>
          </cell>
          <cell r="B266" t="str">
            <v>BASE PREMEZCLA CHOCOLATE PILLSBURY (6012g)</v>
          </cell>
          <cell r="C266" t="str">
            <v>TANDA</v>
          </cell>
          <cell r="D266" t="str">
            <v>GRAMO</v>
          </cell>
          <cell r="E266">
            <v>9697.4206871788356</v>
          </cell>
          <cell r="F266">
            <v>1.6130107596771184</v>
          </cell>
          <cell r="G266">
            <v>32.369083809523815</v>
          </cell>
          <cell r="H266">
            <v>5.3840791433007011E-3</v>
          </cell>
          <cell r="I266">
            <v>110</v>
          </cell>
          <cell r="J266">
            <v>1.8296739853626082E-2</v>
          </cell>
        </row>
        <row r="267">
          <cell r="A267" t="str">
            <v>96451</v>
          </cell>
          <cell r="B267" t="str">
            <v>MEZCLA TRES LECHES C/AGUA (2000g)</v>
          </cell>
          <cell r="C267" t="str">
            <v>Kilo</v>
          </cell>
          <cell r="D267" t="str">
            <v>Gramo</v>
          </cell>
          <cell r="E267">
            <v>866.54019873768948</v>
          </cell>
          <cell r="F267">
            <v>0.8665401987376895</v>
          </cell>
          <cell r="G267">
            <v>0</v>
          </cell>
          <cell r="H267">
            <v>0</v>
          </cell>
          <cell r="I267">
            <v>67.934680321062828</v>
          </cell>
          <cell r="J267">
            <v>6.7934680321062826E-2</v>
          </cell>
        </row>
        <row r="268">
          <cell r="A268" t="str">
            <v>96464</v>
          </cell>
          <cell r="B268" t="str">
            <v>EMPAQUE SALSA BLANCA SPOON  (5000g)</v>
          </cell>
          <cell r="C268" t="str">
            <v>KILO</v>
          </cell>
          <cell r="D268" t="str">
            <v>GRAMO</v>
          </cell>
          <cell r="E268">
            <v>1571.1600631712397</v>
          </cell>
          <cell r="F268">
            <v>1.5711600631712397</v>
          </cell>
          <cell r="G268">
            <v>7.751116539682541</v>
          </cell>
          <cell r="H268">
            <v>7.7511165396825406E-3</v>
          </cell>
          <cell r="I268">
            <v>37.179910350448246</v>
          </cell>
          <cell r="J268">
            <v>3.7179910350448243E-2</v>
          </cell>
        </row>
        <row r="269">
          <cell r="A269" t="str">
            <v>96465</v>
          </cell>
          <cell r="B269" t="str">
            <v>POLLO RECORTE EMPACADO (5000g)</v>
          </cell>
          <cell r="C269" t="str">
            <v>TANDA</v>
          </cell>
          <cell r="D269" t="str">
            <v>GRAMO</v>
          </cell>
          <cell r="E269">
            <v>18641.096729957804</v>
          </cell>
          <cell r="F269">
            <v>3.7282193459915609</v>
          </cell>
          <cell r="G269">
            <v>38.052083809523815</v>
          </cell>
          <cell r="H269">
            <v>7.6104167619047633E-3</v>
          </cell>
          <cell r="I269">
            <v>398.05379746835445</v>
          </cell>
          <cell r="J269">
            <v>7.9610759493670885E-2</v>
          </cell>
        </row>
        <row r="270">
          <cell r="A270" t="str">
            <v>96466</v>
          </cell>
          <cell r="B270" t="str">
            <v>POLLO DESMENUZADO MARMITA EMPACADO (5000g)</v>
          </cell>
          <cell r="C270" t="str">
            <v>BOLSA</v>
          </cell>
          <cell r="D270" t="str">
            <v>GRAMO</v>
          </cell>
          <cell r="E270">
            <v>21923.708020833335</v>
          </cell>
          <cell r="F270">
            <v>4.3847416041666669</v>
          </cell>
          <cell r="G270">
            <v>38.810127142857141</v>
          </cell>
          <cell r="H270">
            <v>7.762025428571428E-3</v>
          </cell>
          <cell r="I270">
            <v>828.4375</v>
          </cell>
          <cell r="J270">
            <v>0.16568749999999999</v>
          </cell>
        </row>
        <row r="271">
          <cell r="A271" t="str">
            <v>96467</v>
          </cell>
          <cell r="B271" t="str">
            <v>ARROZ PRECOCIDO P/GALLO PINTO EMPACADO (5000g)</v>
          </cell>
          <cell r="C271" t="str">
            <v>TANDA</v>
          </cell>
          <cell r="D271" t="str">
            <v>GRAMO</v>
          </cell>
          <cell r="E271">
            <v>3631.635473608098</v>
          </cell>
          <cell r="F271">
            <v>0.7263270947216196</v>
          </cell>
          <cell r="G271">
            <v>80.961763325069739</v>
          </cell>
          <cell r="H271">
            <v>1.6192352665013947E-2</v>
          </cell>
          <cell r="I271">
            <v>399.93763557483732</v>
          </cell>
          <cell r="J271">
            <v>7.9987527114967469E-2</v>
          </cell>
        </row>
        <row r="272">
          <cell r="A272" t="str">
            <v>96468</v>
          </cell>
          <cell r="B272" t="str">
            <v>FRIJOLES P/GALLO PINTO EMPACADOS (4000g)</v>
          </cell>
          <cell r="C272" t="str">
            <v>TANDA</v>
          </cell>
          <cell r="D272" t="str">
            <v>GRAMO</v>
          </cell>
          <cell r="E272">
            <v>2763.0171543895058</v>
          </cell>
          <cell r="F272">
            <v>0.69075428859737642</v>
          </cell>
          <cell r="G272">
            <v>31.588019937212692</v>
          </cell>
          <cell r="H272">
            <v>7.8970049843031728E-3</v>
          </cell>
          <cell r="I272">
            <v>195.51715438950555</v>
          </cell>
          <cell r="J272">
            <v>4.8879288597376384E-2</v>
          </cell>
        </row>
        <row r="273">
          <cell r="A273" t="str">
            <v>96475</v>
          </cell>
          <cell r="B273" t="str">
            <v>COCCION CREMA TOMATE (18500g)</v>
          </cell>
          <cell r="C273" t="str">
            <v>KILO</v>
          </cell>
          <cell r="D273" t="str">
            <v>GRAMO</v>
          </cell>
          <cell r="E273">
            <v>1122.8780081600833</v>
          </cell>
          <cell r="F273">
            <v>1.1228780081600833</v>
          </cell>
          <cell r="G273">
            <v>0</v>
          </cell>
          <cell r="H273">
            <v>0</v>
          </cell>
          <cell r="I273">
            <v>29.198841698841701</v>
          </cell>
          <cell r="J273">
            <v>2.9198841698841699E-2</v>
          </cell>
        </row>
        <row r="274">
          <cell r="A274" t="str">
            <v>96476</v>
          </cell>
          <cell r="B274" t="str">
            <v>BASE PREMEZCLA P/EMPANADA STB (9456g)</v>
          </cell>
          <cell r="C274" t="str">
            <v>TANDA</v>
          </cell>
          <cell r="D274" t="str">
            <v>GRAMO</v>
          </cell>
          <cell r="E274">
            <v>3544.9617000000003</v>
          </cell>
          <cell r="F274">
            <v>0.37489019670050766</v>
          </cell>
          <cell r="G274">
            <v>35.065582698412705</v>
          </cell>
          <cell r="H274">
            <v>3.7082892024548121E-3</v>
          </cell>
          <cell r="I274">
            <v>168</v>
          </cell>
          <cell r="J274">
            <v>1.7766497461928935E-2</v>
          </cell>
        </row>
        <row r="275">
          <cell r="A275" t="str">
            <v>96477</v>
          </cell>
          <cell r="B275" t="str">
            <v>PASTA P/EMPANADA STB (16000g)</v>
          </cell>
          <cell r="C275" t="str">
            <v>KILO</v>
          </cell>
          <cell r="D275" t="str">
            <v>GRAMO</v>
          </cell>
          <cell r="E275">
            <v>796.91226375000008</v>
          </cell>
          <cell r="F275">
            <v>0.79691226375000013</v>
          </cell>
          <cell r="G275">
            <v>2.191598918650794</v>
          </cell>
          <cell r="H275">
            <v>2.1915989186507942E-3</v>
          </cell>
          <cell r="I275">
            <v>44.875</v>
          </cell>
          <cell r="J275">
            <v>4.4874999999999998E-2</v>
          </cell>
        </row>
        <row r="276">
          <cell r="A276" t="str">
            <v>96478</v>
          </cell>
          <cell r="B276" t="str">
            <v>RECTANGULOS DE PASTA P/EMPANADA STB (UND)</v>
          </cell>
          <cell r="C276" t="str">
            <v>UND</v>
          </cell>
          <cell r="D276" t="str">
            <v>UND</v>
          </cell>
          <cell r="E276">
            <v>52.184340622010872</v>
          </cell>
          <cell r="F276">
            <v>52.184340622010872</v>
          </cell>
          <cell r="G276">
            <v>0.14245392971230164</v>
          </cell>
          <cell r="H276">
            <v>0.14245392971230164</v>
          </cell>
          <cell r="I276">
            <v>6.50383152173913</v>
          </cell>
          <cell r="J276">
            <v>6.50383152173913</v>
          </cell>
        </row>
        <row r="277">
          <cell r="A277" t="str">
            <v>96479</v>
          </cell>
          <cell r="B277" t="str">
            <v>RUEDA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6.0525000000000002</v>
          </cell>
          <cell r="J277">
            <v>6.0525000000000002</v>
          </cell>
        </row>
        <row r="278">
          <cell r="A278" t="str">
            <v>96480</v>
          </cell>
          <cell r="B278" t="str">
            <v>RELLENO POLLO Y HONGOS STB EMPACADO (4000g)</v>
          </cell>
          <cell r="C278" t="str">
            <v>KILO</v>
          </cell>
          <cell r="D278" t="str">
            <v>GRAMO</v>
          </cell>
          <cell r="E278">
            <v>3397.7394979447758</v>
          </cell>
          <cell r="F278">
            <v>3.3977394979447757</v>
          </cell>
          <cell r="G278">
            <v>6.8891455555555563</v>
          </cell>
          <cell r="H278">
            <v>6.8891455555555566E-3</v>
          </cell>
          <cell r="I278">
            <v>241.83476259980947</v>
          </cell>
          <cell r="J278">
            <v>0.24183476259980946</v>
          </cell>
        </row>
        <row r="279">
          <cell r="A279" t="str">
            <v>96481</v>
          </cell>
          <cell r="B279" t="str">
            <v>RELLENO CAPRESSE STB EMPACADO (4000g)</v>
          </cell>
          <cell r="C279" t="str">
            <v>KILO</v>
          </cell>
          <cell r="D279" t="str">
            <v>GRAMO</v>
          </cell>
          <cell r="E279">
            <v>2734.9109968887979</v>
          </cell>
          <cell r="F279">
            <v>2.7349109968887979</v>
          </cell>
          <cell r="G279">
            <v>0.63700000000000001</v>
          </cell>
          <cell r="H279">
            <v>6.3699999999999998E-4</v>
          </cell>
          <cell r="I279">
            <v>165.82375204924509</v>
          </cell>
          <cell r="J279">
            <v>0.1658237520492451</v>
          </cell>
        </row>
        <row r="280">
          <cell r="A280" t="str">
            <v>96482</v>
          </cell>
          <cell r="B280" t="str">
            <v>RELLENO JAMON Y QUESO STB (4000g)</v>
          </cell>
          <cell r="C280" t="str">
            <v>KILO</v>
          </cell>
          <cell r="D280" t="str">
            <v>GRAMO</v>
          </cell>
          <cell r="E280">
            <v>2451.1142236052137</v>
          </cell>
          <cell r="F280">
            <v>2.4511142236052139</v>
          </cell>
          <cell r="G280">
            <v>6.7954622222222225</v>
          </cell>
          <cell r="H280">
            <v>6.7954622222222228E-3</v>
          </cell>
          <cell r="I280">
            <v>474.39387384356604</v>
          </cell>
          <cell r="J280">
            <v>0.47439387384356602</v>
          </cell>
        </row>
        <row r="281">
          <cell r="A281" t="str">
            <v>96483</v>
          </cell>
          <cell r="B281" t="str">
            <v>EMPANADA CAPRESSE STB (UND)</v>
          </cell>
          <cell r="C281" t="str">
            <v>UND</v>
          </cell>
          <cell r="D281" t="str">
            <v>UND</v>
          </cell>
          <cell r="E281">
            <v>185.3247468594399</v>
          </cell>
          <cell r="F281">
            <v>185.3247468594399</v>
          </cell>
          <cell r="G281">
            <v>9.4479533660714292</v>
          </cell>
          <cell r="H281">
            <v>9.4479533660714292</v>
          </cell>
          <cell r="I281">
            <v>34.94618760246226</v>
          </cell>
          <cell r="J281">
            <v>34.94618760246226</v>
          </cell>
        </row>
        <row r="282">
          <cell r="A282" t="str">
            <v>96484</v>
          </cell>
          <cell r="B282" t="str">
            <v>EMPANADA JAMON Y QUESO (UND)</v>
          </cell>
          <cell r="C282" t="str">
            <v>UND</v>
          </cell>
          <cell r="D282" t="str">
            <v>UND</v>
          </cell>
          <cell r="E282">
            <v>174.96650794651072</v>
          </cell>
          <cell r="F282">
            <v>174.96650794651072</v>
          </cell>
          <cell r="G282">
            <v>8.8327253432539674</v>
          </cell>
          <cell r="H282">
            <v>8.8327253432539674</v>
          </cell>
          <cell r="I282">
            <v>51.219693692178296</v>
          </cell>
          <cell r="J282">
            <v>51.219693692178296</v>
          </cell>
        </row>
        <row r="283">
          <cell r="A283" t="str">
            <v>96485</v>
          </cell>
          <cell r="B283" t="str">
            <v>EMPANADA POLLO Y HONGOS STB (UND)</v>
          </cell>
          <cell r="C283" t="str">
            <v>UND</v>
          </cell>
          <cell r="D283" t="str">
            <v>UND</v>
          </cell>
          <cell r="E283">
            <v>236.16168907253365</v>
          </cell>
          <cell r="F283">
            <v>236.16168907253365</v>
          </cell>
          <cell r="G283">
            <v>0.4704339146825397</v>
          </cell>
          <cell r="H283">
            <v>0.4704339146825397</v>
          </cell>
          <cell r="I283">
            <v>45.275087651085606</v>
          </cell>
          <cell r="J283">
            <v>45.275087651085606</v>
          </cell>
        </row>
        <row r="284">
          <cell r="A284" t="str">
            <v>96486</v>
          </cell>
          <cell r="B284" t="str">
            <v>RELLENO CARNE CON ACEITUNAS EMPACADO (2000g)</v>
          </cell>
          <cell r="C284" t="str">
            <v>KILO</v>
          </cell>
          <cell r="D284" t="str">
            <v>GRAMO</v>
          </cell>
          <cell r="E284">
            <v>3198.589746943192</v>
          </cell>
          <cell r="F284">
            <v>3.1985897469431919</v>
          </cell>
          <cell r="G284">
            <v>28.689440516707077</v>
          </cell>
          <cell r="H284">
            <v>2.8689440516707077E-2</v>
          </cell>
          <cell r="I284">
            <v>402.68474645994223</v>
          </cell>
          <cell r="J284">
            <v>0.40268474645994223</v>
          </cell>
        </row>
        <row r="285">
          <cell r="A285" t="str">
            <v>96487</v>
          </cell>
          <cell r="B285" t="str">
            <v>EMPANADA CARNE C/ACEITUNAS STB (UND)</v>
          </cell>
          <cell r="C285" t="str">
            <v>UND</v>
          </cell>
          <cell r="D285" t="str">
            <v>UND</v>
          </cell>
          <cell r="E285">
            <v>217.7416789246596</v>
          </cell>
          <cell r="F285">
            <v>217.7416789246596</v>
          </cell>
          <cell r="G285">
            <v>9.7033764771825393</v>
          </cell>
          <cell r="H285">
            <v>9.7033764771825393</v>
          </cell>
          <cell r="I285">
            <v>53.724237322997112</v>
          </cell>
          <cell r="J285">
            <v>53.724237322997112</v>
          </cell>
        </row>
        <row r="286">
          <cell r="A286">
            <v>904000013</v>
          </cell>
          <cell r="B286" t="str">
            <v>EMPAQUE MAYONESA (2000g)</v>
          </cell>
          <cell r="C286" t="str">
            <v>KILO</v>
          </cell>
          <cell r="D286" t="str">
            <v>GRAMO</v>
          </cell>
          <cell r="E286">
            <v>2743.4704380846811</v>
          </cell>
          <cell r="F286">
            <v>0.91449014602822698</v>
          </cell>
          <cell r="G286">
            <v>16.550283797317931</v>
          </cell>
          <cell r="H286">
            <v>5.5167612657726437E-3</v>
          </cell>
          <cell r="I286">
            <v>211.09077370879305</v>
          </cell>
          <cell r="J286">
            <v>7.0363591236264345E-2</v>
          </cell>
        </row>
        <row r="287">
          <cell r="A287" t="str">
            <v>96488</v>
          </cell>
          <cell r="B287" t="str">
            <v>ROSQUETE CUADRADO TRES LECHES (330g)</v>
          </cell>
          <cell r="C287" t="str">
            <v>UND</v>
          </cell>
          <cell r="D287" t="str">
            <v>UND</v>
          </cell>
          <cell r="E287">
            <v>329.13105196412442</v>
          </cell>
          <cell r="F287">
            <v>329.13105196412442</v>
          </cell>
          <cell r="G287">
            <v>1.2382540299524487</v>
          </cell>
          <cell r="H287">
            <v>1.2382540299524487</v>
          </cell>
          <cell r="I287">
            <v>28.483709579011595</v>
          </cell>
          <cell r="J287">
            <v>28.483709579011595</v>
          </cell>
        </row>
        <row r="288">
          <cell r="A288" t="str">
            <v>95356</v>
          </cell>
          <cell r="B288" t="str">
            <v>ROSQUETE TRES LECHES (1000g)</v>
          </cell>
          <cell r="C288" t="str">
            <v>UND</v>
          </cell>
          <cell r="D288" t="str">
            <v>UND</v>
          </cell>
          <cell r="E288">
            <v>875.20064786705029</v>
          </cell>
          <cell r="F288">
            <v>875.20064786705029</v>
          </cell>
          <cell r="G288">
            <v>11.131434946060155</v>
          </cell>
          <cell r="H288">
            <v>11.131434946060155</v>
          </cell>
          <cell r="I288">
            <v>48.803930968360504</v>
          </cell>
          <cell r="J288">
            <v>48.803930968360504</v>
          </cell>
        </row>
        <row r="289">
          <cell r="A289" t="str">
            <v>96389</v>
          </cell>
          <cell r="B289" t="str">
            <v>MOUSSE P/POSTRE COOKIES AND CREAM (1800g)</v>
          </cell>
          <cell r="C289" t="str">
            <v>KILO</v>
          </cell>
          <cell r="D289" t="str">
            <v>GRAMO</v>
          </cell>
          <cell r="E289">
            <v>3412.0520363595087</v>
          </cell>
          <cell r="F289">
            <v>3.4120520363595088</v>
          </cell>
          <cell r="G289">
            <v>9.090277777777777E-3</v>
          </cell>
          <cell r="H289">
            <v>9.0902777777777772E-6</v>
          </cell>
          <cell r="I289">
            <v>157.77243589743591</v>
          </cell>
          <cell r="J289">
            <v>0.15777243589743592</v>
          </cell>
        </row>
        <row r="290">
          <cell r="A290" t="str">
            <v>96390</v>
          </cell>
          <cell r="B290" t="str">
            <v>BASE CHOCOLATE Y ALMENDRAS P/MINI POSTRE (1000g)</v>
          </cell>
          <cell r="C290" t="str">
            <v>KILO</v>
          </cell>
          <cell r="D290" t="str">
            <v>GRAMO</v>
          </cell>
          <cell r="E290">
            <v>4564.1309955584647</v>
          </cell>
          <cell r="F290">
            <v>4.5641309955584646</v>
          </cell>
          <cell r="G290">
            <v>0.4859724379484196</v>
          </cell>
          <cell r="H290">
            <v>4.859724379484196E-4</v>
          </cell>
          <cell r="I290">
            <v>195.95549738219896</v>
          </cell>
          <cell r="J290">
            <v>0.19595549738219895</v>
          </cell>
        </row>
        <row r="291">
          <cell r="A291" t="str">
            <v>96391</v>
          </cell>
          <cell r="B291" t="str">
            <v>MOUSSE CHOCOLATE DARK C/COBERTURA (6000g)</v>
          </cell>
          <cell r="C291" t="str">
            <v>KILO</v>
          </cell>
          <cell r="D291" t="str">
            <v>GRAMO</v>
          </cell>
          <cell r="E291">
            <v>3291.487916666666</v>
          </cell>
          <cell r="F291">
            <v>3.2914879166666662</v>
          </cell>
          <cell r="G291">
            <v>6.3433650000000004</v>
          </cell>
          <cell r="H291">
            <v>6.3433650000000001E-3</v>
          </cell>
          <cell r="I291">
            <v>140</v>
          </cell>
          <cell r="J291">
            <v>0.14000000000000001</v>
          </cell>
        </row>
        <row r="292">
          <cell r="A292" t="str">
            <v>95584</v>
          </cell>
          <cell r="B292" t="str">
            <v>RELLENO QUESO P/CHESSE CAKE HORNEADO (12800g)</v>
          </cell>
          <cell r="C292" t="str">
            <v>KILO</v>
          </cell>
          <cell r="D292" t="str">
            <v>GRAMO</v>
          </cell>
          <cell r="E292">
            <v>2306.3680384765626</v>
          </cell>
          <cell r="F292">
            <v>2.3063680384765624</v>
          </cell>
          <cell r="G292">
            <v>0</v>
          </cell>
          <cell r="H292">
            <v>0</v>
          </cell>
          <cell r="I292">
            <v>25.78125</v>
          </cell>
          <cell r="J292">
            <v>2.5781249999999999E-2</v>
          </cell>
        </row>
        <row r="293">
          <cell r="A293" t="str">
            <v>95702</v>
          </cell>
          <cell r="B293" t="str">
            <v>RELLENO QUESO BASE P/CHESSE CAKE SPOON (7.8 Kg)</v>
          </cell>
          <cell r="C293" t="str">
            <v>KILO</v>
          </cell>
          <cell r="D293" t="str">
            <v>GRAMO</v>
          </cell>
          <cell r="E293">
            <v>1798.4060811282054</v>
          </cell>
          <cell r="F293">
            <v>1.7984060811282054</v>
          </cell>
          <cell r="G293">
            <v>0</v>
          </cell>
          <cell r="H293">
            <v>0</v>
          </cell>
          <cell r="I293">
            <v>105.76923076923077</v>
          </cell>
          <cell r="J293">
            <v>0.10576923076923077</v>
          </cell>
        </row>
        <row r="294">
          <cell r="A294" t="str">
            <v>95833</v>
          </cell>
          <cell r="B294" t="str">
            <v>ROSQUETE MELOCOTON PURATOS (300g)</v>
          </cell>
          <cell r="C294" t="str">
            <v>UND</v>
          </cell>
          <cell r="D294" t="str">
            <v>UND</v>
          </cell>
          <cell r="E294">
            <v>354.48884494634626</v>
          </cell>
          <cell r="F294">
            <v>354.48884494634626</v>
          </cell>
          <cell r="G294">
            <v>9.2045736593345016</v>
          </cell>
          <cell r="H294">
            <v>9.2045736593345016</v>
          </cell>
          <cell r="I294">
            <v>18.692332962886429</v>
          </cell>
          <cell r="J294">
            <v>18.692332962886429</v>
          </cell>
        </row>
        <row r="295">
          <cell r="A295" t="str">
            <v>95857</v>
          </cell>
          <cell r="B295" t="str">
            <v>ROSQUETE CHOCOLATE SPOON RED. (320g)</v>
          </cell>
          <cell r="C295" t="str">
            <v>UND</v>
          </cell>
          <cell r="D295" t="str">
            <v>UND</v>
          </cell>
          <cell r="E295">
            <v>395.76817663200347</v>
          </cell>
          <cell r="F295">
            <v>395.76817663200347</v>
          </cell>
          <cell r="G295">
            <v>5.8299605890354398</v>
          </cell>
          <cell r="H295">
            <v>5.8299605890354398</v>
          </cell>
          <cell r="I295">
            <v>16.8969495634217</v>
          </cell>
          <cell r="J295">
            <v>16.8969495634217</v>
          </cell>
        </row>
        <row r="296">
          <cell r="A296" t="str">
            <v>96273</v>
          </cell>
          <cell r="B296" t="str">
            <v>CORTE GALLETA PEQ P/TORTA CHILENA (UND)</v>
          </cell>
          <cell r="C296" t="str">
            <v>UND</v>
          </cell>
          <cell r="D296" t="str">
            <v>UND</v>
          </cell>
          <cell r="E296">
            <v>91.259726746921174</v>
          </cell>
          <cell r="F296">
            <v>91.259726746921174</v>
          </cell>
          <cell r="G296">
            <v>0.71619935522714828</v>
          </cell>
          <cell r="H296">
            <v>0.71619935522714828</v>
          </cell>
          <cell r="I296">
            <v>21.555665024630542</v>
          </cell>
          <cell r="J296">
            <v>21.555665024630542</v>
          </cell>
        </row>
        <row r="297">
          <cell r="A297" t="str">
            <v>906000005</v>
          </cell>
          <cell r="B297" t="str">
            <v>EMPANADA DE POLLO PEQUEÑA  (UND)</v>
          </cell>
          <cell r="C297" t="str">
            <v>UND</v>
          </cell>
          <cell r="D297" t="str">
            <v>UND</v>
          </cell>
          <cell r="E297">
            <v>57.013804147782189</v>
          </cell>
          <cell r="F297">
            <v>57.013804147782189</v>
          </cell>
          <cell r="G297">
            <v>0.71571045852291038</v>
          </cell>
          <cell r="H297">
            <v>0.71571045852291038</v>
          </cell>
          <cell r="I297">
            <v>26.79662026328894</v>
          </cell>
          <cell r="J297">
            <v>26.79662026328894</v>
          </cell>
        </row>
        <row r="298">
          <cell r="A298" t="str">
            <v>96259</v>
          </cell>
          <cell r="B298" t="str">
            <v>EMPAQUE RELLENO QUESOS P/EMPANADA (3000g)</v>
          </cell>
          <cell r="C298" t="str">
            <v>TANDA</v>
          </cell>
          <cell r="D298" t="str">
            <v>GRAMO</v>
          </cell>
          <cell r="E298">
            <v>13997.971705098042</v>
          </cell>
          <cell r="F298">
            <v>4.6659905683660137</v>
          </cell>
          <cell r="G298">
            <v>29.327455069693023</v>
          </cell>
          <cell r="H298">
            <v>9.7758183565643409E-3</v>
          </cell>
          <cell r="I298">
            <v>386.37813211845105</v>
          </cell>
          <cell r="J298">
            <v>0.12879271070615034</v>
          </cell>
        </row>
        <row r="299">
          <cell r="A299" t="str">
            <v>96262</v>
          </cell>
          <cell r="B299" t="str">
            <v>EMPANADITA TRES QUESOS (UND)</v>
          </cell>
          <cell r="C299" t="str">
            <v>UND</v>
          </cell>
          <cell r="D299" t="str">
            <v>UND</v>
          </cell>
          <cell r="E299">
            <v>108.19885408972851</v>
          </cell>
          <cell r="F299">
            <v>108.19885408972851</v>
          </cell>
          <cell r="G299">
            <v>3.5195198379508806E-3</v>
          </cell>
          <cell r="H299">
            <v>3.5195198379508806E-3</v>
          </cell>
          <cell r="I299">
            <v>30.066935115202529</v>
          </cell>
          <cell r="J299">
            <v>30.066935115202529</v>
          </cell>
        </row>
        <row r="300">
          <cell r="A300" t="str">
            <v>95152</v>
          </cell>
          <cell r="B300" t="str">
            <v>EMPAQUE RELLENO JAMON P/ ARROLLADO (2000g)</v>
          </cell>
          <cell r="C300" t="str">
            <v>KILO</v>
          </cell>
          <cell r="D300" t="str">
            <v>GRAMO</v>
          </cell>
          <cell r="E300">
            <v>3053.0307908769746</v>
          </cell>
          <cell r="F300">
            <v>3.0530307908769747</v>
          </cell>
          <cell r="G300">
            <v>6.1319432886334617</v>
          </cell>
          <cell r="H300">
            <v>6.1319432886334617E-3</v>
          </cell>
          <cell r="I300">
            <v>74.597701149425291</v>
          </cell>
          <cell r="J300">
            <v>7.4597701149425294E-2</v>
          </cell>
        </row>
        <row r="301">
          <cell r="A301" t="str">
            <v>95230</v>
          </cell>
          <cell r="B301" t="str">
            <v>ARROLLADO DE JAMON (UND)</v>
          </cell>
          <cell r="C301" t="str">
            <v>UND</v>
          </cell>
          <cell r="D301" t="str">
            <v>UND</v>
          </cell>
          <cell r="E301">
            <v>122.67460640985297</v>
          </cell>
          <cell r="F301">
            <v>122.67460640985297</v>
          </cell>
          <cell r="G301">
            <v>1.2535177289265251</v>
          </cell>
          <cell r="H301">
            <v>1.2535177289265251</v>
          </cell>
          <cell r="I301">
            <v>33.979038314581437</v>
          </cell>
          <cell r="J301">
            <v>33.979038314581437</v>
          </cell>
        </row>
        <row r="302">
          <cell r="A302" t="str">
            <v>95475</v>
          </cell>
          <cell r="B302" t="str">
            <v>PAÑUELO ESPINACA C/RICOTTA (UND)</v>
          </cell>
          <cell r="C302" t="str">
            <v>UND</v>
          </cell>
          <cell r="D302" t="str">
            <v>UND</v>
          </cell>
          <cell r="E302">
            <v>137.21388281956311</v>
          </cell>
          <cell r="F302">
            <v>137.21388281956311</v>
          </cell>
          <cell r="G302">
            <v>0.72944441322726261</v>
          </cell>
          <cell r="H302">
            <v>0.72944441322726261</v>
          </cell>
          <cell r="I302">
            <v>36.400315884852304</v>
          </cell>
          <cell r="J302">
            <v>36.400315884852304</v>
          </cell>
        </row>
        <row r="303">
          <cell r="A303" t="str">
            <v>95446</v>
          </cell>
          <cell r="B303" t="str">
            <v>CANASTITA DULCE S/RELLENO (UND)</v>
          </cell>
          <cell r="C303" t="str">
            <v>UND</v>
          </cell>
          <cell r="D303" t="str">
            <v>UND</v>
          </cell>
          <cell r="E303">
            <v>23.819677581492538</v>
          </cell>
          <cell r="F303">
            <v>23.819677581492538</v>
          </cell>
          <cell r="G303">
            <v>0.23133632153518124</v>
          </cell>
          <cell r="H303">
            <v>0.23133632153518124</v>
          </cell>
          <cell r="I303">
            <v>13.292338308457712</v>
          </cell>
          <cell r="J303">
            <v>13.292338308457712</v>
          </cell>
        </row>
        <row r="304">
          <cell r="A304" t="str">
            <v>95253</v>
          </cell>
          <cell r="B304" t="str">
            <v>PLANCHA BROWNIE (1950g)</v>
          </cell>
          <cell r="C304" t="str">
            <v>UND</v>
          </cell>
          <cell r="D304" t="str">
            <v>UND</v>
          </cell>
          <cell r="E304">
            <v>3077.5122504999999</v>
          </cell>
          <cell r="F304">
            <v>3077.5122504999999</v>
          </cell>
          <cell r="G304">
            <v>33.108337615277776</v>
          </cell>
          <cell r="H304">
            <v>33.108337615277776</v>
          </cell>
          <cell r="I304">
            <v>184.57847222222222</v>
          </cell>
          <cell r="J304">
            <v>184.57847222222222</v>
          </cell>
        </row>
        <row r="305">
          <cell r="A305" t="str">
            <v>95519</v>
          </cell>
          <cell r="B305" t="str">
            <v>ROSQUETE VAINILLA BUCCA (1200g)</v>
          </cell>
          <cell r="C305" t="str">
            <v>UND</v>
          </cell>
          <cell r="D305" t="str">
            <v>UND</v>
          </cell>
          <cell r="E305">
            <v>1223.9160074044096</v>
          </cell>
          <cell r="F305">
            <v>1223.9160074044096</v>
          </cell>
          <cell r="G305">
            <v>24.193430851167854</v>
          </cell>
          <cell r="H305">
            <v>24.193430851167854</v>
          </cell>
          <cell r="I305">
            <v>40.990017742806444</v>
          </cell>
          <cell r="J305">
            <v>40.990017742806444</v>
          </cell>
        </row>
        <row r="306">
          <cell r="A306" t="str">
            <v>96235</v>
          </cell>
          <cell r="B306" t="str">
            <v>CANASTA REDONDA (30g)</v>
          </cell>
          <cell r="C306" t="str">
            <v>UND</v>
          </cell>
          <cell r="D306" t="str">
            <v>UND</v>
          </cell>
          <cell r="E306">
            <v>55.485211661052638</v>
          </cell>
          <cell r="F306">
            <v>55.485211661052638</v>
          </cell>
          <cell r="G306">
            <v>0.41374383057644121</v>
          </cell>
          <cell r="H306">
            <v>0.41374383057644121</v>
          </cell>
          <cell r="I306">
            <v>20.223076923076921</v>
          </cell>
          <cell r="J306">
            <v>20.223076923076921</v>
          </cell>
        </row>
        <row r="307">
          <cell r="A307" t="str">
            <v>96285</v>
          </cell>
          <cell r="B307" t="str">
            <v>ROSQUETE CHOCOLATE (50g)</v>
          </cell>
          <cell r="C307" t="str">
            <v>UND</v>
          </cell>
          <cell r="D307" t="str">
            <v>UND</v>
          </cell>
          <cell r="E307">
            <v>64.920020827704391</v>
          </cell>
          <cell r="F307">
            <v>64.920020827704391</v>
          </cell>
          <cell r="G307">
            <v>1.6945652336553261</v>
          </cell>
          <cell r="H307">
            <v>1.6945652336553261</v>
          </cell>
          <cell r="I307">
            <v>8.6622596368573692</v>
          </cell>
          <cell r="J307">
            <v>8.6622596368573692</v>
          </cell>
        </row>
        <row r="308">
          <cell r="A308" t="str">
            <v>95372</v>
          </cell>
          <cell r="B308" t="str">
            <v>BASE PREMEZCLA TURRON ALMENDRA (3047g)</v>
          </cell>
          <cell r="C308" t="str">
            <v>TANDA</v>
          </cell>
          <cell r="D308" t="str">
            <v>GRAMO</v>
          </cell>
          <cell r="E308">
            <v>1537.6218530000001</v>
          </cell>
          <cell r="F308">
            <v>0.50463467443386945</v>
          </cell>
          <cell r="G308">
            <v>21.822725555555557</v>
          </cell>
          <cell r="H308">
            <v>7.1620366116033991E-3</v>
          </cell>
          <cell r="I308">
            <v>110</v>
          </cell>
          <cell r="J308">
            <v>3.6101083032490974E-2</v>
          </cell>
        </row>
        <row r="309">
          <cell r="A309" t="str">
            <v>96358</v>
          </cell>
          <cell r="B309" t="str">
            <v>BATIDO P/TURRON ALMENDRAS (5760g)</v>
          </cell>
          <cell r="C309" t="str">
            <v>KILO</v>
          </cell>
          <cell r="D309" t="str">
            <v>GRAMO</v>
          </cell>
          <cell r="E309">
            <v>2349.0428222222222</v>
          </cell>
          <cell r="F309">
            <v>2.3490428222222222</v>
          </cell>
          <cell r="G309">
            <v>3.7886732253086417</v>
          </cell>
          <cell r="H309">
            <v>3.7886732253086417E-3</v>
          </cell>
          <cell r="I309">
            <v>76.736111111111114</v>
          </cell>
          <cell r="J309">
            <v>7.6736111111111116E-2</v>
          </cell>
        </row>
        <row r="310">
          <cell r="A310" t="str">
            <v>95103</v>
          </cell>
          <cell r="B310" t="str">
            <v>MEDIA LUNA CUBIERTA CHOCOLATE LECHE (UND)</v>
          </cell>
          <cell r="C310" t="str">
            <v>UND</v>
          </cell>
          <cell r="D310" t="str">
            <v>UND</v>
          </cell>
          <cell r="E310">
            <v>25.479206085055701</v>
          </cell>
          <cell r="F310">
            <v>25.479206085055701</v>
          </cell>
          <cell r="G310">
            <v>0.23606913072852082</v>
          </cell>
          <cell r="H310">
            <v>0.23606913072852082</v>
          </cell>
          <cell r="I310">
            <v>4.1430462944096549</v>
          </cell>
          <cell r="J310">
            <v>4.1430462944096549</v>
          </cell>
        </row>
        <row r="311">
          <cell r="A311" t="str">
            <v>95369</v>
          </cell>
          <cell r="B311" t="str">
            <v>BASE PREMEZCLA QUEQUE SECO (3320g)</v>
          </cell>
          <cell r="C311" t="str">
            <v>TANDA</v>
          </cell>
          <cell r="D311" t="str">
            <v>GRAMO</v>
          </cell>
          <cell r="E311">
            <v>5261.1257500000002</v>
          </cell>
          <cell r="F311">
            <v>1.5846764307228915</v>
          </cell>
          <cell r="G311">
            <v>21.822757777777777</v>
          </cell>
          <cell r="H311">
            <v>6.5731198125836676E-3</v>
          </cell>
          <cell r="I311">
            <v>84</v>
          </cell>
          <cell r="J311">
            <v>2.5301204819277109E-2</v>
          </cell>
        </row>
        <row r="312">
          <cell r="A312" t="str">
            <v>95345</v>
          </cell>
          <cell r="B312" t="str">
            <v>ROSQUETE QQ SECO C/PASAS (750g)</v>
          </cell>
          <cell r="C312" t="str">
            <v>UND</v>
          </cell>
          <cell r="D312" t="str">
            <v>UND</v>
          </cell>
          <cell r="E312">
            <v>1347.2006525167783</v>
          </cell>
          <cell r="F312">
            <v>1347.2006525167783</v>
          </cell>
          <cell r="G312">
            <v>9.9081243153297116</v>
          </cell>
          <cell r="H312">
            <v>9.9081243153297116</v>
          </cell>
          <cell r="I312">
            <v>170.27037392138064</v>
          </cell>
          <cell r="J312">
            <v>170.27037392138064</v>
          </cell>
        </row>
        <row r="313">
          <cell r="A313" t="str">
            <v>95112</v>
          </cell>
          <cell r="B313" t="str">
            <v>ROSQUETE VAINILLA PERSONAL BUCCA (200g)</v>
          </cell>
          <cell r="C313" t="str">
            <v>UND</v>
          </cell>
          <cell r="D313" t="str">
            <v>UND</v>
          </cell>
          <cell r="E313">
            <v>203.19643881318322</v>
          </cell>
          <cell r="F313">
            <v>203.19643881318322</v>
          </cell>
          <cell r="G313">
            <v>4.392269724166896</v>
          </cell>
          <cell r="H313">
            <v>4.392269724166896</v>
          </cell>
          <cell r="I313">
            <v>10.814359975068081</v>
          </cell>
          <cell r="J313">
            <v>10.814359975068081</v>
          </cell>
        </row>
        <row r="314">
          <cell r="A314" t="str">
            <v>96185</v>
          </cell>
          <cell r="B314" t="str">
            <v>BASE PREMEZCLA SOUFLE (6.035 Kg)</v>
          </cell>
          <cell r="C314" t="str">
            <v>TANDA</v>
          </cell>
          <cell r="D314" t="str">
            <v>GRAMO</v>
          </cell>
          <cell r="E314">
            <v>10445.845386000001</v>
          </cell>
          <cell r="F314">
            <v>1.7311642999668546</v>
          </cell>
          <cell r="G314">
            <v>11.022725555555557</v>
          </cell>
          <cell r="H314">
            <v>1.8267692336021804E-3</v>
          </cell>
          <cell r="I314">
            <v>165</v>
          </cell>
          <cell r="J314">
            <v>2.7345044746436859E-2</v>
          </cell>
        </row>
        <row r="315">
          <cell r="A315" t="str">
            <v>96332</v>
          </cell>
          <cell r="B315" t="str">
            <v>BATIDO P/ROSQUETE SOUFFLE (11100g)</v>
          </cell>
          <cell r="C315" t="str">
            <v>KILO</v>
          </cell>
          <cell r="D315" t="str">
            <v>GRAMO</v>
          </cell>
          <cell r="E315">
            <v>1603.841223963964</v>
          </cell>
          <cell r="F315">
            <v>1.6038412239639641</v>
          </cell>
          <cell r="G315">
            <v>0.99303833833833832</v>
          </cell>
          <cell r="H315">
            <v>9.9303833833833837E-4</v>
          </cell>
          <cell r="I315">
            <v>49.549549549549553</v>
          </cell>
          <cell r="J315">
            <v>4.954954954954955E-2</v>
          </cell>
        </row>
        <row r="316">
          <cell r="A316" t="str">
            <v>90100142</v>
          </cell>
          <cell r="B316" t="str">
            <v>SAL (5000G)</v>
          </cell>
          <cell r="C316" t="str">
            <v>BOLSA</v>
          </cell>
          <cell r="D316" t="str">
            <v>GRAMO</v>
          </cell>
          <cell r="E316">
            <v>940</v>
          </cell>
          <cell r="F316">
            <v>0.188</v>
          </cell>
          <cell r="G316">
            <v>13.475999999999999</v>
          </cell>
          <cell r="H316">
            <v>2.6952E-3</v>
          </cell>
          <cell r="I316">
            <v>55</v>
          </cell>
          <cell r="J316">
            <v>1.0999999999999999E-2</v>
          </cell>
        </row>
        <row r="317">
          <cell r="A317" t="str">
            <v>907000219</v>
          </cell>
          <cell r="B317" t="str">
            <v>Rosquete Brownie Menta 1000g</v>
          </cell>
          <cell r="C317" t="str">
            <v>UND</v>
          </cell>
          <cell r="D317" t="str">
            <v>UND</v>
          </cell>
          <cell r="E317">
            <v>3608.2294588235295</v>
          </cell>
          <cell r="F317">
            <v>3608.2294588235295</v>
          </cell>
          <cell r="G317">
            <v>54.990309948412701</v>
          </cell>
          <cell r="H317">
            <v>54.990309948412701</v>
          </cell>
          <cell r="I317">
            <v>120.3125</v>
          </cell>
          <cell r="J317">
            <v>120.3125</v>
          </cell>
        </row>
        <row r="318">
          <cell r="A318" t="str">
            <v>907000217</v>
          </cell>
          <cell r="B318" t="str">
            <v>RELLENO CHOCOMENTA</v>
          </cell>
          <cell r="C318" t="str">
            <v>KILO</v>
          </cell>
          <cell r="D318" t="str">
            <v>KILO</v>
          </cell>
          <cell r="E318">
            <v>3261.1301544444445</v>
          </cell>
          <cell r="F318">
            <v>3.2611301544444444</v>
          </cell>
          <cell r="G318">
            <v>0</v>
          </cell>
          <cell r="H318">
            <v>0</v>
          </cell>
          <cell r="I318">
            <v>275</v>
          </cell>
          <cell r="J318">
            <v>0.27500000000000002</v>
          </cell>
        </row>
        <row r="319">
          <cell r="A319" t="str">
            <v>910000005</v>
          </cell>
          <cell r="B319" t="str">
            <v>MEZCLA DULCE LECHE CON AGUA</v>
          </cell>
          <cell r="C319" t="str">
            <v>TANDA</v>
          </cell>
          <cell r="D319" t="str">
            <v>GRAMO</v>
          </cell>
          <cell r="E319">
            <v>897.49288799999999</v>
          </cell>
          <cell r="F319">
            <v>1.49582148</v>
          </cell>
          <cell r="G319">
            <v>49.681000000000004</v>
          </cell>
          <cell r="H319">
            <v>8.2801666666666676E-2</v>
          </cell>
          <cell r="I319">
            <v>55</v>
          </cell>
          <cell r="J319">
            <v>9.166666666666666E-2</v>
          </cell>
        </row>
        <row r="320">
          <cell r="A320" t="str">
            <v>902000066</v>
          </cell>
          <cell r="B320" t="str">
            <v>SUSPIRO QUEBRADO 7650 g</v>
          </cell>
          <cell r="C320" t="str">
            <v>TANDA</v>
          </cell>
          <cell r="D320" t="str">
            <v>GRAMO</v>
          </cell>
          <cell r="E320">
            <v>19353.380484982161</v>
          </cell>
          <cell r="F320">
            <v>2.5298536581676028</v>
          </cell>
          <cell r="G320">
            <v>28.481995768033212</v>
          </cell>
          <cell r="H320">
            <v>3.7231367017036879E-3</v>
          </cell>
          <cell r="I320">
            <v>2470.4311925180209</v>
          </cell>
          <cell r="J320">
            <v>0.32293218202849949</v>
          </cell>
        </row>
        <row r="321">
          <cell r="A321" t="str">
            <v>90100115</v>
          </cell>
          <cell r="B321" t="str">
            <v>SALSA NARANJA (TANDA= 500 g)</v>
          </cell>
          <cell r="C321" t="str">
            <v>TANDA</v>
          </cell>
          <cell r="D321" t="str">
            <v>GRAMO</v>
          </cell>
          <cell r="E321">
            <v>17252.58664899736</v>
          </cell>
          <cell r="F321">
            <v>1.3802069319197887</v>
          </cell>
          <cell r="G321">
            <v>0</v>
          </cell>
          <cell r="H321">
            <v>0</v>
          </cell>
          <cell r="I321">
            <v>440</v>
          </cell>
          <cell r="J321">
            <v>3.5200000000000002E-2</v>
          </cell>
        </row>
        <row r="322">
          <cell r="A322" t="str">
            <v>907000226</v>
          </cell>
          <cell r="B322" t="str">
            <v>ROSQUETE CHOCOLATE BUCCA 800G</v>
          </cell>
          <cell r="C322" t="str">
            <v>UND</v>
          </cell>
          <cell r="D322" t="str">
            <v>UND</v>
          </cell>
          <cell r="E322">
            <v>612.44387157698372</v>
          </cell>
          <cell r="F322">
            <v>612.44387157698372</v>
          </cell>
          <cell r="G322">
            <v>13.45860305381556</v>
          </cell>
          <cell r="H322">
            <v>13.45860305381556</v>
          </cell>
          <cell r="I322">
            <v>43.217561521252797</v>
          </cell>
          <cell r="J322">
            <v>43.217561521252797</v>
          </cell>
        </row>
        <row r="323">
          <cell r="A323" t="str">
            <v>901000036</v>
          </cell>
          <cell r="B323" t="str">
            <v>PREMEZCLA VAINILLA RICH 170G</v>
          </cell>
          <cell r="C323" t="str">
            <v>TANDA</v>
          </cell>
          <cell r="D323" t="str">
            <v>GRAMO</v>
          </cell>
          <cell r="E323">
            <v>154.22406599999999</v>
          </cell>
          <cell r="F323">
            <v>0.90720038823529403</v>
          </cell>
          <cell r="G323">
            <v>7.5947800000000001</v>
          </cell>
          <cell r="H323">
            <v>4.4675176470588239E-2</v>
          </cell>
          <cell r="I323">
            <v>55</v>
          </cell>
          <cell r="J323">
            <v>0.3235294117647059</v>
          </cell>
        </row>
        <row r="324">
          <cell r="A324" t="str">
            <v>902000024</v>
          </cell>
          <cell r="B324" t="str">
            <v>Batido Vainilla Rich FAS 24000g</v>
          </cell>
          <cell r="C324" t="str">
            <v>TANDA</v>
          </cell>
          <cell r="D324" t="str">
            <v>GRAMO</v>
          </cell>
          <cell r="E324">
            <v>31287.540585694296</v>
          </cell>
          <cell r="F324">
            <v>1.3036475244039289</v>
          </cell>
          <cell r="G324">
            <v>7.594780000000001</v>
          </cell>
          <cell r="H324">
            <v>3.1644916666666669E-4</v>
          </cell>
          <cell r="I324">
            <v>495</v>
          </cell>
          <cell r="J324">
            <v>2.0625000000000001E-2</v>
          </cell>
        </row>
        <row r="325">
          <cell r="A325" t="str">
            <v>903000064</v>
          </cell>
          <cell r="B325" t="str">
            <v>ROSQUETE VAINILLA RICH 900G</v>
          </cell>
          <cell r="C325" t="str">
            <v>UND</v>
          </cell>
          <cell r="D325" t="str">
            <v>UND</v>
          </cell>
          <cell r="E325">
            <v>1215.8360731204052</v>
          </cell>
          <cell r="F325">
            <v>1215.8360731204052</v>
          </cell>
          <cell r="G325">
            <v>14.598128740836346</v>
          </cell>
          <cell r="H325">
            <v>14.598128740836346</v>
          </cell>
          <cell r="I325">
            <v>57.945921528136296</v>
          </cell>
          <cell r="J325">
            <v>57.945921528136296</v>
          </cell>
        </row>
        <row r="326">
          <cell r="A326" t="str">
            <v>901000005</v>
          </cell>
          <cell r="B326" t="str">
            <v xml:space="preserve">PREMEZCLA P/BATIDO CHOCO PASTELERO </v>
          </cell>
          <cell r="C326" t="str">
            <v>TANDA</v>
          </cell>
          <cell r="D326" t="str">
            <v>GRAMO</v>
          </cell>
          <cell r="E326">
            <v>4095.2116799999994</v>
          </cell>
          <cell r="F326">
            <v>1.2546604411764704</v>
          </cell>
          <cell r="G326">
            <v>51.239250509457278</v>
          </cell>
          <cell r="H326">
            <v>1.5698299788436666E-2</v>
          </cell>
          <cell r="I326">
            <v>110</v>
          </cell>
          <cell r="J326">
            <v>3.3700980392156861E-2</v>
          </cell>
        </row>
        <row r="327">
          <cell r="A327" t="str">
            <v>902000003</v>
          </cell>
          <cell r="B327" t="str">
            <v>BATIDO CHOCOLATE PASTELERO REAL 32400G</v>
          </cell>
          <cell r="C327" t="str">
            <v>TANDA</v>
          </cell>
          <cell r="D327" t="str">
            <v>GRAMO</v>
          </cell>
          <cell r="E327">
            <v>35227.057306764706</v>
          </cell>
          <cell r="F327">
            <v>1.0872548551470589</v>
          </cell>
          <cell r="G327">
            <v>328.81658736859441</v>
          </cell>
          <cell r="H327">
            <v>1.0148660103968964E-2</v>
          </cell>
          <cell r="I327">
            <v>1153.9007352941176</v>
          </cell>
          <cell r="J327">
            <v>3.5614220225127086E-2</v>
          </cell>
        </row>
        <row r="328">
          <cell r="A328" t="str">
            <v>907000204</v>
          </cell>
          <cell r="B328" t="str">
            <v>PLANCHA CHOCOLATE PASTELERO REAL 1300g</v>
          </cell>
          <cell r="C328" t="str">
            <v>UND</v>
          </cell>
          <cell r="D328" t="str">
            <v>UND</v>
          </cell>
          <cell r="E328">
            <v>1441.5558928626554</v>
          </cell>
          <cell r="F328">
            <v>1441.5558928626554</v>
          </cell>
          <cell r="G328">
            <v>13.796570919739926</v>
          </cell>
          <cell r="H328">
            <v>13.796570919739926</v>
          </cell>
          <cell r="I328">
            <v>132.30935985831189</v>
          </cell>
          <cell r="J328">
            <v>132.30935985831189</v>
          </cell>
        </row>
        <row r="329">
          <cell r="A329" t="str">
            <v>907000211</v>
          </cell>
          <cell r="B329" t="str">
            <v>ROSQUETE MELOCOTON MED 300G</v>
          </cell>
          <cell r="C329" t="str">
            <v>UND</v>
          </cell>
          <cell r="D329" t="str">
            <v>UND</v>
          </cell>
          <cell r="E329">
            <v>346.25307546532559</v>
          </cell>
          <cell r="F329">
            <v>346.25307546532559</v>
          </cell>
          <cell r="G329">
            <v>7.3045465006072225</v>
          </cell>
          <cell r="H329">
            <v>7.3045465006072225</v>
          </cell>
          <cell r="I329">
            <v>18.950701073484009</v>
          </cell>
          <cell r="J329">
            <v>18.950701073484009</v>
          </cell>
        </row>
        <row r="330">
          <cell r="A330" t="str">
            <v>90100219</v>
          </cell>
          <cell r="B330" t="str">
            <v>PREMEZCLA TORTA DE TRES LECHES RP 4527G</v>
          </cell>
          <cell r="C330" t="str">
            <v>TANDA</v>
          </cell>
          <cell r="D330" t="str">
            <v>GRAMO</v>
          </cell>
          <cell r="E330">
            <v>2138.8148460000007</v>
          </cell>
          <cell r="F330">
            <v>0.47245744333996037</v>
          </cell>
          <cell r="G330">
            <v>42.57118777777778</v>
          </cell>
          <cell r="H330">
            <v>9.4038409051861675E-3</v>
          </cell>
          <cell r="I330">
            <v>165</v>
          </cell>
          <cell r="J330">
            <v>3.6447978793903248E-2</v>
          </cell>
        </row>
        <row r="331">
          <cell r="A331" t="str">
            <v>90100220</v>
          </cell>
          <cell r="B331" t="str">
            <v>BATIDO TORTA DE TRES LECHES RP 9600G</v>
          </cell>
          <cell r="C331" t="str">
            <v>TANDA</v>
          </cell>
          <cell r="D331" t="str">
            <v>GRAMO</v>
          </cell>
          <cell r="E331">
            <v>5277.9678302260372</v>
          </cell>
          <cell r="F331">
            <v>0.54978831564854558</v>
          </cell>
          <cell r="G331">
            <v>165</v>
          </cell>
          <cell r="H331">
            <v>1.7187500000000001E-2</v>
          </cell>
          <cell r="I331">
            <v>1815</v>
          </cell>
          <cell r="J331">
            <v>0.18906249999999999</v>
          </cell>
        </row>
        <row r="332">
          <cell r="A332" t="str">
            <v>90100275</v>
          </cell>
          <cell r="B332" t="str">
            <v>ROSQUETE GUSTITO 4 LECHES 90g</v>
          </cell>
          <cell r="C332" t="str">
            <v>UND</v>
          </cell>
          <cell r="D332" t="str">
            <v>UND</v>
          </cell>
          <cell r="E332">
            <v>49.792149341755071</v>
          </cell>
          <cell r="F332">
            <v>49.792149341755071</v>
          </cell>
          <cell r="G332">
            <v>62.56504561844865</v>
          </cell>
          <cell r="H332">
            <v>62.56504561844865</v>
          </cell>
          <cell r="I332">
            <v>27.5</v>
          </cell>
          <cell r="J332">
            <v>27.5</v>
          </cell>
        </row>
        <row r="333">
          <cell r="A333" t="str">
            <v>90100161</v>
          </cell>
          <cell r="B333" t="str">
            <v>PREMEZCLA TORTA QQ CRISTAL (8176g)</v>
          </cell>
          <cell r="C333" t="str">
            <v>TANDA</v>
          </cell>
          <cell r="D333" t="str">
            <v>GRAMO</v>
          </cell>
          <cell r="E333">
            <v>3492.2954479999999</v>
          </cell>
          <cell r="F333">
            <v>0.42713985420743639</v>
          </cell>
          <cell r="G333">
            <v>62.945187777777775</v>
          </cell>
          <cell r="H333">
            <v>7.6987754131332894E-3</v>
          </cell>
          <cell r="I333">
            <v>192.5</v>
          </cell>
          <cell r="J333">
            <v>2.3544520547945206E-2</v>
          </cell>
        </row>
        <row r="334">
          <cell r="A334" t="str">
            <v>90100225</v>
          </cell>
          <cell r="B334" t="str">
            <v>BATIDO CHOCOLATE 27500g</v>
          </cell>
          <cell r="C334" t="str">
            <v>TANDA</v>
          </cell>
          <cell r="D334" t="str">
            <v>GRAMO</v>
          </cell>
          <cell r="E334">
            <v>38581.311737905038</v>
          </cell>
          <cell r="F334">
            <v>1.4029567904692741</v>
          </cell>
          <cell r="G334">
            <v>0</v>
          </cell>
          <cell r="H334">
            <v>0</v>
          </cell>
          <cell r="I334">
            <v>440</v>
          </cell>
          <cell r="J334">
            <v>1.6E-2</v>
          </cell>
        </row>
        <row r="335">
          <cell r="A335" t="str">
            <v>90100226</v>
          </cell>
          <cell r="B335" t="str">
            <v>ROSQUETE DE CHOCOLATE 1100g</v>
          </cell>
          <cell r="C335" t="str">
            <v>UND</v>
          </cell>
          <cell r="D335" t="str">
            <v>UND</v>
          </cell>
          <cell r="E335">
            <v>1564.0343487108323</v>
          </cell>
          <cell r="F335">
            <v>1564.0343487108323</v>
          </cell>
          <cell r="G335">
            <v>0.28353251677852354</v>
          </cell>
          <cell r="H335">
            <v>0.28353251677852354</v>
          </cell>
          <cell r="I335">
            <v>95.98422818791947</v>
          </cell>
          <cell r="J335">
            <v>95.98422818791947</v>
          </cell>
        </row>
        <row r="336">
          <cell r="A336" t="str">
            <v>90100233</v>
          </cell>
          <cell r="B336" t="str">
            <v>BORONA CHOCOLATE ROSTI POLLOS 3900G</v>
          </cell>
          <cell r="C336" t="str">
            <v>TANDA</v>
          </cell>
          <cell r="D336" t="str">
            <v>GRAMO</v>
          </cell>
          <cell r="E336">
            <v>6256.1373948433293</v>
          </cell>
          <cell r="F336">
            <v>1.6041377935495715</v>
          </cell>
          <cell r="G336">
            <v>79.289130067114101</v>
          </cell>
          <cell r="H336">
            <v>2.0330546171054897E-2</v>
          </cell>
          <cell r="I336">
            <v>1153.9369127516779</v>
          </cell>
          <cell r="J336">
            <v>0.29588125967991741</v>
          </cell>
        </row>
        <row r="337">
          <cell r="A337" t="str">
            <v>90100234</v>
          </cell>
          <cell r="B337" t="str">
            <v>BATIDO QUEQUE ARCOIRIS 33930</v>
          </cell>
          <cell r="C337" t="str">
            <v>TANDA</v>
          </cell>
          <cell r="D337" t="str">
            <v>GRAMO</v>
          </cell>
          <cell r="E337">
            <v>40764.431855714094</v>
          </cell>
          <cell r="F337">
            <v>1.2014274051197789</v>
          </cell>
          <cell r="G337">
            <v>79.289130067114101</v>
          </cell>
          <cell r="H337">
            <v>2.3368443874775746E-3</v>
          </cell>
          <cell r="I337">
            <v>1483.9369127516779</v>
          </cell>
          <cell r="J337">
            <v>4.3735246470724375E-2</v>
          </cell>
        </row>
        <row r="338">
          <cell r="A338" t="str">
            <v>901000106</v>
          </cell>
          <cell r="B338" t="str">
            <v>JAMON PAVO REBANADO 2870G</v>
          </cell>
          <cell r="C338" t="str">
            <v>TANDA</v>
          </cell>
          <cell r="D338" t="str">
            <v>GRAMO</v>
          </cell>
          <cell r="E338">
            <v>8490.6059999999998</v>
          </cell>
          <cell r="F338">
            <v>2.9583993031358884</v>
          </cell>
          <cell r="G338">
            <v>294.39000000000004</v>
          </cell>
          <cell r="H338">
            <v>0.10257491289198607</v>
          </cell>
          <cell r="I338">
            <v>440</v>
          </cell>
          <cell r="J338">
            <v>0.15331010452961671</v>
          </cell>
        </row>
        <row r="339">
          <cell r="A339" t="str">
            <v>90100221</v>
          </cell>
          <cell r="B339" t="str">
            <v>ROSQUETE TORTA DE TRES LECHES RP (960 gr)</v>
          </cell>
          <cell r="C339" t="str">
            <v>UND</v>
          </cell>
          <cell r="D339" t="str">
            <v>UND</v>
          </cell>
          <cell r="E339">
            <v>527.79678302260368</v>
          </cell>
          <cell r="F339">
            <v>527.79678302260368</v>
          </cell>
          <cell r="G339">
            <v>406.73166666666668</v>
          </cell>
          <cell r="H339">
            <v>406.73166666666668</v>
          </cell>
          <cell r="I339">
            <v>225.5</v>
          </cell>
          <cell r="J339">
            <v>225.5</v>
          </cell>
        </row>
        <row r="340">
          <cell r="A340" t="str">
            <v>90100222</v>
          </cell>
          <cell r="B340" t="str">
            <v>MEZCLA DE TRES LECHES RP</v>
          </cell>
          <cell r="C340" t="str">
            <v>TANDA</v>
          </cell>
          <cell r="D340" t="str">
            <v>MIlilitro</v>
          </cell>
          <cell r="E340">
            <v>12415.167355350066</v>
          </cell>
          <cell r="F340">
            <v>2.0691945592250112</v>
          </cell>
          <cell r="G340">
            <v>0</v>
          </cell>
          <cell r="H340">
            <v>0</v>
          </cell>
          <cell r="I340">
            <v>275</v>
          </cell>
          <cell r="J340">
            <v>4.583333333333333E-2</v>
          </cell>
        </row>
        <row r="341">
          <cell r="A341" t="str">
            <v>90100223</v>
          </cell>
          <cell r="B341" t="str">
            <v>MERENGUE PARA TRES LECHES RP</v>
          </cell>
          <cell r="C341" t="str">
            <v>TANDA</v>
          </cell>
          <cell r="D341" t="str">
            <v>GRAMO</v>
          </cell>
          <cell r="E341">
            <v>3761.7899899999998</v>
          </cell>
          <cell r="F341">
            <v>1.07479714</v>
          </cell>
          <cell r="G341">
            <v>3.0708489714285713E-4</v>
          </cell>
          <cell r="H341">
            <v>8.7738542040816329E-8</v>
          </cell>
          <cell r="I341">
            <v>1100</v>
          </cell>
          <cell r="J341">
            <v>0.31428571428571428</v>
          </cell>
        </row>
        <row r="342">
          <cell r="A342" t="str">
            <v>901000006</v>
          </cell>
          <cell r="B342" t="str">
            <v xml:space="preserve">BASE PREMEZCLA P/BATIDO VAINILLA PASTELERO </v>
          </cell>
          <cell r="C342" t="str">
            <v>TANDA</v>
          </cell>
          <cell r="D342" t="str">
            <v>GRAMO</v>
          </cell>
          <cell r="E342">
            <v>4095.2116799999999</v>
          </cell>
          <cell r="F342">
            <v>1.2546604411764706</v>
          </cell>
          <cell r="G342">
            <v>19.096393366600132</v>
          </cell>
          <cell r="H342">
            <v>5.8506107128064129E-3</v>
          </cell>
          <cell r="I342">
            <v>110</v>
          </cell>
          <cell r="J342">
            <v>3.3700980392156861E-2</v>
          </cell>
        </row>
        <row r="343">
          <cell r="A343" t="str">
            <v>905000094</v>
          </cell>
          <cell r="B343" t="str">
            <v>Ensamble media torta chocolate</v>
          </cell>
          <cell r="C343" t="str">
            <v>UND</v>
          </cell>
          <cell r="D343" t="str">
            <v>UND</v>
          </cell>
          <cell r="E343">
            <v>1050.4464617677095</v>
          </cell>
          <cell r="F343">
            <v>1050.4464617677095</v>
          </cell>
          <cell r="G343">
            <v>7.8435866075199412</v>
          </cell>
          <cell r="H343">
            <v>7.8435866075199412</v>
          </cell>
          <cell r="I343">
            <v>129.29891730862488</v>
          </cell>
          <cell r="J343">
            <v>129.29891730862488</v>
          </cell>
        </row>
        <row r="344">
          <cell r="A344" t="str">
            <v>905000095</v>
          </cell>
          <cell r="B344" t="str">
            <v>Ensamble media torta melocoton</v>
          </cell>
          <cell r="C344" t="str">
            <v xml:space="preserve">UND </v>
          </cell>
          <cell r="D344" t="str">
            <v>UND</v>
          </cell>
          <cell r="E344">
            <v>1028.5414935552374</v>
          </cell>
          <cell r="F344">
            <v>1028.5414935552374</v>
          </cell>
          <cell r="G344">
            <v>6.8830884301585966</v>
          </cell>
          <cell r="H344">
            <v>6.8830884301585966</v>
          </cell>
          <cell r="I344">
            <v>126.5233770208436</v>
          </cell>
          <cell r="J344">
            <v>126.5233770208436</v>
          </cell>
        </row>
        <row r="345">
          <cell r="A345" t="str">
            <v>95342</v>
          </cell>
          <cell r="B345" t="str">
            <v>BASE Premezcla Batidos para Rosquete Super esponja</v>
          </cell>
          <cell r="C345" t="str">
            <v>TANDA</v>
          </cell>
          <cell r="D345" t="str">
            <v>GRAMO</v>
          </cell>
          <cell r="E345">
            <v>536.52239999999995</v>
          </cell>
          <cell r="F345">
            <v>4.4710199999999993</v>
          </cell>
          <cell r="G345">
            <v>4.421616766467066</v>
          </cell>
          <cell r="H345">
            <v>3.6846806387225553E-2</v>
          </cell>
          <cell r="I345">
            <v>27.5</v>
          </cell>
          <cell r="J345">
            <v>0.22916666666666666</v>
          </cell>
        </row>
        <row r="346">
          <cell r="A346" t="str">
            <v>95343</v>
          </cell>
          <cell r="B346" t="str">
            <v>BATIDO Super Esponja (40120g</v>
          </cell>
          <cell r="C346" t="str">
            <v>TANDA</v>
          </cell>
          <cell r="D346" t="str">
            <v>GRAMO</v>
          </cell>
          <cell r="E346">
            <v>53885.640047058827</v>
          </cell>
          <cell r="F346">
            <v>1.3431116661779368</v>
          </cell>
          <cell r="G346">
            <v>4.421616766467066</v>
          </cell>
          <cell r="H346">
            <v>1.1020978979229976E-4</v>
          </cell>
          <cell r="I346">
            <v>467.5</v>
          </cell>
          <cell r="J346">
            <v>1.1652542372881356E-2</v>
          </cell>
        </row>
        <row r="347">
          <cell r="A347" t="str">
            <v>907000035</v>
          </cell>
          <cell r="B347" t="str">
            <v>Rosquete Super Esponja 380g</v>
          </cell>
          <cell r="C347" t="str">
            <v>UND</v>
          </cell>
          <cell r="D347" t="str">
            <v>UND</v>
          </cell>
          <cell r="E347">
            <v>524.38269974552782</v>
          </cell>
          <cell r="F347">
            <v>524.38269974552782</v>
          </cell>
          <cell r="G347">
            <v>4.6211066985275187</v>
          </cell>
          <cell r="H347">
            <v>4.6211066985275187</v>
          </cell>
          <cell r="I347">
            <v>18.483375539635087</v>
          </cell>
          <cell r="J347">
            <v>18.483375539635087</v>
          </cell>
        </row>
        <row r="348">
          <cell r="A348" t="str">
            <v>907000200</v>
          </cell>
          <cell r="B348" t="str">
            <v>BATIDO P/ARROLLADO DULCE LECHE 3600G</v>
          </cell>
          <cell r="C348" t="str">
            <v>TANDA</v>
          </cell>
          <cell r="D348" t="str">
            <v>GRAMO</v>
          </cell>
          <cell r="E348">
            <v>3846.8646231243679</v>
          </cell>
          <cell r="F348">
            <v>1.0685735064234356</v>
          </cell>
          <cell r="G348">
            <v>24.200849944761391</v>
          </cell>
          <cell r="H348">
            <v>6.7224583179892753E-3</v>
          </cell>
          <cell r="I348">
            <v>342.14751426242867</v>
          </cell>
          <cell r="J348">
            <v>9.5040976184007961E-2</v>
          </cell>
        </row>
        <row r="349">
          <cell r="A349" t="str">
            <v>903000154</v>
          </cell>
          <cell r="B349" t="str">
            <v>RUEDA HOJALDRE EMPANADA DE POLLO PEQUEÑA</v>
          </cell>
          <cell r="C349" t="str">
            <v>UND</v>
          </cell>
          <cell r="D349" t="str">
            <v>UND</v>
          </cell>
          <cell r="E349">
            <v>17.692668599069446</v>
          </cell>
          <cell r="F349">
            <v>17.692668599069446</v>
          </cell>
          <cell r="G349">
            <v>7.3629137208274437E-2</v>
          </cell>
          <cell r="H349">
            <v>7.3629137208274437E-2</v>
          </cell>
          <cell r="I349">
            <v>11.189039828684258</v>
          </cell>
          <cell r="J349">
            <v>11.189039828684258</v>
          </cell>
        </row>
        <row r="350">
          <cell r="A350" t="str">
            <v>90100281</v>
          </cell>
          <cell r="B350" t="str">
            <v>Crema de Garbanzos 10000G</v>
          </cell>
          <cell r="C350" t="str">
            <v>TANDA</v>
          </cell>
          <cell r="D350" t="str">
            <v>GRAMO</v>
          </cell>
          <cell r="E350">
            <v>13062.089689729972</v>
          </cell>
          <cell r="F350">
            <v>1.3062089689729972</v>
          </cell>
          <cell r="G350">
            <v>69.513032603681182</v>
          </cell>
          <cell r="H350">
            <v>6.9513032603681184E-3</v>
          </cell>
          <cell r="I350">
            <v>1383.7719279201042</v>
          </cell>
          <cell r="J350">
            <v>0.13837719279201041</v>
          </cell>
        </row>
        <row r="351">
          <cell r="A351" t="str">
            <v>901000051</v>
          </cell>
          <cell r="B351" t="str">
            <v>Premezcla Pasta Piña(5262g) Spoon</v>
          </cell>
          <cell r="C351" t="str">
            <v>TANDA</v>
          </cell>
          <cell r="D351" t="str">
            <v>GRAMO</v>
          </cell>
          <cell r="E351">
            <v>4629.7639655999992</v>
          </cell>
          <cell r="F351">
            <v>0.87984872018243998</v>
          </cell>
          <cell r="G351">
            <v>28.572730555555559</v>
          </cell>
          <cell r="H351">
            <v>5.4300134085054274E-3</v>
          </cell>
          <cell r="I351">
            <v>275</v>
          </cell>
          <cell r="J351">
            <v>5.2261497529456483E-2</v>
          </cell>
        </row>
        <row r="352">
          <cell r="A352" t="str">
            <v>95466</v>
          </cell>
          <cell r="B352" t="str">
            <v>Pasta para empanada de piña</v>
          </cell>
          <cell r="C352" t="str">
            <v>TANDA</v>
          </cell>
          <cell r="D352" t="str">
            <v>GRAMO</v>
          </cell>
          <cell r="E352">
            <v>7170.5829880570664</v>
          </cell>
          <cell r="F352">
            <v>1.1636778623916044</v>
          </cell>
          <cell r="G352">
            <v>64.415063888888895</v>
          </cell>
          <cell r="H352">
            <v>1.0453596866096867E-2</v>
          </cell>
          <cell r="I352">
            <v>825</v>
          </cell>
          <cell r="J352">
            <v>0.13388510223953262</v>
          </cell>
        </row>
        <row r="353">
          <cell r="A353" t="str">
            <v>907000050</v>
          </cell>
          <cell r="B353" t="str">
            <v>ROSQUETE ARROLLADO 1000G</v>
          </cell>
          <cell r="C353" t="str">
            <v>UND</v>
          </cell>
          <cell r="D353" t="str">
            <v>UND</v>
          </cell>
          <cell r="E353">
            <v>1078.5488084368583</v>
          </cell>
          <cell r="F353">
            <v>1078.5488084368583</v>
          </cell>
          <cell r="G353">
            <v>65.019382592709633</v>
          </cell>
          <cell r="H353">
            <v>65.019382592709633</v>
          </cell>
          <cell r="I353">
            <v>150.70540571420932</v>
          </cell>
          <cell r="J353">
            <v>150.70540571420932</v>
          </cell>
        </row>
        <row r="354">
          <cell r="A354" t="str">
            <v>90100280</v>
          </cell>
          <cell r="B354" t="str">
            <v>SALSA POMODORO 15000</v>
          </cell>
          <cell r="C354" t="str">
            <v>TANDA</v>
          </cell>
          <cell r="D354" t="str">
            <v>GRAMO</v>
          </cell>
          <cell r="E354">
            <v>21018.911828324784</v>
          </cell>
          <cell r="F354">
            <v>1.4012607885549857</v>
          </cell>
          <cell r="G354">
            <v>0</v>
          </cell>
          <cell r="I354">
            <v>1925</v>
          </cell>
          <cell r="J354">
            <v>0.12833333333333333</v>
          </cell>
        </row>
        <row r="355">
          <cell r="A355" t="str">
            <v>95969</v>
          </cell>
          <cell r="B355" t="str">
            <v>CALDO POLLO C/CARCASA 47000</v>
          </cell>
          <cell r="C355" t="str">
            <v>TANDA</v>
          </cell>
          <cell r="D355" t="str">
            <v>GRAMO</v>
          </cell>
          <cell r="E355">
            <v>25962.644746666661</v>
          </cell>
          <cell r="F355">
            <v>0.55239669673758851</v>
          </cell>
          <cell r="G355">
            <v>231.47791333333333</v>
          </cell>
          <cell r="H355">
            <v>4.9250619858156024E-3</v>
          </cell>
          <cell r="I355">
            <v>1650</v>
          </cell>
          <cell r="J355">
            <v>3.5106382978723406E-2</v>
          </cell>
        </row>
        <row r="356">
          <cell r="A356" t="str">
            <v>90100129</v>
          </cell>
          <cell r="B356" t="str">
            <v>ALMIDON MODIFICADO (BOLSA:5000g)</v>
          </cell>
          <cell r="C356" t="str">
            <v>TANDA</v>
          </cell>
          <cell r="D356" t="str">
            <v>GRAMO</v>
          </cell>
          <cell r="E356">
            <v>5716.2</v>
          </cell>
          <cell r="F356">
            <v>1.14324</v>
          </cell>
          <cell r="G356">
            <v>35.609333333333339</v>
          </cell>
          <cell r="H356">
            <v>7.1218666666666682E-3</v>
          </cell>
          <cell r="I356">
            <v>55</v>
          </cell>
          <cell r="J356">
            <v>1.0999999999999999E-2</v>
          </cell>
        </row>
        <row r="357">
          <cell r="A357" t="str">
            <v>90100279</v>
          </cell>
          <cell r="B357" t="str">
            <v>SALSA CULANTRO 2000G</v>
          </cell>
          <cell r="C357" t="str">
            <v>TANDA</v>
          </cell>
          <cell r="D357" t="str">
            <v>GRAMO</v>
          </cell>
          <cell r="E357">
            <v>3002.3665583193829</v>
          </cell>
          <cell r="F357">
            <v>1.5011832791596915</v>
          </cell>
          <cell r="G357">
            <v>9.5495689134751789</v>
          </cell>
          <cell r="H357">
            <v>4.7747844567375894E-3</v>
          </cell>
          <cell r="I357">
            <v>600.18293617021277</v>
          </cell>
          <cell r="J357">
            <v>0.30009146808510639</v>
          </cell>
        </row>
        <row r="358">
          <cell r="A358" t="str">
            <v>90100126</v>
          </cell>
          <cell r="B358" t="str">
            <v>RELLENO LOMO SALTEADO 3150G</v>
          </cell>
          <cell r="C358" t="str">
            <v>TANDA</v>
          </cell>
          <cell r="D358" t="str">
            <v>GRAMO</v>
          </cell>
          <cell r="E358">
            <v>24248.467874774124</v>
          </cell>
          <cell r="F358">
            <v>7.6979263094521029</v>
          </cell>
          <cell r="G358">
            <v>66.339104999999989</v>
          </cell>
          <cell r="H358">
            <v>2.1060033333333329E-2</v>
          </cell>
          <cell r="I358">
            <v>440</v>
          </cell>
          <cell r="J358">
            <v>0.13968253968253969</v>
          </cell>
        </row>
        <row r="359">
          <cell r="A359" t="str">
            <v>90100127</v>
          </cell>
          <cell r="B359" t="str">
            <v>SALSA DE AJI 1400G</v>
          </cell>
          <cell r="C359" t="str">
            <v>TANDA</v>
          </cell>
          <cell r="D359" t="str">
            <v>GRAMO</v>
          </cell>
          <cell r="E359">
            <v>2818.5643070588239</v>
          </cell>
          <cell r="F359">
            <v>2.0132602193277314</v>
          </cell>
          <cell r="G359">
            <v>29.188105</v>
          </cell>
          <cell r="H359">
            <v>2.084864642857143E-2</v>
          </cell>
          <cell r="I359">
            <v>275</v>
          </cell>
          <cell r="J359">
            <v>0.19642857142857142</v>
          </cell>
        </row>
        <row r="360">
          <cell r="A360" t="str">
            <v>95970</v>
          </cell>
          <cell r="B360" t="str">
            <v>MEZCLA GALLO PINTO BUCCA 4000G</v>
          </cell>
          <cell r="C360" t="str">
            <v>TANDA</v>
          </cell>
          <cell r="D360" t="str">
            <v>GRAMO</v>
          </cell>
          <cell r="E360">
            <v>3180.8075313185109</v>
          </cell>
          <cell r="F360">
            <v>0.79520188282962767</v>
          </cell>
          <cell r="G360">
            <v>47.385759144413669</v>
          </cell>
          <cell r="H360">
            <v>1.1846439786103417E-2</v>
          </cell>
          <cell r="I360">
            <v>952.70875711626547</v>
          </cell>
          <cell r="J360">
            <v>0.23817718927906636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882 REC BATIDO"/>
      <sheetName val="Costeo Bat"/>
      <sheetName val="REC Batido"/>
      <sheetName val="Costeo Bat 2"/>
    </sheetNames>
    <sheetDataSet>
      <sheetData sheetId="0"/>
      <sheetData sheetId="1"/>
      <sheetData sheetId="2"/>
      <sheetData sheetId="3">
        <row r="62">
          <cell r="E62">
            <v>1.1066440444444445</v>
          </cell>
        </row>
        <row r="67">
          <cell r="E67">
            <v>2.0370370370370372E-2</v>
          </cell>
        </row>
        <row r="69">
          <cell r="E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C583-EE27-4920-9134-4E0DC17C2838}">
  <dimension ref="A1:I57"/>
  <sheetViews>
    <sheetView tabSelected="1" zoomScale="70" zoomScaleNormal="70" workbookViewId="0">
      <selection activeCell="H9" sqref="H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91"/>
      <c r="B1" s="192"/>
      <c r="C1" s="197" t="s">
        <v>22</v>
      </c>
      <c r="D1" s="197"/>
      <c r="E1" s="197"/>
      <c r="F1" s="197"/>
      <c r="G1" s="197"/>
      <c r="H1" s="114" t="s">
        <v>21</v>
      </c>
      <c r="I1" s="115" t="s">
        <v>121</v>
      </c>
    </row>
    <row r="2" spans="1:9" ht="18" customHeight="1" thickBot="1" x14ac:dyDescent="0.3">
      <c r="A2" s="193"/>
      <c r="B2" s="194"/>
      <c r="C2" s="198" t="s">
        <v>0</v>
      </c>
      <c r="D2" s="199"/>
      <c r="E2" s="199"/>
      <c r="F2" s="199"/>
      <c r="G2" s="200"/>
      <c r="H2" s="116" t="s">
        <v>20</v>
      </c>
      <c r="I2" s="117" t="s">
        <v>108</v>
      </c>
    </row>
    <row r="3" spans="1:9" ht="31.5" customHeight="1" thickBot="1" x14ac:dyDescent="0.25">
      <c r="A3" s="193"/>
      <c r="B3" s="194"/>
      <c r="C3" s="201" t="s">
        <v>103</v>
      </c>
      <c r="D3" s="202"/>
      <c r="E3" s="202"/>
      <c r="F3" s="202"/>
      <c r="G3" s="203"/>
      <c r="H3" s="204" t="s">
        <v>19</v>
      </c>
      <c r="I3" s="182">
        <v>45619</v>
      </c>
    </row>
    <row r="4" spans="1:9" ht="18" customHeight="1" x14ac:dyDescent="0.25">
      <c r="A4" s="193"/>
      <c r="B4" s="194"/>
      <c r="C4" s="118" t="s">
        <v>18</v>
      </c>
      <c r="D4" s="185" t="s">
        <v>109</v>
      </c>
      <c r="E4" s="186"/>
      <c r="F4" s="186"/>
      <c r="G4" s="187"/>
      <c r="H4" s="205"/>
      <c r="I4" s="183"/>
    </row>
    <row r="5" spans="1:9" ht="14.25" thickBot="1" x14ac:dyDescent="0.3">
      <c r="A5" s="195"/>
      <c r="B5" s="196"/>
      <c r="C5" s="119" t="s">
        <v>17</v>
      </c>
      <c r="D5" s="188" t="s">
        <v>110</v>
      </c>
      <c r="E5" s="189"/>
      <c r="F5" s="189"/>
      <c r="G5" s="190"/>
      <c r="H5" s="206"/>
      <c r="I5" s="184"/>
    </row>
    <row r="6" spans="1:9" ht="18.75" thickBot="1" x14ac:dyDescent="0.3">
      <c r="A6" s="207" t="s">
        <v>23</v>
      </c>
      <c r="B6" s="207"/>
      <c r="C6" s="207"/>
      <c r="D6" s="208" t="s">
        <v>111</v>
      </c>
      <c r="E6" s="208"/>
      <c r="F6" s="208"/>
      <c r="G6" s="209" t="s">
        <v>24</v>
      </c>
      <c r="H6" s="209"/>
      <c r="I6" s="1" t="s">
        <v>111</v>
      </c>
    </row>
    <row r="7" spans="1:9" ht="25.5" x14ac:dyDescent="0.2">
      <c r="A7" s="210" t="s">
        <v>1</v>
      </c>
      <c r="B7" s="212" t="s">
        <v>112</v>
      </c>
      <c r="C7" s="214" t="s">
        <v>2</v>
      </c>
      <c r="D7" s="214" t="s">
        <v>3</v>
      </c>
      <c r="E7" s="214" t="s">
        <v>4</v>
      </c>
      <c r="F7" s="214"/>
      <c r="G7" s="214" t="s">
        <v>16</v>
      </c>
      <c r="H7" s="214"/>
      <c r="I7" s="120" t="s">
        <v>5</v>
      </c>
    </row>
    <row r="8" spans="1:9" ht="26.25" thickBot="1" x14ac:dyDescent="0.25">
      <c r="A8" s="211"/>
      <c r="B8" s="213"/>
      <c r="C8" s="215"/>
      <c r="D8" s="215"/>
      <c r="E8" s="121" t="s">
        <v>6</v>
      </c>
      <c r="F8" s="122" t="s">
        <v>7</v>
      </c>
      <c r="G8" s="121" t="s">
        <v>6</v>
      </c>
      <c r="H8" s="122" t="s">
        <v>7</v>
      </c>
      <c r="I8" s="123" t="s">
        <v>8</v>
      </c>
    </row>
    <row r="9" spans="1:9" ht="18.600000000000001" customHeight="1" x14ac:dyDescent="0.25">
      <c r="A9" s="124"/>
      <c r="B9" s="125"/>
      <c r="C9" s="126" t="s">
        <v>113</v>
      </c>
      <c r="D9" s="127"/>
      <c r="E9" s="128"/>
      <c r="F9" s="129"/>
      <c r="G9" s="128"/>
      <c r="H9" s="129"/>
      <c r="I9" s="130"/>
    </row>
    <row r="10" spans="1:9" ht="18" customHeight="1" x14ac:dyDescent="0.25">
      <c r="A10" s="131">
        <v>907000306</v>
      </c>
      <c r="B10" s="110" t="s">
        <v>104</v>
      </c>
      <c r="C10" s="109" t="s">
        <v>97</v>
      </c>
      <c r="D10" s="132" t="s">
        <v>98</v>
      </c>
      <c r="E10" s="133">
        <v>24000</v>
      </c>
      <c r="F10" s="134" t="s">
        <v>25</v>
      </c>
      <c r="G10" s="135"/>
      <c r="H10" s="136"/>
      <c r="I10" s="130"/>
    </row>
    <row r="11" spans="1:9" ht="15" x14ac:dyDescent="0.25">
      <c r="A11" s="132"/>
      <c r="B11" s="132"/>
      <c r="C11" s="137"/>
      <c r="D11" s="132"/>
      <c r="E11" s="133"/>
      <c r="F11" s="134"/>
      <c r="G11" s="135"/>
      <c r="H11" s="136"/>
      <c r="I11" s="130"/>
    </row>
    <row r="12" spans="1:9" ht="15" x14ac:dyDescent="0.25">
      <c r="A12" s="132"/>
      <c r="B12" s="132"/>
      <c r="C12" s="137"/>
      <c r="D12" s="132"/>
      <c r="E12" s="133"/>
      <c r="F12" s="134"/>
      <c r="G12" s="135"/>
      <c r="H12" s="136"/>
      <c r="I12" s="130"/>
    </row>
    <row r="13" spans="1:9" ht="15" x14ac:dyDescent="0.25">
      <c r="A13" s="132"/>
      <c r="B13" s="132"/>
      <c r="C13" s="137"/>
      <c r="D13" s="132"/>
      <c r="E13" s="133"/>
      <c r="F13" s="134"/>
      <c r="G13" s="135"/>
      <c r="H13" s="136"/>
      <c r="I13" s="130"/>
    </row>
    <row r="14" spans="1:9" ht="15" x14ac:dyDescent="0.25">
      <c r="A14" s="132"/>
      <c r="B14" s="132"/>
      <c r="C14" s="137"/>
      <c r="D14" s="132"/>
      <c r="E14" s="133"/>
      <c r="F14" s="134"/>
      <c r="G14" s="135"/>
      <c r="H14" s="136"/>
      <c r="I14" s="130"/>
    </row>
    <row r="15" spans="1:9" ht="15" x14ac:dyDescent="0.25">
      <c r="A15" s="132"/>
      <c r="B15" s="132"/>
      <c r="C15" s="137"/>
      <c r="D15" s="132"/>
      <c r="E15" s="133"/>
      <c r="F15" s="134"/>
      <c r="G15" s="135"/>
      <c r="H15" s="136"/>
      <c r="I15" s="130"/>
    </row>
    <row r="16" spans="1:9" ht="15" x14ac:dyDescent="0.25">
      <c r="A16" s="132"/>
      <c r="B16" s="132"/>
      <c r="C16" s="137"/>
      <c r="D16" s="132"/>
      <c r="E16" s="133"/>
      <c r="F16" s="134"/>
      <c r="G16" s="135"/>
      <c r="H16" s="136"/>
      <c r="I16" s="130"/>
    </row>
    <row r="17" spans="1:9" ht="15" x14ac:dyDescent="0.25">
      <c r="A17" s="132"/>
      <c r="B17" s="132"/>
      <c r="C17" s="137"/>
      <c r="D17" s="132"/>
      <c r="E17" s="133"/>
      <c r="F17" s="134"/>
      <c r="G17" s="135"/>
      <c r="H17" s="136"/>
      <c r="I17" s="130"/>
    </row>
    <row r="18" spans="1:9" ht="15" x14ac:dyDescent="0.25">
      <c r="A18" s="132"/>
      <c r="B18" s="132"/>
      <c r="C18" s="137"/>
      <c r="D18" s="132"/>
      <c r="E18" s="133"/>
      <c r="F18" s="134"/>
      <c r="G18" s="135"/>
      <c r="H18" s="136"/>
      <c r="I18" s="130"/>
    </row>
    <row r="19" spans="1:9" ht="15" x14ac:dyDescent="0.25">
      <c r="A19" s="132"/>
      <c r="B19" s="132"/>
      <c r="C19" s="137"/>
      <c r="D19" s="132"/>
      <c r="E19" s="133"/>
      <c r="F19" s="134"/>
      <c r="G19" s="135"/>
      <c r="H19" s="136"/>
      <c r="I19" s="130"/>
    </row>
    <row r="20" spans="1:9" ht="15.75" x14ac:dyDescent="0.25">
      <c r="A20" s="138"/>
      <c r="B20" s="138"/>
      <c r="C20" s="109"/>
      <c r="D20" s="12"/>
      <c r="E20" s="12"/>
      <c r="F20" s="12"/>
      <c r="G20" s="2"/>
      <c r="H20" s="136"/>
      <c r="I20" s="130"/>
    </row>
    <row r="21" spans="1:9" ht="15.75" x14ac:dyDescent="0.25">
      <c r="A21" s="10"/>
      <c r="B21" s="139"/>
      <c r="C21" s="140" t="s">
        <v>114</v>
      </c>
      <c r="D21" s="12"/>
      <c r="E21" s="12"/>
      <c r="F21" s="12"/>
      <c r="G21" s="2"/>
      <c r="H21" s="136"/>
      <c r="I21" s="130"/>
    </row>
    <row r="22" spans="1:9" ht="15" x14ac:dyDescent="0.25">
      <c r="A22" s="131"/>
      <c r="B22" s="110"/>
      <c r="C22" s="109"/>
      <c r="D22" s="141"/>
      <c r="E22" s="141"/>
      <c r="F22" s="141"/>
      <c r="G22" s="128"/>
      <c r="H22" s="136"/>
      <c r="I22" s="130"/>
    </row>
    <row r="23" spans="1:9" ht="15" x14ac:dyDescent="0.25">
      <c r="A23" s="142"/>
      <c r="B23" s="138"/>
      <c r="C23" s="109"/>
      <c r="D23" s="141"/>
      <c r="E23" s="141"/>
      <c r="F23" s="141"/>
      <c r="G23" s="128"/>
      <c r="H23" s="136"/>
      <c r="I23" s="130"/>
    </row>
    <row r="24" spans="1:9" ht="15" x14ac:dyDescent="0.25">
      <c r="A24" s="142"/>
      <c r="B24" s="138"/>
      <c r="C24" s="109"/>
      <c r="D24" s="141"/>
      <c r="E24" s="141"/>
      <c r="F24" s="141"/>
      <c r="G24" s="128"/>
      <c r="H24" s="136"/>
      <c r="I24" s="130"/>
    </row>
    <row r="25" spans="1:9" ht="15.75" x14ac:dyDescent="0.25">
      <c r="A25" s="10"/>
      <c r="B25" s="139"/>
      <c r="C25" s="140"/>
      <c r="D25" s="143"/>
      <c r="E25" s="144"/>
      <c r="F25" s="145"/>
      <c r="G25" s="128"/>
      <c r="H25" s="136"/>
      <c r="I25" s="130"/>
    </row>
    <row r="26" spans="1:9" ht="15" x14ac:dyDescent="0.25">
      <c r="A26" s="146"/>
      <c r="B26" s="147"/>
      <c r="C26" s="148"/>
      <c r="D26" s="149"/>
      <c r="E26" s="150"/>
      <c r="F26" s="151"/>
      <c r="G26" s="128"/>
      <c r="H26" s="136"/>
      <c r="I26" s="130"/>
    </row>
    <row r="27" spans="1:9" ht="15" x14ac:dyDescent="0.25">
      <c r="A27" s="110"/>
      <c r="B27" s="110"/>
      <c r="C27" s="109"/>
      <c r="D27" s="152"/>
      <c r="E27" s="3"/>
      <c r="F27" s="153"/>
      <c r="G27" s="128"/>
      <c r="H27" s="136"/>
      <c r="I27" s="130"/>
    </row>
    <row r="28" spans="1:9" ht="15.75" x14ac:dyDescent="0.25">
      <c r="A28" s="154"/>
      <c r="B28" s="155"/>
      <c r="C28" s="156" t="s">
        <v>115</v>
      </c>
      <c r="D28" s="157"/>
      <c r="E28" s="158"/>
      <c r="F28" s="129"/>
      <c r="G28" s="128"/>
      <c r="H28" s="136"/>
      <c r="I28" s="130"/>
    </row>
    <row r="29" spans="1:9" ht="15" x14ac:dyDescent="0.25">
      <c r="A29" s="11" t="s">
        <v>34</v>
      </c>
      <c r="B29" s="113"/>
      <c r="C29" s="9" t="s">
        <v>99</v>
      </c>
      <c r="D29" s="6" t="s">
        <v>98</v>
      </c>
      <c r="E29" s="7">
        <v>1300</v>
      </c>
      <c r="F29" s="8" t="s">
        <v>25</v>
      </c>
      <c r="G29" s="159"/>
      <c r="H29" s="136"/>
      <c r="I29" s="130"/>
    </row>
    <row r="30" spans="1:9" ht="15" x14ac:dyDescent="0.25">
      <c r="A30" s="11">
        <v>1950928</v>
      </c>
      <c r="B30" s="113" t="s">
        <v>105</v>
      </c>
      <c r="C30" s="9" t="s">
        <v>100</v>
      </c>
      <c r="D30" s="6" t="s">
        <v>116</v>
      </c>
      <c r="E30" s="7">
        <v>6</v>
      </c>
      <c r="F30" s="8" t="s">
        <v>96</v>
      </c>
      <c r="G30" s="159"/>
      <c r="H30" s="136"/>
      <c r="I30" s="130"/>
    </row>
    <row r="31" spans="1:9" ht="15" x14ac:dyDescent="0.25">
      <c r="A31" s="160" t="s">
        <v>36</v>
      </c>
      <c r="B31" s="161" t="s">
        <v>107</v>
      </c>
      <c r="C31" s="162" t="s">
        <v>37</v>
      </c>
      <c r="D31" s="6" t="s">
        <v>117</v>
      </c>
      <c r="E31" s="7">
        <v>6</v>
      </c>
      <c r="F31" s="8" t="s">
        <v>96</v>
      </c>
      <c r="G31" s="159"/>
      <c r="H31" s="136"/>
      <c r="I31" s="130"/>
    </row>
    <row r="32" spans="1:9" ht="15" x14ac:dyDescent="0.25">
      <c r="A32" s="111" t="s">
        <v>38</v>
      </c>
      <c r="B32" s="111" t="s">
        <v>106</v>
      </c>
      <c r="C32" s="112" t="s">
        <v>101</v>
      </c>
      <c r="D32" s="6" t="s">
        <v>118</v>
      </c>
      <c r="E32" s="7">
        <v>6</v>
      </c>
      <c r="F32" s="8" t="s">
        <v>96</v>
      </c>
      <c r="G32" s="128"/>
      <c r="H32" s="136"/>
      <c r="I32" s="130"/>
    </row>
    <row r="33" spans="1:9" ht="15" x14ac:dyDescent="0.25">
      <c r="A33" s="111"/>
      <c r="B33" s="111"/>
      <c r="C33" s="112"/>
      <c r="D33" s="6"/>
      <c r="E33" s="7"/>
      <c r="F33" s="8"/>
      <c r="G33" s="128"/>
      <c r="H33" s="136"/>
      <c r="I33" s="130"/>
    </row>
    <row r="34" spans="1:9" ht="15" x14ac:dyDescent="0.25">
      <c r="A34" s="111"/>
      <c r="B34" s="111"/>
      <c r="C34" s="112"/>
      <c r="D34" s="6"/>
      <c r="E34" s="7"/>
      <c r="F34" s="8"/>
      <c r="G34" s="163"/>
      <c r="H34" s="136"/>
      <c r="I34" s="130"/>
    </row>
    <row r="35" spans="1:9" ht="15.75" x14ac:dyDescent="0.25">
      <c r="A35" s="111"/>
      <c r="B35" s="111"/>
      <c r="C35" s="112"/>
      <c r="D35" s="12"/>
      <c r="E35" s="7"/>
      <c r="F35" s="8"/>
      <c r="G35" s="164"/>
      <c r="H35" s="136"/>
      <c r="I35" s="130"/>
    </row>
    <row r="36" spans="1:9" ht="15" x14ac:dyDescent="0.25">
      <c r="A36" s="165"/>
      <c r="B36" s="165"/>
      <c r="C36" s="166"/>
      <c r="D36" s="6"/>
      <c r="E36" s="153"/>
      <c r="F36" s="153"/>
      <c r="G36" s="164"/>
      <c r="H36" s="129"/>
      <c r="I36" s="130"/>
    </row>
    <row r="37" spans="1:9" ht="14.25" thickBot="1" x14ac:dyDescent="0.3">
      <c r="A37" s="167"/>
      <c r="B37" s="168"/>
      <c r="C37" s="169" t="s">
        <v>119</v>
      </c>
      <c r="D37" s="169"/>
      <c r="E37" s="170"/>
      <c r="F37" s="171"/>
      <c r="G37" s="169"/>
      <c r="H37" s="169"/>
      <c r="I37" s="172"/>
    </row>
    <row r="38" spans="1:9" ht="14.25" thickBot="1" x14ac:dyDescent="0.3">
      <c r="A38" s="173"/>
      <c r="B38" s="174"/>
      <c r="C38" s="175" t="s">
        <v>119</v>
      </c>
      <c r="D38" s="176" t="s">
        <v>6</v>
      </c>
      <c r="E38" s="177" t="s">
        <v>15</v>
      </c>
      <c r="F38" s="178"/>
      <c r="G38" s="175"/>
      <c r="H38" s="175"/>
      <c r="I38" s="179"/>
    </row>
    <row r="39" spans="1:9" ht="13.5" x14ac:dyDescent="0.25">
      <c r="A39" s="216" t="s">
        <v>10</v>
      </c>
      <c r="B39" s="217"/>
      <c r="C39" s="218"/>
      <c r="D39" s="180">
        <v>23400</v>
      </c>
      <c r="E39" s="181" t="s">
        <v>25</v>
      </c>
      <c r="F39" s="219" t="s">
        <v>26</v>
      </c>
      <c r="G39" s="219"/>
      <c r="H39" s="220"/>
      <c r="I39" s="221"/>
    </row>
    <row r="40" spans="1:9" ht="13.5" x14ac:dyDescent="0.25">
      <c r="A40" s="222" t="s">
        <v>9</v>
      </c>
      <c r="B40" s="223"/>
      <c r="C40" s="224"/>
      <c r="D40" s="2">
        <v>20</v>
      </c>
      <c r="E40" s="2" t="s">
        <v>27</v>
      </c>
      <c r="F40" s="225" t="s">
        <v>28</v>
      </c>
      <c r="G40" s="225"/>
      <c r="H40" s="226"/>
      <c r="I40" s="227"/>
    </row>
    <row r="41" spans="1:9" ht="13.5" x14ac:dyDescent="0.25">
      <c r="A41" s="222" t="s">
        <v>14</v>
      </c>
      <c r="B41" s="223"/>
      <c r="C41" s="224"/>
      <c r="D41" s="3">
        <v>130</v>
      </c>
      <c r="E41" s="2" t="s">
        <v>31</v>
      </c>
      <c r="F41" s="225" t="s">
        <v>29</v>
      </c>
      <c r="G41" s="225"/>
      <c r="H41" s="226"/>
      <c r="I41" s="227"/>
    </row>
    <row r="42" spans="1:9" ht="13.5" x14ac:dyDescent="0.25">
      <c r="A42" s="222" t="s">
        <v>13</v>
      </c>
      <c r="B42" s="223"/>
      <c r="C42" s="224"/>
      <c r="D42" s="3">
        <v>180</v>
      </c>
      <c r="E42" s="2" t="s">
        <v>25</v>
      </c>
      <c r="F42" s="228" t="s">
        <v>30</v>
      </c>
      <c r="G42" s="229"/>
      <c r="H42" s="230"/>
      <c r="I42" s="231"/>
    </row>
    <row r="43" spans="1:9" ht="14.25" thickBot="1" x14ac:dyDescent="0.3">
      <c r="A43" s="236" t="s">
        <v>12</v>
      </c>
      <c r="B43" s="237"/>
      <c r="C43" s="238"/>
      <c r="D43" s="4">
        <v>600</v>
      </c>
      <c r="E43" s="5" t="s">
        <v>25</v>
      </c>
      <c r="F43" s="239"/>
      <c r="G43" s="239"/>
      <c r="H43" s="226"/>
      <c r="I43" s="227"/>
    </row>
    <row r="44" spans="1:9" ht="13.5" thickBot="1" x14ac:dyDescent="0.25">
      <c r="A44" s="240" t="s">
        <v>11</v>
      </c>
      <c r="B44" s="241"/>
      <c r="C44" s="241"/>
      <c r="D44" s="241"/>
      <c r="E44" s="241"/>
      <c r="F44" s="241"/>
      <c r="G44" s="241"/>
      <c r="H44" s="241"/>
      <c r="I44" s="242"/>
    </row>
    <row r="45" spans="1:9" ht="14.45" customHeight="1" x14ac:dyDescent="0.25">
      <c r="A45" s="243" t="s">
        <v>42</v>
      </c>
      <c r="B45" s="244"/>
      <c r="C45" s="245"/>
      <c r="D45" s="245"/>
      <c r="E45" s="245"/>
      <c r="F45" s="245"/>
      <c r="G45" s="245"/>
      <c r="H45" s="245"/>
      <c r="I45" s="246"/>
    </row>
    <row r="46" spans="1:9" ht="15.6" customHeight="1" x14ac:dyDescent="0.25">
      <c r="A46" s="247" t="s">
        <v>102</v>
      </c>
      <c r="B46" s="248"/>
      <c r="C46" s="249"/>
      <c r="D46" s="249"/>
      <c r="E46" s="249"/>
      <c r="F46" s="249"/>
      <c r="G46" s="249"/>
      <c r="H46" s="249"/>
      <c r="I46" s="250"/>
    </row>
    <row r="47" spans="1:9" ht="14.45" customHeight="1" x14ac:dyDescent="0.25">
      <c r="A47" s="251" t="s">
        <v>41</v>
      </c>
      <c r="B47" s="252"/>
      <c r="C47" s="252"/>
      <c r="D47" s="252"/>
      <c r="E47" s="252"/>
      <c r="F47" s="252"/>
      <c r="G47" s="252"/>
      <c r="H47" s="252"/>
      <c r="I47" s="253"/>
    </row>
    <row r="48" spans="1:9" ht="13.5" x14ac:dyDescent="0.25">
      <c r="A48" s="254"/>
      <c r="B48" s="255"/>
      <c r="C48" s="256"/>
      <c r="D48" s="256"/>
      <c r="E48" s="256"/>
      <c r="F48" s="256"/>
      <c r="G48" s="256"/>
      <c r="H48" s="256"/>
      <c r="I48" s="257"/>
    </row>
    <row r="49" spans="1:9" ht="15" x14ac:dyDescent="0.25">
      <c r="A49" s="258"/>
      <c r="B49" s="259"/>
      <c r="C49" s="259"/>
      <c r="D49" s="259"/>
      <c r="E49" s="259"/>
      <c r="F49" s="259"/>
      <c r="G49" s="259"/>
      <c r="H49" s="259"/>
      <c r="I49" s="260"/>
    </row>
    <row r="50" spans="1:9" ht="14.45" customHeight="1" x14ac:dyDescent="0.25">
      <c r="A50" s="232"/>
      <c r="B50" s="233"/>
      <c r="C50" s="234"/>
      <c r="D50" s="234"/>
      <c r="E50" s="234"/>
      <c r="F50" s="234"/>
      <c r="G50" s="234"/>
      <c r="H50" s="234"/>
      <c r="I50" s="235"/>
    </row>
    <row r="51" spans="1:9" ht="14.45" customHeight="1" x14ac:dyDescent="0.25">
      <c r="A51" s="261"/>
      <c r="B51" s="262"/>
      <c r="C51" s="263"/>
      <c r="D51" s="263"/>
      <c r="E51" s="263"/>
      <c r="F51" s="263"/>
      <c r="G51" s="263"/>
      <c r="H51" s="263"/>
      <c r="I51" s="264"/>
    </row>
    <row r="52" spans="1:9" ht="18" customHeight="1" x14ac:dyDescent="0.25">
      <c r="A52" s="232"/>
      <c r="B52" s="233"/>
      <c r="C52" s="234"/>
      <c r="D52" s="234"/>
      <c r="E52" s="234"/>
      <c r="F52" s="234"/>
      <c r="G52" s="234"/>
      <c r="H52" s="234"/>
      <c r="I52" s="235"/>
    </row>
    <row r="53" spans="1:9" ht="14.45" customHeight="1" thickBot="1" x14ac:dyDescent="0.3">
      <c r="A53" s="265"/>
      <c r="B53" s="266"/>
      <c r="C53" s="267"/>
      <c r="D53" s="267"/>
      <c r="E53" s="267"/>
      <c r="F53" s="267"/>
      <c r="G53" s="267"/>
      <c r="H53" s="267"/>
      <c r="I53" s="268"/>
    </row>
    <row r="54" spans="1:9" ht="14.45" customHeight="1" thickBot="1" x14ac:dyDescent="0.3">
      <c r="A54" s="269"/>
      <c r="B54" s="270"/>
      <c r="C54" s="270"/>
      <c r="D54" s="270"/>
      <c r="E54" s="270"/>
      <c r="F54" s="270"/>
      <c r="G54" s="270"/>
      <c r="H54" s="270"/>
      <c r="I54" s="271"/>
    </row>
    <row r="55" spans="1:9" ht="14.45" customHeight="1" x14ac:dyDescent="0.2">
      <c r="A55" s="272" t="s">
        <v>120</v>
      </c>
      <c r="B55" s="273"/>
      <c r="C55" s="273"/>
      <c r="D55" s="273"/>
      <c r="E55" s="273"/>
      <c r="F55" s="273"/>
      <c r="G55" s="273"/>
      <c r="H55" s="273"/>
      <c r="I55" s="273"/>
    </row>
    <row r="56" spans="1:9" ht="13.5" x14ac:dyDescent="0.25">
      <c r="A56" s="274"/>
      <c r="B56" s="275"/>
      <c r="C56" s="275"/>
      <c r="D56" s="275"/>
      <c r="E56" s="275"/>
      <c r="F56" s="275"/>
      <c r="G56" s="275"/>
      <c r="H56" s="275"/>
      <c r="I56" s="275"/>
    </row>
    <row r="57" spans="1:9" ht="13.5" x14ac:dyDescent="0.25">
      <c r="A57" s="274"/>
      <c r="B57" s="275"/>
      <c r="C57" s="275"/>
      <c r="D57" s="275"/>
      <c r="E57" s="275"/>
      <c r="F57" s="275"/>
      <c r="G57" s="275"/>
      <c r="H57" s="275"/>
      <c r="I57" s="275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4"/>
  <sheetViews>
    <sheetView workbookViewId="0">
      <selection activeCell="M26" sqref="M26"/>
    </sheetView>
  </sheetViews>
  <sheetFormatPr baseColWidth="10" defaultColWidth="8.42578125" defaultRowHeight="12.75" x14ac:dyDescent="0.2"/>
  <cols>
    <col min="1" max="1" width="10" style="18" bestFit="1" customWidth="1"/>
    <col min="2" max="2" width="44.140625" style="18" bestFit="1" customWidth="1"/>
    <col min="3" max="3" width="10.42578125" style="18" bestFit="1" customWidth="1"/>
    <col min="4" max="4" width="10.42578125" style="18" customWidth="1"/>
    <col min="5" max="5" width="9.85546875" style="18" bestFit="1" customWidth="1"/>
    <col min="6" max="6" width="9.5703125" style="18" bestFit="1" customWidth="1"/>
    <col min="7" max="7" width="9.5703125" style="99" bestFit="1" customWidth="1"/>
    <col min="8" max="8" width="10.42578125" style="90" bestFit="1" customWidth="1"/>
    <col min="9" max="9" width="4.5703125" style="90" customWidth="1"/>
    <col min="10" max="10" width="1.85546875" style="17" customWidth="1"/>
    <col min="11" max="11" width="7" style="18" bestFit="1" customWidth="1"/>
    <col min="12" max="12" width="6.140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140625" style="18" customWidth="1"/>
    <col min="18" max="16384" width="8.42578125" style="18"/>
  </cols>
  <sheetData>
    <row r="1" spans="1:10" ht="27.75" customHeight="1" x14ac:dyDescent="0.2">
      <c r="A1" s="13"/>
      <c r="B1" s="13"/>
      <c r="C1" s="13"/>
      <c r="D1" s="13"/>
      <c r="E1" s="14" t="s">
        <v>43</v>
      </c>
      <c r="F1" s="15" t="s">
        <v>44</v>
      </c>
      <c r="G1" s="15" t="s">
        <v>45</v>
      </c>
      <c r="H1" s="15" t="s">
        <v>46</v>
      </c>
      <c r="I1" s="16"/>
    </row>
    <row r="2" spans="1:10" ht="30.75" customHeight="1" x14ac:dyDescent="0.2">
      <c r="A2" s="13"/>
      <c r="B2" s="13"/>
      <c r="C2" s="13"/>
      <c r="D2" s="13"/>
      <c r="E2" s="19">
        <f>IFERROR(O55,"")</f>
        <v>298.15711818740476</v>
      </c>
      <c r="F2" s="19">
        <f>IFERROR(H46,"")</f>
        <v>213.37389311340792</v>
      </c>
      <c r="G2" s="19">
        <f>IFERROR(H47,"")</f>
        <v>0.90565200671140944</v>
      </c>
      <c r="H2" s="19">
        <f>IFERROR(H49,"")</f>
        <v>10.744987571464083</v>
      </c>
      <c r="I2" s="20"/>
    </row>
    <row r="3" spans="1:10" ht="15" customHeight="1" x14ac:dyDescent="0.2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25">
      <c r="A4" s="302"/>
      <c r="B4" s="302"/>
      <c r="C4" s="302"/>
      <c r="D4" s="302"/>
      <c r="E4" s="302"/>
      <c r="F4" s="302"/>
      <c r="G4" s="302"/>
      <c r="H4" s="302"/>
      <c r="I4" s="22"/>
    </row>
    <row r="5" spans="1:10" ht="19.5" customHeight="1" thickBot="1" x14ac:dyDescent="0.25">
      <c r="A5" s="303" t="s">
        <v>47</v>
      </c>
      <c r="B5" s="304"/>
      <c r="C5" s="304"/>
      <c r="D5" s="304"/>
      <c r="E5" s="304"/>
      <c r="F5" s="304"/>
      <c r="G5" s="304"/>
      <c r="H5" s="305"/>
      <c r="I5" s="23"/>
    </row>
    <row r="6" spans="1:10" ht="19.5" thickBot="1" x14ac:dyDescent="0.25">
      <c r="A6" s="23"/>
      <c r="B6" s="23"/>
      <c r="C6" s="23"/>
      <c r="D6" s="23"/>
      <c r="E6" s="23"/>
      <c r="F6" s="306" t="s">
        <v>48</v>
      </c>
      <c r="G6" s="306"/>
      <c r="H6" s="24">
        <f ca="1">TODAY()</f>
        <v>45715</v>
      </c>
      <c r="I6" s="24"/>
    </row>
    <row r="7" spans="1:10" ht="26.25" hidden="1" thickBot="1" x14ac:dyDescent="0.25">
      <c r="A7" s="25" t="s">
        <v>49</v>
      </c>
      <c r="B7" s="26" t="s">
        <v>50</v>
      </c>
      <c r="C7" s="26" t="s">
        <v>49</v>
      </c>
      <c r="D7" s="27" t="s">
        <v>51</v>
      </c>
      <c r="E7" s="27" t="s">
        <v>52</v>
      </c>
      <c r="F7" s="27" t="s">
        <v>53</v>
      </c>
      <c r="G7" s="27" t="s">
        <v>54</v>
      </c>
      <c r="H7" s="28" t="s">
        <v>55</v>
      </c>
      <c r="I7" s="29"/>
    </row>
    <row r="8" spans="1:10" ht="13.5" hidden="1" x14ac:dyDescent="0.25">
      <c r="A8" s="30"/>
      <c r="B8" s="18" t="str">
        <f>IFERROR(VLOOKUP($H8,'[1]MP PLANTA'!$A$2:$F$500,2,0),"")</f>
        <v/>
      </c>
      <c r="C8" s="31">
        <f>+A8</f>
        <v>0</v>
      </c>
      <c r="D8" s="32" t="str">
        <f>IFERROR(VLOOKUP($H8,'[1]MP PLANTA'!$A$2:$F$500,5,0),"")</f>
        <v/>
      </c>
      <c r="E8" s="32" t="str">
        <f>IFERROR(VLOOKUP($H8,'[1]MP PLANTA'!$A$2:$F$500,6,0),"")</f>
        <v/>
      </c>
      <c r="F8" s="32" t="str">
        <f>IFERROR(C8*E8,"")</f>
        <v/>
      </c>
      <c r="G8" s="33" t="str">
        <f>IFERROR(F8/$F$59,"")</f>
        <v/>
      </c>
      <c r="H8" s="34"/>
      <c r="I8" s="34"/>
      <c r="J8" s="35"/>
    </row>
    <row r="9" spans="1:10" ht="13.5" hidden="1" x14ac:dyDescent="0.25">
      <c r="A9" s="30"/>
      <c r="B9" s="18" t="str">
        <f>IFERROR(VLOOKUP($H9,'[1]MP PLANTA'!$A$2:$F$500,2,0),"")</f>
        <v/>
      </c>
      <c r="C9" s="31">
        <f t="shared" ref="C9:C14" si="0">+A9</f>
        <v>0</v>
      </c>
      <c r="D9" s="32" t="str">
        <f>IFERROR(VLOOKUP($H9,'[1]MP PLANTA'!$A$2:$F$500,5,0),"")</f>
        <v/>
      </c>
      <c r="E9" s="32" t="str">
        <f>IFERROR(VLOOKUP($H9,'[1]MP PLANTA'!$A$2:$F$500,6,0),"")</f>
        <v/>
      </c>
      <c r="F9" s="32" t="str">
        <f t="shared" ref="F9:F14" si="1">IFERROR(C9*E9,"")</f>
        <v/>
      </c>
      <c r="G9" s="33" t="str">
        <f t="shared" ref="G9:G14" si="2">IFERROR(F9/$F$59,"")</f>
        <v/>
      </c>
      <c r="H9" s="34"/>
      <c r="I9" s="34"/>
      <c r="J9" s="35"/>
    </row>
    <row r="10" spans="1:10" ht="13.5" hidden="1" x14ac:dyDescent="0.25">
      <c r="A10" s="30"/>
      <c r="B10" s="18" t="str">
        <f>IFERROR(VLOOKUP($H10,'[1]MP PLANTA'!$A$2:$F$500,2,0),"")</f>
        <v/>
      </c>
      <c r="C10" s="31">
        <f t="shared" si="0"/>
        <v>0</v>
      </c>
      <c r="D10" s="32" t="str">
        <f>IFERROR(VLOOKUP($H10,'[1]MP PLANTA'!$A$2:$F$500,5,0),"")</f>
        <v/>
      </c>
      <c r="E10" s="32" t="str">
        <f>IFERROR(VLOOKUP($H10,'[1]MP PLANTA'!$A$2:$F$500,6,0),"")</f>
        <v/>
      </c>
      <c r="F10" s="32" t="str">
        <f t="shared" si="1"/>
        <v/>
      </c>
      <c r="G10" s="33" t="str">
        <f t="shared" si="2"/>
        <v/>
      </c>
      <c r="H10" s="34"/>
      <c r="I10" s="34"/>
      <c r="J10" s="35"/>
    </row>
    <row r="11" spans="1:10" ht="13.5" hidden="1" x14ac:dyDescent="0.25">
      <c r="A11" s="30"/>
      <c r="B11" s="18" t="str">
        <f>IFERROR(VLOOKUP($H11,'[1]MP PLANTA'!$A$2:$F$500,2,0),"")</f>
        <v/>
      </c>
      <c r="C11" s="31">
        <f t="shared" si="0"/>
        <v>0</v>
      </c>
      <c r="D11" s="32" t="str">
        <f>IFERROR(VLOOKUP($H11,'[1]MP PLANTA'!$A$2:$F$500,5,0),"")</f>
        <v/>
      </c>
      <c r="E11" s="32" t="str">
        <f>IFERROR(VLOOKUP($H11,'[1]MP PLANTA'!$A$2:$F$500,6,0),"")</f>
        <v/>
      </c>
      <c r="F11" s="32" t="str">
        <f t="shared" si="1"/>
        <v/>
      </c>
      <c r="G11" s="33" t="str">
        <f t="shared" si="2"/>
        <v/>
      </c>
      <c r="H11" s="34"/>
      <c r="I11" s="34"/>
      <c r="J11" s="35"/>
    </row>
    <row r="12" spans="1:10" ht="13.5" hidden="1" x14ac:dyDescent="0.25">
      <c r="A12" s="30"/>
      <c r="B12" s="18" t="str">
        <f>IFERROR(VLOOKUP($H12,'[1]MP PLANTA'!$A$2:$F$500,2,0),"")</f>
        <v/>
      </c>
      <c r="C12" s="31">
        <f t="shared" si="0"/>
        <v>0</v>
      </c>
      <c r="D12" s="32" t="str">
        <f>IFERROR(VLOOKUP($H12,'[1]MP PLANTA'!$A$2:$F$500,5,0),"")</f>
        <v/>
      </c>
      <c r="E12" s="32" t="str">
        <f>IFERROR(VLOOKUP($H12,'[1]MP PLANTA'!$A$2:$F$500,6,0),"")</f>
        <v/>
      </c>
      <c r="F12" s="32" t="str">
        <f t="shared" si="1"/>
        <v/>
      </c>
      <c r="G12" s="33" t="str">
        <f t="shared" si="2"/>
        <v/>
      </c>
      <c r="H12" s="34"/>
      <c r="I12" s="34"/>
      <c r="J12" s="35"/>
    </row>
    <row r="13" spans="1:10" ht="13.5" hidden="1" x14ac:dyDescent="0.25">
      <c r="A13" s="30"/>
      <c r="B13" s="18" t="str">
        <f>IFERROR(VLOOKUP($H13,'[1]MP PLANTA'!$A$2:$F$500,2,0),"")</f>
        <v/>
      </c>
      <c r="C13" s="31">
        <f t="shared" si="0"/>
        <v>0</v>
      </c>
      <c r="D13" s="32" t="str">
        <f>IFERROR(VLOOKUP($H13,'[1]MP PLANTA'!$A$2:$F$500,5,0),"")</f>
        <v/>
      </c>
      <c r="E13" s="32" t="str">
        <f>IFERROR(VLOOKUP($H13,'[1]MP PLANTA'!$A$2:$F$500,6,0),"")</f>
        <v/>
      </c>
      <c r="F13" s="32" t="str">
        <f t="shared" si="1"/>
        <v/>
      </c>
      <c r="G13" s="33" t="str">
        <f t="shared" si="2"/>
        <v/>
      </c>
      <c r="H13" s="34"/>
      <c r="I13" s="34"/>
      <c r="J13" s="35"/>
    </row>
    <row r="14" spans="1:10" ht="13.5" hidden="1" x14ac:dyDescent="0.25">
      <c r="A14" s="30"/>
      <c r="B14" s="18" t="str">
        <f>IFERROR(VLOOKUP($H14,'[1]MP PLANTA'!$A$2:$F$500,2,0),"")</f>
        <v/>
      </c>
      <c r="C14" s="31">
        <f t="shared" si="0"/>
        <v>0</v>
      </c>
      <c r="D14" s="32" t="str">
        <f>IFERROR(VLOOKUP($H14,'[1]MP PLANTA'!$A$2:$F$500,5,0),"")</f>
        <v/>
      </c>
      <c r="E14" s="32" t="str">
        <f>IFERROR(VLOOKUP($H14,'[1]MP PLANTA'!$A$2:$F$500,6,0),"")</f>
        <v/>
      </c>
      <c r="F14" s="32" t="str">
        <f t="shared" si="1"/>
        <v/>
      </c>
      <c r="G14" s="33" t="str">
        <f t="shared" si="2"/>
        <v/>
      </c>
      <c r="H14" s="34"/>
      <c r="I14" s="34"/>
      <c r="J14" s="35"/>
    </row>
    <row r="15" spans="1:10" ht="14.25" hidden="1" thickBot="1" x14ac:dyDescent="0.3">
      <c r="A15" s="30"/>
      <c r="C15" s="31"/>
      <c r="D15" s="32"/>
      <c r="E15" s="32"/>
      <c r="F15" s="32"/>
      <c r="G15" s="33"/>
      <c r="H15" s="34"/>
      <c r="I15" s="34"/>
      <c r="J15" s="35"/>
    </row>
    <row r="16" spans="1:10" ht="26.25" thickBot="1" x14ac:dyDescent="0.25">
      <c r="A16" s="25" t="s">
        <v>49</v>
      </c>
      <c r="B16" s="26" t="s">
        <v>56</v>
      </c>
      <c r="C16" s="26" t="s">
        <v>49</v>
      </c>
      <c r="D16" s="27" t="s">
        <v>51</v>
      </c>
      <c r="E16" s="27" t="s">
        <v>52</v>
      </c>
      <c r="F16" s="27" t="s">
        <v>53</v>
      </c>
      <c r="G16" s="27" t="s">
        <v>54</v>
      </c>
      <c r="H16" s="28" t="s">
        <v>55</v>
      </c>
      <c r="I16" s="29"/>
      <c r="J16" s="35"/>
    </row>
    <row r="17" spans="1:12" ht="13.5" x14ac:dyDescent="0.25">
      <c r="A17" s="30">
        <v>22236</v>
      </c>
      <c r="B17" s="18" t="s">
        <v>40</v>
      </c>
      <c r="C17" s="31">
        <f>+A17</f>
        <v>22236</v>
      </c>
      <c r="D17" s="31" t="s">
        <v>94</v>
      </c>
      <c r="E17" s="32">
        <f>+'[2]Costeo Bat 2'!$E$62</f>
        <v>1.1066440444444445</v>
      </c>
      <c r="F17" s="32">
        <f>IFERROR(E17*C17,"")</f>
        <v>24607.336972266668</v>
      </c>
      <c r="G17" s="33">
        <f>IFERROR(F17/$F$59,"")</f>
        <v>0.91152995292463967</v>
      </c>
      <c r="H17" s="34" t="s">
        <v>39</v>
      </c>
      <c r="I17" s="34"/>
      <c r="J17" s="35"/>
    </row>
    <row r="18" spans="1:12" ht="15" customHeight="1" x14ac:dyDescent="0.25">
      <c r="A18" s="30">
        <v>1200</v>
      </c>
      <c r="B18" s="18" t="str">
        <f>IFERROR(VLOOKUP($H18,[1]SEMIELABORADOS!$A$1:$J$999,2,0),"")</f>
        <v>MEZCLA ENGRASE MOLDES (29800g)</v>
      </c>
      <c r="C18" s="31">
        <f>+A18</f>
        <v>1200</v>
      </c>
      <c r="D18" s="31" t="str">
        <f>IFERROR(VLOOKUP($H18,[1]SEMIELABORADOS!$A$1:$J$999,4,0),"")</f>
        <v>GRAMO</v>
      </c>
      <c r="E18" s="32">
        <f>IFERROR(VLOOKUP($H18,[1]SEMIELABORADOS!$A$1:$J$999,6,0),"")</f>
        <v>0.83127516778523491</v>
      </c>
      <c r="F18" s="32">
        <f>IFERROR(E18*C18,"")</f>
        <v>997.53020134228188</v>
      </c>
      <c r="G18" s="33">
        <f>IFERROR(F18/$F$59,"")</f>
        <v>3.6951526225500367E-2</v>
      </c>
      <c r="H18" s="34" t="s">
        <v>92</v>
      </c>
      <c r="I18" s="34"/>
      <c r="J18" s="35"/>
    </row>
    <row r="19" spans="1:12" ht="13.5" hidden="1" x14ac:dyDescent="0.25">
      <c r="A19" s="30"/>
      <c r="B19" s="18" t="str">
        <f>IFERROR(VLOOKUP($H19,[1]SEMIELABORADOS!$A$1:$J$999,2,0),"")</f>
        <v/>
      </c>
      <c r="C19" s="31">
        <f>+A19</f>
        <v>0</v>
      </c>
      <c r="D19" s="31" t="str">
        <f>IFERROR(VLOOKUP($H19,[1]SEMIELABORADOS!$A$1:$J$999,4,0),"")</f>
        <v/>
      </c>
      <c r="E19" s="32" t="str">
        <f>IFERROR(VLOOKUP($H19,[1]SEMIELABORADOS!$A$1:$J$999,6,0),"")</f>
        <v/>
      </c>
      <c r="F19" s="32" t="str">
        <f>IFERROR(E19*C19,"")</f>
        <v/>
      </c>
      <c r="G19" s="33" t="str">
        <f>IFERROR(F19/$F$59,"")</f>
        <v/>
      </c>
      <c r="H19" s="34"/>
      <c r="I19" s="34"/>
      <c r="J19" s="35"/>
    </row>
    <row r="20" spans="1:12" ht="13.5" hidden="1" x14ac:dyDescent="0.25">
      <c r="A20" s="30"/>
      <c r="B20" s="18" t="str">
        <f>IFERROR(VLOOKUP($H20,[1]SEMIELABORADOS!$A$1:$J$999,2,0),"")</f>
        <v/>
      </c>
      <c r="C20" s="31">
        <f>+A20</f>
        <v>0</v>
      </c>
      <c r="D20" s="31" t="str">
        <f>IFERROR(VLOOKUP($H20,[1]SEMIELABORADOS!$A$1:$J$999,4,0),"")</f>
        <v/>
      </c>
      <c r="E20" s="32" t="str">
        <f>IFERROR(VLOOKUP($H20,[1]SEMIELABORADOS!$A$1:$J$999,6,0),"")</f>
        <v/>
      </c>
      <c r="F20" s="32" t="str">
        <f>IFERROR(E20*C20,"")</f>
        <v/>
      </c>
      <c r="G20" s="33" t="str">
        <f>IFERROR(F20/$F$59,"")</f>
        <v/>
      </c>
      <c r="H20" s="34"/>
      <c r="I20" s="34"/>
      <c r="J20" s="35"/>
    </row>
    <row r="21" spans="1:12" ht="13.5" hidden="1" x14ac:dyDescent="0.25">
      <c r="A21" s="30"/>
      <c r="B21" s="18" t="str">
        <f>IFERROR(VLOOKUP($H21,[1]SEMIELABORADOS!$A$1:$J$999,2,0),"")</f>
        <v/>
      </c>
      <c r="C21" s="31">
        <f>+A21</f>
        <v>0</v>
      </c>
      <c r="D21" s="31" t="str">
        <f>IFERROR(VLOOKUP($H21,[1]SEMIELABORADOS!$A$1:$J$999,4,0),"")</f>
        <v/>
      </c>
      <c r="E21" s="32" t="str">
        <f>IFERROR(VLOOKUP($H21,[1]SEMIELABORADOS!$A$1:$J$999,6,0),"")</f>
        <v/>
      </c>
      <c r="F21" s="32" t="str">
        <f>IFERROR(E21*C21,"")</f>
        <v/>
      </c>
      <c r="G21" s="33" t="str">
        <f>IFERROR(F21/$F$59,"")</f>
        <v/>
      </c>
      <c r="H21" s="34"/>
      <c r="I21" s="34"/>
      <c r="J21" s="35"/>
    </row>
    <row r="22" spans="1:12" ht="14.25" thickBot="1" x14ac:dyDescent="0.3">
      <c r="A22" s="30"/>
      <c r="C22" s="31"/>
      <c r="D22" s="31"/>
      <c r="E22" s="32"/>
      <c r="F22" s="32"/>
      <c r="G22" s="33"/>
      <c r="H22" s="34"/>
      <c r="I22" s="34"/>
      <c r="J22" s="35"/>
    </row>
    <row r="23" spans="1:12" ht="26.25" thickBot="1" x14ac:dyDescent="0.25">
      <c r="A23" s="25" t="s">
        <v>49</v>
      </c>
      <c r="B23" s="26" t="s">
        <v>32</v>
      </c>
      <c r="C23" s="26" t="s">
        <v>49</v>
      </c>
      <c r="D23" s="27" t="s">
        <v>51</v>
      </c>
      <c r="E23" s="27" t="s">
        <v>52</v>
      </c>
      <c r="F23" s="27" t="s">
        <v>53</v>
      </c>
      <c r="G23" s="27" t="s">
        <v>54</v>
      </c>
      <c r="H23" s="28" t="s">
        <v>55</v>
      </c>
      <c r="I23" s="29"/>
    </row>
    <row r="24" spans="1:12" ht="13.5" x14ac:dyDescent="0.25">
      <c r="A24" s="30">
        <v>6</v>
      </c>
      <c r="B24" s="36" t="s">
        <v>33</v>
      </c>
      <c r="C24" s="31">
        <f t="shared" ref="C24:C29" si="3">+A24</f>
        <v>6</v>
      </c>
      <c r="D24" s="32" t="s">
        <v>95</v>
      </c>
      <c r="E24" s="32">
        <v>15</v>
      </c>
      <c r="F24" s="32">
        <f t="shared" ref="F24:F29" si="4">IFERROR(E24*C24,"")</f>
        <v>90</v>
      </c>
      <c r="G24" s="33">
        <f t="shared" ref="G24:G29" si="5">IFERROR(F24/$F$59,"")</f>
        <v>3.3338713512834376E-3</v>
      </c>
      <c r="H24" s="37" t="s">
        <v>35</v>
      </c>
      <c r="I24" s="37"/>
      <c r="J24" s="35"/>
      <c r="K24" s="299"/>
      <c r="L24" s="299"/>
    </row>
    <row r="25" spans="1:12" ht="13.5" x14ac:dyDescent="0.25">
      <c r="A25" s="30">
        <v>6</v>
      </c>
      <c r="B25" s="36" t="str">
        <f>IFERROR(VLOOKUP($H25,'[1]EMP PLANTA'!$A$2:$F$500,2,0),"")</f>
        <v>ETIQ.FECHA VENCIMIENTO BLANCO</v>
      </c>
      <c r="C25" s="31">
        <f t="shared" si="3"/>
        <v>6</v>
      </c>
      <c r="D25" s="32" t="str">
        <f>IFERROR(VLOOKUP($H25,'[1]EMP PLANTA'!$A$2:$F$500,5,0),"")</f>
        <v>UND</v>
      </c>
      <c r="E25" s="32">
        <f>IFERROR(VLOOKUP($H25,'[1]EMP PLANTA'!$A$2:$F$500,6,0),"")</f>
        <v>0.22877999999999998</v>
      </c>
      <c r="F25" s="32">
        <f t="shared" si="4"/>
        <v>1.3726799999999999</v>
      </c>
      <c r="G25" s="33">
        <f t="shared" si="5"/>
        <v>5.0848205849774989E-5</v>
      </c>
      <c r="H25" s="37" t="s">
        <v>36</v>
      </c>
      <c r="I25" s="37"/>
      <c r="J25" s="35"/>
      <c r="K25" s="299"/>
      <c r="L25" s="299"/>
    </row>
    <row r="26" spans="1:12" ht="13.5" x14ac:dyDescent="0.25">
      <c r="A26" s="30">
        <v>6</v>
      </c>
      <c r="B26" s="36" t="str">
        <f>IFERROR(VLOOKUP($H26,'[1]EMP PLANTA'!$A$2:$F$500,2,0),"")</f>
        <v>ETIQ.BLANCA 1 1/4 * 3/4</v>
      </c>
      <c r="C26" s="31">
        <f t="shared" si="3"/>
        <v>6</v>
      </c>
      <c r="D26" s="32" t="str">
        <f>IFERROR(VLOOKUP($H26,'[1]EMP PLANTA'!$A$2:$F$500,5,0),"")</f>
        <v>UND</v>
      </c>
      <c r="E26" s="32">
        <f>IFERROR(VLOOKUP($H26,'[1]EMP PLANTA'!$A$2:$F$500,6,0),"")</f>
        <v>0.61599999999999999</v>
      </c>
      <c r="F26" s="32">
        <f t="shared" si="4"/>
        <v>3.6959999999999997</v>
      </c>
      <c r="G26" s="33">
        <f t="shared" si="5"/>
        <v>1.3691098349270648E-4</v>
      </c>
      <c r="H26" s="37" t="s">
        <v>38</v>
      </c>
      <c r="I26" s="37"/>
      <c r="J26" s="35"/>
      <c r="K26" s="299"/>
      <c r="L26" s="299"/>
    </row>
    <row r="27" spans="1:12" ht="13.5" hidden="1" x14ac:dyDescent="0.25">
      <c r="A27" s="30"/>
      <c r="B27" s="36" t="str">
        <f>IFERROR(VLOOKUP($H27,'[1]EMP PLANTA'!$A$2:$F$500,2,0),"")</f>
        <v/>
      </c>
      <c r="C27" s="31">
        <f t="shared" si="3"/>
        <v>0</v>
      </c>
      <c r="D27" s="32" t="str">
        <f>IFERROR(VLOOKUP($H27,'[1]EMP PLANTA'!$A$2:$F$500,5,0),"")</f>
        <v/>
      </c>
      <c r="E27" s="32" t="str">
        <f>IFERROR(VLOOKUP($H27,'[1]EMP PLANTA'!$A$2:$F$500,6,0),"")</f>
        <v/>
      </c>
      <c r="F27" s="32" t="str">
        <f t="shared" si="4"/>
        <v/>
      </c>
      <c r="G27" s="33" t="str">
        <f t="shared" si="5"/>
        <v/>
      </c>
      <c r="H27" s="37"/>
      <c r="I27" s="37"/>
      <c r="J27" s="35"/>
      <c r="K27" s="299"/>
      <c r="L27" s="299"/>
    </row>
    <row r="28" spans="1:12" ht="13.5" hidden="1" x14ac:dyDescent="0.25">
      <c r="A28" s="30"/>
      <c r="B28" s="36" t="str">
        <f>IFERROR(VLOOKUP($H28,'[1]EMP PLANTA'!$A$2:$F$500,2,0),"")</f>
        <v/>
      </c>
      <c r="C28" s="31">
        <f t="shared" si="3"/>
        <v>0</v>
      </c>
      <c r="D28" s="32" t="str">
        <f>IFERROR(VLOOKUP($H28,'[1]EMP PLANTA'!$A$2:$F$500,5,0),"")</f>
        <v/>
      </c>
      <c r="E28" s="32" t="str">
        <f>IFERROR(VLOOKUP($H28,'[1]EMP PLANTA'!$A$2:$F$500,6,0),"")</f>
        <v/>
      </c>
      <c r="F28" s="32" t="str">
        <f t="shared" si="4"/>
        <v/>
      </c>
      <c r="G28" s="33" t="str">
        <f t="shared" si="5"/>
        <v/>
      </c>
      <c r="H28" s="37"/>
      <c r="I28" s="37"/>
      <c r="J28" s="35"/>
      <c r="K28" s="38"/>
      <c r="L28" s="39"/>
    </row>
    <row r="29" spans="1:12" ht="13.5" hidden="1" x14ac:dyDescent="0.25">
      <c r="A29" s="30"/>
      <c r="B29" s="36" t="str">
        <f>IFERROR(VLOOKUP($H29,'[1]EMP PLANTA'!$A$2:$F$500,2,0),"")</f>
        <v/>
      </c>
      <c r="C29" s="31">
        <f t="shared" si="3"/>
        <v>0</v>
      </c>
      <c r="D29" s="32" t="str">
        <f>IFERROR(VLOOKUP($H29,'[1]EMP PLANTA'!$A$2:$F$500,5,0),"")</f>
        <v/>
      </c>
      <c r="E29" s="32" t="str">
        <f>IFERROR(VLOOKUP($H29,'[1]EMP PLANTA'!$A$2:$F$500,6,0),"")</f>
        <v/>
      </c>
      <c r="F29" s="32" t="str">
        <f t="shared" si="4"/>
        <v/>
      </c>
      <c r="G29" s="33" t="str">
        <f t="shared" si="5"/>
        <v/>
      </c>
      <c r="H29" s="37"/>
      <c r="I29" s="37"/>
      <c r="J29" s="35"/>
    </row>
    <row r="30" spans="1:12" ht="14.25" thickBot="1" x14ac:dyDescent="0.3">
      <c r="A30" s="30"/>
      <c r="B30" s="36"/>
      <c r="C30" s="31"/>
      <c r="D30" s="32"/>
      <c r="E30" s="32"/>
      <c r="F30" s="32"/>
      <c r="G30" s="33"/>
      <c r="H30" s="37"/>
      <c r="I30" s="37"/>
      <c r="J30" s="35"/>
    </row>
    <row r="31" spans="1:12" ht="26.25" thickBot="1" x14ac:dyDescent="0.25">
      <c r="A31" s="25" t="s">
        <v>49</v>
      </c>
      <c r="B31" s="26" t="s">
        <v>57</v>
      </c>
      <c r="C31" s="26" t="s">
        <v>49</v>
      </c>
      <c r="D31" s="27" t="s">
        <v>51</v>
      </c>
      <c r="E31" s="27" t="s">
        <v>52</v>
      </c>
      <c r="F31" s="27" t="s">
        <v>53</v>
      </c>
      <c r="G31" s="27" t="s">
        <v>54</v>
      </c>
      <c r="H31" s="28" t="s">
        <v>55</v>
      </c>
      <c r="I31" s="29"/>
      <c r="J31" s="35"/>
    </row>
    <row r="32" spans="1:12" ht="13.5" x14ac:dyDescent="0.25">
      <c r="A32" s="30">
        <f>+A17</f>
        <v>22236</v>
      </c>
      <c r="B32" s="36" t="s">
        <v>40</v>
      </c>
      <c r="C32" s="31">
        <f>+A32</f>
        <v>22236</v>
      </c>
      <c r="D32" s="32" t="s">
        <v>58</v>
      </c>
      <c r="E32" s="32">
        <f>+'[2]Costeo Bat 2'!$E$69</f>
        <v>0</v>
      </c>
      <c r="F32" s="32">
        <f>IFERROR(E32*C32,"")</f>
        <v>0</v>
      </c>
      <c r="G32" s="33">
        <f>IFERROR(F32/$F$58,"")</f>
        <v>0</v>
      </c>
      <c r="H32" s="37"/>
      <c r="I32" s="37"/>
      <c r="J32" s="35"/>
    </row>
    <row r="33" spans="1:17" ht="13.5" x14ac:dyDescent="0.25">
      <c r="A33" s="30">
        <f>+A18</f>
        <v>1200</v>
      </c>
      <c r="B33" s="36" t="s">
        <v>93</v>
      </c>
      <c r="C33" s="31">
        <f>+A33</f>
        <v>1200</v>
      </c>
      <c r="D33" s="32" t="s">
        <v>58</v>
      </c>
      <c r="E33" s="32">
        <f>IFERROR(VLOOKUP($H33,[1]SEMIELABORADOS!$A$1:$J$999,8,0),"")</f>
        <v>1.1341300671140942E-2</v>
      </c>
      <c r="F33" s="32">
        <f>IFERROR(E33*C33,"")</f>
        <v>13.60956080536913</v>
      </c>
      <c r="G33" s="33">
        <f>IFERROR(F33/$F$58,"")</f>
        <v>1.7674754292687181E-2</v>
      </c>
      <c r="H33" s="37" t="s">
        <v>92</v>
      </c>
      <c r="I33" s="37"/>
      <c r="J33" s="35"/>
    </row>
    <row r="34" spans="1:17" ht="13.5" hidden="1" x14ac:dyDescent="0.25">
      <c r="A34" s="30">
        <f>+A19</f>
        <v>0</v>
      </c>
      <c r="B34" s="36"/>
      <c r="C34" s="31">
        <f>+A34</f>
        <v>0</v>
      </c>
      <c r="D34" s="32" t="s">
        <v>58</v>
      </c>
      <c r="E34" s="32" t="str">
        <f>IFERROR(VLOOKUP($H34,[1]SEMIELABORADOS!$A$1:$J$999,8,0),"")</f>
        <v/>
      </c>
      <c r="F34" s="32" t="str">
        <f>IFERROR(E34*C34,"")</f>
        <v/>
      </c>
      <c r="G34" s="33" t="str">
        <f>IFERROR(F34/$F$58,"")</f>
        <v/>
      </c>
      <c r="H34" s="37"/>
      <c r="I34" s="37"/>
      <c r="J34" s="35"/>
    </row>
    <row r="35" spans="1:17" ht="13.5" hidden="1" x14ac:dyDescent="0.25">
      <c r="A35" s="30">
        <f>+A20</f>
        <v>0</v>
      </c>
      <c r="B35" s="36"/>
      <c r="C35" s="31">
        <f>+A35</f>
        <v>0</v>
      </c>
      <c r="D35" s="32" t="s">
        <v>58</v>
      </c>
      <c r="E35" s="32" t="str">
        <f>IFERROR(VLOOKUP($H35,[1]SEMIELABORADOS!$A$1:$J$999,8,0),"")</f>
        <v/>
      </c>
      <c r="F35" s="32" t="str">
        <f>IFERROR(E35*C35,"")</f>
        <v/>
      </c>
      <c r="G35" s="33" t="str">
        <f>IFERROR(F35/$F$58,"")</f>
        <v/>
      </c>
      <c r="H35" s="37"/>
      <c r="I35" s="37"/>
      <c r="J35" s="35"/>
    </row>
    <row r="36" spans="1:17" ht="13.5" hidden="1" x14ac:dyDescent="0.25">
      <c r="A36" s="30">
        <f>+A21</f>
        <v>0</v>
      </c>
      <c r="B36" s="36"/>
      <c r="C36" s="31">
        <f>+A36</f>
        <v>0</v>
      </c>
      <c r="D36" s="32" t="s">
        <v>58</v>
      </c>
      <c r="E36" s="32" t="str">
        <f>IFERROR(VLOOKUP($H36,[1]SEMIELABORADOS!$A$1:$J$999,8,0),"")</f>
        <v/>
      </c>
      <c r="F36" s="32" t="str">
        <f>IFERROR(E36*C36,"")</f>
        <v/>
      </c>
      <c r="G36" s="33" t="str">
        <f>IFERROR(F36/$F$58,"")</f>
        <v/>
      </c>
      <c r="H36" s="37"/>
      <c r="I36" s="37"/>
      <c r="J36" s="35"/>
    </row>
    <row r="37" spans="1:17" ht="14.25" thickBot="1" x14ac:dyDescent="0.3">
      <c r="A37" s="30"/>
      <c r="B37" s="36"/>
      <c r="C37" s="31"/>
      <c r="D37" s="32"/>
      <c r="E37" s="32"/>
      <c r="F37" s="32"/>
      <c r="G37" s="33"/>
      <c r="H37" s="37"/>
      <c r="I37" s="37"/>
      <c r="J37" s="35"/>
    </row>
    <row r="38" spans="1:17" ht="26.25" thickBot="1" x14ac:dyDescent="0.25">
      <c r="A38" s="25" t="s">
        <v>49</v>
      </c>
      <c r="B38" s="26" t="s">
        <v>59</v>
      </c>
      <c r="C38" s="26" t="s">
        <v>49</v>
      </c>
      <c r="D38" s="26"/>
      <c r="E38" s="27" t="s">
        <v>52</v>
      </c>
      <c r="F38" s="27" t="s">
        <v>53</v>
      </c>
      <c r="G38" s="27" t="s">
        <v>54</v>
      </c>
      <c r="H38" s="28" t="s">
        <v>55</v>
      </c>
      <c r="I38" s="29"/>
      <c r="J38" s="35"/>
    </row>
    <row r="39" spans="1:17" ht="13.5" x14ac:dyDescent="0.25">
      <c r="A39" s="30">
        <f>+A17</f>
        <v>22236</v>
      </c>
      <c r="B39" s="40" t="s">
        <v>40</v>
      </c>
      <c r="C39" s="31">
        <f t="shared" ref="C39:C44" si="6">+A39</f>
        <v>22236</v>
      </c>
      <c r="D39" s="31" t="s">
        <v>58</v>
      </c>
      <c r="E39" s="32">
        <f>+'[2]Costeo Bat 2'!$E$67</f>
        <v>2.0370370370370372E-2</v>
      </c>
      <c r="F39" s="32">
        <f t="shared" ref="F39:F44" si="7">IFERROR(C39*E39,"")</f>
        <v>452.95555555555558</v>
      </c>
      <c r="G39" s="33">
        <f t="shared" ref="G39:G44" si="8">IFERROR(F39/$F$59,"")</f>
        <v>1.6778839445237115E-2</v>
      </c>
      <c r="H39" s="41"/>
      <c r="I39" s="41"/>
      <c r="J39" s="35"/>
    </row>
    <row r="40" spans="1:17" ht="13.5" x14ac:dyDescent="0.25">
      <c r="A40" s="30">
        <f>+A18</f>
        <v>1200</v>
      </c>
      <c r="B40" s="40" t="s">
        <v>93</v>
      </c>
      <c r="C40" s="31">
        <f t="shared" si="6"/>
        <v>1200</v>
      </c>
      <c r="D40" s="31" t="s">
        <v>58</v>
      </c>
      <c r="E40" s="32">
        <f>IFERROR(VLOOKUP($H40,[1]SEMIELABORADOS!$A$1:$J$999,10,0),"")</f>
        <v>5.5369127516778527E-2</v>
      </c>
      <c r="F40" s="32">
        <f t="shared" si="7"/>
        <v>66.442953020134226</v>
      </c>
      <c r="G40" s="33">
        <f t="shared" si="8"/>
        <v>2.4612473063166315E-3</v>
      </c>
      <c r="H40" s="41" t="s">
        <v>92</v>
      </c>
      <c r="I40" s="41"/>
      <c r="J40" s="35"/>
    </row>
    <row r="41" spans="1:17" ht="13.5" hidden="1" x14ac:dyDescent="0.25">
      <c r="A41" s="30">
        <f>+A19</f>
        <v>0</v>
      </c>
      <c r="B41" s="40"/>
      <c r="C41" s="31">
        <f t="shared" si="6"/>
        <v>0</v>
      </c>
      <c r="D41" s="31" t="s">
        <v>58</v>
      </c>
      <c r="E41" s="32" t="str">
        <f>IFERROR(VLOOKUP($H41,[1]SEMIELABORADOS!$A$1:$J$999,10,0),"")</f>
        <v/>
      </c>
      <c r="F41" s="32" t="str">
        <f t="shared" si="7"/>
        <v/>
      </c>
      <c r="G41" s="33" t="str">
        <f t="shared" si="8"/>
        <v/>
      </c>
      <c r="H41" s="41"/>
      <c r="I41" s="41"/>
      <c r="J41" s="35"/>
    </row>
    <row r="42" spans="1:17" ht="13.5" hidden="1" x14ac:dyDescent="0.25">
      <c r="A42" s="30">
        <f>+A20</f>
        <v>0</v>
      </c>
      <c r="B42" s="40"/>
      <c r="C42" s="31">
        <f t="shared" si="6"/>
        <v>0</v>
      </c>
      <c r="D42" s="31" t="s">
        <v>58</v>
      </c>
      <c r="E42" s="32" t="str">
        <f>IFERROR(VLOOKUP($H42,[1]SEMIELABORADOS!$A$1:$J$999,10,0),"")</f>
        <v/>
      </c>
      <c r="F42" s="32" t="str">
        <f t="shared" si="7"/>
        <v/>
      </c>
      <c r="G42" s="33" t="str">
        <f t="shared" si="8"/>
        <v/>
      </c>
      <c r="H42" s="41"/>
      <c r="I42" s="41"/>
      <c r="J42" s="35"/>
    </row>
    <row r="43" spans="1:17" ht="13.5" hidden="1" x14ac:dyDescent="0.25">
      <c r="A43" s="30">
        <f>+A21</f>
        <v>0</v>
      </c>
      <c r="B43" s="40"/>
      <c r="C43" s="31">
        <f t="shared" si="6"/>
        <v>0</v>
      </c>
      <c r="D43" s="31" t="s">
        <v>58</v>
      </c>
      <c r="E43" s="32" t="str">
        <f>IFERROR(VLOOKUP($H43,[1]SEMIELABORADOS!$A$1:$J$999,10,0),"")</f>
        <v/>
      </c>
      <c r="F43" s="32" t="str">
        <f t="shared" si="7"/>
        <v/>
      </c>
      <c r="G43" s="33" t="str">
        <f t="shared" si="8"/>
        <v/>
      </c>
      <c r="H43" s="41"/>
      <c r="I43" s="41"/>
      <c r="J43" s="35"/>
    </row>
    <row r="44" spans="1:17" ht="13.5" x14ac:dyDescent="0.25">
      <c r="A44" s="30">
        <v>1</v>
      </c>
      <c r="B44" s="36" t="s">
        <v>60</v>
      </c>
      <c r="C44" s="31">
        <f t="shared" si="6"/>
        <v>1</v>
      </c>
      <c r="D44" s="31" t="s">
        <v>58</v>
      </c>
      <c r="E44" s="32">
        <f>+F58</f>
        <v>770</v>
      </c>
      <c r="F44" s="32">
        <f t="shared" si="7"/>
        <v>770</v>
      </c>
      <c r="G44" s="33">
        <f t="shared" si="8"/>
        <v>2.8523121560980521E-2</v>
      </c>
      <c r="H44" s="41"/>
      <c r="I44" s="41"/>
      <c r="J44" s="35"/>
    </row>
    <row r="45" spans="1:17" ht="14.25" thickBot="1" x14ac:dyDescent="0.3">
      <c r="A45" s="30"/>
      <c r="B45" s="36"/>
      <c r="C45" s="31"/>
      <c r="D45" s="31"/>
      <c r="E45" s="32"/>
      <c r="F45" s="32"/>
      <c r="G45" s="33"/>
      <c r="H45" s="41"/>
      <c r="I45" s="41"/>
      <c r="J45" s="35"/>
    </row>
    <row r="46" spans="1:17" ht="13.5" thickBot="1" x14ac:dyDescent="0.25">
      <c r="A46" s="42"/>
      <c r="B46" s="297" t="s">
        <v>61</v>
      </c>
      <c r="C46" s="297"/>
      <c r="D46" s="297"/>
      <c r="E46" s="297"/>
      <c r="F46" s="44">
        <f>SUM(F8:F14,F17:F21)</f>
        <v>25604.867173608949</v>
      </c>
      <c r="G46" s="33">
        <f>+F46/$F$59</f>
        <v>0.94848147915014003</v>
      </c>
      <c r="H46" s="45">
        <f>+F46/$D$53</f>
        <v>213.37389311340792</v>
      </c>
      <c r="I46" s="45"/>
      <c r="J46" s="46"/>
      <c r="K46" s="47"/>
      <c r="L46" s="47"/>
      <c r="M46" s="47"/>
      <c r="N46" s="47"/>
      <c r="O46" s="47"/>
      <c r="P46" s="47"/>
      <c r="Q46" s="48"/>
    </row>
    <row r="47" spans="1:17" x14ac:dyDescent="0.2">
      <c r="A47" s="42"/>
      <c r="B47" s="297" t="s">
        <v>62</v>
      </c>
      <c r="C47" s="297"/>
      <c r="D47" s="297"/>
      <c r="E47" s="297"/>
      <c r="F47" s="44">
        <f>SUM(F24:F29,F32:F36)</f>
        <v>108.67824080536913</v>
      </c>
      <c r="G47" s="33">
        <f>+F47/$F$59</f>
        <v>4.0257697058766976E-3</v>
      </c>
      <c r="H47" s="45">
        <f>+F47/$D$53</f>
        <v>0.90565200671140944</v>
      </c>
      <c r="I47" s="45"/>
      <c r="J47" s="49"/>
      <c r="K47" s="300" t="s">
        <v>63</v>
      </c>
      <c r="L47" s="301"/>
      <c r="M47" s="301"/>
      <c r="N47" s="301"/>
      <c r="O47" s="50">
        <f>+F48</f>
        <v>25713.545414414319</v>
      </c>
      <c r="P47" s="50"/>
      <c r="Q47" s="51"/>
    </row>
    <row r="48" spans="1:17" x14ac:dyDescent="0.2">
      <c r="A48" s="42"/>
      <c r="B48" s="297" t="s">
        <v>64</v>
      </c>
      <c r="C48" s="297"/>
      <c r="D48" s="297"/>
      <c r="E48" s="297"/>
      <c r="F48" s="44">
        <f>+F46+F47</f>
        <v>25713.545414414319</v>
      </c>
      <c r="G48" s="33">
        <f>+F48/$F$59</f>
        <v>0.95250724885601668</v>
      </c>
      <c r="H48" s="45">
        <f>+F48/$D$53</f>
        <v>214.27954512011931</v>
      </c>
      <c r="I48" s="45"/>
      <c r="J48" s="52"/>
      <c r="K48" s="53"/>
      <c r="L48" s="292" t="s">
        <v>65</v>
      </c>
      <c r="M48" s="292"/>
      <c r="N48" s="292"/>
      <c r="O48" s="50">
        <f>+F49</f>
        <v>1289.3985085756899</v>
      </c>
      <c r="P48" s="50"/>
      <c r="Q48" s="51"/>
    </row>
    <row r="49" spans="1:17" ht="13.5" thickBot="1" x14ac:dyDescent="0.25">
      <c r="A49" s="42"/>
      <c r="B49" s="43"/>
      <c r="C49" s="297" t="s">
        <v>66</v>
      </c>
      <c r="D49" s="297"/>
      <c r="E49" s="297"/>
      <c r="F49" s="44">
        <f>SUM(F39:F44)</f>
        <v>1289.3985085756899</v>
      </c>
      <c r="G49" s="33">
        <f>+F49/$F$59</f>
        <v>4.7763208312534271E-2</v>
      </c>
      <c r="H49" s="45">
        <f>+F49/$D$53</f>
        <v>10.744987571464083</v>
      </c>
      <c r="I49" s="45"/>
      <c r="J49" s="52"/>
      <c r="K49" s="53"/>
      <c r="L49" s="53"/>
      <c r="M49" s="53" t="s">
        <v>67</v>
      </c>
      <c r="N49" s="54">
        <v>0.01</v>
      </c>
      <c r="O49" s="50">
        <f>O47*N49</f>
        <v>257.13545414414318</v>
      </c>
      <c r="P49" s="50"/>
      <c r="Q49" s="51"/>
    </row>
    <row r="50" spans="1:17" ht="13.5" thickBot="1" x14ac:dyDescent="0.25">
      <c r="A50" s="42"/>
      <c r="B50" s="55"/>
      <c r="C50" s="55"/>
      <c r="D50" s="55"/>
      <c r="E50" s="55"/>
      <c r="F50" s="56"/>
      <c r="G50" s="33"/>
      <c r="H50" s="57"/>
      <c r="I50" s="45"/>
      <c r="J50" s="52"/>
      <c r="K50" s="58"/>
      <c r="M50" s="59" t="s">
        <v>68</v>
      </c>
      <c r="N50" s="60"/>
      <c r="O50" s="61">
        <f>SUM(O47:O49)</f>
        <v>27260.079377134152</v>
      </c>
      <c r="P50" s="62"/>
      <c r="Q50" s="51"/>
    </row>
    <row r="51" spans="1:17" x14ac:dyDescent="0.2">
      <c r="B51" s="298" t="s">
        <v>69</v>
      </c>
      <c r="C51" s="298"/>
      <c r="D51" s="63">
        <v>21600</v>
      </c>
      <c r="E51" s="64"/>
      <c r="G51" s="33"/>
      <c r="H51" s="57"/>
      <c r="I51" s="65"/>
      <c r="J51" s="52"/>
      <c r="K51" s="58"/>
      <c r="L51" s="53"/>
      <c r="M51" s="53" t="s">
        <v>70</v>
      </c>
      <c r="N51" s="66">
        <v>0.25</v>
      </c>
      <c r="O51" s="50">
        <f>+O50*N51</f>
        <v>6815.0198442835381</v>
      </c>
      <c r="P51" s="50"/>
      <c r="Q51" s="51"/>
    </row>
    <row r="52" spans="1:17" x14ac:dyDescent="0.2">
      <c r="B52" s="298" t="s">
        <v>71</v>
      </c>
      <c r="C52" s="298"/>
      <c r="D52" s="67">
        <v>180</v>
      </c>
      <c r="E52" s="64"/>
      <c r="G52" s="33"/>
      <c r="H52" s="57"/>
      <c r="I52" s="65"/>
      <c r="J52" s="52"/>
      <c r="K52" s="58"/>
      <c r="L52" s="53"/>
      <c r="M52" s="292" t="s">
        <v>68</v>
      </c>
      <c r="N52" s="292"/>
      <c r="O52" s="50">
        <f>SUM(O50:O51)</f>
        <v>34075.099221417688</v>
      </c>
      <c r="P52" s="50"/>
      <c r="Q52" s="51"/>
    </row>
    <row r="53" spans="1:17" ht="13.5" thickBot="1" x14ac:dyDescent="0.25">
      <c r="B53" s="291" t="s">
        <v>72</v>
      </c>
      <c r="C53" s="291"/>
      <c r="D53" s="63">
        <f>+D51/D52</f>
        <v>120</v>
      </c>
      <c r="E53" s="64"/>
      <c r="F53" s="68"/>
      <c r="G53" s="33"/>
      <c r="H53" s="57"/>
      <c r="I53" s="65"/>
      <c r="J53" s="52"/>
      <c r="K53" s="58"/>
      <c r="L53" s="292" t="s">
        <v>73</v>
      </c>
      <c r="M53" s="292"/>
      <c r="N53" s="66">
        <v>0.05</v>
      </c>
      <c r="O53" s="50">
        <f>+O52*N53</f>
        <v>1703.7549610708845</v>
      </c>
      <c r="P53" s="50"/>
      <c r="Q53" s="51"/>
    </row>
    <row r="54" spans="1:17" ht="13.5" thickBot="1" x14ac:dyDescent="0.25">
      <c r="B54" s="291" t="s">
        <v>74</v>
      </c>
      <c r="C54" s="291"/>
      <c r="D54" s="69"/>
      <c r="E54" s="64"/>
      <c r="F54" s="68"/>
      <c r="G54" s="33"/>
      <c r="H54" s="57"/>
      <c r="I54" s="65"/>
      <c r="J54" s="52"/>
      <c r="K54" s="293" t="s">
        <v>75</v>
      </c>
      <c r="L54" s="294"/>
      <c r="M54" s="294"/>
      <c r="N54" s="295"/>
      <c r="O54" s="61">
        <f>SUM(O52:O53)</f>
        <v>35778.854182488569</v>
      </c>
      <c r="P54" s="70" t="s">
        <v>76</v>
      </c>
      <c r="Q54" s="51"/>
    </row>
    <row r="55" spans="1:17" ht="13.5" thickBot="1" x14ac:dyDescent="0.25">
      <c r="C55" s="42" t="s">
        <v>77</v>
      </c>
      <c r="D55" s="71"/>
      <c r="E55" s="16" t="s">
        <v>78</v>
      </c>
      <c r="F55" s="72" t="s">
        <v>79</v>
      </c>
      <c r="G55" s="33"/>
      <c r="H55" s="57"/>
      <c r="I55" s="65"/>
      <c r="J55" s="73"/>
      <c r="K55" s="74"/>
      <c r="L55" s="296" t="s">
        <v>80</v>
      </c>
      <c r="M55" s="296"/>
      <c r="N55" s="296"/>
      <c r="O55" s="75">
        <f>+O54/D53</f>
        <v>298.15711818740476</v>
      </c>
      <c r="P55" s="76">
        <f>+O55/D52</f>
        <v>1.6564284343744708</v>
      </c>
      <c r="Q55" s="77"/>
    </row>
    <row r="56" spans="1:17" ht="13.5" thickBot="1" x14ac:dyDescent="0.25">
      <c r="B56" s="276" t="s">
        <v>64</v>
      </c>
      <c r="C56" s="276"/>
      <c r="D56" s="276"/>
      <c r="E56" s="78">
        <f>+F56/F56</f>
        <v>1</v>
      </c>
      <c r="F56" s="79">
        <f>SUM(F48)</f>
        <v>25713.545414414319</v>
      </c>
      <c r="G56" s="33">
        <f>+F56/$F$59</f>
        <v>0.95250724885601668</v>
      </c>
      <c r="H56" s="57"/>
      <c r="I56" s="65"/>
      <c r="K56" s="277"/>
      <c r="L56" s="278"/>
      <c r="M56" s="278"/>
      <c r="N56" s="278"/>
      <c r="O56" s="80"/>
      <c r="P56" s="81"/>
    </row>
    <row r="57" spans="1:17" ht="13.5" thickBot="1" x14ac:dyDescent="0.25">
      <c r="B57" s="279" t="s">
        <v>81</v>
      </c>
      <c r="C57" s="279"/>
      <c r="D57" s="279"/>
      <c r="E57" s="82">
        <v>0.02</v>
      </c>
      <c r="F57" s="79">
        <f>+F46*E57</f>
        <v>512.09734347217898</v>
      </c>
      <c r="G57" s="33">
        <f>+F57/$F$59</f>
        <v>1.8969629583002801E-2</v>
      </c>
      <c r="H57" s="45"/>
      <c r="I57" s="65"/>
      <c r="J57" s="83"/>
      <c r="O57" s="84"/>
      <c r="P57" s="43"/>
    </row>
    <row r="58" spans="1:17" ht="13.5" thickBot="1" x14ac:dyDescent="0.25">
      <c r="B58" s="281" t="s">
        <v>82</v>
      </c>
      <c r="C58" s="282"/>
      <c r="D58" s="85">
        <v>14</v>
      </c>
      <c r="E58" s="86">
        <v>55</v>
      </c>
      <c r="F58" s="79">
        <f>+E58*D58</f>
        <v>770</v>
      </c>
      <c r="G58" s="33">
        <f>+F58/$F$59</f>
        <v>2.8523121560980521E-2</v>
      </c>
      <c r="H58" s="45"/>
      <c r="I58" s="45"/>
      <c r="J58" s="35"/>
    </row>
    <row r="59" spans="1:17" ht="13.5" thickBot="1" x14ac:dyDescent="0.25">
      <c r="B59" s="283" t="s">
        <v>83</v>
      </c>
      <c r="C59" s="284"/>
      <c r="D59" s="284"/>
      <c r="E59" s="285"/>
      <c r="F59" s="56">
        <f>SUM(F56:F58)</f>
        <v>26995.642757886497</v>
      </c>
      <c r="G59" s="33">
        <f>+F59/$F$59</f>
        <v>1</v>
      </c>
      <c r="H59" s="286"/>
      <c r="I59" s="45"/>
      <c r="J59" s="35"/>
    </row>
    <row r="60" spans="1:17" x14ac:dyDescent="0.2">
      <c r="C60" s="88"/>
      <c r="D60" s="88"/>
      <c r="E60" s="89"/>
      <c r="F60" s="79"/>
      <c r="G60" s="33"/>
      <c r="H60" s="286"/>
      <c r="I60" s="87"/>
      <c r="J60" s="18"/>
    </row>
    <row r="61" spans="1:17" ht="13.5" thickBot="1" x14ac:dyDescent="0.25">
      <c r="B61" s="287" t="s">
        <v>84</v>
      </c>
      <c r="C61" s="287"/>
      <c r="D61" s="287"/>
      <c r="E61" s="287"/>
      <c r="F61" s="287"/>
      <c r="G61" s="33"/>
      <c r="H61" s="91"/>
      <c r="I61" s="87"/>
      <c r="J61" s="18"/>
    </row>
    <row r="62" spans="1:17" ht="13.5" thickBot="1" x14ac:dyDescent="0.25">
      <c r="B62" s="92" t="s">
        <v>85</v>
      </c>
      <c r="C62" s="93">
        <f>+F46</f>
        <v>25604.867173608949</v>
      </c>
      <c r="D62" s="93">
        <f>+D51</f>
        <v>21600</v>
      </c>
      <c r="E62" s="94">
        <f>+C62/D62</f>
        <v>1.1854105172967107</v>
      </c>
      <c r="F62" s="33"/>
      <c r="G62" s="91"/>
      <c r="H62" s="35"/>
      <c r="I62" s="91"/>
      <c r="J62" s="18"/>
    </row>
    <row r="63" spans="1:17" x14ac:dyDescent="0.2">
      <c r="B63" s="95"/>
      <c r="C63" s="96"/>
      <c r="D63" s="97"/>
      <c r="E63" s="79"/>
      <c r="F63" s="33"/>
      <c r="G63" s="91"/>
      <c r="H63" s="35"/>
      <c r="I63" s="35"/>
      <c r="J63" s="18"/>
    </row>
    <row r="64" spans="1:17" x14ac:dyDescent="0.2">
      <c r="B64" s="92" t="s">
        <v>86</v>
      </c>
      <c r="C64" s="93">
        <f>SUM(F56:F57)</f>
        <v>26225.642757886497</v>
      </c>
      <c r="D64" s="93">
        <f>+D51</f>
        <v>21600</v>
      </c>
      <c r="E64" s="98">
        <f>+C64/D64</f>
        <v>1.2141501276799305</v>
      </c>
      <c r="F64" s="33"/>
      <c r="G64" s="91"/>
      <c r="H64" s="35"/>
      <c r="I64" s="35"/>
      <c r="J64" s="18"/>
    </row>
    <row r="65" spans="2:10" x14ac:dyDescent="0.2">
      <c r="B65" s="92"/>
      <c r="C65" s="93"/>
      <c r="D65" s="93"/>
      <c r="E65" s="98"/>
      <c r="F65" s="33"/>
      <c r="G65" s="91"/>
      <c r="H65" s="35"/>
      <c r="I65" s="35"/>
      <c r="J65" s="18"/>
    </row>
    <row r="66" spans="2:10" ht="13.5" thickBot="1" x14ac:dyDescent="0.25">
      <c r="B66" s="92" t="s">
        <v>87</v>
      </c>
      <c r="C66" s="93">
        <f>+F58</f>
        <v>770</v>
      </c>
      <c r="D66" s="93">
        <f>+D51</f>
        <v>21600</v>
      </c>
      <c r="E66" s="98">
        <f>+C66/D66</f>
        <v>3.5648148148148151E-2</v>
      </c>
      <c r="F66" s="33"/>
      <c r="G66" s="91"/>
      <c r="H66" s="35"/>
      <c r="I66" s="35"/>
      <c r="J66" s="18"/>
    </row>
    <row r="67" spans="2:10" ht="13.5" thickBot="1" x14ac:dyDescent="0.25">
      <c r="B67" s="92" t="s">
        <v>88</v>
      </c>
      <c r="C67" s="93">
        <f>+F49</f>
        <v>1289.3985085756899</v>
      </c>
      <c r="D67" s="93">
        <f>+D66</f>
        <v>21600</v>
      </c>
      <c r="E67" s="94">
        <f>+C67/D67</f>
        <v>5.969437539702268E-2</v>
      </c>
      <c r="F67" s="33"/>
      <c r="G67" s="91"/>
      <c r="H67" s="35"/>
      <c r="I67" s="35"/>
      <c r="J67" s="18"/>
    </row>
    <row r="68" spans="2:10" ht="13.5" thickBot="1" x14ac:dyDescent="0.25">
      <c r="B68" s="55"/>
      <c r="C68" s="56"/>
      <c r="D68" s="56"/>
      <c r="E68" s="98"/>
      <c r="F68" s="33"/>
      <c r="G68" s="91"/>
      <c r="H68" s="35"/>
      <c r="I68" s="35"/>
      <c r="J68" s="18"/>
    </row>
    <row r="69" spans="2:10" ht="13.5" thickBot="1" x14ac:dyDescent="0.25">
      <c r="B69" s="92" t="s">
        <v>89</v>
      </c>
      <c r="C69" s="93">
        <f>+F47</f>
        <v>108.67824080536913</v>
      </c>
      <c r="D69" s="93">
        <f>+D67</f>
        <v>21600</v>
      </c>
      <c r="E69" s="94">
        <f>+C69/D69</f>
        <v>5.0314000372856079E-3</v>
      </c>
      <c r="F69" s="33"/>
      <c r="G69" s="91"/>
      <c r="H69" s="35"/>
      <c r="I69" s="35"/>
      <c r="J69" s="35"/>
    </row>
    <row r="70" spans="2:10" ht="13.5" thickBot="1" x14ac:dyDescent="0.25">
      <c r="B70" s="55"/>
      <c r="C70" s="56"/>
      <c r="D70" s="56"/>
      <c r="E70" s="98"/>
      <c r="F70" s="33"/>
      <c r="G70" s="91"/>
      <c r="H70" s="35"/>
      <c r="I70" s="35"/>
    </row>
    <row r="71" spans="2:10" ht="13.5" thickBot="1" x14ac:dyDescent="0.25">
      <c r="B71" s="288" t="s">
        <v>90</v>
      </c>
      <c r="C71" s="289"/>
      <c r="D71" s="290"/>
      <c r="E71" s="94">
        <f>+E62+E67</f>
        <v>1.2451048926937334</v>
      </c>
      <c r="G71" s="33"/>
      <c r="H71" s="91"/>
      <c r="I71" s="35"/>
      <c r="J71" s="98"/>
    </row>
    <row r="72" spans="2:10" x14ac:dyDescent="0.2">
      <c r="I72" s="91"/>
      <c r="J72" s="18"/>
    </row>
    <row r="73" spans="2:10" ht="13.5" thickBot="1" x14ac:dyDescent="0.25">
      <c r="B73" s="287" t="s">
        <v>91</v>
      </c>
      <c r="C73" s="287"/>
      <c r="D73" s="287"/>
      <c r="E73" s="287"/>
      <c r="F73" s="287"/>
      <c r="G73" s="33"/>
      <c r="H73" s="91"/>
      <c r="J73" s="18"/>
    </row>
    <row r="74" spans="2:10" ht="13.5" thickBot="1" x14ac:dyDescent="0.25">
      <c r="B74" s="92" t="s">
        <v>85</v>
      </c>
      <c r="C74" s="93">
        <f>+C62</f>
        <v>25604.867173608949</v>
      </c>
      <c r="D74" s="93">
        <f>+D53</f>
        <v>120</v>
      </c>
      <c r="E74" s="94">
        <f>+C74/D74</f>
        <v>213.37389311340792</v>
      </c>
      <c r="F74" s="33"/>
      <c r="G74" s="91"/>
      <c r="H74" s="35"/>
      <c r="I74" s="91"/>
      <c r="J74" s="18"/>
    </row>
    <row r="75" spans="2:10" x14ac:dyDescent="0.2">
      <c r="B75" s="95"/>
      <c r="C75" s="96"/>
      <c r="D75" s="97"/>
      <c r="E75" s="79"/>
      <c r="F75" s="33"/>
      <c r="G75" s="91"/>
      <c r="H75" s="35"/>
      <c r="I75" s="35"/>
      <c r="J75" s="18"/>
    </row>
    <row r="76" spans="2:10" x14ac:dyDescent="0.2">
      <c r="B76" s="92" t="s">
        <v>86</v>
      </c>
      <c r="C76" s="93">
        <f>+C64</f>
        <v>26225.642757886497</v>
      </c>
      <c r="D76" s="93">
        <f>+D53</f>
        <v>120</v>
      </c>
      <c r="E76" s="98">
        <f>+C76/D76</f>
        <v>218.54702298238746</v>
      </c>
      <c r="F76" s="33"/>
      <c r="G76" s="91"/>
      <c r="H76" s="35"/>
      <c r="I76" s="35"/>
      <c r="J76" s="18"/>
    </row>
    <row r="77" spans="2:10" x14ac:dyDescent="0.2">
      <c r="B77" s="92"/>
      <c r="C77" s="93"/>
      <c r="D77" s="93"/>
      <c r="E77" s="98"/>
      <c r="F77" s="33"/>
      <c r="G77" s="91"/>
      <c r="H77" s="35"/>
      <c r="I77" s="35"/>
      <c r="J77" s="18"/>
    </row>
    <row r="78" spans="2:10" ht="13.5" thickBot="1" x14ac:dyDescent="0.25">
      <c r="B78" s="92" t="s">
        <v>88</v>
      </c>
      <c r="C78" s="93">
        <f>+C66</f>
        <v>770</v>
      </c>
      <c r="D78" s="93">
        <f>+D53</f>
        <v>120</v>
      </c>
      <c r="E78" s="98">
        <f>+C78/D78</f>
        <v>6.416666666666667</v>
      </c>
      <c r="F78" s="100"/>
      <c r="G78" s="90"/>
      <c r="H78" s="17"/>
      <c r="I78" s="35"/>
    </row>
    <row r="79" spans="2:10" ht="13.5" thickBot="1" x14ac:dyDescent="0.25">
      <c r="B79" s="92" t="s">
        <v>88</v>
      </c>
      <c r="C79" s="93">
        <f>+C67</f>
        <v>1289.3985085756899</v>
      </c>
      <c r="D79" s="93">
        <f>+D78</f>
        <v>120</v>
      </c>
      <c r="E79" s="94">
        <f>+C79/D79</f>
        <v>10.744987571464083</v>
      </c>
      <c r="F79" s="99"/>
      <c r="G79" s="90"/>
      <c r="H79" s="17"/>
      <c r="I79" s="17"/>
    </row>
    <row r="80" spans="2:10" x14ac:dyDescent="0.2">
      <c r="I80" s="17"/>
    </row>
    <row r="81" spans="1:7" x14ac:dyDescent="0.2">
      <c r="A81" s="280"/>
      <c r="B81" s="280"/>
      <c r="C81" s="101"/>
      <c r="D81" s="101"/>
      <c r="E81" s="102"/>
      <c r="G81" s="103"/>
    </row>
    <row r="82" spans="1:7" x14ac:dyDescent="0.2">
      <c r="A82" s="36"/>
      <c r="B82" s="104"/>
      <c r="C82" s="105"/>
      <c r="D82" s="105"/>
      <c r="E82" s="106"/>
      <c r="G82" s="103"/>
    </row>
    <row r="83" spans="1:7" x14ac:dyDescent="0.2">
      <c r="A83" s="36"/>
      <c r="B83" s="104"/>
      <c r="C83" s="107"/>
      <c r="D83" s="107"/>
      <c r="E83" s="36"/>
      <c r="G83" s="103"/>
    </row>
    <row r="84" spans="1:7" x14ac:dyDescent="0.2">
      <c r="A84" s="36"/>
      <c r="B84" s="104"/>
      <c r="C84" s="108"/>
      <c r="D84" s="108"/>
      <c r="E84" s="36"/>
      <c r="G84" s="103"/>
    </row>
  </sheetData>
  <mergeCells count="31">
    <mergeCell ref="A4:H4"/>
    <mergeCell ref="A5:H5"/>
    <mergeCell ref="F6:G6"/>
    <mergeCell ref="K24:L24"/>
    <mergeCell ref="K25:L25"/>
    <mergeCell ref="K26:L26"/>
    <mergeCell ref="K27:L27"/>
    <mergeCell ref="B46:E46"/>
    <mergeCell ref="B47:E47"/>
    <mergeCell ref="K47:N47"/>
    <mergeCell ref="B48:E48"/>
    <mergeCell ref="L48:N48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6BAE62C-3239-4498-9657-52BFB0875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BEFF1-6AF0-4498-9D85-58321DF1068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9FF89A9-8EE1-41A4-B1C4-AC9E0D118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E2C9D8D-9D9E-498C-BBE2-31AB945079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Rosquete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rsolis</dc:creator>
  <cp:lastModifiedBy>Miguel Coto Consultor</cp:lastModifiedBy>
  <cp:lastPrinted>2023-03-23T16:07:24Z</cp:lastPrinted>
  <dcterms:created xsi:type="dcterms:W3CDTF">2009-03-11T22:07:15Z</dcterms:created>
  <dcterms:modified xsi:type="dcterms:W3CDTF">2025-02-27T20:51:17Z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86400.0000000000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
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FAS/"/>
    </mc:Choice>
  </mc:AlternateContent>
  <xr:revisionPtr revIDLastSave="8" documentId="8_{12A12DAD-3A80-4BD7-87A4-195AD8343832}" xr6:coauthVersionLast="47" xr6:coauthVersionMax="47" xr10:uidLastSave="{32928A07-EE56-4C70-A9B7-02DE9D94906F}"/>
  <bookViews>
    <workbookView xWindow="-120" yWindow="-120" windowWidth="20730" windowHeight="11040" xr2:uid="{672A2DCC-1315-4CE0-BB4A-27B4C2D4EDF6}"/>
  </bookViews>
  <sheets>
    <sheet name="Empaque Toping Lemon Cou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<sst xmlns="http://schemas.openxmlformats.org/spreadsheetml/2006/main" count="64" uniqueCount="56">
  <si>
    <t>CONTROL DE CAMBIOS</t>
  </si>
  <si>
    <t>2, Cerrar y etiquetar.</t>
  </si>
  <si>
    <t xml:space="preserve">1, Empacar 5000g del Toping de limon, en una bolsa 17*25.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</si>
  <si>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</si>
  <si>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</si>
  <si>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</si>
  <si>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</si>
  <si>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</si>
  <si>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</si>
  <si>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</si>
  <si>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</si>
  <si>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</si>
  <si>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</si>
  <si>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</si>
  <si>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</si>
  <si>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</si>
  <si>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</si>
  <si>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</si>
  <si>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</si>
  <si>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</si>
  <si>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ETIQ.FECHA VENCIMIENTO BLANCO (ROLLO)</t>
  </si>
  <si>
    <t>EM10004</t>
  </si>
  <si>
    <t>Cemusa</t>
  </si>
  <si>
    <t>ETIQ.BLANCA 1 1/4 * 3/4 (UND)</t>
  </si>
  <si>
    <t>EM10002</t>
  </si>
  <si>
    <t>BOLSA 17x25 TRANSP (KILO)</t>
  </si>
  <si>
    <t>EM10016</t>
  </si>
  <si>
    <t>FAS</t>
  </si>
  <si>
    <t>RELLENO LEMON COURT</t>
  </si>
  <si>
    <t>SE00755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</si>
  <si>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</si>
  <si>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</si>
  <si>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</si>
  <si>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</si>
  <si>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</si>
  <si>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</si>
  <si>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</si>
  <si>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</si>
  <si>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</si>
  <si>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</si>
  <si>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</si>
  <si>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</si>
  <si>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</si>
  <si>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</si>
  <si>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SE00756 Empaque Toping Lemon Court</t>
  </si>
  <si>
    <t>REVISIÓN:</t>
  </si>
  <si>
    <t>ESPECIFICACION DE RECETA</t>
  </si>
  <si>
    <t>CÓDIGO:</t>
  </si>
  <si>
    <t>SERVICIOS DE PASTELERIA S.A.</t>
  </si>
  <si>
    <t>COCINA</t>
  </si>
  <si>
    <t>EMPAQUE</t>
  </si>
  <si>
    <t>Juan Pablo Brenes Moreira</t>
  </si>
  <si>
    <t>Sebastian Diaz, Gte Manufactura</t>
  </si>
  <si>
    <t>Revision #2: Se corrige el area que produce.</t>
  </si>
  <si>
    <t>ESP-RE-EMPF-003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</si>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</sst>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5">
    <xf numFmtId="0" fontId="0" fillId="0" borderId="0" xfId="0"/>
    <xf numFmtId="0" fontId="3" fillId="4" borderId="29" xfId="2" applyFont="1" applyFill="1" applyBorder="1" applyAlignment="1">
      <alignment horizontal="center"/>
    </xf>
    <xf numFmtId="1" fontId="3" fillId="4" borderId="18" xfId="2" applyNumberFormat="1" applyFont="1" applyFill="1" applyBorder="1" applyAlignment="1">
      <alignment horizontal="center" wrapText="1"/>
    </xf>
    <xf numFmtId="1" fontId="3" fillId="4" borderId="18" xfId="2" applyNumberFormat="1" applyFont="1" applyFill="1" applyBorder="1" applyAlignment="1">
      <alignment horizontal="center"/>
    </xf>
    <xf numFmtId="0" fontId="3" fillId="4" borderId="32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2" fillId="2" borderId="7" xfId="1" applyFont="1" applyFill="1" applyBorder="1" applyAlignment="1">
      <alignment horizontal="right"/>
    </xf>
    <xf numFmtId="0" fontId="2" fillId="2" borderId="23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2" fillId="2" borderId="32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right"/>
    </xf>
    <xf numFmtId="0" fontId="8" fillId="0" borderId="7" xfId="2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/>
    </xf>
    <xf numFmtId="49" fontId="9" fillId="0" borderId="7" xfId="0" applyNumberFormat="1" applyFont="1" applyBorder="1"/>
    <xf numFmtId="16" fontId="9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 wrapText="1"/>
    </xf>
    <xf numFmtId="1" fontId="8" fillId="0" borderId="7" xfId="2" applyNumberFormat="1" applyFont="1" applyBorder="1" applyAlignment="1">
      <alignment horizontal="center"/>
    </xf>
    <xf numFmtId="1" fontId="8" fillId="0" borderId="7" xfId="2" applyNumberFormat="1" applyFont="1" applyBorder="1" applyAlignment="1">
      <alignment horizontal="center" wrapText="1"/>
    </xf>
    <xf numFmtId="0" fontId="9" fillId="0" borderId="6" xfId="2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1" fontId="8" fillId="0" borderId="23" xfId="2" applyNumberFormat="1" applyFont="1" applyBorder="1" applyAlignment="1">
      <alignment horizontal="center"/>
    </xf>
    <xf numFmtId="1" fontId="8" fillId="0" borderId="23" xfId="2" applyNumberFormat="1" applyFont="1" applyBorder="1" applyAlignment="1">
      <alignment horizontal="center" wrapText="1"/>
    </xf>
    <xf numFmtId="0" fontId="9" fillId="0" borderId="7" xfId="0" quotePrefix="1" applyFont="1" applyBorder="1"/>
    <xf numFmtId="0" fontId="10" fillId="0" borderId="7" xfId="0" applyFont="1" applyBorder="1"/>
    <xf numFmtId="0" fontId="11" fillId="0" borderId="7" xfId="0" applyFont="1" applyBorder="1" applyAlignment="1">
      <alignment vertical="top"/>
    </xf>
    <xf numFmtId="0" fontId="10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" fontId="9" fillId="0" borderId="7" xfId="2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49" fontId="9" fillId="0" borderId="8" xfId="2" applyNumberFormat="1" applyFont="1" applyBorder="1" applyAlignment="1">
      <alignment horizontal="center"/>
    </xf>
    <xf numFmtId="49" fontId="9" fillId="0" borderId="7" xfId="2" applyNumberFormat="1" applyFont="1" applyBorder="1"/>
    <xf numFmtId="0" fontId="9" fillId="0" borderId="7" xfId="2" applyFont="1" applyBorder="1" applyAlignment="1">
      <alignment horizontal="center"/>
    </xf>
    <xf numFmtId="1" fontId="9" fillId="0" borderId="7" xfId="2" applyNumberFormat="1" applyFont="1" applyBorder="1" applyAlignment="1">
      <alignment horizontal="center" wrapText="1"/>
    </xf>
    <xf numFmtId="49" fontId="11" fillId="2" borderId="28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7" xfId="2" applyFont="1" applyFill="1" applyBorder="1" applyAlignment="1">
      <alignment horizontal="center"/>
    </xf>
    <xf numFmtId="0" fontId="9" fillId="4" borderId="16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5" xfId="2" applyFont="1" applyFill="1" applyBorder="1"/>
    <xf numFmtId="0" fontId="8" fillId="4" borderId="15" xfId="2" applyFont="1" applyFill="1" applyBorder="1" applyAlignment="1">
      <alignment horizontal="center"/>
    </xf>
    <xf numFmtId="1" fontId="8" fillId="4" borderId="15" xfId="2" applyNumberFormat="1" applyFont="1" applyFill="1" applyBorder="1" applyAlignment="1">
      <alignment horizontal="center"/>
    </xf>
    <xf numFmtId="164" fontId="9" fillId="4" borderId="15" xfId="2" applyNumberFormat="1" applyFont="1" applyFill="1" applyBorder="1" applyAlignment="1">
      <alignment horizontal="center" wrapText="1"/>
    </xf>
    <xf numFmtId="0" fontId="9" fillId="4" borderId="14" xfId="2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2" borderId="7" xfId="1" applyFont="1" applyFill="1" applyBorder="1" applyAlignment="1">
      <alignment horizontal="left"/>
    </xf>
    <xf numFmtId="0" fontId="9" fillId="0" borderId="13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 wrapText="1"/>
    </xf>
    <xf numFmtId="0" fontId="9" fillId="0" borderId="11" xfId="2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/>
    </xf>
    <xf numFmtId="0" fontId="9" fillId="0" borderId="46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8" fillId="0" borderId="9" xfId="2" applyFont="1" applyBorder="1" applyAlignment="1">
      <alignment horizontal="left" wrapText="1"/>
    </xf>
    <xf numFmtId="0" fontId="8" fillId="0" borderId="8" xfId="2" applyFont="1" applyBorder="1" applyAlignment="1">
      <alignment horizontal="left" wrapText="1"/>
    </xf>
    <xf numFmtId="0" fontId="8" fillId="0" borderId="7" xfId="2" applyFont="1" applyBorder="1" applyAlignment="1">
      <alignment horizontal="left" wrapText="1"/>
    </xf>
    <xf numFmtId="0" fontId="8" fillId="0" borderId="6" xfId="2" applyFont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3" borderId="2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5" xfId="2" applyFont="1" applyBorder="1" applyAlignment="1">
      <alignment horizontal="right"/>
    </xf>
    <xf numFmtId="0" fontId="8" fillId="0" borderId="4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164" fontId="9" fillId="0" borderId="17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164" fontId="9" fillId="0" borderId="17" xfId="2" applyNumberFormat="1" applyFont="1" applyBorder="1" applyAlignment="1">
      <alignment horizontal="right" wrapText="1"/>
    </xf>
    <xf numFmtId="164" fontId="9" fillId="0" borderId="8" xfId="2" applyNumberFormat="1" applyFont="1" applyBorder="1" applyAlignment="1">
      <alignment horizontal="right" wrapText="1"/>
    </xf>
    <xf numFmtId="164" fontId="9" fillId="0" borderId="17" xfId="0" applyNumberFormat="1" applyFont="1" applyBorder="1" applyAlignment="1">
      <alignment horizontal="center" wrapText="1"/>
    </xf>
    <xf numFmtId="164" fontId="9" fillId="0" borderId="3" xfId="0" applyNumberFormat="1" applyFont="1" applyBorder="1" applyAlignment="1">
      <alignment horizontal="center" wrapText="1"/>
    </xf>
    <xf numFmtId="0" fontId="8" fillId="0" borderId="20" xfId="2" applyFont="1" applyBorder="1" applyAlignment="1">
      <alignment horizontal="right"/>
    </xf>
    <xf numFmtId="0" fontId="8" fillId="0" borderId="19" xfId="2" applyFont="1" applyBorder="1" applyAlignment="1">
      <alignment horizontal="right"/>
    </xf>
    <xf numFmtId="0" fontId="8" fillId="0" borderId="18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8" fillId="4" borderId="16" xfId="2" applyFont="1" applyFill="1" applyBorder="1" applyAlignment="1">
      <alignment horizontal="left"/>
    </xf>
    <xf numFmtId="0" fontId="8" fillId="4" borderId="15" xfId="2" applyFont="1" applyFill="1" applyBorder="1" applyAlignment="1">
      <alignment horizontal="left"/>
    </xf>
    <xf numFmtId="0" fontId="8" fillId="4" borderId="14" xfId="2" applyFont="1" applyFill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8" fillId="0" borderId="26" xfId="2" applyFont="1" applyBorder="1" applyAlignment="1">
      <alignment horizontal="right"/>
    </xf>
    <xf numFmtId="0" fontId="8" fillId="0" borderId="25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164" fontId="9" fillId="0" borderId="23" xfId="2" applyNumberFormat="1" applyFont="1" applyBorder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5" fillId="2" borderId="35" xfId="1" applyFont="1" applyFill="1" applyBorder="1" applyAlignment="1">
      <alignment horizontal="center"/>
    </xf>
    <xf numFmtId="0" fontId="6" fillId="2" borderId="0" xfId="1" applyFont="1" applyFill="1"/>
    <xf numFmtId="0" fontId="3" fillId="4" borderId="34" xfId="2" applyFont="1" applyFill="1" applyBorder="1" applyAlignment="1">
      <alignment horizontal="center" vertical="center"/>
    </xf>
    <xf numFmtId="0" fontId="3" fillId="4" borderId="31" xfId="2" applyFont="1" applyFill="1" applyBorder="1" applyAlignment="1">
      <alignment horizontal="center" vertical="center"/>
    </xf>
    <xf numFmtId="0" fontId="3" fillId="4" borderId="34" xfId="2" applyFont="1" applyFill="1" applyBorder="1" applyAlignment="1">
      <alignment horizontal="center" vertical="center" wrapText="1"/>
    </xf>
    <xf numFmtId="0" fontId="3" fillId="4" borderId="31" xfId="2" applyFont="1" applyFill="1" applyBorder="1" applyAlignment="1">
      <alignment horizontal="center" vertical="center" wrapText="1"/>
    </xf>
    <xf numFmtId="0" fontId="3" fillId="4" borderId="33" xfId="2" applyFont="1" applyFill="1" applyBorder="1" applyAlignment="1">
      <alignment horizontal="center" vertical="center"/>
    </xf>
    <xf numFmtId="0" fontId="3" fillId="4" borderId="30" xfId="2" applyFont="1" applyFill="1" applyBorder="1" applyAlignment="1">
      <alignment horizontal="center" vertical="center"/>
    </xf>
    <xf numFmtId="0" fontId="3" fillId="4" borderId="18" xfId="2" applyFont="1" applyFill="1" applyBorder="1" applyAlignment="1">
      <alignment horizontal="center" vertical="center"/>
    </xf>
    <xf numFmtId="14" fontId="2" fillId="2" borderId="42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14" fontId="2" fillId="2" borderId="36" xfId="1" applyNumberFormat="1" applyFont="1" applyFill="1" applyBorder="1" applyAlignment="1">
      <alignment horizontal="center" vertical="center" wrapText="1"/>
    </xf>
    <xf numFmtId="0" fontId="2" fillId="2" borderId="4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40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/>
    </xf>
    <xf numFmtId="0" fontId="7" fillId="2" borderId="19" xfId="1" applyFont="1" applyFill="1" applyBorder="1" applyAlignment="1">
      <alignment horizontal="center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5" borderId="14" xfId="1" applyFont="1" applyFill="1" applyBorder="1" applyAlignment="1">
      <alignment horizontal="center" vertical="center" wrapText="1"/>
    </xf>
    <xf numFmtId="0" fontId="3" fillId="2" borderId="43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right" vertical="top" wrapText="1"/>
    </xf>
  </cellXfs>
  <cellStyles count="3">
    <cellStyle name="Normal" xfId="0" builtinId="0"/>
    <cellStyle name="Normal 2" xfId="2" xr:uid="{3FC68524-5929-4671-83A3-0758D13FD591}"/>
    <cellStyle name="Normal_CRITERIOS DE EVALUACION PT DE GB 2" xfId="1" xr:uid="{325D09A2-F205-48B4-930B-FAE2F26DC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92869</xdr:colOff>
      <xdr:row>0</xdr:row>
      <xdr:rowOff>102392</xdr:rowOff>
    </xdr:from>
    <xdr:ext cx="1754708" cy="969170"/>
    <xdr:pic>
      <xdr:nvPicPr>
        <xdr:cNvPr id="2" name="Imagen 91">
          <a:extLst>
            <a:ext uri="{FF2B5EF4-FFF2-40B4-BE49-F238E27FC236}">
              <a16:creationId xmlns:a16="http://schemas.microsoft.com/office/drawing/2014/main" id="{C08A063B-27FE-4B5C-BA9B-A605FD5ED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9" y="102392"/>
          <a:ext cx="1754708" cy="969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C191-9576-4035-8C3C-DDA4329219E8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bestFit="1" customWidth="1"/>
    <col min="3" max="3" width="64.5703125" customWidth="1"/>
    <col min="4" max="4" width="18" customWidth="1"/>
    <col min="7" max="7" width="22" customWidth="1"/>
    <col min="8" max="8" width="15.28515625" customWidth="1"/>
    <col min="9" max="9" width="19.28515625" bestFit="1" customWidth="1"/>
  </cols>
  <sheetData>
    <row r="1" spans="1:9" ht="15.75" x14ac:dyDescent="0.25">
      <c r="A1" s="119"/>
      <c r="B1" s="120"/>
      <c r="C1" s="125" t="s">
        <v>48</v>
      </c>
      <c r="D1" s="125"/>
      <c r="E1" s="125"/>
      <c r="F1" s="125"/>
      <c r="G1" s="125"/>
      <c r="H1" s="11" t="s">
        <v>47</v>
      </c>
      <c r="I1" s="10" t="s">
        <v>54</v>
      </c>
    </row>
    <row r="2" spans="1:9" ht="16.5" thickBot="1" x14ac:dyDescent="0.3">
      <c r="A2" s="121"/>
      <c r="B2" s="122"/>
      <c r="C2" s="126" t="s">
        <v>46</v>
      </c>
      <c r="D2" s="127"/>
      <c r="E2" s="127"/>
      <c r="F2" s="127"/>
      <c r="G2" s="128"/>
      <c r="H2" s="9" t="s">
        <v>45</v>
      </c>
      <c r="I2" s="8" t="s">
        <v>55</v>
      </c>
    </row>
    <row r="3" spans="1:9" ht="26.25" thickBot="1" x14ac:dyDescent="0.3">
      <c r="A3" s="121"/>
      <c r="B3" s="122"/>
      <c r="C3" s="129" t="s">
        <v>44</v>
      </c>
      <c r="D3" s="130"/>
      <c r="E3" s="130"/>
      <c r="F3" s="130"/>
      <c r="G3" s="131"/>
      <c r="H3" s="132" t="s">
        <v>43</v>
      </c>
      <c r="I3" s="110">
        <v>45923</v>
      </c>
    </row>
    <row r="4" spans="1:9" ht="18" customHeight="1" x14ac:dyDescent="0.25">
      <c r="A4" s="121"/>
      <c r="B4" s="122"/>
      <c r="C4" s="7" t="s">
        <v>42</v>
      </c>
      <c r="D4" s="113" t="s">
        <v>51</v>
      </c>
      <c r="E4" s="114"/>
      <c r="F4" s="114"/>
      <c r="G4" s="115"/>
      <c r="H4" s="133"/>
      <c r="I4" s="111"/>
    </row>
    <row r="5" spans="1:9" ht="15.75" thickBot="1" x14ac:dyDescent="0.3">
      <c r="A5" s="123"/>
      <c r="B5" s="124"/>
      <c r="C5" s="6" t="s">
        <v>41</v>
      </c>
      <c r="D5" s="116" t="s">
        <v>52</v>
      </c>
      <c r="E5" s="117"/>
      <c r="F5" s="117"/>
      <c r="G5" s="118"/>
      <c r="H5" s="134"/>
      <c r="I5" s="112"/>
    </row>
    <row r="6" spans="1:9" ht="18.75" thickBot="1" x14ac:dyDescent="0.3">
      <c r="A6" s="100" t="s">
        <v>40</v>
      </c>
      <c r="B6" s="100"/>
      <c r="C6" s="100"/>
      <c r="D6" s="101" t="s">
        <v>49</v>
      </c>
      <c r="E6" s="101"/>
      <c r="F6" s="101"/>
      <c r="G6" s="102" t="s">
        <v>39</v>
      </c>
      <c r="H6" s="102"/>
      <c r="I6" s="5" t="s">
        <v>50</v>
      </c>
    </row>
    <row r="7" spans="1:9" x14ac:dyDescent="0.25">
      <c r="A7" s="103" t="s">
        <v>38</v>
      </c>
      <c r="B7" s="105" t="s">
        <v>37</v>
      </c>
      <c r="C7" s="107" t="s">
        <v>36</v>
      </c>
      <c r="D7" s="107" t="s">
        <v>35</v>
      </c>
      <c r="E7" s="107" t="s">
        <v>34</v>
      </c>
      <c r="F7" s="107"/>
      <c r="G7" s="107" t="s">
        <v>33</v>
      </c>
      <c r="H7" s="107"/>
      <c r="I7" s="4" t="s">
        <v>32</v>
      </c>
    </row>
    <row r="8" spans="1:9" ht="33.75" customHeight="1" thickBot="1" x14ac:dyDescent="0.3">
      <c r="A8" s="104"/>
      <c r="B8" s="106"/>
      <c r="C8" s="108"/>
      <c r="D8" s="109"/>
      <c r="E8" s="3" t="s">
        <v>17</v>
      </c>
      <c r="F8" s="2" t="s">
        <v>31</v>
      </c>
      <c r="G8" s="3" t="s">
        <v>17</v>
      </c>
      <c r="H8" s="2" t="s">
        <v>31</v>
      </c>
      <c r="I8" s="1" t="s">
        <v>30</v>
      </c>
    </row>
    <row r="9" spans="1:9" ht="20.25" x14ac:dyDescent="0.3">
      <c r="A9" s="12"/>
      <c r="B9" s="13" t="s">
        <v>29</v>
      </c>
      <c r="C9" s="14" t="s">
        <v>28</v>
      </c>
      <c r="D9" s="15" t="s">
        <v>27</v>
      </c>
      <c r="E9" s="16">
        <v>5000</v>
      </c>
      <c r="F9" s="17" t="s">
        <v>4</v>
      </c>
      <c r="G9" s="18"/>
      <c r="H9" s="19"/>
      <c r="I9" s="20"/>
    </row>
    <row r="10" spans="1:9" ht="20.25" x14ac:dyDescent="0.3">
      <c r="A10" s="12"/>
      <c r="B10" s="21"/>
      <c r="C10" s="14"/>
      <c r="D10" s="15"/>
      <c r="E10" s="16"/>
      <c r="F10" s="17"/>
      <c r="G10" s="22"/>
      <c r="H10" s="23"/>
      <c r="I10" s="20"/>
    </row>
    <row r="11" spans="1:9" ht="20.25" x14ac:dyDescent="0.3">
      <c r="A11" s="12"/>
      <c r="B11" s="13"/>
      <c r="C11" s="24"/>
      <c r="D11" s="15"/>
      <c r="E11" s="16"/>
      <c r="F11" s="17"/>
      <c r="G11" s="22"/>
      <c r="H11" s="23"/>
      <c r="I11" s="20"/>
    </row>
    <row r="12" spans="1:9" ht="20.25" x14ac:dyDescent="0.3">
      <c r="A12" s="12"/>
      <c r="B12" s="29" t="s">
        <v>26</v>
      </c>
      <c r="C12" s="26" t="s">
        <v>25</v>
      </c>
      <c r="D12" s="15"/>
      <c r="E12" s="16">
        <v>1</v>
      </c>
      <c r="F12" s="17" t="s">
        <v>18</v>
      </c>
      <c r="G12" s="22"/>
      <c r="H12" s="23"/>
      <c r="I12" s="20"/>
    </row>
    <row r="13" spans="1:9" ht="20.25" x14ac:dyDescent="0.3">
      <c r="A13" s="12"/>
      <c r="B13" s="29" t="s">
        <v>24</v>
      </c>
      <c r="C13" s="27" t="s">
        <v>23</v>
      </c>
      <c r="D13" s="15" t="s">
        <v>22</v>
      </c>
      <c r="E13" s="16">
        <v>1</v>
      </c>
      <c r="F13" s="17" t="s">
        <v>18</v>
      </c>
      <c r="G13" s="22"/>
      <c r="H13" s="23"/>
      <c r="I13" s="20"/>
    </row>
    <row r="14" spans="1:9" ht="20.25" x14ac:dyDescent="0.3">
      <c r="A14" s="12"/>
      <c r="B14" s="29" t="s">
        <v>21</v>
      </c>
      <c r="C14" s="27" t="s">
        <v>20</v>
      </c>
      <c r="D14" s="15" t="s">
        <v>19</v>
      </c>
      <c r="E14" s="16">
        <v>1</v>
      </c>
      <c r="F14" s="17" t="s">
        <v>18</v>
      </c>
      <c r="G14" s="22"/>
      <c r="H14" s="23"/>
      <c r="I14" s="20"/>
    </row>
    <row r="15" spans="1:9" ht="20.25" x14ac:dyDescent="0.3">
      <c r="A15" s="12"/>
      <c r="B15" s="25"/>
      <c r="C15" s="25"/>
      <c r="D15" s="28"/>
      <c r="E15" s="16"/>
      <c r="F15" s="28"/>
      <c r="G15" s="22"/>
      <c r="H15" s="23"/>
      <c r="I15" s="20"/>
    </row>
    <row r="16" spans="1:9" ht="18" customHeight="1" x14ac:dyDescent="0.3">
      <c r="A16" s="12"/>
      <c r="B16" s="29"/>
      <c r="C16" s="25"/>
      <c r="D16" s="30"/>
      <c r="E16" s="28"/>
      <c r="F16" s="28"/>
      <c r="G16" s="22"/>
      <c r="H16" s="23"/>
      <c r="I16" s="20"/>
    </row>
    <row r="17" spans="1:9" ht="20.25" x14ac:dyDescent="0.3">
      <c r="A17" s="31"/>
      <c r="B17" s="32"/>
      <c r="C17" s="33"/>
      <c r="D17" s="34"/>
      <c r="E17" s="34"/>
      <c r="F17" s="35"/>
      <c r="G17" s="34"/>
      <c r="H17" s="34"/>
      <c r="I17" s="20"/>
    </row>
    <row r="18" spans="1:9" ht="21" thickBot="1" x14ac:dyDescent="0.35">
      <c r="A18" s="36"/>
      <c r="B18" s="37"/>
      <c r="C18" s="38"/>
      <c r="D18" s="38"/>
      <c r="E18" s="39"/>
      <c r="F18" s="40"/>
      <c r="G18" s="38"/>
      <c r="H18" s="38"/>
      <c r="I18" s="41"/>
    </row>
    <row r="19" spans="1:9" ht="21" thickBot="1" x14ac:dyDescent="0.35">
      <c r="A19" s="42"/>
      <c r="B19" s="43"/>
      <c r="C19" s="44"/>
      <c r="D19" s="45" t="s">
        <v>17</v>
      </c>
      <c r="E19" s="46" t="s">
        <v>16</v>
      </c>
      <c r="F19" s="47"/>
      <c r="G19" s="44"/>
      <c r="H19" s="44"/>
      <c r="I19" s="48"/>
    </row>
    <row r="20" spans="1:9" ht="20.25" x14ac:dyDescent="0.3">
      <c r="A20" s="94" t="s">
        <v>15</v>
      </c>
      <c r="B20" s="95"/>
      <c r="C20" s="96"/>
      <c r="D20" s="49">
        <v>5000</v>
      </c>
      <c r="E20" s="50" t="s">
        <v>4</v>
      </c>
      <c r="F20" s="97" t="s">
        <v>14</v>
      </c>
      <c r="G20" s="97"/>
      <c r="H20" s="98"/>
      <c r="I20" s="99"/>
    </row>
    <row r="21" spans="1:9" ht="20.25" x14ac:dyDescent="0.3">
      <c r="A21" s="74" t="s">
        <v>13</v>
      </c>
      <c r="B21" s="75"/>
      <c r="C21" s="76"/>
      <c r="D21" s="28">
        <v>2</v>
      </c>
      <c r="E21" s="28" t="s">
        <v>12</v>
      </c>
      <c r="F21" s="77" t="s">
        <v>11</v>
      </c>
      <c r="G21" s="77"/>
      <c r="H21" s="78"/>
      <c r="I21" s="79"/>
    </row>
    <row r="22" spans="1:9" ht="20.25" x14ac:dyDescent="0.3">
      <c r="A22" s="74" t="s">
        <v>10</v>
      </c>
      <c r="B22" s="75"/>
      <c r="C22" s="76"/>
      <c r="D22" s="28">
        <f>+D20/D23</f>
        <v>1</v>
      </c>
      <c r="E22" s="28" t="s">
        <v>9</v>
      </c>
      <c r="F22" s="77" t="s">
        <v>8</v>
      </c>
      <c r="G22" s="77"/>
      <c r="H22" s="78"/>
      <c r="I22" s="79"/>
    </row>
    <row r="23" spans="1:9" ht="20.25" x14ac:dyDescent="0.3">
      <c r="A23" s="74" t="s">
        <v>7</v>
      </c>
      <c r="B23" s="75"/>
      <c r="C23" s="76"/>
      <c r="D23" s="28">
        <v>5000</v>
      </c>
      <c r="E23" s="28" t="s">
        <v>4</v>
      </c>
      <c r="F23" s="80" t="s">
        <v>6</v>
      </c>
      <c r="G23" s="81"/>
      <c r="H23" s="82"/>
      <c r="I23" s="83"/>
    </row>
    <row r="24" spans="1:9" ht="21" thickBot="1" x14ac:dyDescent="0.35">
      <c r="A24" s="84" t="s">
        <v>5</v>
      </c>
      <c r="B24" s="85"/>
      <c r="C24" s="86"/>
      <c r="D24" s="51">
        <v>0</v>
      </c>
      <c r="E24" s="52" t="s">
        <v>4</v>
      </c>
      <c r="F24" s="87"/>
      <c r="G24" s="87"/>
      <c r="H24" s="78"/>
      <c r="I24" s="79"/>
    </row>
    <row r="25" spans="1:9" ht="21" thickBot="1" x14ac:dyDescent="0.35">
      <c r="A25" s="88" t="s">
        <v>3</v>
      </c>
      <c r="B25" s="89"/>
      <c r="C25" s="89"/>
      <c r="D25" s="89"/>
      <c r="E25" s="89"/>
      <c r="F25" s="89"/>
      <c r="G25" s="89"/>
      <c r="H25" s="89"/>
      <c r="I25" s="90"/>
    </row>
    <row r="26" spans="1:9" ht="20.25" x14ac:dyDescent="0.3">
      <c r="A26" s="91" t="s">
        <v>2</v>
      </c>
      <c r="B26" s="92"/>
      <c r="C26" s="92"/>
      <c r="D26" s="92"/>
      <c r="E26" s="92"/>
      <c r="F26" s="92"/>
      <c r="G26" s="92"/>
      <c r="H26" s="92"/>
      <c r="I26" s="93"/>
    </row>
    <row r="27" spans="1:9" ht="21" thickBot="1" x14ac:dyDescent="0.35">
      <c r="A27" s="71" t="s">
        <v>1</v>
      </c>
      <c r="B27" s="72"/>
      <c r="C27" s="72"/>
      <c r="D27" s="72"/>
      <c r="E27" s="72"/>
      <c r="F27" s="72"/>
      <c r="G27" s="72"/>
      <c r="H27" s="72"/>
      <c r="I27" s="73"/>
    </row>
    <row r="28" spans="1:9" ht="20.25" x14ac:dyDescent="0.25">
      <c r="A28" s="54"/>
      <c r="B28" s="55"/>
      <c r="C28" s="55"/>
      <c r="D28" s="55"/>
      <c r="E28" s="55"/>
      <c r="F28" s="55"/>
      <c r="G28" s="55"/>
      <c r="H28" s="55"/>
      <c r="I28" s="56"/>
    </row>
    <row r="29" spans="1:9" ht="20.25" x14ac:dyDescent="0.3">
      <c r="A29" s="57"/>
      <c r="B29" s="57"/>
      <c r="C29" s="57"/>
      <c r="D29" s="57"/>
      <c r="E29" s="57"/>
      <c r="F29" s="57"/>
      <c r="G29" s="57"/>
      <c r="H29" s="57"/>
      <c r="I29" s="57"/>
    </row>
    <row r="30" spans="1:9" ht="20.25" x14ac:dyDescent="0.3">
      <c r="A30" s="58"/>
      <c r="B30" s="59"/>
      <c r="C30" s="60"/>
      <c r="D30" s="60"/>
      <c r="E30" s="60"/>
      <c r="F30" s="60"/>
      <c r="G30" s="60"/>
      <c r="H30" s="60"/>
      <c r="I30" s="61"/>
    </row>
    <row r="31" spans="1:9" ht="20.25" x14ac:dyDescent="0.3">
      <c r="A31" s="62"/>
      <c r="B31" s="63"/>
      <c r="C31" s="64"/>
      <c r="D31" s="64"/>
      <c r="E31" s="64"/>
      <c r="F31" s="64"/>
      <c r="G31" s="64"/>
      <c r="H31" s="64"/>
      <c r="I31" s="65"/>
    </row>
    <row r="32" spans="1:9" ht="21" thickBot="1" x14ac:dyDescent="0.35">
      <c r="A32" s="66"/>
      <c r="B32" s="67"/>
      <c r="C32" s="67"/>
      <c r="D32" s="67"/>
      <c r="E32" s="67"/>
      <c r="F32" s="67"/>
      <c r="G32" s="67"/>
      <c r="H32" s="67"/>
      <c r="I32" s="68"/>
    </row>
    <row r="33" spans="1:9" ht="20.25" x14ac:dyDescent="0.3">
      <c r="A33" s="69" t="s">
        <v>0</v>
      </c>
      <c r="B33" s="70"/>
      <c r="C33" s="70"/>
      <c r="D33" s="70"/>
      <c r="E33" s="70"/>
      <c r="F33" s="70"/>
      <c r="G33" s="70"/>
      <c r="H33" s="70"/>
      <c r="I33" s="70"/>
    </row>
    <row r="34" spans="1:9" ht="20.25" x14ac:dyDescent="0.3">
      <c r="A34" s="53" t="s">
        <v>53</v>
      </c>
      <c r="B34" s="53"/>
      <c r="C34" s="53"/>
      <c r="D34" s="53"/>
      <c r="E34" s="53"/>
      <c r="F34" s="53"/>
      <c r="G34" s="53"/>
      <c r="H34" s="53"/>
      <c r="I34" s="53"/>
    </row>
    <row r="35" spans="1:9" ht="20.25" x14ac:dyDescent="0.3">
      <c r="A35" s="53"/>
      <c r="B35" s="53"/>
      <c r="C35" s="53"/>
      <c r="D35" s="53"/>
      <c r="E35" s="53"/>
      <c r="F35" s="53"/>
      <c r="G35" s="53"/>
      <c r="H35" s="53"/>
      <c r="I35" s="53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4:I34"/>
    <mergeCell ref="A35:I35"/>
    <mergeCell ref="A28:I28"/>
    <mergeCell ref="A29:I29"/>
    <mergeCell ref="A30:I30"/>
    <mergeCell ref="A31:I31"/>
    <mergeCell ref="A32:I32"/>
    <mergeCell ref="A33:I33"/>
  </mergeCells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56C4B7-0F6F-465F-9F7C-D1C58AE1FA8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31012B1-5341-430A-895C-E1C020294D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2842E1-E77F-4D38-A74A-E8BF1CC168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 Toping Lemon Court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2025-09-23T17:09:54Z</cp:lastPrinted>
  <dcterms:created xsi:type="dcterms:W3CDTF">2025-09-19T17:21:44Z</dcterms:created>
  <dcterms:modified xsi:type="dcterms:W3CDTF">2025-09-23T17:20:10Z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
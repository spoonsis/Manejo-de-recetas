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10" documentId="8_{622F6232-7B4C-4EE4-A7D2-D802B45C65B6}" xr6:coauthVersionLast="47" xr6:coauthVersionMax="47" xr10:uidLastSave="{DD070B24-90F3-420C-BF7F-2E102A1D2D67}"/>
  <bookViews>
    <workbookView xWindow="-120" yWindow="-120" windowWidth="20730" windowHeight="11040" xr2:uid="{00000000-000D-0000-FFFF-FFFF00000000}"/>
  </bookViews>
  <sheets>
    <sheet name="Hoja2" sheetId="20" r:id="rId1"/>
  </sheets>
  <definedNames>
    <definedName name="_xlnm.Print_Area" localSheetId="0">Hoja2!$A$1:$I$49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20" l="1"/>
  <c r="D39" i="20" s="1"/>
</calcChain>
</file>

<file path=xl/sharedStrings.xml><?xml version="1.0" encoding="utf-8"?>
<sst xmlns="http://schemas.openxmlformats.org/spreadsheetml/2006/main" count="119" uniqueCount="95">
  <si>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</si>
  <si>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</si>
  <si>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</si>
  <si>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</si>
  <si>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</si>
  <si>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</si>
  <si>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</si>
  <si>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AREA QUE PRODUCE:</t>
  </si>
  <si>
    <t>Cocina</t>
  </si>
  <si>
    <t xml:space="preserve">AREA QUE EMPACA: </t>
  </si>
  <si>
    <t>Empaque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</si>
  <si>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</si>
  <si>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</si>
  <si>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</si>
  <si>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</si>
  <si>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</si>
  <si>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</si>
  <si>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</si>
  <si>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</si>
  <si>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</si>
  <si>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910311</t>
  </si>
  <si>
    <t>ACEITE DE OLIVA PLAST (UND:5 L)</t>
  </si>
  <si>
    <t>MAYCA</t>
  </si>
  <si>
    <t>g</t>
  </si>
  <si>
    <t>10100050</t>
  </si>
  <si>
    <t>ACEITE CAPULLO RBD (UND:17  L)</t>
  </si>
  <si>
    <t>CAPULLO</t>
  </si>
  <si>
    <t>101035</t>
  </si>
  <si>
    <t>CEBOLLA PICADA (PAQ:KILO)</t>
  </si>
  <si>
    <t>PRESTO</t>
  </si>
  <si>
    <t>512319</t>
  </si>
  <si>
    <t>101150</t>
  </si>
  <si>
    <t>APIO PICADO (PAQ:500gr)</t>
  </si>
  <si>
    <t>101115</t>
  </si>
  <si>
    <t>CHILE DULCE PICADO (PAQ:500g)</t>
  </si>
  <si>
    <t>FAS</t>
  </si>
  <si>
    <t>1212412</t>
  </si>
  <si>
    <t>PRESERVANTE 1017S (PAQ=5 KILO)</t>
  </si>
  <si>
    <t>ASEAL</t>
  </si>
  <si>
    <t>FRIJOLES PARA GALLO PINTO</t>
  </si>
  <si>
    <t>0910341</t>
  </si>
  <si>
    <t>SALSA INGLESA LIZANO (UND:3.7 L)</t>
  </si>
  <si>
    <t>LISANO</t>
  </si>
  <si>
    <t>101073</t>
  </si>
  <si>
    <t>CULANTRO DESINFECTADO (PAQ:250g)</t>
  </si>
  <si>
    <t>FERSQUITA</t>
  </si>
  <si>
    <t>1950765</t>
  </si>
  <si>
    <t>PLAST. AUTOAD 18 * 2000</t>
  </si>
  <si>
    <t>cm</t>
  </si>
  <si>
    <t>Unidad</t>
  </si>
  <si>
    <t>PESO TOTAL OBTENIDO</t>
  </si>
  <si>
    <t>TIEMPO TOTAL DE PREPARACION</t>
  </si>
  <si>
    <t>min</t>
  </si>
  <si>
    <t>CANTIDAD DE PORCIONES OBTENIDAS</t>
  </si>
  <si>
    <t>ud</t>
  </si>
  <si>
    <t>PESO DE CADA PORCIÓN</t>
  </si>
  <si>
    <t>MERMA</t>
  </si>
  <si>
    <t>PROCEDIMIENTO DE PREPARACION DE LA  RECETA</t>
  </si>
  <si>
    <t xml:space="preserve">1.Calentar bien los aceites </t>
  </si>
  <si>
    <t>2. Agregar el ajo y luego la cebolla, chile dulce, apio, freir hasta dorar</t>
  </si>
  <si>
    <t>EMPAQUE SAL KILO</t>
  </si>
  <si>
    <t>3. Adicionar los frijoles, la salsa lizano y sofreir un poco cuidado con el caldo (escurrir bien los frijoles). Agregarle 400 gramos de caldo de frijoles, la sal, el preservante</t>
  </si>
  <si>
    <t>4. Agregar el arroz. Calentar hasta minimo 75 ºC</t>
  </si>
  <si>
    <t>5.Agregar el culantro y mezlcar.</t>
  </si>
  <si>
    <t>6. Enviar a choque termico.</t>
  </si>
  <si>
    <t>MP10053</t>
  </si>
  <si>
    <t>MP10002</t>
  </si>
  <si>
    <t>MP10020</t>
  </si>
  <si>
    <t>MP10069</t>
  </si>
  <si>
    <t>MP10119</t>
  </si>
  <si>
    <t>SE00104</t>
  </si>
  <si>
    <t>MP10025</t>
  </si>
  <si>
    <t>SE00102</t>
  </si>
  <si>
    <t>MP10354</t>
  </si>
  <si>
    <t>MP10173</t>
  </si>
  <si>
    <t>MP10019</t>
  </si>
  <si>
    <t>EM10259</t>
  </si>
  <si>
    <t>908000005</t>
  </si>
  <si>
    <t>SE00103</t>
  </si>
  <si>
    <t>Gallo Pinto 28900g SE00101</t>
  </si>
  <si>
    <t>PASTA AJO</t>
  </si>
  <si>
    <t>ESP-RE-COCS-001</t>
  </si>
  <si>
    <t>Javier Tong, Chef</t>
  </si>
  <si>
    <t>Esteban Cartin, Gte Manufactura</t>
  </si>
  <si>
    <t># Código Netsuite</t>
  </si>
  <si>
    <t>Ensamble</t>
  </si>
  <si>
    <t>Decoración</t>
  </si>
  <si>
    <t>Tiempo de Horneo:</t>
  </si>
  <si>
    <t>Horno:</t>
  </si>
  <si>
    <t>Temperatura de Horneo:</t>
  </si>
  <si>
    <t>Otros</t>
  </si>
  <si>
    <t>CONTROL DE CAMBIOS</t>
  </si>
  <si>
    <t>COCCION ARROZ BLANCO PRECOCIDO</t>
  </si>
  <si>
    <t>2,Se elimina el caldo de frijol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</si>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</sst>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3" x14ac:knownFonts="1">
    <font>
      <sz val="10"/>
      <name val="Arial"/>
    </font>
    <font>
      <sz val="12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4"/>
      <name val="Arial"/>
      <family val="2"/>
    </font>
    <font>
      <sz val="14"/>
      <name val="Century Gothic"/>
      <family val="2"/>
    </font>
    <font>
      <b/>
      <sz val="14"/>
      <name val="Century Gothic"/>
      <family val="2"/>
    </font>
    <font>
      <b/>
      <sz val="14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b/>
      <i/>
      <sz val="1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0" fontId="2" fillId="0" borderId="0" xfId="1"/>
    <xf numFmtId="0" fontId="3" fillId="2" borderId="0" xfId="1" applyFont="1" applyFill="1" applyAlignment="1">
      <alignment horizontal="left" indent="1"/>
    </xf>
    <xf numFmtId="9" fontId="3" fillId="2" borderId="0" xfId="5" applyFont="1" applyFill="1"/>
    <xf numFmtId="0" fontId="6" fillId="2" borderId="4" xfId="2" applyFont="1" applyFill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6" fillId="2" borderId="3" xfId="2" applyFont="1" applyFill="1" applyBorder="1" applyAlignment="1">
      <alignment horizontal="right"/>
    </xf>
    <xf numFmtId="49" fontId="5" fillId="2" borderId="2" xfId="2" applyNumberFormat="1" applyFont="1" applyFill="1" applyBorder="1" applyAlignment="1">
      <alignment horizontal="center"/>
    </xf>
    <xf numFmtId="0" fontId="5" fillId="2" borderId="7" xfId="2" applyFont="1" applyFill="1" applyBorder="1" applyAlignment="1">
      <alignment horizontal="right"/>
    </xf>
    <xf numFmtId="0" fontId="5" fillId="2" borderId="3" xfId="2" applyFont="1" applyFill="1" applyBorder="1" applyAlignment="1">
      <alignment horizontal="right"/>
    </xf>
    <xf numFmtId="14" fontId="7" fillId="2" borderId="0" xfId="2" applyNumberFormat="1" applyFont="1" applyFill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1" fontId="6" fillId="3" borderId="5" xfId="1" applyNumberFormat="1" applyFont="1" applyFill="1" applyBorder="1" applyAlignment="1">
      <alignment horizontal="center"/>
    </xf>
    <xf numFmtId="1" fontId="6" fillId="3" borderId="5" xfId="1" applyNumberFormat="1" applyFont="1" applyFill="1" applyBorder="1" applyAlignment="1">
      <alignment horizontal="center" wrapText="1"/>
    </xf>
    <xf numFmtId="0" fontId="6" fillId="3" borderId="6" xfId="1" applyFont="1" applyFill="1" applyBorder="1" applyAlignment="1">
      <alignment horizontal="center"/>
    </xf>
    <xf numFmtId="0" fontId="8" fillId="0" borderId="9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9" fillId="0" borderId="3" xfId="1" applyFont="1" applyBorder="1" applyAlignment="1">
      <alignment vertical="center"/>
    </xf>
    <xf numFmtId="0" fontId="8" fillId="0" borderId="3" xfId="1" applyFont="1" applyBorder="1" applyAlignment="1">
      <alignment horizontal="center" vertical="center"/>
    </xf>
    <xf numFmtId="1" fontId="8" fillId="0" borderId="3" xfId="1" applyNumberFormat="1" applyFont="1" applyBorder="1" applyAlignment="1">
      <alignment horizontal="center"/>
    </xf>
    <xf numFmtId="1" fontId="8" fillId="0" borderId="3" xfId="1" applyNumberFormat="1" applyFont="1" applyBorder="1" applyAlignment="1">
      <alignment horizontal="center" wrapText="1"/>
    </xf>
    <xf numFmtId="0" fontId="10" fillId="0" borderId="2" xfId="1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7" xfId="0" applyFont="1" applyBorder="1"/>
    <xf numFmtId="1" fontId="10" fillId="0" borderId="7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3" xfId="0" applyFont="1" applyBorder="1"/>
    <xf numFmtId="1" fontId="10" fillId="0" borderId="3" xfId="0" applyNumberFormat="1" applyFont="1" applyBorder="1" applyAlignment="1">
      <alignment horizontal="center"/>
    </xf>
    <xf numFmtId="49" fontId="10" fillId="0" borderId="3" xfId="0" applyNumberFormat="1" applyFont="1" applyBorder="1" applyAlignment="1">
      <alignment horizontal="center"/>
    </xf>
    <xf numFmtId="16" fontId="10" fillId="0" borderId="3" xfId="0" applyNumberFormat="1" applyFont="1" applyBorder="1" applyAlignment="1">
      <alignment horizontal="center"/>
    </xf>
    <xf numFmtId="1" fontId="10" fillId="0" borderId="3" xfId="0" applyNumberFormat="1" applyFont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10" fillId="0" borderId="16" xfId="0" quotePrefix="1" applyFont="1" applyBorder="1" applyAlignment="1">
      <alignment horizontal="center"/>
    </xf>
    <xf numFmtId="0" fontId="10" fillId="5" borderId="3" xfId="0" applyFont="1" applyFill="1" applyBorder="1"/>
    <xf numFmtId="1" fontId="10" fillId="0" borderId="3" xfId="1" applyNumberFormat="1" applyFont="1" applyBorder="1" applyAlignment="1">
      <alignment horizontal="center"/>
    </xf>
    <xf numFmtId="0" fontId="10" fillId="0" borderId="3" xfId="1" applyFont="1" applyBorder="1" applyAlignment="1">
      <alignment horizontal="center"/>
    </xf>
    <xf numFmtId="1" fontId="10" fillId="0" borderId="3" xfId="1" applyNumberFormat="1" applyFont="1" applyBorder="1" applyAlignment="1">
      <alignment horizontal="center" wrapText="1"/>
    </xf>
    <xf numFmtId="49" fontId="10" fillId="0" borderId="9" xfId="1" applyNumberFormat="1" applyFont="1" applyBorder="1" applyAlignment="1">
      <alignment horizontal="center"/>
    </xf>
    <xf numFmtId="49" fontId="10" fillId="0" borderId="24" xfId="1" applyNumberFormat="1" applyFont="1" applyBorder="1" applyAlignment="1">
      <alignment horizontal="center"/>
    </xf>
    <xf numFmtId="0" fontId="8" fillId="5" borderId="3" xfId="1" applyFont="1" applyFill="1" applyBorder="1" applyAlignment="1">
      <alignment horizontal="left"/>
    </xf>
    <xf numFmtId="165" fontId="10" fillId="0" borderId="3" xfId="1" applyNumberFormat="1" applyFont="1" applyBorder="1" applyAlignment="1">
      <alignment horizontal="center"/>
    </xf>
    <xf numFmtId="0" fontId="10" fillId="5" borderId="3" xfId="4" applyFont="1" applyFill="1" applyBorder="1"/>
    <xf numFmtId="16" fontId="10" fillId="0" borderId="3" xfId="4" applyNumberFormat="1" applyFont="1" applyBorder="1" applyAlignment="1">
      <alignment horizontal="center"/>
    </xf>
    <xf numFmtId="0" fontId="10" fillId="0" borderId="3" xfId="4" applyFont="1" applyBorder="1" applyAlignment="1">
      <alignment horizontal="center"/>
    </xf>
    <xf numFmtId="1" fontId="10" fillId="0" borderId="3" xfId="4" applyNumberFormat="1" applyFont="1" applyBorder="1" applyAlignment="1">
      <alignment horizontal="center"/>
    </xf>
    <xf numFmtId="1" fontId="10" fillId="0" borderId="3" xfId="4" applyNumberFormat="1" applyFont="1" applyBorder="1" applyAlignment="1">
      <alignment horizontal="center" wrapText="1"/>
    </xf>
    <xf numFmtId="49" fontId="8" fillId="0" borderId="23" xfId="1" applyNumberFormat="1" applyFont="1" applyBorder="1" applyAlignment="1">
      <alignment horizontal="center"/>
    </xf>
    <xf numFmtId="49" fontId="8" fillId="0" borderId="30" xfId="1" applyNumberFormat="1" applyFont="1" applyBorder="1" applyAlignment="1">
      <alignment horizontal="center"/>
    </xf>
    <xf numFmtId="0" fontId="9" fillId="5" borderId="3" xfId="1" applyFont="1" applyFill="1" applyBorder="1" applyAlignment="1">
      <alignment vertical="center"/>
    </xf>
    <xf numFmtId="0" fontId="8" fillId="0" borderId="24" xfId="1" applyFont="1" applyBorder="1" applyAlignment="1">
      <alignment horizontal="center"/>
    </xf>
    <xf numFmtId="0" fontId="11" fillId="0" borderId="3" xfId="0" applyFont="1" applyBorder="1" applyAlignment="1">
      <alignment horizontal="left"/>
    </xf>
    <xf numFmtId="49" fontId="10" fillId="0" borderId="3" xfId="1" applyNumberFormat="1" applyFont="1" applyBorder="1"/>
    <xf numFmtId="49" fontId="11" fillId="2" borderId="10" xfId="1" applyNumberFormat="1" applyFont="1" applyFill="1" applyBorder="1" applyAlignment="1">
      <alignment horizontal="center" vertical="center"/>
    </xf>
    <xf numFmtId="49" fontId="11" fillId="2" borderId="0" xfId="1" applyNumberFormat="1" applyFont="1" applyFill="1" applyAlignment="1">
      <alignment horizontal="center" vertical="center"/>
    </xf>
    <xf numFmtId="0" fontId="10" fillId="2" borderId="0" xfId="1" applyFont="1" applyFill="1"/>
    <xf numFmtId="1" fontId="10" fillId="2" borderId="0" xfId="1" applyNumberFormat="1" applyFont="1" applyFill="1" applyAlignment="1">
      <alignment horizontal="center"/>
    </xf>
    <xf numFmtId="164" fontId="10" fillId="2" borderId="0" xfId="1" applyNumberFormat="1" applyFont="1" applyFill="1" applyAlignment="1">
      <alignment horizontal="center" wrapText="1"/>
    </xf>
    <xf numFmtId="0" fontId="10" fillId="2" borderId="11" xfId="1" applyFont="1" applyFill="1" applyBorder="1" applyAlignment="1">
      <alignment horizontal="center"/>
    </xf>
    <xf numFmtId="0" fontId="10" fillId="3" borderId="12" xfId="1" applyFont="1" applyFill="1" applyBorder="1" applyAlignment="1">
      <alignment horizontal="center"/>
    </xf>
    <xf numFmtId="0" fontId="10" fillId="3" borderId="13" xfId="1" applyFont="1" applyFill="1" applyBorder="1" applyAlignment="1">
      <alignment horizontal="center"/>
    </xf>
    <xf numFmtId="0" fontId="10" fillId="3" borderId="13" xfId="1" applyFont="1" applyFill="1" applyBorder="1"/>
    <xf numFmtId="0" fontId="8" fillId="3" borderId="13" xfId="1" applyFont="1" applyFill="1" applyBorder="1" applyAlignment="1">
      <alignment horizontal="center"/>
    </xf>
    <xf numFmtId="1" fontId="8" fillId="3" borderId="13" xfId="1" applyNumberFormat="1" applyFont="1" applyFill="1" applyBorder="1" applyAlignment="1">
      <alignment horizontal="center"/>
    </xf>
    <xf numFmtId="164" fontId="10" fillId="3" borderId="13" xfId="1" applyNumberFormat="1" applyFont="1" applyFill="1" applyBorder="1" applyAlignment="1">
      <alignment horizontal="center" wrapText="1"/>
    </xf>
    <xf numFmtId="0" fontId="10" fillId="3" borderId="14" xfId="1" applyFont="1" applyFill="1" applyBorder="1" applyAlignment="1">
      <alignment horizontal="center"/>
    </xf>
    <xf numFmtId="1" fontId="10" fillId="0" borderId="7" xfId="1" applyNumberFormat="1" applyFont="1" applyBorder="1" applyAlignment="1">
      <alignment horizontal="center"/>
    </xf>
    <xf numFmtId="0" fontId="10" fillId="0" borderId="15" xfId="1" applyFont="1" applyBorder="1" applyAlignment="1">
      <alignment horizontal="center"/>
    </xf>
    <xf numFmtId="20" fontId="10" fillId="0" borderId="3" xfId="1" applyNumberFormat="1" applyFont="1" applyBorder="1" applyAlignment="1">
      <alignment horizontal="center"/>
    </xf>
    <xf numFmtId="1" fontId="10" fillId="0" borderId="5" xfId="1" applyNumberFormat="1" applyFont="1" applyBorder="1" applyAlignment="1">
      <alignment horizontal="center"/>
    </xf>
    <xf numFmtId="0" fontId="10" fillId="0" borderId="5" xfId="1" applyFont="1" applyBorder="1" applyAlignment="1">
      <alignment horizontal="center"/>
    </xf>
    <xf numFmtId="0" fontId="10" fillId="0" borderId="9" xfId="0" applyFont="1" applyBorder="1" applyAlignment="1">
      <alignment horizontal="left" wrapText="1"/>
    </xf>
    <xf numFmtId="0" fontId="10" fillId="0" borderId="24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10" fillId="0" borderId="9" xfId="0" applyFont="1" applyBorder="1" applyAlignment="1">
      <alignment horizontal="left"/>
    </xf>
    <xf numFmtId="0" fontId="10" fillId="0" borderId="24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8" fillId="0" borderId="23" xfId="1" applyFont="1" applyBorder="1" applyAlignment="1">
      <alignment horizontal="right"/>
    </xf>
    <xf numFmtId="0" fontId="8" fillId="0" borderId="30" xfId="1" applyFont="1" applyBorder="1" applyAlignment="1">
      <alignment horizontal="right"/>
    </xf>
    <xf numFmtId="0" fontId="8" fillId="0" borderId="24" xfId="1" applyFont="1" applyBorder="1" applyAlignment="1">
      <alignment horizontal="right"/>
    </xf>
    <xf numFmtId="0" fontId="10" fillId="0" borderId="3" xfId="1" applyFont="1" applyBorder="1" applyAlignment="1">
      <alignment horizontal="right"/>
    </xf>
    <xf numFmtId="164" fontId="10" fillId="0" borderId="16" xfId="1" applyNumberFormat="1" applyFont="1" applyBorder="1" applyAlignment="1">
      <alignment horizontal="center"/>
    </xf>
    <xf numFmtId="164" fontId="10" fillId="0" borderId="25" xfId="1" applyNumberFormat="1" applyFont="1" applyBorder="1" applyAlignment="1">
      <alignment horizontal="center"/>
    </xf>
    <xf numFmtId="164" fontId="10" fillId="0" borderId="16" xfId="1" applyNumberFormat="1" applyFont="1" applyBorder="1" applyAlignment="1">
      <alignment horizontal="right" wrapText="1"/>
    </xf>
    <xf numFmtId="164" fontId="10" fillId="0" borderId="24" xfId="1" applyNumberFormat="1" applyFont="1" applyBorder="1" applyAlignment="1">
      <alignment horizontal="right" wrapText="1"/>
    </xf>
    <xf numFmtId="0" fontId="8" fillId="0" borderId="17" xfId="1" applyFont="1" applyBorder="1" applyAlignment="1">
      <alignment horizontal="right"/>
    </xf>
    <xf numFmtId="0" fontId="8" fillId="0" borderId="32" xfId="1" applyFont="1" applyBorder="1" applyAlignment="1">
      <alignment horizontal="right"/>
    </xf>
    <xf numFmtId="0" fontId="8" fillId="0" borderId="5" xfId="1" applyFont="1" applyBorder="1" applyAlignment="1">
      <alignment horizontal="right"/>
    </xf>
    <xf numFmtId="0" fontId="10" fillId="0" borderId="5" xfId="1" applyFont="1" applyBorder="1" applyAlignment="1">
      <alignment horizontal="right"/>
    </xf>
    <xf numFmtId="164" fontId="10" fillId="0" borderId="20" xfId="1" applyNumberFormat="1" applyFont="1" applyBorder="1" applyAlignment="1">
      <alignment horizontal="center"/>
    </xf>
    <xf numFmtId="164" fontId="10" fillId="0" borderId="21" xfId="1" applyNumberFormat="1" applyFont="1" applyBorder="1" applyAlignment="1">
      <alignment horizontal="center"/>
    </xf>
    <xf numFmtId="0" fontId="8" fillId="3" borderId="12" xfId="1" applyFont="1" applyFill="1" applyBorder="1" applyAlignment="1">
      <alignment horizontal="left"/>
    </xf>
    <xf numFmtId="0" fontId="8" fillId="3" borderId="13" xfId="1" applyFont="1" applyFill="1" applyBorder="1" applyAlignment="1">
      <alignment horizontal="left"/>
    </xf>
    <xf numFmtId="0" fontId="8" fillId="3" borderId="14" xfId="1" applyFont="1" applyFill="1" applyBorder="1" applyAlignment="1">
      <alignment horizontal="left"/>
    </xf>
    <xf numFmtId="0" fontId="10" fillId="0" borderId="22" xfId="0" applyFont="1" applyBorder="1" applyAlignment="1">
      <alignment horizontal="left"/>
    </xf>
    <xf numFmtId="0" fontId="10" fillId="0" borderId="31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8" fillId="0" borderId="26" xfId="1" applyFont="1" applyBorder="1" applyAlignment="1">
      <alignment horizontal="right"/>
    </xf>
    <xf numFmtId="0" fontId="8" fillId="0" borderId="33" xfId="1" applyFont="1" applyBorder="1" applyAlignment="1">
      <alignment horizontal="right"/>
    </xf>
    <xf numFmtId="0" fontId="8" fillId="0" borderId="27" xfId="1" applyFont="1" applyBorder="1" applyAlignment="1">
      <alignment horizontal="right"/>
    </xf>
    <xf numFmtId="164" fontId="10" fillId="0" borderId="7" xfId="1" applyNumberFormat="1" applyFont="1" applyBorder="1" applyAlignment="1">
      <alignment horizontal="right"/>
    </xf>
    <xf numFmtId="0" fontId="10" fillId="2" borderId="15" xfId="1" applyFont="1" applyFill="1" applyBorder="1" applyAlignment="1">
      <alignment horizontal="center"/>
    </xf>
    <xf numFmtId="0" fontId="10" fillId="2" borderId="28" xfId="1" applyFont="1" applyFill="1" applyBorder="1" applyAlignment="1">
      <alignment horizontal="center"/>
    </xf>
    <xf numFmtId="0" fontId="4" fillId="2" borderId="0" xfId="2" applyFont="1" applyFill="1" applyAlignment="1">
      <alignment horizontal="right"/>
    </xf>
    <xf numFmtId="0" fontId="7" fillId="2" borderId="29" xfId="2" applyFont="1" applyFill="1" applyBorder="1" applyAlignment="1">
      <alignment horizontal="center"/>
    </xf>
    <xf numFmtId="0" fontId="4" fillId="2" borderId="0" xfId="2" applyFont="1" applyFill="1"/>
    <xf numFmtId="0" fontId="6" fillId="3" borderId="22" xfId="1" applyFont="1" applyFill="1" applyBorder="1" applyAlignment="1">
      <alignment horizontal="center" vertical="center"/>
    </xf>
    <xf numFmtId="0" fontId="6" fillId="3" borderId="17" xfId="1" applyFont="1" applyFill="1" applyBorder="1" applyAlignment="1">
      <alignment horizontal="center" vertical="center"/>
    </xf>
    <xf numFmtId="0" fontId="6" fillId="3" borderId="22" xfId="1" applyFont="1" applyFill="1" applyBorder="1" applyAlignment="1">
      <alignment horizontal="center" vertical="center" wrapText="1"/>
    </xf>
    <xf numFmtId="0" fontId="6" fillId="3" borderId="17" xfId="1" applyFont="1" applyFill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14" fontId="5" fillId="2" borderId="38" xfId="2" applyNumberFormat="1" applyFont="1" applyFill="1" applyBorder="1" applyAlignment="1">
      <alignment horizontal="center" vertical="center" wrapText="1"/>
    </xf>
    <xf numFmtId="14" fontId="5" fillId="2" borderId="41" xfId="2" applyNumberFormat="1" applyFont="1" applyFill="1" applyBorder="1" applyAlignment="1">
      <alignment horizontal="center" vertical="center" wrapText="1"/>
    </xf>
    <xf numFmtId="14" fontId="5" fillId="2" borderId="8" xfId="2" applyNumberFormat="1" applyFont="1" applyFill="1" applyBorder="1" applyAlignment="1">
      <alignment horizontal="center" vertical="center" wrapText="1"/>
    </xf>
    <xf numFmtId="0" fontId="5" fillId="2" borderId="39" xfId="2" applyFont="1" applyFill="1" applyBorder="1" applyAlignment="1">
      <alignment horizontal="left"/>
    </xf>
    <xf numFmtId="0" fontId="5" fillId="2" borderId="40" xfId="2" applyFont="1" applyFill="1" applyBorder="1" applyAlignment="1">
      <alignment horizontal="left"/>
    </xf>
    <xf numFmtId="0" fontId="5" fillId="2" borderId="31" xfId="2" applyFont="1" applyFill="1" applyBorder="1" applyAlignment="1">
      <alignment horizontal="left"/>
    </xf>
    <xf numFmtId="0" fontId="5" fillId="2" borderId="16" xfId="2" applyFont="1" applyFill="1" applyBorder="1" applyAlignment="1">
      <alignment horizontal="left"/>
    </xf>
    <xf numFmtId="0" fontId="5" fillId="2" borderId="30" xfId="2" applyFont="1" applyFill="1" applyBorder="1" applyAlignment="1">
      <alignment horizontal="left"/>
    </xf>
    <xf numFmtId="0" fontId="5" fillId="2" borderId="24" xfId="2" applyFont="1" applyFill="1" applyBorder="1" applyAlignment="1">
      <alignment horizontal="left"/>
    </xf>
    <xf numFmtId="0" fontId="5" fillId="2" borderId="18" xfId="2" applyFont="1" applyFill="1" applyBorder="1" applyAlignment="1">
      <alignment horizontal="center"/>
    </xf>
    <xf numFmtId="0" fontId="5" fillId="2" borderId="19" xfId="2" applyFont="1" applyFill="1" applyBorder="1" applyAlignment="1">
      <alignment horizontal="center"/>
    </xf>
    <xf numFmtId="0" fontId="5" fillId="2" borderId="10" xfId="2" applyFont="1" applyFill="1" applyBorder="1" applyAlignment="1">
      <alignment horizontal="center"/>
    </xf>
    <xf numFmtId="0" fontId="5" fillId="2" borderId="0" xfId="2" applyFont="1" applyFill="1" applyAlignment="1">
      <alignment horizontal="center"/>
    </xf>
    <xf numFmtId="0" fontId="5" fillId="2" borderId="26" xfId="2" applyFont="1" applyFill="1" applyBorder="1" applyAlignment="1">
      <alignment horizontal="center"/>
    </xf>
    <xf numFmtId="0" fontId="5" fillId="2" borderId="33" xfId="2" applyFont="1" applyFill="1" applyBorder="1" applyAlignment="1">
      <alignment horizontal="center"/>
    </xf>
    <xf numFmtId="0" fontId="6" fillId="2" borderId="4" xfId="2" applyFont="1" applyFill="1" applyBorder="1" applyAlignment="1">
      <alignment horizontal="center"/>
    </xf>
    <xf numFmtId="0" fontId="6" fillId="2" borderId="36" xfId="2" applyFont="1" applyFill="1" applyBorder="1" applyAlignment="1">
      <alignment horizontal="center"/>
    </xf>
    <xf numFmtId="0" fontId="12" fillId="4" borderId="16" xfId="2" applyFont="1" applyFill="1" applyBorder="1" applyAlignment="1">
      <alignment horizontal="center" vertical="center" wrapText="1"/>
    </xf>
    <xf numFmtId="0" fontId="12" fillId="4" borderId="30" xfId="2" applyFont="1" applyFill="1" applyBorder="1" applyAlignment="1">
      <alignment horizontal="center" vertical="center" wrapText="1"/>
    </xf>
    <xf numFmtId="0" fontId="12" fillId="4" borderId="24" xfId="2" applyFont="1" applyFill="1" applyBorder="1" applyAlignment="1">
      <alignment horizontal="center" vertical="center" wrapText="1"/>
    </xf>
    <xf numFmtId="0" fontId="6" fillId="2" borderId="37" xfId="2" applyFont="1" applyFill="1" applyBorder="1" applyAlignment="1">
      <alignment horizontal="right" vertical="top" wrapText="1"/>
    </xf>
    <xf numFmtId="0" fontId="6" fillId="2" borderId="34" xfId="2" applyFont="1" applyFill="1" applyBorder="1" applyAlignment="1">
      <alignment horizontal="right" vertical="top" wrapText="1"/>
    </xf>
    <xf numFmtId="0" fontId="6" fillId="2" borderId="35" xfId="2" applyFont="1" applyFill="1" applyBorder="1" applyAlignment="1">
      <alignment horizontal="right" vertical="top" wrapText="1"/>
    </xf>
    <xf numFmtId="0" fontId="10" fillId="0" borderId="42" xfId="0" applyFont="1" applyBorder="1" applyAlignment="1">
      <alignment horizontal="left"/>
    </xf>
    <xf numFmtId="0" fontId="10" fillId="0" borderId="37" xfId="0" applyFont="1" applyBorder="1" applyAlignment="1">
      <alignment horizontal="left"/>
    </xf>
    <xf numFmtId="0" fontId="10" fillId="0" borderId="36" xfId="0" applyFont="1" applyBorder="1" applyAlignment="1">
      <alignment horizontal="left"/>
    </xf>
    <xf numFmtId="0" fontId="10" fillId="0" borderId="38" xfId="0" applyFont="1" applyBorder="1" applyAlignment="1">
      <alignment horizontal="left"/>
    </xf>
    <xf numFmtId="0" fontId="8" fillId="6" borderId="3" xfId="2" applyFont="1" applyFill="1" applyBorder="1" applyAlignment="1">
      <alignment horizontal="center"/>
    </xf>
    <xf numFmtId="0" fontId="10" fillId="2" borderId="3" xfId="2" applyFont="1" applyFill="1" applyBorder="1" applyAlignment="1">
      <alignment horizontal="left"/>
    </xf>
  </cellXfs>
  <cellStyles count="6">
    <cellStyle name="Normal" xfId="0" builtinId="0"/>
    <cellStyle name="Normal 2" xfId="1" xr:uid="{00000000-0005-0000-0000-000001000000}"/>
    <cellStyle name="Normal 3 2" xfId="4" xr:uid="{DED79F73-E1B9-4273-945A-112D415349C7}"/>
    <cellStyle name="Normal_CRITERIOS DE EVALUACION PT DE GB 2" xfId="2" xr:uid="{00000000-0005-0000-0000-000002000000}"/>
    <cellStyle name="Porcentaje 2" xfId="3" xr:uid="{00000000-0005-0000-0000-000003000000}"/>
    <cellStyle name="Porcentaje 2 2" xfId="5" xr:uid="{C8F783ED-E9A6-46D0-985A-0200FB11721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217488</xdr:colOff>
      <xdr:row>1</xdr:row>
      <xdr:rowOff>793</xdr:rowOff>
    </xdr:from>
    <xdr:to>
      <xdr:col>1</xdr:col>
      <xdr:colOff>877745</xdr:colOff>
      <xdr:row>3</xdr:row>
      <xdr:rowOff>203993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9191AED1-8E33-4B74-AEDB-6F1BBCD66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88" y="227012"/>
          <a:ext cx="1660382" cy="7389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le:///\\stargate\Usuarios\Recetasmovida\Cocina%20Caliente\COCS\ESP-RE-COCS-058%20Frijoles%20Para%20Gallo%20Pinto%2019820g.x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FAD68-E045-4F7E-9999-D7AA5DC55B1B}">
  <sheetPr>
    <pageSetUpPr fitToPage="1"/>
  </sheetPr>
  <dimension ref="A1:M49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5" bestFit="1" customWidth="1"/>
    <col min="2" max="2" width="16.42578125" customWidth="1"/>
    <col min="3" max="3" width="56.5703125" customWidth="1"/>
    <col min="4" max="4" width="18.140625" bestFit="1" customWidth="1"/>
    <col min="5" max="5" width="14" customWidth="1"/>
    <col min="6" max="6" width="13.5703125" customWidth="1"/>
    <col min="7" max="7" width="19" customWidth="1"/>
    <col min="8" max="8" width="19.85546875" customWidth="1"/>
    <col min="9" max="9" width="24.7109375" bestFit="1" customWidth="1"/>
  </cols>
  <sheetData>
    <row r="1" spans="1:9" ht="18" x14ac:dyDescent="0.25">
      <c r="A1" s="124"/>
      <c r="B1" s="125"/>
      <c r="C1" s="130" t="s">
        <v>0</v>
      </c>
      <c r="D1" s="130"/>
      <c r="E1" s="130"/>
      <c r="F1" s="130"/>
      <c r="G1" s="130"/>
      <c r="H1" s="5" t="s">
        <v>1</v>
      </c>
      <c r="I1" s="6" t="s">
        <v>81</v>
      </c>
    </row>
    <row r="2" spans="1:9" ht="18" x14ac:dyDescent="0.25">
      <c r="A2" s="126"/>
      <c r="B2" s="127"/>
      <c r="C2" s="131" t="s">
        <v>2</v>
      </c>
      <c r="D2" s="131"/>
      <c r="E2" s="131"/>
      <c r="F2" s="131"/>
      <c r="G2" s="131"/>
      <c r="H2" s="7" t="s">
        <v>3</v>
      </c>
      <c r="I2" s="8" t="s">
        <v>94</v>
      </c>
    </row>
    <row r="3" spans="1:9" ht="24.75" thickBot="1" x14ac:dyDescent="0.25">
      <c r="A3" s="126"/>
      <c r="B3" s="127"/>
      <c r="C3" s="132" t="s">
        <v>79</v>
      </c>
      <c r="D3" s="133"/>
      <c r="E3" s="133"/>
      <c r="F3" s="133"/>
      <c r="G3" s="134"/>
      <c r="H3" s="135" t="s">
        <v>4</v>
      </c>
      <c r="I3" s="115">
        <v>45608</v>
      </c>
    </row>
    <row r="4" spans="1:9" ht="18" x14ac:dyDescent="0.25">
      <c r="A4" s="126"/>
      <c r="B4" s="127"/>
      <c r="C4" s="9" t="s">
        <v>5</v>
      </c>
      <c r="D4" s="118" t="s">
        <v>82</v>
      </c>
      <c r="E4" s="119"/>
      <c r="F4" s="119"/>
      <c r="G4" s="120"/>
      <c r="H4" s="136"/>
      <c r="I4" s="116"/>
    </row>
    <row r="5" spans="1:9" ht="18.75" thickBot="1" x14ac:dyDescent="0.3">
      <c r="A5" s="128"/>
      <c r="B5" s="129"/>
      <c r="C5" s="10" t="s">
        <v>6</v>
      </c>
      <c r="D5" s="121" t="s">
        <v>83</v>
      </c>
      <c r="E5" s="122"/>
      <c r="F5" s="122"/>
      <c r="G5" s="123"/>
      <c r="H5" s="137"/>
      <c r="I5" s="117"/>
    </row>
    <row r="6" spans="1:9" ht="18.75" thickBot="1" x14ac:dyDescent="0.3">
      <c r="A6" s="106" t="s">
        <v>7</v>
      </c>
      <c r="B6" s="106"/>
      <c r="C6" s="106"/>
      <c r="D6" s="107" t="s">
        <v>8</v>
      </c>
      <c r="E6" s="107"/>
      <c r="F6" s="107"/>
      <c r="G6" s="108" t="s">
        <v>9</v>
      </c>
      <c r="H6" s="108"/>
      <c r="I6" s="11" t="s">
        <v>10</v>
      </c>
    </row>
    <row r="7" spans="1:9" ht="36" x14ac:dyDescent="0.2">
      <c r="A7" s="109" t="s">
        <v>11</v>
      </c>
      <c r="B7" s="111" t="s">
        <v>84</v>
      </c>
      <c r="C7" s="113" t="s">
        <v>12</v>
      </c>
      <c r="D7" s="113" t="s">
        <v>13</v>
      </c>
      <c r="E7" s="113" t="s">
        <v>14</v>
      </c>
      <c r="F7" s="113"/>
      <c r="G7" s="113" t="s">
        <v>15</v>
      </c>
      <c r="H7" s="113"/>
      <c r="I7" s="12" t="s">
        <v>16</v>
      </c>
    </row>
    <row r="8" spans="1:9" ht="36.75" thickBot="1" x14ac:dyDescent="0.3">
      <c r="A8" s="110"/>
      <c r="B8" s="112"/>
      <c r="C8" s="114"/>
      <c r="D8" s="114"/>
      <c r="E8" s="13" t="s">
        <v>17</v>
      </c>
      <c r="F8" s="14" t="s">
        <v>18</v>
      </c>
      <c r="G8" s="13" t="s">
        <v>17</v>
      </c>
      <c r="H8" s="14" t="s">
        <v>18</v>
      </c>
      <c r="I8" s="15" t="s">
        <v>19</v>
      </c>
    </row>
    <row r="9" spans="1:9" ht="20.25" x14ac:dyDescent="0.3">
      <c r="A9" s="16"/>
      <c r="B9" s="17"/>
      <c r="C9" s="18" t="s">
        <v>85</v>
      </c>
      <c r="D9" s="19"/>
      <c r="E9" s="20"/>
      <c r="F9" s="21"/>
      <c r="G9" s="20"/>
      <c r="H9" s="21"/>
      <c r="I9" s="22"/>
    </row>
    <row r="10" spans="1:9" ht="20.25" x14ac:dyDescent="0.3">
      <c r="A10" s="23" t="s">
        <v>20</v>
      </c>
      <c r="B10" s="23" t="s">
        <v>65</v>
      </c>
      <c r="C10" s="24" t="s">
        <v>21</v>
      </c>
      <c r="D10" s="23" t="s">
        <v>22</v>
      </c>
      <c r="E10" s="25">
        <v>580</v>
      </c>
      <c r="F10" s="23" t="s">
        <v>23</v>
      </c>
      <c r="G10" s="20"/>
      <c r="H10" s="21"/>
      <c r="I10" s="22"/>
    </row>
    <row r="11" spans="1:9" ht="20.25" x14ac:dyDescent="0.3">
      <c r="A11" s="26" t="s">
        <v>24</v>
      </c>
      <c r="B11" s="26" t="s">
        <v>66</v>
      </c>
      <c r="C11" s="27" t="s">
        <v>25</v>
      </c>
      <c r="D11" s="26" t="s">
        <v>26</v>
      </c>
      <c r="E11" s="28">
        <v>580</v>
      </c>
      <c r="F11" s="26" t="s">
        <v>23</v>
      </c>
      <c r="G11" s="20"/>
      <c r="H11" s="21"/>
      <c r="I11" s="22"/>
    </row>
    <row r="12" spans="1:9" ht="20.25" x14ac:dyDescent="0.3">
      <c r="A12" s="26" t="s">
        <v>27</v>
      </c>
      <c r="B12" s="26" t="s">
        <v>67</v>
      </c>
      <c r="C12" s="27" t="s">
        <v>28</v>
      </c>
      <c r="D12" s="26" t="s">
        <v>29</v>
      </c>
      <c r="E12" s="28">
        <v>5000</v>
      </c>
      <c r="F12" s="26" t="s">
        <v>23</v>
      </c>
      <c r="G12" s="20"/>
      <c r="H12" s="21"/>
      <c r="I12" s="22"/>
    </row>
    <row r="13" spans="1:9" ht="20.25" x14ac:dyDescent="0.3">
      <c r="A13" s="29" t="s">
        <v>30</v>
      </c>
      <c r="B13" s="29" t="s">
        <v>75</v>
      </c>
      <c r="C13" s="27" t="s">
        <v>80</v>
      </c>
      <c r="D13" s="26" t="s">
        <v>29</v>
      </c>
      <c r="E13" s="28">
        <v>250</v>
      </c>
      <c r="F13" s="26" t="s">
        <v>23</v>
      </c>
      <c r="G13" s="20"/>
      <c r="H13" s="21"/>
      <c r="I13" s="22"/>
    </row>
    <row r="14" spans="1:9" ht="20.25" x14ac:dyDescent="0.3">
      <c r="A14" s="26" t="s">
        <v>31</v>
      </c>
      <c r="B14" s="26" t="s">
        <v>68</v>
      </c>
      <c r="C14" s="27" t="s">
        <v>32</v>
      </c>
      <c r="D14" s="30" t="s">
        <v>29</v>
      </c>
      <c r="E14" s="28">
        <v>1000</v>
      </c>
      <c r="F14" s="31" t="s">
        <v>23</v>
      </c>
      <c r="G14" s="20"/>
      <c r="H14" s="21"/>
      <c r="I14" s="22"/>
    </row>
    <row r="15" spans="1:9" ht="20.25" x14ac:dyDescent="0.3">
      <c r="A15" s="26" t="s">
        <v>33</v>
      </c>
      <c r="B15" s="26" t="s">
        <v>69</v>
      </c>
      <c r="C15" s="27" t="s">
        <v>34</v>
      </c>
      <c r="D15" s="30" t="s">
        <v>29</v>
      </c>
      <c r="E15" s="28">
        <v>2000</v>
      </c>
      <c r="F15" s="31" t="s">
        <v>23</v>
      </c>
      <c r="G15" s="20"/>
      <c r="H15" s="21"/>
      <c r="I15" s="22"/>
    </row>
    <row r="16" spans="1:9" ht="20.25" x14ac:dyDescent="0.3">
      <c r="A16" s="26">
        <v>90100142</v>
      </c>
      <c r="B16" s="26" t="s">
        <v>70</v>
      </c>
      <c r="C16" s="27" t="s">
        <v>60</v>
      </c>
      <c r="D16" s="26" t="s">
        <v>35</v>
      </c>
      <c r="E16" s="28">
        <v>160</v>
      </c>
      <c r="F16" s="26" t="s">
        <v>23</v>
      </c>
      <c r="G16" s="20"/>
      <c r="H16" s="21"/>
      <c r="I16" s="22"/>
    </row>
    <row r="17" spans="1:9" ht="20.25" x14ac:dyDescent="0.3">
      <c r="A17" s="26" t="s">
        <v>36</v>
      </c>
      <c r="B17" s="26" t="s">
        <v>71</v>
      </c>
      <c r="C17" s="27" t="s">
        <v>37</v>
      </c>
      <c r="D17" s="26" t="s">
        <v>38</v>
      </c>
      <c r="E17" s="28">
        <v>30</v>
      </c>
      <c r="F17" s="26" t="s">
        <v>23</v>
      </c>
      <c r="G17" s="20"/>
      <c r="H17" s="21"/>
      <c r="I17" s="22"/>
    </row>
    <row r="18" spans="1:9" ht="20.25" x14ac:dyDescent="0.3">
      <c r="A18" s="26">
        <v>95299</v>
      </c>
      <c r="B18" s="26" t="s">
        <v>72</v>
      </c>
      <c r="C18" s="27" t="s">
        <v>39</v>
      </c>
      <c r="D18" s="30" t="s">
        <v>35</v>
      </c>
      <c r="E18" s="28">
        <v>8300</v>
      </c>
      <c r="F18" s="31" t="s">
        <v>23</v>
      </c>
      <c r="G18" s="20"/>
      <c r="H18" s="21"/>
      <c r="I18" s="22"/>
    </row>
    <row r="19" spans="1:9" ht="20.25" x14ac:dyDescent="0.3">
      <c r="A19" s="26" t="s">
        <v>40</v>
      </c>
      <c r="B19" s="26" t="s">
        <v>73</v>
      </c>
      <c r="C19" s="27" t="s">
        <v>41</v>
      </c>
      <c r="D19" s="26" t="s">
        <v>42</v>
      </c>
      <c r="E19" s="28">
        <f>600+100</f>
        <v>700</v>
      </c>
      <c r="F19" s="26" t="s">
        <v>23</v>
      </c>
      <c r="G19" s="20"/>
      <c r="H19" s="21"/>
      <c r="I19" s="22"/>
    </row>
    <row r="20" spans="1:9" ht="20.25" x14ac:dyDescent="0.3">
      <c r="A20" s="32" t="s">
        <v>77</v>
      </c>
      <c r="B20" s="33" t="s">
        <v>78</v>
      </c>
      <c r="C20" s="27" t="s">
        <v>92</v>
      </c>
      <c r="D20" s="30" t="s">
        <v>35</v>
      </c>
      <c r="E20" s="28">
        <v>15000</v>
      </c>
      <c r="F20" s="31" t="s">
        <v>23</v>
      </c>
      <c r="G20" s="20"/>
      <c r="H20" s="21"/>
      <c r="I20" s="22"/>
    </row>
    <row r="21" spans="1:9" ht="20.25" x14ac:dyDescent="0.3">
      <c r="A21" s="32" t="s">
        <v>43</v>
      </c>
      <c r="B21" s="32" t="s">
        <v>74</v>
      </c>
      <c r="C21" s="27" t="s">
        <v>44</v>
      </c>
      <c r="D21" s="27" t="s">
        <v>45</v>
      </c>
      <c r="E21" s="28">
        <v>800</v>
      </c>
      <c r="F21" s="26" t="s">
        <v>23</v>
      </c>
      <c r="G21" s="20"/>
      <c r="H21" s="21"/>
      <c r="I21" s="22"/>
    </row>
    <row r="22" spans="1:9" ht="20.25" x14ac:dyDescent="0.3">
      <c r="A22" s="26"/>
      <c r="B22" s="26"/>
      <c r="C22" s="34"/>
      <c r="D22" s="35"/>
      <c r="E22" s="36"/>
      <c r="F22" s="37"/>
      <c r="G22" s="20"/>
      <c r="H22" s="21"/>
      <c r="I22" s="22"/>
    </row>
    <row r="23" spans="1:9" ht="20.25" x14ac:dyDescent="0.3">
      <c r="A23" s="26"/>
      <c r="B23" s="26"/>
      <c r="C23" s="34"/>
      <c r="D23" s="35"/>
      <c r="E23" s="35"/>
      <c r="F23" s="37"/>
      <c r="G23" s="20"/>
      <c r="H23" s="21"/>
      <c r="I23" s="22"/>
    </row>
    <row r="24" spans="1:9" ht="20.25" x14ac:dyDescent="0.3">
      <c r="A24" s="38"/>
      <c r="B24" s="39"/>
      <c r="C24" s="40" t="s">
        <v>86</v>
      </c>
      <c r="D24" s="36"/>
      <c r="E24" s="41"/>
      <c r="F24" s="37"/>
      <c r="G24" s="20"/>
      <c r="H24" s="21"/>
      <c r="I24" s="22"/>
    </row>
    <row r="25" spans="1:9" ht="20.25" x14ac:dyDescent="0.3">
      <c r="A25" s="44"/>
      <c r="B25" s="44"/>
      <c r="C25" s="42"/>
      <c r="D25" s="43"/>
      <c r="E25" s="35"/>
      <c r="F25" s="37"/>
      <c r="G25" s="20"/>
      <c r="H25" s="21"/>
      <c r="I25" s="22"/>
    </row>
    <row r="26" spans="1:9" ht="20.25" x14ac:dyDescent="0.3">
      <c r="A26" s="26"/>
      <c r="B26" s="26"/>
      <c r="C26" s="34"/>
      <c r="D26" s="35"/>
      <c r="E26" s="36"/>
      <c r="F26" s="37"/>
      <c r="G26" s="20"/>
      <c r="H26" s="21"/>
      <c r="I26" s="22"/>
    </row>
    <row r="27" spans="1:9" ht="20.25" x14ac:dyDescent="0.3">
      <c r="A27" s="26"/>
      <c r="B27" s="26"/>
      <c r="C27" s="34"/>
      <c r="D27" s="30"/>
      <c r="E27" s="45"/>
      <c r="F27" s="46"/>
      <c r="G27" s="20"/>
      <c r="H27" s="21"/>
      <c r="I27" s="22"/>
    </row>
    <row r="28" spans="1:9" ht="20.25" x14ac:dyDescent="0.3">
      <c r="A28" s="47"/>
      <c r="B28" s="48"/>
      <c r="C28" s="49" t="s">
        <v>10</v>
      </c>
      <c r="D28" s="50"/>
      <c r="E28" s="20"/>
      <c r="F28" s="21"/>
      <c r="G28" s="20"/>
      <c r="H28" s="21"/>
      <c r="I28" s="22"/>
    </row>
    <row r="29" spans="1:9" ht="20.25" x14ac:dyDescent="0.3">
      <c r="A29" s="29" t="s">
        <v>46</v>
      </c>
      <c r="B29" s="32" t="s">
        <v>76</v>
      </c>
      <c r="C29" s="51" t="s">
        <v>47</v>
      </c>
      <c r="D29" s="30" t="s">
        <v>22</v>
      </c>
      <c r="E29" s="28">
        <v>560</v>
      </c>
      <c r="F29" s="31" t="s">
        <v>48</v>
      </c>
      <c r="G29" s="20"/>
      <c r="H29" s="21"/>
      <c r="I29" s="22"/>
    </row>
    <row r="30" spans="1:9" ht="20.25" x14ac:dyDescent="0.3">
      <c r="A30" s="38"/>
      <c r="B30" s="39"/>
      <c r="C30" s="52"/>
      <c r="D30" s="36"/>
      <c r="E30" s="35"/>
      <c r="F30" s="37"/>
      <c r="G30" s="20"/>
      <c r="H30" s="21"/>
      <c r="I30" s="22"/>
    </row>
    <row r="31" spans="1:9" ht="20.25" x14ac:dyDescent="0.3">
      <c r="A31" s="38"/>
      <c r="B31" s="39"/>
      <c r="C31" s="52"/>
      <c r="D31" s="36"/>
      <c r="E31" s="35"/>
      <c r="F31" s="37"/>
      <c r="G31" s="20"/>
      <c r="H31" s="21"/>
      <c r="I31" s="22"/>
    </row>
    <row r="32" spans="1:9" ht="20.25" x14ac:dyDescent="0.3">
      <c r="A32" s="38"/>
      <c r="B32" s="39"/>
      <c r="C32" s="52"/>
      <c r="D32" s="36"/>
      <c r="E32" s="36"/>
      <c r="F32" s="37"/>
      <c r="G32" s="36"/>
      <c r="H32" s="36"/>
      <c r="I32" s="22"/>
    </row>
    <row r="33" spans="1:13" ht="21" thickBot="1" x14ac:dyDescent="0.35">
      <c r="A33" s="53"/>
      <c r="B33" s="54"/>
      <c r="C33" s="55"/>
      <c r="D33" s="55"/>
      <c r="E33" s="56"/>
      <c r="F33" s="57"/>
      <c r="G33" s="55"/>
      <c r="H33" s="55"/>
      <c r="I33" s="58"/>
      <c r="J33" s="2"/>
      <c r="K33" s="2"/>
      <c r="L33" s="3"/>
      <c r="M33" s="2"/>
    </row>
    <row r="34" spans="1:13" ht="21" thickBot="1" x14ac:dyDescent="0.35">
      <c r="A34" s="59"/>
      <c r="B34" s="60"/>
      <c r="C34" s="61"/>
      <c r="D34" s="62" t="s">
        <v>17</v>
      </c>
      <c r="E34" s="63" t="s">
        <v>49</v>
      </c>
      <c r="F34" s="64"/>
      <c r="G34" s="61"/>
      <c r="H34" s="61"/>
      <c r="I34" s="65"/>
      <c r="J34" s="2"/>
      <c r="K34" s="2"/>
      <c r="L34" s="3"/>
      <c r="M34" s="2"/>
    </row>
    <row r="35" spans="1:13" ht="20.25" x14ac:dyDescent="0.3">
      <c r="A35" s="100" t="s">
        <v>50</v>
      </c>
      <c r="B35" s="101"/>
      <c r="C35" s="102"/>
      <c r="D35" s="66">
        <v>28900</v>
      </c>
      <c r="E35" s="67" t="s">
        <v>23</v>
      </c>
      <c r="F35" s="103" t="s">
        <v>87</v>
      </c>
      <c r="G35" s="103"/>
      <c r="H35" s="104"/>
      <c r="I35" s="105"/>
      <c r="J35" s="2"/>
      <c r="K35" s="2"/>
      <c r="L35" s="3"/>
      <c r="M35" s="2"/>
    </row>
    <row r="36" spans="1:13" ht="20.25" x14ac:dyDescent="0.3">
      <c r="A36" s="79" t="s">
        <v>51</v>
      </c>
      <c r="B36" s="80"/>
      <c r="C36" s="81"/>
      <c r="D36" s="68">
        <v>40</v>
      </c>
      <c r="E36" s="36" t="s">
        <v>52</v>
      </c>
      <c r="F36" s="82" t="s">
        <v>88</v>
      </c>
      <c r="G36" s="82"/>
      <c r="H36" s="83"/>
      <c r="I36" s="84"/>
      <c r="J36" s="2"/>
      <c r="K36" s="2"/>
      <c r="L36" s="3"/>
      <c r="M36" s="2"/>
    </row>
    <row r="37" spans="1:13" ht="20.25" x14ac:dyDescent="0.3">
      <c r="A37" s="79" t="s">
        <v>53</v>
      </c>
      <c r="B37" s="80"/>
      <c r="C37" s="81"/>
      <c r="D37" s="36">
        <v>72.25</v>
      </c>
      <c r="E37" s="36" t="s">
        <v>54</v>
      </c>
      <c r="F37" s="82" t="s">
        <v>89</v>
      </c>
      <c r="G37" s="82"/>
      <c r="H37" s="83"/>
      <c r="I37" s="84"/>
      <c r="J37" s="2"/>
      <c r="K37" s="2"/>
      <c r="L37" s="3"/>
      <c r="M37" s="2"/>
    </row>
    <row r="38" spans="1:13" ht="20.25" x14ac:dyDescent="0.3">
      <c r="A38" s="79" t="s">
        <v>55</v>
      </c>
      <c r="B38" s="80"/>
      <c r="C38" s="81"/>
      <c r="D38" s="35">
        <v>400</v>
      </c>
      <c r="E38" s="36" t="s">
        <v>23</v>
      </c>
      <c r="F38" s="85" t="s">
        <v>90</v>
      </c>
      <c r="G38" s="86"/>
      <c r="H38" s="83"/>
      <c r="I38" s="84"/>
      <c r="J38" s="2"/>
      <c r="K38" s="2"/>
      <c r="L38" s="3"/>
      <c r="M38" s="4"/>
    </row>
    <row r="39" spans="1:13" ht="21" thickBot="1" x14ac:dyDescent="0.35">
      <c r="A39" s="87" t="s">
        <v>56</v>
      </c>
      <c r="B39" s="88"/>
      <c r="C39" s="89"/>
      <c r="D39" s="69">
        <f>SUM(E10:E21)-D35</f>
        <v>5500</v>
      </c>
      <c r="E39" s="70" t="s">
        <v>23</v>
      </c>
      <c r="F39" s="90"/>
      <c r="G39" s="90"/>
      <c r="H39" s="91"/>
      <c r="I39" s="92"/>
      <c r="J39" s="1"/>
      <c r="K39" s="1"/>
      <c r="L39" s="3"/>
      <c r="M39" s="1"/>
    </row>
    <row r="40" spans="1:13" ht="21" thickBot="1" x14ac:dyDescent="0.35">
      <c r="A40" s="93" t="s">
        <v>57</v>
      </c>
      <c r="B40" s="94"/>
      <c r="C40" s="94"/>
      <c r="D40" s="94"/>
      <c r="E40" s="94"/>
      <c r="F40" s="94"/>
      <c r="G40" s="94"/>
      <c r="H40" s="94"/>
      <c r="I40" s="95"/>
      <c r="J40" s="2"/>
      <c r="K40" s="2"/>
      <c r="L40" s="2"/>
      <c r="M40" s="2"/>
    </row>
    <row r="41" spans="1:13" ht="20.25" x14ac:dyDescent="0.3">
      <c r="A41" s="96" t="s">
        <v>58</v>
      </c>
      <c r="B41" s="97"/>
      <c r="C41" s="98"/>
      <c r="D41" s="98"/>
      <c r="E41" s="98"/>
      <c r="F41" s="98"/>
      <c r="G41" s="98"/>
      <c r="H41" s="98"/>
      <c r="I41" s="99"/>
      <c r="J41" s="2"/>
      <c r="K41" s="2"/>
      <c r="L41" s="2"/>
      <c r="M41" s="2"/>
    </row>
    <row r="42" spans="1:13" ht="20.25" x14ac:dyDescent="0.3">
      <c r="A42" s="75" t="s">
        <v>59</v>
      </c>
      <c r="B42" s="76"/>
      <c r="C42" s="77"/>
      <c r="D42" s="77"/>
      <c r="E42" s="77"/>
      <c r="F42" s="77"/>
      <c r="G42" s="77"/>
      <c r="H42" s="77"/>
      <c r="I42" s="78"/>
      <c r="J42" s="2"/>
      <c r="K42" s="2"/>
      <c r="L42" s="2"/>
      <c r="M42" s="2"/>
    </row>
    <row r="43" spans="1:13" ht="43.5" customHeight="1" x14ac:dyDescent="0.3">
      <c r="A43" s="71" t="s">
        <v>61</v>
      </c>
      <c r="B43" s="72"/>
      <c r="C43" s="73"/>
      <c r="D43" s="73"/>
      <c r="E43" s="73"/>
      <c r="F43" s="73"/>
      <c r="G43" s="73"/>
      <c r="H43" s="73"/>
      <c r="I43" s="74"/>
      <c r="J43" s="2"/>
      <c r="K43" s="2"/>
      <c r="L43" s="2"/>
      <c r="M43" s="2"/>
    </row>
    <row r="44" spans="1:13" ht="20.25" x14ac:dyDescent="0.3">
      <c r="A44" s="75" t="s">
        <v>62</v>
      </c>
      <c r="B44" s="76"/>
      <c r="C44" s="77"/>
      <c r="D44" s="77"/>
      <c r="E44" s="77"/>
      <c r="F44" s="77"/>
      <c r="G44" s="77"/>
      <c r="H44" s="77"/>
      <c r="I44" s="78"/>
      <c r="J44" s="2"/>
      <c r="K44" s="2"/>
      <c r="L44" s="2"/>
      <c r="M44" s="2"/>
    </row>
    <row r="45" spans="1:13" ht="20.25" x14ac:dyDescent="0.3">
      <c r="A45" s="75" t="s">
        <v>63</v>
      </c>
      <c r="B45" s="76"/>
      <c r="C45" s="77"/>
      <c r="D45" s="77"/>
      <c r="E45" s="77"/>
      <c r="F45" s="77"/>
      <c r="G45" s="77"/>
      <c r="H45" s="77"/>
      <c r="I45" s="78"/>
      <c r="J45" s="2"/>
      <c r="K45" s="2"/>
      <c r="L45" s="2"/>
      <c r="M45" s="2"/>
    </row>
    <row r="46" spans="1:13" ht="20.25" x14ac:dyDescent="0.3">
      <c r="A46" s="138" t="s">
        <v>64</v>
      </c>
      <c r="B46" s="139"/>
      <c r="C46" s="140"/>
      <c r="D46" s="140"/>
      <c r="E46" s="140"/>
      <c r="F46" s="140"/>
      <c r="G46" s="140"/>
      <c r="H46" s="140"/>
      <c r="I46" s="141"/>
      <c r="J46" s="2"/>
      <c r="K46" s="2"/>
      <c r="L46" s="2"/>
      <c r="M46" s="2"/>
    </row>
    <row r="47" spans="1:13" ht="20.25" x14ac:dyDescent="0.3">
      <c r="A47" s="142" t="s">
        <v>91</v>
      </c>
      <c r="B47" s="142"/>
      <c r="C47" s="142"/>
      <c r="D47" s="142"/>
      <c r="E47" s="142"/>
      <c r="F47" s="142"/>
      <c r="G47" s="142"/>
      <c r="H47" s="142"/>
      <c r="I47" s="142"/>
      <c r="J47" s="2"/>
      <c r="K47" s="2"/>
      <c r="L47" s="2"/>
      <c r="M47" s="2"/>
    </row>
    <row r="48" spans="1:13" ht="20.25" x14ac:dyDescent="0.3">
      <c r="A48" s="143" t="s">
        <v>93</v>
      </c>
      <c r="B48" s="143"/>
      <c r="C48" s="143"/>
      <c r="D48" s="143"/>
      <c r="E48" s="143"/>
      <c r="F48" s="143"/>
      <c r="G48" s="143"/>
      <c r="H48" s="143"/>
      <c r="I48" s="143"/>
      <c r="J48" s="2"/>
      <c r="K48" s="2"/>
      <c r="L48" s="2"/>
      <c r="M48" s="2"/>
    </row>
    <row r="49" spans="1:9" ht="20.25" x14ac:dyDescent="0.3">
      <c r="A49" s="143"/>
      <c r="B49" s="143"/>
      <c r="C49" s="143"/>
      <c r="D49" s="143"/>
      <c r="E49" s="143"/>
      <c r="F49" s="143"/>
      <c r="G49" s="143"/>
      <c r="H49" s="143"/>
      <c r="I49" s="143"/>
    </row>
  </sheetData>
  <mergeCells count="42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5:C35"/>
    <mergeCell ref="F35:G35"/>
    <mergeCell ref="H35:I35"/>
    <mergeCell ref="A36:C36"/>
    <mergeCell ref="F36:G36"/>
    <mergeCell ref="H36:I36"/>
    <mergeCell ref="A42:I42"/>
    <mergeCell ref="A37:C37"/>
    <mergeCell ref="F37:G37"/>
    <mergeCell ref="H37:I37"/>
    <mergeCell ref="A38:C38"/>
    <mergeCell ref="F38:G38"/>
    <mergeCell ref="H38:I38"/>
    <mergeCell ref="A39:C39"/>
    <mergeCell ref="F39:G39"/>
    <mergeCell ref="H39:I39"/>
    <mergeCell ref="A40:I40"/>
    <mergeCell ref="A41:I41"/>
    <mergeCell ref="A49:I49"/>
    <mergeCell ref="A43:I43"/>
    <mergeCell ref="A44:I44"/>
    <mergeCell ref="A45:I45"/>
    <mergeCell ref="A46:I46"/>
    <mergeCell ref="A47:I47"/>
    <mergeCell ref="A48:I48"/>
  </mergeCells>
  <hyperlinks>
    <hyperlink ref="C18" r:id="rId1" xr:uid="{4DEF9668-31AC-4174-8A97-1850104CF46A}"/>
  </hyperlinks>
  <printOptions horizontalCentered="1" verticalCentered="1"/>
  <pageMargins left="0.25" right="0.25" top="0.75" bottom="0.75" header="0.3" footer="0.3"/>
  <pageSetup scale="52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A5D9EB7F-B00F-4D42-AC43-A485EECCA6DB}"/>
</file>

<file path=customXml/itemProps2.xml><?xml version="1.0" encoding="utf-8"?>
<ds:datastoreItem xmlns:ds="http://schemas.openxmlformats.org/officeDocument/2006/customXml" ds:itemID="{32809607-7543-442F-8AEF-BAD338A119AB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88A443A7-FC3F-4FFB-AE54-A2B608662FA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666759C-DB9C-44E9-ACCF-11532BD75B9B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Manager/>
  <Company>Servcios de Pasteleria S.A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Spoon</dc:creator>
  <cp:keywords/>
  <dc:description/>
  <cp:lastModifiedBy>Allan Brenes</cp:lastModifiedBy>
  <cp:revision/>
  <cp:lastPrinted>2026-01-28T17:53:19Z</cp:lastPrinted>
  <dcterms:created xsi:type="dcterms:W3CDTF">2003-03-11T22:35:36Z</dcterms:created>
  <dcterms:modified xsi:type="dcterms:W3CDTF">2026-01-28T17:53:59Z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r8>96400</vt:r8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
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13" documentId="8_{CB6456EC-18AA-4AA9-A03E-F475BB069A2A}" xr6:coauthVersionLast="47" xr6:coauthVersionMax="47" xr10:uidLastSave="{81CDC172-C316-4D7C-B47C-90C5FD1718E3}"/>
  <bookViews>
    <workbookView xWindow="-120" yWindow="-120" windowWidth="20730" windowHeight="11040" tabRatio="736" firstSheet="14" activeTab="14" xr2:uid="{471DFEAE-BD9C-4F34-A121-17641169BD79}"/>
  </bookViews>
  <sheets>
    <sheet name="ROSQUETE 2200" sheetId="6" state="hidden" r:id="rId1"/>
    <sheet name="Costo Rosquete 2200 " sheetId="7" state="hidden" r:id="rId2"/>
    <sheet name="REC TORTA 60 1" sheetId="5" state="hidden" r:id="rId3"/>
    <sheet name="Costo ensamble " sheetId="8" state="hidden" r:id="rId4"/>
    <sheet name="Crema Blanca Spoon" sheetId="18" state="hidden" r:id="rId5"/>
    <sheet name="Crema Verde Oscuro electrica " sheetId="17" state="hidden" r:id="rId6"/>
    <sheet name="Crema Chantilly Blanca Bucca" sheetId="16" state="hidden" r:id="rId7"/>
    <sheet name="Crema dulce de leche " sheetId="15" state="hidden" r:id="rId8"/>
    <sheet name="Premezcla Easy Vainilla " sheetId="14" state="hidden" r:id="rId9"/>
    <sheet name="Batido Easy vainilla " sheetId="13" state="hidden" r:id="rId10"/>
    <sheet name="Costo Rosquete 2400" sheetId="10" state="hidden" r:id="rId11"/>
    <sheet name="Ensamble 2" sheetId="11" state="hidden" r:id="rId12"/>
    <sheet name="Ensamble 3" sheetId="19" state="hidden" r:id="rId13"/>
    <sheet name="Ensamble 4" sheetId="20" state="hidden" r:id="rId14"/>
    <sheet name="Ensamble 5" sheetId="21" r:id="rId15"/>
    <sheet name="Costo ensamble 2" sheetId="12" state="hidden" r:id="rId16"/>
  </sheets>
  <externalReferences>
    <externalReference r:id="rId17"/>
    <externalReference r:id="rId18"/>
    <externalReference r:id="rId19"/>
    <externalReference r:id="rId20"/>
  </externalReferences>
  <definedNames>
    <definedName name="_xlnm.Print_Area" localSheetId="14">'Ensamble 5'!$A$1:$I$47</definedName>
    <definedName name="_xlnm.Print_Area" localSheetId="2">'REC TORTA 60 1'!$B$1:$J$42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1" l="1"/>
  <c r="D34" i="21" s="1"/>
  <c r="B20" i="12"/>
  <c r="E29" i="18" l="1"/>
  <c r="E32" i="18"/>
  <c r="E17" i="17"/>
  <c r="E16" i="17"/>
  <c r="D21" i="16"/>
  <c r="D20" i="16"/>
  <c r="D19" i="15"/>
  <c r="D28" i="14"/>
  <c r="D22" i="13"/>
  <c r="D77" i="12"/>
  <c r="D79" i="12"/>
  <c r="D76" i="12"/>
  <c r="D74" i="12"/>
  <c r="D72" i="12"/>
  <c r="F68" i="12"/>
  <c r="C76" i="12"/>
  <c r="D63" i="12"/>
  <c r="D88" i="12"/>
  <c r="D89" i="12"/>
  <c r="E54" i="12"/>
  <c r="C54" i="12"/>
  <c r="F54" i="12"/>
  <c r="E53" i="12"/>
  <c r="F53" i="12" s="1"/>
  <c r="D53" i="12"/>
  <c r="B53" i="12"/>
  <c r="E52" i="12"/>
  <c r="D52" i="12"/>
  <c r="B52" i="12"/>
  <c r="D51" i="12"/>
  <c r="D50" i="12"/>
  <c r="B50" i="12"/>
  <c r="E49" i="12"/>
  <c r="D49" i="12"/>
  <c r="E44" i="12"/>
  <c r="F44" i="12" s="1"/>
  <c r="D44" i="12"/>
  <c r="C44" i="12"/>
  <c r="B44" i="12"/>
  <c r="A44" i="12"/>
  <c r="A53" i="12"/>
  <c r="C53" i="12"/>
  <c r="E43" i="12"/>
  <c r="F43" i="12" s="1"/>
  <c r="D43" i="12"/>
  <c r="B43" i="12"/>
  <c r="A43" i="12"/>
  <c r="C43" i="12"/>
  <c r="A42" i="12"/>
  <c r="A51" i="12" s="1"/>
  <c r="C51" i="12" s="1"/>
  <c r="F51" i="12" s="1"/>
  <c r="E41" i="12"/>
  <c r="F41" i="12"/>
  <c r="D41" i="12"/>
  <c r="B41" i="12"/>
  <c r="A41" i="12"/>
  <c r="C41" i="12"/>
  <c r="R40" i="12"/>
  <c r="E40" i="12"/>
  <c r="A40" i="12"/>
  <c r="A49" i="12"/>
  <c r="C49" i="12"/>
  <c r="A39" i="12"/>
  <c r="C39" i="12" s="1"/>
  <c r="F39" i="12" s="1"/>
  <c r="A38" i="12"/>
  <c r="C38" i="12"/>
  <c r="F38" i="12"/>
  <c r="E35" i="12"/>
  <c r="F35" i="12" s="1"/>
  <c r="D35" i="12"/>
  <c r="C35" i="12"/>
  <c r="B35" i="12"/>
  <c r="E34" i="12"/>
  <c r="F34" i="12" s="1"/>
  <c r="D34" i="12"/>
  <c r="C34" i="12"/>
  <c r="B34" i="12"/>
  <c r="E33" i="12"/>
  <c r="F33" i="12" s="1"/>
  <c r="D33" i="12"/>
  <c r="C33" i="12"/>
  <c r="B33" i="12"/>
  <c r="E32" i="12"/>
  <c r="F32" i="12" s="1"/>
  <c r="C32" i="12"/>
  <c r="E31" i="12"/>
  <c r="F31" i="12" s="1"/>
  <c r="D31" i="12"/>
  <c r="C31" i="12"/>
  <c r="B31" i="12"/>
  <c r="E30" i="12"/>
  <c r="F30" i="12"/>
  <c r="D30" i="12"/>
  <c r="C30" i="12"/>
  <c r="B30" i="12"/>
  <c r="E29" i="12"/>
  <c r="F29" i="12" s="1"/>
  <c r="D29" i="12"/>
  <c r="C29" i="12"/>
  <c r="B29" i="12"/>
  <c r="D28" i="12"/>
  <c r="C28" i="12"/>
  <c r="F28" i="12"/>
  <c r="B28" i="12"/>
  <c r="F27" i="12"/>
  <c r="D27" i="12"/>
  <c r="C27" i="12"/>
  <c r="B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C21" i="12"/>
  <c r="F21" i="12" s="1"/>
  <c r="D20" i="12"/>
  <c r="C20" i="12"/>
  <c r="F20" i="12"/>
  <c r="E19" i="12"/>
  <c r="C19" i="12"/>
  <c r="F19" i="12" s="1"/>
  <c r="C18" i="12"/>
  <c r="F18" i="12" s="1"/>
  <c r="C17" i="12"/>
  <c r="B15" i="12"/>
  <c r="E14" i="12"/>
  <c r="D14" i="12"/>
  <c r="C14" i="12"/>
  <c r="B14" i="12"/>
  <c r="E13" i="12"/>
  <c r="F13" i="12" s="1"/>
  <c r="D13" i="12"/>
  <c r="C13" i="12"/>
  <c r="B13" i="12"/>
  <c r="E12" i="12"/>
  <c r="D12" i="12"/>
  <c r="C12" i="12"/>
  <c r="B12" i="12"/>
  <c r="E11" i="12"/>
  <c r="D11" i="12"/>
  <c r="C11" i="12"/>
  <c r="B11" i="12"/>
  <c r="E10" i="12"/>
  <c r="F10" i="12" s="1"/>
  <c r="D10" i="12"/>
  <c r="C10" i="12"/>
  <c r="B10" i="12"/>
  <c r="E9" i="12"/>
  <c r="F9" i="12" s="1"/>
  <c r="D9" i="12"/>
  <c r="C9" i="12"/>
  <c r="B9" i="12"/>
  <c r="C8" i="12"/>
  <c r="F8" i="12" s="1"/>
  <c r="H6" i="12"/>
  <c r="D73" i="10"/>
  <c r="D74" i="10"/>
  <c r="D76" i="10"/>
  <c r="D71" i="10"/>
  <c r="D69" i="10"/>
  <c r="F65" i="10"/>
  <c r="E51" i="10"/>
  <c r="F51" i="10"/>
  <c r="D60" i="10"/>
  <c r="D85" i="10"/>
  <c r="D86" i="10" s="1"/>
  <c r="C51" i="10"/>
  <c r="E50" i="10"/>
  <c r="F50" i="10" s="1"/>
  <c r="D50" i="10"/>
  <c r="B50" i="10"/>
  <c r="E49" i="10"/>
  <c r="F49" i="10" s="1"/>
  <c r="D49" i="10"/>
  <c r="B49" i="10"/>
  <c r="A49" i="10"/>
  <c r="C49" i="10"/>
  <c r="E48" i="10"/>
  <c r="F48" i="10" s="1"/>
  <c r="D48" i="10"/>
  <c r="B48" i="10"/>
  <c r="A48" i="10"/>
  <c r="C48" i="10"/>
  <c r="E47" i="10"/>
  <c r="F47" i="10"/>
  <c r="D47" i="10"/>
  <c r="B47" i="10"/>
  <c r="E46" i="10"/>
  <c r="F46" i="10" s="1"/>
  <c r="D46" i="10"/>
  <c r="B46" i="10"/>
  <c r="E45" i="10"/>
  <c r="D45" i="10"/>
  <c r="B45" i="10"/>
  <c r="A45" i="10"/>
  <c r="C45" i="10"/>
  <c r="C44" i="10"/>
  <c r="F44" i="10"/>
  <c r="A44" i="10"/>
  <c r="E41" i="10"/>
  <c r="F41" i="10" s="1"/>
  <c r="D41" i="10"/>
  <c r="B41" i="10"/>
  <c r="A41" i="10"/>
  <c r="A50" i="10"/>
  <c r="C50" i="10"/>
  <c r="E40" i="10"/>
  <c r="F40" i="10" s="1"/>
  <c r="D40" i="10"/>
  <c r="C40" i="10"/>
  <c r="B40" i="10"/>
  <c r="A40" i="10"/>
  <c r="E39" i="10"/>
  <c r="F39" i="10" s="1"/>
  <c r="D39" i="10"/>
  <c r="C39" i="10"/>
  <c r="B39" i="10"/>
  <c r="A39" i="10"/>
  <c r="E38" i="10"/>
  <c r="F38" i="10" s="1"/>
  <c r="D38" i="10"/>
  <c r="B38" i="10"/>
  <c r="A38" i="10"/>
  <c r="A47" i="10"/>
  <c r="C47" i="10"/>
  <c r="E37" i="10"/>
  <c r="F37" i="10" s="1"/>
  <c r="D37" i="10"/>
  <c r="B37" i="10"/>
  <c r="A37" i="10"/>
  <c r="A46" i="10"/>
  <c r="C46" i="10"/>
  <c r="E36" i="10"/>
  <c r="F36" i="10" s="1"/>
  <c r="D36" i="10"/>
  <c r="C36" i="10"/>
  <c r="B36" i="10"/>
  <c r="A36" i="10"/>
  <c r="F35" i="10"/>
  <c r="C35" i="10"/>
  <c r="A35" i="10"/>
  <c r="E32" i="10"/>
  <c r="F32" i="10" s="1"/>
  <c r="D32" i="10"/>
  <c r="C32" i="10"/>
  <c r="B32" i="10"/>
  <c r="E31" i="10"/>
  <c r="F31" i="10"/>
  <c r="D31" i="10"/>
  <c r="C31" i="10"/>
  <c r="B31" i="10"/>
  <c r="E30" i="10"/>
  <c r="F30" i="10" s="1"/>
  <c r="D30" i="10"/>
  <c r="C30" i="10"/>
  <c r="B30" i="10"/>
  <c r="E29" i="10"/>
  <c r="F29" i="10" s="1"/>
  <c r="D29" i="10"/>
  <c r="C29" i="10"/>
  <c r="B29" i="10"/>
  <c r="E28" i="10"/>
  <c r="F28" i="10" s="1"/>
  <c r="D28" i="10"/>
  <c r="C28" i="10"/>
  <c r="B28" i="10"/>
  <c r="E27" i="10"/>
  <c r="F27" i="10" s="1"/>
  <c r="D27" i="10"/>
  <c r="C27" i="10"/>
  <c r="B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F18" i="10"/>
  <c r="D18" i="10"/>
  <c r="C18" i="10"/>
  <c r="B18" i="10"/>
  <c r="F17" i="10"/>
  <c r="C17" i="10"/>
  <c r="B15" i="10"/>
  <c r="E14" i="10"/>
  <c r="F14" i="10"/>
  <c r="D14" i="10"/>
  <c r="C14" i="10"/>
  <c r="B14" i="10"/>
  <c r="E13" i="10"/>
  <c r="F13" i="10" s="1"/>
  <c r="D13" i="10"/>
  <c r="C13" i="10"/>
  <c r="B13" i="10"/>
  <c r="E12" i="10"/>
  <c r="F12" i="10" s="1"/>
  <c r="D12" i="10"/>
  <c r="C12" i="10"/>
  <c r="B12" i="10"/>
  <c r="E11" i="10"/>
  <c r="F11" i="10"/>
  <c r="D11" i="10"/>
  <c r="C11" i="10"/>
  <c r="B11" i="10"/>
  <c r="E10" i="10"/>
  <c r="F10" i="10"/>
  <c r="D10" i="10"/>
  <c r="C10" i="10"/>
  <c r="B10" i="10"/>
  <c r="E9" i="10"/>
  <c r="F9" i="10" s="1"/>
  <c r="D9" i="10"/>
  <c r="C9" i="10"/>
  <c r="B9" i="10"/>
  <c r="E8" i="10"/>
  <c r="F8" i="10"/>
  <c r="D8" i="10"/>
  <c r="C8" i="10"/>
  <c r="B8" i="10"/>
  <c r="H6" i="10"/>
  <c r="D76" i="8"/>
  <c r="D77" i="8"/>
  <c r="D79" i="8"/>
  <c r="D74" i="8"/>
  <c r="D72" i="8"/>
  <c r="F68" i="8"/>
  <c r="E54" i="8"/>
  <c r="F54" i="8"/>
  <c r="D63" i="8"/>
  <c r="D88" i="8"/>
  <c r="D89" i="8"/>
  <c r="C54" i="8"/>
  <c r="E53" i="8"/>
  <c r="F53" i="8"/>
  <c r="D53" i="8"/>
  <c r="B53" i="8"/>
  <c r="E52" i="8"/>
  <c r="F52" i="8" s="1"/>
  <c r="D52" i="8"/>
  <c r="B52" i="8"/>
  <c r="D51" i="8"/>
  <c r="D50" i="8"/>
  <c r="B50" i="8"/>
  <c r="E49" i="8"/>
  <c r="F49" i="8" s="1"/>
  <c r="D49" i="8"/>
  <c r="E44" i="8"/>
  <c r="F44" i="8" s="1"/>
  <c r="D44" i="8"/>
  <c r="C44" i="8"/>
  <c r="B44" i="8"/>
  <c r="A44" i="8"/>
  <c r="A53" i="8"/>
  <c r="C53" i="8"/>
  <c r="E43" i="8"/>
  <c r="F43" i="8" s="1"/>
  <c r="D43" i="8"/>
  <c r="B43" i="8"/>
  <c r="A43" i="8"/>
  <c r="C43" i="8"/>
  <c r="A42" i="8"/>
  <c r="A51" i="8"/>
  <c r="C51" i="8"/>
  <c r="F51" i="8"/>
  <c r="E41" i="8"/>
  <c r="F41" i="8" s="1"/>
  <c r="D41" i="8"/>
  <c r="B41" i="8"/>
  <c r="A41" i="8"/>
  <c r="C41" i="8"/>
  <c r="R40" i="8"/>
  <c r="E40" i="8"/>
  <c r="F40" i="8" s="1"/>
  <c r="C40" i="8"/>
  <c r="A40" i="8"/>
  <c r="A49" i="8"/>
  <c r="C49" i="8"/>
  <c r="A39" i="8"/>
  <c r="A48" i="8"/>
  <c r="C48" i="8"/>
  <c r="F38" i="8"/>
  <c r="C38" i="8"/>
  <c r="A38" i="8"/>
  <c r="A47" i="8"/>
  <c r="C47" i="8"/>
  <c r="F47" i="8"/>
  <c r="E35" i="8"/>
  <c r="F35" i="8" s="1"/>
  <c r="D35" i="8"/>
  <c r="C35" i="8"/>
  <c r="B35" i="8"/>
  <c r="E34" i="8"/>
  <c r="F34" i="8"/>
  <c r="D34" i="8"/>
  <c r="C34" i="8"/>
  <c r="B34" i="8"/>
  <c r="E33" i="8"/>
  <c r="F33" i="8" s="1"/>
  <c r="D33" i="8"/>
  <c r="C33" i="8"/>
  <c r="B33" i="8"/>
  <c r="E32" i="8"/>
  <c r="F32" i="8" s="1"/>
  <c r="D32" i="8"/>
  <c r="C32" i="8"/>
  <c r="B32" i="8"/>
  <c r="E31" i="8"/>
  <c r="F31" i="8"/>
  <c r="D31" i="8"/>
  <c r="C31" i="8"/>
  <c r="B31" i="8"/>
  <c r="E30" i="8"/>
  <c r="F30" i="8" s="1"/>
  <c r="D30" i="8"/>
  <c r="C30" i="8"/>
  <c r="B30" i="8"/>
  <c r="E29" i="8"/>
  <c r="F29" i="8" s="1"/>
  <c r="D29" i="8"/>
  <c r="C29" i="8"/>
  <c r="B29" i="8"/>
  <c r="D28" i="8"/>
  <c r="C28" i="8"/>
  <c r="F28" i="8"/>
  <c r="B28" i="8"/>
  <c r="F27" i="8"/>
  <c r="D27" i="8"/>
  <c r="C27" i="8"/>
  <c r="B27" i="8"/>
  <c r="E24" i="8"/>
  <c r="F24" i="8" s="1"/>
  <c r="D24" i="8"/>
  <c r="C24" i="8"/>
  <c r="B24" i="8"/>
  <c r="E23" i="8"/>
  <c r="F23" i="8" s="1"/>
  <c r="D23" i="8"/>
  <c r="C23" i="8"/>
  <c r="B23" i="8"/>
  <c r="E22" i="8"/>
  <c r="F22" i="8"/>
  <c r="D22" i="8"/>
  <c r="C22" i="8"/>
  <c r="B22" i="8"/>
  <c r="C21" i="8"/>
  <c r="F21" i="8"/>
  <c r="D20" i="8"/>
  <c r="C20" i="8"/>
  <c r="F20" i="8"/>
  <c r="B20" i="8"/>
  <c r="E19" i="8"/>
  <c r="F19" i="8"/>
  <c r="C19" i="8"/>
  <c r="C18" i="8"/>
  <c r="F18" i="8"/>
  <c r="C17" i="8"/>
  <c r="B15" i="8"/>
  <c r="E14" i="8"/>
  <c r="F14" i="8"/>
  <c r="D14" i="8"/>
  <c r="C14" i="8"/>
  <c r="B14" i="8"/>
  <c r="E13" i="8"/>
  <c r="F13" i="8" s="1"/>
  <c r="D13" i="8"/>
  <c r="C13" i="8"/>
  <c r="B13" i="8"/>
  <c r="E12" i="8"/>
  <c r="F12" i="8" s="1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 s="1"/>
  <c r="D9" i="8"/>
  <c r="C9" i="8"/>
  <c r="B9" i="8"/>
  <c r="E8" i="8"/>
  <c r="F8" i="8" s="1"/>
  <c r="D8" i="8"/>
  <c r="C8" i="8"/>
  <c r="B8" i="8"/>
  <c r="H6" i="8"/>
  <c r="D73" i="7"/>
  <c r="D74" i="7"/>
  <c r="D76" i="7"/>
  <c r="D71" i="7"/>
  <c r="D69" i="7"/>
  <c r="F65" i="7"/>
  <c r="E51" i="7"/>
  <c r="F51" i="7"/>
  <c r="D60" i="7"/>
  <c r="D85" i="7"/>
  <c r="D86" i="7"/>
  <c r="C51" i="7"/>
  <c r="E50" i="7"/>
  <c r="F50" i="7" s="1"/>
  <c r="D50" i="7"/>
  <c r="B50" i="7"/>
  <c r="E49" i="7"/>
  <c r="F49" i="7" s="1"/>
  <c r="D49" i="7"/>
  <c r="B49" i="7"/>
  <c r="A49" i="7"/>
  <c r="C49" i="7"/>
  <c r="E48" i="7"/>
  <c r="F48" i="7" s="1"/>
  <c r="D48" i="7"/>
  <c r="B48" i="7"/>
  <c r="A48" i="7"/>
  <c r="C48" i="7"/>
  <c r="E47" i="7"/>
  <c r="F47" i="7" s="1"/>
  <c r="D47" i="7"/>
  <c r="B47" i="7"/>
  <c r="E46" i="7"/>
  <c r="F46" i="7"/>
  <c r="D46" i="7"/>
  <c r="B46" i="7"/>
  <c r="E45" i="7"/>
  <c r="F45" i="7"/>
  <c r="D45" i="7"/>
  <c r="B45" i="7"/>
  <c r="A45" i="7"/>
  <c r="C45" i="7"/>
  <c r="A44" i="7"/>
  <c r="C44" i="7"/>
  <c r="F44" i="7"/>
  <c r="E41" i="7"/>
  <c r="F41" i="7"/>
  <c r="D41" i="7"/>
  <c r="B41" i="7"/>
  <c r="A41" i="7"/>
  <c r="A50" i="7"/>
  <c r="C50" i="7"/>
  <c r="E40" i="7"/>
  <c r="F40" i="7" s="1"/>
  <c r="D40" i="7"/>
  <c r="C40" i="7"/>
  <c r="B40" i="7"/>
  <c r="A40" i="7"/>
  <c r="E39" i="7"/>
  <c r="F39" i="7" s="1"/>
  <c r="D39" i="7"/>
  <c r="C39" i="7"/>
  <c r="B39" i="7"/>
  <c r="A39" i="7"/>
  <c r="E38" i="7"/>
  <c r="F38" i="7" s="1"/>
  <c r="D38" i="7"/>
  <c r="B38" i="7"/>
  <c r="A38" i="7"/>
  <c r="A47" i="7"/>
  <c r="C47" i="7"/>
  <c r="E37" i="7"/>
  <c r="F37" i="7" s="1"/>
  <c r="D37" i="7"/>
  <c r="B37" i="7"/>
  <c r="A37" i="7"/>
  <c r="A46" i="7"/>
  <c r="C46" i="7"/>
  <c r="E36" i="7"/>
  <c r="F36" i="7" s="1"/>
  <c r="D36" i="7"/>
  <c r="C36" i="7"/>
  <c r="B36" i="7"/>
  <c r="A36" i="7"/>
  <c r="F35" i="7"/>
  <c r="C35" i="7"/>
  <c r="A35" i="7"/>
  <c r="E32" i="7"/>
  <c r="F32" i="7"/>
  <c r="D32" i="7"/>
  <c r="C32" i="7"/>
  <c r="B32" i="7"/>
  <c r="E31" i="7"/>
  <c r="F31" i="7"/>
  <c r="D31" i="7"/>
  <c r="C31" i="7"/>
  <c r="B31" i="7"/>
  <c r="E30" i="7"/>
  <c r="F30" i="7" s="1"/>
  <c r="D30" i="7"/>
  <c r="C30" i="7"/>
  <c r="B30" i="7"/>
  <c r="E29" i="7"/>
  <c r="F29" i="7"/>
  <c r="D29" i="7"/>
  <c r="C29" i="7"/>
  <c r="B29" i="7"/>
  <c r="E28" i="7"/>
  <c r="F28" i="7" s="1"/>
  <c r="D28" i="7"/>
  <c r="C28" i="7"/>
  <c r="B28" i="7"/>
  <c r="E27" i="7"/>
  <c r="F27" i="7" s="1"/>
  <c r="D27" i="7"/>
  <c r="C27" i="7"/>
  <c r="B27" i="7"/>
  <c r="E24" i="7"/>
  <c r="F24" i="7"/>
  <c r="D24" i="7"/>
  <c r="C24" i="7"/>
  <c r="B24" i="7"/>
  <c r="E23" i="7"/>
  <c r="F23" i="7"/>
  <c r="D23" i="7"/>
  <c r="C23" i="7"/>
  <c r="B23" i="7"/>
  <c r="E22" i="7"/>
  <c r="F22" i="7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F18" i="7"/>
  <c r="D18" i="7"/>
  <c r="C18" i="7"/>
  <c r="B18" i="7"/>
  <c r="F17" i="7"/>
  <c r="C17" i="7"/>
  <c r="B15" i="7"/>
  <c r="E14" i="7"/>
  <c r="F14" i="7" s="1"/>
  <c r="D14" i="7"/>
  <c r="C14" i="7"/>
  <c r="B14" i="7"/>
  <c r="E13" i="7"/>
  <c r="F13" i="7" s="1"/>
  <c r="D13" i="7"/>
  <c r="C13" i="7"/>
  <c r="B13" i="7"/>
  <c r="E12" i="7"/>
  <c r="F12" i="7"/>
  <c r="D12" i="7"/>
  <c r="C12" i="7"/>
  <c r="B12" i="7"/>
  <c r="E11" i="7"/>
  <c r="F11" i="7"/>
  <c r="D11" i="7"/>
  <c r="C11" i="7"/>
  <c r="B11" i="7"/>
  <c r="E10" i="7"/>
  <c r="F10" i="7" s="1"/>
  <c r="D10" i="7"/>
  <c r="C10" i="7"/>
  <c r="B10" i="7"/>
  <c r="E9" i="7"/>
  <c r="F9" i="7"/>
  <c r="D9" i="7"/>
  <c r="C9" i="7"/>
  <c r="B9" i="7"/>
  <c r="E8" i="7"/>
  <c r="F8" i="7" s="1"/>
  <c r="D8" i="7"/>
  <c r="C8" i="7"/>
  <c r="B8" i="7"/>
  <c r="H6" i="7"/>
  <c r="E29" i="5"/>
  <c r="D20" i="6"/>
  <c r="E28" i="5"/>
  <c r="D86" i="8"/>
  <c r="D84" i="8"/>
  <c r="C39" i="8"/>
  <c r="A52" i="8"/>
  <c r="C52" i="8"/>
  <c r="C42" i="8"/>
  <c r="F42" i="8"/>
  <c r="A50" i="8"/>
  <c r="C50" i="8"/>
  <c r="F50" i="8"/>
  <c r="C76" i="8"/>
  <c r="D81" i="7"/>
  <c r="D83" i="7"/>
  <c r="C38" i="7"/>
  <c r="C73" i="7"/>
  <c r="C37" i="7"/>
  <c r="C41" i="7"/>
  <c r="C88" i="8"/>
  <c r="E88" i="8"/>
  <c r="E76" i="8"/>
  <c r="C85" i="7"/>
  <c r="E85" i="7"/>
  <c r="E73" i="7"/>
  <c r="F45" i="10"/>
  <c r="C40" i="12"/>
  <c r="F40" i="12"/>
  <c r="F52" i="12"/>
  <c r="C88" i="12"/>
  <c r="E88" i="12"/>
  <c r="E76" i="12"/>
  <c r="A52" i="12"/>
  <c r="C52" i="12"/>
  <c r="D86" i="12"/>
  <c r="C42" i="12"/>
  <c r="F42" i="12"/>
  <c r="A50" i="12"/>
  <c r="C50" i="12"/>
  <c r="F50" i="12"/>
  <c r="D84" i="12"/>
  <c r="A47" i="12"/>
  <c r="C47" i="12"/>
  <c r="F47" i="12"/>
  <c r="A48" i="12"/>
  <c r="C48" i="12"/>
  <c r="D81" i="10"/>
  <c r="D83" i="10"/>
  <c r="C38" i="10"/>
  <c r="C73" i="10"/>
  <c r="C37" i="10"/>
  <c r="C41" i="10"/>
  <c r="C85" i="10"/>
  <c r="E85" i="10"/>
  <c r="E73" i="10"/>
  <c r="E39" i="8"/>
  <c r="F39" i="8" s="1"/>
  <c r="E39" i="12"/>
  <c r="E48" i="12"/>
  <c r="E48" i="8"/>
  <c r="F48" i="8"/>
  <c r="F12" i="12" l="1"/>
  <c r="F14" i="12"/>
  <c r="F11" i="12"/>
  <c r="F56" i="10"/>
  <c r="F54" i="7"/>
  <c r="F53" i="10"/>
  <c r="F54" i="10"/>
  <c r="F56" i="7"/>
  <c r="F53" i="7"/>
  <c r="F49" i="12"/>
  <c r="F57" i="12"/>
  <c r="H57" i="12" s="1"/>
  <c r="G2" i="12" s="1"/>
  <c r="F48" i="12"/>
  <c r="F57" i="8"/>
  <c r="F59" i="12"/>
  <c r="C77" i="12" s="1"/>
  <c r="E77" i="12" s="1"/>
  <c r="F59" i="8"/>
  <c r="H56" i="10" l="1"/>
  <c r="C74" i="10"/>
  <c r="H54" i="10"/>
  <c r="G2" i="10" s="1"/>
  <c r="C76" i="10"/>
  <c r="E76" i="10" s="1"/>
  <c r="H54" i="7"/>
  <c r="G2" i="7" s="1"/>
  <c r="C76" i="7"/>
  <c r="E76" i="7" s="1"/>
  <c r="C69" i="7"/>
  <c r="F55" i="7"/>
  <c r="F64" i="7"/>
  <c r="H53" i="7"/>
  <c r="H56" i="7"/>
  <c r="C74" i="7"/>
  <c r="C69" i="10"/>
  <c r="H53" i="10"/>
  <c r="F55" i="10"/>
  <c r="F64" i="10"/>
  <c r="C79" i="12"/>
  <c r="E79" i="12" s="1"/>
  <c r="H57" i="8"/>
  <c r="G2" i="8" s="1"/>
  <c r="C79" i="8"/>
  <c r="E79" i="8" s="1"/>
  <c r="H59" i="12"/>
  <c r="O58" i="12" s="1"/>
  <c r="C89" i="12"/>
  <c r="E89" i="12" s="1"/>
  <c r="H59" i="8"/>
  <c r="C77" i="8"/>
  <c r="O54" i="7" l="1"/>
  <c r="H55" i="7"/>
  <c r="F63" i="7"/>
  <c r="C81" i="7"/>
  <c r="E81" i="7" s="1"/>
  <c r="E69" i="7"/>
  <c r="F63" i="10"/>
  <c r="O54" i="10"/>
  <c r="O56" i="10" s="1"/>
  <c r="H55" i="10"/>
  <c r="F2" i="7"/>
  <c r="E17" i="8"/>
  <c r="F17" i="8" s="1"/>
  <c r="F56" i="8" s="1"/>
  <c r="H58" i="10"/>
  <c r="H59" i="10" s="1"/>
  <c r="O58" i="10" s="1"/>
  <c r="H2" i="10"/>
  <c r="O55" i="10"/>
  <c r="H2" i="7"/>
  <c r="H58" i="7"/>
  <c r="H59" i="7" s="1"/>
  <c r="O58" i="7" s="1"/>
  <c r="O55" i="7"/>
  <c r="F2" i="10"/>
  <c r="E17" i="12"/>
  <c r="F17" i="12" s="1"/>
  <c r="F56" i="12" s="1"/>
  <c r="E69" i="10"/>
  <c r="C81" i="10"/>
  <c r="E81" i="10" s="1"/>
  <c r="C86" i="7"/>
  <c r="E86" i="7" s="1"/>
  <c r="E74" i="7"/>
  <c r="C86" i="10"/>
  <c r="E86" i="10" s="1"/>
  <c r="E74" i="10"/>
  <c r="H2" i="12"/>
  <c r="H61" i="12"/>
  <c r="H62" i="12" s="1"/>
  <c r="O61" i="12" s="1"/>
  <c r="E77" i="8"/>
  <c r="C89" i="8"/>
  <c r="E89" i="8" s="1"/>
  <c r="H2" i="8"/>
  <c r="H61" i="8"/>
  <c r="H62" i="8" s="1"/>
  <c r="O61" i="8" s="1"/>
  <c r="O58" i="8"/>
  <c r="O57" i="10" l="1"/>
  <c r="O59" i="10" s="1"/>
  <c r="E63" i="7"/>
  <c r="C71" i="7"/>
  <c r="F66" i="7"/>
  <c r="G63" i="7" s="1"/>
  <c r="F66" i="10"/>
  <c r="E63" i="10"/>
  <c r="C71" i="10"/>
  <c r="G63" i="10"/>
  <c r="F58" i="12"/>
  <c r="F67" i="12"/>
  <c r="C72" i="12"/>
  <c r="H56" i="12"/>
  <c r="F2" i="12" s="1"/>
  <c r="E78" i="7"/>
  <c r="O60" i="10"/>
  <c r="O61" i="10" s="1"/>
  <c r="O62" i="10" s="1"/>
  <c r="E78" i="10"/>
  <c r="O56" i="7"/>
  <c r="O57" i="7" s="1"/>
  <c r="O59" i="7" s="1"/>
  <c r="C72" i="8"/>
  <c r="F67" i="8"/>
  <c r="H56" i="8"/>
  <c r="F2" i="8" s="1"/>
  <c r="F58" i="8"/>
  <c r="P62" i="10" l="1"/>
  <c r="E2" i="10"/>
  <c r="F66" i="12"/>
  <c r="O57" i="12"/>
  <c r="O59" i="12" s="1"/>
  <c r="O60" i="12" s="1"/>
  <c r="O62" i="12" s="1"/>
  <c r="O63" i="12" s="1"/>
  <c r="O64" i="12" s="1"/>
  <c r="O65" i="12" s="1"/>
  <c r="H58" i="12"/>
  <c r="G66" i="10"/>
  <c r="G47" i="10"/>
  <c r="G51" i="10"/>
  <c r="G17" i="10"/>
  <c r="G11" i="10"/>
  <c r="G65" i="10"/>
  <c r="G35" i="10"/>
  <c r="G24" i="10"/>
  <c r="G31" i="10"/>
  <c r="G18" i="10"/>
  <c r="G48" i="10"/>
  <c r="G10" i="10"/>
  <c r="G27" i="10"/>
  <c r="G8" i="10"/>
  <c r="G38" i="10"/>
  <c r="G44" i="10"/>
  <c r="G30" i="10"/>
  <c r="G49" i="10"/>
  <c r="G21" i="10"/>
  <c r="G28" i="10"/>
  <c r="G14" i="10"/>
  <c r="G40" i="10"/>
  <c r="G23" i="10"/>
  <c r="G36" i="10"/>
  <c r="G29" i="10"/>
  <c r="G12" i="10"/>
  <c r="G20" i="10"/>
  <c r="G39" i="10"/>
  <c r="G19" i="10"/>
  <c r="G50" i="10"/>
  <c r="G32" i="10"/>
  <c r="G46" i="10"/>
  <c r="G41" i="10"/>
  <c r="G22" i="10"/>
  <c r="G9" i="10"/>
  <c r="G45" i="10"/>
  <c r="G37" i="10"/>
  <c r="G13" i="10"/>
  <c r="G54" i="10"/>
  <c r="G56" i="10"/>
  <c r="G53" i="10"/>
  <c r="G64" i="10"/>
  <c r="G55" i="10"/>
  <c r="H58" i="8"/>
  <c r="O57" i="8"/>
  <c r="F66" i="8"/>
  <c r="O60" i="7"/>
  <c r="O61" i="7" s="1"/>
  <c r="O62" i="7" s="1"/>
  <c r="C84" i="12"/>
  <c r="E84" i="12" s="1"/>
  <c r="E72" i="12"/>
  <c r="E81" i="12" s="1"/>
  <c r="C84" i="8"/>
  <c r="E84" i="8" s="1"/>
  <c r="E72" i="8"/>
  <c r="E81" i="8" s="1"/>
  <c r="C83" i="10"/>
  <c r="E83" i="10" s="1"/>
  <c r="E71" i="10"/>
  <c r="G32" i="7"/>
  <c r="G44" i="7"/>
  <c r="G46" i="7"/>
  <c r="G23" i="7"/>
  <c r="G22" i="7"/>
  <c r="G17" i="7"/>
  <c r="G66" i="7"/>
  <c r="G51" i="7"/>
  <c r="G65" i="7"/>
  <c r="G8" i="7"/>
  <c r="G18" i="7"/>
  <c r="G35" i="7"/>
  <c r="G12" i="7"/>
  <c r="G13" i="7"/>
  <c r="G30" i="7"/>
  <c r="G31" i="7"/>
  <c r="G39" i="7"/>
  <c r="G37" i="7"/>
  <c r="G40" i="7"/>
  <c r="G50" i="7"/>
  <c r="G36" i="7"/>
  <c r="G29" i="7"/>
  <c r="G38" i="7"/>
  <c r="G47" i="7"/>
  <c r="G21" i="7"/>
  <c r="G45" i="7"/>
  <c r="G48" i="7"/>
  <c r="G9" i="7"/>
  <c r="G14" i="7"/>
  <c r="G41" i="7"/>
  <c r="G28" i="7"/>
  <c r="G20" i="7"/>
  <c r="G24" i="7"/>
  <c r="G11" i="7"/>
  <c r="G19" i="7"/>
  <c r="G49" i="7"/>
  <c r="G27" i="7"/>
  <c r="G10" i="7"/>
  <c r="G53" i="7"/>
  <c r="G56" i="7"/>
  <c r="G54" i="7"/>
  <c r="G64" i="7"/>
  <c r="G55" i="7"/>
  <c r="C83" i="7"/>
  <c r="E83" i="7" s="1"/>
  <c r="E71" i="7"/>
  <c r="P65" i="12"/>
  <c r="E2" i="12"/>
  <c r="P62" i="7" l="1"/>
  <c r="E2" i="7"/>
  <c r="F69" i="8"/>
  <c r="G66" i="8"/>
  <c r="C74" i="8"/>
  <c r="E66" i="8"/>
  <c r="C74" i="12"/>
  <c r="F69" i="12"/>
  <c r="E66" i="12"/>
  <c r="O59" i="8"/>
  <c r="O60" i="8" s="1"/>
  <c r="O62" i="8" s="1"/>
  <c r="O63" i="8" s="1"/>
  <c r="O64" i="8" s="1"/>
  <c r="O65" i="8" s="1"/>
  <c r="E2" i="8" l="1"/>
  <c r="P65" i="8"/>
  <c r="G24" i="12"/>
  <c r="G19" i="12"/>
  <c r="G56" i="12"/>
  <c r="G44" i="12"/>
  <c r="G35" i="12"/>
  <c r="G13" i="12"/>
  <c r="G48" i="12"/>
  <c r="G51" i="12"/>
  <c r="G52" i="12"/>
  <c r="G12" i="12"/>
  <c r="G50" i="12"/>
  <c r="G39" i="12"/>
  <c r="G59" i="12"/>
  <c r="G42" i="12"/>
  <c r="G21" i="12"/>
  <c r="G23" i="12"/>
  <c r="G47" i="12"/>
  <c r="G40" i="12"/>
  <c r="G28" i="12"/>
  <c r="G11" i="12"/>
  <c r="G41" i="12"/>
  <c r="G27" i="12"/>
  <c r="G29" i="12"/>
  <c r="G34" i="12"/>
  <c r="G32" i="12"/>
  <c r="G30" i="12"/>
  <c r="G53" i="12"/>
  <c r="G10" i="12"/>
  <c r="G9" i="12"/>
  <c r="G14" i="12"/>
  <c r="G17" i="12"/>
  <c r="G31" i="12"/>
  <c r="G33" i="12"/>
  <c r="G43" i="12"/>
  <c r="G57" i="12"/>
  <c r="G20" i="12"/>
  <c r="G54" i="12"/>
  <c r="G68" i="12"/>
  <c r="G18" i="12"/>
  <c r="G38" i="12"/>
  <c r="G69" i="12"/>
  <c r="G49" i="12"/>
  <c r="G8" i="12"/>
  <c r="G22" i="12"/>
  <c r="G67" i="12"/>
  <c r="G58" i="12"/>
  <c r="E74" i="12"/>
  <c r="C86" i="12"/>
  <c r="E86" i="12" s="1"/>
  <c r="C86" i="8"/>
  <c r="E86" i="8" s="1"/>
  <c r="E74" i="8"/>
  <c r="G66" i="12"/>
  <c r="G57" i="8"/>
  <c r="G40" i="8"/>
  <c r="G20" i="8"/>
  <c r="G13" i="8"/>
  <c r="G24" i="8"/>
  <c r="G17" i="8"/>
  <c r="G28" i="8"/>
  <c r="G22" i="8"/>
  <c r="G41" i="8"/>
  <c r="G56" i="8"/>
  <c r="G54" i="8"/>
  <c r="G68" i="8"/>
  <c r="G9" i="8"/>
  <c r="G39" i="8"/>
  <c r="G32" i="8"/>
  <c r="G10" i="8"/>
  <c r="G19" i="8"/>
  <c r="G33" i="8"/>
  <c r="G29" i="8"/>
  <c r="G59" i="8"/>
  <c r="G34" i="8"/>
  <c r="G21" i="8"/>
  <c r="G8" i="8"/>
  <c r="G42" i="8"/>
  <c r="G47" i="8"/>
  <c r="G67" i="8"/>
  <c r="G35" i="8"/>
  <c r="G44" i="8"/>
  <c r="G52" i="8"/>
  <c r="G69" i="8"/>
  <c r="G18" i="8"/>
  <c r="G53" i="8"/>
  <c r="G30" i="8"/>
  <c r="G14" i="8"/>
  <c r="G43" i="8"/>
  <c r="G49" i="8"/>
  <c r="G51" i="8"/>
  <c r="G12" i="8"/>
  <c r="G27" i="8"/>
  <c r="G38" i="8"/>
  <c r="G50" i="8"/>
  <c r="G31" i="8"/>
  <c r="G23" i="8"/>
  <c r="G48" i="8"/>
  <c r="G11" i="8"/>
  <c r="G58" i="8"/>
</calcChain>
</file>

<file path=xl/sharedStrings.xml><?xml version="1.0" encoding="utf-8"?>
<sst xmlns="http://schemas.openxmlformats.org/spreadsheetml/2006/main" count="1454" uniqueCount="306">
  <si>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</si>
  <si>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</si>
  <si>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</si>
  <si>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</si>
  <si>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</si>
  <si>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</si>
  <si>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</si>
  <si>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</si>
  <si>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</si>
  <si>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</si>
  <si>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</si>
  <si>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</si>
  <si>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</si>
  <si>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</si>
  <si>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</si>
  <si>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</si>
  <si>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</si>
  <si>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</si>
  <si>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</si>
  <si>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</si>
  <si>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</si>
  <si>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</si>
  <si>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</si>
  <si>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</si>
  <si>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</si>
  <si>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</si>
  <si>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</si>
  <si>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EMPAQUE</t>
  </si>
  <si>
    <t>g</t>
  </si>
  <si>
    <t>Decoración</t>
  </si>
  <si>
    <t>Ensamble</t>
  </si>
  <si>
    <t>Export pmt</t>
  </si>
  <si>
    <t>Encremar</t>
  </si>
  <si>
    <t>Etiplast</t>
  </si>
  <si>
    <t>Cemusa</t>
  </si>
  <si>
    <t>Estuardo</t>
  </si>
  <si>
    <t>ud</t>
  </si>
  <si>
    <t>min</t>
  </si>
  <si>
    <t>1950829</t>
  </si>
  <si>
    <t>701096</t>
  </si>
  <si>
    <t>ETIQUETA BLANCA R-153 (UND)</t>
  </si>
  <si>
    <t>CONTROL DE CAMBIOS</t>
  </si>
  <si>
    <t>FAS</t>
  </si>
  <si>
    <t>BASE CARTON 30 PORCIONES UND</t>
  </si>
  <si>
    <t>0702007</t>
  </si>
  <si>
    <t>ETIQ.FECHA VENCIMIENTO BLANCO (ROLLO)</t>
  </si>
  <si>
    <t>0702123</t>
  </si>
  <si>
    <t>ETIQUETA BLANCA 2 5/8X1 15/16 (UND)</t>
  </si>
  <si>
    <t>60100011</t>
  </si>
  <si>
    <t>ETIQ TORTA GENERICA BUCCA GRANDE (UND)</t>
  </si>
  <si>
    <t>51400001</t>
  </si>
  <si>
    <t>QUEQUERA RECTANGULAR 1/2 (CAJA:35 UND)</t>
  </si>
  <si>
    <t>CINTA ADHESIVA TRANSPARENT 2*100 M (UND)</t>
  </si>
  <si>
    <t>cm</t>
  </si>
  <si>
    <t>colocho boq 195</t>
  </si>
  <si>
    <t>Esteban Cartin, Gte Manufactura</t>
  </si>
  <si>
    <t># Codigo Netsuite</t>
  </si>
  <si>
    <t>EM10306</t>
  </si>
  <si>
    <t>EM10293</t>
  </si>
  <si>
    <t>EM10124</t>
  </si>
  <si>
    <t>EM10118</t>
  </si>
  <si>
    <t>EM10248</t>
  </si>
  <si>
    <t>EM10011</t>
  </si>
  <si>
    <t>Plancha 60 porciones vainilla Walmart</t>
  </si>
  <si>
    <t>Juan Pablo Brenes, Chef</t>
  </si>
  <si>
    <t>NUEVO</t>
  </si>
  <si>
    <t>CREMA CHANTILLY BLANCA BUCCA</t>
  </si>
  <si>
    <t xml:space="preserve"> NUEVO</t>
  </si>
  <si>
    <t>2.- Encremar con crema chantilly, dejar lisa. Decorar con colochos con boquilla 195 con crema chantilly blanca bucca y manjar con agua en la manga</t>
  </si>
  <si>
    <t>3.- Tapar y etiquetar.</t>
  </si>
  <si>
    <t>SE00032</t>
  </si>
  <si>
    <t>CREMA DULCE LECHE KILO</t>
  </si>
  <si>
    <t>CREMA CHANTILLY AZUL BUCCA</t>
  </si>
  <si>
    <t>Javier Tong, Chef</t>
  </si>
  <si>
    <t>SE00434</t>
  </si>
  <si>
    <t>BATIDO EASY QUEQUE VAINILLA SP</t>
  </si>
  <si>
    <t>MEZCLA P/ENGRASE MOLDES KILO</t>
  </si>
  <si>
    <t>AS00028</t>
  </si>
  <si>
    <t>BOLSA TRANSPARENTE 56X96X1.80 (KILO)</t>
  </si>
  <si>
    <t>Plasticos P</t>
  </si>
  <si>
    <t>EM10004</t>
  </si>
  <si>
    <t>Etiplas</t>
  </si>
  <si>
    <t>1.- Dosificar la mezcla en el molde engrasado.</t>
  </si>
  <si>
    <t>2.- Hornear en horno Dicte 1 o 2 a 175°C por 56 minutos .</t>
  </si>
  <si>
    <t>3.- Desmoldar y colocar en latas, cubrir con bolsa plastica, etiquetar con nombre y fecha de vencimiento.</t>
  </si>
  <si>
    <t>Control de cambios</t>
  </si>
  <si>
    <t>Rosquete vainilla Easy SP 2200g</t>
  </si>
  <si>
    <t>1.- Partir el rosquete por la mitad y rellenar con 700g de crema chantilly dulce. Tapar. Colocar en una orla.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</si>
  <si>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</si>
  <si>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</si>
  <si>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</si>
  <si>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</si>
  <si>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</si>
  <si>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</si>
  <si>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</si>
  <si>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</si>
  <si>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</si>
  <si>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</si>
  <si>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</si>
  <si>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</si>
  <si>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</si>
  <si>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</si>
  <si>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 xml:space="preserve">Gramos </t>
  </si>
  <si>
    <t>907000285</t>
  </si>
  <si>
    <t>902000019</t>
  </si>
  <si>
    <t>1950928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</si>
  <si>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</si>
  <si>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</si>
  <si>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</si>
  <si>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</si>
  <si>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</si>
  <si>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</si>
  <si>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</si>
  <si>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</si>
  <si>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</si>
  <si>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</si>
  <si>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</si>
  <si>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</si>
  <si>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</si>
  <si>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</si>
  <si>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</si>
  <si>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</si>
  <si>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</si>
  <si>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</si>
  <si>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</si>
  <si>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</si>
  <si>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</si>
  <si>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</si>
  <si>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</si>
  <si>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</si>
  <si>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</si>
  <si>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</si>
  <si>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</si>
  <si>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</si>
  <si>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</si>
  <si>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</si>
  <si>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</si>
  <si>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</si>
  <si>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</si>
  <si>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</si>
  <si>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</si>
  <si>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</si>
  <si>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</si>
  <si>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Rosquete easy queque vainilla 1800g Sp</t>
  </si>
  <si>
    <t xml:space="preserve">UND </t>
  </si>
  <si>
    <t>907000304</t>
  </si>
  <si>
    <t>MANJAR CON AGUA</t>
  </si>
  <si>
    <t>96344</t>
  </si>
  <si>
    <t>Gramo</t>
  </si>
  <si>
    <t>703020</t>
  </si>
  <si>
    <t>UND</t>
  </si>
  <si>
    <t>Rosquete vainilla Easy SP 2100g</t>
  </si>
  <si>
    <t>SE00457</t>
  </si>
  <si>
    <t>Crema Verde Electrico</t>
  </si>
  <si>
    <t>colocho boq 2cs</t>
  </si>
  <si>
    <t>PALITOS COLORES MAVALERIO</t>
  </si>
  <si>
    <t>MAVALERIO</t>
  </si>
  <si>
    <t>1.- Partir el rosquete por la mitad y rellenar con 300g de crema chantilly dulce. Colocar en una orla.</t>
  </si>
  <si>
    <t>2.- Encremar con crema chantilly, dejar lisa. Decorar con colochos con boquilla 2cs con crema chantilly blanca bucca y manjar con agua en la manga</t>
  </si>
  <si>
    <t xml:space="preserve">ESP-RE-BAF-119 </t>
  </si>
  <si>
    <t>01</t>
  </si>
  <si>
    <t>907000285(SE00434) Batido Easy queque vainilla SP</t>
  </si>
  <si>
    <t>Juan Pablo Brenes,chef</t>
  </si>
  <si>
    <t>Esteban Cartin, Gerente de Manufactura</t>
  </si>
  <si>
    <t>AREA QUE PRODUCE:</t>
  </si>
  <si>
    <t>Batidos</t>
  </si>
  <si>
    <t xml:space="preserve">AREA QUE EMPACA: </t>
  </si>
  <si>
    <t>SE00435</t>
  </si>
  <si>
    <t>PREMEZCLA EASY QUEQUE VAINILLA SP</t>
  </si>
  <si>
    <t>1210482</t>
  </si>
  <si>
    <t>MP10005</t>
  </si>
  <si>
    <t>HUEVO LIQUIDO ESPECIAL INNOV (CAJA:10 K)</t>
  </si>
  <si>
    <t>INNOVO</t>
  </si>
  <si>
    <t>10415</t>
  </si>
  <si>
    <t>AGUA POTABLE (PLANTA)</t>
  </si>
  <si>
    <t>MP10002</t>
  </si>
  <si>
    <t>ACEITE CAPULLO RBD (UND:17 L)</t>
  </si>
  <si>
    <t>CAPULLO</t>
  </si>
  <si>
    <t>1.- Colocar todos los ingredientes en la batidora y batir con paleta.</t>
  </si>
  <si>
    <t>2.- Batir por 2 minutos en velocidad 1.</t>
  </si>
  <si>
    <t>3.- Luego batir por 7 minutos a velocidad 2.</t>
  </si>
  <si>
    <t>4.- Pasar a dosificar.</t>
  </si>
  <si>
    <t>ESP-RE-PRES-130</t>
  </si>
  <si>
    <t>SE00435 Premezcla Easy Queque Vainilla SP</t>
  </si>
  <si>
    <t>Premezclas</t>
  </si>
  <si>
    <t># Código Netsuite</t>
  </si>
  <si>
    <t>11200082</t>
  </si>
  <si>
    <t>MP10490</t>
  </si>
  <si>
    <t>Núcleo Vainilla Easy Sp 20%</t>
  </si>
  <si>
    <t>Puratos</t>
  </si>
  <si>
    <t>MP10074</t>
  </si>
  <si>
    <t>Azucar Blanco Industrial</t>
  </si>
  <si>
    <t>Layca</t>
  </si>
  <si>
    <t>MP10478</t>
  </si>
  <si>
    <t>Harina Silver Cake</t>
  </si>
  <si>
    <t>Silvercake</t>
  </si>
  <si>
    <t>MP10008</t>
  </si>
  <si>
    <t>Preservante 1047S</t>
  </si>
  <si>
    <t>Mayca</t>
  </si>
  <si>
    <t>MP10517</t>
  </si>
  <si>
    <t>Acti Egg</t>
  </si>
  <si>
    <t>EM10013</t>
  </si>
  <si>
    <t>Bolsa 17X25 Transparente</t>
  </si>
  <si>
    <t>Etiqueta Blanca 2 5/8X1 15/16</t>
  </si>
  <si>
    <t>TANDA</t>
  </si>
  <si>
    <t>1.- En una bolsa 17x25 empacar el nucleo easy queque vainilla sp con el azucar, y etiquetar.</t>
  </si>
  <si>
    <t>2.- En la otra bolsa 17x25 empacar el harina silver cake con el preservante, actiegg y etiquetar.</t>
  </si>
  <si>
    <t xml:space="preserve">ESP-RE-DES-040 </t>
  </si>
  <si>
    <t>04</t>
  </si>
  <si>
    <t>Crema de Dulce de Leche(24500g) 96344(SE00032)</t>
  </si>
  <si>
    <t>Jeffry Rodriguez, Gerente de Manufactura</t>
  </si>
  <si>
    <t>Decoracion</t>
  </si>
  <si>
    <t>MP10165</t>
  </si>
  <si>
    <t>CREMA BETTER DULCE LECHE RICH (UND:4 K)</t>
  </si>
  <si>
    <t>Rich</t>
  </si>
  <si>
    <t>4 Galones</t>
  </si>
  <si>
    <t>MP10048</t>
  </si>
  <si>
    <t>CREMA PRESTIGE GRAND (UND:4 K)</t>
  </si>
  <si>
    <t>2 Galones</t>
  </si>
  <si>
    <t>Spoon</t>
  </si>
  <si>
    <t>PRESERVANTE 1047S (PAQ=5 KILO)</t>
  </si>
  <si>
    <t>Aseal</t>
  </si>
  <si>
    <t>1.- Colocar la crema de dulce de leche y la prestige en la top cream con el agua y preservante.</t>
  </si>
  <si>
    <t>2.- Batir por 12 minutos, mantener en refrigeracin a 5°C.</t>
  </si>
  <si>
    <t>4, Actualizacion de codigos</t>
  </si>
  <si>
    <t>Crema blanca Bucca</t>
  </si>
  <si>
    <t>ICG</t>
  </si>
  <si>
    <t>BETTERCREME SUPREMO (UND:4 K)</t>
  </si>
  <si>
    <t>Richs</t>
  </si>
  <si>
    <t>2 galones</t>
  </si>
  <si>
    <t>3 galones</t>
  </si>
  <si>
    <t>AyA</t>
  </si>
  <si>
    <t>Tanda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</si>
  <si>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</si>
  <si>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</si>
  <si>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</si>
  <si>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</si>
  <si>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</si>
  <si>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</si>
  <si>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ESP-RE-DES-080</t>
  </si>
  <si>
    <t>Crema Verde Electrico 905000063(SE00457)</t>
  </si>
  <si>
    <t>24/04/2023</t>
  </si>
  <si>
    <t>SE00010</t>
  </si>
  <si>
    <t>CREMA CHANTILLY BLANCA SPOON-IND KILO</t>
  </si>
  <si>
    <t>MP10152</t>
  </si>
  <si>
    <t>COLORANTE GEL ELECTRIC GREEN (UD=130ml)</t>
  </si>
  <si>
    <t>Master Pack</t>
  </si>
  <si>
    <t>MP10156</t>
  </si>
  <si>
    <t>COLORANTE GEL LEMON YELLOW UND 130 ML</t>
  </si>
  <si>
    <t>Minutos</t>
  </si>
  <si>
    <t>1, Mezclar la crema con los colorantes, hatsa homogeneo</t>
  </si>
  <si>
    <t>2.- Mantener en refrigeración.</t>
  </si>
  <si>
    <t>2: Se agrega el codigo del producto.</t>
  </si>
  <si>
    <t>3: Actualizacion de colorantes y codigos y cantidades.</t>
  </si>
  <si>
    <t>4: Se Elimina la crema supremo, la crema prestige, el preservante, el agua. Se agrega el subproducto crema chantilly Spoon</t>
  </si>
  <si>
    <t xml:space="preserve">ESP-RE-DES-036 </t>
  </si>
  <si>
    <t>11</t>
  </si>
  <si>
    <t>Crema Blanca Spoon (20800g)  SE00010</t>
  </si>
  <si>
    <t>MP10047</t>
  </si>
  <si>
    <t>9, Actuaizacion de codigos</t>
  </si>
  <si>
    <t>10, Actuaizacion de procedimiento</t>
  </si>
  <si>
    <t xml:space="preserve">11,Cambio de Pesos </t>
  </si>
  <si>
    <t>SE00634</t>
  </si>
  <si>
    <t>SE00641</t>
  </si>
  <si>
    <t>MP10727</t>
  </si>
  <si>
    <t>PTI00220 Plancha 60 porciones vainilla Walmart</t>
  </si>
  <si>
    <t xml:space="preserve">ESP-RE-DEF-113 </t>
  </si>
  <si>
    <t>02</t>
  </si>
  <si>
    <t xml:space="preserve"> PTI00220 Plancha 60 porciones vainilla Walmart</t>
  </si>
  <si>
    <t>AREA QUE PRODUCE: DECORACION</t>
  </si>
  <si>
    <t>AREA QUE EMPACA: DECORACION</t>
  </si>
  <si>
    <t>colocho boq 22</t>
  </si>
  <si>
    <t>EM10380</t>
  </si>
  <si>
    <t>Etiqueta Torta 60 Porciones Vainilla</t>
  </si>
  <si>
    <t xml:space="preserve">Revision #2: Actualizacion en la decoracion, se quita la confitura y se agrega un colocho blanco. </t>
  </si>
  <si>
    <t>Revision #3: Actualizacion de la etiqueta.</t>
  </si>
  <si>
    <t>03</t>
  </si>
  <si>
    <t>5 tazas</t>
  </si>
  <si>
    <t>Revision #4: Actualizacion de peso post corridas.</t>
  </si>
  <si>
    <t>ESP-RE-DEF-025</t>
  </si>
  <si>
    <t>ROSQUETE VAINILLA EASY SP 2400G</t>
  </si>
  <si>
    <t>1 UND</t>
  </si>
  <si>
    <t>ENCREMAR</t>
  </si>
  <si>
    <t>CREMA VERDE ELECTRICO</t>
  </si>
  <si>
    <t>COLOCHO BOQUILLA 22</t>
  </si>
  <si>
    <t>Empaque</t>
  </si>
  <si>
    <t>EXPORT PMT</t>
  </si>
  <si>
    <t>ETIPLAST</t>
  </si>
  <si>
    <t>CEMUSA</t>
  </si>
  <si>
    <t>ETIQUETA TORTA 60 PORCIONES VAINILLA</t>
  </si>
  <si>
    <t/>
  </si>
  <si>
    <t>Und</t>
  </si>
  <si>
    <t>COLOCHO BOQUILLA 17</t>
  </si>
  <si>
    <t>calzas</t>
  </si>
  <si>
    <t>0,05ud</t>
  </si>
  <si>
    <t>EM10437</t>
  </si>
  <si>
    <t>ORLA 60 PORCIONES</t>
  </si>
  <si>
    <t>2.- Encremar con crema chantilly, dejar lisa. Decorar con colochos con boquilla 22 (colocho balanco) boquilla 17 (colocho verde) hacer colocho blanco en el borde de arriba y la segunda fila con crema verde. Luego abajo alrededor de la torta colochos con verde</t>
  </si>
  <si>
    <t>2: Actualizacion del peso del rosquete.</t>
  </si>
  <si>
    <t>3: Cambio de boquilla colocho verde, se le agrego rosquete para calzas, y se corrigio la cantidad de la crema para encremar. Correccion de orla de carton</t>
  </si>
  <si>
    <t>CINTA ADHESIVA TRANSPARENT 
2*100 M (UND)</t>
  </si>
  <si>
    <t xml:space="preserve">4. Se actualiza peso rosquete y merma  </t>
  </si>
  <si>
    <t>EM10443</t>
  </si>
  <si>
    <t>Etiqueta Blanca Lisa Bopp Brillante</t>
  </si>
  <si>
    <t>5, Se actualiza etiqueta de ingredientes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</si>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</sst>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  <numFmt numFmtId="170" formatCode="0.0"/>
    <numFmt numFmtId="171" formatCode="_(* #,##0.000_);_(* \(#,##0.000\);_(* &quot;-&quot;??_);_(@_)"/>
  </numFmts>
  <fonts count="6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sz val="9.85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b/>
      <sz val="12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Century Gothic"/>
      <family val="2"/>
    </font>
    <font>
      <b/>
      <sz val="9"/>
      <color rgb="FFFF0000"/>
      <name val="Times New Roman"/>
      <family val="1"/>
    </font>
    <font>
      <b/>
      <sz val="10"/>
      <color rgb="FFFF0000"/>
      <name val="Arial"/>
      <family val="2"/>
    </font>
    <font>
      <b/>
      <sz val="16"/>
      <color rgb="FFFF0000"/>
      <name val="Arial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1"/>
      <color rgb="FFFF0000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35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41" fontId="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9">
    <xf numFmtId="0" fontId="0" fillId="0" borderId="0" xfId="0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0" fontId="5" fillId="2" borderId="3" xfId="10" applyFont="1" applyFill="1" applyBorder="1" applyAlignment="1">
      <alignment horizontal="right"/>
    </xf>
    <xf numFmtId="0" fontId="5" fillId="2" borderId="4" xfId="10" applyFont="1" applyFill="1" applyBorder="1" applyAlignment="1">
      <alignment horizontal="right"/>
    </xf>
    <xf numFmtId="0" fontId="4" fillId="0" borderId="5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left" indent="1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/>
    <xf numFmtId="0" fontId="5" fillId="3" borderId="9" xfId="0" applyFont="1" applyFill="1" applyBorder="1" applyAlignment="1">
      <alignment horizontal="center"/>
    </xf>
    <xf numFmtId="1" fontId="5" fillId="3" borderId="9" xfId="0" applyNumberFormat="1" applyFont="1" applyFill="1" applyBorder="1" applyAlignment="1">
      <alignment horizontal="center"/>
    </xf>
    <xf numFmtId="167" fontId="4" fillId="3" borderId="9" xfId="0" applyNumberFormat="1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6" fontId="8" fillId="0" borderId="12" xfId="0" applyNumberFormat="1" applyFont="1" applyBorder="1" applyAlignment="1">
      <alignment horizontal="center"/>
    </xf>
    <xf numFmtId="9" fontId="4" fillId="2" borderId="0" xfId="13" applyFont="1" applyFill="1"/>
    <xf numFmtId="49" fontId="4" fillId="2" borderId="5" xfId="10" applyNumberFormat="1" applyFont="1" applyFill="1" applyBorder="1" applyAlignment="1">
      <alignment horizontal="center"/>
    </xf>
    <xf numFmtId="0" fontId="4" fillId="2" borderId="1" xfId="10" applyFont="1" applyFill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 wrapText="1"/>
    </xf>
    <xf numFmtId="0" fontId="5" fillId="3" borderId="13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4" fillId="2" borderId="14" xfId="10" applyFont="1" applyFill="1" applyBorder="1" applyAlignment="1">
      <alignment horizontal="right"/>
    </xf>
    <xf numFmtId="0" fontId="4" fillId="2" borderId="12" xfId="10" applyFont="1" applyFill="1" applyBorder="1" applyAlignment="1">
      <alignment horizontal="right"/>
    </xf>
    <xf numFmtId="0" fontId="5" fillId="9" borderId="15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7" fontId="4" fillId="2" borderId="0" xfId="0" applyNumberFormat="1" applyFont="1" applyFill="1" applyAlignment="1">
      <alignment horizontal="center" wrapText="1"/>
    </xf>
    <xf numFmtId="1" fontId="4" fillId="2" borderId="0" xfId="0" applyNumberFormat="1" applyFont="1" applyFill="1" applyAlignment="1">
      <alignment horizontal="center"/>
    </xf>
    <xf numFmtId="16" fontId="4" fillId="0" borderId="12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49" fontId="4" fillId="0" borderId="4" xfId="0" applyNumberFormat="1" applyFont="1" applyBorder="1" applyAlignment="1">
      <alignment horizontal="center"/>
    </xf>
    <xf numFmtId="49" fontId="5" fillId="0" borderId="4" xfId="0" applyNumberFormat="1" applyFont="1" applyBorder="1"/>
    <xf numFmtId="49" fontId="4" fillId="0" borderId="4" xfId="0" applyNumberFormat="1" applyFont="1" applyBorder="1" applyAlignment="1">
      <alignment horizontal="right"/>
    </xf>
    <xf numFmtId="0" fontId="8" fillId="0" borderId="12" xfId="0" applyFont="1" applyBorder="1" applyAlignment="1">
      <alignment horizontal="center"/>
    </xf>
    <xf numFmtId="0" fontId="8" fillId="0" borderId="12" xfId="0" applyFont="1" applyBorder="1"/>
    <xf numFmtId="49" fontId="5" fillId="0" borderId="4" xfId="0" applyNumberFormat="1" applyFont="1" applyBorder="1" applyAlignment="1">
      <alignment horizontal="left"/>
    </xf>
    <xf numFmtId="0" fontId="0" fillId="0" borderId="70" xfId="0" applyBorder="1" applyAlignment="1">
      <alignment horizontal="left" vertical="center"/>
    </xf>
    <xf numFmtId="0" fontId="0" fillId="0" borderId="71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4" xfId="0" applyFill="1" applyBorder="1"/>
    <xf numFmtId="0" fontId="50" fillId="0" borderId="4" xfId="0" applyFont="1" applyBorder="1"/>
    <xf numFmtId="0" fontId="5" fillId="11" borderId="3" xfId="0" applyFont="1" applyFill="1" applyBorder="1" applyAlignment="1">
      <alignment horizontal="right"/>
    </xf>
    <xf numFmtId="0" fontId="4" fillId="11" borderId="1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right"/>
    </xf>
    <xf numFmtId="0" fontId="4" fillId="11" borderId="5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right"/>
    </xf>
    <xf numFmtId="0" fontId="4" fillId="11" borderId="12" xfId="0" applyFont="1" applyFill="1" applyBorder="1" applyAlignment="1">
      <alignment horizontal="right"/>
    </xf>
    <xf numFmtId="0" fontId="5" fillId="12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 wrapText="1"/>
    </xf>
    <xf numFmtId="0" fontId="5" fillId="12" borderId="13" xfId="0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0" fontId="7" fillId="0" borderId="0" xfId="0" applyFont="1"/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5" fillId="11" borderId="5" xfId="0" applyFont="1" applyFill="1" applyBorder="1" applyAlignment="1">
      <alignment horizontal="center"/>
    </xf>
    <xf numFmtId="0" fontId="8" fillId="0" borderId="16" xfId="0" applyFont="1" applyBorder="1" applyAlignment="1">
      <alignment horizontal="right"/>
    </xf>
    <xf numFmtId="0" fontId="8" fillId="0" borderId="17" xfId="0" applyFont="1" applyBorder="1" applyAlignment="1">
      <alignment horizontal="right"/>
    </xf>
    <xf numFmtId="0" fontId="9" fillId="0" borderId="4" xfId="0" applyFont="1" applyBorder="1"/>
    <xf numFmtId="0" fontId="8" fillId="11" borderId="12" xfId="0" applyFont="1" applyFill="1" applyBorder="1"/>
    <xf numFmtId="0" fontId="10" fillId="11" borderId="4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50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4" fillId="0" borderId="2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4" xfId="0" applyFont="1" applyBorder="1"/>
    <xf numFmtId="0" fontId="8" fillId="0" borderId="4" xfId="0" applyFont="1" applyBorder="1"/>
    <xf numFmtId="0" fontId="51" fillId="11" borderId="21" xfId="0" applyFont="1" applyFill="1" applyBorder="1" applyAlignment="1">
      <alignment horizontal="center" vertical="center"/>
    </xf>
    <xf numFmtId="0" fontId="51" fillId="11" borderId="0" xfId="0" applyFont="1" applyFill="1" applyAlignment="1">
      <alignment horizontal="center" vertical="center"/>
    </xf>
    <xf numFmtId="0" fontId="50" fillId="0" borderId="0" xfId="0" applyFont="1"/>
    <xf numFmtId="0" fontId="4" fillId="11" borderId="0" xfId="0" applyFont="1" applyFill="1" applyAlignment="1">
      <alignment horizontal="center"/>
    </xf>
    <xf numFmtId="0" fontId="4" fillId="11" borderId="0" xfId="0" applyFont="1" applyFill="1" applyAlignment="1">
      <alignment horizontal="center" wrapText="1"/>
    </xf>
    <xf numFmtId="0" fontId="4" fillId="11" borderId="7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4" fillId="12" borderId="9" xfId="0" applyFont="1" applyFill="1" applyBorder="1" applyAlignment="1">
      <alignment horizontal="center"/>
    </xf>
    <xf numFmtId="0" fontId="4" fillId="12" borderId="9" xfId="0" applyFont="1" applyFill="1" applyBorder="1"/>
    <xf numFmtId="0" fontId="5" fillId="12" borderId="9" xfId="0" applyFont="1" applyFill="1" applyBorder="1" applyAlignment="1">
      <alignment horizontal="center"/>
    </xf>
    <xf numFmtId="0" fontId="4" fillId="12" borderId="9" xfId="0" applyFont="1" applyFill="1" applyBorder="1" applyAlignment="1">
      <alignment horizontal="center" wrapText="1"/>
    </xf>
    <xf numFmtId="0" fontId="4" fillId="12" borderId="10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9" borderId="0" xfId="0" applyFont="1" applyFill="1" applyAlignment="1">
      <alignment vertical="center"/>
    </xf>
    <xf numFmtId="0" fontId="12" fillId="13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6" fontId="12" fillId="0" borderId="4" xfId="1" applyFont="1" applyFill="1" applyBorder="1" applyAlignment="1">
      <alignment horizontal="center" vertical="center"/>
    </xf>
    <xf numFmtId="166" fontId="12" fillId="0" borderId="0" xfId="1" applyFont="1" applyFill="1" applyBorder="1" applyAlignment="1">
      <alignment horizontal="center" vertical="center"/>
    </xf>
    <xf numFmtId="166" fontId="14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2" applyNumberFormat="1" applyFont="1" applyFill="1" applyAlignment="1">
      <alignment horizontal="center" vertical="center"/>
    </xf>
    <xf numFmtId="4" fontId="12" fillId="0" borderId="0" xfId="2" applyNumberFormat="1" applyFont="1" applyFill="1" applyAlignment="1">
      <alignment horizontal="center" vertical="center"/>
    </xf>
    <xf numFmtId="10" fontId="12" fillId="0" borderId="0" xfId="13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13" applyNumberFormat="1" applyFont="1" applyFill="1" applyAlignment="1">
      <alignment vertical="center"/>
    </xf>
    <xf numFmtId="0" fontId="9" fillId="0" borderId="0" xfId="0" applyFont="1"/>
    <xf numFmtId="49" fontId="12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166" fontId="9" fillId="0" borderId="0" xfId="1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1" applyNumberFormat="1" applyFont="1" applyFill="1" applyAlignment="1">
      <alignment vertical="center"/>
    </xf>
    <xf numFmtId="166" fontId="20" fillId="0" borderId="0" xfId="1" applyFont="1" applyFill="1" applyAlignment="1">
      <alignment horizontal="center" vertical="center"/>
    </xf>
    <xf numFmtId="10" fontId="13" fillId="4" borderId="25" xfId="13" applyNumberFormat="1" applyFont="1" applyFill="1" applyBorder="1" applyAlignment="1">
      <alignment vertical="center"/>
    </xf>
    <xf numFmtId="0" fontId="9" fillId="4" borderId="9" xfId="0" applyFont="1" applyFill="1" applyBorder="1" applyAlignment="1">
      <alignment vertical="center"/>
    </xf>
    <xf numFmtId="0" fontId="9" fillId="4" borderId="25" xfId="0" applyFont="1" applyFill="1" applyBorder="1" applyAlignment="1">
      <alignment vertical="center"/>
    </xf>
    <xf numFmtId="166" fontId="20" fillId="4" borderId="26" xfId="1" applyFont="1" applyFill="1" applyBorder="1" applyAlignment="1">
      <alignment horizontal="center" vertical="center"/>
    </xf>
    <xf numFmtId="166" fontId="22" fillId="0" borderId="0" xfId="1" applyFont="1" applyFill="1" applyBorder="1" applyAlignment="1">
      <alignment horizontal="right"/>
    </xf>
    <xf numFmtId="0" fontId="9" fillId="4" borderId="26" xfId="0" applyFont="1" applyFill="1" applyBorder="1" applyAlignment="1">
      <alignment vertical="center"/>
    </xf>
    <xf numFmtId="10" fontId="13" fillId="4" borderId="26" xfId="13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9" fontId="52" fillId="0" borderId="0" xfId="13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20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7" xfId="0" applyFont="1" applyBorder="1" applyAlignment="1">
      <alignment horizontal="right"/>
    </xf>
    <xf numFmtId="166" fontId="25" fillId="5" borderId="27" xfId="1" applyFont="1" applyFill="1" applyBorder="1" applyAlignment="1">
      <alignment horizontal="right"/>
    </xf>
    <xf numFmtId="166" fontId="25" fillId="0" borderId="0" xfId="1" applyFont="1" applyFill="1" applyBorder="1" applyAlignment="1">
      <alignment horizontal="right"/>
    </xf>
    <xf numFmtId="166" fontId="12" fillId="0" borderId="4" xfId="1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20" fillId="0" borderId="0" xfId="2" applyNumberFormat="1" applyFont="1" applyFill="1" applyAlignment="1">
      <alignment horizontal="center" vertical="center"/>
    </xf>
    <xf numFmtId="10" fontId="27" fillId="0" borderId="0" xfId="13" applyNumberFormat="1" applyFont="1" applyFill="1" applyAlignment="1">
      <alignment horizontal="right"/>
    </xf>
    <xf numFmtId="169" fontId="12" fillId="4" borderId="4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166" fontId="12" fillId="6" borderId="4" xfId="1" applyFont="1" applyFill="1" applyBorder="1" applyAlignment="1">
      <alignment vertical="center"/>
    </xf>
    <xf numFmtId="166" fontId="28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4" borderId="28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1" applyNumberFormat="1" applyFont="1" applyFill="1" applyBorder="1" applyAlignment="1">
      <alignment horizontal="center"/>
    </xf>
    <xf numFmtId="2" fontId="24" fillId="0" borderId="0" xfId="1" applyNumberFormat="1" applyFont="1" applyFill="1" applyBorder="1" applyAlignment="1">
      <alignment horizontal="center"/>
    </xf>
    <xf numFmtId="0" fontId="9" fillId="4" borderId="28" xfId="0" applyFont="1" applyFill="1" applyBorder="1" applyAlignment="1">
      <alignment vertical="center"/>
    </xf>
    <xf numFmtId="10" fontId="9" fillId="0" borderId="0" xfId="13" applyNumberFormat="1" applyFont="1" applyFill="1" applyAlignment="1">
      <alignment vertical="center"/>
    </xf>
    <xf numFmtId="4" fontId="9" fillId="0" borderId="0" xfId="1" applyNumberFormat="1" applyFont="1" applyFill="1" applyAlignment="1">
      <alignment vertical="center"/>
    </xf>
    <xf numFmtId="166" fontId="25" fillId="4" borderId="9" xfId="1" applyFont="1" applyFill="1" applyBorder="1" applyAlignment="1">
      <alignment horizontal="right"/>
    </xf>
    <xf numFmtId="0" fontId="12" fillId="4" borderId="10" xfId="0" applyFont="1" applyFill="1" applyBorder="1" applyAlignment="1">
      <alignment horizontal="right" vertical="center"/>
    </xf>
    <xf numFmtId="10" fontId="31" fillId="0" borderId="0" xfId="1" applyNumberFormat="1" applyFont="1" applyFill="1" applyAlignment="1">
      <alignment vertical="center"/>
    </xf>
    <xf numFmtId="10" fontId="13" fillId="0" borderId="0" xfId="13" applyNumberFormat="1" applyFont="1" applyFill="1" applyBorder="1" applyAlignment="1">
      <alignment vertical="center"/>
    </xf>
    <xf numFmtId="166" fontId="32" fillId="0" borderId="0" xfId="0" applyNumberFormat="1" applyFont="1" applyAlignment="1">
      <alignment horizontal="center" vertical="center"/>
    </xf>
    <xf numFmtId="0" fontId="9" fillId="9" borderId="27" xfId="0" applyFont="1" applyFill="1" applyBorder="1" applyAlignment="1">
      <alignment horizontal="center" vertical="center"/>
    </xf>
    <xf numFmtId="166" fontId="33" fillId="0" borderId="0" xfId="1" applyFont="1" applyFill="1" applyAlignment="1">
      <alignment vertical="center"/>
    </xf>
    <xf numFmtId="4" fontId="34" fillId="0" borderId="0" xfId="2" applyNumberFormat="1" applyFont="1" applyFill="1" applyAlignment="1">
      <alignment horizontal="center" vertical="center" wrapText="1"/>
    </xf>
    <xf numFmtId="9" fontId="9" fillId="0" borderId="0" xfId="1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2" fillId="7" borderId="27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166" fontId="35" fillId="0" borderId="0" xfId="1" applyFont="1" applyFill="1" applyAlignment="1">
      <alignment vertical="center"/>
    </xf>
    <xf numFmtId="9" fontId="35" fillId="0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horizontal="center" vertical="center"/>
    </xf>
    <xf numFmtId="10" fontId="28" fillId="0" borderId="0" xfId="13" applyNumberFormat="1" applyFont="1" applyFill="1" applyAlignment="1">
      <alignment vertical="center"/>
    </xf>
    <xf numFmtId="166" fontId="28" fillId="0" borderId="0" xfId="1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166" fontId="9" fillId="0" borderId="0" xfId="1" applyFont="1" applyFill="1" applyBorder="1"/>
    <xf numFmtId="10" fontId="28" fillId="0" borderId="0" xfId="13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166" fontId="9" fillId="0" borderId="0" xfId="1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6" fontId="12" fillId="0" borderId="0" xfId="0" applyNumberFormat="1" applyFont="1"/>
    <xf numFmtId="10" fontId="12" fillId="0" borderId="0" xfId="12" applyNumberFormat="1" applyFont="1" applyFill="1" applyAlignment="1">
      <alignment vertical="center"/>
    </xf>
    <xf numFmtId="10" fontId="13" fillId="0" borderId="0" xfId="12" applyNumberFormat="1" applyFont="1" applyFill="1" applyAlignment="1">
      <alignment vertical="center"/>
    </xf>
    <xf numFmtId="10" fontId="13" fillId="4" borderId="25" xfId="12" applyNumberFormat="1" applyFont="1" applyFill="1" applyBorder="1" applyAlignment="1">
      <alignment vertical="center"/>
    </xf>
    <xf numFmtId="10" fontId="13" fillId="4" borderId="26" xfId="12" applyNumberFormat="1" applyFont="1" applyFill="1" applyBorder="1" applyAlignment="1">
      <alignment vertical="center"/>
    </xf>
    <xf numFmtId="9" fontId="52" fillId="0" borderId="0" xfId="12" applyFont="1" applyFill="1" applyAlignment="1">
      <alignment horizontal="center"/>
    </xf>
    <xf numFmtId="10" fontId="27" fillId="0" borderId="0" xfId="12" applyNumberFormat="1" applyFont="1" applyFill="1" applyAlignment="1">
      <alignment horizontal="right"/>
    </xf>
    <xf numFmtId="10" fontId="9" fillId="0" borderId="0" xfId="12" applyNumberFormat="1" applyFont="1" applyFill="1" applyAlignment="1">
      <alignment vertical="center"/>
    </xf>
    <xf numFmtId="10" fontId="13" fillId="0" borderId="0" xfId="12" applyNumberFormat="1" applyFont="1" applyFill="1" applyBorder="1" applyAlignment="1">
      <alignment vertical="center"/>
    </xf>
    <xf numFmtId="10" fontId="28" fillId="0" borderId="0" xfId="12" applyNumberFormat="1" applyFont="1" applyFill="1" applyAlignment="1">
      <alignment vertical="center"/>
    </xf>
    <xf numFmtId="10" fontId="28" fillId="0" borderId="0" xfId="12" applyNumberFormat="1" applyFont="1" applyFill="1" applyBorder="1" applyAlignment="1">
      <alignment vertical="center"/>
    </xf>
    <xf numFmtId="0" fontId="7" fillId="10" borderId="20" xfId="0" applyFont="1" applyFill="1" applyBorder="1" applyAlignment="1">
      <alignment horizontal="center"/>
    </xf>
    <xf numFmtId="0" fontId="7" fillId="10" borderId="12" xfId="0" applyFont="1" applyFill="1" applyBorder="1" applyAlignment="1">
      <alignment horizontal="center"/>
    </xf>
    <xf numFmtId="0" fontId="50" fillId="10" borderId="4" xfId="0" applyFont="1" applyFill="1" applyBorder="1"/>
    <xf numFmtId="16" fontId="4" fillId="10" borderId="12" xfId="0" applyNumberFormat="1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0" borderId="5" xfId="9" applyFont="1" applyBorder="1" applyAlignment="1">
      <alignment horizontal="center"/>
    </xf>
    <xf numFmtId="0" fontId="4" fillId="0" borderId="6" xfId="9" applyFont="1" applyBorder="1" applyAlignment="1">
      <alignment horizontal="center"/>
    </xf>
    <xf numFmtId="1" fontId="4" fillId="0" borderId="4" xfId="9" applyNumberFormat="1" applyFont="1" applyBorder="1" applyAlignment="1">
      <alignment horizontal="center"/>
    </xf>
    <xf numFmtId="0" fontId="4" fillId="0" borderId="4" xfId="9" applyFont="1" applyBorder="1" applyAlignment="1">
      <alignment horizontal="center"/>
    </xf>
    <xf numFmtId="0" fontId="4" fillId="0" borderId="11" xfId="9" applyFont="1" applyBorder="1" applyAlignment="1">
      <alignment horizontal="center"/>
    </xf>
    <xf numFmtId="0" fontId="4" fillId="0" borderId="2" xfId="9" applyFont="1" applyBorder="1" applyAlignment="1">
      <alignment horizontal="center"/>
    </xf>
    <xf numFmtId="0" fontId="8" fillId="0" borderId="12" xfId="9" applyFont="1" applyBorder="1" applyAlignment="1">
      <alignment horizontal="center"/>
    </xf>
    <xf numFmtId="0" fontId="50" fillId="0" borderId="4" xfId="9" applyFont="1" applyBorder="1"/>
    <xf numFmtId="0" fontId="7" fillId="0" borderId="0" xfId="9"/>
    <xf numFmtId="0" fontId="5" fillId="0" borderId="4" xfId="9" applyFont="1" applyBorder="1" applyAlignment="1">
      <alignment horizontal="center"/>
    </xf>
    <xf numFmtId="0" fontId="8" fillId="0" borderId="4" xfId="9" applyFont="1" applyBorder="1" applyAlignment="1">
      <alignment horizontal="center"/>
    </xf>
    <xf numFmtId="0" fontId="5" fillId="3" borderId="1" xfId="9" applyFont="1" applyFill="1" applyBorder="1" applyAlignment="1">
      <alignment horizontal="center" vertical="center" wrapText="1"/>
    </xf>
    <xf numFmtId="1" fontId="5" fillId="3" borderId="2" xfId="9" applyNumberFormat="1" applyFont="1" applyFill="1" applyBorder="1" applyAlignment="1">
      <alignment horizontal="center"/>
    </xf>
    <xf numFmtId="1" fontId="5" fillId="3" borderId="2" xfId="9" applyNumberFormat="1" applyFont="1" applyFill="1" applyBorder="1" applyAlignment="1">
      <alignment horizontal="center" wrapText="1"/>
    </xf>
    <xf numFmtId="1" fontId="4" fillId="0" borderId="6" xfId="9" applyNumberFormat="1" applyFont="1" applyBorder="1" applyAlignment="1">
      <alignment horizontal="center"/>
    </xf>
    <xf numFmtId="1" fontId="4" fillId="0" borderId="4" xfId="9" applyNumberFormat="1" applyFont="1" applyBorder="1" applyAlignment="1">
      <alignment horizontal="center" wrapText="1"/>
    </xf>
    <xf numFmtId="0" fontId="4" fillId="2" borderId="7" xfId="9" applyFont="1" applyFill="1" applyBorder="1" applyAlignment="1">
      <alignment horizontal="center"/>
    </xf>
    <xf numFmtId="0" fontId="4" fillId="2" borderId="0" xfId="9" applyFont="1" applyFill="1" applyAlignment="1">
      <alignment horizontal="left" indent="1"/>
    </xf>
    <xf numFmtId="0" fontId="4" fillId="3" borderId="8" xfId="9" applyFont="1" applyFill="1" applyBorder="1" applyAlignment="1">
      <alignment horizontal="center"/>
    </xf>
    <xf numFmtId="0" fontId="4" fillId="3" borderId="9" xfId="9" applyFont="1" applyFill="1" applyBorder="1"/>
    <xf numFmtId="0" fontId="5" fillId="3" borderId="9" xfId="9" applyFont="1" applyFill="1" applyBorder="1" applyAlignment="1">
      <alignment horizontal="center"/>
    </xf>
    <xf numFmtId="1" fontId="5" fillId="3" borderId="9" xfId="9" applyNumberFormat="1" applyFont="1" applyFill="1" applyBorder="1" applyAlignment="1">
      <alignment horizontal="center"/>
    </xf>
    <xf numFmtId="167" fontId="4" fillId="3" borderId="9" xfId="9" applyNumberFormat="1" applyFont="1" applyFill="1" applyBorder="1" applyAlignment="1">
      <alignment horizontal="center" wrapText="1"/>
    </xf>
    <xf numFmtId="0" fontId="4" fillId="3" borderId="10" xfId="9" applyFont="1" applyFill="1" applyBorder="1" applyAlignment="1">
      <alignment horizontal="center"/>
    </xf>
    <xf numFmtId="16" fontId="8" fillId="0" borderId="12" xfId="9" applyNumberFormat="1" applyFont="1" applyBorder="1" applyAlignment="1">
      <alignment horizontal="center"/>
    </xf>
    <xf numFmtId="9" fontId="4" fillId="2" borderId="0" xfId="14" applyFont="1" applyFill="1"/>
    <xf numFmtId="1" fontId="8" fillId="0" borderId="4" xfId="9" applyNumberFormat="1" applyFont="1" applyBorder="1" applyAlignment="1">
      <alignment horizontal="center"/>
    </xf>
    <xf numFmtId="1" fontId="8" fillId="0" borderId="4" xfId="9" applyNumberFormat="1" applyFont="1" applyBorder="1" applyAlignment="1">
      <alignment horizontal="center" wrapText="1"/>
    </xf>
    <xf numFmtId="0" fontId="5" fillId="3" borderId="13" xfId="9" applyFont="1" applyFill="1" applyBorder="1" applyAlignment="1">
      <alignment horizontal="center"/>
    </xf>
    <xf numFmtId="0" fontId="5" fillId="9" borderId="5" xfId="9" applyFont="1" applyFill="1" applyBorder="1" applyAlignment="1">
      <alignment horizontal="center"/>
    </xf>
    <xf numFmtId="0" fontId="5" fillId="9" borderId="15" xfId="9" applyFont="1" applyFill="1" applyBorder="1" applyAlignment="1">
      <alignment horizontal="center"/>
    </xf>
    <xf numFmtId="0" fontId="10" fillId="0" borderId="12" xfId="9" applyFont="1" applyBorder="1" applyAlignment="1">
      <alignment horizontal="center"/>
    </xf>
    <xf numFmtId="0" fontId="4" fillId="9" borderId="15" xfId="9" applyFont="1" applyFill="1" applyBorder="1" applyAlignment="1">
      <alignment horizontal="center"/>
    </xf>
    <xf numFmtId="1" fontId="4" fillId="0" borderId="2" xfId="9" applyNumberFormat="1" applyFont="1" applyBorder="1" applyAlignment="1">
      <alignment horizontal="center"/>
    </xf>
    <xf numFmtId="167" fontId="4" fillId="2" borderId="0" xfId="9" applyNumberFormat="1" applyFont="1" applyFill="1" applyAlignment="1">
      <alignment horizontal="center" wrapText="1"/>
    </xf>
    <xf numFmtId="1" fontId="4" fillId="2" borderId="0" xfId="9" applyNumberFormat="1" applyFont="1" applyFill="1" applyAlignment="1">
      <alignment horizontal="center"/>
    </xf>
    <xf numFmtId="16" fontId="4" fillId="0" borderId="12" xfId="9" applyNumberFormat="1" applyFont="1" applyBorder="1" applyAlignment="1">
      <alignment horizontal="center"/>
    </xf>
    <xf numFmtId="0" fontId="7" fillId="0" borderId="4" xfId="9" applyBorder="1" applyAlignment="1">
      <alignment horizontal="center"/>
    </xf>
    <xf numFmtId="0" fontId="7" fillId="0" borderId="4" xfId="9" applyBorder="1"/>
    <xf numFmtId="49" fontId="4" fillId="0" borderId="4" xfId="9" applyNumberFormat="1" applyFont="1" applyBorder="1" applyAlignment="1">
      <alignment horizontal="center"/>
    </xf>
    <xf numFmtId="49" fontId="5" fillId="0" borderId="4" xfId="9" applyNumberFormat="1" applyFont="1" applyBorder="1"/>
    <xf numFmtId="49" fontId="4" fillId="0" borderId="4" xfId="9" applyNumberFormat="1" applyFont="1" applyBorder="1" applyAlignment="1">
      <alignment horizontal="right"/>
    </xf>
    <xf numFmtId="0" fontId="8" fillId="0" borderId="12" xfId="9" applyFont="1" applyBorder="1"/>
    <xf numFmtId="49" fontId="5" fillId="0" borderId="4" xfId="9" applyNumberFormat="1" applyFont="1" applyBorder="1" applyAlignment="1">
      <alignment horizontal="left"/>
    </xf>
    <xf numFmtId="0" fontId="7" fillId="0" borderId="70" xfId="9" applyBorder="1" applyAlignment="1">
      <alignment horizontal="left" vertical="center"/>
    </xf>
    <xf numFmtId="0" fontId="7" fillId="0" borderId="71" xfId="9" applyBorder="1" applyAlignment="1">
      <alignment horizontal="center" vertical="center"/>
    </xf>
    <xf numFmtId="0" fontId="7" fillId="0" borderId="70" xfId="9" applyBorder="1" applyAlignment="1">
      <alignment horizontal="center" vertical="center"/>
    </xf>
    <xf numFmtId="0" fontId="4" fillId="3" borderId="9" xfId="9" applyFont="1" applyFill="1" applyBorder="1" applyAlignment="1">
      <alignment horizontal="center"/>
    </xf>
    <xf numFmtId="0" fontId="4" fillId="2" borderId="0" xfId="9" applyFont="1" applyFill="1" applyAlignment="1">
      <alignment horizontal="center"/>
    </xf>
    <xf numFmtId="0" fontId="7" fillId="10" borderId="4" xfId="9" applyFill="1" applyBorder="1" applyAlignment="1">
      <alignment horizontal="center"/>
    </xf>
    <xf numFmtId="0" fontId="7" fillId="10" borderId="4" xfId="9" applyFill="1" applyBorder="1"/>
    <xf numFmtId="0" fontId="7" fillId="0" borderId="20" xfId="9" applyBorder="1" applyAlignment="1">
      <alignment horizontal="center"/>
    </xf>
    <xf numFmtId="0" fontId="7" fillId="0" borderId="12" xfId="9" applyBorder="1" applyAlignment="1">
      <alignment horizontal="center"/>
    </xf>
    <xf numFmtId="0" fontId="7" fillId="9" borderId="4" xfId="9" applyFill="1" applyBorder="1" applyAlignment="1">
      <alignment horizontal="center"/>
    </xf>
    <xf numFmtId="0" fontId="7" fillId="9" borderId="4" xfId="9" applyFill="1" applyBorder="1"/>
    <xf numFmtId="0" fontId="7" fillId="9" borderId="0" xfId="9" applyFill="1" applyAlignment="1">
      <alignment horizontal="center"/>
    </xf>
    <xf numFmtId="0" fontId="7" fillId="9" borderId="0" xfId="9" applyFill="1"/>
    <xf numFmtId="1" fontId="4" fillId="0" borderId="11" xfId="9" applyNumberFormat="1" applyFont="1" applyBorder="1" applyAlignment="1">
      <alignment horizontal="center"/>
    </xf>
    <xf numFmtId="1" fontId="4" fillId="0" borderId="14" xfId="9" applyNumberFormat="1" applyFont="1" applyBorder="1" applyAlignment="1">
      <alignment horizontal="center"/>
    </xf>
    <xf numFmtId="2" fontId="18" fillId="14" borderId="0" xfId="0" applyNumberFormat="1" applyFont="1" applyFill="1" applyAlignment="1">
      <alignment horizontal="center"/>
    </xf>
    <xf numFmtId="0" fontId="9" fillId="14" borderId="0" xfId="0" applyFont="1" applyFill="1" applyAlignment="1">
      <alignment vertical="center"/>
    </xf>
    <xf numFmtId="0" fontId="41" fillId="2" borderId="3" xfId="11" applyFont="1" applyFill="1" applyBorder="1" applyAlignment="1">
      <alignment horizontal="right"/>
    </xf>
    <xf numFmtId="0" fontId="7" fillId="2" borderId="1" xfId="11" applyFont="1" applyFill="1" applyBorder="1" applyAlignment="1">
      <alignment horizontal="center"/>
    </xf>
    <xf numFmtId="0" fontId="7" fillId="2" borderId="0" xfId="0" applyFont="1" applyFill="1"/>
    <xf numFmtId="0" fontId="41" fillId="2" borderId="4" xfId="11" applyFont="1" applyFill="1" applyBorder="1" applyAlignment="1">
      <alignment horizontal="right"/>
    </xf>
    <xf numFmtId="49" fontId="7" fillId="2" borderId="5" xfId="11" applyNumberFormat="1" applyFont="1" applyFill="1" applyBorder="1" applyAlignment="1">
      <alignment horizontal="center"/>
    </xf>
    <xf numFmtId="0" fontId="7" fillId="2" borderId="4" xfId="11" applyFont="1" applyFill="1" applyBorder="1" applyAlignment="1">
      <alignment horizontal="right"/>
    </xf>
    <xf numFmtId="0" fontId="7" fillId="2" borderId="2" xfId="11" applyFont="1" applyFill="1" applyBorder="1" applyAlignment="1">
      <alignment horizontal="right"/>
    </xf>
    <xf numFmtId="0" fontId="7" fillId="2" borderId="0" xfId="11" applyFont="1" applyFill="1" applyAlignment="1">
      <alignment horizontal="center"/>
    </xf>
    <xf numFmtId="0" fontId="7" fillId="2" borderId="0" xfId="11" applyFont="1" applyFill="1" applyAlignment="1">
      <alignment horizontal="right"/>
    </xf>
    <xf numFmtId="0" fontId="7" fillId="2" borderId="0" xfId="11" applyFont="1" applyFill="1" applyAlignment="1">
      <alignment horizontal="left"/>
    </xf>
    <xf numFmtId="0" fontId="41" fillId="2" borderId="0" xfId="11" applyFont="1" applyFill="1" applyAlignment="1">
      <alignment horizontal="right" vertical="top" wrapText="1"/>
    </xf>
    <xf numFmtId="14" fontId="7" fillId="2" borderId="0" xfId="11" applyNumberFormat="1" applyFont="1" applyFill="1" applyAlignment="1">
      <alignment horizontal="center" vertical="center" wrapText="1"/>
    </xf>
    <xf numFmtId="14" fontId="53" fillId="2" borderId="0" xfId="11" applyNumberFormat="1" applyFont="1" applyFill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1" fontId="41" fillId="3" borderId="29" xfId="0" applyNumberFormat="1" applyFont="1" applyFill="1" applyBorder="1" applyAlignment="1">
      <alignment horizontal="center"/>
    </xf>
    <xf numFmtId="1" fontId="41" fillId="3" borderId="2" xfId="0" applyNumberFormat="1" applyFont="1" applyFill="1" applyBorder="1" applyAlignment="1">
      <alignment horizontal="center" wrapText="1"/>
    </xf>
    <xf numFmtId="1" fontId="41" fillId="3" borderId="2" xfId="0" applyNumberFormat="1" applyFont="1" applyFill="1" applyBorder="1" applyAlignment="1">
      <alignment horizontal="center"/>
    </xf>
    <xf numFmtId="0" fontId="41" fillId="3" borderId="30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41" fillId="9" borderId="15" xfId="0" applyFont="1" applyFill="1" applyBorder="1" applyAlignment="1">
      <alignment horizontal="center"/>
    </xf>
    <xf numFmtId="0" fontId="43" fillId="0" borderId="4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9" fillId="0" borderId="6" xfId="0" applyFont="1" applyBorder="1"/>
    <xf numFmtId="0" fontId="2" fillId="0" borderId="6" xfId="0" applyFont="1" applyBorder="1"/>
    <xf numFmtId="49" fontId="44" fillId="2" borderId="21" xfId="0" applyNumberFormat="1" applyFont="1" applyFill="1" applyBorder="1" applyAlignment="1">
      <alignment horizontal="center" vertical="center"/>
    </xf>
    <xf numFmtId="49" fontId="44" fillId="2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 wrapText="1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Alignment="1">
      <alignment horizontal="left" indent="1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9" xfId="0" applyFont="1" applyFill="1" applyBorder="1"/>
    <xf numFmtId="0" fontId="41" fillId="3" borderId="9" xfId="0" applyFont="1" applyFill="1" applyBorder="1" applyAlignment="1">
      <alignment horizontal="center"/>
    </xf>
    <xf numFmtId="1" fontId="41" fillId="3" borderId="9" xfId="0" applyNumberFormat="1" applyFont="1" applyFill="1" applyBorder="1" applyAlignment="1">
      <alignment horizontal="center"/>
    </xf>
    <xf numFmtId="167" fontId="7" fillId="3" borderId="9" xfId="0" applyNumberFormat="1" applyFont="1" applyFill="1" applyBorder="1" applyAlignment="1">
      <alignment horizontal="center" wrapText="1"/>
    </xf>
    <xf numFmtId="0" fontId="7" fillId="3" borderId="10" xfId="0" applyFont="1" applyFill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9" fontId="7" fillId="2" borderId="0" xfId="14" applyFill="1"/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4" fillId="2" borderId="0" xfId="0" applyFont="1" applyFill="1" applyAlignment="1">
      <alignment vertical="center"/>
    </xf>
    <xf numFmtId="0" fontId="5" fillId="2" borderId="3" xfId="11" applyFont="1" applyFill="1" applyBorder="1" applyAlignment="1">
      <alignment horizontal="right"/>
    </xf>
    <xf numFmtId="0" fontId="47" fillId="2" borderId="1" xfId="11" applyFont="1" applyFill="1" applyBorder="1" applyAlignment="1">
      <alignment horizontal="center"/>
    </xf>
    <xf numFmtId="0" fontId="4" fillId="2" borderId="0" xfId="9" applyFont="1" applyFill="1"/>
    <xf numFmtId="0" fontId="5" fillId="2" borderId="4" xfId="11" applyFont="1" applyFill="1" applyBorder="1" applyAlignment="1">
      <alignment horizontal="right"/>
    </xf>
    <xf numFmtId="0" fontId="4" fillId="2" borderId="6" xfId="11" applyFont="1" applyFill="1" applyBorder="1" applyAlignment="1">
      <alignment horizontal="right"/>
    </xf>
    <xf numFmtId="0" fontId="4" fillId="2" borderId="4" xfId="11" applyFont="1" applyFill="1" applyBorder="1" applyAlignment="1">
      <alignment horizontal="right"/>
    </xf>
    <xf numFmtId="14" fontId="54" fillId="2" borderId="10" xfId="11" applyNumberFormat="1" applyFont="1" applyFill="1" applyBorder="1" applyAlignment="1">
      <alignment horizontal="center" vertical="center"/>
    </xf>
    <xf numFmtId="1" fontId="5" fillId="3" borderId="2" xfId="9" applyNumberFormat="1" applyFont="1" applyFill="1" applyBorder="1" applyAlignment="1">
      <alignment horizontal="center" vertical="center"/>
    </xf>
    <xf numFmtId="1" fontId="5" fillId="3" borderId="2" xfId="9" applyNumberFormat="1" applyFont="1" applyFill="1" applyBorder="1" applyAlignment="1">
      <alignment horizontal="center" vertical="center" wrapText="1"/>
    </xf>
    <xf numFmtId="1" fontId="5" fillId="3" borderId="29" xfId="9" applyNumberFormat="1" applyFont="1" applyFill="1" applyBorder="1" applyAlignment="1">
      <alignment horizontal="center" vertical="center"/>
    </xf>
    <xf numFmtId="1" fontId="5" fillId="3" borderId="29" xfId="9" applyNumberFormat="1" applyFont="1" applyFill="1" applyBorder="1" applyAlignment="1">
      <alignment horizontal="center" vertical="center" wrapText="1"/>
    </xf>
    <xf numFmtId="0" fontId="5" fillId="3" borderId="30" xfId="9" applyFont="1" applyFill="1" applyBorder="1" applyAlignment="1">
      <alignment horizontal="center" vertical="center"/>
    </xf>
    <xf numFmtId="1" fontId="5" fillId="0" borderId="4" xfId="9" applyNumberFormat="1" applyFont="1" applyBorder="1"/>
    <xf numFmtId="0" fontId="4" fillId="0" borderId="15" xfId="9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0" borderId="32" xfId="0" applyBorder="1" applyAlignment="1">
      <alignment horizontal="center"/>
    </xf>
    <xf numFmtId="49" fontId="4" fillId="0" borderId="6" xfId="9" applyNumberFormat="1" applyFont="1" applyBorder="1" applyAlignment="1">
      <alignment horizontal="right"/>
    </xf>
    <xf numFmtId="0" fontId="0" fillId="0" borderId="0" xfId="0" applyAlignment="1">
      <alignment horizontal="center"/>
    </xf>
    <xf numFmtId="49" fontId="5" fillId="0" borderId="26" xfId="9" applyNumberFormat="1" applyFont="1" applyBorder="1" applyAlignment="1">
      <alignment horizontal="center"/>
    </xf>
    <xf numFmtId="1" fontId="49" fillId="0" borderId="4" xfId="9" applyNumberFormat="1" applyFont="1" applyBorder="1" applyAlignment="1">
      <alignment horizontal="center" wrapText="1"/>
    </xf>
    <xf numFmtId="1" fontId="10" fillId="0" borderId="4" xfId="9" applyNumberFormat="1" applyFont="1" applyBorder="1" applyAlignment="1">
      <alignment horizontal="center" wrapText="1"/>
    </xf>
    <xf numFmtId="0" fontId="4" fillId="0" borderId="0" xfId="9" applyFont="1"/>
    <xf numFmtId="0" fontId="4" fillId="3" borderId="33" xfId="9" applyFont="1" applyFill="1" applyBorder="1" applyAlignment="1">
      <alignment horizontal="center"/>
    </xf>
    <xf numFmtId="0" fontId="39" fillId="2" borderId="34" xfId="9" applyFont="1" applyFill="1" applyBorder="1" applyAlignment="1">
      <alignment horizontal="left" vertical="center"/>
    </xf>
    <xf numFmtId="0" fontId="39" fillId="2" borderId="17" xfId="9" applyFont="1" applyFill="1" applyBorder="1" applyAlignment="1">
      <alignment horizontal="left" vertical="center"/>
    </xf>
    <xf numFmtId="0" fontId="39" fillId="2" borderId="17" xfId="9" applyFont="1" applyFill="1" applyBorder="1" applyAlignment="1">
      <alignment vertical="center"/>
    </xf>
    <xf numFmtId="0" fontId="4" fillId="2" borderId="17" xfId="9" applyFont="1" applyFill="1" applyBorder="1"/>
    <xf numFmtId="0" fontId="4" fillId="2" borderId="12" xfId="9" applyFont="1" applyFill="1" applyBorder="1"/>
    <xf numFmtId="0" fontId="4" fillId="2" borderId="34" xfId="9" applyFont="1" applyFill="1" applyBorder="1"/>
    <xf numFmtId="0" fontId="4" fillId="2" borderId="1" xfId="11" applyFont="1" applyFill="1" applyBorder="1" applyAlignment="1">
      <alignment horizontal="center"/>
    </xf>
    <xf numFmtId="49" fontId="4" fillId="2" borderId="5" xfId="11" applyNumberFormat="1" applyFont="1" applyFill="1" applyBorder="1" applyAlignment="1">
      <alignment horizontal="center"/>
    </xf>
    <xf numFmtId="0" fontId="4" fillId="2" borderId="29" xfId="11" applyFont="1" applyFill="1" applyBorder="1" applyAlignment="1">
      <alignment horizontal="right"/>
    </xf>
    <xf numFmtId="14" fontId="53" fillId="2" borderId="10" xfId="11" applyNumberFormat="1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" fontId="8" fillId="2" borderId="4" xfId="0" applyNumberFormat="1" applyFont="1" applyFill="1" applyBorder="1" applyAlignment="1">
      <alignment horizontal="center"/>
    </xf>
    <xf numFmtId="1" fontId="10" fillId="2" borderId="4" xfId="0" applyNumberFormat="1" applyFont="1" applyFill="1" applyBorder="1" applyAlignment="1">
      <alignment horizontal="center"/>
    </xf>
    <xf numFmtId="1" fontId="8" fillId="2" borderId="4" xfId="0" applyNumberFormat="1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49" fontId="39" fillId="2" borderId="21" xfId="0" applyNumberFormat="1" applyFont="1" applyFill="1" applyBorder="1" applyAlignment="1">
      <alignment horizontal="center" vertical="center"/>
    </xf>
    <xf numFmtId="49" fontId="39" fillId="2" borderId="0" xfId="0" applyNumberFormat="1" applyFont="1" applyFill="1" applyAlignment="1">
      <alignment horizontal="center" vertical="center"/>
    </xf>
    <xf numFmtId="9" fontId="4" fillId="2" borderId="0" xfId="12" applyFont="1" applyFill="1"/>
    <xf numFmtId="0" fontId="39" fillId="2" borderId="0" xfId="0" applyFont="1" applyFill="1" applyAlignment="1">
      <alignment vertical="center"/>
    </xf>
    <xf numFmtId="0" fontId="4" fillId="2" borderId="4" xfId="0" applyFont="1" applyFill="1" applyBorder="1"/>
    <xf numFmtId="0" fontId="4" fillId="2" borderId="6" xfId="10" applyFont="1" applyFill="1" applyBorder="1" applyAlignment="1">
      <alignment horizontal="right"/>
    </xf>
    <xf numFmtId="0" fontId="4" fillId="2" borderId="4" xfId="10" applyFont="1" applyFill="1" applyBorder="1" applyAlignment="1">
      <alignment horizontal="right"/>
    </xf>
    <xf numFmtId="0" fontId="5" fillId="13" borderId="4" xfId="0" applyFont="1" applyFill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16" fontId="4" fillId="0" borderId="4" xfId="0" applyNumberFormat="1" applyFont="1" applyBorder="1" applyAlignment="1">
      <alignment horizontal="center"/>
    </xf>
    <xf numFmtId="16" fontId="8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49" fontId="8" fillId="0" borderId="35" xfId="0" applyNumberFormat="1" applyFont="1" applyBorder="1" applyAlignment="1">
      <alignment horizontal="center"/>
    </xf>
    <xf numFmtId="49" fontId="9" fillId="0" borderId="29" xfId="0" applyNumberFormat="1" applyFont="1" applyBorder="1"/>
    <xf numFmtId="16" fontId="8" fillId="0" borderId="29" xfId="0" applyNumberFormat="1" applyFont="1" applyBorder="1" applyAlignment="1">
      <alignment horizontal="center"/>
    </xf>
    <xf numFmtId="1" fontId="10" fillId="0" borderId="29" xfId="0" applyNumberFormat="1" applyFont="1" applyBorder="1" applyAlignment="1">
      <alignment horizontal="center"/>
    </xf>
    <xf numFmtId="1" fontId="10" fillId="0" borderId="29" xfId="0" applyNumberFormat="1" applyFont="1" applyBorder="1" applyAlignment="1">
      <alignment horizontal="center" wrapText="1"/>
    </xf>
    <xf numFmtId="1" fontId="4" fillId="0" borderId="36" xfId="0" applyNumberFormat="1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49" fontId="8" fillId="9" borderId="38" xfId="0" applyNumberFormat="1" applyFont="1" applyFill="1" applyBorder="1" applyAlignment="1">
      <alignment horizontal="center"/>
    </xf>
    <xf numFmtId="49" fontId="8" fillId="9" borderId="39" xfId="0" applyNumberFormat="1" applyFont="1" applyFill="1" applyBorder="1" applyAlignment="1">
      <alignment horizontal="center"/>
    </xf>
    <xf numFmtId="49" fontId="9" fillId="9" borderId="39" xfId="0" applyNumberFormat="1" applyFont="1" applyFill="1" applyBorder="1"/>
    <xf numFmtId="16" fontId="8" fillId="9" borderId="39" xfId="0" applyNumberFormat="1" applyFont="1" applyFill="1" applyBorder="1" applyAlignment="1">
      <alignment horizontal="center"/>
    </xf>
    <xf numFmtId="1" fontId="10" fillId="9" borderId="39" xfId="0" applyNumberFormat="1" applyFont="1" applyFill="1" applyBorder="1" applyAlignment="1">
      <alignment horizontal="center"/>
    </xf>
    <xf numFmtId="1" fontId="10" fillId="9" borderId="39" xfId="0" applyNumberFormat="1" applyFont="1" applyFill="1" applyBorder="1" applyAlignment="1">
      <alignment horizontal="center" wrapText="1"/>
    </xf>
    <xf numFmtId="1" fontId="4" fillId="9" borderId="39" xfId="0" applyNumberFormat="1" applyFont="1" applyFill="1" applyBorder="1" applyAlignment="1">
      <alignment horizontal="center"/>
    </xf>
    <xf numFmtId="0" fontId="4" fillId="9" borderId="39" xfId="0" applyFont="1" applyFill="1" applyBorder="1" applyAlignment="1">
      <alignment horizontal="center"/>
    </xf>
    <xf numFmtId="0" fontId="4" fillId="9" borderId="40" xfId="0" applyFont="1" applyFill="1" applyBorder="1" applyAlignment="1">
      <alignment horizontal="center"/>
    </xf>
    <xf numFmtId="49" fontId="8" fillId="9" borderId="21" xfId="0" applyNumberFormat="1" applyFont="1" applyFill="1" applyBorder="1" applyAlignment="1">
      <alignment horizontal="center"/>
    </xf>
    <xf numFmtId="49" fontId="8" fillId="9" borderId="0" xfId="0" applyNumberFormat="1" applyFont="1" applyFill="1" applyAlignment="1">
      <alignment horizontal="center"/>
    </xf>
    <xf numFmtId="49" fontId="9" fillId="9" borderId="0" xfId="0" applyNumberFormat="1" applyFont="1" applyFill="1"/>
    <xf numFmtId="16" fontId="8" fillId="9" borderId="0" xfId="0" applyNumberFormat="1" applyFont="1" applyFill="1" applyAlignment="1">
      <alignment horizontal="center"/>
    </xf>
    <xf numFmtId="1" fontId="10" fillId="9" borderId="0" xfId="0" applyNumberFormat="1" applyFont="1" applyFill="1" applyAlignment="1">
      <alignment horizontal="center"/>
    </xf>
    <xf numFmtId="1" fontId="10" fillId="9" borderId="0" xfId="0" applyNumberFormat="1" applyFont="1" applyFill="1" applyAlignment="1">
      <alignment horizontal="center" wrapText="1"/>
    </xf>
    <xf numFmtId="1" fontId="4" fillId="9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9" borderId="41" xfId="0" quotePrefix="1" applyFont="1" applyFill="1" applyBorder="1" applyAlignment="1">
      <alignment horizontal="right"/>
    </xf>
    <xf numFmtId="0" fontId="4" fillId="9" borderId="33" xfId="0" quotePrefix="1" applyFont="1" applyFill="1" applyBorder="1" applyAlignment="1">
      <alignment horizontal="right"/>
    </xf>
    <xf numFmtId="0" fontId="4" fillId="9" borderId="33" xfId="0" quotePrefix="1" applyFont="1" applyFill="1" applyBorder="1"/>
    <xf numFmtId="0" fontId="8" fillId="9" borderId="33" xfId="0" applyFont="1" applyFill="1" applyBorder="1"/>
    <xf numFmtId="1" fontId="4" fillId="9" borderId="33" xfId="0" applyNumberFormat="1" applyFont="1" applyFill="1" applyBorder="1" applyAlignment="1">
      <alignment horizontal="center" wrapText="1"/>
    </xf>
    <xf numFmtId="0" fontId="4" fillId="9" borderId="42" xfId="0" applyFont="1" applyFill="1" applyBorder="1" applyAlignment="1">
      <alignment horizontal="center"/>
    </xf>
    <xf numFmtId="0" fontId="4" fillId="2" borderId="34" xfId="0" applyFont="1" applyFill="1" applyBorder="1"/>
    <xf numFmtId="0" fontId="4" fillId="2" borderId="17" xfId="0" applyFont="1" applyFill="1" applyBorder="1"/>
    <xf numFmtId="0" fontId="4" fillId="2" borderId="12" xfId="0" applyFont="1" applyFill="1" applyBorder="1"/>
    <xf numFmtId="0" fontId="39" fillId="2" borderId="17" xfId="0" applyFont="1" applyFill="1" applyBorder="1" applyAlignment="1">
      <alignment vertical="center"/>
    </xf>
    <xf numFmtId="0" fontId="4" fillId="2" borderId="11" xfId="0" applyFont="1" applyFill="1" applyBorder="1"/>
    <xf numFmtId="0" fontId="4" fillId="2" borderId="32" xfId="0" applyFont="1" applyFill="1" applyBorder="1"/>
    <xf numFmtId="0" fontId="4" fillId="2" borderId="14" xfId="0" applyFont="1" applyFill="1" applyBorder="1"/>
    <xf numFmtId="0" fontId="7" fillId="0" borderId="4" xfId="0" applyFont="1" applyBorder="1"/>
    <xf numFmtId="0" fontId="1" fillId="0" borderId="0" xfId="19"/>
    <xf numFmtId="0" fontId="4" fillId="0" borderId="5" xfId="28" applyFont="1" applyBorder="1" applyAlignment="1">
      <alignment horizontal="center"/>
    </xf>
    <xf numFmtId="0" fontId="4" fillId="0" borderId="6" xfId="28" applyFont="1" applyBorder="1" applyAlignment="1">
      <alignment horizontal="center"/>
    </xf>
    <xf numFmtId="1" fontId="4" fillId="0" borderId="4" xfId="28" applyNumberFormat="1" applyFont="1" applyBorder="1" applyAlignment="1">
      <alignment horizontal="center"/>
    </xf>
    <xf numFmtId="0" fontId="4" fillId="0" borderId="4" xfId="28" applyFont="1" applyBorder="1" applyAlignment="1">
      <alignment horizontal="center"/>
    </xf>
    <xf numFmtId="0" fontId="4" fillId="0" borderId="11" xfId="28" applyFont="1" applyBorder="1" applyAlignment="1">
      <alignment horizontal="center"/>
    </xf>
    <xf numFmtId="0" fontId="4" fillId="0" borderId="2" xfId="28" applyFont="1" applyBorder="1" applyAlignment="1">
      <alignment horizontal="center"/>
    </xf>
    <xf numFmtId="0" fontId="8" fillId="0" borderId="12" xfId="28" applyFont="1" applyBorder="1" applyAlignment="1">
      <alignment horizontal="center"/>
    </xf>
    <xf numFmtId="0" fontId="50" fillId="0" borderId="4" xfId="28" applyFont="1" applyBorder="1"/>
    <xf numFmtId="0" fontId="1" fillId="0" borderId="0" xfId="28"/>
    <xf numFmtId="0" fontId="5" fillId="3" borderId="1" xfId="28" applyFont="1" applyFill="1" applyBorder="1" applyAlignment="1">
      <alignment horizontal="center" vertical="center" wrapText="1"/>
    </xf>
    <xf numFmtId="1" fontId="5" fillId="3" borderId="2" xfId="28" applyNumberFormat="1" applyFont="1" applyFill="1" applyBorder="1" applyAlignment="1">
      <alignment horizontal="center"/>
    </xf>
    <xf numFmtId="1" fontId="5" fillId="3" borderId="2" xfId="28" applyNumberFormat="1" applyFont="1" applyFill="1" applyBorder="1" applyAlignment="1">
      <alignment horizontal="center" wrapText="1"/>
    </xf>
    <xf numFmtId="1" fontId="4" fillId="0" borderId="6" xfId="28" applyNumberFormat="1" applyFont="1" applyBorder="1" applyAlignment="1">
      <alignment horizontal="center"/>
    </xf>
    <xf numFmtId="1" fontId="4" fillId="0" borderId="4" xfId="28" applyNumberFormat="1" applyFont="1" applyBorder="1" applyAlignment="1">
      <alignment horizontal="center" wrapText="1"/>
    </xf>
    <xf numFmtId="0" fontId="4" fillId="2" borderId="7" xfId="28" applyFont="1" applyFill="1" applyBorder="1" applyAlignment="1">
      <alignment horizontal="center"/>
    </xf>
    <xf numFmtId="0" fontId="4" fillId="2" borderId="0" xfId="28" applyFont="1" applyFill="1" applyAlignment="1">
      <alignment horizontal="left" indent="1"/>
    </xf>
    <xf numFmtId="0" fontId="4" fillId="3" borderId="8" xfId="28" applyFont="1" applyFill="1" applyBorder="1" applyAlignment="1">
      <alignment horizontal="center"/>
    </xf>
    <xf numFmtId="0" fontId="4" fillId="3" borderId="9" xfId="28" applyFont="1" applyFill="1" applyBorder="1"/>
    <xf numFmtId="0" fontId="5" fillId="3" borderId="9" xfId="28" applyFont="1" applyFill="1" applyBorder="1" applyAlignment="1">
      <alignment horizontal="center"/>
    </xf>
    <xf numFmtId="1" fontId="5" fillId="3" borderId="9" xfId="28" applyNumberFormat="1" applyFont="1" applyFill="1" applyBorder="1" applyAlignment="1">
      <alignment horizontal="center"/>
    </xf>
    <xf numFmtId="167" fontId="4" fillId="3" borderId="9" xfId="28" applyNumberFormat="1" applyFont="1" applyFill="1" applyBorder="1" applyAlignment="1">
      <alignment horizontal="center" wrapText="1"/>
    </xf>
    <xf numFmtId="0" fontId="4" fillId="3" borderId="10" xfId="28" applyFont="1" applyFill="1" applyBorder="1" applyAlignment="1">
      <alignment horizontal="center"/>
    </xf>
    <xf numFmtId="16" fontId="8" fillId="0" borderId="12" xfId="28" applyNumberFormat="1" applyFont="1" applyBorder="1" applyAlignment="1">
      <alignment horizontal="center"/>
    </xf>
    <xf numFmtId="9" fontId="4" fillId="2" borderId="0" xfId="30" applyFont="1" applyFill="1"/>
    <xf numFmtId="1" fontId="8" fillId="0" borderId="4" xfId="28" applyNumberFormat="1" applyFont="1" applyBorder="1" applyAlignment="1">
      <alignment horizontal="center"/>
    </xf>
    <xf numFmtId="1" fontId="8" fillId="0" borderId="4" xfId="28" applyNumberFormat="1" applyFont="1" applyBorder="1" applyAlignment="1">
      <alignment horizontal="center" wrapText="1"/>
    </xf>
    <xf numFmtId="0" fontId="5" fillId="3" borderId="13" xfId="28" applyFont="1" applyFill="1" applyBorder="1" applyAlignment="1">
      <alignment horizontal="center"/>
    </xf>
    <xf numFmtId="0" fontId="5" fillId="9" borderId="5" xfId="28" applyFont="1" applyFill="1" applyBorder="1" applyAlignment="1">
      <alignment horizontal="center"/>
    </xf>
    <xf numFmtId="0" fontId="5" fillId="9" borderId="15" xfId="28" applyFont="1" applyFill="1" applyBorder="1" applyAlignment="1">
      <alignment horizontal="center"/>
    </xf>
    <xf numFmtId="0" fontId="10" fillId="0" borderId="12" xfId="28" applyFont="1" applyBorder="1" applyAlignment="1">
      <alignment horizontal="center"/>
    </xf>
    <xf numFmtId="0" fontId="4" fillId="9" borderId="15" xfId="28" applyFont="1" applyFill="1" applyBorder="1" applyAlignment="1">
      <alignment horizontal="center"/>
    </xf>
    <xf numFmtId="1" fontId="4" fillId="0" borderId="2" xfId="28" applyNumberFormat="1" applyFont="1" applyBorder="1" applyAlignment="1">
      <alignment horizontal="center"/>
    </xf>
    <xf numFmtId="167" fontId="4" fillId="2" borderId="0" xfId="28" applyNumberFormat="1" applyFont="1" applyFill="1" applyAlignment="1">
      <alignment horizontal="center" wrapText="1"/>
    </xf>
    <xf numFmtId="1" fontId="4" fillId="2" borderId="0" xfId="28" applyNumberFormat="1" applyFont="1" applyFill="1" applyAlignment="1">
      <alignment horizontal="center"/>
    </xf>
    <xf numFmtId="16" fontId="4" fillId="0" borderId="12" xfId="28" applyNumberFormat="1" applyFont="1" applyBorder="1" applyAlignment="1">
      <alignment horizontal="center"/>
    </xf>
    <xf numFmtId="0" fontId="1" fillId="0" borderId="4" xfId="28" applyBorder="1" applyAlignment="1">
      <alignment horizontal="center"/>
    </xf>
    <xf numFmtId="0" fontId="1" fillId="0" borderId="4" xfId="28" applyBorder="1"/>
    <xf numFmtId="49" fontId="4" fillId="0" borderId="4" xfId="28" applyNumberFormat="1" applyFont="1" applyBorder="1" applyAlignment="1">
      <alignment horizontal="center"/>
    </xf>
    <xf numFmtId="49" fontId="5" fillId="0" borderId="4" xfId="28" applyNumberFormat="1" applyFont="1" applyBorder="1"/>
    <xf numFmtId="49" fontId="4" fillId="0" borderId="4" xfId="28" applyNumberFormat="1" applyFont="1" applyBorder="1" applyAlignment="1">
      <alignment horizontal="right"/>
    </xf>
    <xf numFmtId="0" fontId="8" fillId="0" borderId="12" xfId="28" applyFont="1" applyBorder="1"/>
    <xf numFmtId="49" fontId="5" fillId="0" borderId="4" xfId="28" applyNumberFormat="1" applyFont="1" applyBorder="1" applyAlignment="1">
      <alignment horizontal="left"/>
    </xf>
    <xf numFmtId="0" fontId="1" fillId="0" borderId="70" xfId="28" applyBorder="1" applyAlignment="1">
      <alignment horizontal="left" vertical="center"/>
    </xf>
    <xf numFmtId="0" fontId="1" fillId="0" borderId="71" xfId="28" applyBorder="1" applyAlignment="1">
      <alignment horizontal="center" vertical="center"/>
    </xf>
    <xf numFmtId="0" fontId="1" fillId="0" borderId="70" xfId="28" applyBorder="1" applyAlignment="1">
      <alignment horizontal="center" vertical="center"/>
    </xf>
    <xf numFmtId="0" fontId="4" fillId="3" borderId="9" xfId="28" applyFont="1" applyFill="1" applyBorder="1" applyAlignment="1">
      <alignment horizontal="center"/>
    </xf>
    <xf numFmtId="0" fontId="4" fillId="2" borderId="0" xfId="28" applyFont="1" applyFill="1" applyAlignment="1">
      <alignment horizontal="center"/>
    </xf>
    <xf numFmtId="0" fontId="1" fillId="10" borderId="4" xfId="28" applyFill="1" applyBorder="1" applyAlignment="1">
      <alignment horizontal="center"/>
    </xf>
    <xf numFmtId="0" fontId="1" fillId="10" borderId="4" xfId="28" applyFill="1" applyBorder="1"/>
    <xf numFmtId="0" fontId="1" fillId="0" borderId="20" xfId="28" applyBorder="1" applyAlignment="1">
      <alignment horizontal="center"/>
    </xf>
    <xf numFmtId="0" fontId="1" fillId="0" borderId="12" xfId="28" applyBorder="1" applyAlignment="1">
      <alignment horizontal="center"/>
    </xf>
    <xf numFmtId="0" fontId="1" fillId="9" borderId="4" xfId="28" applyFill="1" applyBorder="1" applyAlignment="1">
      <alignment horizontal="center"/>
    </xf>
    <xf numFmtId="0" fontId="1" fillId="9" borderId="4" xfId="28" applyFill="1" applyBorder="1"/>
    <xf numFmtId="0" fontId="1" fillId="9" borderId="0" xfId="28" applyFill="1" applyAlignment="1">
      <alignment horizontal="center"/>
    </xf>
    <xf numFmtId="0" fontId="56" fillId="2" borderId="3" xfId="10" applyFont="1" applyFill="1" applyBorder="1" applyAlignment="1">
      <alignment horizontal="right"/>
    </xf>
    <xf numFmtId="0" fontId="55" fillId="2" borderId="1" xfId="10" applyFont="1" applyFill="1" applyBorder="1" applyAlignment="1">
      <alignment horizontal="center"/>
    </xf>
    <xf numFmtId="0" fontId="56" fillId="2" borderId="4" xfId="10" applyFont="1" applyFill="1" applyBorder="1" applyAlignment="1">
      <alignment horizontal="right"/>
    </xf>
    <xf numFmtId="49" fontId="55" fillId="2" borderId="5" xfId="10" applyNumberFormat="1" applyFont="1" applyFill="1" applyBorder="1" applyAlignment="1">
      <alignment horizontal="center"/>
    </xf>
    <xf numFmtId="0" fontId="55" fillId="2" borderId="6" xfId="10" applyFont="1" applyFill="1" applyBorder="1" applyAlignment="1">
      <alignment horizontal="right"/>
    </xf>
    <xf numFmtId="0" fontId="55" fillId="2" borderId="4" xfId="10" applyFont="1" applyFill="1" applyBorder="1" applyAlignment="1">
      <alignment horizontal="right"/>
    </xf>
    <xf numFmtId="14" fontId="57" fillId="2" borderId="0" xfId="11" applyNumberFormat="1" applyFont="1" applyFill="1" applyAlignment="1">
      <alignment horizontal="center" vertical="center" wrapText="1"/>
    </xf>
    <xf numFmtId="0" fontId="56" fillId="3" borderId="1" xfId="28" applyFont="1" applyFill="1" applyBorder="1" applyAlignment="1">
      <alignment horizontal="center" vertical="center" wrapText="1"/>
    </xf>
    <xf numFmtId="1" fontId="56" fillId="3" borderId="2" xfId="28" applyNumberFormat="1" applyFont="1" applyFill="1" applyBorder="1" applyAlignment="1">
      <alignment horizontal="center"/>
    </xf>
    <xf numFmtId="1" fontId="56" fillId="3" borderId="2" xfId="28" applyNumberFormat="1" applyFont="1" applyFill="1" applyBorder="1" applyAlignment="1">
      <alignment horizontal="center" wrapText="1"/>
    </xf>
    <xf numFmtId="0" fontId="56" fillId="3" borderId="30" xfId="28" applyFont="1" applyFill="1" applyBorder="1" applyAlignment="1">
      <alignment horizontal="center"/>
    </xf>
    <xf numFmtId="0" fontId="48" fillId="0" borderId="20" xfId="28" applyFont="1" applyBorder="1" applyAlignment="1">
      <alignment horizontal="center" vertical="center"/>
    </xf>
    <xf numFmtId="0" fontId="48" fillId="0" borderId="12" xfId="28" applyFont="1" applyBorder="1" applyAlignment="1">
      <alignment horizontal="center" vertical="center"/>
    </xf>
    <xf numFmtId="0" fontId="58" fillId="0" borderId="4" xfId="28" applyFont="1" applyBorder="1" applyAlignment="1">
      <alignment vertical="center"/>
    </xf>
    <xf numFmtId="0" fontId="48" fillId="0" borderId="4" xfId="28" applyFont="1" applyBorder="1" applyAlignment="1">
      <alignment horizontal="center" vertical="center"/>
    </xf>
    <xf numFmtId="1" fontId="48" fillId="0" borderId="4" xfId="28" applyNumberFormat="1" applyFont="1" applyBorder="1" applyAlignment="1">
      <alignment horizontal="center"/>
    </xf>
    <xf numFmtId="1" fontId="48" fillId="0" borderId="4" xfId="28" applyNumberFormat="1" applyFont="1" applyBorder="1" applyAlignment="1">
      <alignment horizontal="center" wrapText="1"/>
    </xf>
    <xf numFmtId="0" fontId="59" fillId="0" borderId="5" xfId="28" applyFont="1" applyBorder="1" applyAlignment="1">
      <alignment horizontal="center"/>
    </xf>
    <xf numFmtId="0" fontId="59" fillId="0" borderId="4" xfId="28" applyFont="1" applyBorder="1" applyAlignment="1">
      <alignment horizontal="center"/>
    </xf>
    <xf numFmtId="0" fontId="59" fillId="0" borderId="4" xfId="28" applyFont="1" applyBorder="1"/>
    <xf numFmtId="16" fontId="59" fillId="0" borderId="4" xfId="28" applyNumberFormat="1" applyFont="1" applyBorder="1" applyAlignment="1">
      <alignment horizontal="center"/>
    </xf>
    <xf numFmtId="1" fontId="59" fillId="0" borderId="4" xfId="28" applyNumberFormat="1" applyFont="1" applyBorder="1" applyAlignment="1">
      <alignment horizontal="center"/>
    </xf>
    <xf numFmtId="1" fontId="59" fillId="0" borderId="4" xfId="28" applyNumberFormat="1" applyFont="1" applyBorder="1" applyAlignment="1">
      <alignment horizontal="center" wrapText="1"/>
    </xf>
    <xf numFmtId="1" fontId="59" fillId="0" borderId="6" xfId="28" applyNumberFormat="1" applyFont="1" applyBorder="1" applyAlignment="1">
      <alignment horizontal="center"/>
    </xf>
    <xf numFmtId="12" fontId="59" fillId="0" borderId="6" xfId="28" applyNumberFormat="1" applyFont="1" applyBorder="1" applyAlignment="1">
      <alignment horizontal="center"/>
    </xf>
    <xf numFmtId="170" fontId="59" fillId="0" borderId="4" xfId="28" applyNumberFormat="1" applyFont="1" applyBorder="1" applyAlignment="1">
      <alignment horizontal="center"/>
    </xf>
    <xf numFmtId="49" fontId="59" fillId="0" borderId="20" xfId="28" applyNumberFormat="1" applyFont="1" applyBorder="1" applyAlignment="1">
      <alignment horizontal="center"/>
    </xf>
    <xf numFmtId="49" fontId="59" fillId="0" borderId="12" xfId="28" applyNumberFormat="1" applyFont="1" applyBorder="1" applyAlignment="1">
      <alignment horizontal="center"/>
    </xf>
    <xf numFmtId="0" fontId="48" fillId="9" borderId="4" xfId="28" applyFont="1" applyFill="1" applyBorder="1" applyAlignment="1">
      <alignment horizontal="left"/>
    </xf>
    <xf numFmtId="0" fontId="59" fillId="9" borderId="4" xfId="28" applyFont="1" applyFill="1" applyBorder="1" applyAlignment="1">
      <alignment horizontal="center"/>
    </xf>
    <xf numFmtId="0" fontId="59" fillId="9" borderId="4" xfId="28" applyFont="1" applyFill="1" applyBorder="1"/>
    <xf numFmtId="16" fontId="59" fillId="9" borderId="4" xfId="28" applyNumberFormat="1" applyFont="1" applyFill="1" applyBorder="1" applyAlignment="1">
      <alignment horizontal="center"/>
    </xf>
    <xf numFmtId="1" fontId="59" fillId="9" borderId="4" xfId="28" applyNumberFormat="1" applyFont="1" applyFill="1" applyBorder="1" applyAlignment="1">
      <alignment horizontal="center" wrapText="1"/>
    </xf>
    <xf numFmtId="0" fontId="58" fillId="9" borderId="4" xfId="28" applyFont="1" applyFill="1" applyBorder="1" applyAlignment="1">
      <alignment vertical="center"/>
    </xf>
    <xf numFmtId="0" fontId="48" fillId="0" borderId="12" xfId="28" applyFont="1" applyBorder="1" applyAlignment="1">
      <alignment horizontal="center"/>
    </xf>
    <xf numFmtId="170" fontId="48" fillId="0" borderId="4" xfId="28" applyNumberFormat="1" applyFont="1" applyBorder="1" applyAlignment="1">
      <alignment horizontal="center"/>
    </xf>
    <xf numFmtId="0" fontId="59" fillId="0" borderId="0" xfId="28" applyFont="1"/>
    <xf numFmtId="0" fontId="59" fillId="9" borderId="6" xfId="28" applyFont="1" applyFill="1" applyBorder="1" applyAlignment="1">
      <alignment horizontal="center"/>
    </xf>
    <xf numFmtId="171" fontId="48" fillId="9" borderId="4" xfId="31" applyNumberFormat="1" applyFont="1" applyFill="1" applyBorder="1" applyAlignment="1">
      <alignment horizontal="center"/>
    </xf>
    <xf numFmtId="0" fontId="59" fillId="9" borderId="4" xfId="28" applyFont="1" applyFill="1" applyBorder="1" applyAlignment="1">
      <alignment horizontal="center" wrapText="1"/>
    </xf>
    <xf numFmtId="12" fontId="59" fillId="0" borderId="4" xfId="28" applyNumberFormat="1" applyFont="1" applyBorder="1" applyAlignment="1">
      <alignment horizontal="center"/>
    </xf>
    <xf numFmtId="49" fontId="59" fillId="0" borderId="4" xfId="28" applyNumberFormat="1" applyFont="1" applyBorder="1"/>
    <xf numFmtId="49" fontId="61" fillId="2" borderId="21" xfId="28" applyNumberFormat="1" applyFont="1" applyFill="1" applyBorder="1" applyAlignment="1">
      <alignment horizontal="center" vertical="center"/>
    </xf>
    <xf numFmtId="49" fontId="61" fillId="2" borderId="0" xfId="28" applyNumberFormat="1" applyFont="1" applyFill="1" applyAlignment="1">
      <alignment horizontal="center" vertical="center"/>
    </xf>
    <xf numFmtId="0" fontId="59" fillId="2" borderId="0" xfId="28" applyFont="1" applyFill="1"/>
    <xf numFmtId="1" fontId="59" fillId="2" borderId="0" xfId="28" applyNumberFormat="1" applyFont="1" applyFill="1" applyAlignment="1">
      <alignment horizontal="center"/>
    </xf>
    <xf numFmtId="167" fontId="59" fillId="2" borderId="0" xfId="28" applyNumberFormat="1" applyFont="1" applyFill="1" applyAlignment="1">
      <alignment horizontal="center" wrapText="1"/>
    </xf>
    <xf numFmtId="0" fontId="59" fillId="2" borderId="7" xfId="28" applyFont="1" applyFill="1" applyBorder="1" applyAlignment="1">
      <alignment horizontal="center"/>
    </xf>
    <xf numFmtId="0" fontId="59" fillId="3" borderId="8" xfId="28" applyFont="1" applyFill="1" applyBorder="1" applyAlignment="1">
      <alignment horizontal="center"/>
    </xf>
    <xf numFmtId="0" fontId="59" fillId="3" borderId="9" xfId="28" applyFont="1" applyFill="1" applyBorder="1" applyAlignment="1">
      <alignment horizontal="center"/>
    </xf>
    <xf numFmtId="0" fontId="59" fillId="3" borderId="9" xfId="28" applyFont="1" applyFill="1" applyBorder="1"/>
    <xf numFmtId="0" fontId="48" fillId="3" borderId="9" xfId="28" applyFont="1" applyFill="1" applyBorder="1" applyAlignment="1">
      <alignment horizontal="center"/>
    </xf>
    <xf numFmtId="1" fontId="48" fillId="3" borderId="9" xfId="28" applyNumberFormat="1" applyFont="1" applyFill="1" applyBorder="1" applyAlignment="1">
      <alignment horizontal="center"/>
    </xf>
    <xf numFmtId="167" fontId="59" fillId="3" borderId="9" xfId="28" applyNumberFormat="1" applyFont="1" applyFill="1" applyBorder="1" applyAlignment="1">
      <alignment horizontal="center" wrapText="1"/>
    </xf>
    <xf numFmtId="0" fontId="59" fillId="3" borderId="10" xfId="28" applyFont="1" applyFill="1" applyBorder="1" applyAlignment="1">
      <alignment horizontal="center"/>
    </xf>
    <xf numFmtId="0" fontId="59" fillId="0" borderId="11" xfId="28" applyFont="1" applyBorder="1" applyAlignment="1">
      <alignment horizontal="center"/>
    </xf>
    <xf numFmtId="0" fontId="48" fillId="0" borderId="4" xfId="28" applyFont="1" applyBorder="1" applyAlignment="1">
      <alignment horizontal="center"/>
    </xf>
    <xf numFmtId="1" fontId="59" fillId="0" borderId="2" xfId="28" applyNumberFormat="1" applyFont="1" applyBorder="1" applyAlignment="1">
      <alignment horizontal="center"/>
    </xf>
    <xf numFmtId="0" fontId="59" fillId="0" borderId="2" xfId="28" applyFont="1" applyBorder="1" applyAlignment="1">
      <alignment horizontal="center"/>
    </xf>
    <xf numFmtId="0" fontId="59" fillId="9" borderId="4" xfId="28" applyFont="1" applyFill="1" applyBorder="1" applyAlignment="1">
      <alignment wrapText="1"/>
    </xf>
    <xf numFmtId="0" fontId="59" fillId="0" borderId="4" xfId="0" applyFont="1" applyBorder="1"/>
    <xf numFmtId="49" fontId="48" fillId="0" borderId="4" xfId="28" applyNumberFormat="1" applyFont="1" applyBorder="1" applyAlignment="1">
      <alignment horizontal="center"/>
    </xf>
    <xf numFmtId="0" fontId="60" fillId="9" borderId="4" xfId="28" applyFont="1" applyFill="1" applyBorder="1" applyAlignment="1">
      <alignment horizontal="center"/>
    </xf>
    <xf numFmtId="49" fontId="59" fillId="0" borderId="4" xfId="28" applyNumberFormat="1" applyFont="1" applyBorder="1" applyAlignment="1">
      <alignment horizontal="center"/>
    </xf>
    <xf numFmtId="1" fontId="40" fillId="0" borderId="4" xfId="28" applyNumberFormat="1" applyFont="1" applyBorder="1" applyAlignment="1">
      <alignment horizontal="center" wrapText="1"/>
    </xf>
    <xf numFmtId="1" fontId="63" fillId="0" borderId="4" xfId="28" applyNumberFormat="1" applyFont="1" applyBorder="1" applyAlignment="1">
      <alignment horizontal="center" wrapText="1"/>
    </xf>
    <xf numFmtId="0" fontId="10" fillId="0" borderId="43" xfId="0" applyFont="1" applyBorder="1" applyAlignment="1">
      <alignment horizontal="left"/>
    </xf>
    <xf numFmtId="0" fontId="10" fillId="0" borderId="44" xfId="0" applyFont="1" applyBorder="1" applyAlignment="1">
      <alignment horizontal="left"/>
    </xf>
    <xf numFmtId="0" fontId="5" fillId="12" borderId="8" xfId="0" applyFont="1" applyFill="1" applyBorder="1" applyAlignment="1">
      <alignment horizontal="left"/>
    </xf>
    <xf numFmtId="0" fontId="5" fillId="12" borderId="9" xfId="0" applyFont="1" applyFill="1" applyBorder="1" applyAlignment="1">
      <alignment horizontal="left"/>
    </xf>
    <xf numFmtId="0" fontId="5" fillId="0" borderId="43" xfId="0" applyFont="1" applyBorder="1" applyAlignment="1">
      <alignment horizontal="right"/>
    </xf>
    <xf numFmtId="0" fontId="5" fillId="0" borderId="44" xfId="0" applyFont="1" applyBorder="1" applyAlignment="1">
      <alignment horizontal="right"/>
    </xf>
    <xf numFmtId="0" fontId="5" fillId="0" borderId="45" xfId="0" applyFont="1" applyBorder="1" applyAlignment="1">
      <alignment horizontal="right"/>
    </xf>
    <xf numFmtId="0" fontId="4" fillId="0" borderId="46" xfId="0" applyFont="1" applyBorder="1" applyAlignment="1">
      <alignment horizontal="right"/>
    </xf>
    <xf numFmtId="0" fontId="4" fillId="0" borderId="45" xfId="0" applyFont="1" applyBorder="1" applyAlignment="1">
      <alignment horizontal="right"/>
    </xf>
    <xf numFmtId="0" fontId="4" fillId="0" borderId="46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10" fillId="0" borderId="47" xfId="0" applyFont="1" applyBorder="1" applyAlignment="1">
      <alignment horizontal="left"/>
    </xf>
    <xf numFmtId="0" fontId="10" fillId="0" borderId="48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5" fillId="0" borderId="16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4" fillId="0" borderId="34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3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34" xfId="0" applyFont="1" applyBorder="1" applyAlignment="1">
      <alignment horizontal="right" wrapText="1"/>
    </xf>
    <xf numFmtId="0" fontId="4" fillId="0" borderId="12" xfId="0" applyFont="1" applyBorder="1" applyAlignment="1">
      <alignment horizontal="right" wrapText="1"/>
    </xf>
    <xf numFmtId="0" fontId="5" fillId="0" borderId="47" xfId="0" applyFont="1" applyBorder="1" applyAlignment="1">
      <alignment horizontal="right"/>
    </xf>
    <xf numFmtId="0" fontId="5" fillId="0" borderId="48" xfId="0" applyFont="1" applyBorder="1" applyAlignment="1">
      <alignment horizontal="right"/>
    </xf>
    <xf numFmtId="0" fontId="5" fillId="0" borderId="49" xfId="0" applyFont="1" applyBorder="1" applyAlignment="1">
      <alignment horizontal="right"/>
    </xf>
    <xf numFmtId="0" fontId="4" fillId="0" borderId="50" xfId="0" applyFont="1" applyBorder="1" applyAlignment="1">
      <alignment horizontal="right"/>
    </xf>
    <xf numFmtId="0" fontId="4" fillId="0" borderId="49" xfId="0" applyFont="1" applyBorder="1" applyAlignment="1">
      <alignment horizontal="right"/>
    </xf>
    <xf numFmtId="0" fontId="4" fillId="11" borderId="50" xfId="0" applyFont="1" applyFill="1" applyBorder="1" applyAlignment="1">
      <alignment horizontal="center"/>
    </xf>
    <xf numFmtId="0" fontId="4" fillId="11" borderId="48" xfId="0" applyFont="1" applyFill="1" applyBorder="1" applyAlignment="1">
      <alignment horizontal="center"/>
    </xf>
    <xf numFmtId="14" fontId="4" fillId="11" borderId="13" xfId="0" applyNumberFormat="1" applyFont="1" applyFill="1" applyBorder="1" applyAlignment="1">
      <alignment horizontal="center" vertical="center" wrapText="1"/>
    </xf>
    <xf numFmtId="14" fontId="4" fillId="11" borderId="37" xfId="0" applyNumberFormat="1" applyFont="1" applyFill="1" applyBorder="1" applyAlignment="1">
      <alignment horizontal="center" vertical="center" wrapText="1"/>
    </xf>
    <xf numFmtId="14" fontId="4" fillId="11" borderId="55" xfId="0" applyNumberFormat="1" applyFont="1" applyFill="1" applyBorder="1" applyAlignment="1">
      <alignment horizontal="center" vertical="center" wrapText="1"/>
    </xf>
    <xf numFmtId="0" fontId="4" fillId="11" borderId="50" xfId="0" applyFont="1" applyFill="1" applyBorder="1" applyAlignment="1">
      <alignment horizontal="left"/>
    </xf>
    <xf numFmtId="0" fontId="4" fillId="11" borderId="48" xfId="0" applyFont="1" applyFill="1" applyBorder="1" applyAlignment="1">
      <alignment horizontal="left"/>
    </xf>
    <xf numFmtId="0" fontId="4" fillId="11" borderId="46" xfId="0" applyFont="1" applyFill="1" applyBorder="1" applyAlignment="1">
      <alignment horizontal="left"/>
    </xf>
    <xf numFmtId="0" fontId="4" fillId="11" borderId="44" xfId="0" applyFont="1" applyFill="1" applyBorder="1" applyAlignment="1">
      <alignment horizontal="left"/>
    </xf>
    <xf numFmtId="0" fontId="5" fillId="12" borderId="50" xfId="0" applyFont="1" applyFill="1" applyBorder="1" applyAlignment="1">
      <alignment horizontal="center" vertical="center"/>
    </xf>
    <xf numFmtId="0" fontId="5" fillId="12" borderId="49" xfId="0" applyFont="1" applyFill="1" applyBorder="1" applyAlignment="1">
      <alignment horizontal="center" vertical="center"/>
    </xf>
    <xf numFmtId="0" fontId="4" fillId="11" borderId="38" xfId="0" applyFont="1" applyFill="1" applyBorder="1" applyAlignment="1">
      <alignment horizontal="center"/>
    </xf>
    <xf numFmtId="0" fontId="4" fillId="11" borderId="39" xfId="0" applyFont="1" applyFill="1" applyBorder="1" applyAlignment="1">
      <alignment horizontal="center"/>
    </xf>
    <xf numFmtId="0" fontId="4" fillId="11" borderId="2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1" borderId="33" xfId="0" applyFont="1" applyFill="1" applyBorder="1" applyAlignment="1">
      <alignment horizontal="center"/>
    </xf>
    <xf numFmtId="0" fontId="3" fillId="11" borderId="48" xfId="0" applyFont="1" applyFill="1" applyBorder="1" applyAlignment="1">
      <alignment horizontal="center"/>
    </xf>
    <xf numFmtId="0" fontId="3" fillId="11" borderId="49" xfId="0" applyFont="1" applyFill="1" applyBorder="1" applyAlignment="1">
      <alignment horizontal="center"/>
    </xf>
    <xf numFmtId="0" fontId="3" fillId="11" borderId="44" xfId="0" applyFont="1" applyFill="1" applyBorder="1" applyAlignment="1">
      <alignment horizontal="center"/>
    </xf>
    <xf numFmtId="0" fontId="3" fillId="11" borderId="45" xfId="0" applyFont="1" applyFill="1" applyBorder="1" applyAlignment="1">
      <alignment horizontal="center"/>
    </xf>
    <xf numFmtId="0" fontId="6" fillId="15" borderId="8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right" vertical="top" wrapText="1"/>
    </xf>
    <xf numFmtId="0" fontId="5" fillId="11" borderId="53" xfId="0" applyFont="1" applyFill="1" applyBorder="1" applyAlignment="1">
      <alignment horizontal="right" vertical="top" wrapText="1"/>
    </xf>
    <xf numFmtId="0" fontId="5" fillId="11" borderId="54" xfId="0" applyFont="1" applyFill="1" applyBorder="1" applyAlignment="1">
      <alignment horizontal="right" vertical="top" wrapText="1"/>
    </xf>
    <xf numFmtId="0" fontId="5" fillId="12" borderId="51" xfId="0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5" fillId="12" borderId="52" xfId="0" applyFont="1" applyFill="1" applyBorder="1" applyAlignment="1">
      <alignment horizontal="center" vertical="center"/>
    </xf>
    <xf numFmtId="0" fontId="5" fillId="12" borderId="36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21" fillId="0" borderId="38" xfId="0" applyFont="1" applyBorder="1" applyAlignment="1">
      <alignment horizontal="right"/>
    </xf>
    <xf numFmtId="0" fontId="21" fillId="0" borderId="39" xfId="0" applyFont="1" applyBorder="1" applyAlignment="1">
      <alignment horizontal="right"/>
    </xf>
    <xf numFmtId="4" fontId="34" fillId="0" borderId="0" xfId="2" applyNumberFormat="1" applyFont="1" applyFill="1" applyAlignment="1">
      <alignment horizontal="center" vertical="center" wrapText="1"/>
    </xf>
    <xf numFmtId="0" fontId="9" fillId="0" borderId="4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8" fillId="0" borderId="4" xfId="0" applyFont="1" applyBorder="1" applyAlignment="1">
      <alignment horizontal="right" vertical="center"/>
    </xf>
    <xf numFmtId="0" fontId="29" fillId="0" borderId="21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7" xfId="0" applyFont="1" applyBorder="1" applyAlignment="1">
      <alignment horizontal="right"/>
    </xf>
    <xf numFmtId="0" fontId="20" fillId="0" borderId="0" xfId="0" applyFont="1" applyAlignment="1">
      <alignment horizontal="center" vertical="center"/>
    </xf>
    <xf numFmtId="0" fontId="36" fillId="0" borderId="8" xfId="0" applyFont="1" applyBorder="1" applyAlignment="1">
      <alignment horizontal="right" vertical="center"/>
    </xf>
    <xf numFmtId="0" fontId="36" fillId="0" borderId="9" xfId="0" applyFont="1" applyBorder="1" applyAlignment="1">
      <alignment horizontal="right" vertical="center"/>
    </xf>
    <xf numFmtId="0" fontId="36" fillId="0" borderId="10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33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5" fillId="4" borderId="8" xfId="0" applyFont="1" applyFill="1" applyBorder="1" applyAlignment="1">
      <alignment horizontal="right"/>
    </xf>
    <xf numFmtId="0" fontId="25" fillId="4" borderId="9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2" fillId="0" borderId="33" xfId="0" applyFont="1" applyBorder="1" applyAlignment="1">
      <alignment horizontal="right" vertical="center"/>
    </xf>
    <xf numFmtId="0" fontId="12" fillId="0" borderId="42" xfId="0" applyFont="1" applyBorder="1" applyAlignment="1">
      <alignment horizontal="right" vertical="center"/>
    </xf>
    <xf numFmtId="0" fontId="12" fillId="8" borderId="8" xfId="0" applyFont="1" applyFill="1" applyBorder="1" applyAlignment="1">
      <alignment horizontal="right" vertical="center"/>
    </xf>
    <xf numFmtId="0" fontId="12" fillId="8" borderId="9" xfId="0" applyFont="1" applyFill="1" applyBorder="1" applyAlignment="1">
      <alignment horizontal="right" vertical="center"/>
    </xf>
    <xf numFmtId="0" fontId="12" fillId="8" borderId="10" xfId="0" applyFont="1" applyFill="1" applyBorder="1" applyAlignment="1">
      <alignment horizontal="right" vertical="center"/>
    </xf>
    <xf numFmtId="0" fontId="4" fillId="0" borderId="56" xfId="0" applyFont="1" applyBorder="1" applyAlignment="1">
      <alignment horizontal="left"/>
    </xf>
    <xf numFmtId="0" fontId="4" fillId="0" borderId="45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3" fillId="2" borderId="49" xfId="10" applyFont="1" applyFill="1" applyBorder="1" applyAlignment="1">
      <alignment horizontal="center"/>
    </xf>
    <xf numFmtId="0" fontId="3" fillId="2" borderId="3" xfId="10" applyFont="1" applyFill="1" applyBorder="1" applyAlignment="1">
      <alignment horizontal="center"/>
    </xf>
    <xf numFmtId="0" fontId="3" fillId="2" borderId="35" xfId="10" applyFont="1" applyFill="1" applyBorder="1" applyAlignment="1">
      <alignment horizontal="center"/>
    </xf>
    <xf numFmtId="0" fontId="3" fillId="2" borderId="29" xfId="10" applyFont="1" applyFill="1" applyBorder="1" applyAlignment="1">
      <alignment horizontal="center"/>
    </xf>
    <xf numFmtId="0" fontId="6" fillId="5" borderId="9" xfId="10" applyFont="1" applyFill="1" applyBorder="1" applyAlignment="1">
      <alignment horizontal="center" vertical="center" wrapText="1"/>
    </xf>
    <xf numFmtId="0" fontId="6" fillId="5" borderId="10" xfId="10" applyFont="1" applyFill="1" applyBorder="1" applyAlignment="1">
      <alignment horizontal="center" vertical="center" wrapText="1"/>
    </xf>
    <xf numFmtId="0" fontId="5" fillId="2" borderId="35" xfId="10" applyFont="1" applyFill="1" applyBorder="1" applyAlignment="1">
      <alignment horizontal="right" vertical="top" wrapText="1"/>
    </xf>
    <xf numFmtId="0" fontId="5" fillId="2" borderId="53" xfId="10" applyFont="1" applyFill="1" applyBorder="1" applyAlignment="1">
      <alignment horizontal="right" vertical="top" wrapText="1"/>
    </xf>
    <xf numFmtId="0" fontId="5" fillId="2" borderId="54" xfId="10" applyFont="1" applyFill="1" applyBorder="1" applyAlignment="1">
      <alignment horizontal="right" vertical="top" wrapText="1"/>
    </xf>
    <xf numFmtId="14" fontId="4" fillId="2" borderId="13" xfId="10" applyNumberFormat="1" applyFont="1" applyFill="1" applyBorder="1" applyAlignment="1">
      <alignment horizontal="center" vertical="center" wrapText="1"/>
    </xf>
    <xf numFmtId="14" fontId="4" fillId="2" borderId="37" xfId="10" applyNumberFormat="1" applyFont="1" applyFill="1" applyBorder="1" applyAlignment="1">
      <alignment horizontal="center" vertical="center" wrapText="1"/>
    </xf>
    <xf numFmtId="0" fontId="4" fillId="2" borderId="50" xfId="10" applyFont="1" applyFill="1" applyBorder="1" applyAlignment="1">
      <alignment horizontal="left"/>
    </xf>
    <xf numFmtId="0" fontId="4" fillId="2" borderId="48" xfId="10" applyFont="1" applyFill="1" applyBorder="1" applyAlignment="1">
      <alignment horizontal="left"/>
    </xf>
    <xf numFmtId="0" fontId="4" fillId="2" borderId="49" xfId="10" applyFont="1" applyFill="1" applyBorder="1" applyAlignment="1">
      <alignment horizontal="left"/>
    </xf>
    <xf numFmtId="0" fontId="4" fillId="2" borderId="34" xfId="10" applyFont="1" applyFill="1" applyBorder="1" applyAlignment="1">
      <alignment horizontal="left"/>
    </xf>
    <xf numFmtId="0" fontId="4" fillId="2" borderId="17" xfId="10" applyFont="1" applyFill="1" applyBorder="1" applyAlignment="1">
      <alignment horizontal="left"/>
    </xf>
    <xf numFmtId="0" fontId="4" fillId="2" borderId="12" xfId="10" applyFont="1" applyFill="1" applyBorder="1" applyAlignment="1">
      <alignment horizontal="left"/>
    </xf>
    <xf numFmtId="0" fontId="5" fillId="3" borderId="31" xfId="0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58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167" fontId="4" fillId="0" borderId="6" xfId="0" applyNumberFormat="1" applyFont="1" applyBorder="1" applyAlignment="1">
      <alignment horizontal="right"/>
    </xf>
    <xf numFmtId="0" fontId="4" fillId="9" borderId="11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0" fontId="5" fillId="0" borderId="56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67" fontId="4" fillId="0" borderId="46" xfId="0" applyNumberFormat="1" applyFont="1" applyBorder="1" applyAlignment="1">
      <alignment horizontal="center"/>
    </xf>
    <xf numFmtId="167" fontId="4" fillId="0" borderId="61" xfId="0" applyNumberFormat="1" applyFont="1" applyBorder="1" applyAlignment="1">
      <alignment horizontal="center"/>
    </xf>
    <xf numFmtId="0" fontId="4" fillId="2" borderId="4" xfId="1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right"/>
    </xf>
    <xf numFmtId="167" fontId="4" fillId="0" borderId="34" xfId="0" applyNumberFormat="1" applyFont="1" applyBorder="1" applyAlignment="1">
      <alignment horizontal="center"/>
    </xf>
    <xf numFmtId="167" fontId="4" fillId="0" borderId="60" xfId="0" applyNumberFormat="1" applyFont="1" applyBorder="1" applyAlignment="1">
      <alignment horizontal="center"/>
    </xf>
    <xf numFmtId="167" fontId="4" fillId="0" borderId="34" xfId="0" applyNumberFormat="1" applyFont="1" applyBorder="1" applyAlignment="1">
      <alignment horizontal="right" wrapText="1"/>
    </xf>
    <xf numFmtId="167" fontId="4" fillId="0" borderId="12" xfId="0" applyNumberFormat="1" applyFont="1" applyBorder="1" applyAlignment="1">
      <alignment horizontal="right" wrapText="1"/>
    </xf>
    <xf numFmtId="1" fontId="4" fillId="0" borderId="34" xfId="0" applyNumberFormat="1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0" fontId="4" fillId="9" borderId="34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10" fillId="0" borderId="16" xfId="9" applyFont="1" applyBorder="1" applyAlignment="1">
      <alignment horizontal="left"/>
    </xf>
    <xf numFmtId="0" fontId="10" fillId="0" borderId="17" xfId="9" applyFont="1" applyBorder="1" applyAlignment="1">
      <alignment horizontal="left"/>
    </xf>
    <xf numFmtId="0" fontId="10" fillId="0" borderId="60" xfId="9" applyFont="1" applyBorder="1" applyAlignment="1">
      <alignment horizontal="left"/>
    </xf>
    <xf numFmtId="0" fontId="5" fillId="16" borderId="56" xfId="0" applyFont="1" applyFill="1" applyBorder="1" applyAlignment="1">
      <alignment horizontal="left"/>
    </xf>
    <xf numFmtId="0" fontId="5" fillId="16" borderId="45" xfId="0" applyFont="1" applyFill="1" applyBorder="1" applyAlignment="1">
      <alignment horizontal="left"/>
    </xf>
    <xf numFmtId="0" fontId="5" fillId="16" borderId="2" xfId="0" applyFont="1" applyFill="1" applyBorder="1" applyAlignment="1">
      <alignment horizontal="left"/>
    </xf>
    <xf numFmtId="0" fontId="5" fillId="16" borderId="30" xfId="0" applyFont="1" applyFill="1" applyBorder="1" applyAlignment="1">
      <alignment horizontal="left"/>
    </xf>
    <xf numFmtId="0" fontId="5" fillId="3" borderId="49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 wrapText="1"/>
    </xf>
    <xf numFmtId="0" fontId="5" fillId="3" borderId="65" xfId="0" applyFont="1" applyFill="1" applyBorder="1" applyAlignment="1">
      <alignment horizontal="center" vertical="center" wrapText="1"/>
    </xf>
    <xf numFmtId="0" fontId="4" fillId="2" borderId="62" xfId="10" applyFont="1" applyFill="1" applyBorder="1" applyAlignment="1">
      <alignment horizontal="center"/>
    </xf>
    <xf numFmtId="0" fontId="4" fillId="2" borderId="39" xfId="10" applyFont="1" applyFill="1" applyBorder="1" applyAlignment="1">
      <alignment horizontal="center"/>
    </xf>
    <xf numFmtId="0" fontId="4" fillId="2" borderId="63" xfId="10" applyFont="1" applyFill="1" applyBorder="1" applyAlignment="1">
      <alignment horizontal="center"/>
    </xf>
    <xf numFmtId="0" fontId="4" fillId="2" borderId="0" xfId="10" applyFont="1" applyFill="1" applyAlignment="1">
      <alignment horizontal="center"/>
    </xf>
    <xf numFmtId="0" fontId="4" fillId="2" borderId="64" xfId="10" applyFont="1" applyFill="1" applyBorder="1" applyAlignment="1">
      <alignment horizontal="center"/>
    </xf>
    <xf numFmtId="0" fontId="4" fillId="2" borderId="33" xfId="10" applyFont="1" applyFill="1" applyBorder="1" applyAlignment="1">
      <alignment horizontal="center"/>
    </xf>
    <xf numFmtId="0" fontId="6" fillId="5" borderId="8" xfId="10" applyFont="1" applyFill="1" applyBorder="1" applyAlignment="1">
      <alignment horizontal="center" vertical="center" wrapText="1"/>
    </xf>
    <xf numFmtId="1" fontId="10" fillId="0" borderId="34" xfId="0" applyNumberFormat="1" applyFont="1" applyBorder="1" applyAlignment="1">
      <alignment horizontal="center"/>
    </xf>
    <xf numFmtId="1" fontId="10" fillId="0" borderId="12" xfId="0" applyNumberFormat="1" applyFont="1" applyBorder="1" applyAlignment="1">
      <alignment horizontal="center"/>
    </xf>
    <xf numFmtId="0" fontId="5" fillId="3" borderId="38" xfId="0" applyFont="1" applyFill="1" applyBorder="1" applyAlignment="1">
      <alignment horizontal="left"/>
    </xf>
    <xf numFmtId="0" fontId="5" fillId="3" borderId="39" xfId="0" applyFont="1" applyFill="1" applyBorder="1" applyAlignment="1">
      <alignment horizontal="left"/>
    </xf>
    <xf numFmtId="0" fontId="5" fillId="3" borderId="40" xfId="0" applyFont="1" applyFill="1" applyBorder="1" applyAlignment="1">
      <alignment horizontal="left"/>
    </xf>
    <xf numFmtId="0" fontId="8" fillId="0" borderId="58" xfId="0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8" fillId="0" borderId="59" xfId="0" applyFont="1" applyBorder="1" applyAlignment="1">
      <alignment horizontal="left"/>
    </xf>
    <xf numFmtId="0" fontId="5" fillId="3" borderId="6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/>
    </xf>
    <xf numFmtId="0" fontId="4" fillId="2" borderId="38" xfId="10" applyFont="1" applyFill="1" applyBorder="1" applyAlignment="1">
      <alignment horizontal="center"/>
    </xf>
    <xf numFmtId="0" fontId="4" fillId="2" borderId="21" xfId="10" applyFont="1" applyFill="1" applyBorder="1" applyAlignment="1">
      <alignment horizontal="center"/>
    </xf>
    <xf numFmtId="0" fontId="4" fillId="2" borderId="41" xfId="10" applyFont="1" applyFill="1" applyBorder="1" applyAlignment="1">
      <alignment horizontal="center"/>
    </xf>
    <xf numFmtId="0" fontId="4" fillId="0" borderId="67" xfId="0" applyFont="1" applyBorder="1" applyAlignment="1">
      <alignment horizontal="left"/>
    </xf>
    <xf numFmtId="0" fontId="4" fillId="0" borderId="54" xfId="0" applyFont="1" applyBorder="1" applyAlignment="1">
      <alignment horizontal="left"/>
    </xf>
    <xf numFmtId="0" fontId="4" fillId="0" borderId="65" xfId="0" applyFont="1" applyBorder="1" applyAlignment="1">
      <alignment horizontal="left"/>
    </xf>
    <xf numFmtId="0" fontId="4" fillId="0" borderId="55" xfId="0" applyFont="1" applyBorder="1" applyAlignment="1">
      <alignment horizontal="left"/>
    </xf>
    <xf numFmtId="0" fontId="8" fillId="0" borderId="41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8" fillId="0" borderId="42" xfId="0" applyFont="1" applyBorder="1" applyAlignment="1">
      <alignment horizontal="left"/>
    </xf>
    <xf numFmtId="0" fontId="5" fillId="16" borderId="67" xfId="0" applyFont="1" applyFill="1" applyBorder="1" applyAlignment="1">
      <alignment horizontal="left"/>
    </xf>
    <xf numFmtId="0" fontId="5" fillId="16" borderId="54" xfId="0" applyFont="1" applyFill="1" applyBorder="1" applyAlignment="1">
      <alignment horizontal="left"/>
    </xf>
    <xf numFmtId="0" fontId="5" fillId="16" borderId="65" xfId="0" applyFont="1" applyFill="1" applyBorder="1" applyAlignment="1">
      <alignment horizontal="left"/>
    </xf>
    <xf numFmtId="0" fontId="5" fillId="16" borderId="55" xfId="0" applyFont="1" applyFill="1" applyBorder="1" applyAlignment="1">
      <alignment horizontal="left"/>
    </xf>
    <xf numFmtId="0" fontId="4" fillId="2" borderId="68" xfId="10" applyFont="1" applyFill="1" applyBorder="1" applyAlignment="1">
      <alignment horizontal="center"/>
    </xf>
    <xf numFmtId="0" fontId="4" fillId="2" borderId="53" xfId="10" applyFont="1" applyFill="1" applyBorder="1" applyAlignment="1">
      <alignment horizontal="center"/>
    </xf>
    <xf numFmtId="0" fontId="6" fillId="5" borderId="22" xfId="10" applyFont="1" applyFill="1" applyBorder="1" applyAlignment="1">
      <alignment horizontal="center"/>
    </xf>
    <xf numFmtId="0" fontId="6" fillId="5" borderId="23" xfId="10" applyFont="1" applyFill="1" applyBorder="1" applyAlignment="1">
      <alignment horizontal="center"/>
    </xf>
    <xf numFmtId="0" fontId="6" fillId="5" borderId="24" xfId="10" applyFont="1" applyFill="1" applyBorder="1" applyAlignment="1">
      <alignment horizontal="center"/>
    </xf>
    <xf numFmtId="14" fontId="4" fillId="2" borderId="13" xfId="11" applyNumberFormat="1" applyFont="1" applyFill="1" applyBorder="1" applyAlignment="1">
      <alignment horizontal="center" vertical="center" wrapText="1"/>
    </xf>
    <xf numFmtId="14" fontId="4" fillId="2" borderId="37" xfId="11" applyNumberFormat="1" applyFont="1" applyFill="1" applyBorder="1" applyAlignment="1">
      <alignment horizontal="center" vertical="center" wrapText="1"/>
    </xf>
    <xf numFmtId="0" fontId="4" fillId="2" borderId="50" xfId="11" applyFont="1" applyFill="1" applyBorder="1" applyAlignment="1">
      <alignment horizontal="left"/>
    </xf>
    <xf numFmtId="0" fontId="4" fillId="2" borderId="48" xfId="11" applyFont="1" applyFill="1" applyBorder="1" applyAlignment="1">
      <alignment horizontal="left"/>
    </xf>
    <xf numFmtId="0" fontId="4" fillId="2" borderId="49" xfId="11" applyFont="1" applyFill="1" applyBorder="1" applyAlignment="1">
      <alignment horizontal="left"/>
    </xf>
    <xf numFmtId="0" fontId="4" fillId="2" borderId="69" xfId="11" applyFont="1" applyFill="1" applyBorder="1" applyAlignment="1">
      <alignment horizontal="left"/>
    </xf>
    <xf numFmtId="0" fontId="4" fillId="2" borderId="19" xfId="11" applyFont="1" applyFill="1" applyBorder="1" applyAlignment="1">
      <alignment horizontal="left"/>
    </xf>
    <xf numFmtId="0" fontId="4" fillId="2" borderId="35" xfId="11" applyFont="1" applyFill="1" applyBorder="1" applyAlignment="1">
      <alignment horizontal="left"/>
    </xf>
    <xf numFmtId="0" fontId="40" fillId="2" borderId="8" xfId="11" applyFont="1" applyFill="1" applyBorder="1" applyAlignment="1">
      <alignment horizontal="right"/>
    </xf>
    <xf numFmtId="0" fontId="40" fillId="2" borderId="9" xfId="11" applyFont="1" applyFill="1" applyBorder="1" applyAlignment="1">
      <alignment horizontal="right"/>
    </xf>
    <xf numFmtId="0" fontId="53" fillId="2" borderId="9" xfId="11" applyFont="1" applyFill="1" applyBorder="1" applyAlignment="1">
      <alignment horizontal="center"/>
    </xf>
    <xf numFmtId="0" fontId="40" fillId="2" borderId="9" xfId="11" applyFont="1" applyFill="1" applyBorder="1"/>
    <xf numFmtId="0" fontId="4" fillId="2" borderId="38" xfId="11" applyFont="1" applyFill="1" applyBorder="1" applyAlignment="1">
      <alignment horizontal="center"/>
    </xf>
    <xf numFmtId="0" fontId="4" fillId="2" borderId="39" xfId="11" applyFont="1" applyFill="1" applyBorder="1" applyAlignment="1">
      <alignment horizontal="center"/>
    </xf>
    <xf numFmtId="0" fontId="4" fillId="2" borderId="21" xfId="11" applyFont="1" applyFill="1" applyBorder="1" applyAlignment="1">
      <alignment horizontal="center"/>
    </xf>
    <xf numFmtId="0" fontId="4" fillId="2" borderId="0" xfId="11" applyFont="1" applyFill="1" applyAlignment="1">
      <alignment horizontal="center"/>
    </xf>
    <xf numFmtId="0" fontId="4" fillId="2" borderId="41" xfId="11" applyFont="1" applyFill="1" applyBorder="1" applyAlignment="1">
      <alignment horizontal="center"/>
    </xf>
    <xf numFmtId="0" fontId="4" fillId="2" borderId="33" xfId="11" applyFont="1" applyFill="1" applyBorder="1" applyAlignment="1">
      <alignment horizontal="center"/>
    </xf>
    <xf numFmtId="0" fontId="3" fillId="2" borderId="3" xfId="11" applyFont="1" applyFill="1" applyBorder="1" applyAlignment="1">
      <alignment horizontal="center"/>
    </xf>
    <xf numFmtId="0" fontId="3" fillId="2" borderId="29" xfId="11" applyFont="1" applyFill="1" applyBorder="1" applyAlignment="1">
      <alignment horizontal="center"/>
    </xf>
    <xf numFmtId="0" fontId="6" fillId="5" borderId="8" xfId="11" applyFont="1" applyFill="1" applyBorder="1" applyAlignment="1">
      <alignment horizontal="center" vertical="center" wrapText="1"/>
    </xf>
    <xf numFmtId="0" fontId="6" fillId="5" borderId="9" xfId="11" applyFont="1" applyFill="1" applyBorder="1" applyAlignment="1">
      <alignment horizontal="center" vertical="center" wrapText="1"/>
    </xf>
    <xf numFmtId="0" fontId="6" fillId="5" borderId="10" xfId="11" applyFont="1" applyFill="1" applyBorder="1" applyAlignment="1">
      <alignment horizontal="center" vertical="center" wrapText="1"/>
    </xf>
    <xf numFmtId="0" fontId="5" fillId="2" borderId="35" xfId="11" applyFont="1" applyFill="1" applyBorder="1" applyAlignment="1">
      <alignment horizontal="right" vertical="top" wrapText="1"/>
    </xf>
    <xf numFmtId="0" fontId="5" fillId="2" borderId="53" xfId="11" applyFont="1" applyFill="1" applyBorder="1" applyAlignment="1">
      <alignment horizontal="right" vertical="top" wrapText="1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6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2" borderId="34" xfId="11" applyFont="1" applyFill="1" applyBorder="1" applyAlignment="1">
      <alignment horizontal="left"/>
    </xf>
    <xf numFmtId="0" fontId="4" fillId="2" borderId="17" xfId="11" applyFont="1" applyFill="1" applyBorder="1" applyAlignment="1">
      <alignment horizontal="left"/>
    </xf>
    <xf numFmtId="0" fontId="4" fillId="2" borderId="12" xfId="11" applyFont="1" applyFill="1" applyBorder="1" applyAlignment="1">
      <alignment horizontal="left"/>
    </xf>
    <xf numFmtId="0" fontId="48" fillId="2" borderId="8" xfId="11" applyFont="1" applyFill="1" applyBorder="1" applyAlignment="1">
      <alignment horizontal="right" vertical="center"/>
    </xf>
    <xf numFmtId="0" fontId="48" fillId="2" borderId="9" xfId="11" applyFont="1" applyFill="1" applyBorder="1" applyAlignment="1">
      <alignment horizontal="right" vertical="center"/>
    </xf>
    <xf numFmtId="0" fontId="54" fillId="2" borderId="9" xfId="11" applyFont="1" applyFill="1" applyBorder="1" applyAlignment="1">
      <alignment horizontal="center" vertical="center"/>
    </xf>
    <xf numFmtId="0" fontId="48" fillId="2" borderId="9" xfId="11" applyFont="1" applyFill="1" applyBorder="1" applyAlignment="1">
      <alignment horizontal="center" vertical="center"/>
    </xf>
    <xf numFmtId="0" fontId="6" fillId="5" borderId="22" xfId="11" applyFont="1" applyFill="1" applyBorder="1" applyAlignment="1">
      <alignment horizontal="center"/>
    </xf>
    <xf numFmtId="0" fontId="6" fillId="5" borderId="23" xfId="11" applyFont="1" applyFill="1" applyBorder="1" applyAlignment="1">
      <alignment horizontal="center"/>
    </xf>
    <xf numFmtId="0" fontId="6" fillId="5" borderId="24" xfId="11" applyFont="1" applyFill="1" applyBorder="1" applyAlignment="1">
      <alignment horizontal="center"/>
    </xf>
    <xf numFmtId="0" fontId="5" fillId="2" borderId="54" xfId="11" applyFont="1" applyFill="1" applyBorder="1" applyAlignment="1">
      <alignment horizontal="right" vertical="top" wrapText="1"/>
    </xf>
    <xf numFmtId="0" fontId="5" fillId="3" borderId="3" xfId="9" applyFont="1" applyFill="1" applyBorder="1" applyAlignment="1">
      <alignment horizontal="center" vertical="center"/>
    </xf>
    <xf numFmtId="0" fontId="5" fillId="0" borderId="58" xfId="9" applyFont="1" applyBorder="1" applyAlignment="1">
      <alignment horizontal="right"/>
    </xf>
    <xf numFmtId="0" fontId="5" fillId="0" borderId="32" xfId="9" applyFont="1" applyBorder="1" applyAlignment="1">
      <alignment horizontal="right"/>
    </xf>
    <xf numFmtId="0" fontId="5" fillId="0" borderId="14" xfId="9" applyFont="1" applyBorder="1" applyAlignment="1">
      <alignment horizontal="right"/>
    </xf>
    <xf numFmtId="167" fontId="4" fillId="0" borderId="6" xfId="9" applyNumberFormat="1" applyFont="1" applyBorder="1" applyAlignment="1">
      <alignment horizontal="right"/>
    </xf>
    <xf numFmtId="0" fontId="4" fillId="9" borderId="11" xfId="9" applyFont="1" applyFill="1" applyBorder="1" applyAlignment="1">
      <alignment horizontal="center"/>
    </xf>
    <xf numFmtId="0" fontId="4" fillId="2" borderId="59" xfId="9" applyFont="1" applyFill="1" applyBorder="1" applyAlignment="1">
      <alignment horizontal="center"/>
    </xf>
    <xf numFmtId="0" fontId="5" fillId="0" borderId="16" xfId="9" applyFont="1" applyBorder="1" applyAlignment="1">
      <alignment horizontal="right"/>
    </xf>
    <xf numFmtId="0" fontId="5" fillId="0" borderId="17" xfId="9" applyFont="1" applyBorder="1" applyAlignment="1">
      <alignment horizontal="right"/>
    </xf>
    <xf numFmtId="0" fontId="5" fillId="0" borderId="12" xfId="9" applyFont="1" applyBorder="1" applyAlignment="1">
      <alignment horizontal="right"/>
    </xf>
    <xf numFmtId="0" fontId="4" fillId="0" borderId="4" xfId="9" applyFont="1" applyBorder="1" applyAlignment="1">
      <alignment horizontal="right"/>
    </xf>
    <xf numFmtId="167" fontId="4" fillId="0" borderId="34" xfId="9" applyNumberFormat="1" applyFont="1" applyBorder="1" applyAlignment="1">
      <alignment horizontal="center"/>
    </xf>
    <xf numFmtId="167" fontId="4" fillId="0" borderId="60" xfId="9" applyNumberFormat="1" applyFont="1" applyBorder="1" applyAlignment="1">
      <alignment horizontal="center"/>
    </xf>
    <xf numFmtId="0" fontId="5" fillId="3" borderId="66" xfId="9" applyFont="1" applyFill="1" applyBorder="1" applyAlignment="1">
      <alignment horizontal="center" vertical="center"/>
    </xf>
    <xf numFmtId="0" fontId="5" fillId="3" borderId="57" xfId="9" applyFont="1" applyFill="1" applyBorder="1" applyAlignment="1">
      <alignment horizontal="center" vertical="center"/>
    </xf>
    <xf numFmtId="0" fontId="5" fillId="3" borderId="66" xfId="9" applyFont="1" applyFill="1" applyBorder="1" applyAlignment="1">
      <alignment horizontal="center" vertical="center" wrapText="1"/>
    </xf>
    <xf numFmtId="0" fontId="5" fillId="3" borderId="57" xfId="9" applyFont="1" applyFill="1" applyBorder="1" applyAlignment="1">
      <alignment horizontal="center" vertical="center" wrapText="1"/>
    </xf>
    <xf numFmtId="0" fontId="5" fillId="3" borderId="29" xfId="9" applyFont="1" applyFill="1" applyBorder="1" applyAlignment="1">
      <alignment horizontal="center" vertical="center"/>
    </xf>
    <xf numFmtId="0" fontId="5" fillId="3" borderId="2" xfId="9" applyFont="1" applyFill="1" applyBorder="1" applyAlignment="1">
      <alignment horizontal="center" vertical="center"/>
    </xf>
    <xf numFmtId="0" fontId="4" fillId="0" borderId="31" xfId="9" applyFont="1" applyBorder="1" applyAlignment="1">
      <alignment horizontal="left"/>
    </xf>
    <xf numFmtId="0" fontId="4" fillId="0" borderId="14" xfId="9" applyFont="1" applyBorder="1" applyAlignment="1">
      <alignment horizontal="left"/>
    </xf>
    <xf numFmtId="0" fontId="4" fillId="0" borderId="6" xfId="9" applyFont="1" applyBorder="1" applyAlignment="1">
      <alignment horizontal="left"/>
    </xf>
    <xf numFmtId="0" fontId="4" fillId="0" borderId="15" xfId="9" applyFont="1" applyBorder="1" applyAlignment="1">
      <alignment horizontal="left"/>
    </xf>
    <xf numFmtId="167" fontId="4" fillId="0" borderId="34" xfId="9" applyNumberFormat="1" applyFont="1" applyBorder="1" applyAlignment="1">
      <alignment horizontal="right" wrapText="1"/>
    </xf>
    <xf numFmtId="167" fontId="4" fillId="0" borderId="12" xfId="9" applyNumberFormat="1" applyFont="1" applyBorder="1" applyAlignment="1">
      <alignment horizontal="right" wrapText="1"/>
    </xf>
    <xf numFmtId="0" fontId="5" fillId="0" borderId="56" xfId="9" applyFont="1" applyBorder="1" applyAlignment="1">
      <alignment horizontal="right"/>
    </xf>
    <xf numFmtId="0" fontId="5" fillId="0" borderId="45" xfId="9" applyFont="1" applyBorder="1" applyAlignment="1">
      <alignment horizontal="right"/>
    </xf>
    <xf numFmtId="0" fontId="5" fillId="0" borderId="2" xfId="9" applyFont="1" applyBorder="1" applyAlignment="1">
      <alignment horizontal="right"/>
    </xf>
    <xf numFmtId="0" fontId="4" fillId="0" borderId="2" xfId="9" applyFont="1" applyBorder="1" applyAlignment="1">
      <alignment horizontal="right"/>
    </xf>
    <xf numFmtId="167" fontId="4" fillId="0" borderId="46" xfId="9" applyNumberFormat="1" applyFont="1" applyBorder="1" applyAlignment="1">
      <alignment horizontal="center"/>
    </xf>
    <xf numFmtId="167" fontId="4" fillId="0" borderId="61" xfId="9" applyNumberFormat="1" applyFont="1" applyBorder="1" applyAlignment="1">
      <alignment horizontal="center"/>
    </xf>
    <xf numFmtId="0" fontId="5" fillId="3" borderId="8" xfId="9" applyFont="1" applyFill="1" applyBorder="1" applyAlignment="1">
      <alignment horizontal="left"/>
    </xf>
    <xf numFmtId="0" fontId="5" fillId="3" borderId="9" xfId="9" applyFont="1" applyFill="1" applyBorder="1" applyAlignment="1">
      <alignment horizontal="left"/>
    </xf>
    <xf numFmtId="0" fontId="5" fillId="3" borderId="10" xfId="9" applyFont="1" applyFill="1" applyBorder="1" applyAlignment="1">
      <alignment horizontal="left"/>
    </xf>
    <xf numFmtId="0" fontId="4" fillId="0" borderId="31" xfId="9" applyFont="1" applyBorder="1" applyAlignment="1">
      <alignment horizontal="left" wrapText="1"/>
    </xf>
    <xf numFmtId="0" fontId="4" fillId="0" borderId="14" xfId="9" applyFont="1" applyBorder="1" applyAlignment="1">
      <alignment horizontal="left" wrapText="1"/>
    </xf>
    <xf numFmtId="0" fontId="4" fillId="0" borderId="6" xfId="9" applyFont="1" applyBorder="1" applyAlignment="1">
      <alignment horizontal="left" wrapText="1"/>
    </xf>
    <xf numFmtId="0" fontId="4" fillId="0" borderId="15" xfId="9" applyFont="1" applyBorder="1" applyAlignment="1">
      <alignment horizontal="left" wrapText="1"/>
    </xf>
    <xf numFmtId="0" fontId="4" fillId="0" borderId="57" xfId="9" applyFont="1" applyBorder="1" applyAlignment="1">
      <alignment horizontal="left"/>
    </xf>
    <xf numFmtId="0" fontId="4" fillId="0" borderId="35" xfId="9" applyFont="1" applyBorder="1" applyAlignment="1">
      <alignment horizontal="left"/>
    </xf>
    <xf numFmtId="0" fontId="4" fillId="0" borderId="29" xfId="9" applyFont="1" applyBorder="1" applyAlignment="1">
      <alignment horizontal="left"/>
    </xf>
    <xf numFmtId="0" fontId="4" fillId="0" borderId="13" xfId="9" applyFont="1" applyBorder="1" applyAlignment="1">
      <alignment horizontal="left"/>
    </xf>
    <xf numFmtId="0" fontId="5" fillId="3" borderId="0" xfId="9" applyFont="1" applyFill="1" applyAlignment="1">
      <alignment horizontal="left"/>
    </xf>
    <xf numFmtId="14" fontId="7" fillId="2" borderId="5" xfId="11" applyNumberFormat="1" applyFont="1" applyFill="1" applyBorder="1" applyAlignment="1">
      <alignment horizontal="center" vertical="center" wrapText="1"/>
    </xf>
    <xf numFmtId="14" fontId="7" fillId="2" borderId="30" xfId="11" applyNumberFormat="1" applyFont="1" applyFill="1" applyBorder="1" applyAlignment="1">
      <alignment horizontal="center" vertical="center" wrapText="1"/>
    </xf>
    <xf numFmtId="0" fontId="7" fillId="2" borderId="4" xfId="11" applyFont="1" applyFill="1" applyBorder="1" applyAlignment="1">
      <alignment horizontal="left"/>
    </xf>
    <xf numFmtId="0" fontId="7" fillId="2" borderId="2" xfId="11" applyFont="1" applyFill="1" applyBorder="1" applyAlignment="1">
      <alignment horizontal="left"/>
    </xf>
    <xf numFmtId="0" fontId="40" fillId="2" borderId="0" xfId="11" applyFont="1" applyFill="1" applyAlignment="1">
      <alignment horizontal="right"/>
    </xf>
    <xf numFmtId="0" fontId="53" fillId="2" borderId="33" xfId="11" applyFont="1" applyFill="1" applyBorder="1" applyAlignment="1">
      <alignment horizontal="center"/>
    </xf>
    <xf numFmtId="0" fontId="40" fillId="2" borderId="0" xfId="11" applyFont="1" applyFill="1"/>
    <xf numFmtId="0" fontId="7" fillId="2" borderId="38" xfId="11" applyFont="1" applyFill="1" applyBorder="1" applyAlignment="1">
      <alignment horizontal="center"/>
    </xf>
    <xf numFmtId="0" fontId="7" fillId="2" borderId="68" xfId="11" applyFont="1" applyFill="1" applyBorder="1" applyAlignment="1">
      <alignment horizontal="center"/>
    </xf>
    <xf numFmtId="0" fontId="7" fillId="2" borderId="21" xfId="11" applyFont="1" applyFill="1" applyBorder="1" applyAlignment="1">
      <alignment horizontal="center"/>
    </xf>
    <xf numFmtId="0" fontId="7" fillId="2" borderId="53" xfId="11" applyFont="1" applyFill="1" applyBorder="1" applyAlignment="1">
      <alignment horizontal="center"/>
    </xf>
    <xf numFmtId="0" fontId="7" fillId="2" borderId="41" xfId="11" applyFont="1" applyFill="1" applyBorder="1" applyAlignment="1">
      <alignment horizontal="center"/>
    </xf>
    <xf numFmtId="0" fontId="7" fillId="2" borderId="54" xfId="11" applyFont="1" applyFill="1" applyBorder="1" applyAlignment="1">
      <alignment horizontal="center"/>
    </xf>
    <xf numFmtId="0" fontId="40" fillId="2" borderId="3" xfId="11" applyFont="1" applyFill="1" applyBorder="1" applyAlignment="1">
      <alignment horizontal="center"/>
    </xf>
    <xf numFmtId="0" fontId="40" fillId="2" borderId="4" xfId="11" applyFont="1" applyFill="1" applyBorder="1" applyAlignment="1">
      <alignment horizontal="center"/>
    </xf>
    <xf numFmtId="0" fontId="42" fillId="5" borderId="34" xfId="11" applyFont="1" applyFill="1" applyBorder="1" applyAlignment="1">
      <alignment horizontal="center" vertical="center" wrapText="1"/>
    </xf>
    <xf numFmtId="0" fontId="42" fillId="5" borderId="17" xfId="11" applyFont="1" applyFill="1" applyBorder="1" applyAlignment="1">
      <alignment horizontal="center" vertical="center" wrapText="1"/>
    </xf>
    <xf numFmtId="0" fontId="42" fillId="5" borderId="12" xfId="11" applyFont="1" applyFill="1" applyBorder="1" applyAlignment="1">
      <alignment horizontal="center" vertical="center" wrapText="1"/>
    </xf>
    <xf numFmtId="0" fontId="41" fillId="2" borderId="4" xfId="11" applyFont="1" applyFill="1" applyBorder="1" applyAlignment="1">
      <alignment horizontal="right" vertical="top" wrapText="1"/>
    </xf>
    <xf numFmtId="0" fontId="41" fillId="2" borderId="2" xfId="11" applyFont="1" applyFill="1" applyBorder="1" applyAlignment="1">
      <alignment horizontal="right" vertical="top" wrapText="1"/>
    </xf>
    <xf numFmtId="0" fontId="41" fillId="3" borderId="3" xfId="0" applyFont="1" applyFill="1" applyBorder="1" applyAlignment="1">
      <alignment horizontal="center" vertical="center"/>
    </xf>
    <xf numFmtId="0" fontId="41" fillId="0" borderId="58" xfId="0" applyFont="1" applyBorder="1" applyAlignment="1">
      <alignment horizontal="right"/>
    </xf>
    <xf numFmtId="0" fontId="41" fillId="0" borderId="32" xfId="0" applyFont="1" applyBorder="1" applyAlignment="1">
      <alignment horizontal="right"/>
    </xf>
    <xf numFmtId="0" fontId="41" fillId="0" borderId="14" xfId="0" applyFont="1" applyBorder="1" applyAlignment="1">
      <alignment horizontal="right"/>
    </xf>
    <xf numFmtId="167" fontId="7" fillId="0" borderId="6" xfId="0" applyNumberFormat="1" applyFont="1" applyBorder="1" applyAlignment="1">
      <alignment horizontal="right"/>
    </xf>
    <xf numFmtId="0" fontId="7" fillId="2" borderId="11" xfId="0" applyFont="1" applyFill="1" applyBorder="1" applyAlignment="1">
      <alignment horizontal="center"/>
    </xf>
    <xf numFmtId="0" fontId="7" fillId="2" borderId="59" xfId="0" applyFont="1" applyFill="1" applyBorder="1" applyAlignment="1">
      <alignment horizontal="center"/>
    </xf>
    <xf numFmtId="0" fontId="41" fillId="0" borderId="16" xfId="0" applyFont="1" applyBorder="1" applyAlignment="1">
      <alignment horizontal="right"/>
    </xf>
    <xf numFmtId="0" fontId="41" fillId="0" borderId="17" xfId="0" applyFont="1" applyBorder="1" applyAlignment="1">
      <alignment horizontal="right"/>
    </xf>
    <xf numFmtId="0" fontId="41" fillId="0" borderId="12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167" fontId="7" fillId="0" borderId="34" xfId="0" applyNumberFormat="1" applyFont="1" applyBorder="1" applyAlignment="1">
      <alignment horizontal="center"/>
    </xf>
    <xf numFmtId="167" fontId="7" fillId="0" borderId="60" xfId="0" applyNumberFormat="1" applyFont="1" applyBorder="1" applyAlignment="1">
      <alignment horizontal="center"/>
    </xf>
    <xf numFmtId="0" fontId="41" fillId="3" borderId="66" xfId="0" applyFont="1" applyFill="1" applyBorder="1" applyAlignment="1">
      <alignment horizontal="center" vertical="center"/>
    </xf>
    <xf numFmtId="0" fontId="41" fillId="3" borderId="57" xfId="0" applyFont="1" applyFill="1" applyBorder="1" applyAlignment="1">
      <alignment horizontal="center" vertical="center"/>
    </xf>
    <xf numFmtId="0" fontId="41" fillId="3" borderId="52" xfId="0" applyFont="1" applyFill="1" applyBorder="1" applyAlignment="1">
      <alignment horizontal="center" vertical="center"/>
    </xf>
    <xf numFmtId="0" fontId="41" fillId="3" borderId="6" xfId="0" applyFont="1" applyFill="1" applyBorder="1" applyAlignment="1">
      <alignment horizontal="center" vertical="center"/>
    </xf>
    <xf numFmtId="0" fontId="41" fillId="3" borderId="29" xfId="0" applyFont="1" applyFill="1" applyBorder="1" applyAlignment="1">
      <alignment horizontal="center" vertical="center"/>
    </xf>
    <xf numFmtId="167" fontId="7" fillId="0" borderId="34" xfId="0" applyNumberFormat="1" applyFont="1" applyBorder="1" applyAlignment="1">
      <alignment horizontal="right" wrapText="1"/>
    </xf>
    <xf numFmtId="167" fontId="7" fillId="0" borderId="12" xfId="0" applyNumberFormat="1" applyFont="1" applyBorder="1" applyAlignment="1">
      <alignment horizontal="right" wrapText="1"/>
    </xf>
    <xf numFmtId="0" fontId="41" fillId="0" borderId="56" xfId="0" applyFont="1" applyBorder="1" applyAlignment="1">
      <alignment horizontal="right"/>
    </xf>
    <xf numFmtId="0" fontId="41" fillId="0" borderId="45" xfId="0" applyFont="1" applyBorder="1" applyAlignment="1">
      <alignment horizontal="right"/>
    </xf>
    <xf numFmtId="0" fontId="41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167" fontId="7" fillId="0" borderId="46" xfId="0" applyNumberFormat="1" applyFont="1" applyBorder="1" applyAlignment="1">
      <alignment horizontal="center"/>
    </xf>
    <xf numFmtId="167" fontId="7" fillId="0" borderId="61" xfId="0" applyNumberFormat="1" applyFont="1" applyBorder="1" applyAlignment="1">
      <alignment horizontal="center"/>
    </xf>
    <xf numFmtId="0" fontId="41" fillId="3" borderId="8" xfId="0" applyFont="1" applyFill="1" applyBorder="1" applyAlignment="1">
      <alignment horizontal="left"/>
    </xf>
    <xf numFmtId="0" fontId="41" fillId="3" borderId="9" xfId="0" applyFont="1" applyFill="1" applyBorder="1" applyAlignment="1">
      <alignment horizontal="left"/>
    </xf>
    <xf numFmtId="0" fontId="41" fillId="3" borderId="10" xfId="0" applyFont="1" applyFill="1" applyBorder="1" applyAlignment="1">
      <alignment horizontal="left"/>
    </xf>
    <xf numFmtId="0" fontId="45" fillId="0" borderId="58" xfId="9" applyFont="1" applyBorder="1" applyAlignment="1">
      <alignment horizontal="left" wrapText="1"/>
    </xf>
    <xf numFmtId="0" fontId="45" fillId="0" borderId="32" xfId="9" applyFont="1" applyBorder="1" applyAlignment="1">
      <alignment horizontal="left" wrapText="1"/>
    </xf>
    <xf numFmtId="0" fontId="45" fillId="0" borderId="59" xfId="9" applyFont="1" applyBorder="1" applyAlignment="1">
      <alignment horizontal="left" wrapText="1"/>
    </xf>
    <xf numFmtId="0" fontId="46" fillId="0" borderId="41" xfId="9" applyFont="1" applyBorder="1" applyAlignment="1">
      <alignment horizontal="left"/>
    </xf>
    <xf numFmtId="0" fontId="46" fillId="0" borderId="33" xfId="9" applyFont="1" applyBorder="1" applyAlignment="1">
      <alignment horizontal="left"/>
    </xf>
    <xf numFmtId="0" fontId="46" fillId="0" borderId="42" xfId="9" applyFont="1" applyBorder="1" applyAlignment="1">
      <alignment horizontal="left"/>
    </xf>
    <xf numFmtId="0" fontId="46" fillId="0" borderId="58" xfId="9" applyFont="1" applyBorder="1" applyAlignment="1">
      <alignment horizontal="left"/>
    </xf>
    <xf numFmtId="0" fontId="46" fillId="0" borderId="32" xfId="9" applyFont="1" applyBorder="1" applyAlignment="1">
      <alignment horizontal="left"/>
    </xf>
    <xf numFmtId="0" fontId="46" fillId="0" borderId="59" xfId="9" applyFont="1" applyBorder="1" applyAlignment="1">
      <alignment horizontal="left"/>
    </xf>
    <xf numFmtId="0" fontId="4" fillId="0" borderId="56" xfId="9" applyFont="1" applyBorder="1" applyAlignment="1">
      <alignment horizontal="left"/>
    </xf>
    <xf numFmtId="0" fontId="4" fillId="0" borderId="45" xfId="9" applyFont="1" applyBorder="1" applyAlignment="1">
      <alignment horizontal="left"/>
    </xf>
    <xf numFmtId="0" fontId="4" fillId="0" borderId="2" xfId="9" applyFont="1" applyBorder="1" applyAlignment="1">
      <alignment horizontal="left"/>
    </xf>
    <xf numFmtId="0" fontId="4" fillId="0" borderId="30" xfId="9" applyFont="1" applyBorder="1" applyAlignment="1">
      <alignment horizontal="left"/>
    </xf>
    <xf numFmtId="0" fontId="5" fillId="3" borderId="31" xfId="9" applyFont="1" applyFill="1" applyBorder="1" applyAlignment="1">
      <alignment horizontal="center" vertical="center"/>
    </xf>
    <xf numFmtId="0" fontId="5" fillId="3" borderId="36" xfId="9" applyFont="1" applyFill="1" applyBorder="1" applyAlignment="1">
      <alignment horizontal="center" vertical="center" wrapText="1"/>
    </xf>
    <xf numFmtId="0" fontId="5" fillId="3" borderId="6" xfId="9" applyFont="1" applyFill="1" applyBorder="1" applyAlignment="1">
      <alignment horizontal="center" vertical="center" wrapText="1"/>
    </xf>
    <xf numFmtId="1" fontId="4" fillId="0" borderId="34" xfId="9" applyNumberFormat="1" applyFont="1" applyBorder="1" applyAlignment="1">
      <alignment horizontal="center"/>
    </xf>
    <xf numFmtId="1" fontId="4" fillId="0" borderId="12" xfId="9" applyNumberFormat="1" applyFont="1" applyBorder="1" applyAlignment="1">
      <alignment horizontal="center"/>
    </xf>
    <xf numFmtId="0" fontId="4" fillId="9" borderId="34" xfId="9" applyFont="1" applyFill="1" applyBorder="1" applyAlignment="1">
      <alignment horizontal="center"/>
    </xf>
    <xf numFmtId="0" fontId="4" fillId="9" borderId="12" xfId="9" applyFont="1" applyFill="1" applyBorder="1" applyAlignment="1">
      <alignment horizontal="center"/>
    </xf>
    <xf numFmtId="0" fontId="5" fillId="16" borderId="56" xfId="9" applyFont="1" applyFill="1" applyBorder="1" applyAlignment="1">
      <alignment horizontal="left"/>
    </xf>
    <xf numFmtId="0" fontId="5" fillId="16" borderId="45" xfId="9" applyFont="1" applyFill="1" applyBorder="1" applyAlignment="1">
      <alignment horizontal="left"/>
    </xf>
    <xf numFmtId="0" fontId="5" fillId="16" borderId="2" xfId="9" applyFont="1" applyFill="1" applyBorder="1" applyAlignment="1">
      <alignment horizontal="left"/>
    </xf>
    <xf numFmtId="0" fontId="5" fillId="16" borderId="30" xfId="9" applyFont="1" applyFill="1" applyBorder="1" applyAlignment="1">
      <alignment horizontal="left"/>
    </xf>
    <xf numFmtId="0" fontId="7" fillId="0" borderId="44" xfId="9" applyBorder="1" applyAlignment="1">
      <alignment horizontal="center"/>
    </xf>
    <xf numFmtId="0" fontId="5" fillId="3" borderId="31" xfId="28" applyFont="1" applyFill="1" applyBorder="1" applyAlignment="1">
      <alignment horizontal="center" vertical="center"/>
    </xf>
    <xf numFmtId="0" fontId="5" fillId="3" borderId="57" xfId="28" applyFont="1" applyFill="1" applyBorder="1" applyAlignment="1">
      <alignment horizontal="center" vertical="center"/>
    </xf>
    <xf numFmtId="1" fontId="4" fillId="0" borderId="34" xfId="28" applyNumberFormat="1" applyFont="1" applyBorder="1" applyAlignment="1">
      <alignment horizontal="center"/>
    </xf>
    <xf numFmtId="1" fontId="4" fillId="0" borderId="12" xfId="28" applyNumberFormat="1" applyFont="1" applyBorder="1" applyAlignment="1">
      <alignment horizontal="center"/>
    </xf>
    <xf numFmtId="0" fontId="4" fillId="9" borderId="34" xfId="28" applyFont="1" applyFill="1" applyBorder="1" applyAlignment="1">
      <alignment horizontal="center"/>
    </xf>
    <xf numFmtId="0" fontId="4" fillId="9" borderId="12" xfId="28" applyFont="1" applyFill="1" applyBorder="1" applyAlignment="1">
      <alignment horizontal="center"/>
    </xf>
    <xf numFmtId="0" fontId="1" fillId="0" borderId="44" xfId="19" applyBorder="1" applyAlignment="1">
      <alignment horizontal="center"/>
    </xf>
    <xf numFmtId="0" fontId="4" fillId="0" borderId="56" xfId="28" applyFont="1" applyBorder="1" applyAlignment="1">
      <alignment horizontal="left"/>
    </xf>
    <xf numFmtId="0" fontId="4" fillId="0" borderId="45" xfId="28" applyFont="1" applyBorder="1" applyAlignment="1">
      <alignment horizontal="left"/>
    </xf>
    <xf numFmtId="0" fontId="4" fillId="0" borderId="2" xfId="28" applyFont="1" applyBorder="1" applyAlignment="1">
      <alignment horizontal="left"/>
    </xf>
    <xf numFmtId="0" fontId="4" fillId="0" borderId="30" xfId="28" applyFont="1" applyBorder="1" applyAlignment="1">
      <alignment horizontal="left"/>
    </xf>
    <xf numFmtId="0" fontId="5" fillId="0" borderId="16" xfId="28" applyFont="1" applyBorder="1" applyAlignment="1">
      <alignment horizontal="right"/>
    </xf>
    <xf numFmtId="0" fontId="5" fillId="0" borderId="17" xfId="28" applyFont="1" applyBorder="1" applyAlignment="1">
      <alignment horizontal="right"/>
    </xf>
    <xf numFmtId="0" fontId="5" fillId="0" borderId="12" xfId="28" applyFont="1" applyBorder="1" applyAlignment="1">
      <alignment horizontal="right"/>
    </xf>
    <xf numFmtId="0" fontId="4" fillId="0" borderId="4" xfId="28" applyFont="1" applyBorder="1" applyAlignment="1">
      <alignment horizontal="right"/>
    </xf>
    <xf numFmtId="167" fontId="4" fillId="0" borderId="34" xfId="28" applyNumberFormat="1" applyFont="1" applyBorder="1" applyAlignment="1">
      <alignment horizontal="center"/>
    </xf>
    <xf numFmtId="167" fontId="4" fillId="0" borderId="60" xfId="28" applyNumberFormat="1" applyFont="1" applyBorder="1" applyAlignment="1">
      <alignment horizontal="center"/>
    </xf>
    <xf numFmtId="0" fontId="5" fillId="3" borderId="3" xfId="28" applyFont="1" applyFill="1" applyBorder="1" applyAlignment="1">
      <alignment horizontal="center" vertical="center"/>
    </xf>
    <xf numFmtId="0" fontId="5" fillId="3" borderId="29" xfId="28" applyFont="1" applyFill="1" applyBorder="1" applyAlignment="1">
      <alignment horizontal="center" vertical="center"/>
    </xf>
    <xf numFmtId="0" fontId="5" fillId="3" borderId="2" xfId="28" applyFont="1" applyFill="1" applyBorder="1" applyAlignment="1">
      <alignment horizontal="center" vertical="center"/>
    </xf>
    <xf numFmtId="0" fontId="5" fillId="0" borderId="58" xfId="28" applyFont="1" applyBorder="1" applyAlignment="1">
      <alignment horizontal="right"/>
    </xf>
    <xf numFmtId="0" fontId="5" fillId="0" borderId="32" xfId="28" applyFont="1" applyBorder="1" applyAlignment="1">
      <alignment horizontal="right"/>
    </xf>
    <xf numFmtId="0" fontId="5" fillId="0" borderId="14" xfId="28" applyFont="1" applyBorder="1" applyAlignment="1">
      <alignment horizontal="right"/>
    </xf>
    <xf numFmtId="167" fontId="4" fillId="0" borderId="6" xfId="28" applyNumberFormat="1" applyFont="1" applyBorder="1" applyAlignment="1">
      <alignment horizontal="right"/>
    </xf>
    <xf numFmtId="0" fontId="4" fillId="9" borderId="11" xfId="28" applyFont="1" applyFill="1" applyBorder="1" applyAlignment="1">
      <alignment horizontal="center"/>
    </xf>
    <xf numFmtId="0" fontId="4" fillId="2" borderId="59" xfId="28" applyFont="1" applyFill="1" applyBorder="1" applyAlignment="1">
      <alignment horizontal="center"/>
    </xf>
    <xf numFmtId="0" fontId="5" fillId="3" borderId="36" xfId="28" applyFont="1" applyFill="1" applyBorder="1" applyAlignment="1">
      <alignment horizontal="center" vertical="center" wrapText="1"/>
    </xf>
    <xf numFmtId="0" fontId="5" fillId="3" borderId="6" xfId="28" applyFont="1" applyFill="1" applyBorder="1" applyAlignment="1">
      <alignment horizontal="center" vertical="center" wrapText="1"/>
    </xf>
    <xf numFmtId="0" fontId="5" fillId="3" borderId="8" xfId="28" applyFont="1" applyFill="1" applyBorder="1" applyAlignment="1">
      <alignment horizontal="left"/>
    </xf>
    <xf numFmtId="0" fontId="5" fillId="3" borderId="9" xfId="28" applyFont="1" applyFill="1" applyBorder="1" applyAlignment="1">
      <alignment horizontal="left"/>
    </xf>
    <xf numFmtId="0" fontId="5" fillId="3" borderId="10" xfId="28" applyFont="1" applyFill="1" applyBorder="1" applyAlignment="1">
      <alignment horizontal="left"/>
    </xf>
    <xf numFmtId="0" fontId="10" fillId="0" borderId="16" xfId="28" applyFont="1" applyBorder="1" applyAlignment="1">
      <alignment horizontal="left"/>
    </xf>
    <xf numFmtId="0" fontId="10" fillId="0" borderId="17" xfId="28" applyFont="1" applyBorder="1" applyAlignment="1">
      <alignment horizontal="left"/>
    </xf>
    <xf numFmtId="0" fontId="10" fillId="0" borderId="60" xfId="28" applyFont="1" applyBorder="1" applyAlignment="1">
      <alignment horizontal="left"/>
    </xf>
    <xf numFmtId="0" fontId="5" fillId="16" borderId="56" xfId="28" applyFont="1" applyFill="1" applyBorder="1" applyAlignment="1">
      <alignment horizontal="left"/>
    </xf>
    <xf numFmtId="0" fontId="5" fillId="16" borderId="45" xfId="28" applyFont="1" applyFill="1" applyBorder="1" applyAlignment="1">
      <alignment horizontal="left"/>
    </xf>
    <xf numFmtId="0" fontId="5" fillId="16" borderId="2" xfId="28" applyFont="1" applyFill="1" applyBorder="1" applyAlignment="1">
      <alignment horizontal="left"/>
    </xf>
    <xf numFmtId="0" fontId="5" fillId="16" borderId="30" xfId="28" applyFont="1" applyFill="1" applyBorder="1" applyAlignment="1">
      <alignment horizontal="left"/>
    </xf>
    <xf numFmtId="167" fontId="4" fillId="0" borderId="34" xfId="28" applyNumberFormat="1" applyFont="1" applyBorder="1" applyAlignment="1">
      <alignment horizontal="right" wrapText="1"/>
    </xf>
    <xf numFmtId="167" fontId="4" fillId="0" borderId="12" xfId="28" applyNumberFormat="1" applyFont="1" applyBorder="1" applyAlignment="1">
      <alignment horizontal="right" wrapText="1"/>
    </xf>
    <xf numFmtId="0" fontId="5" fillId="0" borderId="56" xfId="28" applyFont="1" applyBorder="1" applyAlignment="1">
      <alignment horizontal="right"/>
    </xf>
    <xf numFmtId="0" fontId="5" fillId="0" borderId="45" xfId="28" applyFont="1" applyBorder="1" applyAlignment="1">
      <alignment horizontal="right"/>
    </xf>
    <xf numFmtId="0" fontId="5" fillId="0" borderId="2" xfId="28" applyFont="1" applyBorder="1" applyAlignment="1">
      <alignment horizontal="right"/>
    </xf>
    <xf numFmtId="0" fontId="4" fillId="0" borderId="2" xfId="28" applyFont="1" applyBorder="1" applyAlignment="1">
      <alignment horizontal="right"/>
    </xf>
    <xf numFmtId="167" fontId="4" fillId="0" borderId="46" xfId="28" applyNumberFormat="1" applyFont="1" applyBorder="1" applyAlignment="1">
      <alignment horizontal="center"/>
    </xf>
    <xf numFmtId="167" fontId="4" fillId="0" borderId="61" xfId="28" applyNumberFormat="1" applyFont="1" applyBorder="1" applyAlignment="1">
      <alignment horizontal="center"/>
    </xf>
    <xf numFmtId="0" fontId="59" fillId="0" borderId="34" xfId="0" applyFont="1" applyBorder="1" applyAlignment="1">
      <alignment horizontal="left"/>
    </xf>
    <xf numFmtId="0" fontId="59" fillId="0" borderId="17" xfId="0" applyFont="1" applyBorder="1" applyAlignment="1">
      <alignment horizontal="left"/>
    </xf>
    <xf numFmtId="0" fontId="59" fillId="0" borderId="12" xfId="0" applyFont="1" applyBorder="1" applyAlignment="1">
      <alignment horizontal="left"/>
    </xf>
    <xf numFmtId="0" fontId="59" fillId="0" borderId="4" xfId="28" applyFont="1" applyBorder="1" applyAlignment="1">
      <alignment horizontal="center"/>
    </xf>
    <xf numFmtId="0" fontId="48" fillId="17" borderId="62" xfId="10" applyFont="1" applyFill="1" applyBorder="1" applyAlignment="1">
      <alignment horizontal="center"/>
    </xf>
    <xf numFmtId="0" fontId="48" fillId="17" borderId="39" xfId="10" applyFont="1" applyFill="1" applyBorder="1" applyAlignment="1">
      <alignment horizontal="center"/>
    </xf>
    <xf numFmtId="0" fontId="59" fillId="2" borderId="4" xfId="10" applyFont="1" applyFill="1" applyBorder="1" applyAlignment="1">
      <alignment horizontal="left"/>
    </xf>
    <xf numFmtId="0" fontId="48" fillId="0" borderId="16" xfId="28" applyFont="1" applyBorder="1" applyAlignment="1">
      <alignment horizontal="left"/>
    </xf>
    <xf numFmtId="0" fontId="48" fillId="0" borderId="17" xfId="28" applyFont="1" applyBorder="1" applyAlignment="1">
      <alignment horizontal="left"/>
    </xf>
    <xf numFmtId="0" fontId="48" fillId="0" borderId="60" xfId="28" applyFont="1" applyBorder="1" applyAlignment="1">
      <alignment horizontal="left"/>
    </xf>
    <xf numFmtId="0" fontId="59" fillId="0" borderId="16" xfId="28" applyFont="1" applyBorder="1" applyAlignment="1">
      <alignment horizontal="left"/>
    </xf>
    <xf numFmtId="0" fontId="59" fillId="0" borderId="17" xfId="28" applyFont="1" applyBorder="1" applyAlignment="1">
      <alignment horizontal="left"/>
    </xf>
    <xf numFmtId="0" fontId="59" fillId="0" borderId="60" xfId="28" applyFont="1" applyBorder="1" applyAlignment="1">
      <alignment horizontal="left"/>
    </xf>
    <xf numFmtId="0" fontId="48" fillId="0" borderId="16" xfId="28" applyFont="1" applyBorder="1" applyAlignment="1">
      <alignment horizontal="right"/>
    </xf>
    <xf numFmtId="0" fontId="48" fillId="0" borderId="17" xfId="28" applyFont="1" applyBorder="1" applyAlignment="1">
      <alignment horizontal="right"/>
    </xf>
    <xf numFmtId="0" fontId="48" fillId="0" borderId="12" xfId="28" applyFont="1" applyBorder="1" applyAlignment="1">
      <alignment horizontal="right"/>
    </xf>
    <xf numFmtId="0" fontId="59" fillId="0" borderId="4" xfId="28" applyFont="1" applyBorder="1" applyAlignment="1">
      <alignment horizontal="right"/>
    </xf>
    <xf numFmtId="167" fontId="59" fillId="0" borderId="34" xfId="28" applyNumberFormat="1" applyFont="1" applyBorder="1" applyAlignment="1">
      <alignment horizontal="center"/>
    </xf>
    <xf numFmtId="167" fontId="59" fillId="0" borderId="60" xfId="28" applyNumberFormat="1" applyFont="1" applyBorder="1" applyAlignment="1">
      <alignment horizontal="center"/>
    </xf>
    <xf numFmtId="0" fontId="59" fillId="0" borderId="16" xfId="28" applyFont="1" applyBorder="1" applyAlignment="1">
      <alignment horizontal="left" wrapText="1"/>
    </xf>
    <xf numFmtId="0" fontId="59" fillId="0" borderId="17" xfId="28" applyFont="1" applyBorder="1" applyAlignment="1">
      <alignment horizontal="left" wrapText="1"/>
    </xf>
    <xf numFmtId="0" fontId="59" fillId="0" borderId="60" xfId="28" applyFont="1" applyBorder="1" applyAlignment="1">
      <alignment horizontal="left" wrapText="1"/>
    </xf>
    <xf numFmtId="167" fontId="59" fillId="0" borderId="34" xfId="28" applyNumberFormat="1" applyFont="1" applyBorder="1" applyAlignment="1">
      <alignment horizontal="right" wrapText="1"/>
    </xf>
    <xf numFmtId="167" fontId="59" fillId="0" borderId="12" xfId="28" applyNumberFormat="1" applyFont="1" applyBorder="1" applyAlignment="1">
      <alignment horizontal="right" wrapText="1"/>
    </xf>
    <xf numFmtId="167" fontId="59" fillId="0" borderId="34" xfId="28" applyNumberFormat="1" applyFont="1" applyBorder="1" applyAlignment="1">
      <alignment horizontal="center" wrapText="1"/>
    </xf>
    <xf numFmtId="167" fontId="59" fillId="0" borderId="60" xfId="28" applyNumberFormat="1" applyFont="1" applyBorder="1" applyAlignment="1">
      <alignment horizontal="center" wrapText="1"/>
    </xf>
    <xf numFmtId="0" fontId="48" fillId="0" borderId="56" xfId="28" applyFont="1" applyBorder="1" applyAlignment="1">
      <alignment horizontal="right"/>
    </xf>
    <xf numFmtId="0" fontId="48" fillId="0" borderId="45" xfId="28" applyFont="1" applyBorder="1" applyAlignment="1">
      <alignment horizontal="right"/>
    </xf>
    <xf numFmtId="0" fontId="48" fillId="0" borderId="2" xfId="28" applyFont="1" applyBorder="1" applyAlignment="1">
      <alignment horizontal="right"/>
    </xf>
    <xf numFmtId="0" fontId="59" fillId="0" borderId="2" xfId="28" applyFont="1" applyBorder="1" applyAlignment="1">
      <alignment horizontal="right"/>
    </xf>
    <xf numFmtId="0" fontId="48" fillId="3" borderId="8" xfId="28" applyFont="1" applyFill="1" applyBorder="1" applyAlignment="1">
      <alignment horizontal="center"/>
    </xf>
    <xf numFmtId="0" fontId="48" fillId="3" borderId="9" xfId="28" applyFont="1" applyFill="1" applyBorder="1" applyAlignment="1">
      <alignment horizontal="center"/>
    </xf>
    <xf numFmtId="0" fontId="48" fillId="3" borderId="10" xfId="28" applyFont="1" applyFill="1" applyBorder="1" applyAlignment="1">
      <alignment horizontal="center"/>
    </xf>
    <xf numFmtId="0" fontId="56" fillId="3" borderId="3" xfId="28" applyFont="1" applyFill="1" applyBorder="1" applyAlignment="1">
      <alignment horizontal="center" vertical="center"/>
    </xf>
    <xf numFmtId="0" fontId="48" fillId="0" borderId="58" xfId="28" applyFont="1" applyBorder="1" applyAlignment="1">
      <alignment horizontal="right"/>
    </xf>
    <xf numFmtId="0" fontId="48" fillId="0" borderId="32" xfId="28" applyFont="1" applyBorder="1" applyAlignment="1">
      <alignment horizontal="right"/>
    </xf>
    <xf numFmtId="0" fontId="48" fillId="0" borderId="14" xfId="28" applyFont="1" applyBorder="1" applyAlignment="1">
      <alignment horizontal="right"/>
    </xf>
    <xf numFmtId="167" fontId="59" fillId="0" borderId="6" xfId="28" applyNumberFormat="1" applyFont="1" applyBorder="1" applyAlignment="1">
      <alignment horizontal="right"/>
    </xf>
    <xf numFmtId="0" fontId="59" fillId="2" borderId="11" xfId="28" applyFont="1" applyFill="1" applyBorder="1" applyAlignment="1">
      <alignment horizontal="center"/>
    </xf>
    <xf numFmtId="0" fontId="59" fillId="2" borderId="59" xfId="28" applyFont="1" applyFill="1" applyBorder="1" applyAlignment="1">
      <alignment horizontal="center"/>
    </xf>
    <xf numFmtId="0" fontId="62" fillId="0" borderId="34" xfId="0" applyFont="1" applyBorder="1" applyAlignment="1">
      <alignment horizontal="left"/>
    </xf>
    <xf numFmtId="0" fontId="62" fillId="0" borderId="17" xfId="0" applyFont="1" applyBorder="1" applyAlignment="1">
      <alignment horizontal="left"/>
    </xf>
    <xf numFmtId="0" fontId="62" fillId="0" borderId="12" xfId="0" applyFont="1" applyBorder="1" applyAlignment="1">
      <alignment horizontal="left"/>
    </xf>
    <xf numFmtId="14" fontId="55" fillId="2" borderId="13" xfId="10" applyNumberFormat="1" applyFont="1" applyFill="1" applyBorder="1" applyAlignment="1">
      <alignment horizontal="center" vertical="center" wrapText="1"/>
    </xf>
    <xf numFmtId="14" fontId="55" fillId="2" borderId="37" xfId="10" applyNumberFormat="1" applyFont="1" applyFill="1" applyBorder="1" applyAlignment="1">
      <alignment horizontal="center" vertical="center" wrapText="1"/>
    </xf>
    <xf numFmtId="14" fontId="55" fillId="2" borderId="15" xfId="10" applyNumberFormat="1" applyFont="1" applyFill="1" applyBorder="1" applyAlignment="1">
      <alignment horizontal="center" vertical="center" wrapText="1"/>
    </xf>
    <xf numFmtId="0" fontId="55" fillId="2" borderId="50" xfId="10" applyFont="1" applyFill="1" applyBorder="1" applyAlignment="1">
      <alignment horizontal="left"/>
    </xf>
    <xf numFmtId="0" fontId="55" fillId="2" borderId="48" xfId="10" applyFont="1" applyFill="1" applyBorder="1" applyAlignment="1">
      <alignment horizontal="left"/>
    </xf>
    <xf numFmtId="0" fontId="55" fillId="2" borderId="49" xfId="10" applyFont="1" applyFill="1" applyBorder="1" applyAlignment="1">
      <alignment horizontal="left"/>
    </xf>
    <xf numFmtId="0" fontId="55" fillId="2" borderId="34" xfId="10" applyFont="1" applyFill="1" applyBorder="1" applyAlignment="1">
      <alignment horizontal="left"/>
    </xf>
    <xf numFmtId="0" fontId="55" fillId="2" borderId="17" xfId="10" applyFont="1" applyFill="1" applyBorder="1" applyAlignment="1">
      <alignment horizontal="left"/>
    </xf>
    <xf numFmtId="0" fontId="55" fillId="2" borderId="12" xfId="10" applyFont="1" applyFill="1" applyBorder="1" applyAlignment="1">
      <alignment horizontal="left"/>
    </xf>
    <xf numFmtId="0" fontId="55" fillId="2" borderId="38" xfId="10" applyFont="1" applyFill="1" applyBorder="1" applyAlignment="1">
      <alignment horizontal="center"/>
    </xf>
    <xf numFmtId="0" fontId="55" fillId="2" borderId="39" xfId="10" applyFont="1" applyFill="1" applyBorder="1" applyAlignment="1">
      <alignment horizontal="center"/>
    </xf>
    <xf numFmtId="0" fontId="55" fillId="2" borderId="21" xfId="10" applyFont="1" applyFill="1" applyBorder="1" applyAlignment="1">
      <alignment horizontal="center"/>
    </xf>
    <xf numFmtId="0" fontId="55" fillId="2" borderId="0" xfId="10" applyFont="1" applyFill="1" applyAlignment="1">
      <alignment horizontal="center"/>
    </xf>
    <xf numFmtId="0" fontId="55" fillId="2" borderId="58" xfId="10" applyFont="1" applyFill="1" applyBorder="1" applyAlignment="1">
      <alignment horizontal="center"/>
    </xf>
    <xf numFmtId="0" fontId="55" fillId="2" borderId="32" xfId="10" applyFont="1" applyFill="1" applyBorder="1" applyAlignment="1">
      <alignment horizontal="center"/>
    </xf>
    <xf numFmtId="0" fontId="56" fillId="2" borderId="3" xfId="10" applyFont="1" applyFill="1" applyBorder="1" applyAlignment="1">
      <alignment horizontal="center"/>
    </xf>
    <xf numFmtId="0" fontId="56" fillId="2" borderId="46" xfId="10" applyFont="1" applyFill="1" applyBorder="1" applyAlignment="1">
      <alignment horizontal="center"/>
    </xf>
    <xf numFmtId="0" fontId="56" fillId="2" borderId="44" xfId="10" applyFont="1" applyFill="1" applyBorder="1" applyAlignment="1">
      <alignment horizontal="center"/>
    </xf>
    <xf numFmtId="0" fontId="56" fillId="2" borderId="45" xfId="10" applyFont="1" applyFill="1" applyBorder="1" applyAlignment="1">
      <alignment horizontal="center"/>
    </xf>
    <xf numFmtId="0" fontId="56" fillId="2" borderId="35" xfId="10" applyFont="1" applyFill="1" applyBorder="1" applyAlignment="1">
      <alignment horizontal="right" vertical="top" wrapText="1"/>
    </xf>
    <xf numFmtId="0" fontId="56" fillId="2" borderId="53" xfId="10" applyFont="1" applyFill="1" applyBorder="1" applyAlignment="1">
      <alignment horizontal="right" vertical="top" wrapText="1"/>
    </xf>
    <xf numFmtId="0" fontId="56" fillId="2" borderId="54" xfId="10" applyFont="1" applyFill="1" applyBorder="1" applyAlignment="1">
      <alignment horizontal="right" vertical="top" wrapText="1"/>
    </xf>
    <xf numFmtId="0" fontId="45" fillId="2" borderId="0" xfId="11" applyFont="1" applyFill="1" applyAlignment="1">
      <alignment horizontal="right"/>
    </xf>
    <xf numFmtId="0" fontId="57" fillId="2" borderId="33" xfId="11" applyFont="1" applyFill="1" applyBorder="1" applyAlignment="1">
      <alignment horizontal="center"/>
    </xf>
    <xf numFmtId="0" fontId="45" fillId="2" borderId="0" xfId="11" applyFont="1" applyFill="1"/>
    <xf numFmtId="0" fontId="56" fillId="3" borderId="66" xfId="28" applyFont="1" applyFill="1" applyBorder="1" applyAlignment="1">
      <alignment horizontal="center" vertical="center"/>
    </xf>
    <xf numFmtId="0" fontId="56" fillId="3" borderId="56" xfId="28" applyFont="1" applyFill="1" applyBorder="1" applyAlignment="1">
      <alignment horizontal="center" vertical="center"/>
    </xf>
    <xf numFmtId="0" fontId="56" fillId="3" borderId="66" xfId="28" applyFont="1" applyFill="1" applyBorder="1" applyAlignment="1">
      <alignment horizontal="center" vertical="center" wrapText="1"/>
    </xf>
    <xf numFmtId="0" fontId="56" fillId="3" borderId="56" xfId="28" applyFont="1" applyFill="1" applyBorder="1" applyAlignment="1">
      <alignment horizontal="center" vertical="center" wrapText="1"/>
    </xf>
    <xf numFmtId="0" fontId="56" fillId="3" borderId="2" xfId="28" applyFont="1" applyFill="1" applyBorder="1" applyAlignment="1">
      <alignment horizontal="center" vertical="center"/>
    </xf>
    <xf numFmtId="0" fontId="64" fillId="5" borderId="9" xfId="10" applyFont="1" applyFill="1" applyBorder="1" applyAlignment="1">
      <alignment horizontal="center" vertical="center" wrapText="1"/>
    </xf>
    <xf numFmtId="0" fontId="64" fillId="5" borderId="10" xfId="10" applyFont="1" applyFill="1" applyBorder="1" applyAlignment="1">
      <alignment horizontal="center" vertical="center" wrapText="1"/>
    </xf>
  </cellXfs>
  <cellStyles count="35">
    <cellStyle name="Millares" xfId="1" builtinId="3"/>
    <cellStyle name="Millares [0]" xfId="2" builtinId="6"/>
    <cellStyle name="Millares [0] 2" xfId="3" xr:uid="{D7738887-8E03-4EC4-BA42-0E09CEC04CD6}"/>
    <cellStyle name="Millares [0] 2 2" xfId="4" xr:uid="{C65D455B-5602-45AC-9B2A-E66C7C99FDAF}"/>
    <cellStyle name="Millares [0] 2 2 2" xfId="16" xr:uid="{E93D01AE-B20E-4964-960B-156D088E5EA0}"/>
    <cellStyle name="Millares [0] 2 2 3" xfId="23" xr:uid="{F0E948CB-157C-4B18-89FA-4F316DC491C0}"/>
    <cellStyle name="Millares [0] 2 2 4" xfId="32" xr:uid="{829903BE-44C1-4420-BC7C-C7029219F144}"/>
    <cellStyle name="Millares [0] 2 3" xfId="22" xr:uid="{31B0C048-02E1-41B4-BB23-CCF1B2D71E07}"/>
    <cellStyle name="Millares [0] 3" xfId="21" xr:uid="{B7AE2B42-F44B-45BA-B85A-2A078F35ACFC}"/>
    <cellStyle name="Millares 2" xfId="5" xr:uid="{BA42737F-7A81-40BC-A800-B692AD9D20F4}"/>
    <cellStyle name="Millares 2 2" xfId="6" xr:uid="{10D2C4E6-E3FA-4538-801D-26AE73E13C63}"/>
    <cellStyle name="Millares 2 2 2" xfId="17" xr:uid="{E7D4BBBD-0360-4369-8DE1-AA69012A753D}"/>
    <cellStyle name="Millares 2 2 3" xfId="25" xr:uid="{04105643-5ED2-4367-929E-A362C462A6D7}"/>
    <cellStyle name="Millares 2 2 4" xfId="33" xr:uid="{C0167E90-5686-4B6F-A538-B1A5D6ABD90E}"/>
    <cellStyle name="Millares 2 3" xfId="24" xr:uid="{4AA3F7CE-78A3-402B-9DD1-1B7B5AADD395}"/>
    <cellStyle name="Millares 3" xfId="7" xr:uid="{9559AC42-DFA3-4570-AEB4-47C7D5D331A3}"/>
    <cellStyle name="Millares 3 2" xfId="8" xr:uid="{6BA1CDBD-035B-43F9-992C-B014A7466CBD}"/>
    <cellStyle name="Millares 3 2 2" xfId="18" xr:uid="{D01FB4B5-098B-43FB-9AC5-1CDC521CFA6F}"/>
    <cellStyle name="Millares 3 2 3" xfId="27" xr:uid="{73B3B19A-CF4D-4824-9D7D-D8AFCF8054E5}"/>
    <cellStyle name="Millares 3 2 4" xfId="34" xr:uid="{B0F697BA-A97E-4172-B0D3-30D3AA5B0D2A}"/>
    <cellStyle name="Millares 3 3" xfId="26" xr:uid="{927AB817-389A-429E-91ED-D9ADEE74D3BB}"/>
    <cellStyle name="Millares 4" xfId="15" xr:uid="{F293054C-8960-4EAD-A63C-7CD7E921CB33}"/>
    <cellStyle name="Millares 5" xfId="20" xr:uid="{3B02F678-0CC4-4170-AEF8-95C4EAD8E8BC}"/>
    <cellStyle name="Millares 6" xfId="31" xr:uid="{8DC80C64-E999-4525-B770-E87D1955DFA8}"/>
    <cellStyle name="Normal" xfId="0" builtinId="0"/>
    <cellStyle name="Normal 2" xfId="9" xr:uid="{366ED817-BC0E-4564-9562-CDE17BCAB6EC}"/>
    <cellStyle name="Normal 2 2" xfId="28" xr:uid="{BD6E2729-0A77-4ADC-94AB-CF47BAEE4C6A}"/>
    <cellStyle name="Normal 3" xfId="19" xr:uid="{BD53A088-DC12-46C5-B961-B99EBC20B79C}"/>
    <cellStyle name="Normal_CRITERIOS DE EVALUACION PT DE GB" xfId="10" xr:uid="{A2543EE8-2DDA-4E4B-92DA-D8C0170365F8}"/>
    <cellStyle name="Normal_CRITERIOS DE EVALUACION PT DE GB 2" xfId="11" xr:uid="{56D9FBBC-4754-4B63-A2B2-2FDEF7ECDD61}"/>
    <cellStyle name="Porcentaje" xfId="12" builtinId="5"/>
    <cellStyle name="Porcentaje 2" xfId="13" xr:uid="{68CFCE6A-789E-409E-A78F-6345BFD2869D}"/>
    <cellStyle name="Porcentaje 2 2" xfId="14" xr:uid="{8FD12D91-FC1C-4BD7-B394-59DEAC05A448}"/>
    <cellStyle name="Porcentaje 2 2 2" xfId="30" xr:uid="{AD95622B-A3F2-4088-9624-98DEDBF041FE}"/>
    <cellStyle name="Porcentaje 2 3" xfId="29" xr:uid="{279D639F-227C-436A-B92C-A9EF90C46D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gif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28575</xdr:rowOff>
    </xdr:from>
    <xdr:to>
      <xdr:col>2</xdr:col>
      <xdr:colOff>714375</xdr:colOff>
      <xdr:row>3</xdr:row>
      <xdr:rowOff>9525</xdr:rowOff>
    </xdr:to>
    <xdr:pic>
      <xdr:nvPicPr>
        <xdr:cNvPr id="1151" name="Imagen 1">
          <a:extLst>
            <a:ext uri="{FF2B5EF4-FFF2-40B4-BE49-F238E27FC236}">
              <a16:creationId xmlns:a16="http://schemas.microsoft.com/office/drawing/2014/main" id="{B946FA72-C938-9F6B-1F8A-85EE4830C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8575"/>
          <a:ext cx="1600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23</xdr:col>
      <xdr:colOff>142875</xdr:colOff>
      <xdr:row>37</xdr:row>
      <xdr:rowOff>66675</xdr:rowOff>
    </xdr:to>
    <xdr:pic>
      <xdr:nvPicPr>
        <xdr:cNvPr id="4189" name="Imagen 2">
          <a:extLst>
            <a:ext uri="{FF2B5EF4-FFF2-40B4-BE49-F238E27FC236}">
              <a16:creationId xmlns:a16="http://schemas.microsoft.com/office/drawing/2014/main" id="{1012C303-7F83-2EA3-F94E-DCCBC3034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2247900"/>
          <a:ext cx="6648450" cy="3324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14</xdr:row>
      <xdr:rowOff>28575</xdr:rowOff>
    </xdr:from>
    <xdr:to>
      <xdr:col>6</xdr:col>
      <xdr:colOff>428625</xdr:colOff>
      <xdr:row>25</xdr:row>
      <xdr:rowOff>57150</xdr:rowOff>
    </xdr:to>
    <xdr:pic>
      <xdr:nvPicPr>
        <xdr:cNvPr id="11466" name="Picture 3" descr="100_0099">
          <a:extLst>
            <a:ext uri="{FF2B5EF4-FFF2-40B4-BE49-F238E27FC236}">
              <a16:creationId xmlns:a16="http://schemas.microsoft.com/office/drawing/2014/main" id="{6CA52634-D448-8D8D-3C4C-0008A9159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476625"/>
          <a:ext cx="181927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276225</xdr:colOff>
      <xdr:row>0</xdr:row>
      <xdr:rowOff>114300</xdr:rowOff>
    </xdr:from>
    <xdr:to>
      <xdr:col>2</xdr:col>
      <xdr:colOff>304800</xdr:colOff>
      <xdr:row>4</xdr:row>
      <xdr:rowOff>142875</xdr:rowOff>
    </xdr:to>
    <xdr:pic>
      <xdr:nvPicPr>
        <xdr:cNvPr id="11467" name="5 Imagen" descr="C:\Users\mbeeche\Desktop\logo de spoon nuevo.gif">
          <a:extLst>
            <a:ext uri="{FF2B5EF4-FFF2-40B4-BE49-F238E27FC236}">
              <a16:creationId xmlns:a16="http://schemas.microsoft.com/office/drawing/2014/main" id="{5FB3D750-D5F3-A70F-EE42-6076CE5DA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114300"/>
          <a:ext cx="110490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85725</xdr:colOff>
      <xdr:row>14</xdr:row>
      <xdr:rowOff>152400</xdr:rowOff>
    </xdr:from>
    <xdr:to>
      <xdr:col>3</xdr:col>
      <xdr:colOff>2105025</xdr:colOff>
      <xdr:row>25</xdr:row>
      <xdr:rowOff>28575</xdr:rowOff>
    </xdr:to>
    <xdr:pic>
      <xdr:nvPicPr>
        <xdr:cNvPr id="11468" name="Imagen 2">
          <a:extLst>
            <a:ext uri="{FF2B5EF4-FFF2-40B4-BE49-F238E27FC236}">
              <a16:creationId xmlns:a16="http://schemas.microsoft.com/office/drawing/2014/main" id="{AD6B05B6-574D-487A-26DA-427369E81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2800350" y="3600450"/>
          <a:ext cx="20193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66675</xdr:rowOff>
    </xdr:from>
    <xdr:to>
      <xdr:col>2</xdr:col>
      <xdr:colOff>561975</xdr:colOff>
      <xdr:row>4</xdr:row>
      <xdr:rowOff>114300</xdr:rowOff>
    </xdr:to>
    <xdr:pic>
      <xdr:nvPicPr>
        <xdr:cNvPr id="10308" name="5 Imagen" descr="C:\Users\mbeeche\Desktop\logo de spoon nuevo.gif">
          <a:extLst>
            <a:ext uri="{FF2B5EF4-FFF2-40B4-BE49-F238E27FC236}">
              <a16:creationId xmlns:a16="http://schemas.microsoft.com/office/drawing/2014/main" id="{D169297E-2842-7F75-0C1D-F93181F6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66675"/>
          <a:ext cx="136207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215899</xdr:colOff>
      <xdr:row>0</xdr:row>
      <xdr:rowOff>64294</xdr:rowOff>
    </xdr:from>
    <xdr:to>
      <xdr:col>1</xdr:col>
      <xdr:colOff>631030</xdr:colOff>
      <xdr:row>4</xdr:row>
      <xdr:rowOff>161215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1C9EECF5-87BF-4B68-BD04-0F3B366FD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899" y="64294"/>
          <a:ext cx="1534319" cy="1085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20</xdr:col>
      <xdr:colOff>552450</xdr:colOff>
      <xdr:row>38</xdr:row>
      <xdr:rowOff>85725</xdr:rowOff>
    </xdr:to>
    <xdr:pic>
      <xdr:nvPicPr>
        <xdr:cNvPr id="9303" name="Imagen 2">
          <a:extLst>
            <a:ext uri="{FF2B5EF4-FFF2-40B4-BE49-F238E27FC236}">
              <a16:creationId xmlns:a16="http://schemas.microsoft.com/office/drawing/2014/main" id="{D49FF7E9-1958-BC8E-41D9-0F2074C3A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2933700"/>
          <a:ext cx="5372100" cy="3343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ramirez\OneDrive%20-%20Servicios%20de%20Pasteler&#237;a%20SA\Escritorio\FACTIBILIDAD\FACTIBILIDAD%202023\NAVIDAD%202023\ESP-RE-DEF-061%20TORTA%20MANZANA%20Y%20CANELA%20BUCCA%203030007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3/PLANCHAS%20WALMART/Crema%20Blanca%20Bucca.xls" TargetMode="External"/><Relationship Id="rId1" Type="http://schemas.openxmlformats.org/officeDocument/2006/relationships/externalLinkPath" Target="file:///C:\Users\eramirez\OneDrive%20-%20Servicios%20de%20Pasteler&#237;a%20SA\Escritorio\INDUSTRIA%202022\INDUSTRIA%202023\PLANCHAS%20WALMART\Crema%20Blanca%20Buc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jar con agua"/>
      <sheetName val="Costo manjar con agua "/>
      <sheetName val="Ensamble "/>
      <sheetName val="Ensamble 2"/>
      <sheetName val="Costo Ensamble "/>
    </sheetNames>
    <sheetDataSet>
      <sheetData sheetId="0"/>
      <sheetData sheetId="1">
        <row r="69">
          <cell r="E69">
            <v>1.7749999999999999</v>
          </cell>
        </row>
        <row r="74">
          <cell r="E74">
            <v>0.20333333333333334</v>
          </cell>
        </row>
        <row r="76">
          <cell r="E76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MA "/>
      <sheetName val="COSTO CREMA "/>
    </sheetNames>
    <sheetDataSet>
      <sheetData sheetId="0"/>
      <sheetData sheetId="1">
        <row r="74">
          <cell r="E74">
            <v>3.0499999999999999E-2</v>
          </cell>
        </row>
        <row r="76">
          <cell r="E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1585-0CC1-41B9-A03D-27A054259086}">
  <dimension ref="A1:I27"/>
  <sheetViews>
    <sheetView topLeftCell="A3" workbookViewId="0">
      <selection activeCell="H10" sqref="H10"/>
    </sheetView>
  </sheetViews>
  <sheetFormatPr baseColWidth="10" defaultRowHeight="12.75" x14ac:dyDescent="0.2"/>
  <cols>
    <col min="3" max="3" width="21.42578125" customWidth="1"/>
  </cols>
  <sheetData>
    <row r="1" spans="1:9" ht="15.75" x14ac:dyDescent="0.25">
      <c r="A1" s="578"/>
      <c r="B1" s="579"/>
      <c r="C1" s="584" t="s">
        <v>24</v>
      </c>
      <c r="D1" s="584"/>
      <c r="E1" s="584"/>
      <c r="F1" s="584"/>
      <c r="G1" s="585"/>
      <c r="H1" s="56" t="s">
        <v>0</v>
      </c>
      <c r="I1" s="57"/>
    </row>
    <row r="2" spans="1:9" ht="16.5" thickBot="1" x14ac:dyDescent="0.3">
      <c r="A2" s="580"/>
      <c r="B2" s="581"/>
      <c r="C2" s="586" t="s">
        <v>1</v>
      </c>
      <c r="D2" s="586"/>
      <c r="E2" s="586"/>
      <c r="F2" s="586"/>
      <c r="G2" s="587"/>
      <c r="H2" s="58" t="s">
        <v>2</v>
      </c>
      <c r="I2" s="59"/>
    </row>
    <row r="3" spans="1:9" ht="18.75" thickBot="1" x14ac:dyDescent="0.25">
      <c r="A3" s="580"/>
      <c r="B3" s="581"/>
      <c r="C3" s="588" t="s">
        <v>86</v>
      </c>
      <c r="D3" s="589"/>
      <c r="E3" s="589"/>
      <c r="F3" s="589"/>
      <c r="G3" s="589"/>
      <c r="H3" s="590" t="s">
        <v>3</v>
      </c>
      <c r="I3" s="569"/>
    </row>
    <row r="4" spans="1:9" ht="13.5" x14ac:dyDescent="0.25">
      <c r="A4" s="580"/>
      <c r="B4" s="581"/>
      <c r="C4" s="60" t="s">
        <v>4</v>
      </c>
      <c r="D4" s="572" t="s">
        <v>73</v>
      </c>
      <c r="E4" s="573"/>
      <c r="F4" s="573"/>
      <c r="G4" s="573"/>
      <c r="H4" s="591"/>
      <c r="I4" s="570"/>
    </row>
    <row r="5" spans="1:9" ht="14.25" thickBot="1" x14ac:dyDescent="0.3">
      <c r="A5" s="582"/>
      <c r="B5" s="583"/>
      <c r="C5" s="61" t="s">
        <v>5</v>
      </c>
      <c r="D5" s="574" t="s">
        <v>55</v>
      </c>
      <c r="E5" s="575"/>
      <c r="F5" s="575"/>
      <c r="G5" s="575"/>
      <c r="H5" s="592"/>
      <c r="I5" s="571"/>
    </row>
    <row r="6" spans="1:9" ht="25.5" x14ac:dyDescent="0.2">
      <c r="A6" s="593" t="s">
        <v>6</v>
      </c>
      <c r="B6" s="595" t="s">
        <v>56</v>
      </c>
      <c r="C6" s="595" t="s">
        <v>7</v>
      </c>
      <c r="D6" s="595" t="s">
        <v>8</v>
      </c>
      <c r="E6" s="576" t="s">
        <v>9</v>
      </c>
      <c r="F6" s="577"/>
      <c r="G6" s="576" t="s">
        <v>10</v>
      </c>
      <c r="H6" s="577"/>
      <c r="I6" s="62" t="s">
        <v>11</v>
      </c>
    </row>
    <row r="7" spans="1:9" ht="26.25" thickBot="1" x14ac:dyDescent="0.25">
      <c r="A7" s="594"/>
      <c r="B7" s="596"/>
      <c r="C7" s="597"/>
      <c r="D7" s="597"/>
      <c r="E7" s="63" t="s">
        <v>12</v>
      </c>
      <c r="F7" s="64" t="s">
        <v>13</v>
      </c>
      <c r="G7" s="63" t="s">
        <v>12</v>
      </c>
      <c r="H7" s="64" t="s">
        <v>13</v>
      </c>
      <c r="I7" s="65" t="s">
        <v>14</v>
      </c>
    </row>
    <row r="8" spans="1:9" ht="15" x14ac:dyDescent="0.25">
      <c r="A8" s="66">
        <v>907000285</v>
      </c>
      <c r="B8" s="66" t="s">
        <v>74</v>
      </c>
      <c r="C8" s="67" t="s">
        <v>75</v>
      </c>
      <c r="D8" s="11" t="s">
        <v>42</v>
      </c>
      <c r="E8" s="68">
        <v>47400</v>
      </c>
      <c r="F8" s="69" t="s">
        <v>28</v>
      </c>
      <c r="G8" s="11"/>
      <c r="H8" s="11"/>
      <c r="I8" s="70"/>
    </row>
    <row r="9" spans="1:9" ht="15.75" x14ac:dyDescent="0.25">
      <c r="A9" s="71"/>
      <c r="B9" s="72"/>
      <c r="C9" s="73"/>
      <c r="D9" s="74"/>
      <c r="E9" s="75"/>
      <c r="F9" s="76"/>
      <c r="G9" s="9"/>
      <c r="H9" s="9"/>
      <c r="I9" s="7"/>
    </row>
    <row r="10" spans="1:9" ht="15" x14ac:dyDescent="0.25">
      <c r="A10" s="77"/>
      <c r="B10" s="78"/>
      <c r="C10" s="68" t="s">
        <v>27</v>
      </c>
      <c r="D10" s="45"/>
      <c r="E10" s="9"/>
      <c r="F10" s="9"/>
      <c r="G10" s="11"/>
      <c r="H10" s="11"/>
      <c r="I10" s="7"/>
    </row>
    <row r="11" spans="1:9" ht="15" x14ac:dyDescent="0.25">
      <c r="A11" s="79">
        <v>902000019</v>
      </c>
      <c r="B11" s="79"/>
      <c r="C11" s="55" t="s">
        <v>76</v>
      </c>
      <c r="D11" s="45" t="s">
        <v>42</v>
      </c>
      <c r="E11" s="80">
        <v>2380</v>
      </c>
      <c r="F11" s="81" t="s">
        <v>28</v>
      </c>
      <c r="G11" s="11"/>
      <c r="H11" s="11"/>
      <c r="I11" s="7"/>
    </row>
    <row r="12" spans="1:9" ht="15" x14ac:dyDescent="0.25">
      <c r="A12" s="79">
        <v>1950928</v>
      </c>
      <c r="B12" s="79" t="s">
        <v>77</v>
      </c>
      <c r="C12" s="55" t="s">
        <v>78</v>
      </c>
      <c r="D12" s="45" t="s">
        <v>79</v>
      </c>
      <c r="E12" s="80">
        <v>21</v>
      </c>
      <c r="F12" s="81" t="s">
        <v>36</v>
      </c>
      <c r="G12" s="11"/>
      <c r="H12" s="11"/>
      <c r="I12" s="7"/>
    </row>
    <row r="13" spans="1:9" ht="15" x14ac:dyDescent="0.25">
      <c r="A13" s="79">
        <v>702123</v>
      </c>
      <c r="B13" s="79" t="s">
        <v>62</v>
      </c>
      <c r="C13" s="55" t="s">
        <v>47</v>
      </c>
      <c r="D13" s="45" t="s">
        <v>34</v>
      </c>
      <c r="E13" s="80">
        <v>21</v>
      </c>
      <c r="F13" s="81" t="s">
        <v>36</v>
      </c>
      <c r="G13" s="81"/>
      <c r="H13" s="11">
        <v>623.33333330000005</v>
      </c>
      <c r="I13" s="7"/>
    </row>
    <row r="14" spans="1:9" ht="15" x14ac:dyDescent="0.25">
      <c r="A14" s="79">
        <v>702007</v>
      </c>
      <c r="B14" s="79" t="s">
        <v>80</v>
      </c>
      <c r="C14" s="55" t="s">
        <v>45</v>
      </c>
      <c r="D14" s="45" t="s">
        <v>81</v>
      </c>
      <c r="E14" s="80">
        <v>21</v>
      </c>
      <c r="F14" s="81" t="s">
        <v>36</v>
      </c>
      <c r="G14" s="11"/>
      <c r="H14" s="11"/>
      <c r="I14" s="7"/>
    </row>
    <row r="15" spans="1:9" ht="15" x14ac:dyDescent="0.25">
      <c r="A15" s="82"/>
      <c r="B15" s="83"/>
      <c r="C15" s="84"/>
      <c r="D15" s="85"/>
      <c r="E15" s="69"/>
      <c r="F15" s="69"/>
      <c r="G15" s="69"/>
      <c r="H15" s="69"/>
      <c r="I15" s="7"/>
    </row>
    <row r="16" spans="1:9" ht="15.75" thickBot="1" x14ac:dyDescent="0.3">
      <c r="A16" s="86"/>
      <c r="B16" s="87"/>
      <c r="C16" s="88"/>
      <c r="D16" s="88"/>
      <c r="E16" s="89"/>
      <c r="F16" s="90"/>
      <c r="G16" s="88"/>
      <c r="H16" s="88"/>
      <c r="I16" s="91"/>
    </row>
    <row r="17" spans="1:9" ht="14.25" thickBot="1" x14ac:dyDescent="0.3">
      <c r="A17" s="92"/>
      <c r="B17" s="93"/>
      <c r="C17" s="94"/>
      <c r="D17" s="95" t="s">
        <v>12</v>
      </c>
      <c r="E17" s="95" t="s">
        <v>15</v>
      </c>
      <c r="F17" s="96"/>
      <c r="G17" s="94"/>
      <c r="H17" s="94"/>
      <c r="I17" s="97"/>
    </row>
    <row r="18" spans="1:9" ht="13.5" x14ac:dyDescent="0.25">
      <c r="A18" s="562" t="s">
        <v>16</v>
      </c>
      <c r="B18" s="563"/>
      <c r="C18" s="564"/>
      <c r="D18" s="98">
        <v>46750</v>
      </c>
      <c r="E18" s="21" t="s">
        <v>28</v>
      </c>
      <c r="F18" s="565" t="s">
        <v>25</v>
      </c>
      <c r="G18" s="566"/>
      <c r="H18" s="567"/>
      <c r="I18" s="568"/>
    </row>
    <row r="19" spans="1:9" ht="13.5" x14ac:dyDescent="0.25">
      <c r="A19" s="553" t="s">
        <v>17</v>
      </c>
      <c r="B19" s="554"/>
      <c r="C19" s="555"/>
      <c r="D19" s="11">
        <v>35</v>
      </c>
      <c r="E19" s="11" t="s">
        <v>37</v>
      </c>
      <c r="F19" s="556" t="s">
        <v>18</v>
      </c>
      <c r="G19" s="557"/>
      <c r="H19" s="558"/>
      <c r="I19" s="559"/>
    </row>
    <row r="20" spans="1:9" ht="13.5" x14ac:dyDescent="0.25">
      <c r="A20" s="553" t="s">
        <v>19</v>
      </c>
      <c r="B20" s="554"/>
      <c r="C20" s="555"/>
      <c r="D20" s="10">
        <f>D18/D21</f>
        <v>21.25</v>
      </c>
      <c r="E20" s="11" t="s">
        <v>36</v>
      </c>
      <c r="F20" s="556" t="s">
        <v>26</v>
      </c>
      <c r="G20" s="557"/>
      <c r="H20" s="558"/>
      <c r="I20" s="559"/>
    </row>
    <row r="21" spans="1:9" ht="13.5" x14ac:dyDescent="0.25">
      <c r="A21" s="553" t="s">
        <v>20</v>
      </c>
      <c r="B21" s="554"/>
      <c r="C21" s="555"/>
      <c r="D21" s="11">
        <v>2200</v>
      </c>
      <c r="E21" s="11" t="s">
        <v>28</v>
      </c>
      <c r="F21" s="560" t="s">
        <v>21</v>
      </c>
      <c r="G21" s="561"/>
      <c r="H21" s="558"/>
      <c r="I21" s="559"/>
    </row>
    <row r="22" spans="1:9" ht="14.25" thickBot="1" x14ac:dyDescent="0.3">
      <c r="A22" s="542" t="s">
        <v>22</v>
      </c>
      <c r="B22" s="543"/>
      <c r="C22" s="544"/>
      <c r="D22" s="35">
        <v>650</v>
      </c>
      <c r="E22" s="35" t="s">
        <v>28</v>
      </c>
      <c r="F22" s="545"/>
      <c r="G22" s="546"/>
      <c r="H22" s="547"/>
      <c r="I22" s="548"/>
    </row>
    <row r="23" spans="1:9" ht="13.5" thickBot="1" x14ac:dyDescent="0.25">
      <c r="A23" s="540" t="s">
        <v>23</v>
      </c>
      <c r="B23" s="541"/>
      <c r="C23" s="541"/>
      <c r="D23" s="541"/>
      <c r="E23" s="541"/>
      <c r="F23" s="541"/>
      <c r="G23" s="541"/>
      <c r="H23" s="541"/>
      <c r="I23" s="541"/>
    </row>
    <row r="24" spans="1:9" ht="15.75" x14ac:dyDescent="0.25">
      <c r="A24" s="549" t="s">
        <v>82</v>
      </c>
      <c r="B24" s="550"/>
      <c r="C24" s="550"/>
      <c r="D24" s="550"/>
      <c r="E24" s="550"/>
      <c r="F24" s="550"/>
      <c r="G24" s="550"/>
      <c r="H24" s="550"/>
      <c r="I24" s="550"/>
    </row>
    <row r="25" spans="1:9" ht="15.75" x14ac:dyDescent="0.25">
      <c r="A25" s="551" t="s">
        <v>83</v>
      </c>
      <c r="B25" s="552"/>
      <c r="C25" s="552"/>
      <c r="D25" s="552"/>
      <c r="E25" s="552"/>
      <c r="F25" s="552"/>
      <c r="G25" s="552"/>
      <c r="H25" s="552"/>
      <c r="I25" s="552"/>
    </row>
    <row r="26" spans="1:9" ht="16.5" thickBot="1" x14ac:dyDescent="0.3">
      <c r="A26" s="538" t="s">
        <v>84</v>
      </c>
      <c r="B26" s="539"/>
      <c r="C26" s="539"/>
      <c r="D26" s="539"/>
      <c r="E26" s="539"/>
      <c r="F26" s="539"/>
      <c r="G26" s="539"/>
      <c r="H26" s="539"/>
      <c r="I26" s="539"/>
    </row>
    <row r="27" spans="1:9" ht="13.5" thickBot="1" x14ac:dyDescent="0.25">
      <c r="A27" s="540" t="s">
        <v>85</v>
      </c>
      <c r="B27" s="541"/>
      <c r="C27" s="541"/>
      <c r="D27" s="541"/>
      <c r="E27" s="541"/>
      <c r="F27" s="541"/>
      <c r="G27" s="541"/>
      <c r="H27" s="541"/>
      <c r="I27" s="541"/>
    </row>
  </sheetData>
  <mergeCells count="34"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6:I26"/>
    <mergeCell ref="A27:I27"/>
    <mergeCell ref="A22:C22"/>
    <mergeCell ref="F22:G22"/>
    <mergeCell ref="H22:I22"/>
    <mergeCell ref="A23:I23"/>
    <mergeCell ref="A24:I24"/>
    <mergeCell ref="A25:I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0B1A-D27B-43E9-85BF-92DE94FCB18D}">
  <dimension ref="A1:Q91"/>
  <sheetViews>
    <sheetView zoomScale="110" zoomScaleNormal="110" workbookViewId="0">
      <selection sqref="A1:IV65536"/>
    </sheetView>
  </sheetViews>
  <sheetFormatPr baseColWidth="10" defaultColWidth="8.42578125" defaultRowHeight="12.75" x14ac:dyDescent="0.2"/>
  <cols>
    <col min="1" max="1" width="10" style="104" bestFit="1" customWidth="1"/>
    <col min="2" max="2" width="44.28515625" style="104" bestFit="1" customWidth="1"/>
    <col min="3" max="3" width="10.42578125" style="104" bestFit="1" customWidth="1"/>
    <col min="4" max="4" width="10.42578125" style="104" customWidth="1"/>
    <col min="5" max="5" width="9.7109375" style="104" bestFit="1" customWidth="1"/>
    <col min="6" max="6" width="9.5703125" style="104" bestFit="1" customWidth="1"/>
    <col min="7" max="7" width="9.5703125" style="186" bestFit="1" customWidth="1"/>
    <col min="8" max="8" width="10.42578125" style="177" bestFit="1" customWidth="1"/>
    <col min="9" max="9" width="4.5703125" style="177" customWidth="1"/>
    <col min="10" max="10" width="1.85546875" style="103" customWidth="1"/>
    <col min="11" max="11" width="7" style="104" bestFit="1" customWidth="1"/>
    <col min="12" max="12" width="6.28515625" style="104" customWidth="1"/>
    <col min="13" max="13" width="20.42578125" style="104" customWidth="1"/>
    <col min="14" max="14" width="6.42578125" style="104" bestFit="1" customWidth="1"/>
    <col min="15" max="16" width="8.42578125" style="104"/>
    <col min="17" max="17" width="3.28515625" style="104" customWidth="1"/>
    <col min="18" max="16384" width="8.42578125" style="104"/>
  </cols>
  <sheetData>
    <row r="1" spans="1:10" ht="27.75" customHeight="1" x14ac:dyDescent="0.2">
      <c r="A1" s="99"/>
      <c r="B1" s="99"/>
      <c r="C1" s="99"/>
      <c r="D1" s="99"/>
      <c r="E1" s="100" t="s">
        <v>88</v>
      </c>
      <c r="F1" s="101" t="s">
        <v>89</v>
      </c>
      <c r="G1" s="101" t="s">
        <v>90</v>
      </c>
      <c r="H1" s="101" t="s">
        <v>91</v>
      </c>
      <c r="I1" s="102"/>
    </row>
    <row r="2" spans="1:10" ht="30.75" customHeight="1" x14ac:dyDescent="0.2">
      <c r="A2" s="99"/>
      <c r="B2" s="99"/>
      <c r="C2" s="99"/>
      <c r="D2" s="99"/>
      <c r="E2" s="105">
        <f>IFERROR(O62,"")</f>
        <v>2863.8153320970255</v>
      </c>
      <c r="F2" s="105">
        <f>IFERROR(H53,"")</f>
        <v>2793.6564705882347</v>
      </c>
      <c r="G2" s="105">
        <f>IFERROR(H54,"")</f>
        <v>54.256216296470591</v>
      </c>
      <c r="H2" s="105">
        <f>IFERROR(H56,"")</f>
        <v>173.22524249134023</v>
      </c>
      <c r="I2" s="106"/>
    </row>
    <row r="3" spans="1:10" ht="15" customHeight="1" x14ac:dyDescent="0.2">
      <c r="A3" s="99"/>
      <c r="B3" s="99"/>
      <c r="C3" s="99"/>
      <c r="D3" s="99"/>
      <c r="E3" s="99"/>
      <c r="F3" s="107"/>
      <c r="G3" s="107"/>
      <c r="H3" s="107"/>
      <c r="I3" s="107"/>
    </row>
    <row r="4" spans="1:10" ht="24.75" customHeight="1" thickBot="1" x14ac:dyDescent="0.25">
      <c r="A4" s="598"/>
      <c r="B4" s="598"/>
      <c r="C4" s="598"/>
      <c r="D4" s="598"/>
      <c r="E4" s="598"/>
      <c r="F4" s="598"/>
      <c r="G4" s="598"/>
      <c r="H4" s="598"/>
      <c r="I4" s="108"/>
    </row>
    <row r="5" spans="1:10" ht="19.5" customHeight="1" thickBot="1" x14ac:dyDescent="0.25">
      <c r="A5" s="599" t="s">
        <v>92</v>
      </c>
      <c r="B5" s="600"/>
      <c r="C5" s="600"/>
      <c r="D5" s="600"/>
      <c r="E5" s="600"/>
      <c r="F5" s="600"/>
      <c r="G5" s="600"/>
      <c r="H5" s="601"/>
      <c r="I5" s="109"/>
    </row>
    <row r="6" spans="1:10" ht="19.5" thickBot="1" x14ac:dyDescent="0.25">
      <c r="A6" s="109"/>
      <c r="B6" s="109"/>
      <c r="C6" s="109"/>
      <c r="D6" s="109"/>
      <c r="E6" s="109"/>
      <c r="F6" s="602" t="s">
        <v>93</v>
      </c>
      <c r="G6" s="602"/>
      <c r="H6" s="110">
        <f ca="1">TODAY()</f>
        <v>46020</v>
      </c>
      <c r="I6" s="110"/>
    </row>
    <row r="7" spans="1:10" ht="26.25" hidden="1" thickBot="1" x14ac:dyDescent="0.25">
      <c r="A7" s="111" t="s">
        <v>94</v>
      </c>
      <c r="B7" s="112" t="s">
        <v>95</v>
      </c>
      <c r="C7" s="112" t="s">
        <v>94</v>
      </c>
      <c r="D7" s="113" t="s">
        <v>96</v>
      </c>
      <c r="E7" s="113" t="s">
        <v>97</v>
      </c>
      <c r="F7" s="113" t="s">
        <v>98</v>
      </c>
      <c r="G7" s="113" t="s">
        <v>99</v>
      </c>
      <c r="H7" s="114" t="s">
        <v>100</v>
      </c>
      <c r="I7" s="115"/>
    </row>
    <row r="8" spans="1:10" ht="14.25" hidden="1" thickBot="1" x14ac:dyDescent="0.3">
      <c r="A8" s="116"/>
      <c r="B8" s="104" t="str">
        <f>IFERROR(VLOOKUP(H8,'[1]Consolidado MP Planta'!$A$2:$M$823,3,0),"")</f>
        <v/>
      </c>
      <c r="C8" s="117">
        <f>+A8</f>
        <v>0</v>
      </c>
      <c r="D8" s="118" t="str">
        <f>IFERROR(VLOOKUP(H8,'[1]Consolidado MP Planta'!$A$2:$M$823,13,0),"")</f>
        <v/>
      </c>
      <c r="E8" s="118" t="str">
        <f>IFERROR(VLOOKUP(H8,'[1]Consolidado MP Planta'!$A$2:$M$823,12,0),"")</f>
        <v/>
      </c>
      <c r="F8" s="118" t="str">
        <f>IFERROR(C8*E8,"")</f>
        <v/>
      </c>
      <c r="G8" s="119" t="str">
        <f t="shared" ref="G8:G14" si="0">IFERROR(F8/$F$66,"")</f>
        <v/>
      </c>
      <c r="H8" s="120"/>
      <c r="I8" s="120"/>
      <c r="J8" s="121"/>
    </row>
    <row r="9" spans="1:10" ht="14.25" hidden="1" thickBot="1" x14ac:dyDescent="0.3">
      <c r="A9" s="116"/>
      <c r="B9" s="104" t="str">
        <f>IFERROR(VLOOKUP(H9,'[1]Consolidado MP Planta'!$A$2:$M$823,3,0),"")</f>
        <v/>
      </c>
      <c r="C9" s="117">
        <f t="shared" ref="C9:C14" si="1">+A9</f>
        <v>0</v>
      </c>
      <c r="D9" s="118" t="str">
        <f>IFERROR(VLOOKUP(H9,'[1]Consolidado MP Planta'!$A$2:$M$823,13,0),"")</f>
        <v/>
      </c>
      <c r="E9" s="118" t="str">
        <f>IFERROR(VLOOKUP(H9,'[1]Consolidado MP Planta'!$A$2:$M$823,12,0),"")</f>
        <v/>
      </c>
      <c r="F9" s="118" t="str">
        <f t="shared" ref="F9:F14" si="2">IFERROR(C9*E9,"")</f>
        <v/>
      </c>
      <c r="G9" s="119" t="str">
        <f t="shared" si="0"/>
        <v/>
      </c>
      <c r="H9" s="120"/>
      <c r="I9" s="120"/>
      <c r="J9" s="121"/>
    </row>
    <row r="10" spans="1:10" ht="14.25" hidden="1" thickBot="1" x14ac:dyDescent="0.3">
      <c r="A10" s="116"/>
      <c r="B10" s="104" t="str">
        <f>IFERROR(VLOOKUP(H10,'[1]Consolidado MP Planta'!$A$2:$M$823,3,0),"")</f>
        <v/>
      </c>
      <c r="C10" s="117">
        <f t="shared" si="1"/>
        <v>0</v>
      </c>
      <c r="D10" s="118" t="str">
        <f>IFERROR(VLOOKUP(H10,'[1]Consolidado MP Planta'!$A$2:$M$823,13,0),"")</f>
        <v/>
      </c>
      <c r="E10" s="118" t="str">
        <f>IFERROR(VLOOKUP(H10,'[1]Consolidado MP Planta'!$A$2:$M$823,12,0),"")</f>
        <v/>
      </c>
      <c r="F10" s="118" t="str">
        <f t="shared" si="2"/>
        <v/>
      </c>
      <c r="G10" s="119" t="str">
        <f t="shared" si="0"/>
        <v/>
      </c>
      <c r="H10" s="120"/>
      <c r="I10" s="120"/>
      <c r="J10" s="121"/>
    </row>
    <row r="11" spans="1:10" ht="14.25" hidden="1" thickBot="1" x14ac:dyDescent="0.3">
      <c r="A11" s="116"/>
      <c r="B11" s="104" t="str">
        <f>IFERROR(VLOOKUP(H11,'[1]Consolidado MP Planta'!$A$2:$M$823,3,0),"")</f>
        <v/>
      </c>
      <c r="C11" s="117">
        <f t="shared" si="1"/>
        <v>0</v>
      </c>
      <c r="D11" s="118" t="str">
        <f>IFERROR(VLOOKUP(H11,'[1]Consolidado MP Planta'!$A$2:$M$823,13,0),"")</f>
        <v/>
      </c>
      <c r="E11" s="118" t="str">
        <f>IFERROR(VLOOKUP(H11,'[1]Consolidado MP Planta'!$A$2:$M$823,12,0),"")</f>
        <v/>
      </c>
      <c r="F11" s="118" t="str">
        <f t="shared" si="2"/>
        <v/>
      </c>
      <c r="G11" s="119" t="str">
        <f t="shared" si="0"/>
        <v/>
      </c>
      <c r="H11" s="120"/>
      <c r="I11" s="120"/>
      <c r="J11" s="121"/>
    </row>
    <row r="12" spans="1:10" ht="14.25" hidden="1" thickBot="1" x14ac:dyDescent="0.3">
      <c r="A12" s="116"/>
      <c r="B12" s="104" t="str">
        <f>IFERROR(VLOOKUP(H12,'[1]Consolidado MP Planta'!$A$2:$M$823,3,0),"")</f>
        <v/>
      </c>
      <c r="C12" s="117">
        <f t="shared" si="1"/>
        <v>0</v>
      </c>
      <c r="D12" s="118" t="str">
        <f>IFERROR(VLOOKUP(H12,'[1]Consolidado MP Planta'!$A$2:$M$823,13,0),"")</f>
        <v/>
      </c>
      <c r="E12" s="118" t="str">
        <f>IFERROR(VLOOKUP(H12,'[1]Consolidado MP Planta'!$A$2:$M$823,12,0),"")</f>
        <v/>
      </c>
      <c r="F12" s="118" t="str">
        <f t="shared" si="2"/>
        <v/>
      </c>
      <c r="G12" s="119" t="str">
        <f t="shared" si="0"/>
        <v/>
      </c>
      <c r="H12" s="120"/>
      <c r="I12" s="120"/>
      <c r="J12" s="121"/>
    </row>
    <row r="13" spans="1:10" ht="14.25" hidden="1" thickBot="1" x14ac:dyDescent="0.3">
      <c r="A13" s="116"/>
      <c r="B13" s="104" t="str">
        <f>IFERROR(VLOOKUP(H13,'[1]Consolidado MP Planta'!$A$2:$M$823,3,0),"")</f>
        <v/>
      </c>
      <c r="C13" s="117">
        <f t="shared" si="1"/>
        <v>0</v>
      </c>
      <c r="D13" s="118" t="str">
        <f>IFERROR(VLOOKUP(H13,'[1]Consolidado MP Planta'!$A$2:$M$823,13,0),"")</f>
        <v/>
      </c>
      <c r="E13" s="118" t="str">
        <f>IFERROR(VLOOKUP(H13,'[1]Consolidado MP Planta'!$A$2:$M$823,12,0),"")</f>
        <v/>
      </c>
      <c r="F13" s="118" t="str">
        <f t="shared" si="2"/>
        <v/>
      </c>
      <c r="G13" s="119" t="str">
        <f t="shared" si="0"/>
        <v/>
      </c>
      <c r="H13" s="120"/>
      <c r="I13" s="120"/>
      <c r="J13" s="121"/>
    </row>
    <row r="14" spans="1:10" ht="14.25" hidden="1" thickBot="1" x14ac:dyDescent="0.3">
      <c r="A14" s="116"/>
      <c r="B14" s="104" t="str">
        <f>IFERROR(VLOOKUP(H14,'[1]Consolidado MP Planta'!$A$2:$M$823,3,0),"")</f>
        <v/>
      </c>
      <c r="C14" s="117">
        <f t="shared" si="1"/>
        <v>0</v>
      </c>
      <c r="D14" s="118" t="str">
        <f>IFERROR(VLOOKUP(H14,'[1]Consolidado MP Planta'!$A$2:$M$823,13,0),"")</f>
        <v/>
      </c>
      <c r="E14" s="118" t="str">
        <f>IFERROR(VLOOKUP(H14,'[1]Consolidado MP Planta'!$A$2:$M$823,12,0),"")</f>
        <v/>
      </c>
      <c r="F14" s="118" t="str">
        <f t="shared" si="2"/>
        <v/>
      </c>
      <c r="G14" s="119" t="str">
        <f t="shared" si="0"/>
        <v/>
      </c>
      <c r="H14" s="120"/>
      <c r="I14" s="120"/>
      <c r="J14" s="121"/>
    </row>
    <row r="15" spans="1:10" ht="14.25" hidden="1" thickBot="1" x14ac:dyDescent="0.3">
      <c r="A15" s="116"/>
      <c r="B15" s="104" t="str">
        <f>IFERROR(VLOOKUP(H15,'[2]ARTICULOS MP PLANTA'!$A$2:$G$589,2,0),"")</f>
        <v/>
      </c>
      <c r="C15" s="117"/>
      <c r="D15" s="118"/>
      <c r="E15" s="118"/>
      <c r="F15" s="118"/>
      <c r="G15" s="119"/>
      <c r="H15" s="120"/>
      <c r="I15" s="120"/>
      <c r="J15" s="121"/>
    </row>
    <row r="16" spans="1:10" ht="26.25" thickBot="1" x14ac:dyDescent="0.25">
      <c r="A16" s="111" t="s">
        <v>94</v>
      </c>
      <c r="B16" s="112" t="s">
        <v>101</v>
      </c>
      <c r="C16" s="112" t="s">
        <v>94</v>
      </c>
      <c r="D16" s="113" t="s">
        <v>96</v>
      </c>
      <c r="E16" s="113" t="s">
        <v>97</v>
      </c>
      <c r="F16" s="113" t="s">
        <v>98</v>
      </c>
      <c r="G16" s="113" t="s">
        <v>99</v>
      </c>
      <c r="H16" s="114" t="s">
        <v>100</v>
      </c>
      <c r="I16" s="115"/>
      <c r="J16" s="121"/>
    </row>
    <row r="17" spans="1:12" ht="13.5" x14ac:dyDescent="0.25">
      <c r="A17" s="116">
        <v>47400</v>
      </c>
      <c r="B17" s="104" t="s">
        <v>75</v>
      </c>
      <c r="C17" s="117">
        <f>+A17</f>
        <v>47400</v>
      </c>
      <c r="D17" s="117" t="s">
        <v>102</v>
      </c>
      <c r="E17" s="118">
        <v>1.1499999999999999</v>
      </c>
      <c r="F17" s="118">
        <f>IFERROR(E17*C17,"")</f>
        <v>54509.999999999993</v>
      </c>
      <c r="G17" s="119">
        <f t="shared" ref="G17:G24" si="3">IFERROR(F17/$F$66,"")</f>
        <v>0.85384738357178835</v>
      </c>
      <c r="H17" s="120" t="s">
        <v>103</v>
      </c>
      <c r="I17" s="120"/>
      <c r="J17" s="121"/>
    </row>
    <row r="18" spans="1:12" ht="13.5" x14ac:dyDescent="0.25">
      <c r="A18" s="116">
        <v>2380</v>
      </c>
      <c r="B18" s="104" t="str">
        <f>IFERROR(VLOOKUP(H18,[1]SEMIELABORADOS!$A$2:$M$6000,2,0),"")</f>
        <v>MEZCLA P/ENGRASE MOLDES KILO</v>
      </c>
      <c r="C18" s="117">
        <f t="shared" ref="C18:C24" si="4">+A18</f>
        <v>2380</v>
      </c>
      <c r="D18" s="117" t="str">
        <f>IFERROR(VLOOKUP(H18,[1]SEMIELABORADOS!$A$2:$M$6000,6,0),"")</f>
        <v>Gramo</v>
      </c>
      <c r="E18" s="118">
        <v>2.04</v>
      </c>
      <c r="F18" s="118">
        <f t="shared" ref="F18:F24" si="5">IFERROR(E18*C18,"")</f>
        <v>4855.2</v>
      </c>
      <c r="G18" s="119">
        <f t="shared" si="3"/>
        <v>7.6052097169652305E-2</v>
      </c>
      <c r="H18" s="120" t="s">
        <v>104</v>
      </c>
      <c r="I18" s="120"/>
      <c r="J18" s="121"/>
    </row>
    <row r="19" spans="1:12" ht="13.5" hidden="1" x14ac:dyDescent="0.25">
      <c r="A19" s="116"/>
      <c r="B19" s="104" t="str">
        <f>IFERROR(VLOOKUP(H19,[1]SEMIELABORADOS!$A$2:$M$6000,2,0),"")</f>
        <v/>
      </c>
      <c r="C19" s="117">
        <f>+A19</f>
        <v>0</v>
      </c>
      <c r="D19" s="117" t="str">
        <f>IFERROR(VLOOKUP(H19,[1]SEMIELABORADOS!$A$2:$M$6000,6,0),"")</f>
        <v/>
      </c>
      <c r="E19" s="118" t="str">
        <f>IFERROR(VLOOKUP(H19,[1]SEMIELABORADOS!$A$2:$H$65536,8,0),"")</f>
        <v/>
      </c>
      <c r="F19" s="118" t="str">
        <f>IFERROR(E19*C19,"")</f>
        <v/>
      </c>
      <c r="G19" s="119" t="str">
        <f t="shared" si="3"/>
        <v/>
      </c>
      <c r="H19" s="120"/>
      <c r="I19" s="120"/>
      <c r="J19" s="121"/>
    </row>
    <row r="20" spans="1:12" ht="13.5" hidden="1" x14ac:dyDescent="0.25">
      <c r="A20" s="116"/>
      <c r="B20" s="104" t="str">
        <f>IFERROR(VLOOKUP(H20,[1]SEMIELABORADOS!$A$2:$M$6000,2,0),"")</f>
        <v/>
      </c>
      <c r="C20" s="117">
        <f>+A20</f>
        <v>0</v>
      </c>
      <c r="D20" s="117" t="str">
        <f>IFERROR(VLOOKUP(H20,[1]SEMIELABORADOS!$A$2:$M$6000,6,0),"")</f>
        <v/>
      </c>
      <c r="E20" s="118" t="str">
        <f>IFERROR(VLOOKUP(H20,[1]SEMIELABORADOS!$A$2:$H$65536,8,0),"")</f>
        <v/>
      </c>
      <c r="F20" s="118" t="str">
        <f>IFERROR(E20*C20,"")</f>
        <v/>
      </c>
      <c r="G20" s="119" t="str">
        <f t="shared" si="3"/>
        <v/>
      </c>
      <c r="H20" s="120"/>
      <c r="I20" s="120"/>
      <c r="J20" s="121"/>
    </row>
    <row r="21" spans="1:12" ht="13.5" hidden="1" x14ac:dyDescent="0.25">
      <c r="A21" s="116"/>
      <c r="B21" s="104" t="str">
        <f>IFERROR(VLOOKUP(H21,[1]SEMIELABORADOS!$A$2:$M$6000,2,0),"")</f>
        <v/>
      </c>
      <c r="C21" s="117">
        <f>+A21</f>
        <v>0</v>
      </c>
      <c r="D21" s="117" t="str">
        <f>IFERROR(VLOOKUP(H21,[1]SEMIELABORADOS!$A$2:$M$6000,6,0),"")</f>
        <v/>
      </c>
      <c r="E21" s="118" t="str">
        <f>IFERROR(VLOOKUP(H21,[1]SEMIELABORADOS!$A$2:$H$65536,8,0),"")</f>
        <v/>
      </c>
      <c r="F21" s="118" t="str">
        <f>IFERROR(E21*C21,"")</f>
        <v/>
      </c>
      <c r="G21" s="119" t="str">
        <f t="shared" si="3"/>
        <v/>
      </c>
      <c r="H21" s="120"/>
      <c r="I21" s="120"/>
      <c r="J21" s="121"/>
    </row>
    <row r="22" spans="1:12" ht="13.5" hidden="1" x14ac:dyDescent="0.25">
      <c r="A22" s="116"/>
      <c r="B22" s="104" t="str">
        <f>IFERROR(VLOOKUP(H22,[1]SEMIELABORADOS!$A$2:$M$6000,2,0),"")</f>
        <v/>
      </c>
      <c r="C22" s="117">
        <f t="shared" si="4"/>
        <v>0</v>
      </c>
      <c r="D22" s="117" t="str">
        <f>IFERROR(VLOOKUP(H22,[1]SEMIELABORADOS!$A$2:$M$6000,6,0),"")</f>
        <v/>
      </c>
      <c r="E22" s="118" t="str">
        <f>IFERROR(VLOOKUP(H22,[1]SEMIELABORADOS!$A$2:$H$65536,8,0),"")</f>
        <v/>
      </c>
      <c r="F22" s="118" t="str">
        <f t="shared" si="5"/>
        <v/>
      </c>
      <c r="G22" s="119" t="str">
        <f t="shared" si="3"/>
        <v/>
      </c>
      <c r="H22" s="120"/>
      <c r="I22" s="120"/>
      <c r="J22" s="121"/>
    </row>
    <row r="23" spans="1:12" ht="13.5" hidden="1" x14ac:dyDescent="0.25">
      <c r="A23" s="116"/>
      <c r="B23" s="104" t="str">
        <f>IFERROR(VLOOKUP(H23,[1]SEMIELABORADOS!$A$2:$M$6000,2,0),"")</f>
        <v/>
      </c>
      <c r="C23" s="117">
        <f t="shared" si="4"/>
        <v>0</v>
      </c>
      <c r="D23" s="117" t="str">
        <f>IFERROR(VLOOKUP(H23,[1]SEMIELABORADOS!$A$2:$M$6000,6,0),"")</f>
        <v/>
      </c>
      <c r="E23" s="118" t="str">
        <f>IFERROR(VLOOKUP(H23,[1]SEMIELABORADOS!$A$2:$H$65536,8,0),"")</f>
        <v/>
      </c>
      <c r="F23" s="118" t="str">
        <f t="shared" si="5"/>
        <v/>
      </c>
      <c r="G23" s="119" t="str">
        <f t="shared" si="3"/>
        <v/>
      </c>
      <c r="H23" s="120"/>
      <c r="I23" s="120"/>
      <c r="J23" s="121"/>
    </row>
    <row r="24" spans="1:12" ht="13.5" hidden="1" x14ac:dyDescent="0.25">
      <c r="A24" s="116"/>
      <c r="B24" s="104" t="str">
        <f>IFERROR(VLOOKUP(H24,[1]SEMIELABORADOS!$A$2:$M$6000,2,0),"")</f>
        <v/>
      </c>
      <c r="C24" s="117">
        <f t="shared" si="4"/>
        <v>0</v>
      </c>
      <c r="D24" s="117" t="str">
        <f>IFERROR(VLOOKUP(H24,[1]SEMIELABORADOS!$A$2:$M$6000,6,0),"")</f>
        <v/>
      </c>
      <c r="E24" s="118" t="str">
        <f>IFERROR(VLOOKUP(H24,[1]SEMIELABORADOS!$A$2:$H$65536,8,0),"")</f>
        <v/>
      </c>
      <c r="F24" s="118" t="str">
        <f t="shared" si="5"/>
        <v/>
      </c>
      <c r="G24" s="119" t="str">
        <f t="shared" si="3"/>
        <v/>
      </c>
      <c r="H24" s="120"/>
      <c r="I24" s="120"/>
      <c r="J24" s="121"/>
    </row>
    <row r="25" spans="1:12" ht="14.25" thickBot="1" x14ac:dyDescent="0.3">
      <c r="A25" s="116"/>
      <c r="C25" s="117"/>
      <c r="D25" s="117"/>
      <c r="E25" s="118"/>
      <c r="F25" s="118"/>
      <c r="G25" s="119"/>
      <c r="H25" s="120"/>
      <c r="I25" s="120"/>
      <c r="J25" s="121"/>
    </row>
    <row r="26" spans="1:12" ht="26.25" thickBot="1" x14ac:dyDescent="0.25">
      <c r="A26" s="111" t="s">
        <v>94</v>
      </c>
      <c r="B26" s="112" t="s">
        <v>27</v>
      </c>
      <c r="C26" s="112" t="s">
        <v>94</v>
      </c>
      <c r="D26" s="113" t="s">
        <v>96</v>
      </c>
      <c r="E26" s="113" t="s">
        <v>97</v>
      </c>
      <c r="F26" s="113" t="s">
        <v>98</v>
      </c>
      <c r="G26" s="113" t="s">
        <v>99</v>
      </c>
      <c r="H26" s="114" t="s">
        <v>100</v>
      </c>
      <c r="I26" s="115"/>
    </row>
    <row r="27" spans="1:12" ht="13.5" x14ac:dyDescent="0.25">
      <c r="A27" s="116">
        <v>21</v>
      </c>
      <c r="B27" s="122" t="str">
        <f>IFERROR(VLOOKUP(H27,'[1]Consolidado MP Planta'!$A$2:$M$823,3,0),"")</f>
        <v>BOLSA TRANSPARENTE 56X96X1.80 KILO</v>
      </c>
      <c r="C27" s="117">
        <f t="shared" ref="C27:C32" si="6">+A27</f>
        <v>21</v>
      </c>
      <c r="D27" s="118" t="str">
        <f>IFERROR(VLOOKUP(H27,'[1]Consolidado MP Planta'!$A$2:$M$823,13,0),"")</f>
        <v>Und</v>
      </c>
      <c r="E27" s="118">
        <f>IFERROR(VLOOKUP(H27,'[1]Consolidado MP Planta'!$A$2:$M$823,12,0),"")</f>
        <v>50</v>
      </c>
      <c r="F27" s="118">
        <f t="shared" ref="F27:F32" si="7">IFERROR(C27*E27,"")</f>
        <v>1050</v>
      </c>
      <c r="G27" s="119">
        <f t="shared" ref="G27:G32" si="8">IFERROR(F27/$F$66,"")</f>
        <v>1.6447252848108197E-2</v>
      </c>
      <c r="H27" s="123" t="s">
        <v>105</v>
      </c>
      <c r="I27" s="123"/>
      <c r="J27" s="121"/>
      <c r="K27" s="603"/>
      <c r="L27" s="603"/>
    </row>
    <row r="28" spans="1:12" ht="13.5" x14ac:dyDescent="0.25">
      <c r="A28" s="116">
        <v>21</v>
      </c>
      <c r="B28" s="122" t="str">
        <f>IFERROR(VLOOKUP(H28,'[1]Consolidado MP Planta'!$A$2:$M$823,3,0),"")</f>
        <v>ETIQUETA BLANCA 2 5/8X1 15/16 (UND)</v>
      </c>
      <c r="C28" s="117">
        <f t="shared" si="6"/>
        <v>21</v>
      </c>
      <c r="D28" s="118" t="str">
        <f>IFERROR(VLOOKUP(H28,'[1]Consolidado MP Planta'!$A$2:$M$823,13,0),"")</f>
        <v>Und</v>
      </c>
      <c r="E28" s="118">
        <f>IFERROR(VLOOKUP(H28,'[1]Consolidado MP Planta'!$A$2:$M$823,12,0),"")</f>
        <v>2.1280000000000001</v>
      </c>
      <c r="F28" s="118">
        <f t="shared" si="7"/>
        <v>44.688000000000002</v>
      </c>
      <c r="G28" s="119">
        <f t="shared" si="8"/>
        <v>6.9999508121548488E-4</v>
      </c>
      <c r="H28" s="123" t="s">
        <v>46</v>
      </c>
      <c r="I28" s="123"/>
      <c r="J28" s="121"/>
      <c r="K28" s="603"/>
      <c r="L28" s="603"/>
    </row>
    <row r="29" spans="1:12" ht="13.5" x14ac:dyDescent="0.25">
      <c r="A29" s="116">
        <v>21</v>
      </c>
      <c r="B29" s="122" t="str">
        <f>IFERROR(VLOOKUP(H29,'[1]Consolidado MP Planta'!$A$2:$M$823,3,0),"")</f>
        <v>ETIQ.FECHA VENCIMIENTO BLANCO (ROLLO)</v>
      </c>
      <c r="C29" s="117">
        <f t="shared" si="6"/>
        <v>21</v>
      </c>
      <c r="D29" s="118" t="str">
        <f>IFERROR(VLOOKUP(H29,'[1]Consolidado MP Planta'!$A$2:$M$823,13,0),"")</f>
        <v>Gramos</v>
      </c>
      <c r="E29" s="118">
        <f>IFERROR(VLOOKUP(H29,'[1]Consolidado MP Planta'!$A$2:$M$823,12,0),"")</f>
        <v>0.33333333333333331</v>
      </c>
      <c r="F29" s="118">
        <f t="shared" si="7"/>
        <v>7</v>
      </c>
      <c r="G29" s="119">
        <f t="shared" si="8"/>
        <v>1.0964835232072132E-4</v>
      </c>
      <c r="H29" s="123" t="s">
        <v>44</v>
      </c>
      <c r="I29" s="123"/>
      <c r="J29" s="121"/>
      <c r="K29" s="603"/>
      <c r="L29" s="603"/>
    </row>
    <row r="30" spans="1:12" ht="13.5" hidden="1" x14ac:dyDescent="0.25">
      <c r="A30" s="116"/>
      <c r="B30" s="122" t="str">
        <f>IFERROR(VLOOKUP(H30,'[1]Consolidado MP Planta'!$A$2:$M$823,3,0),"")</f>
        <v/>
      </c>
      <c r="C30" s="117">
        <f t="shared" si="6"/>
        <v>0</v>
      </c>
      <c r="D30" s="118" t="str">
        <f>IFERROR(VLOOKUP(H30,'[1]Consolidado MP Planta'!$A$2:$M$823,13,0),"")</f>
        <v/>
      </c>
      <c r="E30" s="118" t="str">
        <f>IFERROR(VLOOKUP(H30,'[1]Consolidado MP Planta'!$A$2:$M$823,12,0),"")</f>
        <v/>
      </c>
      <c r="F30" s="118" t="str">
        <f t="shared" si="7"/>
        <v/>
      </c>
      <c r="G30" s="119" t="str">
        <f t="shared" si="8"/>
        <v/>
      </c>
      <c r="H30" s="123"/>
      <c r="I30" s="123"/>
      <c r="J30" s="121"/>
      <c r="K30" s="603"/>
      <c r="L30" s="603"/>
    </row>
    <row r="31" spans="1:12" ht="13.5" hidden="1" x14ac:dyDescent="0.25">
      <c r="A31" s="116"/>
      <c r="B31" s="122" t="str">
        <f>IFERROR(VLOOKUP(H31,'[1]Consolidado MP Planta'!$A$2:$M$823,3,0),"")</f>
        <v/>
      </c>
      <c r="C31" s="117">
        <f t="shared" si="6"/>
        <v>0</v>
      </c>
      <c r="D31" s="118" t="str">
        <f>IFERROR(VLOOKUP(H31,'[1]Consolidado MP Planta'!$A$2:$M$823,13,0),"")</f>
        <v/>
      </c>
      <c r="E31" s="118" t="str">
        <f>IFERROR(VLOOKUP(H31,'[1]Consolidado MP Planta'!$A$2:$M$823,12,0),"")</f>
        <v/>
      </c>
      <c r="F31" s="118" t="str">
        <f t="shared" si="7"/>
        <v/>
      </c>
      <c r="G31" s="119" t="str">
        <f t="shared" si="8"/>
        <v/>
      </c>
      <c r="H31" s="123"/>
      <c r="I31" s="123"/>
      <c r="J31" s="121"/>
      <c r="K31" s="124"/>
      <c r="L31" s="125"/>
    </row>
    <row r="32" spans="1:12" ht="13.5" hidden="1" x14ac:dyDescent="0.25">
      <c r="A32" s="116"/>
      <c r="B32" s="122" t="str">
        <f>IFERROR(VLOOKUP(H32,'[1]Consolidado MP Planta'!$A$2:$M$823,3,0),"")</f>
        <v/>
      </c>
      <c r="C32" s="117">
        <f t="shared" si="6"/>
        <v>0</v>
      </c>
      <c r="D32" s="118" t="str">
        <f>IFERROR(VLOOKUP(H32,'[1]Consolidado MP Planta'!$A$2:$M$823,13,0),"")</f>
        <v/>
      </c>
      <c r="E32" s="118" t="str">
        <f>IFERROR(VLOOKUP(H32,'[1]Consolidado MP Planta'!$A$2:$M$823,12,0),"")</f>
        <v/>
      </c>
      <c r="F32" s="118" t="str">
        <f t="shared" si="7"/>
        <v/>
      </c>
      <c r="G32" s="119" t="str">
        <f t="shared" si="8"/>
        <v/>
      </c>
      <c r="H32" s="123"/>
      <c r="I32" s="123"/>
      <c r="J32" s="121"/>
    </row>
    <row r="33" spans="1:13" ht="14.25" thickBot="1" x14ac:dyDescent="0.3">
      <c r="A33" s="116"/>
      <c r="B33" s="122"/>
      <c r="C33" s="117"/>
      <c r="D33" s="118"/>
      <c r="E33" s="118"/>
      <c r="F33" s="118"/>
      <c r="G33" s="119"/>
      <c r="H33" s="123"/>
      <c r="I33" s="123"/>
      <c r="J33" s="121"/>
    </row>
    <row r="34" spans="1:13" ht="26.25" thickBot="1" x14ac:dyDescent="0.25">
      <c r="A34" s="111" t="s">
        <v>94</v>
      </c>
      <c r="B34" s="112" t="s">
        <v>106</v>
      </c>
      <c r="C34" s="112" t="s">
        <v>94</v>
      </c>
      <c r="D34" s="113" t="s">
        <v>96</v>
      </c>
      <c r="E34" s="113" t="s">
        <v>97</v>
      </c>
      <c r="F34" s="113" t="s">
        <v>98</v>
      </c>
      <c r="G34" s="113" t="s">
        <v>99</v>
      </c>
      <c r="H34" s="114" t="s">
        <v>100</v>
      </c>
      <c r="I34" s="123"/>
      <c r="J34" s="121"/>
    </row>
    <row r="35" spans="1:13" ht="13.5" x14ac:dyDescent="0.25">
      <c r="A35" s="116">
        <f>+A17</f>
        <v>47400</v>
      </c>
      <c r="B35" s="122" t="s">
        <v>75</v>
      </c>
      <c r="C35" s="117">
        <f>+A35</f>
        <v>47400</v>
      </c>
      <c r="D35" s="118" t="s">
        <v>102</v>
      </c>
      <c r="E35" s="118">
        <v>0</v>
      </c>
      <c r="F35" s="118">
        <f>IFERROR(E35*C35,"")</f>
        <v>0</v>
      </c>
      <c r="G35" s="119">
        <f t="shared" ref="G35:G41" si="9">IFERROR(F35/$F$66,"")</f>
        <v>0</v>
      </c>
      <c r="H35" s="123" t="s">
        <v>103</v>
      </c>
      <c r="I35" s="123"/>
      <c r="J35" s="121"/>
    </row>
    <row r="36" spans="1:13" ht="13.5" x14ac:dyDescent="0.25">
      <c r="A36" s="116">
        <f t="shared" ref="A36:A41" si="10">+A18</f>
        <v>2380</v>
      </c>
      <c r="B36" s="122" t="str">
        <f>IFERROR(VLOOKUP(H36,[1]SEMIELABORADOS!$A$2:$M$6000,2,0),"")</f>
        <v>MEZCLA P/ENGRASE MOLDES KILO</v>
      </c>
      <c r="C36" s="117">
        <f t="shared" ref="C36:C41" si="11">+A36</f>
        <v>2380</v>
      </c>
      <c r="D36" s="118" t="str">
        <f>IFERROR(VLOOKUP(H36,[1]SEMIELABORADOS!$A$2:$M$6000,6,0),"")</f>
        <v>Gramo</v>
      </c>
      <c r="E36" s="118">
        <f>IFERROR(VLOOKUP(H36,[1]SEMIELABORADOS!$A$2:$M$65536,10,0),"")</f>
        <v>2.1536385000000002E-2</v>
      </c>
      <c r="F36" s="118">
        <f t="shared" ref="F36:F41" si="12">IFERROR(E36*C36,"")</f>
        <v>51.256596300000005</v>
      </c>
      <c r="G36" s="119">
        <f t="shared" si="9"/>
        <v>8.0288590426619733E-4</v>
      </c>
      <c r="H36" s="123" t="s">
        <v>104</v>
      </c>
      <c r="I36" s="123"/>
      <c r="J36" s="121"/>
    </row>
    <row r="37" spans="1:13" ht="13.5" hidden="1" x14ac:dyDescent="0.25">
      <c r="A37" s="116">
        <f t="shared" si="10"/>
        <v>0</v>
      </c>
      <c r="B37" s="122" t="str">
        <f>IFERROR(VLOOKUP(H37,[1]SEMIELABORADOS!$A$2:$M$6000,2,0),"")</f>
        <v/>
      </c>
      <c r="C37" s="117">
        <f t="shared" si="11"/>
        <v>0</v>
      </c>
      <c r="D37" s="118" t="str">
        <f>IFERROR(VLOOKUP(H37,[1]SEMIELABORADOS!$A$2:$M$6000,6,0),"")</f>
        <v/>
      </c>
      <c r="E37" s="118" t="str">
        <f>IFERROR(VLOOKUP(H37,[1]SEMIELABORADOS!$A$2:$M$65536,10,0),"")</f>
        <v/>
      </c>
      <c r="F37" s="118" t="str">
        <f t="shared" si="12"/>
        <v/>
      </c>
      <c r="G37" s="119" t="str">
        <f t="shared" si="9"/>
        <v/>
      </c>
      <c r="H37" s="123"/>
      <c r="I37" s="123"/>
      <c r="J37" s="121"/>
    </row>
    <row r="38" spans="1:13" ht="13.5" hidden="1" x14ac:dyDescent="0.25">
      <c r="A38" s="116">
        <f t="shared" si="10"/>
        <v>0</v>
      </c>
      <c r="B38" s="122" t="str">
        <f>IFERROR(VLOOKUP(H38,[1]SEMIELABORADOS!$A$2:$M$6000,2,0),"")</f>
        <v/>
      </c>
      <c r="C38" s="117">
        <f>+A38</f>
        <v>0</v>
      </c>
      <c r="D38" s="118" t="str">
        <f>IFERROR(VLOOKUP(H38,[1]SEMIELABORADOS!$A$2:$M$6000,6,0),"")</f>
        <v/>
      </c>
      <c r="E38" s="118" t="str">
        <f>IFERROR(VLOOKUP(H38,[1]SEMIELABORADOS!$A$2:$M$65536,10,0),"")</f>
        <v/>
      </c>
      <c r="F38" s="118" t="str">
        <f>IFERROR(E38*C38,"")</f>
        <v/>
      </c>
      <c r="G38" s="119" t="str">
        <f t="shared" si="9"/>
        <v/>
      </c>
      <c r="H38" s="123"/>
      <c r="I38" s="123"/>
      <c r="J38" s="121"/>
    </row>
    <row r="39" spans="1:13" ht="13.5" hidden="1" x14ac:dyDescent="0.25">
      <c r="A39" s="116">
        <f t="shared" si="10"/>
        <v>0</v>
      </c>
      <c r="B39" s="122" t="str">
        <f>IFERROR(VLOOKUP(H39,[1]SEMIELABORADOS!$A$2:$M$6000,2,0),"")</f>
        <v/>
      </c>
      <c r="C39" s="117">
        <f>+A39</f>
        <v>0</v>
      </c>
      <c r="D39" s="118" t="str">
        <f>IFERROR(VLOOKUP(H39,[1]SEMIELABORADOS!$A$2:$M$6000,6,0),"")</f>
        <v/>
      </c>
      <c r="E39" s="118" t="str">
        <f>IFERROR(VLOOKUP(H39,[1]SEMIELABORADOS!$A$2:$M$65536,10,0),"")</f>
        <v/>
      </c>
      <c r="F39" s="118" t="str">
        <f>IFERROR(E39*C39,"")</f>
        <v/>
      </c>
      <c r="G39" s="119" t="str">
        <f t="shared" si="9"/>
        <v/>
      </c>
      <c r="H39" s="123"/>
      <c r="I39" s="123"/>
      <c r="J39" s="121"/>
    </row>
    <row r="40" spans="1:13" ht="13.5" hidden="1" x14ac:dyDescent="0.25">
      <c r="A40" s="116">
        <f t="shared" si="10"/>
        <v>0</v>
      </c>
      <c r="B40" s="122" t="str">
        <f>IFERROR(VLOOKUP(H40,[1]SEMIELABORADOS!$A$2:$M$6000,2,0),"")</f>
        <v/>
      </c>
      <c r="C40" s="117">
        <f t="shared" si="11"/>
        <v>0</v>
      </c>
      <c r="D40" s="118" t="str">
        <f>IFERROR(VLOOKUP(H40,[1]SEMIELABORADOS!$A$2:$M$6000,6,0),"")</f>
        <v/>
      </c>
      <c r="E40" s="118" t="str">
        <f>IFERROR(VLOOKUP(H40,[1]SEMIELABORADOS!$A$2:$M$65536,10,0),"")</f>
        <v/>
      </c>
      <c r="F40" s="118" t="str">
        <f t="shared" si="12"/>
        <v/>
      </c>
      <c r="G40" s="119" t="str">
        <f t="shared" si="9"/>
        <v/>
      </c>
      <c r="H40" s="123"/>
      <c r="I40" s="123"/>
      <c r="J40" s="121"/>
    </row>
    <row r="41" spans="1:13" ht="13.5" hidden="1" x14ac:dyDescent="0.25">
      <c r="A41" s="116">
        <f t="shared" si="10"/>
        <v>0</v>
      </c>
      <c r="B41" s="122" t="str">
        <f>IFERROR(VLOOKUP(H41,[1]SEMIELABORADOS!$A$2:$M$6000,2,0),"")</f>
        <v/>
      </c>
      <c r="C41" s="117">
        <f t="shared" si="11"/>
        <v>0</v>
      </c>
      <c r="D41" s="118" t="str">
        <f>IFERROR(VLOOKUP(H41,[1]SEMIELABORADOS!$A$2:$M$6000,6,0),"")</f>
        <v/>
      </c>
      <c r="E41" s="118" t="str">
        <f>IFERROR(VLOOKUP(H41,[1]SEMIELABORADOS!$A$2:$M$65536,10,0),"")</f>
        <v/>
      </c>
      <c r="F41" s="118" t="str">
        <f t="shared" si="12"/>
        <v/>
      </c>
      <c r="G41" s="119" t="str">
        <f t="shared" si="9"/>
        <v/>
      </c>
      <c r="H41" s="123"/>
      <c r="I41" s="123"/>
      <c r="J41" s="121"/>
    </row>
    <row r="42" spans="1:13" ht="14.25" thickBot="1" x14ac:dyDescent="0.3">
      <c r="A42" s="116"/>
      <c r="B42" s="122"/>
      <c r="C42" s="117"/>
      <c r="D42" s="118"/>
      <c r="E42" s="118"/>
      <c r="F42" s="118"/>
      <c r="G42" s="119"/>
      <c r="H42" s="123"/>
      <c r="I42" s="123"/>
      <c r="J42" s="121"/>
    </row>
    <row r="43" spans="1:13" ht="26.25" thickBot="1" x14ac:dyDescent="0.25">
      <c r="A43" s="111" t="s">
        <v>94</v>
      </c>
      <c r="B43" s="112" t="s">
        <v>107</v>
      </c>
      <c r="C43" s="112" t="s">
        <v>94</v>
      </c>
      <c r="D43" s="113" t="s">
        <v>96</v>
      </c>
      <c r="E43" s="113" t="s">
        <v>97</v>
      </c>
      <c r="F43" s="113" t="s">
        <v>98</v>
      </c>
      <c r="G43" s="113" t="s">
        <v>99</v>
      </c>
      <c r="H43" s="114" t="s">
        <v>100</v>
      </c>
      <c r="I43" s="115"/>
      <c r="J43" s="121"/>
    </row>
    <row r="44" spans="1:13" ht="13.5" x14ac:dyDescent="0.25">
      <c r="A44" s="116">
        <f>+A35</f>
        <v>47400</v>
      </c>
      <c r="B44" s="122" t="s">
        <v>75</v>
      </c>
      <c r="C44" s="117">
        <f>+A44</f>
        <v>47400</v>
      </c>
      <c r="D44" s="118" t="s">
        <v>102</v>
      </c>
      <c r="E44" s="118">
        <v>0.02</v>
      </c>
      <c r="F44" s="118">
        <f>IFERROR(E44*C44,"")</f>
        <v>948</v>
      </c>
      <c r="G44" s="119">
        <f>IFERROR(F44/$F$66,"")</f>
        <v>1.4849519714291973E-2</v>
      </c>
      <c r="H44" s="123" t="s">
        <v>103</v>
      </c>
      <c r="I44" s="115"/>
      <c r="J44" s="121"/>
    </row>
    <row r="45" spans="1:13" ht="13.5" x14ac:dyDescent="0.25">
      <c r="A45" s="116">
        <f t="shared" ref="A45:A50" si="13">+A36</f>
        <v>2380</v>
      </c>
      <c r="B45" s="122" t="str">
        <f>IFERROR(VLOOKUP(H45,[1]SEMIELABORADOS!$A$2:$M$6000,2,0),"")</f>
        <v>MEZCLA P/ENGRASE MOLDES KILO</v>
      </c>
      <c r="C45" s="117">
        <f t="shared" ref="C45:C50" si="14">+A45</f>
        <v>2380</v>
      </c>
      <c r="D45" s="118" t="str">
        <f>IFERROR(VLOOKUP(H45,[1]SEMIELABORADOS!$A$2:$M$6000,6,0),"")</f>
        <v>Gramo</v>
      </c>
      <c r="E45" s="118">
        <f>IFERROR(VLOOKUP(H45,[1]SEMIELABORADOS!$A$2:$M$65536,12,0),"")</f>
        <v>0.25127579955503354</v>
      </c>
      <c r="F45" s="118">
        <f t="shared" ref="F45:F50" si="15">IFERROR(E45*C45,"")</f>
        <v>598.03640294097988</v>
      </c>
      <c r="G45" s="119">
        <f t="shared" ref="G45:G50" si="16">IFERROR(F45/$F$66,"")</f>
        <v>9.3676723157556322E-3</v>
      </c>
      <c r="H45" s="123" t="s">
        <v>104</v>
      </c>
      <c r="I45" s="115"/>
      <c r="J45" s="121"/>
      <c r="M45" s="126"/>
    </row>
    <row r="46" spans="1:13" ht="13.5" hidden="1" x14ac:dyDescent="0.25">
      <c r="A46" s="116">
        <f t="shared" si="13"/>
        <v>0</v>
      </c>
      <c r="B46" s="122" t="str">
        <f>IFERROR(VLOOKUP(H46,[1]SEMIELABORADOS!$A$2:$M$6000,2,0),"")</f>
        <v/>
      </c>
      <c r="C46" s="117">
        <f t="shared" si="14"/>
        <v>0</v>
      </c>
      <c r="D46" s="118" t="str">
        <f>IFERROR(VLOOKUP(H46,[1]SEMIELABORADOS!$A$2:$M$6000,6,0),"")</f>
        <v/>
      </c>
      <c r="E46" s="118" t="str">
        <f>IFERROR(VLOOKUP(H46,[1]SEMIELABORADOS!$A$2:$M$65536,12,0),"")</f>
        <v/>
      </c>
      <c r="F46" s="118" t="str">
        <f t="shared" si="15"/>
        <v/>
      </c>
      <c r="G46" s="119" t="str">
        <f t="shared" si="16"/>
        <v/>
      </c>
      <c r="H46" s="123"/>
      <c r="I46" s="115"/>
      <c r="J46" s="121"/>
    </row>
    <row r="47" spans="1:13" ht="13.5" hidden="1" x14ac:dyDescent="0.25">
      <c r="A47" s="116">
        <f t="shared" si="13"/>
        <v>0</v>
      </c>
      <c r="B47" s="122" t="str">
        <f>IFERROR(VLOOKUP(H47,[1]SEMIELABORADOS!$A$2:$M$6000,2,0),"")</f>
        <v/>
      </c>
      <c r="C47" s="117">
        <f t="shared" si="14"/>
        <v>0</v>
      </c>
      <c r="D47" s="118" t="str">
        <f>IFERROR(VLOOKUP(H47,[1]SEMIELABORADOS!$A$2:$M$6000,6,0),"")</f>
        <v/>
      </c>
      <c r="E47" s="118" t="str">
        <f>IFERROR(VLOOKUP(H47,[1]SEMIELABORADOS!$A$2:$M$65536,12,0),"")</f>
        <v/>
      </c>
      <c r="F47" s="118" t="str">
        <f t="shared" si="15"/>
        <v/>
      </c>
      <c r="G47" s="119" t="str">
        <f t="shared" si="16"/>
        <v/>
      </c>
      <c r="H47" s="123"/>
      <c r="I47" s="115"/>
      <c r="J47" s="121"/>
    </row>
    <row r="48" spans="1:13" ht="13.5" hidden="1" x14ac:dyDescent="0.25">
      <c r="A48" s="116">
        <f t="shared" si="13"/>
        <v>0</v>
      </c>
      <c r="B48" s="122" t="str">
        <f>IFERROR(VLOOKUP(H48,[1]SEMIELABORADOS!$A$2:$M$6000,2,0),"")</f>
        <v/>
      </c>
      <c r="C48" s="117">
        <f t="shared" si="14"/>
        <v>0</v>
      </c>
      <c r="D48" s="118" t="str">
        <f>IFERROR(VLOOKUP(H48,[1]SEMIELABORADOS!$A$2:$M$6000,6,0),"")</f>
        <v/>
      </c>
      <c r="E48" s="118" t="str">
        <f>IFERROR(VLOOKUP(H48,[1]SEMIELABORADOS!$A$2:$M$65536,12,0),"")</f>
        <v/>
      </c>
      <c r="F48" s="118" t="str">
        <f t="shared" si="15"/>
        <v/>
      </c>
      <c r="G48" s="119" t="str">
        <f t="shared" si="16"/>
        <v/>
      </c>
      <c r="H48" s="123"/>
      <c r="I48" s="115"/>
      <c r="J48" s="121"/>
    </row>
    <row r="49" spans="1:17" ht="13.5" hidden="1" x14ac:dyDescent="0.25">
      <c r="A49" s="116">
        <f t="shared" si="13"/>
        <v>0</v>
      </c>
      <c r="B49" s="122" t="str">
        <f>IFERROR(VLOOKUP(H49,[1]SEMIELABORADOS!$A$2:$M$6000,2,0),"")</f>
        <v/>
      </c>
      <c r="C49" s="117">
        <f t="shared" si="14"/>
        <v>0</v>
      </c>
      <c r="D49" s="118" t="str">
        <f>IFERROR(VLOOKUP(H49,[1]SEMIELABORADOS!$A$2:$M$6000,6,0),"")</f>
        <v/>
      </c>
      <c r="E49" s="118" t="str">
        <f>IFERROR(VLOOKUP(H49,[1]SEMIELABORADOS!$A$2:$M$65536,12,0),"")</f>
        <v/>
      </c>
      <c r="F49" s="118" t="str">
        <f t="shared" si="15"/>
        <v/>
      </c>
      <c r="G49" s="119" t="str">
        <f t="shared" si="16"/>
        <v/>
      </c>
      <c r="H49" s="123"/>
      <c r="I49" s="115"/>
      <c r="J49" s="121"/>
    </row>
    <row r="50" spans="1:17" ht="13.5" hidden="1" x14ac:dyDescent="0.25">
      <c r="A50" s="116">
        <f t="shared" si="13"/>
        <v>0</v>
      </c>
      <c r="B50" s="122" t="str">
        <f>IFERROR(VLOOKUP(H50,[1]SEMIELABORADOS!$A$2:$M$6000,2,0),"")</f>
        <v/>
      </c>
      <c r="C50" s="117">
        <f t="shared" si="14"/>
        <v>0</v>
      </c>
      <c r="D50" s="118" t="str">
        <f>IFERROR(VLOOKUP(H50,[1]SEMIELABORADOS!$A$2:$M$6000,6,0),"")</f>
        <v/>
      </c>
      <c r="E50" s="118" t="str">
        <f>IFERROR(VLOOKUP(H50,[1]SEMIELABORADOS!$A$2:$M$65536,12,0),"")</f>
        <v/>
      </c>
      <c r="F50" s="118" t="str">
        <f t="shared" si="15"/>
        <v/>
      </c>
      <c r="G50" s="119" t="str">
        <f t="shared" si="16"/>
        <v/>
      </c>
      <c r="H50" s="122"/>
      <c r="I50" s="115"/>
      <c r="J50" s="121"/>
    </row>
    <row r="51" spans="1:17" ht="13.5" x14ac:dyDescent="0.25">
      <c r="A51" s="116">
        <v>1</v>
      </c>
      <c r="B51" s="122" t="s">
        <v>108</v>
      </c>
      <c r="C51" s="117">
        <f>+A51</f>
        <v>1</v>
      </c>
      <c r="D51" s="117" t="s">
        <v>109</v>
      </c>
      <c r="E51" s="118">
        <f>+F65</f>
        <v>2135</v>
      </c>
      <c r="F51" s="118">
        <f>IFERROR(C51*E51,"")</f>
        <v>2135</v>
      </c>
      <c r="G51" s="119">
        <f>IFERROR(F51/$F$66,"")</f>
        <v>3.3442747457819999E-2</v>
      </c>
      <c r="H51" s="127"/>
      <c r="I51" s="127"/>
      <c r="J51" s="121"/>
    </row>
    <row r="52" spans="1:17" ht="14.25" thickBot="1" x14ac:dyDescent="0.3">
      <c r="A52" s="116"/>
      <c r="B52" s="122"/>
      <c r="C52" s="117"/>
      <c r="D52" s="117"/>
      <c r="E52" s="118"/>
      <c r="F52" s="118"/>
      <c r="G52" s="119"/>
      <c r="H52" s="127"/>
      <c r="I52" s="127"/>
      <c r="J52" s="121"/>
    </row>
    <row r="53" spans="1:17" ht="13.5" thickBot="1" x14ac:dyDescent="0.25">
      <c r="A53" s="128"/>
      <c r="B53" s="604" t="s">
        <v>110</v>
      </c>
      <c r="C53" s="604"/>
      <c r="D53" s="604"/>
      <c r="E53" s="604"/>
      <c r="F53" s="130">
        <f>SUM(F8:F14,F17:F24)</f>
        <v>59365.19999999999</v>
      </c>
      <c r="G53" s="119">
        <f>+F53/$F$66</f>
        <v>0.92989948074144058</v>
      </c>
      <c r="H53" s="131">
        <f>+F53/$D$60</f>
        <v>2793.6564705882347</v>
      </c>
      <c r="I53" s="131"/>
      <c r="J53" s="132"/>
      <c r="K53" s="133"/>
      <c r="L53" s="133"/>
      <c r="M53" s="133"/>
      <c r="N53" s="133"/>
      <c r="O53" s="133"/>
      <c r="P53" s="133"/>
      <c r="Q53" s="134"/>
    </row>
    <row r="54" spans="1:17" x14ac:dyDescent="0.2">
      <c r="A54" s="128"/>
      <c r="B54" s="604" t="s">
        <v>111</v>
      </c>
      <c r="C54" s="604"/>
      <c r="D54" s="604"/>
      <c r="E54" s="604"/>
      <c r="F54" s="130">
        <f>SUM(F27:F32,F35:F41)</f>
        <v>1152.9445963000001</v>
      </c>
      <c r="G54" s="119">
        <f>+F54/$F$66</f>
        <v>1.8059782185910603E-2</v>
      </c>
      <c r="H54" s="131">
        <f>+F54/$D$60</f>
        <v>54.256216296470591</v>
      </c>
      <c r="I54" s="131"/>
      <c r="J54" s="135"/>
      <c r="K54" s="605" t="s">
        <v>112</v>
      </c>
      <c r="L54" s="606"/>
      <c r="M54" s="606"/>
      <c r="N54" s="606"/>
      <c r="O54" s="136">
        <f>+F55</f>
        <v>60518.144596299993</v>
      </c>
      <c r="P54" s="136"/>
      <c r="Q54" s="137"/>
    </row>
    <row r="55" spans="1:17" x14ac:dyDescent="0.2">
      <c r="A55" s="128"/>
      <c r="B55" s="604" t="s">
        <v>113</v>
      </c>
      <c r="C55" s="604"/>
      <c r="D55" s="604"/>
      <c r="E55" s="604"/>
      <c r="F55" s="130">
        <f>+F53+F54</f>
        <v>60518.144596299993</v>
      </c>
      <c r="G55" s="119">
        <f>+F55/$F$66</f>
        <v>0.94795926292735122</v>
      </c>
      <c r="H55" s="131">
        <f>+F55/$D$60</f>
        <v>2847.9126868847056</v>
      </c>
      <c r="I55" s="131"/>
      <c r="J55" s="138"/>
      <c r="K55" s="139"/>
      <c r="M55" s="140" t="s">
        <v>114</v>
      </c>
      <c r="N55" s="141"/>
      <c r="O55" s="136">
        <f>+H56</f>
        <v>173.22524249134023</v>
      </c>
      <c r="P55" s="136"/>
      <c r="Q55" s="137"/>
    </row>
    <row r="56" spans="1:17" ht="13.5" thickBot="1" x14ac:dyDescent="0.25">
      <c r="A56" s="128"/>
      <c r="B56" s="129"/>
      <c r="C56" s="604" t="s">
        <v>115</v>
      </c>
      <c r="D56" s="604"/>
      <c r="E56" s="604"/>
      <c r="F56" s="130">
        <f>SUM(F44:F51)</f>
        <v>3681.0364029409798</v>
      </c>
      <c r="G56" s="119">
        <f>+F56/$F$66</f>
        <v>5.7659939487867608E-2</v>
      </c>
      <c r="H56" s="131">
        <f>+F56/$D$60</f>
        <v>173.22524249134023</v>
      </c>
      <c r="I56" s="131"/>
      <c r="J56" s="138"/>
      <c r="K56" s="139"/>
      <c r="L56" s="139"/>
      <c r="M56" s="139" t="s">
        <v>116</v>
      </c>
      <c r="N56" s="142"/>
      <c r="O56" s="136">
        <f>O54*N56</f>
        <v>0</v>
      </c>
      <c r="P56" s="136"/>
      <c r="Q56" s="137"/>
    </row>
    <row r="57" spans="1:17" ht="13.5" thickBot="1" x14ac:dyDescent="0.25">
      <c r="A57" s="128"/>
      <c r="B57" s="143"/>
      <c r="C57" s="143"/>
      <c r="D57" s="143"/>
      <c r="E57" s="143"/>
      <c r="F57" s="144"/>
      <c r="G57" s="119"/>
      <c r="H57" s="145"/>
      <c r="I57" s="131"/>
      <c r="J57" s="138"/>
      <c r="K57" s="146"/>
      <c r="M57" s="147" t="s">
        <v>117</v>
      </c>
      <c r="N57" s="148"/>
      <c r="O57" s="149">
        <f>SUM(O54:O56)</f>
        <v>60691.369838791332</v>
      </c>
      <c r="P57" s="150"/>
      <c r="Q57" s="137"/>
    </row>
    <row r="58" spans="1:17" x14ac:dyDescent="0.2">
      <c r="B58" s="608" t="s">
        <v>118</v>
      </c>
      <c r="C58" s="608"/>
      <c r="D58" s="151">
        <v>46750</v>
      </c>
      <c r="E58" s="152"/>
      <c r="G58" s="119"/>
      <c r="H58" s="145">
        <f>+H56/61</f>
        <v>2.8397580736285284</v>
      </c>
      <c r="I58" s="153"/>
      <c r="J58" s="138"/>
      <c r="K58" s="146"/>
      <c r="L58" s="139"/>
      <c r="M58" s="139" t="s">
        <v>119</v>
      </c>
      <c r="N58" s="154"/>
      <c r="O58" s="136">
        <f>+H59</f>
        <v>164.70596827045463</v>
      </c>
      <c r="P58" s="136"/>
      <c r="Q58" s="137"/>
    </row>
    <row r="59" spans="1:17" x14ac:dyDescent="0.2">
      <c r="B59" s="608" t="s">
        <v>120</v>
      </c>
      <c r="C59" s="608"/>
      <c r="D59" s="155">
        <v>2200</v>
      </c>
      <c r="E59" s="152"/>
      <c r="G59" s="119"/>
      <c r="H59" s="145">
        <f>+H58*58</f>
        <v>164.70596827045463</v>
      </c>
      <c r="I59" s="153"/>
      <c r="J59" s="138"/>
      <c r="K59" s="146"/>
      <c r="L59" s="139"/>
      <c r="M59" s="609" t="s">
        <v>117</v>
      </c>
      <c r="N59" s="609"/>
      <c r="O59" s="136">
        <f>SUM(O57:O58)</f>
        <v>60856.075807061789</v>
      </c>
      <c r="P59" s="136"/>
      <c r="Q59" s="137"/>
    </row>
    <row r="60" spans="1:17" ht="13.5" thickBot="1" x14ac:dyDescent="0.25">
      <c r="B60" s="610" t="s">
        <v>121</v>
      </c>
      <c r="C60" s="610"/>
      <c r="D60" s="151">
        <f>+D58/D59</f>
        <v>21.25</v>
      </c>
      <c r="E60" s="152"/>
      <c r="F60" s="156"/>
      <c r="G60" s="119"/>
      <c r="H60" s="145"/>
      <c r="I60" s="153"/>
      <c r="J60" s="138"/>
      <c r="K60" s="146"/>
      <c r="L60" s="609"/>
      <c r="M60" s="609"/>
      <c r="N60" s="154"/>
      <c r="O60" s="136">
        <f>+O59*N60</f>
        <v>0</v>
      </c>
      <c r="P60" s="136"/>
      <c r="Q60" s="137"/>
    </row>
    <row r="61" spans="1:17" ht="13.5" thickBot="1" x14ac:dyDescent="0.25">
      <c r="B61" s="610" t="s">
        <v>122</v>
      </c>
      <c r="C61" s="610"/>
      <c r="D61" s="157"/>
      <c r="E61" s="152"/>
      <c r="F61" s="156"/>
      <c r="G61" s="119"/>
      <c r="H61" s="145"/>
      <c r="I61" s="153"/>
      <c r="J61" s="138"/>
      <c r="K61" s="611" t="s">
        <v>123</v>
      </c>
      <c r="L61" s="612"/>
      <c r="M61" s="612"/>
      <c r="N61" s="613"/>
      <c r="O61" s="149">
        <f>SUM(O59:O60)</f>
        <v>60856.075807061789</v>
      </c>
      <c r="P61" s="158" t="s">
        <v>124</v>
      </c>
      <c r="Q61" s="137"/>
    </row>
    <row r="62" spans="1:17" ht="13.5" thickBot="1" x14ac:dyDescent="0.25">
      <c r="C62" s="128" t="s">
        <v>125</v>
      </c>
      <c r="D62" s="159"/>
      <c r="E62" s="102" t="s">
        <v>126</v>
      </c>
      <c r="F62" s="160" t="s">
        <v>127</v>
      </c>
      <c r="G62" s="119"/>
      <c r="H62" s="145"/>
      <c r="I62" s="153"/>
      <c r="J62" s="161"/>
      <c r="K62" s="162"/>
      <c r="L62" s="619" t="s">
        <v>128</v>
      </c>
      <c r="M62" s="619"/>
      <c r="N62" s="619"/>
      <c r="O62" s="163">
        <f>+O61/D60</f>
        <v>2863.8153320970255</v>
      </c>
      <c r="P62" s="164">
        <f>+O62/D59</f>
        <v>1.3017342418622844</v>
      </c>
      <c r="Q62" s="165"/>
    </row>
    <row r="63" spans="1:17" ht="13.5" thickBot="1" x14ac:dyDescent="0.25">
      <c r="B63" s="620" t="s">
        <v>113</v>
      </c>
      <c r="C63" s="620"/>
      <c r="D63" s="620"/>
      <c r="E63" s="166">
        <f>+F63/F63</f>
        <v>1</v>
      </c>
      <c r="F63" s="167">
        <f>SUM(F55)</f>
        <v>60518.144596299993</v>
      </c>
      <c r="G63" s="119">
        <f>+F63/$F$66</f>
        <v>0.94795926292735122</v>
      </c>
      <c r="H63" s="145"/>
      <c r="I63" s="153"/>
      <c r="K63" s="621"/>
      <c r="L63" s="622"/>
      <c r="M63" s="622"/>
      <c r="N63" s="622"/>
      <c r="O63" s="168"/>
      <c r="P63" s="169"/>
    </row>
    <row r="64" spans="1:17" ht="13.5" thickBot="1" x14ac:dyDescent="0.25">
      <c r="B64" s="623" t="s">
        <v>129</v>
      </c>
      <c r="C64" s="623"/>
      <c r="D64" s="623"/>
      <c r="E64" s="170">
        <v>0.02</v>
      </c>
      <c r="F64" s="167">
        <f>+F53*E64</f>
        <v>1187.3039999999999</v>
      </c>
      <c r="G64" s="119">
        <f>+F64/$F$66</f>
        <v>1.8597989614828812E-2</v>
      </c>
      <c r="H64" s="131"/>
      <c r="I64" s="153"/>
      <c r="J64" s="171"/>
      <c r="O64" s="172"/>
      <c r="P64" s="129"/>
    </row>
    <row r="65" spans="2:13" ht="13.5" thickBot="1" x14ac:dyDescent="0.25">
      <c r="B65" s="624" t="s">
        <v>130</v>
      </c>
      <c r="C65" s="625"/>
      <c r="D65" s="173">
        <v>35</v>
      </c>
      <c r="E65" s="174">
        <v>61</v>
      </c>
      <c r="F65" s="167">
        <f>+E65*D65</f>
        <v>2135</v>
      </c>
      <c r="G65" s="119">
        <f>+F65/$F$66</f>
        <v>3.3442747457819999E-2</v>
      </c>
      <c r="H65" s="131"/>
      <c r="I65" s="131"/>
      <c r="J65" s="121"/>
    </row>
    <row r="66" spans="2:13" ht="13.5" thickBot="1" x14ac:dyDescent="0.25">
      <c r="B66" s="626" t="s">
        <v>131</v>
      </c>
      <c r="C66" s="627"/>
      <c r="D66" s="627"/>
      <c r="E66" s="628"/>
      <c r="F66" s="144">
        <f>SUM(F63:F65)</f>
        <v>63840.44859629999</v>
      </c>
      <c r="G66" s="119">
        <f>+F66/$F$66</f>
        <v>1</v>
      </c>
      <c r="H66" s="607"/>
      <c r="I66" s="131"/>
      <c r="J66" s="121"/>
      <c r="M66" s="104" t="s">
        <v>132</v>
      </c>
    </row>
    <row r="67" spans="2:13" x14ac:dyDescent="0.2">
      <c r="C67" s="126"/>
      <c r="D67" s="126"/>
      <c r="E67" s="176"/>
      <c r="F67" s="167"/>
      <c r="G67" s="119"/>
      <c r="H67" s="607"/>
      <c r="I67" s="175"/>
      <c r="J67" s="104"/>
      <c r="M67" s="104" t="s">
        <v>133</v>
      </c>
    </row>
    <row r="68" spans="2:13" ht="13.5" thickBot="1" x14ac:dyDescent="0.25">
      <c r="B68" s="614" t="s">
        <v>134</v>
      </c>
      <c r="C68" s="614"/>
      <c r="D68" s="614"/>
      <c r="E68" s="614"/>
      <c r="F68" s="614"/>
      <c r="G68" s="119"/>
      <c r="H68" s="178"/>
      <c r="I68" s="175"/>
      <c r="J68" s="104"/>
      <c r="M68" s="104" t="s">
        <v>135</v>
      </c>
    </row>
    <row r="69" spans="2:13" ht="13.5" thickBot="1" x14ac:dyDescent="0.25">
      <c r="B69" s="179" t="s">
        <v>136</v>
      </c>
      <c r="C69" s="180">
        <f>+F53</f>
        <v>59365.19999999999</v>
      </c>
      <c r="D69" s="180">
        <f>+D58</f>
        <v>46750</v>
      </c>
      <c r="E69" s="181">
        <f>+C69/D69</f>
        <v>1.2698438502673794</v>
      </c>
      <c r="F69" s="119"/>
      <c r="G69" s="178"/>
      <c r="H69" s="121"/>
      <c r="I69" s="178"/>
      <c r="J69" s="104"/>
    </row>
    <row r="70" spans="2:13" x14ac:dyDescent="0.2">
      <c r="B70" s="182"/>
      <c r="C70" s="183"/>
      <c r="D70" s="184"/>
      <c r="E70" s="167"/>
      <c r="F70" s="119"/>
      <c r="G70" s="178"/>
      <c r="H70" s="121"/>
      <c r="I70" s="121"/>
      <c r="J70" s="104"/>
    </row>
    <row r="71" spans="2:13" x14ac:dyDescent="0.2">
      <c r="B71" s="179" t="s">
        <v>137</v>
      </c>
      <c r="C71" s="180">
        <f>SUM(F63:F64)</f>
        <v>61705.44859629999</v>
      </c>
      <c r="D71" s="180">
        <f>+D58</f>
        <v>46750</v>
      </c>
      <c r="E71" s="185">
        <f>+C71/D71</f>
        <v>1.3199026437711228</v>
      </c>
      <c r="F71" s="119"/>
      <c r="G71" s="178"/>
      <c r="H71" s="121"/>
      <c r="I71" s="121"/>
      <c r="J71" s="104"/>
    </row>
    <row r="72" spans="2:13" x14ac:dyDescent="0.2">
      <c r="B72" s="179"/>
      <c r="C72" s="180"/>
      <c r="D72" s="180"/>
      <c r="E72" s="185"/>
      <c r="F72" s="119"/>
      <c r="G72" s="178"/>
      <c r="H72" s="121"/>
      <c r="I72" s="121"/>
      <c r="J72" s="104"/>
    </row>
    <row r="73" spans="2:13" ht="13.5" thickBot="1" x14ac:dyDescent="0.25">
      <c r="B73" s="179" t="s">
        <v>138</v>
      </c>
      <c r="C73" s="180">
        <f>+F65</f>
        <v>2135</v>
      </c>
      <c r="D73" s="180">
        <f>+D58</f>
        <v>46750</v>
      </c>
      <c r="E73" s="185">
        <f>+C73/D73</f>
        <v>4.5668449197860964E-2</v>
      </c>
      <c r="F73" s="119"/>
      <c r="G73" s="178"/>
      <c r="H73" s="121"/>
      <c r="I73" s="121"/>
      <c r="J73" s="104"/>
    </row>
    <row r="74" spans="2:13" ht="13.5" thickBot="1" x14ac:dyDescent="0.25">
      <c r="B74" s="179" t="s">
        <v>139</v>
      </c>
      <c r="C74" s="180">
        <f>+F56</f>
        <v>3681.0364029409798</v>
      </c>
      <c r="D74" s="180">
        <f>+D73</f>
        <v>46750</v>
      </c>
      <c r="E74" s="181">
        <f>+C74/D74</f>
        <v>7.873874658697283E-2</v>
      </c>
      <c r="F74" s="119"/>
      <c r="G74" s="178"/>
      <c r="H74" s="121"/>
      <c r="I74" s="121"/>
      <c r="J74" s="104"/>
    </row>
    <row r="75" spans="2:13" ht="13.5" thickBot="1" x14ac:dyDescent="0.25">
      <c r="B75" s="143"/>
      <c r="C75" s="144"/>
      <c r="D75" s="144"/>
      <c r="E75" s="185"/>
      <c r="F75" s="119"/>
      <c r="G75" s="178"/>
      <c r="H75" s="121"/>
      <c r="I75" s="121"/>
      <c r="J75" s="104"/>
    </row>
    <row r="76" spans="2:13" ht="13.5" thickBot="1" x14ac:dyDescent="0.25">
      <c r="B76" s="179" t="s">
        <v>140</v>
      </c>
      <c r="C76" s="180">
        <f>+F54</f>
        <v>1152.9445963000001</v>
      </c>
      <c r="D76" s="180">
        <f>+D74</f>
        <v>46750</v>
      </c>
      <c r="E76" s="181">
        <f>+C76/D76</f>
        <v>2.4661916498395723E-2</v>
      </c>
      <c r="F76" s="119"/>
      <c r="G76" s="178"/>
      <c r="H76" s="121"/>
      <c r="I76" s="121"/>
      <c r="J76" s="121"/>
    </row>
    <row r="77" spans="2:13" ht="13.5" thickBot="1" x14ac:dyDescent="0.25">
      <c r="B77" s="143"/>
      <c r="C77" s="144"/>
      <c r="D77" s="144"/>
      <c r="E77" s="185"/>
      <c r="F77" s="119"/>
      <c r="G77" s="178"/>
      <c r="H77" s="121"/>
      <c r="I77" s="121"/>
    </row>
    <row r="78" spans="2:13" ht="13.5" thickBot="1" x14ac:dyDescent="0.25">
      <c r="B78" s="615" t="s">
        <v>141</v>
      </c>
      <c r="C78" s="616"/>
      <c r="D78" s="617"/>
      <c r="E78" s="181">
        <f>+E69+E74</f>
        <v>1.3485825968543523</v>
      </c>
      <c r="G78" s="119"/>
      <c r="H78" s="178"/>
      <c r="I78" s="121"/>
      <c r="J78" s="185"/>
    </row>
    <row r="79" spans="2:13" x14ac:dyDescent="0.2">
      <c r="I79" s="178"/>
      <c r="J79" s="104"/>
    </row>
    <row r="80" spans="2:13" ht="13.5" thickBot="1" x14ac:dyDescent="0.25">
      <c r="B80" s="614" t="s">
        <v>142</v>
      </c>
      <c r="C80" s="614"/>
      <c r="D80" s="614"/>
      <c r="E80" s="614"/>
      <c r="F80" s="614"/>
      <c r="G80" s="119"/>
      <c r="H80" s="178"/>
      <c r="J80" s="104"/>
    </row>
    <row r="81" spans="1:10" ht="13.5" thickBot="1" x14ac:dyDescent="0.25">
      <c r="B81" s="179" t="s">
        <v>136</v>
      </c>
      <c r="C81" s="180">
        <f>+C69</f>
        <v>59365.19999999999</v>
      </c>
      <c r="D81" s="180">
        <f>+D60</f>
        <v>21.25</v>
      </c>
      <c r="E81" s="181">
        <f>+C81/D81</f>
        <v>2793.6564705882347</v>
      </c>
      <c r="F81" s="119"/>
      <c r="G81" s="178"/>
      <c r="H81" s="121"/>
      <c r="I81" s="178"/>
      <c r="J81" s="104"/>
    </row>
    <row r="82" spans="1:10" x14ac:dyDescent="0.2">
      <c r="B82" s="182"/>
      <c r="C82" s="183"/>
      <c r="D82" s="184"/>
      <c r="E82" s="167"/>
      <c r="F82" s="119"/>
      <c r="G82" s="178"/>
      <c r="H82" s="121"/>
      <c r="I82" s="121"/>
      <c r="J82" s="104"/>
    </row>
    <row r="83" spans="1:10" x14ac:dyDescent="0.2">
      <c r="B83" s="179" t="s">
        <v>137</v>
      </c>
      <c r="C83" s="180">
        <f>+C71</f>
        <v>61705.44859629999</v>
      </c>
      <c r="D83" s="180">
        <f>+D60</f>
        <v>21.25</v>
      </c>
      <c r="E83" s="185">
        <f>+C83/D83</f>
        <v>2903.7858162964703</v>
      </c>
      <c r="F83" s="119"/>
      <c r="G83" s="178"/>
      <c r="H83" s="121"/>
      <c r="I83" s="121"/>
      <c r="J83" s="104"/>
    </row>
    <row r="84" spans="1:10" x14ac:dyDescent="0.2">
      <c r="B84" s="179"/>
      <c r="C84" s="180"/>
      <c r="D84" s="180"/>
      <c r="E84" s="185"/>
      <c r="F84" s="119"/>
      <c r="G84" s="178"/>
      <c r="H84" s="121"/>
      <c r="I84" s="121"/>
      <c r="J84" s="104"/>
    </row>
    <row r="85" spans="1:10" ht="13.5" thickBot="1" x14ac:dyDescent="0.25">
      <c r="B85" s="179" t="s">
        <v>139</v>
      </c>
      <c r="C85" s="180">
        <f>+C73</f>
        <v>2135</v>
      </c>
      <c r="D85" s="180">
        <f>+D60</f>
        <v>21.25</v>
      </c>
      <c r="E85" s="185">
        <f>+C85/D85</f>
        <v>100.47058823529412</v>
      </c>
      <c r="F85" s="187"/>
      <c r="G85" s="177"/>
      <c r="H85" s="103"/>
      <c r="I85" s="121"/>
    </row>
    <row r="86" spans="1:10" ht="13.5" thickBot="1" x14ac:dyDescent="0.25">
      <c r="B86" s="179" t="s">
        <v>139</v>
      </c>
      <c r="C86" s="180">
        <f>+C74</f>
        <v>3681.0364029409798</v>
      </c>
      <c r="D86" s="180">
        <f>+D85</f>
        <v>21.25</v>
      </c>
      <c r="E86" s="181">
        <f>+C86/D86</f>
        <v>173.22524249134023</v>
      </c>
      <c r="F86" s="186"/>
      <c r="G86" s="177"/>
      <c r="H86" s="103"/>
      <c r="I86" s="103"/>
    </row>
    <row r="87" spans="1:10" x14ac:dyDescent="0.2">
      <c r="I87" s="103"/>
    </row>
    <row r="88" spans="1:10" x14ac:dyDescent="0.2">
      <c r="A88" s="618"/>
      <c r="B88" s="618"/>
      <c r="C88" s="188"/>
      <c r="D88" s="188"/>
      <c r="E88" s="189"/>
      <c r="G88" s="190"/>
    </row>
    <row r="89" spans="1:10" x14ac:dyDescent="0.2">
      <c r="A89" s="122"/>
      <c r="B89" s="191"/>
      <c r="C89" s="192"/>
      <c r="D89" s="192"/>
      <c r="E89" s="193"/>
      <c r="G89" s="190"/>
    </row>
    <row r="90" spans="1:10" x14ac:dyDescent="0.2">
      <c r="A90" s="122"/>
      <c r="B90" s="191"/>
      <c r="C90" s="194"/>
      <c r="D90" s="194"/>
      <c r="E90" s="122"/>
      <c r="G90" s="190"/>
    </row>
    <row r="91" spans="1:10" x14ac:dyDescent="0.2">
      <c r="A91" s="122"/>
      <c r="B91" s="191"/>
      <c r="C91" s="195"/>
      <c r="D91" s="195"/>
      <c r="E91" s="122"/>
      <c r="G91" s="19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25B2-FCAC-459D-8362-857215D6838E}">
  <dimension ref="B1:N39"/>
  <sheetViews>
    <sheetView view="pageBreakPreview" topLeftCell="B1" zoomScaleNormal="100" zoomScaleSheetLayoutView="100" workbookViewId="0">
      <selection activeCell="B30" sqref="B30:J30"/>
    </sheetView>
  </sheetViews>
  <sheetFormatPr baseColWidth="10" defaultColWidth="9.140625" defaultRowHeight="13.5" x14ac:dyDescent="0.25"/>
  <cols>
    <col min="1" max="1" width="9.140625" style="1" customWidth="1"/>
    <col min="2" max="2" width="16.140625" style="1" customWidth="1"/>
    <col min="3" max="3" width="14.5703125" style="1" customWidth="1"/>
    <col min="4" max="4" width="53.5703125" style="1" customWidth="1"/>
    <col min="5" max="5" width="18.7109375" style="1" bestFit="1" customWidth="1"/>
    <col min="6" max="6" width="9.140625" style="1" customWidth="1"/>
    <col min="7" max="7" width="13.140625" style="1" customWidth="1"/>
    <col min="8" max="8" width="12.5703125" style="1" customWidth="1"/>
    <col min="9" max="9" width="15.5703125" style="1" customWidth="1"/>
    <col min="10" max="10" width="16" style="1" customWidth="1"/>
    <col min="11" max="16384" width="9.140625" style="1"/>
  </cols>
  <sheetData>
    <row r="1" spans="2:10" ht="15.75" x14ac:dyDescent="0.25">
      <c r="B1" s="666"/>
      <c r="C1" s="666"/>
      <c r="D1" s="633" t="s">
        <v>24</v>
      </c>
      <c r="E1" s="634"/>
      <c r="F1" s="634"/>
      <c r="G1" s="634"/>
      <c r="H1" s="634"/>
      <c r="I1" s="5" t="s">
        <v>0</v>
      </c>
      <c r="J1" s="25"/>
    </row>
    <row r="2" spans="2:10" ht="16.5" thickBot="1" x14ac:dyDescent="0.3">
      <c r="B2" s="666"/>
      <c r="C2" s="666"/>
      <c r="D2" s="635" t="s">
        <v>1</v>
      </c>
      <c r="E2" s="636"/>
      <c r="F2" s="636"/>
      <c r="G2" s="636"/>
      <c r="H2" s="636"/>
      <c r="I2" s="6" t="s">
        <v>2</v>
      </c>
      <c r="J2" s="24"/>
    </row>
    <row r="3" spans="2:10" ht="50.1" customHeight="1" thickBot="1" x14ac:dyDescent="0.3">
      <c r="B3" s="666"/>
      <c r="C3" s="666"/>
      <c r="D3" s="637" t="s">
        <v>63</v>
      </c>
      <c r="E3" s="637"/>
      <c r="F3" s="637"/>
      <c r="G3" s="637"/>
      <c r="H3" s="638"/>
      <c r="I3" s="639" t="s">
        <v>3</v>
      </c>
      <c r="J3" s="642"/>
    </row>
    <row r="4" spans="2:10" x14ac:dyDescent="0.25">
      <c r="B4" s="666"/>
      <c r="C4" s="666"/>
      <c r="D4" s="30" t="s">
        <v>4</v>
      </c>
      <c r="E4" s="644" t="s">
        <v>64</v>
      </c>
      <c r="F4" s="645"/>
      <c r="G4" s="645"/>
      <c r="H4" s="646"/>
      <c r="I4" s="640"/>
      <c r="J4" s="643"/>
    </row>
    <row r="5" spans="2:10" ht="15" customHeight="1" thickBot="1" x14ac:dyDescent="0.3">
      <c r="B5" s="666"/>
      <c r="C5" s="666"/>
      <c r="D5" s="31" t="s">
        <v>5</v>
      </c>
      <c r="E5" s="647" t="s">
        <v>55</v>
      </c>
      <c r="F5" s="648"/>
      <c r="G5" s="648"/>
      <c r="H5" s="649"/>
      <c r="I5" s="641"/>
      <c r="J5" s="643"/>
    </row>
    <row r="6" spans="2:10" ht="25.5" x14ac:dyDescent="0.25">
      <c r="B6" s="650" t="s">
        <v>6</v>
      </c>
      <c r="C6" s="667" t="s">
        <v>56</v>
      </c>
      <c r="D6" s="652" t="s">
        <v>7</v>
      </c>
      <c r="E6" s="652" t="s">
        <v>8</v>
      </c>
      <c r="F6" s="652" t="s">
        <v>9</v>
      </c>
      <c r="G6" s="652"/>
      <c r="H6" s="652" t="s">
        <v>10</v>
      </c>
      <c r="I6" s="652"/>
      <c r="J6" s="2" t="s">
        <v>11</v>
      </c>
    </row>
    <row r="7" spans="2:10" ht="27" thickBot="1" x14ac:dyDescent="0.3">
      <c r="B7" s="651"/>
      <c r="C7" s="668"/>
      <c r="D7" s="653"/>
      <c r="E7" s="654"/>
      <c r="F7" s="3" t="s">
        <v>12</v>
      </c>
      <c r="G7" s="4" t="s">
        <v>13</v>
      </c>
      <c r="H7" s="3" t="s">
        <v>12</v>
      </c>
      <c r="I7" s="4" t="s">
        <v>13</v>
      </c>
      <c r="J7" s="28" t="s">
        <v>14</v>
      </c>
    </row>
    <row r="8" spans="2:10" x14ac:dyDescent="0.25">
      <c r="B8" s="42"/>
      <c r="C8" s="42"/>
      <c r="D8" s="43" t="s">
        <v>30</v>
      </c>
      <c r="E8" s="39"/>
      <c r="F8" s="11"/>
      <c r="G8" s="12"/>
      <c r="H8" s="10"/>
      <c r="I8" s="11"/>
      <c r="J8" s="29"/>
    </row>
    <row r="9" spans="2:10" x14ac:dyDescent="0.25">
      <c r="B9" s="53" t="s">
        <v>65</v>
      </c>
      <c r="C9" s="53" t="s">
        <v>65</v>
      </c>
      <c r="D9" s="54" t="s">
        <v>86</v>
      </c>
      <c r="E9" s="39" t="s">
        <v>42</v>
      </c>
      <c r="F9" s="11">
        <v>2000</v>
      </c>
      <c r="G9" s="12" t="s">
        <v>28</v>
      </c>
      <c r="H9" s="8"/>
      <c r="I9" s="9"/>
      <c r="J9" s="32"/>
    </row>
    <row r="10" spans="2:10" ht="15" x14ac:dyDescent="0.25">
      <c r="B10" s="206">
        <v>96344</v>
      </c>
      <c r="C10" s="207" t="s">
        <v>70</v>
      </c>
      <c r="D10" s="208" t="s">
        <v>71</v>
      </c>
      <c r="E10" s="209" t="s">
        <v>42</v>
      </c>
      <c r="F10" s="210">
        <v>700</v>
      </c>
      <c r="G10" s="12" t="s">
        <v>28</v>
      </c>
      <c r="H10" s="8"/>
      <c r="I10" s="9"/>
      <c r="J10" s="32"/>
    </row>
    <row r="11" spans="2:10" x14ac:dyDescent="0.25">
      <c r="B11" s="42"/>
      <c r="C11" s="42"/>
      <c r="D11" s="43"/>
      <c r="E11" s="39"/>
      <c r="F11" s="11"/>
      <c r="G11" s="12"/>
      <c r="H11" s="8"/>
      <c r="I11" s="9"/>
      <c r="J11" s="32"/>
    </row>
    <row r="12" spans="2:10" x14ac:dyDescent="0.25">
      <c r="B12" s="42"/>
      <c r="C12" s="42"/>
      <c r="D12" s="43" t="s">
        <v>29</v>
      </c>
      <c r="E12" s="39"/>
      <c r="F12" s="11"/>
      <c r="G12" s="12"/>
      <c r="H12" s="8"/>
      <c r="I12" s="9"/>
      <c r="J12" s="32"/>
    </row>
    <row r="13" spans="2:10" x14ac:dyDescent="0.25">
      <c r="B13" s="53" t="s">
        <v>67</v>
      </c>
      <c r="C13" s="53" t="s">
        <v>65</v>
      </c>
      <c r="D13" s="54" t="s">
        <v>66</v>
      </c>
      <c r="E13" s="39" t="s">
        <v>42</v>
      </c>
      <c r="F13" s="11">
        <v>300</v>
      </c>
      <c r="G13" s="12" t="s">
        <v>28</v>
      </c>
      <c r="H13" s="676" t="s">
        <v>32</v>
      </c>
      <c r="I13" s="677"/>
      <c r="J13" s="34"/>
    </row>
    <row r="14" spans="2:10" x14ac:dyDescent="0.25">
      <c r="B14" s="53" t="s">
        <v>67</v>
      </c>
      <c r="C14" s="53" t="s">
        <v>65</v>
      </c>
      <c r="D14" s="54" t="s">
        <v>72</v>
      </c>
      <c r="E14" s="39" t="s">
        <v>42</v>
      </c>
      <c r="F14" s="11">
        <v>200</v>
      </c>
      <c r="G14" s="12" t="s">
        <v>28</v>
      </c>
      <c r="H14" s="674" t="s">
        <v>54</v>
      </c>
      <c r="I14" s="675"/>
      <c r="J14" s="32"/>
    </row>
    <row r="15" spans="2:10" x14ac:dyDescent="0.25">
      <c r="B15" s="49"/>
      <c r="C15" s="50"/>
      <c r="D15" s="48"/>
      <c r="E15" s="39"/>
      <c r="F15" s="11"/>
      <c r="G15" s="12"/>
      <c r="H15" s="8"/>
      <c r="I15" s="9"/>
      <c r="J15" s="32"/>
    </row>
    <row r="16" spans="2:10" ht="15" x14ac:dyDescent="0.25">
      <c r="B16" s="44"/>
      <c r="C16" s="44"/>
      <c r="D16" s="47" t="s">
        <v>27</v>
      </c>
      <c r="E16" s="22"/>
      <c r="F16" s="8"/>
      <c r="G16" s="9"/>
      <c r="H16" s="10"/>
      <c r="I16" s="11"/>
      <c r="J16" s="7"/>
    </row>
    <row r="17" spans="2:14" ht="15" x14ac:dyDescent="0.25">
      <c r="B17" s="40" t="s">
        <v>38</v>
      </c>
      <c r="C17" s="40" t="s">
        <v>57</v>
      </c>
      <c r="D17" s="41" t="s">
        <v>43</v>
      </c>
      <c r="E17" s="22" t="s">
        <v>35</v>
      </c>
      <c r="F17" s="8">
        <v>1</v>
      </c>
      <c r="G17" s="9" t="s">
        <v>36</v>
      </c>
      <c r="H17" s="10"/>
      <c r="I17" s="11"/>
      <c r="J17" s="7"/>
    </row>
    <row r="18" spans="2:14" ht="15.75" x14ac:dyDescent="0.25">
      <c r="B18" s="40" t="s">
        <v>50</v>
      </c>
      <c r="C18" s="40" t="s">
        <v>58</v>
      </c>
      <c r="D18" s="41" t="s">
        <v>51</v>
      </c>
      <c r="E18" s="33" t="s">
        <v>31</v>
      </c>
      <c r="F18" s="8">
        <v>1</v>
      </c>
      <c r="G18" s="9" t="s">
        <v>36</v>
      </c>
      <c r="H18" s="10"/>
      <c r="I18" s="11"/>
      <c r="J18" s="7"/>
    </row>
    <row r="19" spans="2:14" ht="15" x14ac:dyDescent="0.25">
      <c r="B19" s="40" t="s">
        <v>44</v>
      </c>
      <c r="C19" s="40" t="s">
        <v>62</v>
      </c>
      <c r="D19" s="41" t="s">
        <v>45</v>
      </c>
      <c r="E19" s="22" t="s">
        <v>33</v>
      </c>
      <c r="F19" s="8">
        <v>1</v>
      </c>
      <c r="G19" s="9" t="s">
        <v>36</v>
      </c>
      <c r="H19" s="10"/>
      <c r="I19" s="11"/>
      <c r="J19" s="7"/>
    </row>
    <row r="20" spans="2:14" ht="15" x14ac:dyDescent="0.25">
      <c r="B20" s="40" t="s">
        <v>46</v>
      </c>
      <c r="C20" s="52" t="s">
        <v>62</v>
      </c>
      <c r="D20" s="41" t="s">
        <v>47</v>
      </c>
      <c r="E20" s="22" t="s">
        <v>34</v>
      </c>
      <c r="F20" s="8">
        <v>1</v>
      </c>
      <c r="G20" s="9" t="s">
        <v>36</v>
      </c>
      <c r="H20" s="10"/>
      <c r="I20" s="10"/>
      <c r="J20" s="7"/>
    </row>
    <row r="21" spans="2:14" ht="15" x14ac:dyDescent="0.25">
      <c r="B21" s="40" t="s">
        <v>39</v>
      </c>
      <c r="C21" s="40" t="s">
        <v>59</v>
      </c>
      <c r="D21" s="41" t="s">
        <v>40</v>
      </c>
      <c r="E21" s="45" t="s">
        <v>34</v>
      </c>
      <c r="F21" s="26">
        <v>1</v>
      </c>
      <c r="G21" s="27" t="s">
        <v>36</v>
      </c>
      <c r="H21" s="10"/>
      <c r="I21" s="10"/>
      <c r="J21" s="7"/>
    </row>
    <row r="22" spans="2:14" ht="15" x14ac:dyDescent="0.25">
      <c r="B22" s="40" t="s">
        <v>48</v>
      </c>
      <c r="C22" s="40" t="s">
        <v>60</v>
      </c>
      <c r="D22" s="41" t="s">
        <v>49</v>
      </c>
      <c r="E22" s="46"/>
      <c r="F22" s="12">
        <v>1</v>
      </c>
      <c r="G22" s="12" t="s">
        <v>36</v>
      </c>
      <c r="H22" s="12"/>
      <c r="I22" s="12"/>
      <c r="J22" s="7"/>
    </row>
    <row r="23" spans="2:14" ht="14.25" thickBot="1" x14ac:dyDescent="0.3">
      <c r="B23" s="49">
        <v>703020</v>
      </c>
      <c r="C23" s="50" t="s">
        <v>61</v>
      </c>
      <c r="D23" s="48" t="s">
        <v>52</v>
      </c>
      <c r="F23" s="38">
        <v>60</v>
      </c>
      <c r="G23" s="37" t="s">
        <v>53</v>
      </c>
      <c r="J23" s="13"/>
      <c r="M23" s="14"/>
    </row>
    <row r="24" spans="2:14" ht="14.25" thickBot="1" x14ac:dyDescent="0.3">
      <c r="B24" s="15"/>
      <c r="C24" s="51"/>
      <c r="D24" s="16"/>
      <c r="E24" s="17" t="s">
        <v>12</v>
      </c>
      <c r="F24" s="18" t="s">
        <v>15</v>
      </c>
      <c r="G24" s="19"/>
      <c r="H24" s="16"/>
      <c r="I24" s="16"/>
      <c r="J24" s="20"/>
      <c r="M24" s="14"/>
    </row>
    <row r="25" spans="2:14" x14ac:dyDescent="0.25">
      <c r="B25" s="655" t="s">
        <v>16</v>
      </c>
      <c r="C25" s="656"/>
      <c r="D25" s="657"/>
      <c r="E25" s="8">
        <v>3100</v>
      </c>
      <c r="F25" s="21" t="s">
        <v>28</v>
      </c>
      <c r="G25" s="658" t="s">
        <v>25</v>
      </c>
      <c r="H25" s="658"/>
      <c r="I25" s="659"/>
      <c r="J25" s="660"/>
      <c r="M25" s="14"/>
    </row>
    <row r="26" spans="2:14" x14ac:dyDescent="0.25">
      <c r="B26" s="553" t="s">
        <v>17</v>
      </c>
      <c r="C26" s="554"/>
      <c r="D26" s="555"/>
      <c r="E26" s="11">
        <v>8</v>
      </c>
      <c r="F26" s="11" t="s">
        <v>37</v>
      </c>
      <c r="G26" s="669" t="s">
        <v>18</v>
      </c>
      <c r="H26" s="669"/>
      <c r="I26" s="670"/>
      <c r="J26" s="671"/>
      <c r="M26" s="14"/>
    </row>
    <row r="27" spans="2:14" x14ac:dyDescent="0.25">
      <c r="B27" s="553" t="s">
        <v>19</v>
      </c>
      <c r="C27" s="554"/>
      <c r="D27" s="555"/>
      <c r="E27" s="11">
        <v>1</v>
      </c>
      <c r="F27" s="11" t="s">
        <v>36</v>
      </c>
      <c r="G27" s="669" t="s">
        <v>26</v>
      </c>
      <c r="H27" s="669"/>
      <c r="I27" s="670"/>
      <c r="J27" s="671"/>
      <c r="M27" s="14"/>
    </row>
    <row r="28" spans="2:14" x14ac:dyDescent="0.25">
      <c r="B28" s="553" t="s">
        <v>20</v>
      </c>
      <c r="C28" s="554"/>
      <c r="D28" s="555"/>
      <c r="E28" s="10">
        <f>E25</f>
        <v>3100</v>
      </c>
      <c r="F28" s="11" t="s">
        <v>28</v>
      </c>
      <c r="G28" s="672" t="s">
        <v>21</v>
      </c>
      <c r="H28" s="673"/>
      <c r="I28" s="670"/>
      <c r="J28" s="671"/>
      <c r="M28" s="14"/>
      <c r="N28" s="23"/>
    </row>
    <row r="29" spans="2:14" ht="14.25" thickBot="1" x14ac:dyDescent="0.3">
      <c r="B29" s="661" t="s">
        <v>22</v>
      </c>
      <c r="C29" s="544"/>
      <c r="D29" s="662"/>
      <c r="E29" s="36">
        <f>SUM(F9:F14)-E25</f>
        <v>100</v>
      </c>
      <c r="F29" s="35" t="s">
        <v>28</v>
      </c>
      <c r="G29" s="663"/>
      <c r="H29" s="663"/>
      <c r="I29" s="664"/>
      <c r="J29" s="665"/>
      <c r="M29" s="14"/>
    </row>
    <row r="30" spans="2:14" ht="14.25" thickBot="1" x14ac:dyDescent="0.3">
      <c r="B30" s="678" t="s">
        <v>23</v>
      </c>
      <c r="C30" s="679"/>
      <c r="D30" s="679"/>
      <c r="E30" s="679"/>
      <c r="F30" s="679"/>
      <c r="G30" s="679"/>
      <c r="H30" s="679"/>
      <c r="I30" s="679"/>
      <c r="J30" s="680"/>
    </row>
    <row r="31" spans="2:14" ht="16.5" customHeight="1" x14ac:dyDescent="0.25">
      <c r="B31" s="681" t="s">
        <v>87</v>
      </c>
      <c r="C31" s="682"/>
      <c r="D31" s="682"/>
      <c r="E31" s="682"/>
      <c r="F31" s="682"/>
      <c r="G31" s="682"/>
      <c r="H31" s="682"/>
      <c r="I31" s="682"/>
      <c r="J31" s="683"/>
    </row>
    <row r="32" spans="2:14" ht="16.5" customHeight="1" x14ac:dyDescent="0.25">
      <c r="B32" s="681" t="s">
        <v>68</v>
      </c>
      <c r="C32" s="682"/>
      <c r="D32" s="682"/>
      <c r="E32" s="682"/>
      <c r="F32" s="682"/>
      <c r="G32" s="682"/>
      <c r="H32" s="682"/>
      <c r="I32" s="682"/>
      <c r="J32" s="683"/>
    </row>
    <row r="33" spans="2:10" ht="16.5" customHeight="1" x14ac:dyDescent="0.25">
      <c r="B33" s="681" t="s">
        <v>69</v>
      </c>
      <c r="C33" s="682"/>
      <c r="D33" s="682"/>
      <c r="E33" s="682"/>
      <c r="F33" s="682"/>
      <c r="G33" s="682"/>
      <c r="H33" s="682"/>
      <c r="I33" s="682"/>
      <c r="J33" s="683"/>
    </row>
    <row r="34" spans="2:10" ht="16.5" customHeight="1" x14ac:dyDescent="0.25"/>
    <row r="35" spans="2:10" ht="16.5" customHeight="1" thickBot="1" x14ac:dyDescent="0.3">
      <c r="B35" s="629"/>
      <c r="C35" s="630"/>
      <c r="D35" s="631"/>
      <c r="E35" s="631"/>
      <c r="F35" s="631"/>
      <c r="G35" s="631"/>
      <c r="H35" s="631"/>
      <c r="I35" s="631"/>
      <c r="J35" s="632"/>
    </row>
    <row r="36" spans="2:10" ht="14.25" thickBot="1" x14ac:dyDescent="0.3">
      <c r="B36" s="684" t="s">
        <v>41</v>
      </c>
      <c r="C36" s="685"/>
      <c r="D36" s="686"/>
      <c r="E36" s="686"/>
      <c r="F36" s="686"/>
      <c r="G36" s="686"/>
      <c r="H36" s="686"/>
      <c r="I36" s="686"/>
      <c r="J36" s="687"/>
    </row>
    <row r="37" spans="2:10" ht="14.25" thickBot="1" x14ac:dyDescent="0.3">
      <c r="B37" s="629"/>
      <c r="C37" s="630"/>
      <c r="D37" s="631"/>
      <c r="E37" s="631"/>
      <c r="F37" s="631"/>
      <c r="G37" s="631"/>
      <c r="H37" s="631"/>
      <c r="I37" s="631"/>
      <c r="J37" s="632"/>
    </row>
    <row r="38" spans="2:10" ht="14.25" thickBot="1" x14ac:dyDescent="0.3">
      <c r="B38" s="629"/>
      <c r="C38" s="630"/>
      <c r="D38" s="631"/>
      <c r="E38" s="631"/>
      <c r="F38" s="631"/>
      <c r="G38" s="631"/>
      <c r="H38" s="631"/>
      <c r="I38" s="631"/>
      <c r="J38" s="632"/>
    </row>
    <row r="39" spans="2:10" ht="14.25" thickBot="1" x14ac:dyDescent="0.3">
      <c r="B39" s="629"/>
      <c r="C39" s="630"/>
      <c r="D39" s="631"/>
      <c r="E39" s="631"/>
      <c r="F39" s="631"/>
      <c r="G39" s="631"/>
      <c r="H39" s="631"/>
      <c r="I39" s="631"/>
      <c r="J39" s="632"/>
    </row>
  </sheetData>
  <mergeCells count="40">
    <mergeCell ref="B38:J38"/>
    <mergeCell ref="B30:J30"/>
    <mergeCell ref="B31:J31"/>
    <mergeCell ref="B32:J32"/>
    <mergeCell ref="B33:J33"/>
    <mergeCell ref="B35:J35"/>
    <mergeCell ref="B36:J36"/>
    <mergeCell ref="B37:J37"/>
    <mergeCell ref="B29:D29"/>
    <mergeCell ref="G29:H29"/>
    <mergeCell ref="I29:J29"/>
    <mergeCell ref="B1:C5"/>
    <mergeCell ref="C6:C7"/>
    <mergeCell ref="B27:D27"/>
    <mergeCell ref="G27:H27"/>
    <mergeCell ref="I27:J27"/>
    <mergeCell ref="B28:D28"/>
    <mergeCell ref="G28:H28"/>
    <mergeCell ref="I28:J28"/>
    <mergeCell ref="H14:I14"/>
    <mergeCell ref="H13:I13"/>
    <mergeCell ref="B26:D26"/>
    <mergeCell ref="G26:H26"/>
    <mergeCell ref="I26:J26"/>
    <mergeCell ref="B39:J39"/>
    <mergeCell ref="D1:H1"/>
    <mergeCell ref="D2:H2"/>
    <mergeCell ref="D3:H3"/>
    <mergeCell ref="I3:I5"/>
    <mergeCell ref="J3:J5"/>
    <mergeCell ref="E4:H4"/>
    <mergeCell ref="E5:H5"/>
    <mergeCell ref="B6:B7"/>
    <mergeCell ref="D6:D7"/>
    <mergeCell ref="E6:E7"/>
    <mergeCell ref="F6:G6"/>
    <mergeCell ref="H6:I6"/>
    <mergeCell ref="B25:D25"/>
    <mergeCell ref="G25:H25"/>
    <mergeCell ref="I25:J25"/>
  </mergeCells>
  <printOptions horizontalCentered="1"/>
  <pageMargins left="0" right="0" top="0.74803149606299213" bottom="0.74803149606299213" header="0.31496062992125984" footer="0.31496062992125984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3403-B9E6-4320-9FFE-0BD3500A21C4}">
  <dimension ref="A1:R94"/>
  <sheetViews>
    <sheetView topLeftCell="A55" workbookViewId="0">
      <selection sqref="A1:IV65536"/>
    </sheetView>
  </sheetViews>
  <sheetFormatPr baseColWidth="10" defaultColWidth="8.42578125" defaultRowHeight="12.75" x14ac:dyDescent="0.2"/>
  <cols>
    <col min="1" max="1" width="10" style="104" bestFit="1" customWidth="1"/>
    <col min="2" max="2" width="44.28515625" style="104" bestFit="1" customWidth="1"/>
    <col min="3" max="3" width="10.42578125" style="104" bestFit="1" customWidth="1"/>
    <col min="4" max="4" width="10.42578125" style="104" customWidth="1"/>
    <col min="5" max="5" width="9.7109375" style="104" bestFit="1" customWidth="1"/>
    <col min="6" max="6" width="9.5703125" style="104" bestFit="1" customWidth="1"/>
    <col min="7" max="7" width="9.5703125" style="204" bestFit="1" customWidth="1"/>
    <col min="8" max="8" width="10.42578125" style="177" bestFit="1" customWidth="1"/>
    <col min="9" max="9" width="4.5703125" style="177" customWidth="1"/>
    <col min="10" max="10" width="1.85546875" style="103" customWidth="1"/>
    <col min="11" max="11" width="7" style="104" bestFit="1" customWidth="1"/>
    <col min="12" max="12" width="6.28515625" style="104" customWidth="1"/>
    <col min="13" max="13" width="20.42578125" style="104" customWidth="1"/>
    <col min="14" max="14" width="6.42578125" style="104" bestFit="1" customWidth="1"/>
    <col min="15" max="16" width="8.42578125" style="104"/>
    <col min="17" max="17" width="3.28515625" style="104" customWidth="1"/>
    <col min="18" max="16384" width="8.42578125" style="104"/>
  </cols>
  <sheetData>
    <row r="1" spans="1:10" ht="27.75" customHeight="1" x14ac:dyDescent="0.2">
      <c r="A1" s="99"/>
      <c r="B1" s="99"/>
      <c r="C1" s="99"/>
      <c r="D1" s="99"/>
      <c r="E1" s="100" t="s">
        <v>88</v>
      </c>
      <c r="F1" s="101" t="s">
        <v>89</v>
      </c>
      <c r="G1" s="101" t="s">
        <v>90</v>
      </c>
      <c r="H1" s="101" t="s">
        <v>91</v>
      </c>
      <c r="I1" s="102"/>
    </row>
    <row r="2" spans="1:10" ht="30.75" customHeight="1" x14ac:dyDescent="0.2">
      <c r="A2" s="99"/>
      <c r="B2" s="99"/>
      <c r="C2" s="99"/>
      <c r="D2" s="99"/>
      <c r="E2" s="105">
        <f>IFERROR(O65,"")</f>
        <v>8695.0072786319506</v>
      </c>
      <c r="F2" s="105">
        <f>IFERROR(H56,"")</f>
        <v>5844.1564705882347</v>
      </c>
      <c r="G2" s="105">
        <f>IFERROR(H57,"")</f>
        <v>1745.6009173333334</v>
      </c>
      <c r="H2" s="105">
        <f>IFERROR(H59,"")</f>
        <v>566.55666666666662</v>
      </c>
      <c r="I2" s="106"/>
    </row>
    <row r="3" spans="1:10" ht="15" customHeight="1" x14ac:dyDescent="0.2">
      <c r="A3" s="99"/>
      <c r="B3" s="99"/>
      <c r="C3" s="99"/>
      <c r="D3" s="99"/>
      <c r="E3" s="99"/>
      <c r="F3" s="107"/>
      <c r="G3" s="107"/>
      <c r="H3" s="107"/>
      <c r="I3" s="107"/>
    </row>
    <row r="4" spans="1:10" ht="24.75" customHeight="1" thickBot="1" x14ac:dyDescent="0.25">
      <c r="A4" s="598"/>
      <c r="B4" s="598"/>
      <c r="C4" s="598"/>
      <c r="D4" s="598"/>
      <c r="E4" s="598"/>
      <c r="F4" s="598"/>
      <c r="G4" s="598"/>
      <c r="H4" s="598"/>
      <c r="I4" s="108"/>
    </row>
    <row r="5" spans="1:10" ht="19.5" customHeight="1" thickBot="1" x14ac:dyDescent="0.25">
      <c r="A5" s="599" t="s">
        <v>92</v>
      </c>
      <c r="B5" s="600"/>
      <c r="C5" s="600"/>
      <c r="D5" s="600"/>
      <c r="E5" s="600"/>
      <c r="F5" s="600"/>
      <c r="G5" s="600"/>
      <c r="H5" s="601"/>
      <c r="I5" s="109"/>
    </row>
    <row r="6" spans="1:10" ht="19.5" thickBot="1" x14ac:dyDescent="0.25">
      <c r="A6" s="109"/>
      <c r="B6" s="109"/>
      <c r="C6" s="109"/>
      <c r="D6" s="109"/>
      <c r="E6" s="109"/>
      <c r="F6" s="602" t="s">
        <v>93</v>
      </c>
      <c r="G6" s="602"/>
      <c r="H6" s="110">
        <f ca="1">TODAY()</f>
        <v>46020</v>
      </c>
      <c r="I6" s="110"/>
    </row>
    <row r="7" spans="1:10" ht="26.25" hidden="1" thickBot="1" x14ac:dyDescent="0.25">
      <c r="A7" s="111" t="s">
        <v>94</v>
      </c>
      <c r="B7" s="112" t="s">
        <v>95</v>
      </c>
      <c r="C7" s="112" t="s">
        <v>94</v>
      </c>
      <c r="D7" s="113" t="s">
        <v>96</v>
      </c>
      <c r="E7" s="113" t="s">
        <v>97</v>
      </c>
      <c r="F7" s="113" t="s">
        <v>98</v>
      </c>
      <c r="G7" s="113" t="s">
        <v>99</v>
      </c>
      <c r="H7" s="114" t="s">
        <v>100</v>
      </c>
      <c r="I7" s="115"/>
    </row>
    <row r="8" spans="1:10" ht="14.25" hidden="1" thickBot="1" x14ac:dyDescent="0.3">
      <c r="A8" s="116"/>
      <c r="B8" s="104" t="str">
        <f>IFERROR(VLOOKUP(H8,'[1]Consolidado MP Planta'!$A$2:$M$823,3,0),"")</f>
        <v/>
      </c>
      <c r="C8" s="117">
        <f>+A8</f>
        <v>0</v>
      </c>
      <c r="D8" s="118" t="str">
        <f>IFERROR(VLOOKUP(H8,'[1]Consolidado MP Planta'!$A$2:$M$823,13,0),"")</f>
        <v/>
      </c>
      <c r="E8" s="118" t="str">
        <f>IFERROR(VLOOKUP(H8,'[1]Consolidado MP Planta'!$A$2:$M$823,12,0),"")</f>
        <v/>
      </c>
      <c r="F8" s="118" t="str">
        <f>IFERROR(C8*E8,"")</f>
        <v/>
      </c>
      <c r="G8" s="196" t="str">
        <f t="shared" ref="G8:G14" si="0">IFERROR(F8/$F$69,"")</f>
        <v/>
      </c>
      <c r="H8" s="120"/>
      <c r="I8" s="120"/>
      <c r="J8" s="197"/>
    </row>
    <row r="9" spans="1:10" ht="14.25" hidden="1" thickBot="1" x14ac:dyDescent="0.3">
      <c r="A9" s="116"/>
      <c r="B9" s="104" t="str">
        <f>IFERROR(VLOOKUP(H9,'[1]Consolidado MP Planta'!$A$2:$M$823,3,0),"")</f>
        <v/>
      </c>
      <c r="C9" s="117">
        <f t="shared" ref="C9:C14" si="1">+A9</f>
        <v>0</v>
      </c>
      <c r="D9" s="118" t="str">
        <f>IFERROR(VLOOKUP(H9,'[1]Consolidado MP Planta'!$A$2:$M$823,13,0),"")</f>
        <v/>
      </c>
      <c r="E9" s="118" t="str">
        <f>IFERROR(VLOOKUP(H9,'[1]Consolidado MP Planta'!$A$2:$M$823,12,0),"")</f>
        <v/>
      </c>
      <c r="F9" s="118" t="str">
        <f t="shared" ref="F9:F14" si="2">IFERROR(C9*E9,"")</f>
        <v/>
      </c>
      <c r="G9" s="196" t="str">
        <f t="shared" si="0"/>
        <v/>
      </c>
      <c r="H9" s="120"/>
      <c r="I9" s="120"/>
      <c r="J9" s="197"/>
    </row>
    <row r="10" spans="1:10" ht="14.25" hidden="1" thickBot="1" x14ac:dyDescent="0.3">
      <c r="A10" s="116"/>
      <c r="B10" s="104" t="str">
        <f>IFERROR(VLOOKUP(H10,'[1]Consolidado MP Planta'!$A$2:$M$823,3,0),"")</f>
        <v/>
      </c>
      <c r="C10" s="117">
        <f t="shared" si="1"/>
        <v>0</v>
      </c>
      <c r="D10" s="118" t="str">
        <f>IFERROR(VLOOKUP(H10,'[1]Consolidado MP Planta'!$A$2:$M$823,13,0),"")</f>
        <v/>
      </c>
      <c r="E10" s="118" t="str">
        <f>IFERROR(VLOOKUP(H10,'[1]Consolidado MP Planta'!$A$2:$M$823,12,0),"")</f>
        <v/>
      </c>
      <c r="F10" s="118" t="str">
        <f t="shared" si="2"/>
        <v/>
      </c>
      <c r="G10" s="196" t="str">
        <f t="shared" si="0"/>
        <v/>
      </c>
      <c r="H10" s="120"/>
      <c r="I10" s="120"/>
      <c r="J10" s="197"/>
    </row>
    <row r="11" spans="1:10" ht="14.25" hidden="1" thickBot="1" x14ac:dyDescent="0.3">
      <c r="A11" s="116"/>
      <c r="B11" s="104" t="str">
        <f>IFERROR(VLOOKUP(H11,'[1]Consolidado MP Planta'!$A$2:$M$823,3,0),"")</f>
        <v/>
      </c>
      <c r="C11" s="117">
        <f t="shared" si="1"/>
        <v>0</v>
      </c>
      <c r="D11" s="118" t="str">
        <f>IFERROR(VLOOKUP(H11,'[1]Consolidado MP Planta'!$A$2:$M$823,13,0),"")</f>
        <v/>
      </c>
      <c r="E11" s="118" t="str">
        <f>IFERROR(VLOOKUP(H11,'[1]Consolidado MP Planta'!$A$2:$M$823,12,0),"")</f>
        <v/>
      </c>
      <c r="F11" s="118" t="str">
        <f t="shared" si="2"/>
        <v/>
      </c>
      <c r="G11" s="196" t="str">
        <f t="shared" si="0"/>
        <v/>
      </c>
      <c r="H11" s="120"/>
      <c r="I11" s="120"/>
      <c r="J11" s="197"/>
    </row>
    <row r="12" spans="1:10" ht="14.25" hidden="1" thickBot="1" x14ac:dyDescent="0.3">
      <c r="A12" s="116"/>
      <c r="B12" s="104" t="str">
        <f>IFERROR(VLOOKUP(H12,'[1]Consolidado MP Planta'!$A$2:$M$823,3,0),"")</f>
        <v/>
      </c>
      <c r="C12" s="117">
        <f t="shared" si="1"/>
        <v>0</v>
      </c>
      <c r="D12" s="118" t="str">
        <f>IFERROR(VLOOKUP(H12,'[1]Consolidado MP Planta'!$A$2:$M$823,13,0),"")</f>
        <v/>
      </c>
      <c r="E12" s="118" t="str">
        <f>IFERROR(VLOOKUP(H12,'[1]Consolidado MP Planta'!$A$2:$M$823,12,0),"")</f>
        <v/>
      </c>
      <c r="F12" s="118" t="str">
        <f t="shared" si="2"/>
        <v/>
      </c>
      <c r="G12" s="196" t="str">
        <f t="shared" si="0"/>
        <v/>
      </c>
      <c r="H12" s="120"/>
      <c r="I12" s="120"/>
      <c r="J12" s="197"/>
    </row>
    <row r="13" spans="1:10" ht="14.25" hidden="1" thickBot="1" x14ac:dyDescent="0.3">
      <c r="A13" s="116"/>
      <c r="B13" s="104" t="str">
        <f>IFERROR(VLOOKUP(H13,'[1]Consolidado MP Planta'!$A$2:$M$823,3,0),"")</f>
        <v/>
      </c>
      <c r="C13" s="117">
        <f t="shared" si="1"/>
        <v>0</v>
      </c>
      <c r="D13" s="118" t="str">
        <f>IFERROR(VLOOKUP(H13,'[1]Consolidado MP Planta'!$A$2:$M$823,13,0),"")</f>
        <v/>
      </c>
      <c r="E13" s="118" t="str">
        <f>IFERROR(VLOOKUP(H13,'[1]Consolidado MP Planta'!$A$2:$M$823,12,0),"")</f>
        <v/>
      </c>
      <c r="F13" s="118" t="str">
        <f t="shared" si="2"/>
        <v/>
      </c>
      <c r="G13" s="196" t="str">
        <f t="shared" si="0"/>
        <v/>
      </c>
      <c r="H13" s="120"/>
      <c r="I13" s="120"/>
      <c r="J13" s="197"/>
    </row>
    <row r="14" spans="1:10" ht="14.25" hidden="1" thickBot="1" x14ac:dyDescent="0.3">
      <c r="A14" s="116"/>
      <c r="B14" s="104" t="str">
        <f>IFERROR(VLOOKUP(H14,'[1]Consolidado MP Planta'!$A$2:$M$823,3,0),"")</f>
        <v/>
      </c>
      <c r="C14" s="117">
        <f t="shared" si="1"/>
        <v>0</v>
      </c>
      <c r="D14" s="118" t="str">
        <f>IFERROR(VLOOKUP(H14,'[1]Consolidado MP Planta'!$A$2:$M$823,13,0),"")</f>
        <v/>
      </c>
      <c r="E14" s="118" t="str">
        <f>IFERROR(VLOOKUP(H14,'[1]Consolidado MP Planta'!$A$2:$M$823,12,0),"")</f>
        <v/>
      </c>
      <c r="F14" s="118" t="str">
        <f t="shared" si="2"/>
        <v/>
      </c>
      <c r="G14" s="196" t="str">
        <f t="shared" si="0"/>
        <v/>
      </c>
      <c r="H14" s="120"/>
      <c r="I14" s="120"/>
      <c r="J14" s="197"/>
    </row>
    <row r="15" spans="1:10" ht="14.25" hidden="1" thickBot="1" x14ac:dyDescent="0.3">
      <c r="A15" s="116"/>
      <c r="B15" s="104" t="str">
        <f>IFERROR(VLOOKUP(H15,'[2]ARTICULOS MP PLANTA'!$A$2:$G$589,2,0),"")</f>
        <v/>
      </c>
      <c r="C15" s="117"/>
      <c r="D15" s="118"/>
      <c r="E15" s="118"/>
      <c r="F15" s="118"/>
      <c r="G15" s="196"/>
      <c r="H15" s="120"/>
      <c r="I15" s="120"/>
      <c r="J15" s="197"/>
    </row>
    <row r="16" spans="1:10" ht="26.25" thickBot="1" x14ac:dyDescent="0.25">
      <c r="A16" s="111" t="s">
        <v>94</v>
      </c>
      <c r="B16" s="112" t="s">
        <v>101</v>
      </c>
      <c r="C16" s="112" t="s">
        <v>94</v>
      </c>
      <c r="D16" s="113" t="s">
        <v>96</v>
      </c>
      <c r="E16" s="113" t="s">
        <v>97</v>
      </c>
      <c r="F16" s="113" t="s">
        <v>98</v>
      </c>
      <c r="G16" s="113" t="s">
        <v>99</v>
      </c>
      <c r="H16" s="114" t="s">
        <v>100</v>
      </c>
      <c r="I16" s="115"/>
      <c r="J16" s="197"/>
    </row>
    <row r="17" spans="1:12" ht="13.5" x14ac:dyDescent="0.25">
      <c r="A17" s="116">
        <v>1</v>
      </c>
      <c r="B17" s="104" t="s">
        <v>143</v>
      </c>
      <c r="C17" s="117">
        <f>+A17</f>
        <v>1</v>
      </c>
      <c r="D17" s="117" t="s">
        <v>144</v>
      </c>
      <c r="E17" s="118">
        <f>+'Costo Rosquete 2200 '!H53</f>
        <v>2793.6564705882347</v>
      </c>
      <c r="F17" s="118">
        <f>IFERROR(E17*C17,"")</f>
        <v>2793.6564705882347</v>
      </c>
      <c r="G17" s="196">
        <f t="shared" ref="G17:G24" si="3">IFERROR(F17/$F$69,"")</f>
        <v>0.34091263243080433</v>
      </c>
      <c r="H17" s="120" t="s">
        <v>145</v>
      </c>
      <c r="I17" s="120"/>
      <c r="J17" s="197"/>
    </row>
    <row r="18" spans="1:12" ht="13.5" x14ac:dyDescent="0.25">
      <c r="A18" s="116">
        <v>300</v>
      </c>
      <c r="B18" s="104" t="s">
        <v>66</v>
      </c>
      <c r="C18" s="117">
        <f t="shared" ref="C18:C24" si="4">+A18</f>
        <v>300</v>
      </c>
      <c r="D18" s="117" t="s">
        <v>102</v>
      </c>
      <c r="E18" s="118">
        <v>2.2999999999999998</v>
      </c>
      <c r="F18" s="118">
        <f t="shared" ref="F18:F24" si="5">IFERROR(E18*C18,"")</f>
        <v>690</v>
      </c>
      <c r="G18" s="196">
        <f t="shared" si="3"/>
        <v>8.4201375098823375E-2</v>
      </c>
      <c r="H18" s="120"/>
      <c r="I18" s="120"/>
      <c r="J18" s="197"/>
    </row>
    <row r="19" spans="1:12" ht="13.5" x14ac:dyDescent="0.25">
      <c r="A19" s="116">
        <v>20</v>
      </c>
      <c r="B19" s="104" t="s">
        <v>146</v>
      </c>
      <c r="C19" s="117">
        <f>+A19</f>
        <v>20</v>
      </c>
      <c r="D19" s="117" t="s">
        <v>102</v>
      </c>
      <c r="E19" s="118">
        <f>+'[3]Costo manjar con agua '!$E$69</f>
        <v>1.7749999999999999</v>
      </c>
      <c r="F19" s="118">
        <f>IFERROR(E19*C19,"")</f>
        <v>35.5</v>
      </c>
      <c r="G19" s="196">
        <f t="shared" si="3"/>
        <v>4.3320997333452602E-3</v>
      </c>
      <c r="H19" s="120">
        <v>905000108</v>
      </c>
      <c r="I19" s="120"/>
      <c r="J19" s="197"/>
    </row>
    <row r="20" spans="1:12" ht="13.5" x14ac:dyDescent="0.25">
      <c r="A20" s="116">
        <v>700</v>
      </c>
      <c r="B20" s="104" t="str">
        <f>IFERROR(VLOOKUP(H20,[1]SEMIELABORADOS!$A$2:$M$6000,2,0),"")</f>
        <v>CREMA DULCE LECHE KILO</v>
      </c>
      <c r="C20" s="117">
        <f>+A20</f>
        <v>700</v>
      </c>
      <c r="D20" s="117" t="str">
        <f>IFERROR(VLOOKUP(H20,[1]SEMIELABORADOS!$A$2:$M$6000,6,0),"")</f>
        <v>Gramo</v>
      </c>
      <c r="E20" s="118">
        <v>2.63</v>
      </c>
      <c r="F20" s="118">
        <f>IFERROR(E20*C20,"")</f>
        <v>1841</v>
      </c>
      <c r="G20" s="196">
        <f t="shared" si="3"/>
        <v>0.22465903124193309</v>
      </c>
      <c r="H20" s="120" t="s">
        <v>147</v>
      </c>
      <c r="I20" s="120"/>
      <c r="J20" s="197"/>
    </row>
    <row r="21" spans="1:12" ht="13.5" x14ac:dyDescent="0.25">
      <c r="A21" s="116">
        <v>200</v>
      </c>
      <c r="B21" s="104" t="s">
        <v>72</v>
      </c>
      <c r="C21" s="117">
        <f>+A21</f>
        <v>200</v>
      </c>
      <c r="D21" s="117" t="s">
        <v>148</v>
      </c>
      <c r="E21" s="118">
        <v>2.42</v>
      </c>
      <c r="F21" s="118">
        <f>IFERROR(E21*C21,"")</f>
        <v>484</v>
      </c>
      <c r="G21" s="196">
        <f t="shared" si="3"/>
        <v>5.9062993547580454E-2</v>
      </c>
      <c r="H21" s="120"/>
      <c r="I21" s="120"/>
      <c r="J21" s="197"/>
    </row>
    <row r="22" spans="1:12" ht="13.5" hidden="1" x14ac:dyDescent="0.25">
      <c r="A22" s="116"/>
      <c r="B22" s="104" t="str">
        <f>IFERROR(VLOOKUP(H22,[1]SEMIELABORADOS!$A$2:$M$6000,2,0),"")</f>
        <v/>
      </c>
      <c r="C22" s="117">
        <f t="shared" si="4"/>
        <v>0</v>
      </c>
      <c r="D22" s="117" t="str">
        <f>IFERROR(VLOOKUP(H22,[1]SEMIELABORADOS!$A$2:$M$6000,6,0),"")</f>
        <v/>
      </c>
      <c r="E22" s="118" t="str">
        <f>IFERROR(VLOOKUP(H22,[1]SEMIELABORADOS!$A$2:$H$65536,8,0),"")</f>
        <v/>
      </c>
      <c r="F22" s="118" t="str">
        <f t="shared" si="5"/>
        <v/>
      </c>
      <c r="G22" s="196" t="str">
        <f t="shared" si="3"/>
        <v/>
      </c>
      <c r="H22" s="120"/>
      <c r="I22" s="120"/>
      <c r="J22" s="197"/>
    </row>
    <row r="23" spans="1:12" ht="13.5" hidden="1" x14ac:dyDescent="0.25">
      <c r="A23" s="116"/>
      <c r="B23" s="104" t="str">
        <f>IFERROR(VLOOKUP(H23,[1]SEMIELABORADOS!$A$2:$M$6000,2,0),"")</f>
        <v/>
      </c>
      <c r="C23" s="117">
        <f t="shared" si="4"/>
        <v>0</v>
      </c>
      <c r="D23" s="117" t="str">
        <f>IFERROR(VLOOKUP(H23,[1]SEMIELABORADOS!$A$2:$M$6000,6,0),"")</f>
        <v/>
      </c>
      <c r="E23" s="118" t="str">
        <f>IFERROR(VLOOKUP(H23,[1]SEMIELABORADOS!$A$2:$H$65536,8,0),"")</f>
        <v/>
      </c>
      <c r="F23" s="118" t="str">
        <f t="shared" si="5"/>
        <v/>
      </c>
      <c r="G23" s="196" t="str">
        <f t="shared" si="3"/>
        <v/>
      </c>
      <c r="H23" s="120"/>
      <c r="I23" s="120"/>
      <c r="J23" s="197"/>
    </row>
    <row r="24" spans="1:12" ht="13.5" hidden="1" x14ac:dyDescent="0.25">
      <c r="A24" s="116"/>
      <c r="B24" s="104" t="str">
        <f>IFERROR(VLOOKUP(H24,[1]SEMIELABORADOS!$A$2:$M$6000,2,0),"")</f>
        <v/>
      </c>
      <c r="C24" s="117">
        <f t="shared" si="4"/>
        <v>0</v>
      </c>
      <c r="D24" s="117" t="str">
        <f>IFERROR(VLOOKUP(H24,[1]SEMIELABORADOS!$A$2:$M$6000,6,0),"")</f>
        <v/>
      </c>
      <c r="E24" s="118" t="str">
        <f>IFERROR(VLOOKUP(H24,[1]SEMIELABORADOS!$A$2:$H$65536,8,0),"")</f>
        <v/>
      </c>
      <c r="F24" s="118" t="str">
        <f t="shared" si="5"/>
        <v/>
      </c>
      <c r="G24" s="196" t="str">
        <f t="shared" si="3"/>
        <v/>
      </c>
      <c r="H24" s="120"/>
      <c r="I24" s="120"/>
      <c r="J24" s="197"/>
    </row>
    <row r="25" spans="1:12" ht="14.25" thickBot="1" x14ac:dyDescent="0.3">
      <c r="A25" s="116"/>
      <c r="C25" s="117"/>
      <c r="D25" s="117"/>
      <c r="E25" s="118"/>
      <c r="F25" s="118"/>
      <c r="G25" s="196"/>
      <c r="H25" s="120"/>
      <c r="I25" s="120"/>
      <c r="J25" s="197"/>
    </row>
    <row r="26" spans="1:12" ht="26.25" thickBot="1" x14ac:dyDescent="0.25">
      <c r="A26" s="111" t="s">
        <v>94</v>
      </c>
      <c r="B26" s="112" t="s">
        <v>27</v>
      </c>
      <c r="C26" s="112" t="s">
        <v>94</v>
      </c>
      <c r="D26" s="113" t="s">
        <v>96</v>
      </c>
      <c r="E26" s="113" t="s">
        <v>97</v>
      </c>
      <c r="F26" s="113" t="s">
        <v>98</v>
      </c>
      <c r="G26" s="113" t="s">
        <v>99</v>
      </c>
      <c r="H26" s="114" t="s">
        <v>100</v>
      </c>
      <c r="I26" s="115"/>
    </row>
    <row r="27" spans="1:12" ht="13.5" x14ac:dyDescent="0.25">
      <c r="A27" s="116">
        <v>1</v>
      </c>
      <c r="B27" s="122" t="str">
        <f>IFERROR(VLOOKUP(H27,'[1]Consolidado MP Planta'!$A$2:$M$823,3,0),"")</f>
        <v>BASE CARTON 30 PORCIONES UND</v>
      </c>
      <c r="C27" s="117">
        <f t="shared" ref="C27:C35" si="6">+A27</f>
        <v>1</v>
      </c>
      <c r="D27" s="118" t="str">
        <f>IFERROR(VLOOKUP(H27,'[1]Consolidado MP Planta'!$A$2:$M$823,13,0),"")</f>
        <v>Und</v>
      </c>
      <c r="E27" s="118">
        <v>243.95</v>
      </c>
      <c r="F27" s="118">
        <f t="shared" ref="F27:F35" si="7">IFERROR(C27*E27,"")</f>
        <v>243.95</v>
      </c>
      <c r="G27" s="196">
        <f t="shared" ref="G27:G35" si="8">IFERROR(F27/$F$69,"")</f>
        <v>2.9769457181678203E-2</v>
      </c>
      <c r="H27" s="123" t="s">
        <v>38</v>
      </c>
      <c r="I27" s="123"/>
      <c r="J27" s="197"/>
      <c r="K27" s="603"/>
      <c r="L27" s="603"/>
    </row>
    <row r="28" spans="1:12" ht="13.5" x14ac:dyDescent="0.25">
      <c r="A28" s="116">
        <v>1</v>
      </c>
      <c r="B28" s="122" t="str">
        <f>IFERROR(VLOOKUP(H28,'[1]Consolidado MP Planta'!$A$2:$M$823,3,0),"")</f>
        <v>QUEQUERA RECTANGULAR 1/2 (CAJA:35 UND)</v>
      </c>
      <c r="C28" s="117">
        <f t="shared" si="6"/>
        <v>1</v>
      </c>
      <c r="D28" s="118" t="str">
        <f>IFERROR(VLOOKUP(H28,'[1]Consolidado MP Planta'!$A$2:$M$823,13,0),"")</f>
        <v>Und</v>
      </c>
      <c r="E28" s="118">
        <v>1428</v>
      </c>
      <c r="F28" s="118">
        <f t="shared" si="7"/>
        <v>1428</v>
      </c>
      <c r="G28" s="196">
        <f t="shared" si="8"/>
        <v>0.17426023716104316</v>
      </c>
      <c r="H28" s="123" t="s">
        <v>50</v>
      </c>
      <c r="I28" s="123"/>
      <c r="J28" s="197"/>
      <c r="K28" s="603"/>
      <c r="L28" s="603"/>
    </row>
    <row r="29" spans="1:12" ht="13.5" x14ac:dyDescent="0.25">
      <c r="A29" s="116">
        <v>1</v>
      </c>
      <c r="B29" s="122" t="str">
        <f>IFERROR(VLOOKUP(H29,'[1]Consolidado MP Planta'!$A$2:$M$823,3,0),"")</f>
        <v>ETIQ.FECHA VENCIMIENTO BLANCO (ROLLO)</v>
      </c>
      <c r="C29" s="117">
        <f>+A29</f>
        <v>1</v>
      </c>
      <c r="D29" s="118" t="str">
        <f>IFERROR(VLOOKUP(H29,'[1]Consolidado MP Planta'!$A$2:$M$823,13,0),"")</f>
        <v>Gramos</v>
      </c>
      <c r="E29" s="118">
        <f>IFERROR(VLOOKUP(H29,'[1]Consolidado MP Planta'!$A$2:$M$823,12,0),"")</f>
        <v>0.33333333333333331</v>
      </c>
      <c r="F29" s="118">
        <f>IFERROR(C29*E29,"")</f>
        <v>0.33333333333333331</v>
      </c>
      <c r="G29" s="196">
        <f t="shared" si="8"/>
        <v>4.0676992801363948E-5</v>
      </c>
      <c r="H29" s="123" t="s">
        <v>44</v>
      </c>
      <c r="I29" s="123"/>
      <c r="J29" s="197"/>
      <c r="K29" s="102"/>
      <c r="L29" s="102"/>
    </row>
    <row r="30" spans="1:12" ht="13.5" x14ac:dyDescent="0.25">
      <c r="A30" s="116">
        <v>1</v>
      </c>
      <c r="B30" s="122" t="str">
        <f>IFERROR(VLOOKUP(H30,'[1]Consolidado MP Planta'!$A$2:$M$823,3,0),"")</f>
        <v>ETIQUETA BLANCA 2 5/8X1 15/16 (UND)</v>
      </c>
      <c r="C30" s="117">
        <f>+A30</f>
        <v>1</v>
      </c>
      <c r="D30" s="118" t="str">
        <f>IFERROR(VLOOKUP(H30,'[1]Consolidado MP Planta'!$A$2:$M$823,13,0),"")</f>
        <v>Und</v>
      </c>
      <c r="E30" s="118">
        <f>IFERROR(VLOOKUP(H30,'[1]Consolidado MP Planta'!$A$2:$M$823,12,0),"")</f>
        <v>2.1280000000000001</v>
      </c>
      <c r="F30" s="118">
        <f>IFERROR(C30*E30,"")</f>
        <v>2.1280000000000001</v>
      </c>
      <c r="G30" s="196">
        <f t="shared" si="8"/>
        <v>2.5968192204390748E-4</v>
      </c>
      <c r="H30" s="123" t="s">
        <v>46</v>
      </c>
      <c r="I30" s="123"/>
      <c r="J30" s="197"/>
      <c r="K30" s="102"/>
      <c r="L30" s="102"/>
    </row>
    <row r="31" spans="1:12" ht="13.5" x14ac:dyDescent="0.25">
      <c r="A31" s="116">
        <v>1</v>
      </c>
      <c r="B31" s="122" t="str">
        <f>IFERROR(VLOOKUP(H31,'[1]Consolidado MP Planta'!$A$2:$M$823,3,0),"")</f>
        <v>ETIQUETA BLANCA R-153 (UND)</v>
      </c>
      <c r="C31" s="117">
        <f>+A31</f>
        <v>1</v>
      </c>
      <c r="D31" s="118" t="str">
        <f>IFERROR(VLOOKUP(H31,'[1]Consolidado MP Planta'!$A$2:$M$823,13,0),"")</f>
        <v>Und</v>
      </c>
      <c r="E31" s="118">
        <f>IFERROR(VLOOKUP(H31,'[1]Consolidado MP Planta'!$A$2:$M$823,12,0),"")</f>
        <v>0.39</v>
      </c>
      <c r="F31" s="118">
        <f>IFERROR(C31*E31,"")</f>
        <v>0.39</v>
      </c>
      <c r="G31" s="196">
        <f t="shared" si="8"/>
        <v>4.7592081577595822E-5</v>
      </c>
      <c r="H31" s="123" t="s">
        <v>39</v>
      </c>
      <c r="I31" s="123"/>
      <c r="J31" s="197"/>
      <c r="K31" s="102"/>
      <c r="L31" s="102"/>
    </row>
    <row r="32" spans="1:12" ht="13.5" x14ac:dyDescent="0.25">
      <c r="A32" s="116">
        <v>1</v>
      </c>
      <c r="B32" s="122" t="str">
        <f>IFERROR(VLOOKUP(H32,'[1]Consolidado MP Planta'!$A$2:$M$823,3,0),"")</f>
        <v>ETIQ TORTA GENERICA BUCCA GRANDE (UND)</v>
      </c>
      <c r="C32" s="117">
        <f t="shared" si="6"/>
        <v>1</v>
      </c>
      <c r="D32" s="118" t="str">
        <f>IFERROR(VLOOKUP(H32,'[1]Consolidado MP Planta'!$A$2:$M$823,13,0),"")</f>
        <v>Und</v>
      </c>
      <c r="E32" s="118">
        <f>IFERROR(VLOOKUP(H32,'[1]Consolidado MP Planta'!$A$2:$M$823,12,0),"")</f>
        <v>43.5</v>
      </c>
      <c r="F32" s="118">
        <f t="shared" si="7"/>
        <v>43.5</v>
      </c>
      <c r="G32" s="196">
        <f t="shared" si="8"/>
        <v>5.3083475605779952E-3</v>
      </c>
      <c r="H32" s="123" t="s">
        <v>48</v>
      </c>
      <c r="I32" s="123"/>
      <c r="J32" s="197"/>
      <c r="K32" s="603"/>
      <c r="L32" s="603"/>
    </row>
    <row r="33" spans="1:18" ht="13.5" x14ac:dyDescent="0.25">
      <c r="A33" s="116">
        <v>60</v>
      </c>
      <c r="B33" s="122" t="str">
        <f>IFERROR(VLOOKUP(H33,'[1]Consolidado MP Planta'!$A$2:$M$823,3,0),"")</f>
        <v>CINTA ADHESIVA TRANSPARENT 2*100 M (UND)</v>
      </c>
      <c r="C33" s="117">
        <f t="shared" si="6"/>
        <v>60</v>
      </c>
      <c r="D33" s="118" t="str">
        <f>IFERROR(VLOOKUP(H33,'[1]Consolidado MP Planta'!$A$2:$M$823,13,0),"")</f>
        <v>Cm</v>
      </c>
      <c r="E33" s="118">
        <f>IFERROR(VLOOKUP(H33,'[1]Consolidado MP Planta'!$A$2:$M$823,12,0),"")</f>
        <v>0.17499999999999999</v>
      </c>
      <c r="F33" s="118">
        <f t="shared" si="7"/>
        <v>10.5</v>
      </c>
      <c r="G33" s="196">
        <f t="shared" si="8"/>
        <v>1.2813252732429643E-3</v>
      </c>
      <c r="H33" s="123" t="s">
        <v>149</v>
      </c>
      <c r="I33" s="123"/>
      <c r="J33" s="197"/>
      <c r="K33" s="603"/>
      <c r="L33" s="603"/>
    </row>
    <row r="34" spans="1:18" ht="13.5" x14ac:dyDescent="0.25">
      <c r="A34" s="116"/>
      <c r="B34" s="122" t="str">
        <f>IFERROR(VLOOKUP(H34,'[1]Consolidado MP Planta'!$A$2:$M$823,3,0),"")</f>
        <v/>
      </c>
      <c r="C34" s="117">
        <f t="shared" si="6"/>
        <v>0</v>
      </c>
      <c r="D34" s="118" t="str">
        <f>IFERROR(VLOOKUP(H34,'[1]Consolidado MP Planta'!$A$2:$M$823,13,0),"")</f>
        <v/>
      </c>
      <c r="E34" s="118" t="str">
        <f>IFERROR(VLOOKUP(H34,'[1]Consolidado MP Planta'!$A$2:$M$823,12,0),"")</f>
        <v/>
      </c>
      <c r="F34" s="118" t="str">
        <f t="shared" si="7"/>
        <v/>
      </c>
      <c r="G34" s="196" t="str">
        <f t="shared" si="8"/>
        <v/>
      </c>
      <c r="H34" s="123"/>
      <c r="I34" s="123"/>
      <c r="J34" s="197"/>
      <c r="K34" s="124"/>
      <c r="L34" s="125"/>
    </row>
    <row r="35" spans="1:18" ht="13.5" x14ac:dyDescent="0.25">
      <c r="A35" s="116"/>
      <c r="B35" s="122" t="str">
        <f>IFERROR(VLOOKUP(H35,'[1]Consolidado MP Planta'!$A$2:$M$823,3,0),"")</f>
        <v/>
      </c>
      <c r="C35" s="117">
        <f t="shared" si="6"/>
        <v>0</v>
      </c>
      <c r="D35" s="118" t="str">
        <f>IFERROR(VLOOKUP(H35,'[1]Consolidado MP Planta'!$A$2:$M$823,13,0),"")</f>
        <v/>
      </c>
      <c r="E35" s="118" t="str">
        <f>IFERROR(VLOOKUP(H35,'[1]Consolidado MP Planta'!$A$2:$M$823,12,0),"")</f>
        <v/>
      </c>
      <c r="F35" s="118" t="str">
        <f t="shared" si="7"/>
        <v/>
      </c>
      <c r="G35" s="196" t="str">
        <f t="shared" si="8"/>
        <v/>
      </c>
      <c r="H35" s="123"/>
      <c r="I35" s="123"/>
      <c r="J35" s="197"/>
    </row>
    <row r="36" spans="1:18" ht="14.25" thickBot="1" x14ac:dyDescent="0.3">
      <c r="A36" s="116"/>
      <c r="B36" s="122"/>
      <c r="C36" s="117"/>
      <c r="D36" s="118"/>
      <c r="E36" s="118"/>
      <c r="F36" s="118"/>
      <c r="G36" s="196"/>
      <c r="H36" s="123"/>
      <c r="I36" s="123"/>
      <c r="J36" s="197"/>
    </row>
    <row r="37" spans="1:18" ht="26.25" thickBot="1" x14ac:dyDescent="0.25">
      <c r="A37" s="111" t="s">
        <v>94</v>
      </c>
      <c r="B37" s="112" t="s">
        <v>106</v>
      </c>
      <c r="C37" s="112" t="s">
        <v>94</v>
      </c>
      <c r="D37" s="113" t="s">
        <v>96</v>
      </c>
      <c r="E37" s="113" t="s">
        <v>97</v>
      </c>
      <c r="F37" s="113" t="s">
        <v>98</v>
      </c>
      <c r="G37" s="113" t="s">
        <v>99</v>
      </c>
      <c r="H37" s="114" t="s">
        <v>100</v>
      </c>
      <c r="I37" s="123"/>
      <c r="J37" s="197"/>
    </row>
    <row r="38" spans="1:18" ht="13.5" x14ac:dyDescent="0.25">
      <c r="A38" s="116">
        <f t="shared" ref="A38:A44" si="9">+A17</f>
        <v>1</v>
      </c>
      <c r="B38" s="122" t="s">
        <v>143</v>
      </c>
      <c r="C38" s="117">
        <f>+A38</f>
        <v>1</v>
      </c>
      <c r="D38" s="118" t="s">
        <v>144</v>
      </c>
      <c r="E38" s="118">
        <v>16.739999999999998</v>
      </c>
      <c r="F38" s="118">
        <f>IFERROR(E38*C38,"")</f>
        <v>16.739999999999998</v>
      </c>
      <c r="G38" s="196">
        <f t="shared" ref="G38:G44" si="10">IFERROR(F38/$F$69,"")</f>
        <v>2.0427985784844975E-3</v>
      </c>
      <c r="H38" s="123" t="s">
        <v>145</v>
      </c>
      <c r="I38" s="123"/>
      <c r="J38" s="197"/>
    </row>
    <row r="39" spans="1:18" ht="13.5" x14ac:dyDescent="0.25">
      <c r="A39" s="116">
        <f t="shared" si="9"/>
        <v>300</v>
      </c>
      <c r="B39" s="104" t="s">
        <v>66</v>
      </c>
      <c r="C39" s="117">
        <f t="shared" ref="C39:C44" si="11">+A39</f>
        <v>300</v>
      </c>
      <c r="D39" s="118" t="s">
        <v>102</v>
      </c>
      <c r="E39" s="118">
        <f>+'[4]COSTO CREMA '!$E$76</f>
        <v>0</v>
      </c>
      <c r="F39" s="118">
        <f t="shared" ref="F39:F44" si="12">IFERROR(E39*C39,"")</f>
        <v>0</v>
      </c>
      <c r="G39" s="196">
        <f t="shared" si="10"/>
        <v>0</v>
      </c>
      <c r="H39" s="123"/>
      <c r="I39" s="123"/>
      <c r="J39" s="197"/>
    </row>
    <row r="40" spans="1:18" ht="13.5" x14ac:dyDescent="0.25">
      <c r="A40" s="116">
        <f t="shared" si="9"/>
        <v>20</v>
      </c>
      <c r="B40" s="104" t="s">
        <v>146</v>
      </c>
      <c r="C40" s="117">
        <f t="shared" si="11"/>
        <v>20</v>
      </c>
      <c r="D40" s="118" t="s">
        <v>148</v>
      </c>
      <c r="E40" s="118">
        <f>+'[3]Costo manjar con agua '!$E$76</f>
        <v>0</v>
      </c>
      <c r="F40" s="118">
        <f t="shared" si="12"/>
        <v>0</v>
      </c>
      <c r="G40" s="196">
        <f t="shared" si="10"/>
        <v>0</v>
      </c>
      <c r="H40" s="120">
        <v>905000108</v>
      </c>
      <c r="I40" s="123"/>
      <c r="J40" s="197"/>
      <c r="R40" s="104">
        <f>49990/35</f>
        <v>1428.2857142857142</v>
      </c>
    </row>
    <row r="41" spans="1:18" ht="13.5" x14ac:dyDescent="0.25">
      <c r="A41" s="116">
        <f t="shared" si="9"/>
        <v>700</v>
      </c>
      <c r="B41" s="122" t="str">
        <f>IFERROR(VLOOKUP(H41,[1]SEMIELABORADOS!$A$2:$M$6000,2,0),"")</f>
        <v>CREMA DULCE LECHE KILO</v>
      </c>
      <c r="C41" s="117">
        <f>+A41</f>
        <v>700</v>
      </c>
      <c r="D41" s="118" t="str">
        <f>IFERROR(VLOOKUP(H41,[1]SEMIELABORADOS!$A$2:$M$6000,6,0),"")</f>
        <v>Gramo</v>
      </c>
      <c r="E41" s="118">
        <f>IFERROR(VLOOKUP(H41,[1]SEMIELABORADOS!$A$2:$M$65536,10,0),"")</f>
        <v>8.5119999999999998E-5</v>
      </c>
      <c r="F41" s="118">
        <f>IFERROR(E41*C41,"")</f>
        <v>5.9583999999999998E-2</v>
      </c>
      <c r="G41" s="196">
        <f t="shared" si="10"/>
        <v>7.2710938172294083E-6</v>
      </c>
      <c r="H41" s="123" t="s">
        <v>147</v>
      </c>
      <c r="I41" s="123"/>
      <c r="J41" s="197"/>
    </row>
    <row r="42" spans="1:18" ht="13.5" x14ac:dyDescent="0.25">
      <c r="A42" s="116">
        <f t="shared" si="9"/>
        <v>200</v>
      </c>
      <c r="B42" s="122" t="s">
        <v>72</v>
      </c>
      <c r="C42" s="117">
        <f>+A42</f>
        <v>200</v>
      </c>
      <c r="D42" s="118" t="s">
        <v>148</v>
      </c>
      <c r="E42" s="118">
        <v>0</v>
      </c>
      <c r="F42" s="118">
        <f>IFERROR(E42*C42,"")</f>
        <v>0</v>
      </c>
      <c r="G42" s="196">
        <f t="shared" si="10"/>
        <v>0</v>
      </c>
      <c r="H42" s="123"/>
      <c r="I42" s="123"/>
      <c r="J42" s="197"/>
    </row>
    <row r="43" spans="1:18" ht="13.5" x14ac:dyDescent="0.25">
      <c r="A43" s="116">
        <f t="shared" si="9"/>
        <v>0</v>
      </c>
      <c r="B43" s="122" t="str">
        <f>IFERROR(VLOOKUP(H43,[1]SEMIELABORADOS!$A$2:$M$6000,2,0),"")</f>
        <v/>
      </c>
      <c r="C43" s="117">
        <f t="shared" si="11"/>
        <v>0</v>
      </c>
      <c r="D43" s="118" t="str">
        <f>IFERROR(VLOOKUP(H43,[1]SEMIELABORADOS!$A$2:$M$6000,6,0),"")</f>
        <v/>
      </c>
      <c r="E43" s="118" t="str">
        <f>IFERROR(VLOOKUP(H43,[1]SEMIELABORADOS!$A$2:$M$65536,10,0),"")</f>
        <v/>
      </c>
      <c r="F43" s="118" t="str">
        <f t="shared" si="12"/>
        <v/>
      </c>
      <c r="G43" s="196" t="str">
        <f t="shared" si="10"/>
        <v/>
      </c>
      <c r="H43" s="123"/>
      <c r="I43" s="123"/>
      <c r="J43" s="197"/>
    </row>
    <row r="44" spans="1:18" ht="13.5" x14ac:dyDescent="0.25">
      <c r="A44" s="116">
        <f t="shared" si="9"/>
        <v>0</v>
      </c>
      <c r="B44" s="122" t="str">
        <f>IFERROR(VLOOKUP(H44,[1]SEMIELABORADOS!$A$2:$M$6000,2,0),"")</f>
        <v/>
      </c>
      <c r="C44" s="117">
        <f t="shared" si="11"/>
        <v>0</v>
      </c>
      <c r="D44" s="118" t="str">
        <f>IFERROR(VLOOKUP(H44,[1]SEMIELABORADOS!$A$2:$M$6000,6,0),"")</f>
        <v/>
      </c>
      <c r="E44" s="118" t="str">
        <f>IFERROR(VLOOKUP(H44,[1]SEMIELABORADOS!$A$2:$M$65536,10,0),"")</f>
        <v/>
      </c>
      <c r="F44" s="118" t="str">
        <f t="shared" si="12"/>
        <v/>
      </c>
      <c r="G44" s="196" t="str">
        <f t="shared" si="10"/>
        <v/>
      </c>
      <c r="H44" s="123"/>
      <c r="I44" s="123"/>
      <c r="J44" s="197"/>
    </row>
    <row r="45" spans="1:18" ht="14.25" thickBot="1" x14ac:dyDescent="0.3">
      <c r="A45" s="116"/>
      <c r="B45" s="122"/>
      <c r="C45" s="117"/>
      <c r="D45" s="118"/>
      <c r="E45" s="118"/>
      <c r="F45" s="118"/>
      <c r="G45" s="196"/>
      <c r="H45" s="123"/>
      <c r="I45" s="123"/>
      <c r="J45" s="197"/>
    </row>
    <row r="46" spans="1:18" ht="26.25" thickBot="1" x14ac:dyDescent="0.25">
      <c r="A46" s="111" t="s">
        <v>94</v>
      </c>
      <c r="B46" s="112" t="s">
        <v>107</v>
      </c>
      <c r="C46" s="112" t="s">
        <v>94</v>
      </c>
      <c r="D46" s="113" t="s">
        <v>96</v>
      </c>
      <c r="E46" s="113" t="s">
        <v>97</v>
      </c>
      <c r="F46" s="113" t="s">
        <v>98</v>
      </c>
      <c r="G46" s="113" t="s">
        <v>99</v>
      </c>
      <c r="H46" s="114" t="s">
        <v>100</v>
      </c>
      <c r="I46" s="115"/>
      <c r="J46" s="197"/>
    </row>
    <row r="47" spans="1:18" ht="13.5" x14ac:dyDescent="0.25">
      <c r="A47" s="116">
        <f>+A38</f>
        <v>1</v>
      </c>
      <c r="B47" s="122" t="s">
        <v>143</v>
      </c>
      <c r="C47" s="117">
        <f>+A47</f>
        <v>1</v>
      </c>
      <c r="D47" s="118" t="s">
        <v>150</v>
      </c>
      <c r="E47" s="118">
        <v>52.34</v>
      </c>
      <c r="F47" s="118">
        <f>IFERROR(E47*C47,"")</f>
        <v>52.34</v>
      </c>
      <c r="G47" s="196">
        <f>IFERROR(F47/$F$69,"")</f>
        <v>6.3871014096701676E-3</v>
      </c>
      <c r="H47" s="123" t="s">
        <v>145</v>
      </c>
      <c r="I47" s="115"/>
      <c r="J47" s="197"/>
    </row>
    <row r="48" spans="1:18" ht="13.5" x14ac:dyDescent="0.25">
      <c r="A48" s="116">
        <f t="shared" ref="A48:A53" si="13">+A39</f>
        <v>300</v>
      </c>
      <c r="B48" s="104" t="s">
        <v>66</v>
      </c>
      <c r="C48" s="117">
        <f t="shared" ref="C48:C53" si="14">+A48</f>
        <v>300</v>
      </c>
      <c r="D48" s="118" t="s">
        <v>102</v>
      </c>
      <c r="E48" s="118">
        <f>+'[4]COSTO CREMA '!$E$74</f>
        <v>3.0499999999999999E-2</v>
      </c>
      <c r="F48" s="118">
        <f t="shared" ref="F48:F53" si="15">IFERROR(E48*C48,"")</f>
        <v>9.15</v>
      </c>
      <c r="G48" s="196">
        <f t="shared" ref="G48:G53" si="16">IFERROR(F48/$F$69,"")</f>
        <v>1.1165834523974405E-3</v>
      </c>
      <c r="H48" s="123"/>
      <c r="I48" s="115"/>
      <c r="J48" s="197"/>
      <c r="M48" s="126"/>
    </row>
    <row r="49" spans="1:17" ht="13.5" x14ac:dyDescent="0.25">
      <c r="A49" s="116">
        <f t="shared" si="13"/>
        <v>20</v>
      </c>
      <c r="B49" s="104" t="s">
        <v>146</v>
      </c>
      <c r="C49" s="117">
        <f t="shared" si="14"/>
        <v>20</v>
      </c>
      <c r="D49" s="118" t="str">
        <f>IFERROR(VLOOKUP(H49,[1]SEMIELABORADOS!$A$2:$M$6000,6,0),"")</f>
        <v/>
      </c>
      <c r="E49" s="118">
        <f>+'[3]Costo manjar con agua '!$E$74</f>
        <v>0.20333333333333334</v>
      </c>
      <c r="F49" s="118">
        <f t="shared" si="15"/>
        <v>4.0666666666666664</v>
      </c>
      <c r="G49" s="196">
        <f t="shared" si="16"/>
        <v>4.962593121766401E-4</v>
      </c>
      <c r="H49" s="120">
        <v>905000108</v>
      </c>
      <c r="I49" s="115"/>
      <c r="J49" s="197"/>
    </row>
    <row r="50" spans="1:17" ht="13.5" x14ac:dyDescent="0.25">
      <c r="A50" s="116">
        <f t="shared" si="13"/>
        <v>700</v>
      </c>
      <c r="B50" s="122" t="str">
        <f>IFERROR(VLOOKUP(H50,[1]SEMIELABORADOS!$A$2:$M$6000,2,0),"")</f>
        <v>CREMA DULCE LECHE KILO</v>
      </c>
      <c r="C50" s="117">
        <f t="shared" si="14"/>
        <v>700</v>
      </c>
      <c r="D50" s="118" t="str">
        <f>IFERROR(VLOOKUP(H50,[1]SEMIELABORADOS!$A$2:$M$6000,6,0),"")</f>
        <v>Gramo</v>
      </c>
      <c r="E50" s="118">
        <v>0.01</v>
      </c>
      <c r="F50" s="118">
        <f t="shared" si="15"/>
        <v>7</v>
      </c>
      <c r="G50" s="196">
        <f t="shared" si="16"/>
        <v>8.5421684882864288E-4</v>
      </c>
      <c r="H50" s="123" t="s">
        <v>147</v>
      </c>
      <c r="I50" s="115"/>
      <c r="J50" s="197"/>
    </row>
    <row r="51" spans="1:17" ht="13.5" x14ac:dyDescent="0.25">
      <c r="A51" s="116">
        <f t="shared" si="13"/>
        <v>200</v>
      </c>
      <c r="B51" s="122" t="s">
        <v>72</v>
      </c>
      <c r="C51" s="117">
        <f t="shared" si="14"/>
        <v>200</v>
      </c>
      <c r="D51" s="118" t="str">
        <f>IFERROR(VLOOKUP(H51,[1]SEMIELABORADOS!$A$2:$M$6000,6,0),"")</f>
        <v/>
      </c>
      <c r="E51" s="118">
        <v>0.03</v>
      </c>
      <c r="F51" s="118">
        <f t="shared" si="15"/>
        <v>6</v>
      </c>
      <c r="G51" s="196">
        <f t="shared" si="16"/>
        <v>7.3218587042455101E-4</v>
      </c>
      <c r="H51" s="123"/>
      <c r="I51" s="115"/>
      <c r="J51" s="197"/>
    </row>
    <row r="52" spans="1:17" ht="13.5" hidden="1" x14ac:dyDescent="0.25">
      <c r="A52" s="116">
        <f t="shared" si="13"/>
        <v>0</v>
      </c>
      <c r="B52" s="122" t="str">
        <f>IFERROR(VLOOKUP(H52,[1]SEMIELABORADOS!$A$2:$M$6000,2,0),"")</f>
        <v/>
      </c>
      <c r="C52" s="117">
        <f t="shared" si="14"/>
        <v>0</v>
      </c>
      <c r="D52" s="118" t="str">
        <f>IFERROR(VLOOKUP(H52,[1]SEMIELABORADOS!$A$2:$M$6000,6,0),"")</f>
        <v/>
      </c>
      <c r="E52" s="118" t="str">
        <f>IFERROR(VLOOKUP(H52,[1]SEMIELABORADOS!$A$2:$M$65536,12,0),"")</f>
        <v/>
      </c>
      <c r="F52" s="118" t="str">
        <f t="shared" si="15"/>
        <v/>
      </c>
      <c r="G52" s="196" t="str">
        <f t="shared" si="16"/>
        <v/>
      </c>
      <c r="H52" s="123"/>
      <c r="I52" s="115"/>
      <c r="J52" s="197"/>
    </row>
    <row r="53" spans="1:17" ht="13.5" hidden="1" x14ac:dyDescent="0.25">
      <c r="A53" s="116">
        <f t="shared" si="13"/>
        <v>0</v>
      </c>
      <c r="B53" s="122" t="str">
        <f>IFERROR(VLOOKUP(H53,[1]SEMIELABORADOS!$A$2:$M$6000,2,0),"")</f>
        <v/>
      </c>
      <c r="C53" s="117">
        <f t="shared" si="14"/>
        <v>0</v>
      </c>
      <c r="D53" s="118" t="str">
        <f>IFERROR(VLOOKUP(H53,[1]SEMIELABORADOS!$A$2:$M$6000,6,0),"")</f>
        <v/>
      </c>
      <c r="E53" s="118" t="str">
        <f>IFERROR(VLOOKUP(H53,[1]SEMIELABORADOS!$A$2:$M$65536,12,0),"")</f>
        <v/>
      </c>
      <c r="F53" s="118" t="str">
        <f t="shared" si="15"/>
        <v/>
      </c>
      <c r="G53" s="196" t="str">
        <f t="shared" si="16"/>
        <v/>
      </c>
      <c r="H53" s="122"/>
      <c r="I53" s="115"/>
      <c r="J53" s="197"/>
    </row>
    <row r="54" spans="1:17" ht="13.5" x14ac:dyDescent="0.25">
      <c r="A54" s="116">
        <v>1</v>
      </c>
      <c r="B54" s="122" t="s">
        <v>108</v>
      </c>
      <c r="C54" s="117">
        <f>+A54</f>
        <v>1</v>
      </c>
      <c r="D54" s="117" t="s">
        <v>109</v>
      </c>
      <c r="E54" s="118">
        <f>+F68</f>
        <v>488</v>
      </c>
      <c r="F54" s="118">
        <f>IFERROR(C54*E54,"")</f>
        <v>488</v>
      </c>
      <c r="G54" s="196">
        <f>IFERROR(F54/$F$69,"")</f>
        <v>5.9551117461196817E-2</v>
      </c>
      <c r="H54" s="127"/>
      <c r="I54" s="127"/>
      <c r="J54" s="197"/>
    </row>
    <row r="55" spans="1:17" ht="14.25" thickBot="1" x14ac:dyDescent="0.3">
      <c r="A55" s="116"/>
      <c r="B55" s="122"/>
      <c r="C55" s="117"/>
      <c r="D55" s="117"/>
      <c r="E55" s="118"/>
      <c r="F55" s="118"/>
      <c r="G55" s="196"/>
      <c r="H55" s="127"/>
      <c r="I55" s="127"/>
      <c r="J55" s="197"/>
    </row>
    <row r="56" spans="1:17" ht="13.5" thickBot="1" x14ac:dyDescent="0.25">
      <c r="A56" s="128"/>
      <c r="B56" s="604" t="s">
        <v>110</v>
      </c>
      <c r="C56" s="604"/>
      <c r="D56" s="604"/>
      <c r="E56" s="604"/>
      <c r="F56" s="130">
        <f>SUM(F8:F14,F17:F24)</f>
        <v>5844.1564705882347</v>
      </c>
      <c r="G56" s="196">
        <f>+F56/$F$69</f>
        <v>0.71316813205248653</v>
      </c>
      <c r="H56" s="131">
        <f>+F56/$D$63</f>
        <v>5844.1564705882347</v>
      </c>
      <c r="I56" s="131"/>
      <c r="J56" s="198"/>
      <c r="K56" s="133"/>
      <c r="L56" s="133"/>
      <c r="M56" s="133"/>
      <c r="N56" s="133"/>
      <c r="O56" s="133"/>
      <c r="P56" s="133"/>
      <c r="Q56" s="134"/>
    </row>
    <row r="57" spans="1:17" x14ac:dyDescent="0.2">
      <c r="A57" s="128"/>
      <c r="B57" s="604" t="s">
        <v>111</v>
      </c>
      <c r="C57" s="604"/>
      <c r="D57" s="604"/>
      <c r="E57" s="604"/>
      <c r="F57" s="130">
        <f>SUM(F27:F35,F38:F44)</f>
        <v>1745.6009173333334</v>
      </c>
      <c r="G57" s="196">
        <f>+F57/$F$69</f>
        <v>0.21301738784526691</v>
      </c>
      <c r="H57" s="131">
        <f>+F57/$D$63</f>
        <v>1745.6009173333334</v>
      </c>
      <c r="I57" s="131"/>
      <c r="J57" s="135"/>
      <c r="K57" s="605" t="s">
        <v>112</v>
      </c>
      <c r="L57" s="606"/>
      <c r="M57" s="606"/>
      <c r="N57" s="606"/>
      <c r="O57" s="136">
        <f>+F58</f>
        <v>7589.7573879215679</v>
      </c>
      <c r="P57" s="136"/>
      <c r="Q57" s="137"/>
    </row>
    <row r="58" spans="1:17" x14ac:dyDescent="0.2">
      <c r="A58" s="128"/>
      <c r="B58" s="604" t="s">
        <v>113</v>
      </c>
      <c r="C58" s="604"/>
      <c r="D58" s="604"/>
      <c r="E58" s="604"/>
      <c r="F58" s="130">
        <f>+F56+F57</f>
        <v>7589.7573879215679</v>
      </c>
      <c r="G58" s="196">
        <f>+F58/$F$69</f>
        <v>0.92618551989775333</v>
      </c>
      <c r="H58" s="131">
        <f>+F58/$D$63</f>
        <v>7589.7573879215679</v>
      </c>
      <c r="I58" s="131"/>
      <c r="J58" s="199"/>
      <c r="K58" s="139"/>
      <c r="M58" s="140" t="s">
        <v>114</v>
      </c>
      <c r="N58" s="141"/>
      <c r="O58" s="136">
        <f>+H59</f>
        <v>566.55666666666662</v>
      </c>
      <c r="P58" s="136"/>
      <c r="Q58" s="137"/>
    </row>
    <row r="59" spans="1:17" ht="13.5" thickBot="1" x14ac:dyDescent="0.25">
      <c r="A59" s="128"/>
      <c r="B59" s="129"/>
      <c r="C59" s="604" t="s">
        <v>115</v>
      </c>
      <c r="D59" s="604"/>
      <c r="E59" s="604"/>
      <c r="F59" s="130">
        <f>SUM(F47:F54)</f>
        <v>566.55666666666662</v>
      </c>
      <c r="G59" s="196">
        <f>+F59/$F$69</f>
        <v>6.9137464354694256E-2</v>
      </c>
      <c r="H59" s="131">
        <f>+F59/$D$63</f>
        <v>566.55666666666662</v>
      </c>
      <c r="I59" s="131"/>
      <c r="J59" s="199"/>
      <c r="K59" s="139"/>
      <c r="L59" s="139"/>
      <c r="M59" s="139" t="s">
        <v>116</v>
      </c>
      <c r="N59" s="200"/>
      <c r="O59" s="136">
        <f>O57*N59</f>
        <v>0</v>
      </c>
      <c r="P59" s="136"/>
      <c r="Q59" s="137"/>
    </row>
    <row r="60" spans="1:17" ht="13.5" thickBot="1" x14ac:dyDescent="0.25">
      <c r="A60" s="128"/>
      <c r="B60" s="143"/>
      <c r="C60" s="143"/>
      <c r="D60" s="143"/>
      <c r="E60" s="143"/>
      <c r="F60" s="144"/>
      <c r="G60" s="196"/>
      <c r="H60" s="145"/>
      <c r="I60" s="131"/>
      <c r="J60" s="199"/>
      <c r="K60" s="146"/>
      <c r="M60" s="147" t="s">
        <v>117</v>
      </c>
      <c r="N60" s="148"/>
      <c r="O60" s="149">
        <f>SUM(O57:O59)</f>
        <v>8156.3140545882343</v>
      </c>
      <c r="P60" s="150"/>
      <c r="Q60" s="137"/>
    </row>
    <row r="61" spans="1:17" x14ac:dyDescent="0.2">
      <c r="B61" s="608" t="s">
        <v>118</v>
      </c>
      <c r="C61" s="608"/>
      <c r="D61" s="151">
        <v>3100</v>
      </c>
      <c r="E61" s="152"/>
      <c r="G61" s="196"/>
      <c r="H61" s="145">
        <f>+H59/61</f>
        <v>9.287814207650273</v>
      </c>
      <c r="I61" s="153"/>
      <c r="J61" s="199"/>
      <c r="K61" s="146"/>
      <c r="L61" s="139"/>
      <c r="M61" s="139" t="s">
        <v>119</v>
      </c>
      <c r="N61" s="201"/>
      <c r="O61" s="136">
        <f>+H62</f>
        <v>538.69322404371587</v>
      </c>
      <c r="P61" s="136"/>
      <c r="Q61" s="137"/>
    </row>
    <row r="62" spans="1:17" x14ac:dyDescent="0.2">
      <c r="B62" s="608" t="s">
        <v>120</v>
      </c>
      <c r="C62" s="608"/>
      <c r="D62" s="155">
        <v>3100</v>
      </c>
      <c r="E62" s="152"/>
      <c r="G62" s="196"/>
      <c r="H62" s="145">
        <f>+H61*58</f>
        <v>538.69322404371587</v>
      </c>
      <c r="I62" s="153"/>
      <c r="J62" s="199"/>
      <c r="K62" s="146"/>
      <c r="L62" s="139"/>
      <c r="M62" s="609" t="s">
        <v>117</v>
      </c>
      <c r="N62" s="609"/>
      <c r="O62" s="136">
        <f>SUM(O60:O61)</f>
        <v>8695.0072786319506</v>
      </c>
      <c r="P62" s="136"/>
      <c r="Q62" s="137"/>
    </row>
    <row r="63" spans="1:17" ht="13.5" thickBot="1" x14ac:dyDescent="0.25">
      <c r="B63" s="610" t="s">
        <v>121</v>
      </c>
      <c r="C63" s="610"/>
      <c r="D63" s="151">
        <f>+D61/D62</f>
        <v>1</v>
      </c>
      <c r="E63" s="152"/>
      <c r="F63" s="156"/>
      <c r="G63" s="196"/>
      <c r="H63" s="145"/>
      <c r="I63" s="153"/>
      <c r="J63" s="199"/>
      <c r="K63" s="146"/>
      <c r="L63" s="609"/>
      <c r="M63" s="609"/>
      <c r="N63" s="201"/>
      <c r="O63" s="136">
        <f>+O62*N63</f>
        <v>0</v>
      </c>
      <c r="P63" s="136"/>
      <c r="Q63" s="137"/>
    </row>
    <row r="64" spans="1:17" ht="13.5" thickBot="1" x14ac:dyDescent="0.25">
      <c r="B64" s="610" t="s">
        <v>122</v>
      </c>
      <c r="C64" s="610"/>
      <c r="D64" s="157"/>
      <c r="E64" s="152"/>
      <c r="F64" s="156"/>
      <c r="G64" s="196"/>
      <c r="H64" s="145"/>
      <c r="I64" s="153"/>
      <c r="J64" s="199"/>
      <c r="K64" s="611" t="s">
        <v>123</v>
      </c>
      <c r="L64" s="612"/>
      <c r="M64" s="612"/>
      <c r="N64" s="613"/>
      <c r="O64" s="149">
        <f>SUM(O62:O63)</f>
        <v>8695.0072786319506</v>
      </c>
      <c r="P64" s="158" t="s">
        <v>124</v>
      </c>
      <c r="Q64" s="137"/>
    </row>
    <row r="65" spans="2:17" ht="13.5" thickBot="1" x14ac:dyDescent="0.25">
      <c r="C65" s="128" t="s">
        <v>125</v>
      </c>
      <c r="D65" s="159"/>
      <c r="E65" s="102" t="s">
        <v>126</v>
      </c>
      <c r="F65" s="160" t="s">
        <v>127</v>
      </c>
      <c r="G65" s="196"/>
      <c r="H65" s="145"/>
      <c r="I65" s="153"/>
      <c r="J65" s="161"/>
      <c r="K65" s="162"/>
      <c r="L65" s="619" t="s">
        <v>128</v>
      </c>
      <c r="M65" s="619"/>
      <c r="N65" s="619"/>
      <c r="O65" s="163">
        <f>+O64/D63</f>
        <v>8695.0072786319506</v>
      </c>
      <c r="P65" s="164">
        <f>+O65/D62</f>
        <v>2.8048410576232099</v>
      </c>
      <c r="Q65" s="165"/>
    </row>
    <row r="66" spans="2:17" ht="13.5" thickBot="1" x14ac:dyDescent="0.25">
      <c r="B66" s="620" t="s">
        <v>113</v>
      </c>
      <c r="C66" s="620"/>
      <c r="D66" s="620"/>
      <c r="E66" s="202">
        <f>+F66/F66</f>
        <v>1</v>
      </c>
      <c r="F66" s="167">
        <f>SUM(F58)</f>
        <v>7589.7573879215679</v>
      </c>
      <c r="G66" s="196">
        <f>+F66/$F$69</f>
        <v>0.92618551989775333</v>
      </c>
      <c r="H66" s="145"/>
      <c r="I66" s="153"/>
      <c r="K66" s="621"/>
      <c r="L66" s="622"/>
      <c r="M66" s="622"/>
      <c r="N66" s="622"/>
      <c r="O66" s="168"/>
      <c r="P66" s="169"/>
    </row>
    <row r="67" spans="2:17" ht="13.5" thickBot="1" x14ac:dyDescent="0.25">
      <c r="B67" s="623" t="s">
        <v>129</v>
      </c>
      <c r="C67" s="623"/>
      <c r="D67" s="623"/>
      <c r="E67" s="170">
        <v>0.02</v>
      </c>
      <c r="F67" s="167">
        <f>+F56*E67</f>
        <v>116.8831294117647</v>
      </c>
      <c r="G67" s="196">
        <f>+F67/$F$69</f>
        <v>1.4263362641049731E-2</v>
      </c>
      <c r="H67" s="131"/>
      <c r="I67" s="153"/>
      <c r="J67" s="203"/>
      <c r="O67" s="172"/>
      <c r="P67" s="129"/>
    </row>
    <row r="68" spans="2:17" ht="13.5" thickBot="1" x14ac:dyDescent="0.25">
      <c r="B68" s="624" t="s">
        <v>130</v>
      </c>
      <c r="C68" s="625"/>
      <c r="D68" s="173">
        <v>8</v>
      </c>
      <c r="E68" s="174">
        <v>61</v>
      </c>
      <c r="F68" s="167">
        <f>+E68*D68</f>
        <v>488</v>
      </c>
      <c r="G68" s="196">
        <f>+F68/$F$69</f>
        <v>5.9551117461196817E-2</v>
      </c>
      <c r="H68" s="131"/>
      <c r="I68" s="131"/>
      <c r="J68" s="197"/>
    </row>
    <row r="69" spans="2:17" ht="13.5" thickBot="1" x14ac:dyDescent="0.25">
      <c r="B69" s="626" t="s">
        <v>131</v>
      </c>
      <c r="C69" s="627"/>
      <c r="D69" s="627"/>
      <c r="E69" s="628"/>
      <c r="F69" s="144">
        <f>SUM(F66:F68)</f>
        <v>8194.6405173333333</v>
      </c>
      <c r="G69" s="196">
        <f>+F69/$F$69</f>
        <v>1</v>
      </c>
      <c r="H69" s="607"/>
      <c r="I69" s="131"/>
      <c r="J69" s="197"/>
      <c r="M69" s="104" t="s">
        <v>132</v>
      </c>
    </row>
    <row r="70" spans="2:17" x14ac:dyDescent="0.2">
      <c r="C70" s="126"/>
      <c r="D70" s="126"/>
      <c r="E70" s="176"/>
      <c r="F70" s="167"/>
      <c r="G70" s="196"/>
      <c r="H70" s="607"/>
      <c r="I70" s="175"/>
      <c r="J70" s="104"/>
      <c r="M70" s="104" t="s">
        <v>133</v>
      </c>
    </row>
    <row r="71" spans="2:17" ht="13.5" thickBot="1" x14ac:dyDescent="0.25">
      <c r="B71" s="614" t="s">
        <v>134</v>
      </c>
      <c r="C71" s="614"/>
      <c r="D71" s="614"/>
      <c r="E71" s="614"/>
      <c r="F71" s="614"/>
      <c r="G71" s="196"/>
      <c r="H71" s="178"/>
      <c r="I71" s="175"/>
      <c r="J71" s="104"/>
      <c r="M71" s="104" t="s">
        <v>135</v>
      </c>
    </row>
    <row r="72" spans="2:17" ht="13.5" thickBot="1" x14ac:dyDescent="0.25">
      <c r="B72" s="179" t="s">
        <v>136</v>
      </c>
      <c r="C72" s="180">
        <f>+F56</f>
        <v>5844.1564705882347</v>
      </c>
      <c r="D72" s="180">
        <f>+D61</f>
        <v>3100</v>
      </c>
      <c r="E72" s="181">
        <f>+C72/D72</f>
        <v>1.8852117647058821</v>
      </c>
      <c r="F72" s="196"/>
      <c r="G72" s="178"/>
      <c r="H72" s="197"/>
      <c r="I72" s="178"/>
      <c r="J72" s="104"/>
    </row>
    <row r="73" spans="2:17" x14ac:dyDescent="0.2">
      <c r="B73" s="182"/>
      <c r="C73" s="183"/>
      <c r="D73" s="184"/>
      <c r="E73" s="167"/>
      <c r="F73" s="196"/>
      <c r="G73" s="178"/>
      <c r="H73" s="197"/>
      <c r="I73" s="197"/>
      <c r="J73" s="104"/>
    </row>
    <row r="74" spans="2:17" x14ac:dyDescent="0.2">
      <c r="B74" s="179" t="s">
        <v>137</v>
      </c>
      <c r="C74" s="180">
        <f>SUM(F66:F67)</f>
        <v>7706.6405173333324</v>
      </c>
      <c r="D74" s="180">
        <f>+D61</f>
        <v>3100</v>
      </c>
      <c r="E74" s="185">
        <f>+C74/D74</f>
        <v>2.4860130701075267</v>
      </c>
      <c r="F74" s="196"/>
      <c r="G74" s="178"/>
      <c r="H74" s="197"/>
      <c r="I74" s="197"/>
      <c r="J74" s="104"/>
    </row>
    <row r="75" spans="2:17" x14ac:dyDescent="0.2">
      <c r="B75" s="179"/>
      <c r="C75" s="180"/>
      <c r="D75" s="180"/>
      <c r="E75" s="185"/>
      <c r="F75" s="196"/>
      <c r="G75" s="178"/>
      <c r="H75" s="197"/>
      <c r="I75" s="197"/>
      <c r="J75" s="104"/>
    </row>
    <row r="76" spans="2:17" ht="13.5" thickBot="1" x14ac:dyDescent="0.25">
      <c r="B76" s="179" t="s">
        <v>138</v>
      </c>
      <c r="C76" s="180">
        <f>+F68</f>
        <v>488</v>
      </c>
      <c r="D76" s="180">
        <f>+D61</f>
        <v>3100</v>
      </c>
      <c r="E76" s="185">
        <f>+C76/D76</f>
        <v>0.15741935483870967</v>
      </c>
      <c r="F76" s="196"/>
      <c r="G76" s="178"/>
      <c r="H76" s="197"/>
      <c r="I76" s="197"/>
      <c r="J76" s="104"/>
    </row>
    <row r="77" spans="2:17" ht="13.5" thickBot="1" x14ac:dyDescent="0.25">
      <c r="B77" s="179" t="s">
        <v>139</v>
      </c>
      <c r="C77" s="180">
        <f>+F59</f>
        <v>566.55666666666662</v>
      </c>
      <c r="D77" s="180">
        <f>+D76</f>
        <v>3100</v>
      </c>
      <c r="E77" s="181">
        <f>+C77/D77</f>
        <v>0.18276021505376341</v>
      </c>
      <c r="F77" s="196"/>
      <c r="G77" s="178"/>
      <c r="H77" s="197"/>
      <c r="I77" s="197"/>
      <c r="J77" s="104"/>
    </row>
    <row r="78" spans="2:17" ht="13.5" thickBot="1" x14ac:dyDescent="0.25">
      <c r="B78" s="143"/>
      <c r="C78" s="144"/>
      <c r="D78" s="144"/>
      <c r="E78" s="185"/>
      <c r="F78" s="196"/>
      <c r="G78" s="178"/>
      <c r="H78" s="197"/>
      <c r="I78" s="197"/>
      <c r="J78" s="104"/>
    </row>
    <row r="79" spans="2:17" ht="13.5" thickBot="1" x14ac:dyDescent="0.25">
      <c r="B79" s="179" t="s">
        <v>140</v>
      </c>
      <c r="C79" s="180">
        <f>+F57</f>
        <v>1745.6009173333334</v>
      </c>
      <c r="D79" s="180">
        <f>+D77</f>
        <v>3100</v>
      </c>
      <c r="E79" s="181">
        <f>+C79/D79</f>
        <v>0.56309707010752696</v>
      </c>
      <c r="F79" s="196"/>
      <c r="G79" s="178"/>
      <c r="H79" s="197"/>
      <c r="I79" s="197"/>
      <c r="J79" s="197"/>
    </row>
    <row r="80" spans="2:17" ht="13.5" thickBot="1" x14ac:dyDescent="0.25">
      <c r="B80" s="143"/>
      <c r="C80" s="144"/>
      <c r="D80" s="144"/>
      <c r="E80" s="185"/>
      <c r="F80" s="196"/>
      <c r="G80" s="178"/>
      <c r="H80" s="197"/>
      <c r="I80" s="197"/>
    </row>
    <row r="81" spans="1:10" ht="13.5" thickBot="1" x14ac:dyDescent="0.25">
      <c r="B81" s="615" t="s">
        <v>141</v>
      </c>
      <c r="C81" s="616"/>
      <c r="D81" s="617"/>
      <c r="E81" s="181">
        <f>+E72+E77</f>
        <v>2.0679719797596454</v>
      </c>
      <c r="G81" s="196"/>
      <c r="H81" s="178"/>
      <c r="I81" s="197"/>
      <c r="J81" s="185"/>
    </row>
    <row r="82" spans="1:10" x14ac:dyDescent="0.2">
      <c r="I82" s="178"/>
      <c r="J82" s="104"/>
    </row>
    <row r="83" spans="1:10" ht="13.5" thickBot="1" x14ac:dyDescent="0.25">
      <c r="B83" s="614" t="s">
        <v>142</v>
      </c>
      <c r="C83" s="614"/>
      <c r="D83" s="614"/>
      <c r="E83" s="614"/>
      <c r="F83" s="614"/>
      <c r="G83" s="196"/>
      <c r="H83" s="178"/>
      <c r="J83" s="104"/>
    </row>
    <row r="84" spans="1:10" ht="13.5" thickBot="1" x14ac:dyDescent="0.25">
      <c r="B84" s="179" t="s">
        <v>136</v>
      </c>
      <c r="C84" s="180">
        <f>+C72</f>
        <v>5844.1564705882347</v>
      </c>
      <c r="D84" s="180">
        <f>+D63</f>
        <v>1</v>
      </c>
      <c r="E84" s="181">
        <f>+C84/D84</f>
        <v>5844.1564705882347</v>
      </c>
      <c r="F84" s="196"/>
      <c r="G84" s="178"/>
      <c r="H84" s="197"/>
      <c r="I84" s="178"/>
      <c r="J84" s="104"/>
    </row>
    <row r="85" spans="1:10" x14ac:dyDescent="0.2">
      <c r="B85" s="182"/>
      <c r="C85" s="183"/>
      <c r="D85" s="184"/>
      <c r="E85" s="167"/>
      <c r="F85" s="196"/>
      <c r="G85" s="178"/>
      <c r="H85" s="197"/>
      <c r="I85" s="197"/>
      <c r="J85" s="104"/>
    </row>
    <row r="86" spans="1:10" x14ac:dyDescent="0.2">
      <c r="B86" s="179" t="s">
        <v>137</v>
      </c>
      <c r="C86" s="180">
        <f>+C74</f>
        <v>7706.6405173333324</v>
      </c>
      <c r="D86" s="180">
        <f>+D63</f>
        <v>1</v>
      </c>
      <c r="E86" s="185">
        <f>+C86/D86</f>
        <v>7706.6405173333324</v>
      </c>
      <c r="F86" s="196"/>
      <c r="G86" s="178"/>
      <c r="H86" s="197"/>
      <c r="I86" s="197"/>
      <c r="J86" s="104"/>
    </row>
    <row r="87" spans="1:10" x14ac:dyDescent="0.2">
      <c r="B87" s="179"/>
      <c r="C87" s="180"/>
      <c r="D87" s="180"/>
      <c r="E87" s="185"/>
      <c r="F87" s="196"/>
      <c r="G87" s="178"/>
      <c r="H87" s="197"/>
      <c r="I87" s="197"/>
      <c r="J87" s="104"/>
    </row>
    <row r="88" spans="1:10" ht="13.5" thickBot="1" x14ac:dyDescent="0.25">
      <c r="B88" s="179" t="s">
        <v>139</v>
      </c>
      <c r="C88" s="180">
        <f>+C76</f>
        <v>488</v>
      </c>
      <c r="D88" s="180">
        <f>+D63</f>
        <v>1</v>
      </c>
      <c r="E88" s="185">
        <f>+C88/D88</f>
        <v>488</v>
      </c>
      <c r="F88" s="187"/>
      <c r="G88" s="177"/>
      <c r="H88" s="103"/>
      <c r="I88" s="197"/>
    </row>
    <row r="89" spans="1:10" ht="13.5" thickBot="1" x14ac:dyDescent="0.25">
      <c r="B89" s="179" t="s">
        <v>139</v>
      </c>
      <c r="C89" s="180">
        <f>+C77</f>
        <v>566.55666666666662</v>
      </c>
      <c r="D89" s="180">
        <f>+D88</f>
        <v>1</v>
      </c>
      <c r="E89" s="181">
        <f>+C89/D89</f>
        <v>566.55666666666662</v>
      </c>
      <c r="F89" s="204"/>
      <c r="G89" s="177"/>
      <c r="H89" s="103"/>
      <c r="I89" s="103"/>
    </row>
    <row r="90" spans="1:10" x14ac:dyDescent="0.2">
      <c r="I90" s="103"/>
    </row>
    <row r="91" spans="1:10" x14ac:dyDescent="0.2">
      <c r="A91" s="618"/>
      <c r="B91" s="618"/>
      <c r="C91" s="188"/>
      <c r="D91" s="188"/>
      <c r="E91" s="189"/>
      <c r="G91" s="205"/>
    </row>
    <row r="92" spans="1:10" x14ac:dyDescent="0.2">
      <c r="A92" s="122"/>
      <c r="B92" s="191"/>
      <c r="C92" s="192"/>
      <c r="D92" s="192"/>
      <c r="E92" s="193"/>
      <c r="G92" s="205"/>
    </row>
    <row r="93" spans="1:10" x14ac:dyDescent="0.2">
      <c r="A93" s="122"/>
      <c r="B93" s="191"/>
      <c r="C93" s="194"/>
      <c r="D93" s="194"/>
      <c r="E93" s="122"/>
      <c r="G93" s="205"/>
    </row>
    <row r="94" spans="1:10" x14ac:dyDescent="0.2">
      <c r="A94" s="122"/>
      <c r="B94" s="191"/>
      <c r="C94" s="195"/>
      <c r="D94" s="195"/>
      <c r="E94" s="122"/>
      <c r="G94" s="205"/>
    </row>
  </sheetData>
  <mergeCells count="30">
    <mergeCell ref="B71:F71"/>
    <mergeCell ref="B81:D81"/>
    <mergeCell ref="B83:F83"/>
    <mergeCell ref="A91:B91"/>
    <mergeCell ref="L65:N65"/>
    <mergeCell ref="B66:D66"/>
    <mergeCell ref="K66:N66"/>
    <mergeCell ref="B67:D67"/>
    <mergeCell ref="B68:C68"/>
    <mergeCell ref="B69:E69"/>
    <mergeCell ref="M62:N62"/>
    <mergeCell ref="B63:C63"/>
    <mergeCell ref="L63:M63"/>
    <mergeCell ref="B64:C64"/>
    <mergeCell ref="K64:N64"/>
    <mergeCell ref="B58:E58"/>
    <mergeCell ref="C59:E59"/>
    <mergeCell ref="H69:H70"/>
    <mergeCell ref="B61:C61"/>
    <mergeCell ref="B62:C62"/>
    <mergeCell ref="K32:L32"/>
    <mergeCell ref="K33:L33"/>
    <mergeCell ref="B56:E56"/>
    <mergeCell ref="B57:E57"/>
    <mergeCell ref="K57:N57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97DC-7786-4C2A-9F3F-7F45D1F9BBEF}">
  <dimension ref="A1:N43"/>
  <sheetViews>
    <sheetView workbookViewId="0">
      <selection activeCell="I21" sqref="I21"/>
    </sheetView>
  </sheetViews>
  <sheetFormatPr baseColWidth="10" defaultColWidth="11.42578125" defaultRowHeight="13.5" x14ac:dyDescent="0.25"/>
  <cols>
    <col min="1" max="1" width="11.42578125" style="1"/>
    <col min="2" max="2" width="16.140625" style="1" customWidth="1"/>
    <col min="3" max="3" width="13.140625" style="1" customWidth="1"/>
    <col min="4" max="4" width="40.5703125" style="1" customWidth="1"/>
    <col min="5" max="5" width="15.5703125" style="1" customWidth="1"/>
    <col min="6" max="6" width="11.42578125" style="1"/>
    <col min="7" max="7" width="13.140625" style="1" customWidth="1"/>
    <col min="8" max="8" width="12.5703125" style="1" customWidth="1"/>
    <col min="9" max="9" width="15.5703125" style="1" customWidth="1"/>
    <col min="10" max="10" width="16" style="1" customWidth="1"/>
    <col min="11" max="16384" width="11.42578125" style="1"/>
  </cols>
  <sheetData>
    <row r="1" spans="1:10" ht="15.75" x14ac:dyDescent="0.25">
      <c r="A1" s="368"/>
      <c r="B1" s="692"/>
      <c r="C1" s="693"/>
      <c r="D1" s="634" t="s">
        <v>24</v>
      </c>
      <c r="E1" s="634"/>
      <c r="F1" s="634"/>
      <c r="G1" s="634"/>
      <c r="H1" s="634"/>
      <c r="I1" s="5" t="s">
        <v>0</v>
      </c>
      <c r="J1" s="25" t="s">
        <v>255</v>
      </c>
    </row>
    <row r="2" spans="1:10" ht="16.5" thickBot="1" x14ac:dyDescent="0.3">
      <c r="A2" s="368"/>
      <c r="B2" s="694"/>
      <c r="C2" s="695"/>
      <c r="D2" s="636" t="s">
        <v>1</v>
      </c>
      <c r="E2" s="636"/>
      <c r="F2" s="636"/>
      <c r="G2" s="636"/>
      <c r="H2" s="636"/>
      <c r="I2" s="6" t="s">
        <v>2</v>
      </c>
      <c r="J2" s="24" t="s">
        <v>256</v>
      </c>
    </row>
    <row r="3" spans="1:10" ht="50.1" customHeight="1" thickBot="1" x14ac:dyDescent="0.3">
      <c r="A3" s="368"/>
      <c r="B3" s="694"/>
      <c r="C3" s="695"/>
      <c r="D3" s="698" t="s">
        <v>257</v>
      </c>
      <c r="E3" s="637"/>
      <c r="F3" s="637"/>
      <c r="G3" s="637"/>
      <c r="H3" s="638"/>
      <c r="I3" s="639" t="s">
        <v>3</v>
      </c>
      <c r="J3" s="642">
        <v>45383</v>
      </c>
    </row>
    <row r="4" spans="1:10" x14ac:dyDescent="0.25">
      <c r="A4" s="368"/>
      <c r="B4" s="694"/>
      <c r="C4" s="695"/>
      <c r="D4" s="369" t="s">
        <v>4</v>
      </c>
      <c r="E4" s="644" t="s">
        <v>73</v>
      </c>
      <c r="F4" s="645"/>
      <c r="G4" s="645"/>
      <c r="H4" s="646"/>
      <c r="I4" s="640"/>
      <c r="J4" s="643"/>
    </row>
    <row r="5" spans="1:10" ht="15" customHeight="1" thickBot="1" x14ac:dyDescent="0.3">
      <c r="A5" s="368"/>
      <c r="B5" s="696"/>
      <c r="C5" s="697"/>
      <c r="D5" s="370" t="s">
        <v>5</v>
      </c>
      <c r="E5" s="647" t="s">
        <v>55</v>
      </c>
      <c r="F5" s="648"/>
      <c r="G5" s="648"/>
      <c r="H5" s="649"/>
      <c r="I5" s="641"/>
      <c r="J5" s="643"/>
    </row>
    <row r="6" spans="1:10" ht="25.5" x14ac:dyDescent="0.25">
      <c r="A6" s="688" t="s">
        <v>6</v>
      </c>
      <c r="B6" s="688" t="s">
        <v>6</v>
      </c>
      <c r="C6" s="690" t="s">
        <v>56</v>
      </c>
      <c r="D6" s="652" t="s">
        <v>7</v>
      </c>
      <c r="E6" s="652" t="s">
        <v>8</v>
      </c>
      <c r="F6" s="652" t="s">
        <v>9</v>
      </c>
      <c r="G6" s="652"/>
      <c r="H6" s="652" t="s">
        <v>10</v>
      </c>
      <c r="I6" s="652"/>
      <c r="J6" s="2" t="s">
        <v>11</v>
      </c>
    </row>
    <row r="7" spans="1:10" ht="27" thickBot="1" x14ac:dyDescent="0.3">
      <c r="A7" s="689"/>
      <c r="B7" s="689"/>
      <c r="C7" s="691"/>
      <c r="D7" s="654"/>
      <c r="E7" s="654"/>
      <c r="F7" s="3" t="s">
        <v>12</v>
      </c>
      <c r="G7" s="4" t="s">
        <v>13</v>
      </c>
      <c r="H7" s="3" t="s">
        <v>12</v>
      </c>
      <c r="I7" s="4" t="s">
        <v>13</v>
      </c>
      <c r="J7" s="28" t="s">
        <v>14</v>
      </c>
    </row>
    <row r="8" spans="1:10" x14ac:dyDescent="0.25">
      <c r="A8" s="371" t="s">
        <v>226</v>
      </c>
      <c r="B8" s="372"/>
      <c r="C8" s="372"/>
      <c r="D8" s="43"/>
      <c r="E8" s="373"/>
      <c r="F8" s="11"/>
      <c r="G8" s="12"/>
      <c r="H8" s="10"/>
      <c r="I8" s="11"/>
      <c r="J8" s="29"/>
    </row>
    <row r="9" spans="1:10" ht="15.75" x14ac:dyDescent="0.25">
      <c r="A9" s="371">
        <v>310148</v>
      </c>
      <c r="B9" s="357">
        <v>310148</v>
      </c>
      <c r="C9" s="340" t="s">
        <v>258</v>
      </c>
      <c r="D9" s="358" t="s">
        <v>227</v>
      </c>
      <c r="E9" s="374" t="s">
        <v>228</v>
      </c>
      <c r="F9" s="375">
        <v>12800</v>
      </c>
      <c r="G9" s="27" t="s">
        <v>28</v>
      </c>
      <c r="H9" s="699"/>
      <c r="I9" s="700"/>
      <c r="J9" s="362"/>
    </row>
    <row r="10" spans="1:10" ht="15.75" x14ac:dyDescent="0.25">
      <c r="A10" s="371">
        <v>11400031</v>
      </c>
      <c r="B10" s="357">
        <v>11400031</v>
      </c>
      <c r="C10" s="340" t="s">
        <v>216</v>
      </c>
      <c r="D10" s="358" t="s">
        <v>217</v>
      </c>
      <c r="E10" s="374" t="s">
        <v>228</v>
      </c>
      <c r="F10" s="375">
        <v>3200</v>
      </c>
      <c r="G10" s="27" t="s">
        <v>28</v>
      </c>
      <c r="H10" s="699"/>
      <c r="I10" s="700"/>
      <c r="J10" s="362"/>
    </row>
    <row r="11" spans="1:10" ht="15.75" x14ac:dyDescent="0.25">
      <c r="A11" s="371">
        <v>10415</v>
      </c>
      <c r="B11" s="40" t="s">
        <v>173</v>
      </c>
      <c r="C11" s="40"/>
      <c r="D11" s="416" t="s">
        <v>174</v>
      </c>
      <c r="E11" s="374" t="s">
        <v>231</v>
      </c>
      <c r="F11" s="375">
        <v>800</v>
      </c>
      <c r="G11" s="27" t="s">
        <v>28</v>
      </c>
      <c r="H11" s="375"/>
      <c r="I11" s="290"/>
      <c r="J11" s="362"/>
    </row>
    <row r="12" spans="1:10" ht="15.75" x14ac:dyDescent="0.25">
      <c r="A12" s="371">
        <v>1212410</v>
      </c>
      <c r="B12" s="357">
        <v>1212410</v>
      </c>
      <c r="C12" s="340" t="s">
        <v>196</v>
      </c>
      <c r="D12" s="358" t="s">
        <v>220</v>
      </c>
      <c r="E12" s="374" t="s">
        <v>221</v>
      </c>
      <c r="F12" s="375">
        <v>12</v>
      </c>
      <c r="G12" s="27" t="s">
        <v>28</v>
      </c>
      <c r="H12" s="375"/>
      <c r="I12" s="290"/>
      <c r="J12" s="362"/>
    </row>
    <row r="13" spans="1:10" ht="15.75" x14ac:dyDescent="0.25">
      <c r="A13" s="371">
        <v>702069</v>
      </c>
      <c r="B13" s="357">
        <v>702123</v>
      </c>
      <c r="C13" s="357" t="s">
        <v>62</v>
      </c>
      <c r="D13" s="358" t="s">
        <v>47</v>
      </c>
      <c r="E13" s="374" t="s">
        <v>81</v>
      </c>
      <c r="F13" s="375">
        <v>1</v>
      </c>
      <c r="G13" s="376" t="s">
        <v>36</v>
      </c>
      <c r="H13" s="8"/>
      <c r="I13" s="9"/>
      <c r="J13" s="362"/>
    </row>
    <row r="14" spans="1:10" ht="16.5" thickBot="1" x14ac:dyDescent="0.3">
      <c r="A14" s="368"/>
      <c r="B14" s="377"/>
      <c r="C14" s="377"/>
      <c r="D14" s="378"/>
      <c r="E14" s="379"/>
      <c r="F14" s="380"/>
      <c r="G14" s="381"/>
      <c r="H14" s="382"/>
      <c r="I14" s="383"/>
      <c r="J14" s="384"/>
    </row>
    <row r="15" spans="1:10" ht="15.75" x14ac:dyDescent="0.25">
      <c r="B15" s="385"/>
      <c r="C15" s="386"/>
      <c r="D15" s="387"/>
      <c r="E15" s="388"/>
      <c r="F15" s="389"/>
      <c r="G15" s="390"/>
      <c r="H15" s="391"/>
      <c r="I15" s="392"/>
      <c r="J15" s="393"/>
    </row>
    <row r="16" spans="1:10" ht="15.75" x14ac:dyDescent="0.25">
      <c r="B16" s="394"/>
      <c r="C16" s="395"/>
      <c r="D16" s="396"/>
      <c r="E16" s="397"/>
      <c r="F16" s="398"/>
      <c r="G16" s="399"/>
      <c r="H16" s="400"/>
      <c r="I16" s="401"/>
      <c r="J16" s="402"/>
    </row>
    <row r="17" spans="2:14" ht="15.75" x14ac:dyDescent="0.25">
      <c r="B17" s="394"/>
      <c r="C17" s="395"/>
      <c r="D17" s="396"/>
      <c r="E17" s="397"/>
      <c r="F17" s="398"/>
      <c r="G17" s="399"/>
      <c r="H17" s="400"/>
      <c r="I17" s="401"/>
      <c r="J17" s="402"/>
    </row>
    <row r="18" spans="2:14" ht="15.75" x14ac:dyDescent="0.25">
      <c r="B18" s="394"/>
      <c r="C18" s="395"/>
      <c r="D18" s="396"/>
      <c r="E18" s="397"/>
      <c r="F18" s="398"/>
      <c r="G18" s="399"/>
      <c r="H18" s="400"/>
      <c r="I18" s="401"/>
      <c r="J18" s="402"/>
    </row>
    <row r="19" spans="2:14" ht="15.75" x14ac:dyDescent="0.25">
      <c r="B19" s="394"/>
      <c r="C19" s="395"/>
      <c r="D19" s="396"/>
      <c r="E19" s="397"/>
      <c r="F19" s="398"/>
      <c r="G19" s="399"/>
      <c r="H19" s="400"/>
      <c r="I19" s="401"/>
      <c r="J19" s="402"/>
    </row>
    <row r="20" spans="2:14" ht="15.75" x14ac:dyDescent="0.25">
      <c r="B20" s="394"/>
      <c r="C20" s="395"/>
      <c r="D20" s="396"/>
      <c r="E20" s="397"/>
      <c r="F20" s="398"/>
      <c r="G20" s="399"/>
      <c r="H20" s="400"/>
      <c r="I20" s="401"/>
      <c r="J20" s="402"/>
    </row>
    <row r="21" spans="2:14" ht="15.75" x14ac:dyDescent="0.25">
      <c r="B21" s="394"/>
      <c r="C21" s="395"/>
      <c r="D21" s="396"/>
      <c r="E21" s="397"/>
      <c r="F21" s="398"/>
      <c r="G21" s="399"/>
      <c r="H21" s="400"/>
      <c r="I21" s="401"/>
      <c r="J21" s="402"/>
    </row>
    <row r="22" spans="2:14" ht="15.75" x14ac:dyDescent="0.25">
      <c r="B22" s="394"/>
      <c r="C22" s="395"/>
      <c r="D22" s="396"/>
      <c r="E22" s="397"/>
      <c r="F22" s="398"/>
      <c r="G22" s="399"/>
      <c r="H22" s="400"/>
      <c r="I22" s="401"/>
      <c r="J22" s="402"/>
    </row>
    <row r="23" spans="2:14" ht="15.75" x14ac:dyDescent="0.25">
      <c r="B23" s="394"/>
      <c r="C23" s="395"/>
      <c r="D23" s="396"/>
      <c r="E23" s="397"/>
      <c r="F23" s="398"/>
      <c r="G23" s="399"/>
      <c r="H23" s="400"/>
      <c r="I23" s="401"/>
      <c r="J23" s="402"/>
    </row>
    <row r="24" spans="2:14" ht="15.75" x14ac:dyDescent="0.25">
      <c r="B24" s="394"/>
      <c r="C24" s="395"/>
      <c r="D24" s="396"/>
      <c r="E24" s="397"/>
      <c r="F24" s="398"/>
      <c r="G24" s="399"/>
      <c r="H24" s="400"/>
      <c r="I24" s="401"/>
      <c r="J24" s="402"/>
    </row>
    <row r="25" spans="2:14" ht="15.75" x14ac:dyDescent="0.25">
      <c r="B25" s="394"/>
      <c r="C25" s="395"/>
      <c r="D25" s="396"/>
      <c r="E25" s="397"/>
      <c r="F25" s="398"/>
      <c r="G25" s="399"/>
      <c r="H25" s="400"/>
      <c r="I25" s="401"/>
      <c r="J25" s="402"/>
    </row>
    <row r="26" spans="2:14" ht="15.75" thickBot="1" x14ac:dyDescent="0.3">
      <c r="B26" s="403"/>
      <c r="C26" s="404"/>
      <c r="D26" s="405"/>
      <c r="E26" s="406"/>
      <c r="F26" s="407"/>
      <c r="G26" s="407"/>
      <c r="H26" s="407"/>
      <c r="I26" s="407"/>
      <c r="J26" s="408"/>
    </row>
    <row r="27" spans="2:14" ht="14.25" thickBot="1" x14ac:dyDescent="0.3">
      <c r="B27" s="364"/>
      <c r="C27" s="365"/>
      <c r="F27" s="38"/>
      <c r="G27" s="37"/>
      <c r="J27" s="13"/>
      <c r="M27" s="14"/>
    </row>
    <row r="28" spans="2:14" ht="14.25" thickBot="1" x14ac:dyDescent="0.3">
      <c r="B28" s="15"/>
      <c r="C28" s="51"/>
      <c r="D28" s="16"/>
      <c r="E28" s="17" t="s">
        <v>12</v>
      </c>
      <c r="F28" s="18" t="s">
        <v>15</v>
      </c>
      <c r="G28" s="19"/>
      <c r="H28" s="16"/>
      <c r="I28" s="16"/>
      <c r="J28" s="20"/>
      <c r="M28" s="14"/>
    </row>
    <row r="29" spans="2:14" x14ac:dyDescent="0.25">
      <c r="B29" s="655" t="s">
        <v>16</v>
      </c>
      <c r="C29" s="656"/>
      <c r="D29" s="657"/>
      <c r="E29" s="8">
        <f>SUM(F9:F12)-E33</f>
        <v>16597</v>
      </c>
      <c r="F29" s="21" t="s">
        <v>28</v>
      </c>
      <c r="G29" s="658" t="s">
        <v>25</v>
      </c>
      <c r="H29" s="658"/>
      <c r="I29" s="659">
        <v>16597</v>
      </c>
      <c r="J29" s="660"/>
      <c r="M29" s="14"/>
    </row>
    <row r="30" spans="2:14" x14ac:dyDescent="0.25">
      <c r="B30" s="553" t="s">
        <v>17</v>
      </c>
      <c r="C30" s="554"/>
      <c r="D30" s="555"/>
      <c r="E30" s="68">
        <v>10</v>
      </c>
      <c r="F30" s="11" t="s">
        <v>37</v>
      </c>
      <c r="G30" s="669" t="s">
        <v>18</v>
      </c>
      <c r="H30" s="669"/>
      <c r="I30" s="670"/>
      <c r="J30" s="671"/>
      <c r="M30" s="14"/>
    </row>
    <row r="31" spans="2:14" x14ac:dyDescent="0.25">
      <c r="B31" s="553" t="s">
        <v>19</v>
      </c>
      <c r="C31" s="554"/>
      <c r="D31" s="555"/>
      <c r="E31" s="11">
        <v>1</v>
      </c>
      <c r="F31" s="11" t="s">
        <v>232</v>
      </c>
      <c r="G31" s="669" t="s">
        <v>26</v>
      </c>
      <c r="H31" s="669"/>
      <c r="I31" s="670"/>
      <c r="J31" s="671"/>
      <c r="M31" s="14"/>
    </row>
    <row r="32" spans="2:14" x14ac:dyDescent="0.25">
      <c r="B32" s="553" t="s">
        <v>20</v>
      </c>
      <c r="C32" s="554"/>
      <c r="D32" s="555"/>
      <c r="E32" s="10">
        <f>E29</f>
        <v>16597</v>
      </c>
      <c r="F32" s="11" t="s">
        <v>28</v>
      </c>
      <c r="G32" s="672" t="s">
        <v>21</v>
      </c>
      <c r="H32" s="673"/>
      <c r="I32" s="670"/>
      <c r="J32" s="671"/>
      <c r="M32" s="14"/>
      <c r="N32" s="236"/>
    </row>
    <row r="33" spans="2:13" ht="14.25" thickBot="1" x14ac:dyDescent="0.3">
      <c r="B33" s="661" t="s">
        <v>22</v>
      </c>
      <c r="C33" s="544"/>
      <c r="D33" s="662"/>
      <c r="E33" s="36">
        <v>215</v>
      </c>
      <c r="F33" s="35" t="s">
        <v>28</v>
      </c>
      <c r="G33" s="663"/>
      <c r="H33" s="663"/>
      <c r="I33" s="664"/>
      <c r="J33" s="665"/>
      <c r="M33" s="14"/>
    </row>
    <row r="34" spans="2:13" ht="14.25" thickBot="1" x14ac:dyDescent="0.3">
      <c r="B34" s="678" t="s">
        <v>23</v>
      </c>
      <c r="C34" s="679"/>
      <c r="D34" s="679"/>
      <c r="E34" s="679"/>
      <c r="F34" s="679"/>
      <c r="G34" s="679"/>
      <c r="H34" s="679"/>
      <c r="I34" s="679"/>
      <c r="J34" s="680"/>
    </row>
    <row r="35" spans="2:13" ht="16.5" customHeight="1" x14ac:dyDescent="0.25">
      <c r="B35" s="704" t="s">
        <v>233</v>
      </c>
      <c r="C35" s="705"/>
      <c r="D35" s="705"/>
      <c r="E35" s="705"/>
      <c r="F35" s="705"/>
      <c r="G35" s="705"/>
      <c r="H35" s="705"/>
      <c r="I35" s="705"/>
      <c r="J35" s="706"/>
    </row>
    <row r="36" spans="2:13" ht="16.5" customHeight="1" x14ac:dyDescent="0.25">
      <c r="B36" s="704" t="s">
        <v>234</v>
      </c>
      <c r="C36" s="705"/>
      <c r="D36" s="705"/>
      <c r="E36" s="705"/>
      <c r="F36" s="705"/>
      <c r="G36" s="705"/>
      <c r="H36" s="705"/>
      <c r="I36" s="705"/>
      <c r="J36" s="706"/>
    </row>
    <row r="37" spans="2:13" ht="16.5" customHeight="1" x14ac:dyDescent="0.25">
      <c r="B37" s="704" t="s">
        <v>235</v>
      </c>
      <c r="C37" s="705"/>
      <c r="D37" s="705"/>
      <c r="E37" s="705"/>
      <c r="F37" s="705"/>
      <c r="G37" s="705"/>
      <c r="H37" s="705"/>
      <c r="I37" s="705"/>
      <c r="J37" s="706"/>
    </row>
    <row r="38" spans="2:13" ht="16.5" customHeight="1" x14ac:dyDescent="0.25">
      <c r="B38" s="704" t="s">
        <v>236</v>
      </c>
      <c r="C38" s="705"/>
      <c r="D38" s="705"/>
      <c r="E38" s="705"/>
      <c r="F38" s="705"/>
      <c r="G38" s="705"/>
      <c r="H38" s="705"/>
      <c r="I38" s="705"/>
      <c r="J38" s="706"/>
    </row>
    <row r="39" spans="2:13" ht="16.5" customHeight="1" thickBot="1" x14ac:dyDescent="0.3">
      <c r="B39" s="704" t="s">
        <v>237</v>
      </c>
      <c r="C39" s="705"/>
      <c r="D39" s="705"/>
      <c r="E39" s="705"/>
      <c r="F39" s="705"/>
      <c r="G39" s="705"/>
      <c r="H39" s="705"/>
      <c r="I39" s="705"/>
      <c r="J39" s="706"/>
    </row>
    <row r="40" spans="2:13" ht="16.5" customHeight="1" x14ac:dyDescent="0.25">
      <c r="B40" s="701" t="s">
        <v>238</v>
      </c>
      <c r="C40" s="702"/>
      <c r="D40" s="702"/>
      <c r="E40" s="702"/>
      <c r="F40" s="702"/>
      <c r="G40" s="702"/>
      <c r="H40" s="702"/>
      <c r="I40" s="702"/>
      <c r="J40" s="703"/>
    </row>
    <row r="41" spans="2:13" x14ac:dyDescent="0.25">
      <c r="B41" s="409" t="s">
        <v>259</v>
      </c>
      <c r="C41" s="410"/>
      <c r="D41" s="410"/>
      <c r="E41" s="410"/>
      <c r="F41" s="410"/>
      <c r="G41" s="410"/>
      <c r="H41" s="410"/>
      <c r="I41" s="410"/>
      <c r="J41" s="411"/>
    </row>
    <row r="42" spans="2:13" x14ac:dyDescent="0.25">
      <c r="B42" s="409" t="s">
        <v>260</v>
      </c>
      <c r="C42" s="410"/>
      <c r="D42" s="412"/>
      <c r="E42" s="410"/>
      <c r="F42" s="410"/>
      <c r="G42" s="410"/>
      <c r="H42" s="410"/>
      <c r="I42" s="410"/>
      <c r="J42" s="411"/>
    </row>
    <row r="43" spans="2:13" x14ac:dyDescent="0.25">
      <c r="B43" s="413" t="s">
        <v>261</v>
      </c>
      <c r="C43" s="414"/>
      <c r="D43" s="414"/>
      <c r="E43" s="414"/>
      <c r="F43" s="414"/>
      <c r="G43" s="414"/>
      <c r="H43" s="414"/>
      <c r="I43" s="414"/>
      <c r="J43" s="415"/>
    </row>
  </sheetData>
  <mergeCells count="39">
    <mergeCell ref="B40:J40"/>
    <mergeCell ref="B34:J34"/>
    <mergeCell ref="B35:J35"/>
    <mergeCell ref="B36:J36"/>
    <mergeCell ref="B37:J37"/>
    <mergeCell ref="B38:J38"/>
    <mergeCell ref="B39:J39"/>
    <mergeCell ref="B32:D32"/>
    <mergeCell ref="G32:H32"/>
    <mergeCell ref="I32:J32"/>
    <mergeCell ref="B33:D33"/>
    <mergeCell ref="G33:H33"/>
    <mergeCell ref="I33:J33"/>
    <mergeCell ref="B30:D30"/>
    <mergeCell ref="G30:H30"/>
    <mergeCell ref="I30:J30"/>
    <mergeCell ref="B31:D31"/>
    <mergeCell ref="G31:H31"/>
    <mergeCell ref="I31:J31"/>
    <mergeCell ref="H9:I9"/>
    <mergeCell ref="H10:I10"/>
    <mergeCell ref="B29:D29"/>
    <mergeCell ref="G29:H29"/>
    <mergeCell ref="I29:J29"/>
    <mergeCell ref="J3:J5"/>
    <mergeCell ref="E4:H4"/>
    <mergeCell ref="E5:H5"/>
    <mergeCell ref="A6:A7"/>
    <mergeCell ref="B6:B7"/>
    <mergeCell ref="C6:C7"/>
    <mergeCell ref="D6:D7"/>
    <mergeCell ref="E6:E7"/>
    <mergeCell ref="F6:G6"/>
    <mergeCell ref="H6:I6"/>
    <mergeCell ref="B1:C5"/>
    <mergeCell ref="D1:H1"/>
    <mergeCell ref="D2:H2"/>
    <mergeCell ref="D3:H3"/>
    <mergeCell ref="I3:I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E8BB-7211-48E1-A8B9-AC2E0C537FE1}">
  <dimension ref="B1:N28"/>
  <sheetViews>
    <sheetView workbookViewId="0">
      <selection activeCell="D6" sqref="D6:D7"/>
    </sheetView>
  </sheetViews>
  <sheetFormatPr baseColWidth="10" defaultColWidth="11.42578125" defaultRowHeight="13.5" x14ac:dyDescent="0.25"/>
  <cols>
    <col min="1" max="1" width="11.42578125" style="1"/>
    <col min="2" max="2" width="16.140625" style="1" customWidth="1"/>
    <col min="3" max="3" width="13.5703125" style="1" customWidth="1"/>
    <col min="4" max="4" width="40.5703125" style="1" customWidth="1"/>
    <col min="5" max="5" width="15.5703125" style="1" customWidth="1"/>
    <col min="6" max="6" width="11.42578125" style="1"/>
    <col min="7" max="7" width="13.140625" style="1" customWidth="1"/>
    <col min="8" max="8" width="12.5703125" style="1" customWidth="1"/>
    <col min="9" max="9" width="15.5703125" style="1" customWidth="1"/>
    <col min="10" max="10" width="16" style="1" customWidth="1"/>
    <col min="11" max="16384" width="11.42578125" style="1"/>
  </cols>
  <sheetData>
    <row r="1" spans="2:14" ht="15.75" x14ac:dyDescent="0.25">
      <c r="B1" s="709"/>
      <c r="C1" s="693"/>
      <c r="D1" s="634" t="s">
        <v>24</v>
      </c>
      <c r="E1" s="634"/>
      <c r="F1" s="634"/>
      <c r="G1" s="634"/>
      <c r="H1" s="634"/>
      <c r="I1" s="5" t="s">
        <v>0</v>
      </c>
      <c r="J1" s="25" t="s">
        <v>239</v>
      </c>
    </row>
    <row r="2" spans="2:14" ht="16.5" thickBot="1" x14ac:dyDescent="0.3">
      <c r="B2" s="710"/>
      <c r="C2" s="695"/>
      <c r="D2" s="636" t="s">
        <v>1</v>
      </c>
      <c r="E2" s="636"/>
      <c r="F2" s="636"/>
      <c r="G2" s="636"/>
      <c r="H2" s="636"/>
      <c r="I2" s="6" t="s">
        <v>2</v>
      </c>
      <c r="J2" s="24" t="s">
        <v>208</v>
      </c>
    </row>
    <row r="3" spans="2:14" ht="50.1" customHeight="1" thickBot="1" x14ac:dyDescent="0.3">
      <c r="B3" s="710"/>
      <c r="C3" s="695"/>
      <c r="D3" s="698" t="s">
        <v>240</v>
      </c>
      <c r="E3" s="637"/>
      <c r="F3" s="637"/>
      <c r="G3" s="637"/>
      <c r="H3" s="638"/>
      <c r="I3" s="639" t="s">
        <v>3</v>
      </c>
      <c r="J3" s="642" t="s">
        <v>241</v>
      </c>
    </row>
    <row r="4" spans="2:14" x14ac:dyDescent="0.25">
      <c r="B4" s="710"/>
      <c r="C4" s="695"/>
      <c r="D4" s="369" t="s">
        <v>4</v>
      </c>
      <c r="E4" s="644" t="s">
        <v>73</v>
      </c>
      <c r="F4" s="645"/>
      <c r="G4" s="645"/>
      <c r="H4" s="646"/>
      <c r="I4" s="640"/>
      <c r="J4" s="643"/>
    </row>
    <row r="5" spans="2:14" ht="15" customHeight="1" thickBot="1" x14ac:dyDescent="0.3">
      <c r="B5" s="711"/>
      <c r="C5" s="697"/>
      <c r="D5" s="370" t="s">
        <v>5</v>
      </c>
      <c r="E5" s="647" t="s">
        <v>55</v>
      </c>
      <c r="F5" s="648"/>
      <c r="G5" s="648"/>
      <c r="H5" s="649"/>
      <c r="I5" s="641"/>
      <c r="J5" s="643"/>
    </row>
    <row r="6" spans="2:14" ht="25.5" x14ac:dyDescent="0.25">
      <c r="B6" s="707" t="s">
        <v>6</v>
      </c>
      <c r="C6" s="690" t="s">
        <v>56</v>
      </c>
      <c r="D6" s="652" t="s">
        <v>7</v>
      </c>
      <c r="E6" s="652" t="s">
        <v>8</v>
      </c>
      <c r="F6" s="652" t="s">
        <v>9</v>
      </c>
      <c r="G6" s="652"/>
      <c r="H6" s="652" t="s">
        <v>10</v>
      </c>
      <c r="I6" s="652"/>
      <c r="J6" s="2" t="s">
        <v>11</v>
      </c>
    </row>
    <row r="7" spans="2:14" ht="27" thickBot="1" x14ac:dyDescent="0.3">
      <c r="B7" s="708"/>
      <c r="C7" s="691"/>
      <c r="D7" s="654"/>
      <c r="E7" s="654"/>
      <c r="F7" s="3" t="s">
        <v>12</v>
      </c>
      <c r="G7" s="4" t="s">
        <v>13</v>
      </c>
      <c r="H7" s="3" t="s">
        <v>12</v>
      </c>
      <c r="I7" s="4" t="s">
        <v>13</v>
      </c>
      <c r="J7" s="28" t="s">
        <v>14</v>
      </c>
    </row>
    <row r="8" spans="2:14" x14ac:dyDescent="0.25">
      <c r="B8" s="340">
        <v>95717</v>
      </c>
      <c r="C8" s="340" t="s">
        <v>242</v>
      </c>
      <c r="D8" t="s">
        <v>243</v>
      </c>
      <c r="E8" s="373" t="s">
        <v>42</v>
      </c>
      <c r="F8" s="11">
        <v>10400</v>
      </c>
      <c r="G8" s="12" t="s">
        <v>28</v>
      </c>
      <c r="H8" s="10"/>
      <c r="I8" s="11"/>
      <c r="J8" s="29"/>
    </row>
    <row r="9" spans="2:14" ht="15.75" x14ac:dyDescent="0.25">
      <c r="B9" s="40">
        <v>10400001</v>
      </c>
      <c r="C9" s="40" t="s">
        <v>244</v>
      </c>
      <c r="D9" s="41" t="s">
        <v>245</v>
      </c>
      <c r="E9" s="374" t="s">
        <v>246</v>
      </c>
      <c r="F9" s="380">
        <v>100</v>
      </c>
      <c r="G9" s="381" t="s">
        <v>28</v>
      </c>
      <c r="H9" s="8"/>
      <c r="I9" s="9"/>
      <c r="J9" s="7"/>
    </row>
    <row r="10" spans="2:14" ht="15.75" x14ac:dyDescent="0.25">
      <c r="B10" s="40">
        <v>10400006</v>
      </c>
      <c r="C10" s="40" t="s">
        <v>247</v>
      </c>
      <c r="D10" s="41" t="s">
        <v>248</v>
      </c>
      <c r="E10" s="374" t="s">
        <v>246</v>
      </c>
      <c r="F10" s="380">
        <v>100</v>
      </c>
      <c r="G10" s="381" t="s">
        <v>28</v>
      </c>
      <c r="H10" s="8"/>
      <c r="I10" s="9"/>
      <c r="J10" s="7"/>
    </row>
    <row r="11" spans="2:14" ht="14.25" thickBot="1" x14ac:dyDescent="0.3">
      <c r="B11" s="364"/>
      <c r="C11" s="365"/>
      <c r="F11" s="38"/>
      <c r="G11" s="37"/>
      <c r="J11" s="13"/>
      <c r="M11" s="14"/>
    </row>
    <row r="12" spans="2:14" ht="14.25" thickBot="1" x14ac:dyDescent="0.3">
      <c r="B12" s="15"/>
      <c r="C12" s="51"/>
      <c r="D12" s="16"/>
      <c r="E12" s="17" t="s">
        <v>12</v>
      </c>
      <c r="F12" s="18" t="s">
        <v>15</v>
      </c>
      <c r="G12" s="19"/>
      <c r="H12" s="16"/>
      <c r="I12" s="16"/>
      <c r="J12" s="20"/>
      <c r="M12" s="14"/>
    </row>
    <row r="13" spans="2:14" x14ac:dyDescent="0.25">
      <c r="B13" s="655" t="s">
        <v>16</v>
      </c>
      <c r="C13" s="656"/>
      <c r="D13" s="657"/>
      <c r="E13" s="8">
        <v>10400</v>
      </c>
      <c r="F13" s="21" t="s">
        <v>28</v>
      </c>
      <c r="G13" s="658" t="s">
        <v>25</v>
      </c>
      <c r="H13" s="658"/>
      <c r="I13" s="659"/>
      <c r="J13" s="660"/>
      <c r="M13" s="14"/>
    </row>
    <row r="14" spans="2:14" x14ac:dyDescent="0.25">
      <c r="B14" s="553" t="s">
        <v>17</v>
      </c>
      <c r="C14" s="554"/>
      <c r="D14" s="555"/>
      <c r="E14" s="68">
        <v>2</v>
      </c>
      <c r="F14" s="11" t="s">
        <v>249</v>
      </c>
      <c r="G14" s="669" t="s">
        <v>18</v>
      </c>
      <c r="H14" s="669"/>
      <c r="I14" s="670"/>
      <c r="J14" s="671"/>
      <c r="M14" s="14"/>
    </row>
    <row r="15" spans="2:14" x14ac:dyDescent="0.25">
      <c r="B15" s="553" t="s">
        <v>19</v>
      </c>
      <c r="C15" s="554"/>
      <c r="D15" s="555"/>
      <c r="E15" s="11">
        <v>1</v>
      </c>
      <c r="F15" s="11" t="s">
        <v>232</v>
      </c>
      <c r="G15" s="669" t="s">
        <v>26</v>
      </c>
      <c r="H15" s="669"/>
      <c r="I15" s="670"/>
      <c r="J15" s="671"/>
      <c r="M15" s="14"/>
    </row>
    <row r="16" spans="2:14" x14ac:dyDescent="0.25">
      <c r="B16" s="553" t="s">
        <v>20</v>
      </c>
      <c r="C16" s="554"/>
      <c r="D16" s="555"/>
      <c r="E16" s="10">
        <f>E13</f>
        <v>10400</v>
      </c>
      <c r="F16" s="11" t="s">
        <v>28</v>
      </c>
      <c r="G16" s="672" t="s">
        <v>21</v>
      </c>
      <c r="H16" s="673"/>
      <c r="I16" s="670"/>
      <c r="J16" s="671"/>
      <c r="M16" s="14"/>
      <c r="N16" s="236"/>
    </row>
    <row r="17" spans="2:13" ht="14.25" thickBot="1" x14ac:dyDescent="0.3">
      <c r="B17" s="661" t="s">
        <v>22</v>
      </c>
      <c r="C17" s="544"/>
      <c r="D17" s="662"/>
      <c r="E17" s="36">
        <f>SUM(F8:F10)-E13</f>
        <v>200</v>
      </c>
      <c r="F17" s="35" t="s">
        <v>28</v>
      </c>
      <c r="G17" s="663"/>
      <c r="H17" s="663"/>
      <c r="I17" s="664"/>
      <c r="J17" s="665"/>
      <c r="M17" s="14"/>
    </row>
    <row r="18" spans="2:13" ht="14.25" thickBot="1" x14ac:dyDescent="0.3">
      <c r="B18" s="678" t="s">
        <v>23</v>
      </c>
      <c r="C18" s="679"/>
      <c r="D18" s="679"/>
      <c r="E18" s="679"/>
      <c r="F18" s="679"/>
      <c r="G18" s="679"/>
      <c r="H18" s="679"/>
      <c r="I18" s="679"/>
      <c r="J18" s="680"/>
    </row>
    <row r="19" spans="2:13" ht="16.5" customHeight="1" x14ac:dyDescent="0.25">
      <c r="B19" s="704" t="s">
        <v>250</v>
      </c>
      <c r="C19" s="705"/>
      <c r="D19" s="705"/>
      <c r="E19" s="705"/>
      <c r="F19" s="705"/>
      <c r="G19" s="705"/>
      <c r="H19" s="705"/>
      <c r="I19" s="705"/>
      <c r="J19" s="706"/>
    </row>
    <row r="20" spans="2:13" ht="16.5" customHeight="1" x14ac:dyDescent="0.25">
      <c r="B20" s="704" t="s">
        <v>251</v>
      </c>
      <c r="C20" s="705"/>
      <c r="D20" s="705"/>
      <c r="E20" s="705"/>
      <c r="F20" s="705"/>
      <c r="G20" s="705"/>
      <c r="H20" s="705"/>
      <c r="I20" s="705"/>
      <c r="J20" s="706"/>
    </row>
    <row r="21" spans="2:13" ht="16.5" customHeight="1" x14ac:dyDescent="0.25">
      <c r="B21" s="704"/>
      <c r="C21" s="705"/>
      <c r="D21" s="705"/>
      <c r="E21" s="705"/>
      <c r="F21" s="705"/>
      <c r="G21" s="705"/>
      <c r="H21" s="705"/>
      <c r="I21" s="705"/>
      <c r="J21" s="706"/>
    </row>
    <row r="22" spans="2:13" ht="16.5" customHeight="1" x14ac:dyDescent="0.25">
      <c r="B22" s="704"/>
      <c r="C22" s="705"/>
      <c r="D22" s="705"/>
      <c r="E22" s="705"/>
      <c r="F22" s="705"/>
      <c r="G22" s="705"/>
      <c r="H22" s="705"/>
      <c r="I22" s="705"/>
      <c r="J22" s="706"/>
    </row>
    <row r="23" spans="2:13" ht="16.5" customHeight="1" thickBot="1" x14ac:dyDescent="0.3">
      <c r="B23" s="716"/>
      <c r="C23" s="717"/>
      <c r="D23" s="717"/>
      <c r="E23" s="717"/>
      <c r="F23" s="717"/>
      <c r="G23" s="717"/>
      <c r="H23" s="717"/>
      <c r="I23" s="717"/>
      <c r="J23" s="718"/>
    </row>
    <row r="24" spans="2:13" ht="16.5" customHeight="1" thickBot="1" x14ac:dyDescent="0.3">
      <c r="B24" s="712"/>
      <c r="C24" s="713"/>
      <c r="D24" s="714"/>
      <c r="E24" s="714"/>
      <c r="F24" s="714"/>
      <c r="G24" s="714"/>
      <c r="H24" s="714"/>
      <c r="I24" s="714"/>
      <c r="J24" s="715"/>
    </row>
    <row r="25" spans="2:13" ht="14.25" thickBot="1" x14ac:dyDescent="0.3">
      <c r="B25" s="719" t="s">
        <v>41</v>
      </c>
      <c r="C25" s="720"/>
      <c r="D25" s="721"/>
      <c r="E25" s="721"/>
      <c r="F25" s="721"/>
      <c r="G25" s="721"/>
      <c r="H25" s="721"/>
      <c r="I25" s="721"/>
      <c r="J25" s="722"/>
    </row>
    <row r="26" spans="2:13" ht="14.25" thickBot="1" x14ac:dyDescent="0.3">
      <c r="B26" s="712" t="s">
        <v>252</v>
      </c>
      <c r="C26" s="713"/>
      <c r="D26" s="714"/>
      <c r="E26" s="714"/>
      <c r="F26" s="714"/>
      <c r="G26" s="714"/>
      <c r="H26" s="714"/>
      <c r="I26" s="714"/>
      <c r="J26" s="715"/>
    </row>
    <row r="27" spans="2:13" ht="14.25" thickBot="1" x14ac:dyDescent="0.3">
      <c r="B27" s="712" t="s">
        <v>253</v>
      </c>
      <c r="C27" s="713"/>
      <c r="D27" s="714"/>
      <c r="E27" s="714"/>
      <c r="F27" s="714"/>
      <c r="G27" s="714"/>
      <c r="H27" s="714"/>
      <c r="I27" s="714"/>
      <c r="J27" s="715"/>
    </row>
    <row r="28" spans="2:13" x14ac:dyDescent="0.25">
      <c r="B28" s="1" t="s">
        <v>254</v>
      </c>
    </row>
  </sheetData>
  <mergeCells count="39">
    <mergeCell ref="B20:J20"/>
    <mergeCell ref="B27:J27"/>
    <mergeCell ref="B21:J21"/>
    <mergeCell ref="B22:J22"/>
    <mergeCell ref="B23:J23"/>
    <mergeCell ref="B24:J24"/>
    <mergeCell ref="B25:J25"/>
    <mergeCell ref="B26:J26"/>
    <mergeCell ref="B17:D17"/>
    <mergeCell ref="G17:H17"/>
    <mergeCell ref="I17:J17"/>
    <mergeCell ref="B18:J18"/>
    <mergeCell ref="B19:J19"/>
    <mergeCell ref="B15:D15"/>
    <mergeCell ref="G15:H15"/>
    <mergeCell ref="I15:J15"/>
    <mergeCell ref="B16:D16"/>
    <mergeCell ref="G16:H16"/>
    <mergeCell ref="I16:J16"/>
    <mergeCell ref="B13:D13"/>
    <mergeCell ref="G13:H13"/>
    <mergeCell ref="I13:J13"/>
    <mergeCell ref="B14:D14"/>
    <mergeCell ref="G14:H14"/>
    <mergeCell ref="I14:J14"/>
    <mergeCell ref="J3:J5"/>
    <mergeCell ref="E4:H4"/>
    <mergeCell ref="E5:H5"/>
    <mergeCell ref="B6:B7"/>
    <mergeCell ref="C6:C7"/>
    <mergeCell ref="D6:D7"/>
    <mergeCell ref="E6:E7"/>
    <mergeCell ref="F6:G6"/>
    <mergeCell ref="H6:I6"/>
    <mergeCell ref="B1:C5"/>
    <mergeCell ref="D1:H1"/>
    <mergeCell ref="D2:H2"/>
    <mergeCell ref="D3:H3"/>
    <mergeCell ref="I3:I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FDDD-7088-413C-AF33-E9577BC893C8}">
  <dimension ref="A1:M30"/>
  <sheetViews>
    <sheetView workbookViewId="0">
      <selection activeCell="C12" sqref="C12"/>
    </sheetView>
  </sheetViews>
  <sheetFormatPr baseColWidth="10" defaultColWidth="11.42578125" defaultRowHeight="13.5" x14ac:dyDescent="0.25"/>
  <cols>
    <col min="1" max="1" width="11.42578125" style="1"/>
    <col min="2" max="2" width="16.140625" style="1" customWidth="1"/>
    <col min="3" max="3" width="40.5703125" style="1" customWidth="1"/>
    <col min="4" max="4" width="15.5703125" style="1" customWidth="1"/>
    <col min="5" max="5" width="11.42578125" style="1"/>
    <col min="6" max="6" width="13.140625" style="1" customWidth="1"/>
    <col min="7" max="7" width="12.5703125" style="1" customWidth="1"/>
    <col min="8" max="8" width="15.5703125" style="1" customWidth="1"/>
    <col min="9" max="9" width="16" style="1" customWidth="1"/>
    <col min="10" max="16384" width="11.42578125" style="1"/>
  </cols>
  <sheetData>
    <row r="1" spans="1:12" ht="15.75" x14ac:dyDescent="0.25">
      <c r="A1" s="368"/>
      <c r="B1" s="723"/>
      <c r="C1" s="634" t="s">
        <v>24</v>
      </c>
      <c r="D1" s="634"/>
      <c r="E1" s="634"/>
      <c r="F1" s="634"/>
      <c r="G1" s="634"/>
      <c r="H1" s="5" t="s">
        <v>0</v>
      </c>
      <c r="I1" s="25"/>
    </row>
    <row r="2" spans="1:12" ht="16.5" thickBot="1" x14ac:dyDescent="0.3">
      <c r="A2" s="368"/>
      <c r="B2" s="724"/>
      <c r="C2" s="636" t="s">
        <v>1</v>
      </c>
      <c r="D2" s="636"/>
      <c r="E2" s="636"/>
      <c r="F2" s="636"/>
      <c r="G2" s="636"/>
      <c r="H2" s="6" t="s">
        <v>2</v>
      </c>
      <c r="I2" s="24"/>
    </row>
    <row r="3" spans="1:12" ht="31.5" customHeight="1" thickBot="1" x14ac:dyDescent="0.3">
      <c r="A3" s="368"/>
      <c r="B3" s="695"/>
      <c r="C3" s="725" t="s">
        <v>225</v>
      </c>
      <c r="D3" s="726"/>
      <c r="E3" s="726"/>
      <c r="F3" s="726"/>
      <c r="G3" s="727"/>
      <c r="H3" s="639" t="s">
        <v>3</v>
      </c>
      <c r="I3" s="642"/>
    </row>
    <row r="4" spans="1:12" x14ac:dyDescent="0.25">
      <c r="A4" s="368"/>
      <c r="B4" s="724"/>
      <c r="C4" s="369" t="s">
        <v>4</v>
      </c>
      <c r="D4" s="644" t="s">
        <v>64</v>
      </c>
      <c r="E4" s="645"/>
      <c r="F4" s="645"/>
      <c r="G4" s="646"/>
      <c r="H4" s="640"/>
      <c r="I4" s="643"/>
    </row>
    <row r="5" spans="1:12" ht="15" customHeight="1" thickBot="1" x14ac:dyDescent="0.3">
      <c r="A5" s="368"/>
      <c r="B5" s="724"/>
      <c r="C5" s="370" t="s">
        <v>5</v>
      </c>
      <c r="D5" s="647" t="s">
        <v>55</v>
      </c>
      <c r="E5" s="648"/>
      <c r="F5" s="648"/>
      <c r="G5" s="649"/>
      <c r="H5" s="641"/>
      <c r="I5" s="643"/>
    </row>
    <row r="6" spans="1:12" ht="25.5" x14ac:dyDescent="0.25">
      <c r="A6" s="688" t="s">
        <v>6</v>
      </c>
      <c r="B6" s="688" t="s">
        <v>6</v>
      </c>
      <c r="C6" s="652" t="s">
        <v>7</v>
      </c>
      <c r="D6" s="652" t="s">
        <v>8</v>
      </c>
      <c r="E6" s="652" t="s">
        <v>9</v>
      </c>
      <c r="F6" s="652"/>
      <c r="G6" s="652" t="s">
        <v>10</v>
      </c>
      <c r="H6" s="652"/>
      <c r="I6" s="2" t="s">
        <v>11</v>
      </c>
    </row>
    <row r="7" spans="1:12" ht="27" thickBot="1" x14ac:dyDescent="0.3">
      <c r="A7" s="689"/>
      <c r="B7" s="689"/>
      <c r="C7" s="654"/>
      <c r="D7" s="654"/>
      <c r="E7" s="3" t="s">
        <v>12</v>
      </c>
      <c r="F7" s="4" t="s">
        <v>13</v>
      </c>
      <c r="G7" s="3" t="s">
        <v>12</v>
      </c>
      <c r="H7" s="4" t="s">
        <v>13</v>
      </c>
      <c r="I7" s="28" t="s">
        <v>14</v>
      </c>
    </row>
    <row r="8" spans="1:12" x14ac:dyDescent="0.25">
      <c r="A8" s="371" t="s">
        <v>226</v>
      </c>
      <c r="B8" s="372"/>
      <c r="C8" s="43"/>
      <c r="D8" s="373"/>
      <c r="E8" s="11"/>
      <c r="F8" s="12"/>
      <c r="G8" s="10"/>
      <c r="H8" s="11"/>
      <c r="I8" s="29"/>
    </row>
    <row r="9" spans="1:12" ht="15.75" x14ac:dyDescent="0.25">
      <c r="A9" s="371">
        <v>310148</v>
      </c>
      <c r="B9" s="357">
        <v>310148</v>
      </c>
      <c r="C9" s="358" t="s">
        <v>227</v>
      </c>
      <c r="D9" s="374" t="s">
        <v>228</v>
      </c>
      <c r="E9" s="375">
        <v>8000</v>
      </c>
      <c r="F9" s="27" t="s">
        <v>28</v>
      </c>
      <c r="G9" s="699" t="s">
        <v>229</v>
      </c>
      <c r="H9" s="700"/>
      <c r="I9" s="362"/>
    </row>
    <row r="10" spans="1:12" ht="15.75" x14ac:dyDescent="0.25">
      <c r="A10" s="371">
        <v>11400031</v>
      </c>
      <c r="B10" s="357">
        <v>11400031</v>
      </c>
      <c r="C10" s="358" t="s">
        <v>217</v>
      </c>
      <c r="D10" s="374" t="s">
        <v>228</v>
      </c>
      <c r="E10" s="375">
        <v>12000</v>
      </c>
      <c r="F10" s="27" t="s">
        <v>28</v>
      </c>
      <c r="G10" s="699" t="s">
        <v>230</v>
      </c>
      <c r="H10" s="700"/>
      <c r="I10" s="362"/>
    </row>
    <row r="11" spans="1:12" ht="15.75" x14ac:dyDescent="0.25">
      <c r="A11" s="371">
        <v>10415</v>
      </c>
      <c r="B11" s="40" t="s">
        <v>173</v>
      </c>
      <c r="C11" s="41" t="s">
        <v>174</v>
      </c>
      <c r="D11" s="374" t="s">
        <v>231</v>
      </c>
      <c r="E11" s="375">
        <v>1000</v>
      </c>
      <c r="F11" s="27" t="s">
        <v>28</v>
      </c>
      <c r="G11" s="375"/>
      <c r="H11" s="290"/>
      <c r="I11" s="362"/>
    </row>
    <row r="12" spans="1:12" ht="15.75" x14ac:dyDescent="0.25">
      <c r="A12" s="371">
        <v>1212410</v>
      </c>
      <c r="B12" s="357">
        <v>1212410</v>
      </c>
      <c r="C12" s="358" t="s">
        <v>220</v>
      </c>
      <c r="D12" s="374" t="s">
        <v>221</v>
      </c>
      <c r="E12" s="375">
        <v>15</v>
      </c>
      <c r="F12" s="27" t="s">
        <v>28</v>
      </c>
      <c r="G12" s="375"/>
      <c r="H12" s="290"/>
      <c r="I12" s="362"/>
    </row>
    <row r="13" spans="1:12" ht="15.75" x14ac:dyDescent="0.25">
      <c r="A13" s="371">
        <v>702069</v>
      </c>
      <c r="B13" s="357">
        <v>702123</v>
      </c>
      <c r="C13" s="358" t="s">
        <v>47</v>
      </c>
      <c r="D13" s="374" t="s">
        <v>81</v>
      </c>
      <c r="E13" s="375">
        <v>1</v>
      </c>
      <c r="F13" s="376" t="s">
        <v>36</v>
      </c>
      <c r="G13" s="8"/>
      <c r="H13" s="9"/>
      <c r="I13" s="362"/>
    </row>
    <row r="14" spans="1:12" ht="15.75" x14ac:dyDescent="0.25">
      <c r="A14" s="368"/>
      <c r="B14" s="377"/>
      <c r="C14" s="378"/>
      <c r="D14" s="379"/>
      <c r="E14" s="380"/>
      <c r="F14" s="381"/>
      <c r="G14" s="382"/>
      <c r="H14" s="383"/>
      <c r="I14" s="384"/>
    </row>
    <row r="15" spans="1:12" ht="14.25" thickBot="1" x14ac:dyDescent="0.3">
      <c r="B15" s="364"/>
      <c r="E15" s="38"/>
      <c r="F15" s="37"/>
      <c r="I15" s="13"/>
      <c r="L15" s="14"/>
    </row>
    <row r="16" spans="1:12" ht="14.25" thickBot="1" x14ac:dyDescent="0.3">
      <c r="B16" s="15"/>
      <c r="C16" s="16"/>
      <c r="D16" s="17" t="s">
        <v>12</v>
      </c>
      <c r="E16" s="18" t="s">
        <v>15</v>
      </c>
      <c r="F16" s="19"/>
      <c r="G16" s="16"/>
      <c r="H16" s="16"/>
      <c r="I16" s="20"/>
      <c r="L16" s="14"/>
    </row>
    <row r="17" spans="2:13" x14ac:dyDescent="0.25">
      <c r="B17" s="655" t="s">
        <v>16</v>
      </c>
      <c r="C17" s="657"/>
      <c r="D17" s="8">
        <v>20000</v>
      </c>
      <c r="E17" s="21" t="s">
        <v>28</v>
      </c>
      <c r="F17" s="658" t="s">
        <v>25</v>
      </c>
      <c r="G17" s="658"/>
      <c r="H17" s="659"/>
      <c r="I17" s="660"/>
      <c r="L17" s="14"/>
    </row>
    <row r="18" spans="2:13" x14ac:dyDescent="0.25">
      <c r="B18" s="553" t="s">
        <v>17</v>
      </c>
      <c r="C18" s="555"/>
      <c r="D18" s="68">
        <v>10</v>
      </c>
      <c r="E18" s="11" t="s">
        <v>37</v>
      </c>
      <c r="F18" s="669" t="s">
        <v>18</v>
      </c>
      <c r="G18" s="669"/>
      <c r="H18" s="670"/>
      <c r="I18" s="671"/>
      <c r="L18" s="14"/>
    </row>
    <row r="19" spans="2:13" x14ac:dyDescent="0.25">
      <c r="B19" s="553" t="s">
        <v>19</v>
      </c>
      <c r="C19" s="555"/>
      <c r="D19" s="11">
        <v>1</v>
      </c>
      <c r="E19" s="11" t="s">
        <v>232</v>
      </c>
      <c r="F19" s="669" t="s">
        <v>26</v>
      </c>
      <c r="G19" s="669"/>
      <c r="H19" s="670"/>
      <c r="I19" s="671"/>
      <c r="L19" s="14"/>
    </row>
    <row r="20" spans="2:13" x14ac:dyDescent="0.25">
      <c r="B20" s="553" t="s">
        <v>20</v>
      </c>
      <c r="C20" s="555"/>
      <c r="D20" s="10">
        <f>D17</f>
        <v>20000</v>
      </c>
      <c r="E20" s="11" t="s">
        <v>28</v>
      </c>
      <c r="F20" s="672" t="s">
        <v>21</v>
      </c>
      <c r="G20" s="673"/>
      <c r="H20" s="670"/>
      <c r="I20" s="671"/>
      <c r="L20" s="14"/>
      <c r="M20" s="236"/>
    </row>
    <row r="21" spans="2:13" ht="14.25" thickBot="1" x14ac:dyDescent="0.3">
      <c r="B21" s="661" t="s">
        <v>22</v>
      </c>
      <c r="C21" s="662"/>
      <c r="D21" s="36">
        <f>SUM(E9:E13)-D17</f>
        <v>1016</v>
      </c>
      <c r="E21" s="35" t="s">
        <v>28</v>
      </c>
      <c r="F21" s="663"/>
      <c r="G21" s="663"/>
      <c r="H21" s="664"/>
      <c r="I21" s="665"/>
      <c r="L21" s="14"/>
    </row>
    <row r="22" spans="2:13" ht="14.25" thickBot="1" x14ac:dyDescent="0.3">
      <c r="B22" s="678" t="s">
        <v>23</v>
      </c>
      <c r="C22" s="679"/>
      <c r="D22" s="679"/>
      <c r="E22" s="679"/>
      <c r="F22" s="679"/>
      <c r="G22" s="679"/>
      <c r="H22" s="679"/>
      <c r="I22" s="680"/>
    </row>
    <row r="23" spans="2:13" ht="16.5" customHeight="1" x14ac:dyDescent="0.25">
      <c r="B23" s="704" t="s">
        <v>233</v>
      </c>
      <c r="C23" s="705"/>
      <c r="D23" s="705"/>
      <c r="E23" s="705"/>
      <c r="F23" s="705"/>
      <c r="G23" s="705"/>
      <c r="H23" s="705"/>
      <c r="I23" s="706"/>
    </row>
    <row r="24" spans="2:13" ht="16.5" customHeight="1" x14ac:dyDescent="0.25">
      <c r="B24" s="704" t="s">
        <v>234</v>
      </c>
      <c r="C24" s="705"/>
      <c r="D24" s="705"/>
      <c r="E24" s="705"/>
      <c r="F24" s="705"/>
      <c r="G24" s="705"/>
      <c r="H24" s="705"/>
      <c r="I24" s="706"/>
    </row>
    <row r="25" spans="2:13" ht="16.5" customHeight="1" x14ac:dyDescent="0.25">
      <c r="B25" s="704" t="s">
        <v>235</v>
      </c>
      <c r="C25" s="705"/>
      <c r="D25" s="705"/>
      <c r="E25" s="705"/>
      <c r="F25" s="705"/>
      <c r="G25" s="705"/>
      <c r="H25" s="705"/>
      <c r="I25" s="706"/>
    </row>
    <row r="26" spans="2:13" ht="16.5" customHeight="1" x14ac:dyDescent="0.25">
      <c r="B26" s="704" t="s">
        <v>236</v>
      </c>
      <c r="C26" s="705"/>
      <c r="D26" s="705"/>
      <c r="E26" s="705"/>
      <c r="F26" s="705"/>
      <c r="G26" s="705"/>
      <c r="H26" s="705"/>
      <c r="I26" s="706"/>
    </row>
    <row r="27" spans="2:13" ht="16.5" customHeight="1" thickBot="1" x14ac:dyDescent="0.3">
      <c r="B27" s="704" t="s">
        <v>237</v>
      </c>
      <c r="C27" s="705"/>
      <c r="D27" s="705"/>
      <c r="E27" s="705"/>
      <c r="F27" s="705"/>
      <c r="G27" s="705"/>
      <c r="H27" s="705"/>
      <c r="I27" s="706"/>
    </row>
    <row r="28" spans="2:13" ht="16.5" customHeight="1" thickBot="1" x14ac:dyDescent="0.3">
      <c r="B28" s="678" t="s">
        <v>238</v>
      </c>
      <c r="C28" s="679"/>
      <c r="D28" s="679"/>
      <c r="E28" s="679"/>
      <c r="F28" s="679"/>
      <c r="G28" s="679"/>
      <c r="H28" s="679"/>
      <c r="I28" s="680"/>
    </row>
    <row r="30" spans="2:13" x14ac:dyDescent="0.25">
      <c r="C30" s="367"/>
    </row>
  </sheetData>
  <mergeCells count="38">
    <mergeCell ref="B27:I27"/>
    <mergeCell ref="B28:I28"/>
    <mergeCell ref="B21:C21"/>
    <mergeCell ref="F21:G21"/>
    <mergeCell ref="H21:I21"/>
    <mergeCell ref="B22:I22"/>
    <mergeCell ref="B23:I23"/>
    <mergeCell ref="B24:I24"/>
    <mergeCell ref="B20:C20"/>
    <mergeCell ref="F20:G20"/>
    <mergeCell ref="H20:I20"/>
    <mergeCell ref="B25:I25"/>
    <mergeCell ref="B26:I26"/>
    <mergeCell ref="B18:C18"/>
    <mergeCell ref="F18:G18"/>
    <mergeCell ref="H18:I18"/>
    <mergeCell ref="B19:C19"/>
    <mergeCell ref="F19:G19"/>
    <mergeCell ref="H19:I19"/>
    <mergeCell ref="G9:H9"/>
    <mergeCell ref="G10:H10"/>
    <mergeCell ref="B17:C17"/>
    <mergeCell ref="F17:G17"/>
    <mergeCell ref="H17:I17"/>
    <mergeCell ref="I3:I5"/>
    <mergeCell ref="D4:G4"/>
    <mergeCell ref="D5:G5"/>
    <mergeCell ref="A6:A7"/>
    <mergeCell ref="B6:B7"/>
    <mergeCell ref="C6:C7"/>
    <mergeCell ref="D6:D7"/>
    <mergeCell ref="E6:F6"/>
    <mergeCell ref="G6:H6"/>
    <mergeCell ref="B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8B51-8E82-41C2-B462-6F68F8BE53D2}">
  <dimension ref="A1:M27"/>
  <sheetViews>
    <sheetView workbookViewId="0">
      <selection activeCell="C11" sqref="C11"/>
    </sheetView>
  </sheetViews>
  <sheetFormatPr baseColWidth="10" defaultColWidth="11.28515625" defaultRowHeight="13.5" x14ac:dyDescent="0.25"/>
  <cols>
    <col min="1" max="1" width="16.28515625" style="1" customWidth="1"/>
    <col min="2" max="2" width="11.85546875" style="1" customWidth="1"/>
    <col min="3" max="3" width="46.5703125" style="1" customWidth="1"/>
    <col min="4" max="7" width="11.28515625" style="1"/>
    <col min="8" max="9" width="16.7109375" style="1" customWidth="1"/>
    <col min="10" max="16384" width="11.28515625" style="1"/>
  </cols>
  <sheetData>
    <row r="1" spans="1:12" ht="15.75" x14ac:dyDescent="0.25">
      <c r="A1" s="740"/>
      <c r="B1" s="741"/>
      <c r="C1" s="746" t="s">
        <v>24</v>
      </c>
      <c r="D1" s="746"/>
      <c r="E1" s="746"/>
      <c r="F1" s="746"/>
      <c r="G1" s="746"/>
      <c r="H1" s="321" t="s">
        <v>0</v>
      </c>
      <c r="I1" s="352" t="s">
        <v>207</v>
      </c>
    </row>
    <row r="2" spans="1:12" ht="16.5" thickBot="1" x14ac:dyDescent="0.3">
      <c r="A2" s="742"/>
      <c r="B2" s="743"/>
      <c r="C2" s="747" t="s">
        <v>1</v>
      </c>
      <c r="D2" s="747"/>
      <c r="E2" s="747"/>
      <c r="F2" s="747"/>
      <c r="G2" s="747"/>
      <c r="H2" s="324" t="s">
        <v>2</v>
      </c>
      <c r="I2" s="353" t="s">
        <v>208</v>
      </c>
    </row>
    <row r="3" spans="1:12" ht="18.75" thickBot="1" x14ac:dyDescent="0.3">
      <c r="A3" s="742"/>
      <c r="B3" s="743"/>
      <c r="C3" s="748" t="s">
        <v>209</v>
      </c>
      <c r="D3" s="749"/>
      <c r="E3" s="749"/>
      <c r="F3" s="749"/>
      <c r="G3" s="750"/>
      <c r="H3" s="751" t="s">
        <v>3</v>
      </c>
      <c r="I3" s="728">
        <v>44096</v>
      </c>
    </row>
    <row r="4" spans="1:12" x14ac:dyDescent="0.25">
      <c r="A4" s="742"/>
      <c r="B4" s="743"/>
      <c r="C4" s="325" t="s">
        <v>4</v>
      </c>
      <c r="D4" s="730" t="s">
        <v>73</v>
      </c>
      <c r="E4" s="731"/>
      <c r="F4" s="731"/>
      <c r="G4" s="732"/>
      <c r="H4" s="752"/>
      <c r="I4" s="729"/>
    </row>
    <row r="5" spans="1:12" ht="14.25" thickBot="1" x14ac:dyDescent="0.3">
      <c r="A5" s="744"/>
      <c r="B5" s="745"/>
      <c r="C5" s="354" t="s">
        <v>5</v>
      </c>
      <c r="D5" s="733" t="s">
        <v>210</v>
      </c>
      <c r="E5" s="734"/>
      <c r="F5" s="734"/>
      <c r="G5" s="735"/>
      <c r="H5" s="752"/>
      <c r="I5" s="729"/>
    </row>
    <row r="6" spans="1:12" s="274" customFormat="1" ht="18.75" thickBot="1" x14ac:dyDescent="0.3">
      <c r="A6" s="736" t="s">
        <v>164</v>
      </c>
      <c r="B6" s="737"/>
      <c r="C6" s="737"/>
      <c r="D6" s="738" t="s">
        <v>211</v>
      </c>
      <c r="E6" s="738"/>
      <c r="F6" s="738"/>
      <c r="G6" s="739" t="s">
        <v>166</v>
      </c>
      <c r="H6" s="739"/>
      <c r="I6" s="355" t="s">
        <v>211</v>
      </c>
    </row>
    <row r="7" spans="1:12" ht="25.5" x14ac:dyDescent="0.25">
      <c r="A7" s="707" t="s">
        <v>6</v>
      </c>
      <c r="B7" s="690" t="s">
        <v>56</v>
      </c>
      <c r="C7" s="652" t="s">
        <v>7</v>
      </c>
      <c r="D7" s="652" t="s">
        <v>8</v>
      </c>
      <c r="E7" s="652" t="s">
        <v>9</v>
      </c>
      <c r="F7" s="652"/>
      <c r="G7" s="652" t="s">
        <v>10</v>
      </c>
      <c r="H7" s="652"/>
      <c r="I7" s="2" t="s">
        <v>11</v>
      </c>
    </row>
    <row r="8" spans="1:12" ht="27" thickBot="1" x14ac:dyDescent="0.3">
      <c r="A8" s="651"/>
      <c r="B8" s="668"/>
      <c r="C8" s="653"/>
      <c r="D8" s="654"/>
      <c r="E8" s="3" t="s">
        <v>12</v>
      </c>
      <c r="F8" s="4" t="s">
        <v>13</v>
      </c>
      <c r="G8" s="3" t="s">
        <v>12</v>
      </c>
      <c r="H8" s="4" t="s">
        <v>13</v>
      </c>
      <c r="I8" s="356" t="s">
        <v>14</v>
      </c>
    </row>
    <row r="9" spans="1:12" ht="15.75" x14ac:dyDescent="0.25">
      <c r="A9" s="357">
        <v>11400029</v>
      </c>
      <c r="B9" s="357" t="s">
        <v>212</v>
      </c>
      <c r="C9" s="358" t="s">
        <v>213</v>
      </c>
      <c r="D9" s="359" t="s">
        <v>214</v>
      </c>
      <c r="E9" s="360">
        <v>16000</v>
      </c>
      <c r="F9" s="361" t="s">
        <v>28</v>
      </c>
      <c r="G9" s="8" t="s">
        <v>215</v>
      </c>
      <c r="H9" s="9"/>
      <c r="I9" s="362"/>
    </row>
    <row r="10" spans="1:12" ht="15.75" x14ac:dyDescent="0.25">
      <c r="A10" s="357">
        <v>11400031</v>
      </c>
      <c r="B10" s="357" t="s">
        <v>216</v>
      </c>
      <c r="C10" s="358" t="s">
        <v>217</v>
      </c>
      <c r="D10" s="359" t="s">
        <v>214</v>
      </c>
      <c r="E10" s="360">
        <v>8000</v>
      </c>
      <c r="F10" s="361" t="s">
        <v>28</v>
      </c>
      <c r="G10" s="8" t="s">
        <v>218</v>
      </c>
      <c r="H10" s="9"/>
      <c r="I10" s="362"/>
    </row>
    <row r="11" spans="1:12" ht="15.75" x14ac:dyDescent="0.25">
      <c r="A11" s="40" t="s">
        <v>173</v>
      </c>
      <c r="B11" s="40"/>
      <c r="C11" s="41" t="s">
        <v>174</v>
      </c>
      <c r="D11" s="359" t="s">
        <v>219</v>
      </c>
      <c r="E11" s="360">
        <v>1000</v>
      </c>
      <c r="F11" s="361" t="s">
        <v>28</v>
      </c>
      <c r="G11" s="8"/>
      <c r="H11" s="9"/>
      <c r="I11" s="7"/>
    </row>
    <row r="12" spans="1:12" ht="15.75" x14ac:dyDescent="0.25">
      <c r="A12" s="357">
        <v>1212410</v>
      </c>
      <c r="B12" s="357" t="s">
        <v>196</v>
      </c>
      <c r="C12" s="358" t="s">
        <v>220</v>
      </c>
      <c r="D12" s="359" t="s">
        <v>221</v>
      </c>
      <c r="E12" s="363">
        <v>22</v>
      </c>
      <c r="F12" s="361" t="s">
        <v>28</v>
      </c>
      <c r="G12" s="10"/>
      <c r="H12" s="11"/>
      <c r="I12" s="7"/>
    </row>
    <row r="13" spans="1:12" ht="15" x14ac:dyDescent="0.25">
      <c r="A13" s="357">
        <v>702123</v>
      </c>
      <c r="B13" s="357" t="s">
        <v>62</v>
      </c>
      <c r="C13" s="358" t="s">
        <v>47</v>
      </c>
      <c r="D13" s="85"/>
      <c r="E13" s="12">
        <v>1</v>
      </c>
      <c r="F13" s="12" t="s">
        <v>36</v>
      </c>
      <c r="G13" s="12"/>
      <c r="H13" s="12"/>
      <c r="I13" s="7"/>
    </row>
    <row r="14" spans="1:12" ht="14.25" thickBot="1" x14ac:dyDescent="0.3">
      <c r="A14" s="364"/>
      <c r="B14" s="365"/>
      <c r="E14" s="38"/>
      <c r="F14" s="37"/>
      <c r="I14" s="13"/>
      <c r="L14" s="14"/>
    </row>
    <row r="15" spans="1:12" ht="14.25" thickBot="1" x14ac:dyDescent="0.3">
      <c r="A15" s="15"/>
      <c r="B15" s="51"/>
      <c r="C15" s="16"/>
      <c r="D15" s="17" t="s">
        <v>12</v>
      </c>
      <c r="E15" s="18" t="s">
        <v>15</v>
      </c>
      <c r="F15" s="19"/>
      <c r="G15" s="16"/>
      <c r="H15" s="16"/>
      <c r="I15" s="20"/>
      <c r="L15" s="14"/>
    </row>
    <row r="16" spans="1:12" x14ac:dyDescent="0.25">
      <c r="A16" s="655" t="s">
        <v>16</v>
      </c>
      <c r="B16" s="656"/>
      <c r="C16" s="657"/>
      <c r="D16" s="8">
        <v>24500</v>
      </c>
      <c r="E16" s="21" t="s">
        <v>28</v>
      </c>
      <c r="F16" s="658" t="s">
        <v>25</v>
      </c>
      <c r="G16" s="658"/>
      <c r="H16" s="659"/>
      <c r="I16" s="660"/>
      <c r="L16" s="14"/>
    </row>
    <row r="17" spans="1:13" x14ac:dyDescent="0.25">
      <c r="A17" s="553" t="s">
        <v>17</v>
      </c>
      <c r="B17" s="554"/>
      <c r="C17" s="555"/>
      <c r="D17" s="11">
        <v>5</v>
      </c>
      <c r="E17" s="11" t="s">
        <v>37</v>
      </c>
      <c r="F17" s="669" t="s">
        <v>18</v>
      </c>
      <c r="G17" s="669"/>
      <c r="H17" s="670"/>
      <c r="I17" s="671"/>
      <c r="L17" s="14"/>
    </row>
    <row r="18" spans="1:13" x14ac:dyDescent="0.25">
      <c r="A18" s="553" t="s">
        <v>19</v>
      </c>
      <c r="B18" s="554"/>
      <c r="C18" s="555"/>
      <c r="D18" s="11">
        <v>1</v>
      </c>
      <c r="E18" s="11" t="s">
        <v>36</v>
      </c>
      <c r="F18" s="669" t="s">
        <v>26</v>
      </c>
      <c r="G18" s="669"/>
      <c r="H18" s="670"/>
      <c r="I18" s="671"/>
      <c r="L18" s="14"/>
    </row>
    <row r="19" spans="1:13" x14ac:dyDescent="0.25">
      <c r="A19" s="553" t="s">
        <v>20</v>
      </c>
      <c r="B19" s="554"/>
      <c r="C19" s="555"/>
      <c r="D19" s="10">
        <f>D16</f>
        <v>24500</v>
      </c>
      <c r="E19" s="11" t="s">
        <v>28</v>
      </c>
      <c r="F19" s="672" t="s">
        <v>21</v>
      </c>
      <c r="G19" s="673"/>
      <c r="H19" s="670"/>
      <c r="I19" s="671"/>
      <c r="L19" s="14"/>
      <c r="M19" s="366"/>
    </row>
    <row r="20" spans="1:13" ht="14.25" thickBot="1" x14ac:dyDescent="0.3">
      <c r="A20" s="661" t="s">
        <v>22</v>
      </c>
      <c r="B20" s="544"/>
      <c r="C20" s="662"/>
      <c r="D20" s="35">
        <v>500</v>
      </c>
      <c r="E20" s="35" t="s">
        <v>28</v>
      </c>
      <c r="F20" s="663"/>
      <c r="G20" s="663"/>
      <c r="H20" s="664"/>
      <c r="I20" s="665"/>
      <c r="L20" s="14"/>
    </row>
    <row r="21" spans="1:13" ht="14.25" thickBot="1" x14ac:dyDescent="0.3">
      <c r="A21" s="678" t="s">
        <v>23</v>
      </c>
      <c r="B21" s="679"/>
      <c r="C21" s="679"/>
      <c r="D21" s="679"/>
      <c r="E21" s="679"/>
      <c r="F21" s="679"/>
      <c r="G21" s="679"/>
      <c r="H21" s="679"/>
      <c r="I21" s="680"/>
    </row>
    <row r="22" spans="1:13" x14ac:dyDescent="0.25">
      <c r="A22" s="756" t="s">
        <v>222</v>
      </c>
      <c r="B22" s="757"/>
      <c r="C22" s="758"/>
      <c r="D22" s="758"/>
      <c r="E22" s="758"/>
      <c r="F22" s="758"/>
      <c r="G22" s="758"/>
      <c r="H22" s="758"/>
      <c r="I22" s="759"/>
    </row>
    <row r="23" spans="1:13" x14ac:dyDescent="0.25">
      <c r="A23" s="756" t="s">
        <v>223</v>
      </c>
      <c r="B23" s="757"/>
      <c r="C23" s="758"/>
      <c r="D23" s="758"/>
      <c r="E23" s="758"/>
      <c r="F23" s="758"/>
      <c r="G23" s="758"/>
      <c r="H23" s="758"/>
      <c r="I23" s="759"/>
    </row>
    <row r="24" spans="1:13" x14ac:dyDescent="0.25">
      <c r="A24" s="753"/>
      <c r="B24" s="754"/>
      <c r="C24" s="754"/>
      <c r="D24" s="754"/>
      <c r="E24" s="754"/>
      <c r="F24" s="754"/>
      <c r="G24" s="754"/>
      <c r="H24" s="754"/>
      <c r="I24" s="755"/>
    </row>
    <row r="25" spans="1:13" ht="14.25" thickBot="1" x14ac:dyDescent="0.3">
      <c r="A25" s="629"/>
      <c r="B25" s="630"/>
      <c r="C25" s="631"/>
      <c r="D25" s="631"/>
      <c r="E25" s="631"/>
      <c r="F25" s="631"/>
      <c r="G25" s="631"/>
      <c r="H25" s="631"/>
      <c r="I25" s="632"/>
    </row>
    <row r="26" spans="1:13" ht="14.25" thickBot="1" x14ac:dyDescent="0.3">
      <c r="A26" s="678" t="s">
        <v>85</v>
      </c>
      <c r="B26" s="679"/>
      <c r="C26" s="679"/>
      <c r="D26" s="679"/>
      <c r="E26" s="679"/>
      <c r="F26" s="679"/>
      <c r="G26" s="679"/>
      <c r="H26" s="679"/>
      <c r="I26" s="680"/>
    </row>
    <row r="27" spans="1:13" x14ac:dyDescent="0.25">
      <c r="A27" s="367" t="s">
        <v>224</v>
      </c>
      <c r="B27" s="367"/>
      <c r="C27" s="367"/>
    </row>
  </sheetData>
  <mergeCells count="38">
    <mergeCell ref="A24:I24"/>
    <mergeCell ref="A25:I25"/>
    <mergeCell ref="A26:I26"/>
    <mergeCell ref="A20:C20"/>
    <mergeCell ref="F20:G20"/>
    <mergeCell ref="H20:I20"/>
    <mergeCell ref="A21:I21"/>
    <mergeCell ref="A22:I22"/>
    <mergeCell ref="A23:I23"/>
    <mergeCell ref="A18:C18"/>
    <mergeCell ref="F18:G18"/>
    <mergeCell ref="H18:I18"/>
    <mergeCell ref="A19:C19"/>
    <mergeCell ref="F19:G19"/>
    <mergeCell ref="H19:I19"/>
    <mergeCell ref="G7:H7"/>
    <mergeCell ref="A16:C16"/>
    <mergeCell ref="F16:G16"/>
    <mergeCell ref="H16:I16"/>
    <mergeCell ref="A17:C17"/>
    <mergeCell ref="F17:G17"/>
    <mergeCell ref="H17:I17"/>
    <mergeCell ref="A7:A8"/>
    <mergeCell ref="B7:B8"/>
    <mergeCell ref="C7:C8"/>
    <mergeCell ref="D7:D8"/>
    <mergeCell ref="E7:F7"/>
    <mergeCell ref="I3:I5"/>
    <mergeCell ref="D4:G4"/>
    <mergeCell ref="D5:G5"/>
    <mergeCell ref="A6:C6"/>
    <mergeCell ref="D6:F6"/>
    <mergeCell ref="G6:H6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A68C-700B-4604-A19F-1424F9BB831C}">
  <dimension ref="A1:M41"/>
  <sheetViews>
    <sheetView workbookViewId="0">
      <selection activeCell="F11" sqref="F11"/>
    </sheetView>
  </sheetViews>
  <sheetFormatPr baseColWidth="10" defaultColWidth="11.42578125" defaultRowHeight="13.5" x14ac:dyDescent="0.25"/>
  <cols>
    <col min="1" max="1" width="12.42578125" style="323" customWidth="1"/>
    <col min="2" max="2" width="10.5703125" style="323" customWidth="1"/>
    <col min="3" max="3" width="29.5703125" style="323" customWidth="1"/>
    <col min="4" max="4" width="11.140625" style="323" customWidth="1"/>
    <col min="5" max="5" width="9.140625" style="323" customWidth="1"/>
    <col min="6" max="6" width="10.5703125" style="323" customWidth="1"/>
    <col min="7" max="8" width="16.5703125" style="323" customWidth="1"/>
    <col min="9" max="9" width="16.85546875" style="323" customWidth="1"/>
    <col min="10" max="16384" width="11.42578125" style="323"/>
  </cols>
  <sheetData>
    <row r="1" spans="1:9" ht="15.6" customHeight="1" x14ac:dyDescent="0.25">
      <c r="A1" s="740"/>
      <c r="B1" s="741"/>
      <c r="C1" s="746" t="s">
        <v>24</v>
      </c>
      <c r="D1" s="746"/>
      <c r="E1" s="746"/>
      <c r="F1" s="746"/>
      <c r="G1" s="746"/>
      <c r="H1" s="321" t="s">
        <v>0</v>
      </c>
      <c r="I1" s="322" t="s">
        <v>182</v>
      </c>
    </row>
    <row r="2" spans="1:9" ht="16.5" thickBot="1" x14ac:dyDescent="0.3">
      <c r="A2" s="742"/>
      <c r="B2" s="743"/>
      <c r="C2" s="747" t="s">
        <v>1</v>
      </c>
      <c r="D2" s="747"/>
      <c r="E2" s="747"/>
      <c r="F2" s="747"/>
      <c r="G2" s="747"/>
      <c r="H2" s="324" t="s">
        <v>2</v>
      </c>
      <c r="I2" s="276" t="s">
        <v>160</v>
      </c>
    </row>
    <row r="3" spans="1:9" ht="18.75" thickBot="1" x14ac:dyDescent="0.3">
      <c r="A3" s="742"/>
      <c r="B3" s="743"/>
      <c r="C3" s="767" t="s">
        <v>183</v>
      </c>
      <c r="D3" s="768"/>
      <c r="E3" s="768"/>
      <c r="F3" s="768"/>
      <c r="G3" s="769"/>
      <c r="H3" s="751" t="s">
        <v>3</v>
      </c>
      <c r="I3" s="728">
        <v>45316</v>
      </c>
    </row>
    <row r="4" spans="1:9" x14ac:dyDescent="0.25">
      <c r="A4" s="742"/>
      <c r="B4" s="743"/>
      <c r="C4" s="325" t="s">
        <v>4</v>
      </c>
      <c r="D4" s="730" t="s">
        <v>162</v>
      </c>
      <c r="E4" s="731"/>
      <c r="F4" s="731"/>
      <c r="G4" s="732"/>
      <c r="H4" s="752"/>
      <c r="I4" s="729"/>
    </row>
    <row r="5" spans="1:9" ht="14.25" thickBot="1" x14ac:dyDescent="0.3">
      <c r="A5" s="744"/>
      <c r="B5" s="745"/>
      <c r="C5" s="326" t="s">
        <v>5</v>
      </c>
      <c r="D5" s="760" t="s">
        <v>55</v>
      </c>
      <c r="E5" s="761"/>
      <c r="F5" s="761"/>
      <c r="G5" s="762"/>
      <c r="H5" s="770"/>
      <c r="I5" s="729"/>
    </row>
    <row r="6" spans="1:9" customFormat="1" ht="21" customHeight="1" thickBot="1" x14ac:dyDescent="0.25">
      <c r="A6" s="763" t="s">
        <v>164</v>
      </c>
      <c r="B6" s="764"/>
      <c r="C6" s="764"/>
      <c r="D6" s="765" t="s">
        <v>184</v>
      </c>
      <c r="E6" s="765"/>
      <c r="F6" s="765"/>
      <c r="G6" s="766" t="s">
        <v>166</v>
      </c>
      <c r="H6" s="766"/>
      <c r="I6" s="327" t="s">
        <v>184</v>
      </c>
    </row>
    <row r="7" spans="1:9" ht="25.5" x14ac:dyDescent="0.25">
      <c r="A7" s="784" t="s">
        <v>6</v>
      </c>
      <c r="B7" s="786" t="s">
        <v>185</v>
      </c>
      <c r="C7" s="771" t="s">
        <v>7</v>
      </c>
      <c r="D7" s="771" t="s">
        <v>8</v>
      </c>
      <c r="E7" s="771" t="s">
        <v>9</v>
      </c>
      <c r="F7" s="771"/>
      <c r="G7" s="771" t="s">
        <v>10</v>
      </c>
      <c r="H7" s="771"/>
      <c r="I7" s="222" t="s">
        <v>11</v>
      </c>
    </row>
    <row r="8" spans="1:9" ht="26.25" thickBot="1" x14ac:dyDescent="0.3">
      <c r="A8" s="785"/>
      <c r="B8" s="787"/>
      <c r="C8" s="788"/>
      <c r="D8" s="789"/>
      <c r="E8" s="328" t="s">
        <v>12</v>
      </c>
      <c r="F8" s="329" t="s">
        <v>13</v>
      </c>
      <c r="G8" s="330" t="s">
        <v>12</v>
      </c>
      <c r="H8" s="331" t="s">
        <v>13</v>
      </c>
      <c r="I8" s="332" t="s">
        <v>14</v>
      </c>
    </row>
    <row r="9" spans="1:9" ht="15.75" x14ac:dyDescent="0.25">
      <c r="A9" s="40" t="s">
        <v>186</v>
      </c>
      <c r="B9" s="40" t="s">
        <v>187</v>
      </c>
      <c r="C9" s="41" t="s">
        <v>188</v>
      </c>
      <c r="D9" s="290" t="s">
        <v>189</v>
      </c>
      <c r="E9" s="290">
        <v>5100</v>
      </c>
      <c r="F9" s="291" t="s">
        <v>28</v>
      </c>
      <c r="G9" s="333"/>
      <c r="H9" s="333"/>
      <c r="I9" s="334"/>
    </row>
    <row r="10" spans="1:9" ht="15.75" x14ac:dyDescent="0.25">
      <c r="A10" s="335">
        <v>510301</v>
      </c>
      <c r="B10" s="40" t="s">
        <v>190</v>
      </c>
      <c r="C10" t="s">
        <v>191</v>
      </c>
      <c r="D10" s="290" t="s">
        <v>192</v>
      </c>
      <c r="E10" s="290">
        <v>11300</v>
      </c>
      <c r="F10" s="291" t="s">
        <v>28</v>
      </c>
      <c r="G10" s="237"/>
      <c r="H10" s="212"/>
      <c r="I10" s="334"/>
    </row>
    <row r="11" spans="1:9" ht="15.75" x14ac:dyDescent="0.25">
      <c r="A11" s="335">
        <v>11200072</v>
      </c>
      <c r="B11" s="40" t="s">
        <v>193</v>
      </c>
      <c r="C11" s="41" t="s">
        <v>194</v>
      </c>
      <c r="D11" s="290" t="s">
        <v>195</v>
      </c>
      <c r="E11" s="290">
        <v>8600</v>
      </c>
      <c r="F11" s="291" t="s">
        <v>28</v>
      </c>
      <c r="G11" s="237"/>
      <c r="H11" s="212"/>
      <c r="I11" s="334"/>
    </row>
    <row r="12" spans="1:9" ht="15.75" x14ac:dyDescent="0.25">
      <c r="A12" s="335">
        <v>1212410</v>
      </c>
      <c r="B12" s="40" t="s">
        <v>196</v>
      </c>
      <c r="C12" s="41" t="s">
        <v>197</v>
      </c>
      <c r="D12" s="290" t="s">
        <v>198</v>
      </c>
      <c r="E12" s="290">
        <v>50</v>
      </c>
      <c r="F12" s="291" t="s">
        <v>28</v>
      </c>
      <c r="G12" s="237"/>
      <c r="H12" s="212"/>
      <c r="I12" s="334"/>
    </row>
    <row r="13" spans="1:9" ht="15.75" x14ac:dyDescent="0.25">
      <c r="A13" s="336">
        <v>11300012</v>
      </c>
      <c r="B13" s="40" t="s">
        <v>199</v>
      </c>
      <c r="C13" t="s">
        <v>200</v>
      </c>
      <c r="D13" s="290" t="s">
        <v>189</v>
      </c>
      <c r="E13" s="290">
        <v>335</v>
      </c>
      <c r="F13" s="291" t="s">
        <v>28</v>
      </c>
      <c r="G13" s="237"/>
      <c r="H13" s="212"/>
      <c r="I13" s="334"/>
    </row>
    <row r="14" spans="1:9" ht="15.75" x14ac:dyDescent="0.25">
      <c r="A14" s="294"/>
      <c r="B14" s="40"/>
      <c r="C14" s="73"/>
      <c r="D14" s="290"/>
      <c r="E14" s="290"/>
      <c r="F14" s="291"/>
      <c r="G14" s="237"/>
      <c r="H14" s="212"/>
      <c r="I14" s="334"/>
    </row>
    <row r="15" spans="1:9" ht="15.75" x14ac:dyDescent="0.25">
      <c r="A15" s="335">
        <v>1950708</v>
      </c>
      <c r="B15" s="40" t="s">
        <v>201</v>
      </c>
      <c r="C15" s="40" t="s">
        <v>202</v>
      </c>
      <c r="D15" s="337"/>
      <c r="E15" s="291">
        <v>2</v>
      </c>
      <c r="F15" s="291" t="s">
        <v>36</v>
      </c>
      <c r="G15" s="237"/>
      <c r="H15" s="212"/>
      <c r="I15" s="334"/>
    </row>
    <row r="16" spans="1:9" ht="15.75" x14ac:dyDescent="0.25">
      <c r="A16" s="335">
        <v>702123</v>
      </c>
      <c r="B16" s="338" t="s">
        <v>62</v>
      </c>
      <c r="C16" s="40" t="s">
        <v>203</v>
      </c>
      <c r="D16" s="337"/>
      <c r="E16" s="291">
        <v>2</v>
      </c>
      <c r="F16" s="291" t="s">
        <v>36</v>
      </c>
      <c r="G16" s="237"/>
      <c r="H16" s="212"/>
      <c r="I16" s="334"/>
    </row>
    <row r="17" spans="1:13" ht="15" x14ac:dyDescent="0.25">
      <c r="A17" s="339"/>
      <c r="B17" s="340"/>
      <c r="C17" s="341"/>
      <c r="D17" s="235"/>
      <c r="E17" s="225"/>
      <c r="F17" s="212"/>
      <c r="G17" s="237"/>
      <c r="H17" s="212"/>
      <c r="I17" s="334"/>
    </row>
    <row r="18" spans="1:13" ht="15.75" x14ac:dyDescent="0.25">
      <c r="A18" s="41"/>
      <c r="B18" s="41"/>
      <c r="C18" s="41"/>
      <c r="D18" s="221"/>
      <c r="E18" s="342"/>
      <c r="F18" s="343"/>
      <c r="G18" s="237"/>
      <c r="H18" s="212"/>
      <c r="I18" s="334"/>
    </row>
    <row r="19" spans="1:13" ht="15.75" x14ac:dyDescent="0.25">
      <c r="A19" s="41"/>
      <c r="B19" s="41"/>
      <c r="C19" s="41"/>
      <c r="D19" s="221"/>
      <c r="E19" s="342"/>
      <c r="F19" s="343"/>
      <c r="G19" s="237"/>
      <c r="H19" s="212"/>
      <c r="I19" s="334"/>
    </row>
    <row r="20" spans="1:13" ht="15.75" x14ac:dyDescent="0.25">
      <c r="A20" s="41"/>
      <c r="B20" s="41"/>
      <c r="C20" s="41"/>
      <c r="D20" s="221"/>
      <c r="E20" s="342"/>
      <c r="F20" s="343"/>
      <c r="G20" s="225"/>
      <c r="H20" s="212"/>
      <c r="I20" s="334"/>
    </row>
    <row r="21" spans="1:13" ht="15" x14ac:dyDescent="0.25">
      <c r="A21" s="41"/>
      <c r="B21" s="41"/>
      <c r="C21" s="41"/>
      <c r="D21" s="221"/>
      <c r="E21" s="237"/>
      <c r="F21" s="238"/>
      <c r="G21" s="226"/>
      <c r="H21" s="226"/>
      <c r="I21" s="211"/>
    </row>
    <row r="22" spans="1:13" ht="15.75" thickBot="1" x14ac:dyDescent="0.3">
      <c r="A22"/>
      <c r="B22" s="41"/>
      <c r="C22"/>
      <c r="D22" s="221"/>
      <c r="E22" s="226"/>
      <c r="F22" s="226"/>
      <c r="G22" s="344"/>
      <c r="H22" s="344"/>
      <c r="I22" s="227"/>
      <c r="L22" s="228"/>
    </row>
    <row r="23" spans="1:13" ht="14.25" thickBot="1" x14ac:dyDescent="0.3">
      <c r="A23" s="229"/>
      <c r="B23" s="345"/>
      <c r="C23" s="230"/>
      <c r="D23" s="231" t="s">
        <v>12</v>
      </c>
      <c r="E23" s="232" t="s">
        <v>15</v>
      </c>
      <c r="F23" s="233"/>
      <c r="G23" s="230"/>
      <c r="H23" s="230"/>
      <c r="I23" s="234"/>
      <c r="L23" s="228"/>
    </row>
    <row r="24" spans="1:13" x14ac:dyDescent="0.25">
      <c r="A24" s="772" t="s">
        <v>16</v>
      </c>
      <c r="B24" s="773"/>
      <c r="C24" s="774"/>
      <c r="D24" s="312">
        <v>25385</v>
      </c>
      <c r="E24" s="215" t="s">
        <v>28</v>
      </c>
      <c r="F24" s="775" t="s">
        <v>25</v>
      </c>
      <c r="G24" s="775"/>
      <c r="H24" s="776"/>
      <c r="I24" s="777"/>
      <c r="L24" s="228"/>
    </row>
    <row r="25" spans="1:13" x14ac:dyDescent="0.25">
      <c r="A25" s="778" t="s">
        <v>17</v>
      </c>
      <c r="B25" s="779"/>
      <c r="C25" s="780"/>
      <c r="D25" s="220">
        <v>4</v>
      </c>
      <c r="E25" s="214" t="s">
        <v>37</v>
      </c>
      <c r="F25" s="781" t="s">
        <v>18</v>
      </c>
      <c r="G25" s="781"/>
      <c r="H25" s="782"/>
      <c r="I25" s="783"/>
      <c r="L25" s="228"/>
    </row>
    <row r="26" spans="1:13" x14ac:dyDescent="0.25">
      <c r="A26" s="778" t="s">
        <v>19</v>
      </c>
      <c r="B26" s="779"/>
      <c r="C26" s="780"/>
      <c r="D26" s="214">
        <v>1</v>
      </c>
      <c r="E26" s="214" t="s">
        <v>204</v>
      </c>
      <c r="F26" s="781" t="s">
        <v>26</v>
      </c>
      <c r="G26" s="781"/>
      <c r="H26" s="782"/>
      <c r="I26" s="783"/>
      <c r="L26" s="228"/>
    </row>
    <row r="27" spans="1:13" x14ac:dyDescent="0.25">
      <c r="A27" s="778" t="s">
        <v>20</v>
      </c>
      <c r="B27" s="779"/>
      <c r="C27" s="780"/>
      <c r="D27" s="259">
        <v>25385</v>
      </c>
      <c r="E27" s="214" t="s">
        <v>28</v>
      </c>
      <c r="F27" s="794" t="s">
        <v>21</v>
      </c>
      <c r="G27" s="795"/>
      <c r="H27" s="782"/>
      <c r="I27" s="783"/>
      <c r="L27" s="228"/>
      <c r="M27" s="236"/>
    </row>
    <row r="28" spans="1:13" ht="14.25" thickBot="1" x14ac:dyDescent="0.3">
      <c r="A28" s="796" t="s">
        <v>22</v>
      </c>
      <c r="B28" s="797"/>
      <c r="C28" s="798"/>
      <c r="D28" s="213">
        <f>SUM(E9:E13)-D24</f>
        <v>0</v>
      </c>
      <c r="E28" s="216" t="s">
        <v>28</v>
      </c>
      <c r="F28" s="799"/>
      <c r="G28" s="799"/>
      <c r="H28" s="800"/>
      <c r="I28" s="801"/>
      <c r="L28" s="228"/>
    </row>
    <row r="29" spans="1:13" ht="14.25" thickBot="1" x14ac:dyDescent="0.3">
      <c r="A29" s="802" t="s">
        <v>23</v>
      </c>
      <c r="B29" s="803"/>
      <c r="C29" s="803"/>
      <c r="D29" s="803"/>
      <c r="E29" s="803"/>
      <c r="F29" s="803"/>
      <c r="G29" s="803"/>
      <c r="H29" s="803"/>
      <c r="I29" s="804"/>
    </row>
    <row r="30" spans="1:13" x14ac:dyDescent="0.25">
      <c r="A30" s="790" t="s">
        <v>205</v>
      </c>
      <c r="B30" s="791"/>
      <c r="C30" s="792"/>
      <c r="D30" s="792"/>
      <c r="E30" s="792"/>
      <c r="F30" s="792"/>
      <c r="G30" s="792"/>
      <c r="H30" s="792"/>
      <c r="I30" s="793"/>
    </row>
    <row r="31" spans="1:13" x14ac:dyDescent="0.25">
      <c r="A31" s="790" t="s">
        <v>206</v>
      </c>
      <c r="B31" s="791"/>
      <c r="C31" s="792"/>
      <c r="D31" s="792"/>
      <c r="E31" s="792"/>
      <c r="F31" s="792"/>
      <c r="G31" s="792"/>
      <c r="H31" s="792"/>
      <c r="I31" s="793"/>
    </row>
    <row r="32" spans="1:13" x14ac:dyDescent="0.25">
      <c r="A32" s="805"/>
      <c r="B32" s="806"/>
      <c r="C32" s="807"/>
      <c r="D32" s="807"/>
      <c r="E32" s="807"/>
      <c r="F32" s="807"/>
      <c r="G32" s="807"/>
      <c r="H32" s="807"/>
      <c r="I32" s="808"/>
    </row>
    <row r="33" spans="1:9" x14ac:dyDescent="0.25">
      <c r="A33" s="805"/>
      <c r="B33" s="806"/>
      <c r="C33" s="807"/>
      <c r="D33" s="807"/>
      <c r="E33" s="807"/>
      <c r="F33" s="807"/>
      <c r="G33" s="807"/>
      <c r="H33" s="807"/>
      <c r="I33" s="808"/>
    </row>
    <row r="34" spans="1:9" x14ac:dyDescent="0.25">
      <c r="A34" s="790"/>
      <c r="B34" s="791"/>
      <c r="C34" s="792"/>
      <c r="D34" s="792"/>
      <c r="E34" s="792"/>
      <c r="F34" s="792"/>
      <c r="G34" s="792"/>
      <c r="H34" s="792"/>
      <c r="I34" s="793"/>
    </row>
    <row r="35" spans="1:9" x14ac:dyDescent="0.25">
      <c r="A35" s="809"/>
      <c r="B35" s="810"/>
      <c r="C35" s="811"/>
      <c r="D35" s="811"/>
      <c r="E35" s="811"/>
      <c r="F35" s="811"/>
      <c r="G35" s="811"/>
      <c r="H35" s="811"/>
      <c r="I35" s="812"/>
    </row>
    <row r="36" spans="1:9" x14ac:dyDescent="0.25">
      <c r="A36" s="813" t="s">
        <v>85</v>
      </c>
      <c r="B36" s="813"/>
      <c r="C36" s="813"/>
      <c r="D36" s="813"/>
      <c r="E36" s="813"/>
      <c r="F36" s="813"/>
      <c r="G36" s="813"/>
      <c r="H36" s="813"/>
      <c r="I36" s="813"/>
    </row>
    <row r="37" spans="1:9" x14ac:dyDescent="0.25">
      <c r="A37" s="346"/>
      <c r="B37" s="347"/>
      <c r="C37" s="348"/>
      <c r="D37" s="349"/>
      <c r="E37" s="349"/>
      <c r="F37" s="349"/>
      <c r="G37" s="349"/>
      <c r="H37" s="349"/>
      <c r="I37" s="350"/>
    </row>
    <row r="38" spans="1:9" x14ac:dyDescent="0.25">
      <c r="A38" s="346"/>
      <c r="B38" s="347"/>
      <c r="C38" s="348"/>
      <c r="D38" s="349"/>
      <c r="E38" s="349"/>
      <c r="F38" s="349"/>
      <c r="G38" s="349"/>
      <c r="H38" s="349"/>
      <c r="I38" s="350"/>
    </row>
    <row r="39" spans="1:9" x14ac:dyDescent="0.25">
      <c r="A39" s="351"/>
      <c r="B39" s="349"/>
      <c r="C39" s="349"/>
      <c r="D39" s="349"/>
      <c r="E39" s="349"/>
      <c r="F39" s="349"/>
      <c r="G39" s="349"/>
      <c r="H39" s="349"/>
      <c r="I39" s="350"/>
    </row>
    <row r="40" spans="1:9" x14ac:dyDescent="0.25">
      <c r="A40" s="351"/>
      <c r="B40" s="349"/>
      <c r="C40" s="349"/>
      <c r="D40" s="349"/>
      <c r="E40" s="349"/>
      <c r="F40" s="349"/>
      <c r="G40" s="349"/>
      <c r="H40" s="349"/>
      <c r="I40" s="350"/>
    </row>
    <row r="41" spans="1:9" x14ac:dyDescent="0.25">
      <c r="A41" s="351"/>
      <c r="B41" s="349"/>
      <c r="C41" s="349"/>
      <c r="D41" s="349"/>
      <c r="E41" s="349"/>
      <c r="F41" s="349"/>
      <c r="G41" s="349"/>
      <c r="H41" s="349"/>
      <c r="I41" s="350"/>
    </row>
  </sheetData>
  <mergeCells count="40">
    <mergeCell ref="A32:I32"/>
    <mergeCell ref="A33:I33"/>
    <mergeCell ref="A34:I34"/>
    <mergeCell ref="A35:I35"/>
    <mergeCell ref="A36:I36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G7:H7"/>
    <mergeCell ref="A24:C24"/>
    <mergeCell ref="F24:G24"/>
    <mergeCell ref="H24:I24"/>
    <mergeCell ref="A25:C25"/>
    <mergeCell ref="F25:G25"/>
    <mergeCell ref="H25:I25"/>
    <mergeCell ref="A7:A8"/>
    <mergeCell ref="B7:B8"/>
    <mergeCell ref="C7:C8"/>
    <mergeCell ref="D7:D8"/>
    <mergeCell ref="E7:F7"/>
    <mergeCell ref="I3:I5"/>
    <mergeCell ref="D4:G4"/>
    <mergeCell ref="D5:G5"/>
    <mergeCell ref="A6:C6"/>
    <mergeCell ref="D6:F6"/>
    <mergeCell ref="G6:H6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172A-E007-49BD-9DFE-16189E12E689}">
  <dimension ref="A1:M34"/>
  <sheetViews>
    <sheetView workbookViewId="0">
      <selection activeCell="B10" sqref="B10"/>
    </sheetView>
  </sheetViews>
  <sheetFormatPr baseColWidth="10" defaultColWidth="11.42578125" defaultRowHeight="12.75" x14ac:dyDescent="0.2"/>
  <cols>
    <col min="1" max="1" width="16.140625" style="274" customWidth="1"/>
    <col min="2" max="2" width="13" style="274" customWidth="1"/>
    <col min="3" max="3" width="44.7109375" style="274" customWidth="1"/>
    <col min="4" max="4" width="15.5703125" style="274" customWidth="1"/>
    <col min="5" max="5" width="11.42578125" style="274"/>
    <col min="6" max="6" width="13.140625" style="274" customWidth="1"/>
    <col min="7" max="7" width="12.5703125" style="274" customWidth="1"/>
    <col min="8" max="8" width="15.5703125" style="274" customWidth="1"/>
    <col min="9" max="9" width="16" style="274" customWidth="1"/>
    <col min="10" max="16384" width="11.42578125" style="274"/>
  </cols>
  <sheetData>
    <row r="1" spans="1:12" ht="18" x14ac:dyDescent="0.25">
      <c r="A1" s="821"/>
      <c r="B1" s="822"/>
      <c r="C1" s="827" t="s">
        <v>24</v>
      </c>
      <c r="D1" s="827"/>
      <c r="E1" s="827"/>
      <c r="F1" s="827"/>
      <c r="G1" s="827"/>
      <c r="H1" s="272" t="s">
        <v>0</v>
      </c>
      <c r="I1" s="273" t="s">
        <v>159</v>
      </c>
    </row>
    <row r="2" spans="1:12" ht="18" x14ac:dyDescent="0.25">
      <c r="A2" s="823"/>
      <c r="B2" s="824"/>
      <c r="C2" s="828" t="s">
        <v>1</v>
      </c>
      <c r="D2" s="828"/>
      <c r="E2" s="828"/>
      <c r="F2" s="828"/>
      <c r="G2" s="828"/>
      <c r="H2" s="275" t="s">
        <v>2</v>
      </c>
      <c r="I2" s="276" t="s">
        <v>160</v>
      </c>
    </row>
    <row r="3" spans="1:12" ht="50.1" customHeight="1" x14ac:dyDescent="0.2">
      <c r="A3" s="823"/>
      <c r="B3" s="824"/>
      <c r="C3" s="829" t="s">
        <v>161</v>
      </c>
      <c r="D3" s="830"/>
      <c r="E3" s="830"/>
      <c r="F3" s="830"/>
      <c r="G3" s="831"/>
      <c r="H3" s="832" t="s">
        <v>3</v>
      </c>
      <c r="I3" s="814">
        <v>44873</v>
      </c>
    </row>
    <row r="4" spans="1:12" x14ac:dyDescent="0.2">
      <c r="A4" s="823"/>
      <c r="B4" s="824"/>
      <c r="C4" s="277" t="s">
        <v>4</v>
      </c>
      <c r="D4" s="816" t="s">
        <v>162</v>
      </c>
      <c r="E4" s="816"/>
      <c r="F4" s="816"/>
      <c r="G4" s="816"/>
      <c r="H4" s="832"/>
      <c r="I4" s="814"/>
    </row>
    <row r="5" spans="1:12" ht="15" customHeight="1" thickBot="1" x14ac:dyDescent="0.25">
      <c r="A5" s="825"/>
      <c r="B5" s="826"/>
      <c r="C5" s="278" t="s">
        <v>5</v>
      </c>
      <c r="D5" s="817" t="s">
        <v>163</v>
      </c>
      <c r="E5" s="817"/>
      <c r="F5" s="817"/>
      <c r="G5" s="817"/>
      <c r="H5" s="833"/>
      <c r="I5" s="815"/>
    </row>
    <row r="6" spans="1:12" ht="15" customHeight="1" x14ac:dyDescent="0.2">
      <c r="A6" s="279"/>
      <c r="B6" s="279"/>
      <c r="C6" s="280"/>
      <c r="D6" s="281"/>
      <c r="E6" s="281"/>
      <c r="F6" s="281"/>
      <c r="G6" s="281"/>
      <c r="H6" s="282"/>
      <c r="I6" s="283"/>
    </row>
    <row r="7" spans="1:12" ht="21" customHeight="1" thickBot="1" x14ac:dyDescent="0.3">
      <c r="A7" s="818" t="s">
        <v>164</v>
      </c>
      <c r="B7" s="818"/>
      <c r="C7" s="818"/>
      <c r="D7" s="819" t="s">
        <v>165</v>
      </c>
      <c r="E7" s="819"/>
      <c r="F7" s="819"/>
      <c r="G7" s="820" t="s">
        <v>166</v>
      </c>
      <c r="H7" s="820"/>
      <c r="I7" s="284" t="s">
        <v>165</v>
      </c>
    </row>
    <row r="8" spans="1:12" ht="25.5" x14ac:dyDescent="0.2">
      <c r="A8" s="847" t="s">
        <v>6</v>
      </c>
      <c r="B8" s="849" t="s">
        <v>56</v>
      </c>
      <c r="C8" s="834" t="s">
        <v>7</v>
      </c>
      <c r="D8" s="834" t="s">
        <v>8</v>
      </c>
      <c r="E8" s="834" t="s">
        <v>9</v>
      </c>
      <c r="F8" s="834"/>
      <c r="G8" s="834" t="s">
        <v>10</v>
      </c>
      <c r="H8" s="834"/>
      <c r="I8" s="285" t="s">
        <v>11</v>
      </c>
    </row>
    <row r="9" spans="1:12" ht="26.25" thickBot="1" x14ac:dyDescent="0.25">
      <c r="A9" s="848"/>
      <c r="B9" s="850"/>
      <c r="C9" s="851"/>
      <c r="D9" s="851"/>
      <c r="E9" s="286" t="s">
        <v>12</v>
      </c>
      <c r="F9" s="287" t="s">
        <v>13</v>
      </c>
      <c r="G9" s="288" t="s">
        <v>12</v>
      </c>
      <c r="H9" s="287" t="s">
        <v>13</v>
      </c>
      <c r="I9" s="289" t="s">
        <v>14</v>
      </c>
    </row>
    <row r="10" spans="1:12" ht="15.75" x14ac:dyDescent="0.25">
      <c r="A10" s="79">
        <v>906000135</v>
      </c>
      <c r="B10" s="79" t="s">
        <v>167</v>
      </c>
      <c r="C10" s="73" t="s">
        <v>168</v>
      </c>
      <c r="D10" s="290" t="s">
        <v>42</v>
      </c>
      <c r="E10" s="290">
        <v>25050</v>
      </c>
      <c r="F10" s="291" t="s">
        <v>28</v>
      </c>
      <c r="G10" s="292"/>
      <c r="H10" s="291"/>
      <c r="I10" s="293"/>
    </row>
    <row r="11" spans="1:12" ht="15.75" x14ac:dyDescent="0.25">
      <c r="A11" s="40" t="s">
        <v>169</v>
      </c>
      <c r="B11" s="40" t="s">
        <v>170</v>
      </c>
      <c r="C11" s="41" t="s">
        <v>171</v>
      </c>
      <c r="D11" s="290" t="s">
        <v>172</v>
      </c>
      <c r="E11" s="290">
        <v>8900</v>
      </c>
      <c r="F11" s="291" t="s">
        <v>28</v>
      </c>
      <c r="G11" s="292"/>
      <c r="H11" s="291"/>
      <c r="I11" s="293"/>
    </row>
    <row r="12" spans="1:12" ht="15.75" x14ac:dyDescent="0.25">
      <c r="A12" s="40" t="s">
        <v>173</v>
      </c>
      <c r="B12" s="40"/>
      <c r="C12" s="41" t="s">
        <v>174</v>
      </c>
      <c r="D12" s="290" t="s">
        <v>42</v>
      </c>
      <c r="E12" s="290">
        <v>5900</v>
      </c>
      <c r="F12" s="291" t="s">
        <v>28</v>
      </c>
      <c r="G12" s="292"/>
      <c r="H12" s="291"/>
      <c r="I12" s="293"/>
    </row>
    <row r="13" spans="1:12" ht="15.75" x14ac:dyDescent="0.25">
      <c r="A13" s="294">
        <v>10100050</v>
      </c>
      <c r="B13" s="294" t="s">
        <v>175</v>
      </c>
      <c r="C13" s="73" t="s">
        <v>176</v>
      </c>
      <c r="D13" s="290" t="s">
        <v>177</v>
      </c>
      <c r="E13" s="290">
        <v>8200</v>
      </c>
      <c r="F13" s="291" t="s">
        <v>28</v>
      </c>
      <c r="G13" s="292"/>
      <c r="H13" s="291"/>
      <c r="I13" s="293"/>
    </row>
    <row r="14" spans="1:12" ht="15.75" x14ac:dyDescent="0.25">
      <c r="A14" s="295"/>
      <c r="B14" s="296"/>
      <c r="C14" s="297"/>
      <c r="D14" s="291"/>
      <c r="E14" s="291"/>
      <c r="F14" s="291"/>
      <c r="G14" s="292"/>
      <c r="H14" s="291"/>
      <c r="I14" s="293"/>
    </row>
    <row r="15" spans="1:12" ht="15.75" x14ac:dyDescent="0.25">
      <c r="A15" s="295"/>
      <c r="B15" s="296"/>
      <c r="C15" s="298"/>
      <c r="D15" s="291"/>
      <c r="E15" s="291"/>
      <c r="F15" s="291"/>
      <c r="G15" s="292"/>
      <c r="H15" s="291"/>
      <c r="I15" s="293"/>
    </row>
    <row r="16" spans="1:12" ht="13.5" thickBot="1" x14ac:dyDescent="0.25">
      <c r="A16" s="299"/>
      <c r="B16" s="300"/>
      <c r="E16" s="301"/>
      <c r="F16" s="302"/>
      <c r="I16" s="303"/>
      <c r="L16" s="304"/>
    </row>
    <row r="17" spans="1:13" ht="13.5" thickBot="1" x14ac:dyDescent="0.25">
      <c r="A17" s="305"/>
      <c r="B17" s="306"/>
      <c r="C17" s="307"/>
      <c r="D17" s="308" t="s">
        <v>12</v>
      </c>
      <c r="E17" s="309" t="s">
        <v>15</v>
      </c>
      <c r="F17" s="310"/>
      <c r="G17" s="307"/>
      <c r="H17" s="307"/>
      <c r="I17" s="311"/>
      <c r="L17" s="304"/>
    </row>
    <row r="18" spans="1:13" x14ac:dyDescent="0.2">
      <c r="A18" s="835" t="s">
        <v>16</v>
      </c>
      <c r="B18" s="836"/>
      <c r="C18" s="837"/>
      <c r="D18" s="312">
        <v>47400</v>
      </c>
      <c r="E18" s="313" t="s">
        <v>28</v>
      </c>
      <c r="F18" s="838"/>
      <c r="G18" s="838"/>
      <c r="H18" s="839"/>
      <c r="I18" s="840"/>
      <c r="L18" s="304"/>
    </row>
    <row r="19" spans="1:13" x14ac:dyDescent="0.2">
      <c r="A19" s="841" t="s">
        <v>17</v>
      </c>
      <c r="B19" s="842"/>
      <c r="C19" s="843"/>
      <c r="D19" s="314">
        <v>10</v>
      </c>
      <c r="E19" s="315" t="s">
        <v>37</v>
      </c>
      <c r="F19" s="844"/>
      <c r="G19" s="844"/>
      <c r="H19" s="845"/>
      <c r="I19" s="846"/>
      <c r="L19" s="304"/>
    </row>
    <row r="20" spans="1:13" x14ac:dyDescent="0.2">
      <c r="A20" s="841" t="s">
        <v>19</v>
      </c>
      <c r="B20" s="842"/>
      <c r="C20" s="843"/>
      <c r="D20" s="315">
        <v>1</v>
      </c>
      <c r="E20" s="315" t="s">
        <v>36</v>
      </c>
      <c r="F20" s="844"/>
      <c r="G20" s="844"/>
      <c r="H20" s="845"/>
      <c r="I20" s="846"/>
      <c r="L20" s="304"/>
    </row>
    <row r="21" spans="1:13" x14ac:dyDescent="0.2">
      <c r="A21" s="841" t="s">
        <v>20</v>
      </c>
      <c r="B21" s="842"/>
      <c r="C21" s="843"/>
      <c r="D21" s="316">
        <v>47400</v>
      </c>
      <c r="E21" s="315" t="s">
        <v>28</v>
      </c>
      <c r="F21" s="852"/>
      <c r="G21" s="853"/>
      <c r="H21" s="845"/>
      <c r="I21" s="846"/>
      <c r="L21" s="304"/>
      <c r="M21" s="317"/>
    </row>
    <row r="22" spans="1:13" ht="13.5" thickBot="1" x14ac:dyDescent="0.25">
      <c r="A22" s="854" t="s">
        <v>22</v>
      </c>
      <c r="B22" s="855"/>
      <c r="C22" s="856"/>
      <c r="D22" s="318">
        <f>SUM(E10:E13)-D18</f>
        <v>650</v>
      </c>
      <c r="E22" s="319" t="s">
        <v>28</v>
      </c>
      <c r="F22" s="857"/>
      <c r="G22" s="857"/>
      <c r="H22" s="858"/>
      <c r="I22" s="859"/>
      <c r="L22" s="304"/>
    </row>
    <row r="23" spans="1:13" ht="13.5" thickBot="1" x14ac:dyDescent="0.25">
      <c r="A23" s="860" t="s">
        <v>23</v>
      </c>
      <c r="B23" s="861"/>
      <c r="C23" s="861"/>
      <c r="D23" s="861"/>
      <c r="E23" s="861"/>
      <c r="F23" s="861"/>
      <c r="G23" s="861"/>
      <c r="H23" s="861"/>
      <c r="I23" s="862"/>
    </row>
    <row r="24" spans="1:13" ht="15" x14ac:dyDescent="0.25">
      <c r="A24" s="863" t="s">
        <v>178</v>
      </c>
      <c r="B24" s="864"/>
      <c r="C24" s="864"/>
      <c r="D24" s="864"/>
      <c r="E24" s="864"/>
      <c r="F24" s="864"/>
      <c r="G24" s="864"/>
      <c r="H24" s="864"/>
      <c r="I24" s="865"/>
    </row>
    <row r="25" spans="1:13" ht="15" x14ac:dyDescent="0.25">
      <c r="A25" s="863" t="s">
        <v>179</v>
      </c>
      <c r="B25" s="864"/>
      <c r="C25" s="864"/>
      <c r="D25" s="864"/>
      <c r="E25" s="864"/>
      <c r="F25" s="864"/>
      <c r="G25" s="864"/>
      <c r="H25" s="864"/>
      <c r="I25" s="865"/>
    </row>
    <row r="26" spans="1:13" ht="15" x14ac:dyDescent="0.25">
      <c r="A26" s="863" t="s">
        <v>180</v>
      </c>
      <c r="B26" s="864"/>
      <c r="C26" s="864"/>
      <c r="D26" s="864"/>
      <c r="E26" s="864"/>
      <c r="F26" s="864"/>
      <c r="G26" s="864"/>
      <c r="H26" s="864"/>
      <c r="I26" s="865"/>
    </row>
    <row r="27" spans="1:13" ht="15" x14ac:dyDescent="0.25">
      <c r="A27" s="863" t="s">
        <v>181</v>
      </c>
      <c r="B27" s="864"/>
      <c r="C27" s="864"/>
      <c r="D27" s="864"/>
      <c r="E27" s="864"/>
      <c r="F27" s="864"/>
      <c r="G27" s="864"/>
      <c r="H27" s="864"/>
      <c r="I27" s="865"/>
    </row>
    <row r="28" spans="1:13" ht="15" x14ac:dyDescent="0.25">
      <c r="A28" s="863"/>
      <c r="B28" s="864"/>
      <c r="C28" s="864"/>
      <c r="D28" s="864"/>
      <c r="E28" s="864"/>
      <c r="F28" s="864"/>
      <c r="G28" s="864"/>
      <c r="H28" s="864"/>
      <c r="I28" s="865"/>
    </row>
    <row r="29" spans="1:13" ht="15" x14ac:dyDescent="0.25">
      <c r="A29" s="863"/>
      <c r="B29" s="864"/>
      <c r="C29" s="864"/>
      <c r="D29" s="864"/>
      <c r="E29" s="864"/>
      <c r="F29" s="864"/>
      <c r="G29" s="864"/>
      <c r="H29" s="864"/>
      <c r="I29" s="865"/>
    </row>
    <row r="30" spans="1:13" ht="16.5" customHeight="1" x14ac:dyDescent="0.2">
      <c r="A30" s="869"/>
      <c r="B30" s="870"/>
      <c r="C30" s="870"/>
      <c r="D30" s="870"/>
      <c r="E30" s="870"/>
      <c r="F30" s="870"/>
      <c r="G30" s="870"/>
      <c r="H30" s="870"/>
      <c r="I30" s="871"/>
    </row>
    <row r="31" spans="1:13" ht="16.5" customHeight="1" x14ac:dyDescent="0.2">
      <c r="A31" s="869"/>
      <c r="B31" s="870"/>
      <c r="C31" s="870"/>
      <c r="D31" s="870"/>
      <c r="E31" s="870"/>
      <c r="F31" s="870"/>
      <c r="G31" s="870"/>
      <c r="H31" s="870"/>
      <c r="I31" s="871"/>
    </row>
    <row r="32" spans="1:13" ht="16.5" customHeight="1" thickBot="1" x14ac:dyDescent="0.25">
      <c r="A32" s="866"/>
      <c r="B32" s="867"/>
      <c r="C32" s="867"/>
      <c r="D32" s="867"/>
      <c r="E32" s="867"/>
      <c r="F32" s="867"/>
      <c r="G32" s="867"/>
      <c r="H32" s="867"/>
      <c r="I32" s="868"/>
    </row>
    <row r="34" spans="1:3" x14ac:dyDescent="0.2">
      <c r="A34" s="320"/>
      <c r="B34" s="320"/>
      <c r="C34" s="320"/>
    </row>
  </sheetData>
  <mergeCells count="42">
    <mergeCell ref="A25:I25"/>
    <mergeCell ref="A32:I32"/>
    <mergeCell ref="A26:I26"/>
    <mergeCell ref="A27:I27"/>
    <mergeCell ref="A28:I28"/>
    <mergeCell ref="A29:I29"/>
    <mergeCell ref="A30:I30"/>
    <mergeCell ref="A31:I31"/>
    <mergeCell ref="A22:C22"/>
    <mergeCell ref="F22:G22"/>
    <mergeCell ref="H22:I22"/>
    <mergeCell ref="A23:I23"/>
    <mergeCell ref="A24:I24"/>
    <mergeCell ref="A20:C20"/>
    <mergeCell ref="F20:G20"/>
    <mergeCell ref="H20:I20"/>
    <mergeCell ref="A21:C21"/>
    <mergeCell ref="F21:G21"/>
    <mergeCell ref="H21:I21"/>
    <mergeCell ref="G8:H8"/>
    <mergeCell ref="A18:C18"/>
    <mergeCell ref="F18:G18"/>
    <mergeCell ref="H18:I18"/>
    <mergeCell ref="A19:C19"/>
    <mergeCell ref="F19:G19"/>
    <mergeCell ref="H19:I19"/>
    <mergeCell ref="A8:A9"/>
    <mergeCell ref="B8:B9"/>
    <mergeCell ref="C8:C9"/>
    <mergeCell ref="D8:D9"/>
    <mergeCell ref="E8:F8"/>
    <mergeCell ref="I3:I5"/>
    <mergeCell ref="D4:G4"/>
    <mergeCell ref="D5:G5"/>
    <mergeCell ref="A7:C7"/>
    <mergeCell ref="D7:F7"/>
    <mergeCell ref="G7:H7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2018-C60E-4B7C-9589-94FB96A1E8A4}">
  <dimension ref="A1:Q91"/>
  <sheetViews>
    <sheetView topLeftCell="A44" workbookViewId="0">
      <selection activeCell="D60" sqref="D60"/>
    </sheetView>
  </sheetViews>
  <sheetFormatPr baseColWidth="10" defaultColWidth="8.42578125" defaultRowHeight="12.75" x14ac:dyDescent="0.2"/>
  <cols>
    <col min="1" max="1" width="10" style="104" bestFit="1" customWidth="1"/>
    <col min="2" max="2" width="44.28515625" style="104" bestFit="1" customWidth="1"/>
    <col min="3" max="3" width="10.42578125" style="104" bestFit="1" customWidth="1"/>
    <col min="4" max="4" width="10.42578125" style="104" customWidth="1"/>
    <col min="5" max="5" width="9.7109375" style="104" bestFit="1" customWidth="1"/>
    <col min="6" max="6" width="9.5703125" style="104" bestFit="1" customWidth="1"/>
    <col min="7" max="7" width="9.5703125" style="186" bestFit="1" customWidth="1"/>
    <col min="8" max="8" width="10.42578125" style="177" bestFit="1" customWidth="1"/>
    <col min="9" max="9" width="4.5703125" style="177" customWidth="1"/>
    <col min="10" max="10" width="1.85546875" style="103" customWidth="1"/>
    <col min="11" max="11" width="7" style="104" bestFit="1" customWidth="1"/>
    <col min="12" max="12" width="6.28515625" style="104" customWidth="1"/>
    <col min="13" max="13" width="20.42578125" style="104" customWidth="1"/>
    <col min="14" max="14" width="6.42578125" style="104" bestFit="1" customWidth="1"/>
    <col min="15" max="16" width="8.42578125" style="104"/>
    <col min="17" max="17" width="3.28515625" style="104" customWidth="1"/>
    <col min="18" max="16384" width="8.42578125" style="104"/>
  </cols>
  <sheetData>
    <row r="1" spans="1:10" ht="27.75" customHeight="1" x14ac:dyDescent="0.2">
      <c r="A1" s="99"/>
      <c r="B1" s="99"/>
      <c r="C1" s="99"/>
      <c r="D1" s="99"/>
      <c r="E1" s="100" t="s">
        <v>88</v>
      </c>
      <c r="F1" s="101" t="s">
        <v>89</v>
      </c>
      <c r="G1" s="101" t="s">
        <v>90</v>
      </c>
      <c r="H1" s="101" t="s">
        <v>91</v>
      </c>
      <c r="I1" s="102"/>
    </row>
    <row r="2" spans="1:10" ht="30.75" customHeight="1" x14ac:dyDescent="0.2">
      <c r="A2" s="99"/>
      <c r="B2" s="99"/>
      <c r="C2" s="99"/>
      <c r="D2" s="99"/>
      <c r="E2" s="105">
        <f>IFERROR(O62,"")</f>
        <v>3125.7393023087202</v>
      </c>
      <c r="F2" s="105">
        <f>IFERROR(H53,"")</f>
        <v>3047.6252406417107</v>
      </c>
      <c r="G2" s="105">
        <f>IFERROR(H54,"")</f>
        <v>59.188599596149729</v>
      </c>
      <c r="H2" s="105">
        <f>IFERROR(H56,"")</f>
        <v>188.97299180873478</v>
      </c>
      <c r="I2" s="106"/>
    </row>
    <row r="3" spans="1:10" ht="15" customHeight="1" x14ac:dyDescent="0.2">
      <c r="A3" s="99"/>
      <c r="B3" s="99"/>
      <c r="C3" s="99"/>
      <c r="D3" s="99"/>
      <c r="E3" s="99"/>
      <c r="F3" s="107"/>
      <c r="G3" s="107"/>
      <c r="H3" s="107"/>
      <c r="I3" s="107"/>
    </row>
    <row r="4" spans="1:10" ht="24.75" customHeight="1" thickBot="1" x14ac:dyDescent="0.25">
      <c r="A4" s="598"/>
      <c r="B4" s="598"/>
      <c r="C4" s="598"/>
      <c r="D4" s="598"/>
      <c r="E4" s="598"/>
      <c r="F4" s="598"/>
      <c r="G4" s="598"/>
      <c r="H4" s="598"/>
      <c r="I4" s="108"/>
    </row>
    <row r="5" spans="1:10" ht="19.5" customHeight="1" thickBot="1" x14ac:dyDescent="0.25">
      <c r="A5" s="599" t="s">
        <v>92</v>
      </c>
      <c r="B5" s="600"/>
      <c r="C5" s="600"/>
      <c r="D5" s="600"/>
      <c r="E5" s="600"/>
      <c r="F5" s="600"/>
      <c r="G5" s="600"/>
      <c r="H5" s="601"/>
      <c r="I5" s="109"/>
    </row>
    <row r="6" spans="1:10" ht="19.5" thickBot="1" x14ac:dyDescent="0.25">
      <c r="A6" s="109"/>
      <c r="B6" s="109"/>
      <c r="C6" s="109"/>
      <c r="D6" s="109"/>
      <c r="E6" s="109"/>
      <c r="F6" s="602" t="s">
        <v>93</v>
      </c>
      <c r="G6" s="602"/>
      <c r="H6" s="110">
        <f ca="1">TODAY()</f>
        <v>46020</v>
      </c>
      <c r="I6" s="110"/>
    </row>
    <row r="7" spans="1:10" ht="26.25" hidden="1" thickBot="1" x14ac:dyDescent="0.25">
      <c r="A7" s="111" t="s">
        <v>94</v>
      </c>
      <c r="B7" s="112" t="s">
        <v>95</v>
      </c>
      <c r="C7" s="112" t="s">
        <v>94</v>
      </c>
      <c r="D7" s="113" t="s">
        <v>96</v>
      </c>
      <c r="E7" s="113" t="s">
        <v>97</v>
      </c>
      <c r="F7" s="113" t="s">
        <v>98</v>
      </c>
      <c r="G7" s="113" t="s">
        <v>99</v>
      </c>
      <c r="H7" s="114" t="s">
        <v>100</v>
      </c>
      <c r="I7" s="115"/>
    </row>
    <row r="8" spans="1:10" ht="14.25" hidden="1" thickBot="1" x14ac:dyDescent="0.3">
      <c r="A8" s="116"/>
      <c r="B8" s="104" t="str">
        <f>IFERROR(VLOOKUP(H8,'[1]Consolidado MP Planta'!$A$2:$M$823,3,0),"")</f>
        <v/>
      </c>
      <c r="C8" s="117">
        <f>+A8</f>
        <v>0</v>
      </c>
      <c r="D8" s="118" t="str">
        <f>IFERROR(VLOOKUP(H8,'[1]Consolidado MP Planta'!$A$2:$M$823,13,0),"")</f>
        <v/>
      </c>
      <c r="E8" s="118" t="str">
        <f>IFERROR(VLOOKUP(H8,'[1]Consolidado MP Planta'!$A$2:$M$823,12,0),"")</f>
        <v/>
      </c>
      <c r="F8" s="118" t="str">
        <f>IFERROR(C8*E8,"")</f>
        <v/>
      </c>
      <c r="G8" s="119" t="str">
        <f t="shared" ref="G8:G14" si="0">IFERROR(F8/$F$66,"")</f>
        <v/>
      </c>
      <c r="H8" s="120"/>
      <c r="I8" s="120"/>
      <c r="J8" s="121"/>
    </row>
    <row r="9" spans="1:10" ht="14.25" hidden="1" thickBot="1" x14ac:dyDescent="0.3">
      <c r="A9" s="116"/>
      <c r="B9" s="104" t="str">
        <f>IFERROR(VLOOKUP(H9,'[1]Consolidado MP Planta'!$A$2:$M$823,3,0),"")</f>
        <v/>
      </c>
      <c r="C9" s="117">
        <f t="shared" ref="C9:C14" si="1">+A9</f>
        <v>0</v>
      </c>
      <c r="D9" s="118" t="str">
        <f>IFERROR(VLOOKUP(H9,'[1]Consolidado MP Planta'!$A$2:$M$823,13,0),"")</f>
        <v/>
      </c>
      <c r="E9" s="118" t="str">
        <f>IFERROR(VLOOKUP(H9,'[1]Consolidado MP Planta'!$A$2:$M$823,12,0),"")</f>
        <v/>
      </c>
      <c r="F9" s="118" t="str">
        <f t="shared" ref="F9:F14" si="2">IFERROR(C9*E9,"")</f>
        <v/>
      </c>
      <c r="G9" s="119" t="str">
        <f t="shared" si="0"/>
        <v/>
      </c>
      <c r="H9" s="120"/>
      <c r="I9" s="120"/>
      <c r="J9" s="121"/>
    </row>
    <row r="10" spans="1:10" ht="14.25" hidden="1" thickBot="1" x14ac:dyDescent="0.3">
      <c r="A10" s="116"/>
      <c r="B10" s="104" t="str">
        <f>IFERROR(VLOOKUP(H10,'[1]Consolidado MP Planta'!$A$2:$M$823,3,0),"")</f>
        <v/>
      </c>
      <c r="C10" s="117">
        <f t="shared" si="1"/>
        <v>0</v>
      </c>
      <c r="D10" s="118" t="str">
        <f>IFERROR(VLOOKUP(H10,'[1]Consolidado MP Planta'!$A$2:$M$823,13,0),"")</f>
        <v/>
      </c>
      <c r="E10" s="118" t="str">
        <f>IFERROR(VLOOKUP(H10,'[1]Consolidado MP Planta'!$A$2:$M$823,12,0),"")</f>
        <v/>
      </c>
      <c r="F10" s="118" t="str">
        <f t="shared" si="2"/>
        <v/>
      </c>
      <c r="G10" s="119" t="str">
        <f t="shared" si="0"/>
        <v/>
      </c>
      <c r="H10" s="120"/>
      <c r="I10" s="120"/>
      <c r="J10" s="121"/>
    </row>
    <row r="11" spans="1:10" ht="14.25" hidden="1" thickBot="1" x14ac:dyDescent="0.3">
      <c r="A11" s="116"/>
      <c r="B11" s="104" t="str">
        <f>IFERROR(VLOOKUP(H11,'[1]Consolidado MP Planta'!$A$2:$M$823,3,0),"")</f>
        <v/>
      </c>
      <c r="C11" s="117">
        <f t="shared" si="1"/>
        <v>0</v>
      </c>
      <c r="D11" s="118" t="str">
        <f>IFERROR(VLOOKUP(H11,'[1]Consolidado MP Planta'!$A$2:$M$823,13,0),"")</f>
        <v/>
      </c>
      <c r="E11" s="118" t="str">
        <f>IFERROR(VLOOKUP(H11,'[1]Consolidado MP Planta'!$A$2:$M$823,12,0),"")</f>
        <v/>
      </c>
      <c r="F11" s="118" t="str">
        <f t="shared" si="2"/>
        <v/>
      </c>
      <c r="G11" s="119" t="str">
        <f t="shared" si="0"/>
        <v/>
      </c>
      <c r="H11" s="120"/>
      <c r="I11" s="120"/>
      <c r="J11" s="121"/>
    </row>
    <row r="12" spans="1:10" ht="14.25" hidden="1" thickBot="1" x14ac:dyDescent="0.3">
      <c r="A12" s="116"/>
      <c r="B12" s="104" t="str">
        <f>IFERROR(VLOOKUP(H12,'[1]Consolidado MP Planta'!$A$2:$M$823,3,0),"")</f>
        <v/>
      </c>
      <c r="C12" s="117">
        <f t="shared" si="1"/>
        <v>0</v>
      </c>
      <c r="D12" s="118" t="str">
        <f>IFERROR(VLOOKUP(H12,'[1]Consolidado MP Planta'!$A$2:$M$823,13,0),"")</f>
        <v/>
      </c>
      <c r="E12" s="118" t="str">
        <f>IFERROR(VLOOKUP(H12,'[1]Consolidado MP Planta'!$A$2:$M$823,12,0),"")</f>
        <v/>
      </c>
      <c r="F12" s="118" t="str">
        <f t="shared" si="2"/>
        <v/>
      </c>
      <c r="G12" s="119" t="str">
        <f t="shared" si="0"/>
        <v/>
      </c>
      <c r="H12" s="120"/>
      <c r="I12" s="120"/>
      <c r="J12" s="121"/>
    </row>
    <row r="13" spans="1:10" ht="14.25" hidden="1" thickBot="1" x14ac:dyDescent="0.3">
      <c r="A13" s="116"/>
      <c r="B13" s="104" t="str">
        <f>IFERROR(VLOOKUP(H13,'[1]Consolidado MP Planta'!$A$2:$M$823,3,0),"")</f>
        <v/>
      </c>
      <c r="C13" s="117">
        <f t="shared" si="1"/>
        <v>0</v>
      </c>
      <c r="D13" s="118" t="str">
        <f>IFERROR(VLOOKUP(H13,'[1]Consolidado MP Planta'!$A$2:$M$823,13,0),"")</f>
        <v/>
      </c>
      <c r="E13" s="118" t="str">
        <f>IFERROR(VLOOKUP(H13,'[1]Consolidado MP Planta'!$A$2:$M$823,12,0),"")</f>
        <v/>
      </c>
      <c r="F13" s="118" t="str">
        <f t="shared" si="2"/>
        <v/>
      </c>
      <c r="G13" s="119" t="str">
        <f t="shared" si="0"/>
        <v/>
      </c>
      <c r="H13" s="120"/>
      <c r="I13" s="120"/>
      <c r="J13" s="121"/>
    </row>
    <row r="14" spans="1:10" ht="14.25" hidden="1" thickBot="1" x14ac:dyDescent="0.3">
      <c r="A14" s="116"/>
      <c r="B14" s="104" t="str">
        <f>IFERROR(VLOOKUP(H14,'[1]Consolidado MP Planta'!$A$2:$M$823,3,0),"")</f>
        <v/>
      </c>
      <c r="C14" s="117">
        <f t="shared" si="1"/>
        <v>0</v>
      </c>
      <c r="D14" s="118" t="str">
        <f>IFERROR(VLOOKUP(H14,'[1]Consolidado MP Planta'!$A$2:$M$823,13,0),"")</f>
        <v/>
      </c>
      <c r="E14" s="118" t="str">
        <f>IFERROR(VLOOKUP(H14,'[1]Consolidado MP Planta'!$A$2:$M$823,12,0),"")</f>
        <v/>
      </c>
      <c r="F14" s="118" t="str">
        <f t="shared" si="2"/>
        <v/>
      </c>
      <c r="G14" s="119" t="str">
        <f t="shared" si="0"/>
        <v/>
      </c>
      <c r="H14" s="120"/>
      <c r="I14" s="120"/>
      <c r="J14" s="121"/>
    </row>
    <row r="15" spans="1:10" ht="14.25" hidden="1" thickBot="1" x14ac:dyDescent="0.3">
      <c r="A15" s="116"/>
      <c r="B15" s="104" t="str">
        <f>IFERROR(VLOOKUP(H15,'[2]ARTICULOS MP PLANTA'!$A$2:$G$589,2,0),"")</f>
        <v/>
      </c>
      <c r="C15" s="117"/>
      <c r="D15" s="118"/>
      <c r="E15" s="118"/>
      <c r="F15" s="118"/>
      <c r="G15" s="119"/>
      <c r="H15" s="120"/>
      <c r="I15" s="120"/>
      <c r="J15" s="121"/>
    </row>
    <row r="16" spans="1:10" ht="26.25" thickBot="1" x14ac:dyDescent="0.25">
      <c r="A16" s="111" t="s">
        <v>94</v>
      </c>
      <c r="B16" s="112" t="s">
        <v>101</v>
      </c>
      <c r="C16" s="112" t="s">
        <v>94</v>
      </c>
      <c r="D16" s="113" t="s">
        <v>96</v>
      </c>
      <c r="E16" s="113" t="s">
        <v>97</v>
      </c>
      <c r="F16" s="113" t="s">
        <v>98</v>
      </c>
      <c r="G16" s="113" t="s">
        <v>99</v>
      </c>
      <c r="H16" s="114" t="s">
        <v>100</v>
      </c>
      <c r="I16" s="115"/>
      <c r="J16" s="121"/>
    </row>
    <row r="17" spans="1:12" ht="13.5" x14ac:dyDescent="0.25">
      <c r="A17" s="116">
        <v>47400</v>
      </c>
      <c r="B17" s="104" t="s">
        <v>75</v>
      </c>
      <c r="C17" s="117">
        <f>+A17</f>
        <v>47400</v>
      </c>
      <c r="D17" s="117" t="s">
        <v>102</v>
      </c>
      <c r="E17" s="118">
        <v>1.1499999999999999</v>
      </c>
      <c r="F17" s="118">
        <f>IFERROR(E17*C17,"")</f>
        <v>54509.999999999993</v>
      </c>
      <c r="G17" s="119">
        <f t="shared" ref="G17:G24" si="3">IFERROR(F17/$F$66,"")</f>
        <v>0.85384738357178835</v>
      </c>
      <c r="H17" s="120" t="s">
        <v>103</v>
      </c>
      <c r="I17" s="120"/>
      <c r="J17" s="121"/>
    </row>
    <row r="18" spans="1:12" ht="13.5" x14ac:dyDescent="0.25">
      <c r="A18" s="116">
        <v>2380</v>
      </c>
      <c r="B18" s="104" t="str">
        <f>IFERROR(VLOOKUP(H18,[1]SEMIELABORADOS!$A$2:$M$6000,2,0),"")</f>
        <v>MEZCLA P/ENGRASE MOLDES KILO</v>
      </c>
      <c r="C18" s="117">
        <f t="shared" ref="C18:C24" si="4">+A18</f>
        <v>2380</v>
      </c>
      <c r="D18" s="117" t="str">
        <f>IFERROR(VLOOKUP(H18,[1]SEMIELABORADOS!$A$2:$M$6000,6,0),"")</f>
        <v>Gramo</v>
      </c>
      <c r="E18" s="118">
        <v>2.04</v>
      </c>
      <c r="F18" s="118">
        <f t="shared" ref="F18:F24" si="5">IFERROR(E18*C18,"")</f>
        <v>4855.2</v>
      </c>
      <c r="G18" s="119">
        <f t="shared" si="3"/>
        <v>7.6052097169652305E-2</v>
      </c>
      <c r="H18" s="120" t="s">
        <v>104</v>
      </c>
      <c r="I18" s="120"/>
      <c r="J18" s="121"/>
    </row>
    <row r="19" spans="1:12" ht="13.5" hidden="1" x14ac:dyDescent="0.25">
      <c r="A19" s="116"/>
      <c r="B19" s="104" t="str">
        <f>IFERROR(VLOOKUP(H19,[1]SEMIELABORADOS!$A$2:$M$6000,2,0),"")</f>
        <v/>
      </c>
      <c r="C19" s="117">
        <f>+A19</f>
        <v>0</v>
      </c>
      <c r="D19" s="117" t="str">
        <f>IFERROR(VLOOKUP(H19,[1]SEMIELABORADOS!$A$2:$M$6000,6,0),"")</f>
        <v/>
      </c>
      <c r="E19" s="118" t="str">
        <f>IFERROR(VLOOKUP(H19,[1]SEMIELABORADOS!$A$2:$H$65536,8,0),"")</f>
        <v/>
      </c>
      <c r="F19" s="118" t="str">
        <f>IFERROR(E19*C19,"")</f>
        <v/>
      </c>
      <c r="G19" s="119" t="str">
        <f t="shared" si="3"/>
        <v/>
      </c>
      <c r="H19" s="120"/>
      <c r="I19" s="120"/>
      <c r="J19" s="121"/>
    </row>
    <row r="20" spans="1:12" ht="13.5" hidden="1" x14ac:dyDescent="0.25">
      <c r="A20" s="116"/>
      <c r="B20" s="104" t="str">
        <f>IFERROR(VLOOKUP(H20,[1]SEMIELABORADOS!$A$2:$M$6000,2,0),"")</f>
        <v/>
      </c>
      <c r="C20" s="117">
        <f>+A20</f>
        <v>0</v>
      </c>
      <c r="D20" s="117" t="str">
        <f>IFERROR(VLOOKUP(H20,[1]SEMIELABORADOS!$A$2:$M$6000,6,0),"")</f>
        <v/>
      </c>
      <c r="E20" s="118" t="str">
        <f>IFERROR(VLOOKUP(H20,[1]SEMIELABORADOS!$A$2:$H$65536,8,0),"")</f>
        <v/>
      </c>
      <c r="F20" s="118" t="str">
        <f>IFERROR(E20*C20,"")</f>
        <v/>
      </c>
      <c r="G20" s="119" t="str">
        <f t="shared" si="3"/>
        <v/>
      </c>
      <c r="H20" s="120"/>
      <c r="I20" s="120"/>
      <c r="J20" s="121"/>
    </row>
    <row r="21" spans="1:12" ht="13.5" hidden="1" x14ac:dyDescent="0.25">
      <c r="A21" s="116"/>
      <c r="B21" s="104" t="str">
        <f>IFERROR(VLOOKUP(H21,[1]SEMIELABORADOS!$A$2:$M$6000,2,0),"")</f>
        <v/>
      </c>
      <c r="C21" s="117">
        <f>+A21</f>
        <v>0</v>
      </c>
      <c r="D21" s="117" t="str">
        <f>IFERROR(VLOOKUP(H21,[1]SEMIELABORADOS!$A$2:$M$6000,6,0),"")</f>
        <v/>
      </c>
      <c r="E21" s="118" t="str">
        <f>IFERROR(VLOOKUP(H21,[1]SEMIELABORADOS!$A$2:$H$65536,8,0),"")</f>
        <v/>
      </c>
      <c r="F21" s="118" t="str">
        <f>IFERROR(E21*C21,"")</f>
        <v/>
      </c>
      <c r="G21" s="119" t="str">
        <f t="shared" si="3"/>
        <v/>
      </c>
      <c r="H21" s="120"/>
      <c r="I21" s="120"/>
      <c r="J21" s="121"/>
    </row>
    <row r="22" spans="1:12" ht="13.5" hidden="1" x14ac:dyDescent="0.25">
      <c r="A22" s="116"/>
      <c r="B22" s="104" t="str">
        <f>IFERROR(VLOOKUP(H22,[1]SEMIELABORADOS!$A$2:$M$6000,2,0),"")</f>
        <v/>
      </c>
      <c r="C22" s="117">
        <f t="shared" si="4"/>
        <v>0</v>
      </c>
      <c r="D22" s="117" t="str">
        <f>IFERROR(VLOOKUP(H22,[1]SEMIELABORADOS!$A$2:$M$6000,6,0),"")</f>
        <v/>
      </c>
      <c r="E22" s="118" t="str">
        <f>IFERROR(VLOOKUP(H22,[1]SEMIELABORADOS!$A$2:$H$65536,8,0),"")</f>
        <v/>
      </c>
      <c r="F22" s="118" t="str">
        <f t="shared" si="5"/>
        <v/>
      </c>
      <c r="G22" s="119" t="str">
        <f t="shared" si="3"/>
        <v/>
      </c>
      <c r="H22" s="120"/>
      <c r="I22" s="120"/>
      <c r="J22" s="121"/>
    </row>
    <row r="23" spans="1:12" ht="13.5" hidden="1" x14ac:dyDescent="0.25">
      <c r="A23" s="116"/>
      <c r="B23" s="104" t="str">
        <f>IFERROR(VLOOKUP(H23,[1]SEMIELABORADOS!$A$2:$M$6000,2,0),"")</f>
        <v/>
      </c>
      <c r="C23" s="117">
        <f t="shared" si="4"/>
        <v>0</v>
      </c>
      <c r="D23" s="117" t="str">
        <f>IFERROR(VLOOKUP(H23,[1]SEMIELABORADOS!$A$2:$M$6000,6,0),"")</f>
        <v/>
      </c>
      <c r="E23" s="118" t="str">
        <f>IFERROR(VLOOKUP(H23,[1]SEMIELABORADOS!$A$2:$H$65536,8,0),"")</f>
        <v/>
      </c>
      <c r="F23" s="118" t="str">
        <f t="shared" si="5"/>
        <v/>
      </c>
      <c r="G23" s="119" t="str">
        <f t="shared" si="3"/>
        <v/>
      </c>
      <c r="H23" s="120"/>
      <c r="I23" s="120"/>
      <c r="J23" s="121"/>
    </row>
    <row r="24" spans="1:12" ht="13.5" hidden="1" x14ac:dyDescent="0.25">
      <c r="A24" s="116"/>
      <c r="B24" s="104" t="str">
        <f>IFERROR(VLOOKUP(H24,[1]SEMIELABORADOS!$A$2:$M$6000,2,0),"")</f>
        <v/>
      </c>
      <c r="C24" s="117">
        <f t="shared" si="4"/>
        <v>0</v>
      </c>
      <c r="D24" s="117" t="str">
        <f>IFERROR(VLOOKUP(H24,[1]SEMIELABORADOS!$A$2:$M$6000,6,0),"")</f>
        <v/>
      </c>
      <c r="E24" s="118" t="str">
        <f>IFERROR(VLOOKUP(H24,[1]SEMIELABORADOS!$A$2:$H$65536,8,0),"")</f>
        <v/>
      </c>
      <c r="F24" s="118" t="str">
        <f t="shared" si="5"/>
        <v/>
      </c>
      <c r="G24" s="119" t="str">
        <f t="shared" si="3"/>
        <v/>
      </c>
      <c r="H24" s="120"/>
      <c r="I24" s="120"/>
      <c r="J24" s="121"/>
    </row>
    <row r="25" spans="1:12" ht="14.25" thickBot="1" x14ac:dyDescent="0.3">
      <c r="A25" s="116"/>
      <c r="C25" s="117"/>
      <c r="D25" s="117"/>
      <c r="E25" s="118"/>
      <c r="F25" s="118"/>
      <c r="G25" s="119"/>
      <c r="H25" s="120"/>
      <c r="I25" s="120"/>
      <c r="J25" s="121"/>
    </row>
    <row r="26" spans="1:12" ht="26.25" thickBot="1" x14ac:dyDescent="0.25">
      <c r="A26" s="111" t="s">
        <v>94</v>
      </c>
      <c r="B26" s="112" t="s">
        <v>27</v>
      </c>
      <c r="C26" s="112" t="s">
        <v>94</v>
      </c>
      <c r="D26" s="113" t="s">
        <v>96</v>
      </c>
      <c r="E26" s="113" t="s">
        <v>97</v>
      </c>
      <c r="F26" s="113" t="s">
        <v>98</v>
      </c>
      <c r="G26" s="113" t="s">
        <v>99</v>
      </c>
      <c r="H26" s="114" t="s">
        <v>100</v>
      </c>
      <c r="I26" s="115"/>
    </row>
    <row r="27" spans="1:12" ht="13.5" x14ac:dyDescent="0.25">
      <c r="A27" s="116">
        <v>21</v>
      </c>
      <c r="B27" s="122" t="str">
        <f>IFERROR(VLOOKUP(H27,'[1]Consolidado MP Planta'!$A$2:$M$823,3,0),"")</f>
        <v>BOLSA TRANSPARENTE 56X96X1.80 KILO</v>
      </c>
      <c r="C27" s="117">
        <f t="shared" ref="C27:C32" si="6">+A27</f>
        <v>21</v>
      </c>
      <c r="D27" s="118" t="str">
        <f>IFERROR(VLOOKUP(H27,'[1]Consolidado MP Planta'!$A$2:$M$823,13,0),"")</f>
        <v>Und</v>
      </c>
      <c r="E27" s="118">
        <f>IFERROR(VLOOKUP(H27,'[1]Consolidado MP Planta'!$A$2:$M$823,12,0),"")</f>
        <v>50</v>
      </c>
      <c r="F27" s="118">
        <f t="shared" ref="F27:F32" si="7">IFERROR(C27*E27,"")</f>
        <v>1050</v>
      </c>
      <c r="G27" s="119">
        <f t="shared" ref="G27:G32" si="8">IFERROR(F27/$F$66,"")</f>
        <v>1.6447252848108197E-2</v>
      </c>
      <c r="H27" s="123" t="s">
        <v>105</v>
      </c>
      <c r="I27" s="123"/>
      <c r="J27" s="121"/>
      <c r="K27" s="603"/>
      <c r="L27" s="603"/>
    </row>
    <row r="28" spans="1:12" ht="13.5" x14ac:dyDescent="0.25">
      <c r="A28" s="116">
        <v>21</v>
      </c>
      <c r="B28" s="122" t="str">
        <f>IFERROR(VLOOKUP(H28,'[1]Consolidado MP Planta'!$A$2:$M$823,3,0),"")</f>
        <v>ETIQUETA BLANCA 2 5/8X1 15/16 (UND)</v>
      </c>
      <c r="C28" s="117">
        <f t="shared" si="6"/>
        <v>21</v>
      </c>
      <c r="D28" s="118" t="str">
        <f>IFERROR(VLOOKUP(H28,'[1]Consolidado MP Planta'!$A$2:$M$823,13,0),"")</f>
        <v>Und</v>
      </c>
      <c r="E28" s="118">
        <f>IFERROR(VLOOKUP(H28,'[1]Consolidado MP Planta'!$A$2:$M$823,12,0),"")</f>
        <v>2.1280000000000001</v>
      </c>
      <c r="F28" s="118">
        <f t="shared" si="7"/>
        <v>44.688000000000002</v>
      </c>
      <c r="G28" s="119">
        <f t="shared" si="8"/>
        <v>6.9999508121548488E-4</v>
      </c>
      <c r="H28" s="123" t="s">
        <v>46</v>
      </c>
      <c r="I28" s="123"/>
      <c r="J28" s="121"/>
      <c r="K28" s="603"/>
      <c r="L28" s="603"/>
    </row>
    <row r="29" spans="1:12" ht="13.5" x14ac:dyDescent="0.25">
      <c r="A29" s="116">
        <v>21</v>
      </c>
      <c r="B29" s="122" t="str">
        <f>IFERROR(VLOOKUP(H29,'[1]Consolidado MP Planta'!$A$2:$M$823,3,0),"")</f>
        <v>ETIQ.FECHA VENCIMIENTO BLANCO (ROLLO)</v>
      </c>
      <c r="C29" s="117">
        <f t="shared" si="6"/>
        <v>21</v>
      </c>
      <c r="D29" s="118" t="str">
        <f>IFERROR(VLOOKUP(H29,'[1]Consolidado MP Planta'!$A$2:$M$823,13,0),"")</f>
        <v>Gramos</v>
      </c>
      <c r="E29" s="118">
        <f>IFERROR(VLOOKUP(H29,'[1]Consolidado MP Planta'!$A$2:$M$823,12,0),"")</f>
        <v>0.33333333333333331</v>
      </c>
      <c r="F29" s="118">
        <f t="shared" si="7"/>
        <v>7</v>
      </c>
      <c r="G29" s="119">
        <f t="shared" si="8"/>
        <v>1.0964835232072132E-4</v>
      </c>
      <c r="H29" s="123" t="s">
        <v>44</v>
      </c>
      <c r="I29" s="123"/>
      <c r="J29" s="121"/>
      <c r="K29" s="603"/>
      <c r="L29" s="603"/>
    </row>
    <row r="30" spans="1:12" ht="13.5" hidden="1" x14ac:dyDescent="0.25">
      <c r="A30" s="116"/>
      <c r="B30" s="122" t="str">
        <f>IFERROR(VLOOKUP(H30,'[1]Consolidado MP Planta'!$A$2:$M$823,3,0),"")</f>
        <v/>
      </c>
      <c r="C30" s="117">
        <f t="shared" si="6"/>
        <v>0</v>
      </c>
      <c r="D30" s="118" t="str">
        <f>IFERROR(VLOOKUP(H30,'[1]Consolidado MP Planta'!$A$2:$M$823,13,0),"")</f>
        <v/>
      </c>
      <c r="E30" s="118" t="str">
        <f>IFERROR(VLOOKUP(H30,'[1]Consolidado MP Planta'!$A$2:$M$823,12,0),"")</f>
        <v/>
      </c>
      <c r="F30" s="118" t="str">
        <f t="shared" si="7"/>
        <v/>
      </c>
      <c r="G30" s="119" t="str">
        <f t="shared" si="8"/>
        <v/>
      </c>
      <c r="H30" s="123"/>
      <c r="I30" s="123"/>
      <c r="J30" s="121"/>
      <c r="K30" s="603"/>
      <c r="L30" s="603"/>
    </row>
    <row r="31" spans="1:12" ht="13.5" hidden="1" x14ac:dyDescent="0.25">
      <c r="A31" s="116"/>
      <c r="B31" s="122" t="str">
        <f>IFERROR(VLOOKUP(H31,'[1]Consolidado MP Planta'!$A$2:$M$823,3,0),"")</f>
        <v/>
      </c>
      <c r="C31" s="117">
        <f t="shared" si="6"/>
        <v>0</v>
      </c>
      <c r="D31" s="118" t="str">
        <f>IFERROR(VLOOKUP(H31,'[1]Consolidado MP Planta'!$A$2:$M$823,13,0),"")</f>
        <v/>
      </c>
      <c r="E31" s="118" t="str">
        <f>IFERROR(VLOOKUP(H31,'[1]Consolidado MP Planta'!$A$2:$M$823,12,0),"")</f>
        <v/>
      </c>
      <c r="F31" s="118" t="str">
        <f t="shared" si="7"/>
        <v/>
      </c>
      <c r="G31" s="119" t="str">
        <f t="shared" si="8"/>
        <v/>
      </c>
      <c r="H31" s="123"/>
      <c r="I31" s="123"/>
      <c r="J31" s="121"/>
      <c r="K31" s="124"/>
      <c r="L31" s="125"/>
    </row>
    <row r="32" spans="1:12" ht="13.5" hidden="1" x14ac:dyDescent="0.25">
      <c r="A32" s="116"/>
      <c r="B32" s="122" t="str">
        <f>IFERROR(VLOOKUP(H32,'[1]Consolidado MP Planta'!$A$2:$M$823,3,0),"")</f>
        <v/>
      </c>
      <c r="C32" s="117">
        <f t="shared" si="6"/>
        <v>0</v>
      </c>
      <c r="D32" s="118" t="str">
        <f>IFERROR(VLOOKUP(H32,'[1]Consolidado MP Planta'!$A$2:$M$823,13,0),"")</f>
        <v/>
      </c>
      <c r="E32" s="118" t="str">
        <f>IFERROR(VLOOKUP(H32,'[1]Consolidado MP Planta'!$A$2:$M$823,12,0),"")</f>
        <v/>
      </c>
      <c r="F32" s="118" t="str">
        <f t="shared" si="7"/>
        <v/>
      </c>
      <c r="G32" s="119" t="str">
        <f t="shared" si="8"/>
        <v/>
      </c>
      <c r="H32" s="123"/>
      <c r="I32" s="123"/>
      <c r="J32" s="121"/>
    </row>
    <row r="33" spans="1:13" ht="14.25" thickBot="1" x14ac:dyDescent="0.3">
      <c r="A33" s="116"/>
      <c r="B33" s="122"/>
      <c r="C33" s="117"/>
      <c r="D33" s="118"/>
      <c r="E33" s="118"/>
      <c r="F33" s="118"/>
      <c r="G33" s="119"/>
      <c r="H33" s="123"/>
      <c r="I33" s="123"/>
      <c r="J33" s="121"/>
    </row>
    <row r="34" spans="1:13" ht="26.25" thickBot="1" x14ac:dyDescent="0.25">
      <c r="A34" s="111" t="s">
        <v>94</v>
      </c>
      <c r="B34" s="112" t="s">
        <v>106</v>
      </c>
      <c r="C34" s="112" t="s">
        <v>94</v>
      </c>
      <c r="D34" s="113" t="s">
        <v>96</v>
      </c>
      <c r="E34" s="113" t="s">
        <v>97</v>
      </c>
      <c r="F34" s="113" t="s">
        <v>98</v>
      </c>
      <c r="G34" s="113" t="s">
        <v>99</v>
      </c>
      <c r="H34" s="114" t="s">
        <v>100</v>
      </c>
      <c r="I34" s="123"/>
      <c r="J34" s="121"/>
    </row>
    <row r="35" spans="1:13" ht="13.5" x14ac:dyDescent="0.25">
      <c r="A35" s="116">
        <f>+A17</f>
        <v>47400</v>
      </c>
      <c r="B35" s="122" t="s">
        <v>75</v>
      </c>
      <c r="C35" s="117">
        <f>+A35</f>
        <v>47400</v>
      </c>
      <c r="D35" s="118" t="s">
        <v>102</v>
      </c>
      <c r="E35" s="118">
        <v>0</v>
      </c>
      <c r="F35" s="118">
        <f>IFERROR(E35*C35,"")</f>
        <v>0</v>
      </c>
      <c r="G35" s="119">
        <f t="shared" ref="G35:G41" si="9">IFERROR(F35/$F$66,"")</f>
        <v>0</v>
      </c>
      <c r="H35" s="123" t="s">
        <v>103</v>
      </c>
      <c r="I35" s="123"/>
      <c r="J35" s="121"/>
    </row>
    <row r="36" spans="1:13" ht="13.5" x14ac:dyDescent="0.25">
      <c r="A36" s="116">
        <f t="shared" ref="A36:A41" si="10">+A18</f>
        <v>2380</v>
      </c>
      <c r="B36" s="122" t="str">
        <f>IFERROR(VLOOKUP(H36,[1]SEMIELABORADOS!$A$2:$M$6000,2,0),"")</f>
        <v>MEZCLA P/ENGRASE MOLDES KILO</v>
      </c>
      <c r="C36" s="117">
        <f t="shared" ref="C36:C41" si="11">+A36</f>
        <v>2380</v>
      </c>
      <c r="D36" s="118" t="str">
        <f>IFERROR(VLOOKUP(H36,[1]SEMIELABORADOS!$A$2:$M$6000,6,0),"")</f>
        <v>Gramo</v>
      </c>
      <c r="E36" s="118">
        <f>IFERROR(VLOOKUP(H36,[1]SEMIELABORADOS!$A$2:$M$65536,10,0),"")</f>
        <v>2.1536385000000002E-2</v>
      </c>
      <c r="F36" s="118">
        <f t="shared" ref="F36:F41" si="12">IFERROR(E36*C36,"")</f>
        <v>51.256596300000005</v>
      </c>
      <c r="G36" s="119">
        <f t="shared" si="9"/>
        <v>8.0288590426619733E-4</v>
      </c>
      <c r="H36" s="123" t="s">
        <v>104</v>
      </c>
      <c r="I36" s="123"/>
      <c r="J36" s="121"/>
    </row>
    <row r="37" spans="1:13" ht="13.5" hidden="1" x14ac:dyDescent="0.25">
      <c r="A37" s="116">
        <f t="shared" si="10"/>
        <v>0</v>
      </c>
      <c r="B37" s="122" t="str">
        <f>IFERROR(VLOOKUP(H37,[1]SEMIELABORADOS!$A$2:$M$6000,2,0),"")</f>
        <v/>
      </c>
      <c r="C37" s="117">
        <f t="shared" si="11"/>
        <v>0</v>
      </c>
      <c r="D37" s="118" t="str">
        <f>IFERROR(VLOOKUP(H37,[1]SEMIELABORADOS!$A$2:$M$6000,6,0),"")</f>
        <v/>
      </c>
      <c r="E37" s="118" t="str">
        <f>IFERROR(VLOOKUP(H37,[1]SEMIELABORADOS!$A$2:$M$65536,10,0),"")</f>
        <v/>
      </c>
      <c r="F37" s="118" t="str">
        <f t="shared" si="12"/>
        <v/>
      </c>
      <c r="G37" s="119" t="str">
        <f t="shared" si="9"/>
        <v/>
      </c>
      <c r="H37" s="123"/>
      <c r="I37" s="123"/>
      <c r="J37" s="121"/>
    </row>
    <row r="38" spans="1:13" ht="13.5" hidden="1" x14ac:dyDescent="0.25">
      <c r="A38" s="116">
        <f t="shared" si="10"/>
        <v>0</v>
      </c>
      <c r="B38" s="122" t="str">
        <f>IFERROR(VLOOKUP(H38,[1]SEMIELABORADOS!$A$2:$M$6000,2,0),"")</f>
        <v/>
      </c>
      <c r="C38" s="117">
        <f>+A38</f>
        <v>0</v>
      </c>
      <c r="D38" s="118" t="str">
        <f>IFERROR(VLOOKUP(H38,[1]SEMIELABORADOS!$A$2:$M$6000,6,0),"")</f>
        <v/>
      </c>
      <c r="E38" s="118" t="str">
        <f>IFERROR(VLOOKUP(H38,[1]SEMIELABORADOS!$A$2:$M$65536,10,0),"")</f>
        <v/>
      </c>
      <c r="F38" s="118" t="str">
        <f>IFERROR(E38*C38,"")</f>
        <v/>
      </c>
      <c r="G38" s="119" t="str">
        <f t="shared" si="9"/>
        <v/>
      </c>
      <c r="H38" s="123"/>
      <c r="I38" s="123"/>
      <c r="J38" s="121"/>
    </row>
    <row r="39" spans="1:13" ht="13.5" hidden="1" x14ac:dyDescent="0.25">
      <c r="A39" s="116">
        <f t="shared" si="10"/>
        <v>0</v>
      </c>
      <c r="B39" s="122" t="str">
        <f>IFERROR(VLOOKUP(H39,[1]SEMIELABORADOS!$A$2:$M$6000,2,0),"")</f>
        <v/>
      </c>
      <c r="C39" s="117">
        <f>+A39</f>
        <v>0</v>
      </c>
      <c r="D39" s="118" t="str">
        <f>IFERROR(VLOOKUP(H39,[1]SEMIELABORADOS!$A$2:$M$6000,6,0),"")</f>
        <v/>
      </c>
      <c r="E39" s="118" t="str">
        <f>IFERROR(VLOOKUP(H39,[1]SEMIELABORADOS!$A$2:$M$65536,10,0),"")</f>
        <v/>
      </c>
      <c r="F39" s="118" t="str">
        <f>IFERROR(E39*C39,"")</f>
        <v/>
      </c>
      <c r="G39" s="119" t="str">
        <f t="shared" si="9"/>
        <v/>
      </c>
      <c r="H39" s="123"/>
      <c r="I39" s="123"/>
      <c r="J39" s="121"/>
    </row>
    <row r="40" spans="1:13" ht="13.5" hidden="1" x14ac:dyDescent="0.25">
      <c r="A40" s="116">
        <f t="shared" si="10"/>
        <v>0</v>
      </c>
      <c r="B40" s="122" t="str">
        <f>IFERROR(VLOOKUP(H40,[1]SEMIELABORADOS!$A$2:$M$6000,2,0),"")</f>
        <v/>
      </c>
      <c r="C40" s="117">
        <f t="shared" si="11"/>
        <v>0</v>
      </c>
      <c r="D40" s="118" t="str">
        <f>IFERROR(VLOOKUP(H40,[1]SEMIELABORADOS!$A$2:$M$6000,6,0),"")</f>
        <v/>
      </c>
      <c r="E40" s="118" t="str">
        <f>IFERROR(VLOOKUP(H40,[1]SEMIELABORADOS!$A$2:$M$65536,10,0),"")</f>
        <v/>
      </c>
      <c r="F40" s="118" t="str">
        <f t="shared" si="12"/>
        <v/>
      </c>
      <c r="G40" s="119" t="str">
        <f t="shared" si="9"/>
        <v/>
      </c>
      <c r="H40" s="123"/>
      <c r="I40" s="123"/>
      <c r="J40" s="121"/>
    </row>
    <row r="41" spans="1:13" ht="13.5" hidden="1" x14ac:dyDescent="0.25">
      <c r="A41" s="116">
        <f t="shared" si="10"/>
        <v>0</v>
      </c>
      <c r="B41" s="122" t="str">
        <f>IFERROR(VLOOKUP(H41,[1]SEMIELABORADOS!$A$2:$M$6000,2,0),"")</f>
        <v/>
      </c>
      <c r="C41" s="117">
        <f t="shared" si="11"/>
        <v>0</v>
      </c>
      <c r="D41" s="118" t="str">
        <f>IFERROR(VLOOKUP(H41,[1]SEMIELABORADOS!$A$2:$M$6000,6,0),"")</f>
        <v/>
      </c>
      <c r="E41" s="118" t="str">
        <f>IFERROR(VLOOKUP(H41,[1]SEMIELABORADOS!$A$2:$M$65536,10,0),"")</f>
        <v/>
      </c>
      <c r="F41" s="118" t="str">
        <f t="shared" si="12"/>
        <v/>
      </c>
      <c r="G41" s="119" t="str">
        <f t="shared" si="9"/>
        <v/>
      </c>
      <c r="H41" s="123"/>
      <c r="I41" s="123"/>
      <c r="J41" s="121"/>
    </row>
    <row r="42" spans="1:13" ht="14.25" thickBot="1" x14ac:dyDescent="0.3">
      <c r="A42" s="116"/>
      <c r="B42" s="122"/>
      <c r="C42" s="117"/>
      <c r="D42" s="118"/>
      <c r="E42" s="118"/>
      <c r="F42" s="118"/>
      <c r="G42" s="119"/>
      <c r="H42" s="123"/>
      <c r="I42" s="123"/>
      <c r="J42" s="121"/>
    </row>
    <row r="43" spans="1:13" ht="26.25" thickBot="1" x14ac:dyDescent="0.25">
      <c r="A43" s="111" t="s">
        <v>94</v>
      </c>
      <c r="B43" s="112" t="s">
        <v>107</v>
      </c>
      <c r="C43" s="112" t="s">
        <v>94</v>
      </c>
      <c r="D43" s="113" t="s">
        <v>96</v>
      </c>
      <c r="E43" s="113" t="s">
        <v>97</v>
      </c>
      <c r="F43" s="113" t="s">
        <v>98</v>
      </c>
      <c r="G43" s="113" t="s">
        <v>99</v>
      </c>
      <c r="H43" s="114" t="s">
        <v>100</v>
      </c>
      <c r="I43" s="115"/>
      <c r="J43" s="121"/>
    </row>
    <row r="44" spans="1:13" ht="13.5" x14ac:dyDescent="0.25">
      <c r="A44" s="116">
        <f>+A35</f>
        <v>47400</v>
      </c>
      <c r="B44" s="122" t="s">
        <v>75</v>
      </c>
      <c r="C44" s="117">
        <f>+A44</f>
        <v>47400</v>
      </c>
      <c r="D44" s="118" t="s">
        <v>102</v>
      </c>
      <c r="E44" s="118">
        <v>0.02</v>
      </c>
      <c r="F44" s="118">
        <f>IFERROR(E44*C44,"")</f>
        <v>948</v>
      </c>
      <c r="G44" s="119">
        <f>IFERROR(F44/$F$66,"")</f>
        <v>1.4849519714291973E-2</v>
      </c>
      <c r="H44" s="123" t="s">
        <v>103</v>
      </c>
      <c r="I44" s="115"/>
      <c r="J44" s="121"/>
    </row>
    <row r="45" spans="1:13" ht="13.5" x14ac:dyDescent="0.25">
      <c r="A45" s="116">
        <f t="shared" ref="A45:A50" si="13">+A36</f>
        <v>2380</v>
      </c>
      <c r="B45" s="122" t="str">
        <f>IFERROR(VLOOKUP(H45,[1]SEMIELABORADOS!$A$2:$M$6000,2,0),"")</f>
        <v>MEZCLA P/ENGRASE MOLDES KILO</v>
      </c>
      <c r="C45" s="117">
        <f t="shared" ref="C45:C50" si="14">+A45</f>
        <v>2380</v>
      </c>
      <c r="D45" s="118" t="str">
        <f>IFERROR(VLOOKUP(H45,[1]SEMIELABORADOS!$A$2:$M$6000,6,0),"")</f>
        <v>Gramo</v>
      </c>
      <c r="E45" s="118">
        <f>IFERROR(VLOOKUP(H45,[1]SEMIELABORADOS!$A$2:$M$65536,12,0),"")</f>
        <v>0.25127579955503354</v>
      </c>
      <c r="F45" s="118">
        <f t="shared" ref="F45:F50" si="15">IFERROR(E45*C45,"")</f>
        <v>598.03640294097988</v>
      </c>
      <c r="G45" s="119">
        <f t="shared" ref="G45:G50" si="16">IFERROR(F45/$F$66,"")</f>
        <v>9.3676723157556322E-3</v>
      </c>
      <c r="H45" s="123" t="s">
        <v>104</v>
      </c>
      <c r="I45" s="115"/>
      <c r="J45" s="121"/>
      <c r="M45" s="126"/>
    </row>
    <row r="46" spans="1:13" ht="13.5" hidden="1" x14ac:dyDescent="0.25">
      <c r="A46" s="116">
        <f t="shared" si="13"/>
        <v>0</v>
      </c>
      <c r="B46" s="122" t="str">
        <f>IFERROR(VLOOKUP(H46,[1]SEMIELABORADOS!$A$2:$M$6000,2,0),"")</f>
        <v/>
      </c>
      <c r="C46" s="117">
        <f t="shared" si="14"/>
        <v>0</v>
      </c>
      <c r="D46" s="118" t="str">
        <f>IFERROR(VLOOKUP(H46,[1]SEMIELABORADOS!$A$2:$M$6000,6,0),"")</f>
        <v/>
      </c>
      <c r="E46" s="118" t="str">
        <f>IFERROR(VLOOKUP(H46,[1]SEMIELABORADOS!$A$2:$M$65536,12,0),"")</f>
        <v/>
      </c>
      <c r="F46" s="118" t="str">
        <f t="shared" si="15"/>
        <v/>
      </c>
      <c r="G46" s="119" t="str">
        <f t="shared" si="16"/>
        <v/>
      </c>
      <c r="H46" s="123"/>
      <c r="I46" s="115"/>
      <c r="J46" s="121"/>
    </row>
    <row r="47" spans="1:13" ht="13.5" hidden="1" x14ac:dyDescent="0.25">
      <c r="A47" s="116">
        <f t="shared" si="13"/>
        <v>0</v>
      </c>
      <c r="B47" s="122" t="str">
        <f>IFERROR(VLOOKUP(H47,[1]SEMIELABORADOS!$A$2:$M$6000,2,0),"")</f>
        <v/>
      </c>
      <c r="C47" s="117">
        <f t="shared" si="14"/>
        <v>0</v>
      </c>
      <c r="D47" s="118" t="str">
        <f>IFERROR(VLOOKUP(H47,[1]SEMIELABORADOS!$A$2:$M$6000,6,0),"")</f>
        <v/>
      </c>
      <c r="E47" s="118" t="str">
        <f>IFERROR(VLOOKUP(H47,[1]SEMIELABORADOS!$A$2:$M$65536,12,0),"")</f>
        <v/>
      </c>
      <c r="F47" s="118" t="str">
        <f t="shared" si="15"/>
        <v/>
      </c>
      <c r="G47" s="119" t="str">
        <f t="shared" si="16"/>
        <v/>
      </c>
      <c r="H47" s="123"/>
      <c r="I47" s="115"/>
      <c r="J47" s="121"/>
    </row>
    <row r="48" spans="1:13" ht="13.5" hidden="1" x14ac:dyDescent="0.25">
      <c r="A48" s="116">
        <f t="shared" si="13"/>
        <v>0</v>
      </c>
      <c r="B48" s="122" t="str">
        <f>IFERROR(VLOOKUP(H48,[1]SEMIELABORADOS!$A$2:$M$6000,2,0),"")</f>
        <v/>
      </c>
      <c r="C48" s="117">
        <f t="shared" si="14"/>
        <v>0</v>
      </c>
      <c r="D48" s="118" t="str">
        <f>IFERROR(VLOOKUP(H48,[1]SEMIELABORADOS!$A$2:$M$6000,6,0),"")</f>
        <v/>
      </c>
      <c r="E48" s="118" t="str">
        <f>IFERROR(VLOOKUP(H48,[1]SEMIELABORADOS!$A$2:$M$65536,12,0),"")</f>
        <v/>
      </c>
      <c r="F48" s="118" t="str">
        <f t="shared" si="15"/>
        <v/>
      </c>
      <c r="G48" s="119" t="str">
        <f t="shared" si="16"/>
        <v/>
      </c>
      <c r="H48" s="123"/>
      <c r="I48" s="115"/>
      <c r="J48" s="121"/>
    </row>
    <row r="49" spans="1:17" ht="13.5" hidden="1" x14ac:dyDescent="0.25">
      <c r="A49" s="116">
        <f t="shared" si="13"/>
        <v>0</v>
      </c>
      <c r="B49" s="122" t="str">
        <f>IFERROR(VLOOKUP(H49,[1]SEMIELABORADOS!$A$2:$M$6000,2,0),"")</f>
        <v/>
      </c>
      <c r="C49" s="117">
        <f t="shared" si="14"/>
        <v>0</v>
      </c>
      <c r="D49" s="118" t="str">
        <f>IFERROR(VLOOKUP(H49,[1]SEMIELABORADOS!$A$2:$M$6000,6,0),"")</f>
        <v/>
      </c>
      <c r="E49" s="118" t="str">
        <f>IFERROR(VLOOKUP(H49,[1]SEMIELABORADOS!$A$2:$M$65536,12,0),"")</f>
        <v/>
      </c>
      <c r="F49" s="118" t="str">
        <f t="shared" si="15"/>
        <v/>
      </c>
      <c r="G49" s="119" t="str">
        <f t="shared" si="16"/>
        <v/>
      </c>
      <c r="H49" s="123"/>
      <c r="I49" s="115"/>
      <c r="J49" s="121"/>
    </row>
    <row r="50" spans="1:17" ht="13.5" hidden="1" x14ac:dyDescent="0.25">
      <c r="A50" s="116">
        <f t="shared" si="13"/>
        <v>0</v>
      </c>
      <c r="B50" s="122" t="str">
        <f>IFERROR(VLOOKUP(H50,[1]SEMIELABORADOS!$A$2:$M$6000,2,0),"")</f>
        <v/>
      </c>
      <c r="C50" s="117">
        <f t="shared" si="14"/>
        <v>0</v>
      </c>
      <c r="D50" s="118" t="str">
        <f>IFERROR(VLOOKUP(H50,[1]SEMIELABORADOS!$A$2:$M$6000,6,0),"")</f>
        <v/>
      </c>
      <c r="E50" s="118" t="str">
        <f>IFERROR(VLOOKUP(H50,[1]SEMIELABORADOS!$A$2:$M$65536,12,0),"")</f>
        <v/>
      </c>
      <c r="F50" s="118" t="str">
        <f t="shared" si="15"/>
        <v/>
      </c>
      <c r="G50" s="119" t="str">
        <f t="shared" si="16"/>
        <v/>
      </c>
      <c r="H50" s="122"/>
      <c r="I50" s="115"/>
      <c r="J50" s="121"/>
    </row>
    <row r="51" spans="1:17" ht="13.5" x14ac:dyDescent="0.25">
      <c r="A51" s="116">
        <v>1</v>
      </c>
      <c r="B51" s="122" t="s">
        <v>108</v>
      </c>
      <c r="C51" s="117">
        <f>+A51</f>
        <v>1</v>
      </c>
      <c r="D51" s="117" t="s">
        <v>109</v>
      </c>
      <c r="E51" s="118">
        <f>+F65</f>
        <v>2135</v>
      </c>
      <c r="F51" s="118">
        <f>IFERROR(C51*E51,"")</f>
        <v>2135</v>
      </c>
      <c r="G51" s="119">
        <f>IFERROR(F51/$F$66,"")</f>
        <v>3.3442747457819999E-2</v>
      </c>
      <c r="H51" s="127"/>
      <c r="I51" s="127"/>
      <c r="J51" s="121"/>
    </row>
    <row r="52" spans="1:17" ht="14.25" thickBot="1" x14ac:dyDescent="0.3">
      <c r="A52" s="116"/>
      <c r="B52" s="122"/>
      <c r="C52" s="117"/>
      <c r="D52" s="117"/>
      <c r="E52" s="118"/>
      <c r="F52" s="118"/>
      <c r="G52" s="119"/>
      <c r="H52" s="127"/>
      <c r="I52" s="127"/>
      <c r="J52" s="121"/>
    </row>
    <row r="53" spans="1:17" ht="13.5" thickBot="1" x14ac:dyDescent="0.25">
      <c r="A53" s="128"/>
      <c r="B53" s="604" t="s">
        <v>110</v>
      </c>
      <c r="C53" s="604"/>
      <c r="D53" s="604"/>
      <c r="E53" s="604"/>
      <c r="F53" s="130">
        <f>SUM(F8:F14,F17:F24)</f>
        <v>59365.19999999999</v>
      </c>
      <c r="G53" s="119">
        <f>+F53/$F$66</f>
        <v>0.92989948074144058</v>
      </c>
      <c r="H53" s="131">
        <f>+F53/$D$60</f>
        <v>3047.6252406417107</v>
      </c>
      <c r="I53" s="131"/>
      <c r="J53" s="132"/>
      <c r="K53" s="133"/>
      <c r="L53" s="133"/>
      <c r="M53" s="133"/>
      <c r="N53" s="133"/>
      <c r="O53" s="133"/>
      <c r="P53" s="133"/>
      <c r="Q53" s="134"/>
    </row>
    <row r="54" spans="1:17" x14ac:dyDescent="0.2">
      <c r="A54" s="128"/>
      <c r="B54" s="604" t="s">
        <v>111</v>
      </c>
      <c r="C54" s="604"/>
      <c r="D54" s="604"/>
      <c r="E54" s="604"/>
      <c r="F54" s="130">
        <f>SUM(F27:F32,F35:F41)</f>
        <v>1152.9445963000001</v>
      </c>
      <c r="G54" s="119">
        <f>+F54/$F$66</f>
        <v>1.8059782185910603E-2</v>
      </c>
      <c r="H54" s="131">
        <f>+F54/$D$60</f>
        <v>59.188599596149729</v>
      </c>
      <c r="I54" s="131"/>
      <c r="J54" s="135"/>
      <c r="K54" s="605" t="s">
        <v>112</v>
      </c>
      <c r="L54" s="606"/>
      <c r="M54" s="606"/>
      <c r="N54" s="606"/>
      <c r="O54" s="136">
        <f>+F55</f>
        <v>60518.144596299993</v>
      </c>
      <c r="P54" s="136"/>
      <c r="Q54" s="137"/>
    </row>
    <row r="55" spans="1:17" x14ac:dyDescent="0.2">
      <c r="A55" s="128"/>
      <c r="B55" s="604" t="s">
        <v>113</v>
      </c>
      <c r="C55" s="604"/>
      <c r="D55" s="604"/>
      <c r="E55" s="604"/>
      <c r="F55" s="130">
        <f>+F53+F54</f>
        <v>60518.144596299993</v>
      </c>
      <c r="G55" s="119">
        <f>+F55/$F$66</f>
        <v>0.94795926292735122</v>
      </c>
      <c r="H55" s="131">
        <f>+F55/$D$60</f>
        <v>3106.8138402378604</v>
      </c>
      <c r="I55" s="131"/>
      <c r="J55" s="138"/>
      <c r="K55" s="139"/>
      <c r="M55" s="140" t="s">
        <v>114</v>
      </c>
      <c r="N55" s="141"/>
      <c r="O55" s="136">
        <f>+H56</f>
        <v>188.97299180873478</v>
      </c>
      <c r="P55" s="136"/>
      <c r="Q55" s="137"/>
    </row>
    <row r="56" spans="1:17" ht="13.5" thickBot="1" x14ac:dyDescent="0.25">
      <c r="A56" s="128"/>
      <c r="B56" s="129"/>
      <c r="C56" s="604" t="s">
        <v>115</v>
      </c>
      <c r="D56" s="604"/>
      <c r="E56" s="604"/>
      <c r="F56" s="130">
        <f>SUM(F44:F51)</f>
        <v>3681.0364029409798</v>
      </c>
      <c r="G56" s="119">
        <f>+F56/$F$66</f>
        <v>5.7659939487867608E-2</v>
      </c>
      <c r="H56" s="131">
        <f>+F56/$D$60</f>
        <v>188.97299180873478</v>
      </c>
      <c r="I56" s="131"/>
      <c r="J56" s="138"/>
      <c r="K56" s="139"/>
      <c r="L56" s="139"/>
      <c r="M56" s="139" t="s">
        <v>116</v>
      </c>
      <c r="N56" s="142"/>
      <c r="O56" s="136">
        <f>O54*N56</f>
        <v>0</v>
      </c>
      <c r="P56" s="136"/>
      <c r="Q56" s="137"/>
    </row>
    <row r="57" spans="1:17" ht="13.5" thickBot="1" x14ac:dyDescent="0.25">
      <c r="A57" s="128"/>
      <c r="B57" s="143"/>
      <c r="C57" s="143"/>
      <c r="D57" s="143"/>
      <c r="E57" s="143"/>
      <c r="F57" s="144"/>
      <c r="G57" s="119"/>
      <c r="H57" s="145"/>
      <c r="I57" s="131"/>
      <c r="J57" s="138"/>
      <c r="K57" s="146"/>
      <c r="M57" s="147" t="s">
        <v>117</v>
      </c>
      <c r="N57" s="148"/>
      <c r="O57" s="149">
        <f>SUM(O54:O56)</f>
        <v>60707.117588108726</v>
      </c>
      <c r="P57" s="150"/>
      <c r="Q57" s="137"/>
    </row>
    <row r="58" spans="1:17" x14ac:dyDescent="0.2">
      <c r="B58" s="608" t="s">
        <v>118</v>
      </c>
      <c r="C58" s="608"/>
      <c r="D58" s="151">
        <v>46750</v>
      </c>
      <c r="E58" s="152"/>
      <c r="G58" s="119"/>
      <c r="H58" s="145">
        <f>+H56/61</f>
        <v>3.0979178985038489</v>
      </c>
      <c r="I58" s="153"/>
      <c r="J58" s="138"/>
      <c r="K58" s="146"/>
      <c r="L58" s="139"/>
      <c r="M58" s="139" t="s">
        <v>119</v>
      </c>
      <c r="N58" s="154"/>
      <c r="O58" s="136">
        <f>+H59</f>
        <v>179.67923811322325</v>
      </c>
      <c r="P58" s="136"/>
      <c r="Q58" s="137"/>
    </row>
    <row r="59" spans="1:17" x14ac:dyDescent="0.2">
      <c r="B59" s="608" t="s">
        <v>120</v>
      </c>
      <c r="C59" s="608"/>
      <c r="D59" s="155">
        <v>2400</v>
      </c>
      <c r="E59" s="152"/>
      <c r="G59" s="119"/>
      <c r="H59" s="145">
        <f>+H58*58</f>
        <v>179.67923811322325</v>
      </c>
      <c r="I59" s="153"/>
      <c r="J59" s="138"/>
      <c r="K59" s="146"/>
      <c r="L59" s="139"/>
      <c r="M59" s="609" t="s">
        <v>117</v>
      </c>
      <c r="N59" s="609"/>
      <c r="O59" s="136">
        <f>SUM(O57:O58)</f>
        <v>60886.796826221951</v>
      </c>
      <c r="P59" s="136"/>
      <c r="Q59" s="137"/>
    </row>
    <row r="60" spans="1:17" ht="13.5" thickBot="1" x14ac:dyDescent="0.25">
      <c r="B60" s="610" t="s">
        <v>121</v>
      </c>
      <c r="C60" s="610"/>
      <c r="D60" s="151">
        <f>+D58/D59</f>
        <v>19.479166666666668</v>
      </c>
      <c r="E60" s="152"/>
      <c r="F60" s="156"/>
      <c r="G60" s="119"/>
      <c r="H60" s="145"/>
      <c r="I60" s="153"/>
      <c r="J60" s="138"/>
      <c r="K60" s="146"/>
      <c r="L60" s="609"/>
      <c r="M60" s="609"/>
      <c r="N60" s="154"/>
      <c r="O60" s="136">
        <f>+O59*N60</f>
        <v>0</v>
      </c>
      <c r="P60" s="136"/>
      <c r="Q60" s="137"/>
    </row>
    <row r="61" spans="1:17" ht="13.5" thickBot="1" x14ac:dyDescent="0.25">
      <c r="B61" s="610" t="s">
        <v>122</v>
      </c>
      <c r="C61" s="610"/>
      <c r="D61" s="157"/>
      <c r="E61" s="152"/>
      <c r="F61" s="156"/>
      <c r="G61" s="119"/>
      <c r="H61" s="145"/>
      <c r="I61" s="153"/>
      <c r="J61" s="138"/>
      <c r="K61" s="611" t="s">
        <v>123</v>
      </c>
      <c r="L61" s="612"/>
      <c r="M61" s="612"/>
      <c r="N61" s="613"/>
      <c r="O61" s="149">
        <f>SUM(O59:O60)</f>
        <v>60886.796826221951</v>
      </c>
      <c r="P61" s="158" t="s">
        <v>124</v>
      </c>
      <c r="Q61" s="137"/>
    </row>
    <row r="62" spans="1:17" ht="13.5" thickBot="1" x14ac:dyDescent="0.25">
      <c r="C62" s="128" t="s">
        <v>125</v>
      </c>
      <c r="D62" s="159"/>
      <c r="E62" s="102" t="s">
        <v>126</v>
      </c>
      <c r="F62" s="160" t="s">
        <v>127</v>
      </c>
      <c r="G62" s="119"/>
      <c r="H62" s="145"/>
      <c r="I62" s="153"/>
      <c r="J62" s="161"/>
      <c r="K62" s="162"/>
      <c r="L62" s="619" t="s">
        <v>128</v>
      </c>
      <c r="M62" s="619"/>
      <c r="N62" s="619"/>
      <c r="O62" s="163">
        <f>+O61/D60</f>
        <v>3125.7393023087202</v>
      </c>
      <c r="P62" s="164">
        <f>+O62/D59</f>
        <v>1.3023913759619667</v>
      </c>
      <c r="Q62" s="165"/>
    </row>
    <row r="63" spans="1:17" ht="13.5" thickBot="1" x14ac:dyDescent="0.25">
      <c r="B63" s="620" t="s">
        <v>113</v>
      </c>
      <c r="C63" s="620"/>
      <c r="D63" s="620"/>
      <c r="E63" s="166">
        <f>+F63/F63</f>
        <v>1</v>
      </c>
      <c r="F63" s="167">
        <f>SUM(F55)</f>
        <v>60518.144596299993</v>
      </c>
      <c r="G63" s="119">
        <f>+F63/$F$66</f>
        <v>0.94795926292735122</v>
      </c>
      <c r="H63" s="145"/>
      <c r="I63" s="153"/>
      <c r="K63" s="621"/>
      <c r="L63" s="622"/>
      <c r="M63" s="622"/>
      <c r="N63" s="622"/>
      <c r="O63" s="168"/>
      <c r="P63" s="169"/>
    </row>
    <row r="64" spans="1:17" ht="13.5" thickBot="1" x14ac:dyDescent="0.25">
      <c r="B64" s="623" t="s">
        <v>129</v>
      </c>
      <c r="C64" s="623"/>
      <c r="D64" s="623"/>
      <c r="E64" s="170">
        <v>0.02</v>
      </c>
      <c r="F64" s="167">
        <f>+F53*E64</f>
        <v>1187.3039999999999</v>
      </c>
      <c r="G64" s="119">
        <f>+F64/$F$66</f>
        <v>1.8597989614828812E-2</v>
      </c>
      <c r="H64" s="131"/>
      <c r="I64" s="153"/>
      <c r="J64" s="171"/>
      <c r="O64" s="172"/>
      <c r="P64" s="129"/>
    </row>
    <row r="65" spans="2:13" ht="13.5" thickBot="1" x14ac:dyDescent="0.25">
      <c r="B65" s="624" t="s">
        <v>130</v>
      </c>
      <c r="C65" s="625"/>
      <c r="D65" s="173">
        <v>35</v>
      </c>
      <c r="E65" s="174">
        <v>61</v>
      </c>
      <c r="F65" s="167">
        <f>+E65*D65</f>
        <v>2135</v>
      </c>
      <c r="G65" s="119">
        <f>+F65/$F$66</f>
        <v>3.3442747457819999E-2</v>
      </c>
      <c r="H65" s="131"/>
      <c r="I65" s="131"/>
      <c r="J65" s="121"/>
    </row>
    <row r="66" spans="2:13" ht="13.5" thickBot="1" x14ac:dyDescent="0.25">
      <c r="B66" s="626" t="s">
        <v>131</v>
      </c>
      <c r="C66" s="627"/>
      <c r="D66" s="627"/>
      <c r="E66" s="628"/>
      <c r="F66" s="144">
        <f>SUM(F63:F65)</f>
        <v>63840.44859629999</v>
      </c>
      <c r="G66" s="119">
        <f>+F66/$F$66</f>
        <v>1</v>
      </c>
      <c r="H66" s="607"/>
      <c r="I66" s="131"/>
      <c r="J66" s="121"/>
      <c r="M66" s="104" t="s">
        <v>132</v>
      </c>
    </row>
    <row r="67" spans="2:13" x14ac:dyDescent="0.2">
      <c r="C67" s="126"/>
      <c r="D67" s="126"/>
      <c r="E67" s="176"/>
      <c r="F67" s="167"/>
      <c r="G67" s="119"/>
      <c r="H67" s="607"/>
      <c r="I67" s="175"/>
      <c r="J67" s="104"/>
      <c r="M67" s="104" t="s">
        <v>133</v>
      </c>
    </row>
    <row r="68" spans="2:13" ht="13.5" thickBot="1" x14ac:dyDescent="0.25">
      <c r="B68" s="614" t="s">
        <v>134</v>
      </c>
      <c r="C68" s="614"/>
      <c r="D68" s="614"/>
      <c r="E68" s="614"/>
      <c r="F68" s="614"/>
      <c r="G68" s="119"/>
      <c r="H68" s="178"/>
      <c r="I68" s="175"/>
      <c r="J68" s="104"/>
      <c r="M68" s="104" t="s">
        <v>135</v>
      </c>
    </row>
    <row r="69" spans="2:13" ht="13.5" thickBot="1" x14ac:dyDescent="0.25">
      <c r="B69" s="179" t="s">
        <v>136</v>
      </c>
      <c r="C69" s="180">
        <f>+F53</f>
        <v>59365.19999999999</v>
      </c>
      <c r="D69" s="180">
        <f>+D58</f>
        <v>46750</v>
      </c>
      <c r="E69" s="181">
        <f>+C69/D69</f>
        <v>1.2698438502673794</v>
      </c>
      <c r="F69" s="119"/>
      <c r="G69" s="178"/>
      <c r="H69" s="121"/>
      <c r="I69" s="178"/>
      <c r="J69" s="104"/>
    </row>
    <row r="70" spans="2:13" x14ac:dyDescent="0.2">
      <c r="B70" s="182"/>
      <c r="C70" s="183"/>
      <c r="D70" s="184"/>
      <c r="E70" s="167"/>
      <c r="F70" s="119"/>
      <c r="G70" s="178"/>
      <c r="H70" s="121"/>
      <c r="I70" s="121"/>
      <c r="J70" s="104"/>
    </row>
    <row r="71" spans="2:13" x14ac:dyDescent="0.2">
      <c r="B71" s="179" t="s">
        <v>137</v>
      </c>
      <c r="C71" s="180">
        <f>SUM(F63:F64)</f>
        <v>61705.44859629999</v>
      </c>
      <c r="D71" s="180">
        <f>+D58</f>
        <v>46750</v>
      </c>
      <c r="E71" s="185">
        <f>+C71/D71</f>
        <v>1.3199026437711228</v>
      </c>
      <c r="F71" s="119"/>
      <c r="G71" s="178"/>
      <c r="H71" s="121"/>
      <c r="I71" s="121"/>
      <c r="J71" s="104"/>
    </row>
    <row r="72" spans="2:13" x14ac:dyDescent="0.2">
      <c r="B72" s="179"/>
      <c r="C72" s="180"/>
      <c r="D72" s="180"/>
      <c r="E72" s="185"/>
      <c r="F72" s="119"/>
      <c r="G72" s="178"/>
      <c r="H72" s="121"/>
      <c r="I72" s="121"/>
      <c r="J72" s="104"/>
    </row>
    <row r="73" spans="2:13" ht="13.5" thickBot="1" x14ac:dyDescent="0.25">
      <c r="B73" s="179" t="s">
        <v>138</v>
      </c>
      <c r="C73" s="180">
        <f>+F65</f>
        <v>2135</v>
      </c>
      <c r="D73" s="180">
        <f>+D58</f>
        <v>46750</v>
      </c>
      <c r="E73" s="185">
        <f>+C73/D73</f>
        <v>4.5668449197860964E-2</v>
      </c>
      <c r="F73" s="119"/>
      <c r="G73" s="178"/>
      <c r="H73" s="121"/>
      <c r="I73" s="121"/>
      <c r="J73" s="104"/>
    </row>
    <row r="74" spans="2:13" ht="13.5" thickBot="1" x14ac:dyDescent="0.25">
      <c r="B74" s="179" t="s">
        <v>139</v>
      </c>
      <c r="C74" s="180">
        <f>+F56</f>
        <v>3681.0364029409798</v>
      </c>
      <c r="D74" s="180">
        <f>+D73</f>
        <v>46750</v>
      </c>
      <c r="E74" s="181">
        <f>+C74/D74</f>
        <v>7.873874658697283E-2</v>
      </c>
      <c r="F74" s="119"/>
      <c r="G74" s="178"/>
      <c r="H74" s="121"/>
      <c r="I74" s="121"/>
      <c r="J74" s="104"/>
    </row>
    <row r="75" spans="2:13" ht="13.5" thickBot="1" x14ac:dyDescent="0.25">
      <c r="B75" s="143"/>
      <c r="C75" s="144"/>
      <c r="D75" s="144"/>
      <c r="E75" s="185"/>
      <c r="F75" s="119"/>
      <c r="G75" s="178"/>
      <c r="H75" s="121"/>
      <c r="I75" s="121"/>
      <c r="J75" s="104"/>
    </row>
    <row r="76" spans="2:13" ht="13.5" thickBot="1" x14ac:dyDescent="0.25">
      <c r="B76" s="179" t="s">
        <v>140</v>
      </c>
      <c r="C76" s="180">
        <f>+F54</f>
        <v>1152.9445963000001</v>
      </c>
      <c r="D76" s="180">
        <f>+D74</f>
        <v>46750</v>
      </c>
      <c r="E76" s="181">
        <f>+C76/D76</f>
        <v>2.4661916498395723E-2</v>
      </c>
      <c r="F76" s="119"/>
      <c r="G76" s="178"/>
      <c r="H76" s="121"/>
      <c r="I76" s="121"/>
      <c r="J76" s="121"/>
    </row>
    <row r="77" spans="2:13" ht="13.5" thickBot="1" x14ac:dyDescent="0.25">
      <c r="B77" s="143"/>
      <c r="C77" s="144"/>
      <c r="D77" s="144"/>
      <c r="E77" s="185"/>
      <c r="F77" s="119"/>
      <c r="G77" s="178"/>
      <c r="H77" s="121"/>
      <c r="I77" s="121"/>
    </row>
    <row r="78" spans="2:13" ht="13.5" thickBot="1" x14ac:dyDescent="0.25">
      <c r="B78" s="615" t="s">
        <v>141</v>
      </c>
      <c r="C78" s="616"/>
      <c r="D78" s="617"/>
      <c r="E78" s="181">
        <f>+E69+E74</f>
        <v>1.3485825968543523</v>
      </c>
      <c r="G78" s="119"/>
      <c r="H78" s="178"/>
      <c r="I78" s="121"/>
      <c r="J78" s="185"/>
    </row>
    <row r="79" spans="2:13" x14ac:dyDescent="0.2">
      <c r="I79" s="178"/>
      <c r="J79" s="104"/>
    </row>
    <row r="80" spans="2:13" ht="13.5" thickBot="1" x14ac:dyDescent="0.25">
      <c r="B80" s="614" t="s">
        <v>142</v>
      </c>
      <c r="C80" s="614"/>
      <c r="D80" s="614"/>
      <c r="E80" s="614"/>
      <c r="F80" s="614"/>
      <c r="G80" s="119"/>
      <c r="H80" s="178"/>
      <c r="J80" s="104"/>
    </row>
    <row r="81" spans="1:10" ht="13.5" thickBot="1" x14ac:dyDescent="0.25">
      <c r="B81" s="179" t="s">
        <v>136</v>
      </c>
      <c r="C81" s="180">
        <f>+C69</f>
        <v>59365.19999999999</v>
      </c>
      <c r="D81" s="180">
        <f>+D60</f>
        <v>19.479166666666668</v>
      </c>
      <c r="E81" s="181">
        <f>+C81/D81</f>
        <v>3047.6252406417107</v>
      </c>
      <c r="F81" s="119"/>
      <c r="G81" s="178"/>
      <c r="H81" s="121"/>
      <c r="I81" s="178"/>
      <c r="J81" s="104"/>
    </row>
    <row r="82" spans="1:10" x14ac:dyDescent="0.2">
      <c r="B82" s="182"/>
      <c r="C82" s="183"/>
      <c r="D82" s="184"/>
      <c r="E82" s="167"/>
      <c r="F82" s="119"/>
      <c r="G82" s="178"/>
      <c r="H82" s="121"/>
      <c r="I82" s="121"/>
      <c r="J82" s="104"/>
    </row>
    <row r="83" spans="1:10" x14ac:dyDescent="0.2">
      <c r="B83" s="179" t="s">
        <v>137</v>
      </c>
      <c r="C83" s="180">
        <f>+C71</f>
        <v>61705.44859629999</v>
      </c>
      <c r="D83" s="180">
        <f>+D60</f>
        <v>19.479166666666668</v>
      </c>
      <c r="E83" s="185">
        <f>+C83/D83</f>
        <v>3167.7663450506943</v>
      </c>
      <c r="F83" s="119"/>
      <c r="G83" s="178"/>
      <c r="H83" s="121"/>
      <c r="I83" s="121"/>
      <c r="J83" s="104"/>
    </row>
    <row r="84" spans="1:10" x14ac:dyDescent="0.2">
      <c r="B84" s="179"/>
      <c r="C84" s="180"/>
      <c r="D84" s="180"/>
      <c r="E84" s="185"/>
      <c r="F84" s="119"/>
      <c r="G84" s="178"/>
      <c r="H84" s="121"/>
      <c r="I84" s="121"/>
      <c r="J84" s="104"/>
    </row>
    <row r="85" spans="1:10" ht="13.5" thickBot="1" x14ac:dyDescent="0.25">
      <c r="B85" s="179" t="s">
        <v>139</v>
      </c>
      <c r="C85" s="180">
        <f>+C73</f>
        <v>2135</v>
      </c>
      <c r="D85" s="180">
        <f>+D60</f>
        <v>19.479166666666668</v>
      </c>
      <c r="E85" s="185">
        <f>+C85/D85</f>
        <v>109.6042780748663</v>
      </c>
      <c r="F85" s="187"/>
      <c r="G85" s="177"/>
      <c r="H85" s="103"/>
      <c r="I85" s="121"/>
    </row>
    <row r="86" spans="1:10" ht="13.5" thickBot="1" x14ac:dyDescent="0.25">
      <c r="B86" s="179" t="s">
        <v>139</v>
      </c>
      <c r="C86" s="180">
        <f>+C74</f>
        <v>3681.0364029409798</v>
      </c>
      <c r="D86" s="180">
        <f>+D85</f>
        <v>19.479166666666668</v>
      </c>
      <c r="E86" s="181">
        <f>+C86/D86</f>
        <v>188.97299180873478</v>
      </c>
      <c r="F86" s="186"/>
      <c r="G86" s="177"/>
      <c r="H86" s="103"/>
      <c r="I86" s="103"/>
    </row>
    <row r="87" spans="1:10" x14ac:dyDescent="0.2">
      <c r="I87" s="103"/>
    </row>
    <row r="88" spans="1:10" x14ac:dyDescent="0.2">
      <c r="A88" s="618"/>
      <c r="B88" s="618"/>
      <c r="C88" s="188"/>
      <c r="D88" s="188"/>
      <c r="E88" s="189"/>
      <c r="G88" s="190"/>
    </row>
    <row r="89" spans="1:10" x14ac:dyDescent="0.2">
      <c r="A89" s="122"/>
      <c r="B89" s="191"/>
      <c r="C89" s="192"/>
      <c r="D89" s="192"/>
      <c r="E89" s="193"/>
      <c r="G89" s="190"/>
    </row>
    <row r="90" spans="1:10" x14ac:dyDescent="0.2">
      <c r="A90" s="122"/>
      <c r="B90" s="191"/>
      <c r="C90" s="194"/>
      <c r="D90" s="194"/>
      <c r="E90" s="122"/>
      <c r="G90" s="190"/>
    </row>
    <row r="91" spans="1:10" x14ac:dyDescent="0.2">
      <c r="A91" s="122"/>
      <c r="B91" s="191"/>
      <c r="C91" s="195"/>
      <c r="D91" s="195"/>
      <c r="E91" s="122"/>
      <c r="G91" s="190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2D97-F4AE-40DB-95DE-17F46F536BC1}">
  <dimension ref="B1:N40"/>
  <sheetViews>
    <sheetView workbookViewId="0">
      <selection activeCell="D12" sqref="D12"/>
    </sheetView>
  </sheetViews>
  <sheetFormatPr baseColWidth="10" defaultRowHeight="12.75" x14ac:dyDescent="0.2"/>
  <cols>
    <col min="4" max="4" width="48.42578125" customWidth="1"/>
    <col min="9" max="9" width="24" bestFit="1" customWidth="1"/>
  </cols>
  <sheetData>
    <row r="1" spans="2:10" ht="15.75" x14ac:dyDescent="0.25">
      <c r="B1" s="666"/>
      <c r="C1" s="666"/>
      <c r="D1" s="633" t="s">
        <v>24</v>
      </c>
      <c r="E1" s="634"/>
      <c r="F1" s="634"/>
      <c r="G1" s="634"/>
      <c r="H1" s="634"/>
      <c r="I1" s="5" t="s">
        <v>0</v>
      </c>
      <c r="J1" s="25"/>
    </row>
    <row r="2" spans="2:10" ht="16.5" thickBot="1" x14ac:dyDescent="0.3">
      <c r="B2" s="666"/>
      <c r="C2" s="666"/>
      <c r="D2" s="635" t="s">
        <v>1</v>
      </c>
      <c r="E2" s="636"/>
      <c r="F2" s="636"/>
      <c r="G2" s="636"/>
      <c r="H2" s="636"/>
      <c r="I2" s="6" t="s">
        <v>2</v>
      </c>
      <c r="J2" s="24"/>
    </row>
    <row r="3" spans="2:10" ht="18.75" thickBot="1" x14ac:dyDescent="0.25">
      <c r="B3" s="666"/>
      <c r="C3" s="666"/>
      <c r="D3" s="637" t="s">
        <v>265</v>
      </c>
      <c r="E3" s="637"/>
      <c r="F3" s="637"/>
      <c r="G3" s="637"/>
      <c r="H3" s="638"/>
      <c r="I3" s="639" t="s">
        <v>3</v>
      </c>
      <c r="J3" s="642"/>
    </row>
    <row r="4" spans="2:10" ht="13.5" x14ac:dyDescent="0.25">
      <c r="B4" s="666"/>
      <c r="C4" s="666"/>
      <c r="D4" s="30" t="s">
        <v>4</v>
      </c>
      <c r="E4" s="644" t="s">
        <v>64</v>
      </c>
      <c r="F4" s="645"/>
      <c r="G4" s="645"/>
      <c r="H4" s="646"/>
      <c r="I4" s="640"/>
      <c r="J4" s="643"/>
    </row>
    <row r="5" spans="2:10" ht="14.25" thickBot="1" x14ac:dyDescent="0.3">
      <c r="B5" s="666"/>
      <c r="C5" s="666"/>
      <c r="D5" s="31" t="s">
        <v>5</v>
      </c>
      <c r="E5" s="647" t="s">
        <v>55</v>
      </c>
      <c r="F5" s="648"/>
      <c r="G5" s="648"/>
      <c r="H5" s="649"/>
      <c r="I5" s="641"/>
      <c r="J5" s="643"/>
    </row>
    <row r="6" spans="2:10" ht="25.5" x14ac:dyDescent="0.2">
      <c r="B6" s="876" t="s">
        <v>6</v>
      </c>
      <c r="C6" s="877" t="s">
        <v>56</v>
      </c>
      <c r="D6" s="771" t="s">
        <v>7</v>
      </c>
      <c r="E6" s="771" t="s">
        <v>8</v>
      </c>
      <c r="F6" s="771" t="s">
        <v>9</v>
      </c>
      <c r="G6" s="771"/>
      <c r="H6" s="771" t="s">
        <v>10</v>
      </c>
      <c r="I6" s="771"/>
      <c r="J6" s="222" t="s">
        <v>11</v>
      </c>
    </row>
    <row r="7" spans="2:10" ht="26.25" thickBot="1" x14ac:dyDescent="0.25">
      <c r="B7" s="785"/>
      <c r="C7" s="878"/>
      <c r="D7" s="788"/>
      <c r="E7" s="789"/>
      <c r="F7" s="223" t="s">
        <v>12</v>
      </c>
      <c r="G7" s="224" t="s">
        <v>13</v>
      </c>
      <c r="H7" s="223" t="s">
        <v>12</v>
      </c>
      <c r="I7" s="224" t="s">
        <v>13</v>
      </c>
      <c r="J7" s="239" t="s">
        <v>14</v>
      </c>
    </row>
    <row r="8" spans="2:10" ht="13.5" x14ac:dyDescent="0.25">
      <c r="B8" s="250"/>
      <c r="C8" s="250"/>
      <c r="D8" s="251" t="s">
        <v>30</v>
      </c>
      <c r="E8" s="247"/>
      <c r="F8" s="214"/>
      <c r="G8" s="226"/>
      <c r="H8" s="213"/>
      <c r="I8" s="214"/>
      <c r="J8" s="240"/>
    </row>
    <row r="9" spans="2:10" ht="13.5" x14ac:dyDescent="0.25">
      <c r="B9" s="260" t="s">
        <v>65</v>
      </c>
      <c r="C9" s="260" t="s">
        <v>263</v>
      </c>
      <c r="D9" s="261" t="s">
        <v>151</v>
      </c>
      <c r="E9" s="247" t="s">
        <v>42</v>
      </c>
      <c r="F9" s="214">
        <v>1950</v>
      </c>
      <c r="G9" s="226" t="s">
        <v>28</v>
      </c>
      <c r="H9" s="225"/>
      <c r="I9" s="212"/>
      <c r="J9" s="241"/>
    </row>
    <row r="10" spans="2:10" ht="15" x14ac:dyDescent="0.25">
      <c r="B10" s="262">
        <v>96344</v>
      </c>
      <c r="C10" s="263" t="s">
        <v>70</v>
      </c>
      <c r="D10" s="218" t="s">
        <v>71</v>
      </c>
      <c r="E10" s="247" t="s">
        <v>42</v>
      </c>
      <c r="F10" s="214">
        <v>300</v>
      </c>
      <c r="G10" s="226" t="s">
        <v>28</v>
      </c>
      <c r="H10" s="225"/>
      <c r="I10" s="212"/>
      <c r="J10" s="241"/>
    </row>
    <row r="11" spans="2:10" ht="13.5" x14ac:dyDescent="0.25">
      <c r="B11" s="250"/>
      <c r="C11" s="250"/>
      <c r="D11" s="251"/>
      <c r="E11" s="247"/>
      <c r="F11" s="214"/>
      <c r="G11" s="226"/>
      <c r="H11" s="225"/>
      <c r="I11" s="212"/>
      <c r="J11" s="241"/>
    </row>
    <row r="12" spans="2:10" ht="13.5" x14ac:dyDescent="0.25">
      <c r="B12" s="250"/>
      <c r="C12" s="250"/>
      <c r="D12" s="251" t="s">
        <v>29</v>
      </c>
      <c r="E12" s="247"/>
      <c r="F12" s="214"/>
      <c r="G12" s="226"/>
      <c r="H12" s="225"/>
      <c r="I12" s="212"/>
      <c r="J12" s="241"/>
    </row>
    <row r="13" spans="2:10" ht="13.5" x14ac:dyDescent="0.25">
      <c r="B13" s="260" t="s">
        <v>67</v>
      </c>
      <c r="C13" s="260" t="s">
        <v>262</v>
      </c>
      <c r="D13" s="261" t="s">
        <v>66</v>
      </c>
      <c r="E13" s="247" t="s">
        <v>42</v>
      </c>
      <c r="F13" s="214">
        <v>300</v>
      </c>
      <c r="G13" s="226" t="s">
        <v>28</v>
      </c>
      <c r="H13" s="881" t="s">
        <v>32</v>
      </c>
      <c r="I13" s="882"/>
      <c r="J13" s="243"/>
    </row>
    <row r="14" spans="2:10" ht="13.5" x14ac:dyDescent="0.25">
      <c r="B14" s="264">
        <v>905000063</v>
      </c>
      <c r="C14" s="264" t="s">
        <v>152</v>
      </c>
      <c r="D14" s="265" t="s">
        <v>153</v>
      </c>
      <c r="E14" s="247" t="s">
        <v>42</v>
      </c>
      <c r="F14" s="214">
        <v>180</v>
      </c>
      <c r="G14" s="226" t="s">
        <v>28</v>
      </c>
      <c r="H14" s="879" t="s">
        <v>154</v>
      </c>
      <c r="I14" s="880"/>
      <c r="J14" s="241"/>
    </row>
    <row r="15" spans="2:10" ht="13.5" x14ac:dyDescent="0.25">
      <c r="B15" s="266" t="s">
        <v>65</v>
      </c>
      <c r="C15" s="266" t="s">
        <v>264</v>
      </c>
      <c r="D15" s="267" t="s">
        <v>155</v>
      </c>
      <c r="E15" s="247" t="s">
        <v>156</v>
      </c>
      <c r="F15" s="214">
        <v>15</v>
      </c>
      <c r="G15" s="226" t="s">
        <v>28</v>
      </c>
      <c r="H15" s="268"/>
      <c r="I15" s="269"/>
      <c r="J15" s="241"/>
    </row>
    <row r="16" spans="2:10" ht="13.5" x14ac:dyDescent="0.25">
      <c r="B16" s="256"/>
      <c r="C16" s="257"/>
      <c r="D16" s="255"/>
      <c r="E16" s="247"/>
      <c r="F16" s="214"/>
      <c r="G16" s="226"/>
      <c r="H16" s="225"/>
      <c r="I16" s="212"/>
      <c r="J16" s="241"/>
    </row>
    <row r="17" spans="2:14" ht="15" x14ac:dyDescent="0.25">
      <c r="B17" s="252"/>
      <c r="C17" s="252"/>
      <c r="D17" s="254" t="s">
        <v>27</v>
      </c>
      <c r="E17" s="235"/>
      <c r="F17" s="225"/>
      <c r="G17" s="212"/>
      <c r="H17" s="213"/>
      <c r="I17" s="214"/>
      <c r="J17" s="211"/>
      <c r="K17" s="219"/>
      <c r="L17" s="219"/>
      <c r="M17" s="219"/>
      <c r="N17" s="219"/>
    </row>
    <row r="18" spans="2:14" ht="15" x14ac:dyDescent="0.25">
      <c r="B18" s="248" t="s">
        <v>38</v>
      </c>
      <c r="C18" s="248" t="s">
        <v>57</v>
      </c>
      <c r="D18" s="249" t="s">
        <v>43</v>
      </c>
      <c r="E18" s="235" t="s">
        <v>35</v>
      </c>
      <c r="F18" s="225">
        <v>1</v>
      </c>
      <c r="G18" s="212" t="s">
        <v>36</v>
      </c>
      <c r="H18" s="213"/>
      <c r="I18" s="214"/>
      <c r="J18" s="211"/>
      <c r="K18" s="219"/>
      <c r="L18" s="219"/>
      <c r="M18" s="219"/>
      <c r="N18" s="219"/>
    </row>
    <row r="19" spans="2:14" ht="15.75" x14ac:dyDescent="0.25">
      <c r="B19" s="248" t="s">
        <v>50</v>
      </c>
      <c r="C19" s="248" t="s">
        <v>58</v>
      </c>
      <c r="D19" s="249" t="s">
        <v>51</v>
      </c>
      <c r="E19" s="242" t="s">
        <v>31</v>
      </c>
      <c r="F19" s="225">
        <v>1</v>
      </c>
      <c r="G19" s="212" t="s">
        <v>36</v>
      </c>
      <c r="H19" s="213"/>
      <c r="I19" s="214"/>
      <c r="J19" s="211"/>
      <c r="K19" s="219"/>
      <c r="L19" s="219"/>
      <c r="M19" s="219"/>
      <c r="N19" s="219"/>
    </row>
    <row r="20" spans="2:14" ht="15" x14ac:dyDescent="0.25">
      <c r="B20" s="248" t="s">
        <v>44</v>
      </c>
      <c r="C20" s="248" t="s">
        <v>62</v>
      </c>
      <c r="D20" s="249" t="s">
        <v>45</v>
      </c>
      <c r="E20" s="235" t="s">
        <v>33</v>
      </c>
      <c r="F20" s="225">
        <v>1</v>
      </c>
      <c r="G20" s="212" t="s">
        <v>36</v>
      </c>
      <c r="H20" s="213"/>
      <c r="I20" s="214"/>
      <c r="J20" s="211"/>
      <c r="K20" s="219"/>
      <c r="L20" s="219"/>
      <c r="M20" s="219"/>
      <c r="N20" s="219"/>
    </row>
    <row r="21" spans="2:14" ht="15" x14ac:dyDescent="0.25">
      <c r="B21" s="248" t="s">
        <v>46</v>
      </c>
      <c r="C21" s="259" t="s">
        <v>62</v>
      </c>
      <c r="D21" s="249" t="s">
        <v>47</v>
      </c>
      <c r="E21" s="235" t="s">
        <v>34</v>
      </c>
      <c r="F21" s="225">
        <v>1</v>
      </c>
      <c r="G21" s="212" t="s">
        <v>36</v>
      </c>
      <c r="H21" s="213"/>
      <c r="I21" s="213"/>
      <c r="J21" s="211"/>
      <c r="K21" s="219"/>
      <c r="L21" s="219"/>
      <c r="M21" s="219"/>
      <c r="N21" s="219"/>
    </row>
    <row r="22" spans="2:14" ht="15" x14ac:dyDescent="0.25">
      <c r="B22" s="248" t="s">
        <v>39</v>
      </c>
      <c r="C22" s="248" t="s">
        <v>59</v>
      </c>
      <c r="D22" s="249" t="s">
        <v>40</v>
      </c>
      <c r="E22" s="217" t="s">
        <v>34</v>
      </c>
      <c r="F22" s="237">
        <v>1</v>
      </c>
      <c r="G22" s="238" t="s">
        <v>36</v>
      </c>
      <c r="H22" s="213"/>
      <c r="I22" s="213"/>
      <c r="J22" s="211"/>
      <c r="K22" s="219"/>
      <c r="L22" s="219"/>
      <c r="M22" s="219"/>
      <c r="N22" s="219"/>
    </row>
    <row r="23" spans="2:14" ht="15" x14ac:dyDescent="0.25">
      <c r="B23" s="248" t="s">
        <v>48</v>
      </c>
      <c r="C23" s="248" t="s">
        <v>60</v>
      </c>
      <c r="D23" s="249" t="s">
        <v>49</v>
      </c>
      <c r="E23" s="253"/>
      <c r="F23" s="226">
        <v>1</v>
      </c>
      <c r="G23" s="226" t="s">
        <v>36</v>
      </c>
      <c r="H23" s="226"/>
      <c r="I23" s="226"/>
      <c r="J23" s="211"/>
      <c r="K23" s="219"/>
      <c r="L23" s="219"/>
      <c r="M23" s="219"/>
      <c r="N23" s="219"/>
    </row>
    <row r="24" spans="2:14" ht="14.25" thickBot="1" x14ac:dyDescent="0.3">
      <c r="B24" s="256">
        <v>703020</v>
      </c>
      <c r="C24" s="257" t="s">
        <v>61</v>
      </c>
      <c r="D24" s="255" t="s">
        <v>52</v>
      </c>
      <c r="E24" s="219"/>
      <c r="F24" s="246">
        <v>60</v>
      </c>
      <c r="G24" s="245" t="s">
        <v>53</v>
      </c>
      <c r="H24" s="219"/>
      <c r="I24" s="219"/>
      <c r="J24" s="227"/>
      <c r="K24" s="219"/>
      <c r="L24" s="219"/>
      <c r="M24" s="228"/>
      <c r="N24" s="219"/>
    </row>
    <row r="25" spans="2:14" ht="14.25" thickBot="1" x14ac:dyDescent="0.3">
      <c r="B25" s="229"/>
      <c r="C25" s="258"/>
      <c r="D25" s="230"/>
      <c r="E25" s="231" t="s">
        <v>12</v>
      </c>
      <c r="F25" s="232" t="s">
        <v>15</v>
      </c>
      <c r="G25" s="233"/>
      <c r="H25" s="230"/>
      <c r="I25" s="230"/>
      <c r="J25" s="234"/>
      <c r="K25" s="219"/>
      <c r="L25" s="219"/>
      <c r="M25" s="228"/>
      <c r="N25" s="219"/>
    </row>
    <row r="26" spans="2:14" ht="13.5" x14ac:dyDescent="0.25">
      <c r="B26" s="772" t="s">
        <v>16</v>
      </c>
      <c r="C26" s="773"/>
      <c r="D26" s="774"/>
      <c r="E26" s="225">
        <v>2700</v>
      </c>
      <c r="F26" s="215" t="s">
        <v>28</v>
      </c>
      <c r="G26" s="775" t="s">
        <v>25</v>
      </c>
      <c r="H26" s="775"/>
      <c r="I26" s="776"/>
      <c r="J26" s="777"/>
      <c r="K26" s="219"/>
      <c r="L26" s="219"/>
      <c r="M26" s="228"/>
      <c r="N26" s="219"/>
    </row>
    <row r="27" spans="2:14" ht="13.5" x14ac:dyDescent="0.25">
      <c r="B27" s="778" t="s">
        <v>17</v>
      </c>
      <c r="C27" s="779"/>
      <c r="D27" s="780"/>
      <c r="E27" s="214">
        <v>8</v>
      </c>
      <c r="F27" s="214" t="s">
        <v>37</v>
      </c>
      <c r="G27" s="781" t="s">
        <v>18</v>
      </c>
      <c r="H27" s="781"/>
      <c r="I27" s="782"/>
      <c r="J27" s="783"/>
      <c r="K27" s="219"/>
      <c r="L27" s="219"/>
      <c r="M27" s="228"/>
      <c r="N27" s="219"/>
    </row>
    <row r="28" spans="2:14" ht="13.5" x14ac:dyDescent="0.25">
      <c r="B28" s="778" t="s">
        <v>19</v>
      </c>
      <c r="C28" s="779"/>
      <c r="D28" s="780"/>
      <c r="E28" s="214">
        <v>1</v>
      </c>
      <c r="F28" s="214" t="s">
        <v>36</v>
      </c>
      <c r="G28" s="781" t="s">
        <v>26</v>
      </c>
      <c r="H28" s="781"/>
      <c r="I28" s="782"/>
      <c r="J28" s="783"/>
      <c r="K28" s="219"/>
      <c r="L28" s="219"/>
      <c r="M28" s="228"/>
      <c r="N28" s="219"/>
    </row>
    <row r="29" spans="2:14" ht="13.5" x14ac:dyDescent="0.25">
      <c r="B29" s="778" t="s">
        <v>20</v>
      </c>
      <c r="C29" s="779"/>
      <c r="D29" s="780"/>
      <c r="E29" s="213">
        <v>2700</v>
      </c>
      <c r="F29" s="214" t="s">
        <v>28</v>
      </c>
      <c r="G29" s="794" t="s">
        <v>21</v>
      </c>
      <c r="H29" s="795"/>
      <c r="I29" s="782"/>
      <c r="J29" s="783"/>
      <c r="K29" s="219"/>
      <c r="L29" s="219"/>
      <c r="M29" s="228"/>
      <c r="N29" s="236"/>
    </row>
    <row r="30" spans="2:14" ht="14.25" thickBot="1" x14ac:dyDescent="0.3">
      <c r="B30" s="796" t="s">
        <v>22</v>
      </c>
      <c r="C30" s="797"/>
      <c r="D30" s="798"/>
      <c r="E30" s="244">
        <v>30</v>
      </c>
      <c r="F30" s="216" t="s">
        <v>28</v>
      </c>
      <c r="G30" s="799"/>
      <c r="H30" s="799"/>
      <c r="I30" s="800"/>
      <c r="J30" s="801"/>
      <c r="K30" s="219"/>
      <c r="L30" s="219"/>
      <c r="M30" s="228"/>
      <c r="N30" s="219"/>
    </row>
    <row r="31" spans="2:14" ht="13.5" thickBot="1" x14ac:dyDescent="0.25">
      <c r="B31" s="802" t="s">
        <v>23</v>
      </c>
      <c r="C31" s="803"/>
      <c r="D31" s="803"/>
      <c r="E31" s="803"/>
      <c r="F31" s="803"/>
      <c r="G31" s="803"/>
      <c r="H31" s="803"/>
      <c r="I31" s="803"/>
      <c r="J31" s="804"/>
      <c r="K31" s="219"/>
      <c r="L31" s="219"/>
      <c r="M31" s="219"/>
      <c r="N31" s="219"/>
    </row>
    <row r="32" spans="2:14" ht="15.75" x14ac:dyDescent="0.25">
      <c r="B32" s="681" t="s">
        <v>157</v>
      </c>
      <c r="C32" s="682"/>
      <c r="D32" s="682"/>
      <c r="E32" s="682"/>
      <c r="F32" s="682"/>
      <c r="G32" s="682"/>
      <c r="H32" s="682"/>
      <c r="I32" s="682"/>
      <c r="J32" s="683"/>
      <c r="K32" s="219"/>
      <c r="L32" s="219"/>
      <c r="M32" s="219"/>
      <c r="N32" s="219"/>
    </row>
    <row r="33" spans="2:10" ht="15.75" x14ac:dyDescent="0.25">
      <c r="B33" s="681" t="s">
        <v>158</v>
      </c>
      <c r="C33" s="682"/>
      <c r="D33" s="682"/>
      <c r="E33" s="682"/>
      <c r="F33" s="682"/>
      <c r="G33" s="682"/>
      <c r="H33" s="682"/>
      <c r="I33" s="682"/>
      <c r="J33" s="683"/>
    </row>
    <row r="34" spans="2:10" ht="15.75" x14ac:dyDescent="0.25">
      <c r="B34" s="681" t="s">
        <v>69</v>
      </c>
      <c r="C34" s="682"/>
      <c r="D34" s="682"/>
      <c r="E34" s="682"/>
      <c r="F34" s="682"/>
      <c r="G34" s="682"/>
      <c r="H34" s="682"/>
      <c r="I34" s="682"/>
      <c r="J34" s="683"/>
    </row>
    <row r="35" spans="2:10" x14ac:dyDescent="0.2">
      <c r="B35" s="219"/>
      <c r="C35" s="219"/>
      <c r="D35" s="219"/>
      <c r="E35" s="219"/>
      <c r="F35" s="219"/>
      <c r="G35" s="219"/>
      <c r="H35" s="219"/>
      <c r="I35" s="219"/>
      <c r="J35" s="219"/>
    </row>
    <row r="36" spans="2:10" ht="14.25" thickBot="1" x14ac:dyDescent="0.3">
      <c r="B36" s="872"/>
      <c r="C36" s="873"/>
      <c r="D36" s="874"/>
      <c r="E36" s="874"/>
      <c r="F36" s="874"/>
      <c r="G36" s="874"/>
      <c r="H36" s="874"/>
      <c r="I36" s="874"/>
      <c r="J36" s="875"/>
    </row>
    <row r="37" spans="2:10" ht="13.5" thickBot="1" x14ac:dyDescent="0.25">
      <c r="B37" s="883" t="s">
        <v>41</v>
      </c>
      <c r="C37" s="884"/>
      <c r="D37" s="885"/>
      <c r="E37" s="885"/>
      <c r="F37" s="885"/>
      <c r="G37" s="885"/>
      <c r="H37" s="885"/>
      <c r="I37" s="885"/>
      <c r="J37" s="886"/>
    </row>
    <row r="38" spans="2:10" ht="14.25" thickBot="1" x14ac:dyDescent="0.3">
      <c r="B38" s="872"/>
      <c r="C38" s="873"/>
      <c r="D38" s="874"/>
      <c r="E38" s="874"/>
      <c r="F38" s="874"/>
      <c r="G38" s="874"/>
      <c r="H38" s="874"/>
      <c r="I38" s="874"/>
      <c r="J38" s="875"/>
    </row>
    <row r="39" spans="2:10" ht="14.25" thickBot="1" x14ac:dyDescent="0.3">
      <c r="B39" s="872"/>
      <c r="C39" s="873"/>
      <c r="D39" s="874"/>
      <c r="E39" s="874"/>
      <c r="F39" s="874"/>
      <c r="G39" s="874"/>
      <c r="H39" s="874"/>
      <c r="I39" s="874"/>
      <c r="J39" s="875"/>
    </row>
    <row r="40" spans="2:10" ht="14.25" thickBot="1" x14ac:dyDescent="0.3">
      <c r="B40" s="872"/>
      <c r="C40" s="873"/>
      <c r="D40" s="874"/>
      <c r="E40" s="874"/>
      <c r="F40" s="874"/>
      <c r="G40" s="874"/>
      <c r="H40" s="874"/>
      <c r="I40" s="874"/>
      <c r="J40" s="875"/>
    </row>
  </sheetData>
  <mergeCells count="40">
    <mergeCell ref="B29:D29"/>
    <mergeCell ref="G29:H29"/>
    <mergeCell ref="I29:J29"/>
    <mergeCell ref="B30:D30"/>
    <mergeCell ref="G30:H30"/>
    <mergeCell ref="I30:J30"/>
    <mergeCell ref="B39:J39"/>
    <mergeCell ref="B31:J31"/>
    <mergeCell ref="B32:J32"/>
    <mergeCell ref="B33:J33"/>
    <mergeCell ref="B34:J34"/>
    <mergeCell ref="B36:J36"/>
    <mergeCell ref="B37:J37"/>
    <mergeCell ref="B38:J38"/>
    <mergeCell ref="B28:D28"/>
    <mergeCell ref="G28:H28"/>
    <mergeCell ref="I28:J28"/>
    <mergeCell ref="B1:C5"/>
    <mergeCell ref="C6:C7"/>
    <mergeCell ref="H14:I14"/>
    <mergeCell ref="H13:I13"/>
    <mergeCell ref="B27:D27"/>
    <mergeCell ref="G27:H27"/>
    <mergeCell ref="I27:J27"/>
    <mergeCell ref="B40:J40"/>
    <mergeCell ref="D1:H1"/>
    <mergeCell ref="D2:H2"/>
    <mergeCell ref="D3:H3"/>
    <mergeCell ref="I3:I5"/>
    <mergeCell ref="J3:J5"/>
    <mergeCell ref="E4:H4"/>
    <mergeCell ref="E5:H5"/>
    <mergeCell ref="B6:B7"/>
    <mergeCell ref="D6:D7"/>
    <mergeCell ref="E6:E7"/>
    <mergeCell ref="F6:G6"/>
    <mergeCell ref="H6:I6"/>
    <mergeCell ref="B26:D26"/>
    <mergeCell ref="G26:H26"/>
    <mergeCell ref="I26:J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9063-FA10-4D2E-8D85-29C7B2C7C939}">
  <dimension ref="A1:M41"/>
  <sheetViews>
    <sheetView topLeftCell="A3" workbookViewId="0">
      <selection activeCell="E14" sqref="E14"/>
    </sheetView>
  </sheetViews>
  <sheetFormatPr baseColWidth="10" defaultRowHeight="12.75" x14ac:dyDescent="0.2"/>
  <cols>
    <col min="3" max="3" width="49.5703125" customWidth="1"/>
  </cols>
  <sheetData>
    <row r="1" spans="1:9" ht="15.75" x14ac:dyDescent="0.25">
      <c r="A1" s="666"/>
      <c r="B1" s="666"/>
      <c r="C1" s="633" t="s">
        <v>24</v>
      </c>
      <c r="D1" s="634"/>
      <c r="E1" s="634"/>
      <c r="F1" s="634"/>
      <c r="G1" s="634"/>
      <c r="H1" s="5" t="s">
        <v>0</v>
      </c>
      <c r="I1" s="25" t="s">
        <v>266</v>
      </c>
    </row>
    <row r="2" spans="1:9" ht="16.5" thickBot="1" x14ac:dyDescent="0.3">
      <c r="A2" s="666"/>
      <c r="B2" s="666"/>
      <c r="C2" s="635" t="s">
        <v>1</v>
      </c>
      <c r="D2" s="636"/>
      <c r="E2" s="636"/>
      <c r="F2" s="636"/>
      <c r="G2" s="636"/>
      <c r="H2" s="6" t="s">
        <v>2</v>
      </c>
      <c r="I2" s="24" t="s">
        <v>267</v>
      </c>
    </row>
    <row r="3" spans="1:9" ht="18.75" thickBot="1" x14ac:dyDescent="0.25">
      <c r="A3" s="666"/>
      <c r="B3" s="666"/>
      <c r="C3" s="637" t="s">
        <v>268</v>
      </c>
      <c r="D3" s="637"/>
      <c r="E3" s="637"/>
      <c r="F3" s="637"/>
      <c r="G3" s="638"/>
      <c r="H3" s="639" t="s">
        <v>3</v>
      </c>
      <c r="I3" s="642">
        <v>45492</v>
      </c>
    </row>
    <row r="4" spans="1:9" ht="13.5" x14ac:dyDescent="0.25">
      <c r="A4" s="666"/>
      <c r="B4" s="666"/>
      <c r="C4" s="30" t="s">
        <v>4</v>
      </c>
      <c r="D4" s="644" t="s">
        <v>64</v>
      </c>
      <c r="E4" s="645"/>
      <c r="F4" s="645"/>
      <c r="G4" s="646"/>
      <c r="H4" s="640"/>
      <c r="I4" s="643"/>
    </row>
    <row r="5" spans="1:9" ht="13.5" x14ac:dyDescent="0.25">
      <c r="A5" s="666"/>
      <c r="B5" s="666"/>
      <c r="C5" s="31" t="s">
        <v>5</v>
      </c>
      <c r="D5" s="647" t="s">
        <v>55</v>
      </c>
      <c r="E5" s="648"/>
      <c r="F5" s="648"/>
      <c r="G5" s="649"/>
      <c r="H5" s="640"/>
      <c r="I5" s="643"/>
    </row>
    <row r="6" spans="1:9" ht="13.5" thickBot="1" x14ac:dyDescent="0.25">
      <c r="A6" s="666"/>
      <c r="B6" s="666"/>
      <c r="C6" s="219" t="s">
        <v>269</v>
      </c>
      <c r="D6" s="887" t="s">
        <v>270</v>
      </c>
      <c r="E6" s="887"/>
      <c r="F6" s="887"/>
      <c r="G6" s="887"/>
      <c r="H6" s="641"/>
      <c r="I6" s="643"/>
    </row>
    <row r="7" spans="1:9" ht="25.5" x14ac:dyDescent="0.2">
      <c r="A7" s="876" t="s">
        <v>6</v>
      </c>
      <c r="B7" s="877" t="s">
        <v>56</v>
      </c>
      <c r="C7" s="771" t="s">
        <v>7</v>
      </c>
      <c r="D7" s="771" t="s">
        <v>8</v>
      </c>
      <c r="E7" s="771" t="s">
        <v>9</v>
      </c>
      <c r="F7" s="771"/>
      <c r="G7" s="771" t="s">
        <v>10</v>
      </c>
      <c r="H7" s="771"/>
      <c r="I7" s="222" t="s">
        <v>11</v>
      </c>
    </row>
    <row r="8" spans="1:9" ht="26.25" thickBot="1" x14ac:dyDescent="0.25">
      <c r="A8" s="785"/>
      <c r="B8" s="878"/>
      <c r="C8" s="788"/>
      <c r="D8" s="789"/>
      <c r="E8" s="223" t="s">
        <v>12</v>
      </c>
      <c r="F8" s="224" t="s">
        <v>13</v>
      </c>
      <c r="G8" s="223" t="s">
        <v>12</v>
      </c>
      <c r="H8" s="224" t="s">
        <v>13</v>
      </c>
      <c r="I8" s="239" t="s">
        <v>14</v>
      </c>
    </row>
    <row r="9" spans="1:9" ht="13.5" x14ac:dyDescent="0.25">
      <c r="A9" s="250"/>
      <c r="B9" s="250"/>
      <c r="C9" s="251" t="s">
        <v>30</v>
      </c>
      <c r="D9" s="247"/>
      <c r="E9" s="214"/>
      <c r="F9" s="226"/>
      <c r="G9" s="213"/>
      <c r="H9" s="214"/>
      <c r="I9" s="240"/>
    </row>
    <row r="10" spans="1:9" ht="13.5" x14ac:dyDescent="0.25">
      <c r="A10" s="260" t="s">
        <v>65</v>
      </c>
      <c r="B10" s="260" t="s">
        <v>263</v>
      </c>
      <c r="C10" s="261" t="s">
        <v>151</v>
      </c>
      <c r="D10" s="247" t="s">
        <v>42</v>
      </c>
      <c r="E10" s="214">
        <v>1950</v>
      </c>
      <c r="F10" s="226" t="s">
        <v>28</v>
      </c>
      <c r="G10" s="225"/>
      <c r="H10" s="212"/>
      <c r="I10" s="241"/>
    </row>
    <row r="11" spans="1:9" ht="15" x14ac:dyDescent="0.25">
      <c r="A11" s="262">
        <v>96344</v>
      </c>
      <c r="B11" s="263" t="s">
        <v>70</v>
      </c>
      <c r="C11" s="218" t="s">
        <v>71</v>
      </c>
      <c r="D11" s="247" t="s">
        <v>42</v>
      </c>
      <c r="E11" s="214">
        <v>300</v>
      </c>
      <c r="F11" s="226" t="s">
        <v>28</v>
      </c>
      <c r="G11" s="225"/>
      <c r="H11" s="212"/>
      <c r="I11" s="241"/>
    </row>
    <row r="12" spans="1:9" ht="13.5" x14ac:dyDescent="0.25">
      <c r="A12" s="250"/>
      <c r="B12" s="250"/>
      <c r="C12" s="251"/>
      <c r="D12" s="247"/>
      <c r="E12" s="214"/>
      <c r="F12" s="226"/>
      <c r="G12" s="225"/>
      <c r="H12" s="212"/>
      <c r="I12" s="241"/>
    </row>
    <row r="13" spans="1:9" ht="13.5" x14ac:dyDescent="0.25">
      <c r="A13" s="250"/>
      <c r="B13" s="250"/>
      <c r="C13" s="251" t="s">
        <v>29</v>
      </c>
      <c r="D13" s="247"/>
      <c r="E13" s="214"/>
      <c r="F13" s="226"/>
      <c r="G13" s="225"/>
      <c r="H13" s="212"/>
      <c r="I13" s="241"/>
    </row>
    <row r="14" spans="1:9" ht="13.5" x14ac:dyDescent="0.25">
      <c r="A14" s="260"/>
      <c r="B14" s="260" t="s">
        <v>262</v>
      </c>
      <c r="C14" s="261" t="s">
        <v>66</v>
      </c>
      <c r="D14" s="247" t="s">
        <v>42</v>
      </c>
      <c r="E14" s="214">
        <v>300</v>
      </c>
      <c r="F14" s="226" t="s">
        <v>28</v>
      </c>
      <c r="G14" s="881" t="s">
        <v>32</v>
      </c>
      <c r="H14" s="882"/>
      <c r="I14" s="243"/>
    </row>
    <row r="15" spans="1:9" ht="13.5" x14ac:dyDescent="0.25">
      <c r="A15" s="264">
        <v>905000063</v>
      </c>
      <c r="B15" s="264" t="s">
        <v>152</v>
      </c>
      <c r="C15" s="265" t="s">
        <v>153</v>
      </c>
      <c r="D15" s="247" t="s">
        <v>42</v>
      </c>
      <c r="E15" s="214">
        <v>180</v>
      </c>
      <c r="F15" s="226" t="s">
        <v>28</v>
      </c>
      <c r="G15" s="879" t="s">
        <v>271</v>
      </c>
      <c r="H15" s="880"/>
      <c r="I15" s="241"/>
    </row>
    <row r="16" spans="1:9" ht="13.5" x14ac:dyDescent="0.25">
      <c r="A16" s="266"/>
      <c r="B16" s="260" t="s">
        <v>262</v>
      </c>
      <c r="C16" s="261" t="s">
        <v>66</v>
      </c>
      <c r="D16" s="247" t="s">
        <v>42</v>
      </c>
      <c r="E16" s="214">
        <v>90</v>
      </c>
      <c r="F16" s="226" t="s">
        <v>28</v>
      </c>
      <c r="G16" s="879" t="s">
        <v>271</v>
      </c>
      <c r="H16" s="880"/>
      <c r="I16" s="241"/>
    </row>
    <row r="17" spans="1:13" ht="13.5" x14ac:dyDescent="0.25">
      <c r="A17" s="256"/>
      <c r="B17" s="257"/>
      <c r="C17" s="255"/>
      <c r="D17" s="247"/>
      <c r="E17" s="214"/>
      <c r="F17" s="226"/>
      <c r="G17" s="225"/>
      <c r="H17" s="212"/>
      <c r="I17" s="241"/>
      <c r="J17" s="219"/>
      <c r="K17" s="219"/>
      <c r="L17" s="219"/>
      <c r="M17" s="219"/>
    </row>
    <row r="18" spans="1:13" ht="15" x14ac:dyDescent="0.25">
      <c r="A18" s="252"/>
      <c r="B18" s="252"/>
      <c r="C18" s="254" t="s">
        <v>27</v>
      </c>
      <c r="D18" s="235"/>
      <c r="E18" s="225"/>
      <c r="F18" s="212"/>
      <c r="G18" s="213"/>
      <c r="H18" s="214"/>
      <c r="I18" s="211"/>
      <c r="J18" s="219"/>
      <c r="K18" s="219"/>
      <c r="L18" s="219"/>
      <c r="M18" s="219"/>
    </row>
    <row r="19" spans="1:13" ht="15" x14ac:dyDescent="0.25">
      <c r="A19" s="248" t="s">
        <v>38</v>
      </c>
      <c r="B19" s="248" t="s">
        <v>57</v>
      </c>
      <c r="C19" s="249" t="s">
        <v>43</v>
      </c>
      <c r="D19" s="235" t="s">
        <v>35</v>
      </c>
      <c r="E19" s="225">
        <v>1</v>
      </c>
      <c r="F19" s="212" t="s">
        <v>36</v>
      </c>
      <c r="G19" s="213"/>
      <c r="H19" s="214"/>
      <c r="I19" s="211"/>
      <c r="J19" s="219"/>
      <c r="K19" s="219"/>
      <c r="L19" s="219"/>
      <c r="M19" s="219"/>
    </row>
    <row r="20" spans="1:13" ht="15.75" x14ac:dyDescent="0.25">
      <c r="A20" s="248" t="s">
        <v>50</v>
      </c>
      <c r="B20" s="248" t="s">
        <v>58</v>
      </c>
      <c r="C20" s="249" t="s">
        <v>51</v>
      </c>
      <c r="D20" s="242" t="s">
        <v>31</v>
      </c>
      <c r="E20" s="225">
        <v>1</v>
      </c>
      <c r="F20" s="212" t="s">
        <v>36</v>
      </c>
      <c r="G20" s="213"/>
      <c r="H20" s="214"/>
      <c r="I20" s="211"/>
      <c r="J20" s="219"/>
      <c r="K20" s="219"/>
      <c r="L20" s="219"/>
      <c r="M20" s="219"/>
    </row>
    <row r="21" spans="1:13" ht="15" x14ac:dyDescent="0.25">
      <c r="A21" s="248" t="s">
        <v>44</v>
      </c>
      <c r="B21" s="248" t="s">
        <v>62</v>
      </c>
      <c r="C21" s="249" t="s">
        <v>45</v>
      </c>
      <c r="D21" s="235" t="s">
        <v>33</v>
      </c>
      <c r="E21" s="225">
        <v>1</v>
      </c>
      <c r="F21" s="212" t="s">
        <v>36</v>
      </c>
      <c r="G21" s="213"/>
      <c r="H21" s="214"/>
      <c r="I21" s="211"/>
      <c r="J21" s="219"/>
      <c r="K21" s="219"/>
      <c r="L21" s="219"/>
      <c r="M21" s="219"/>
    </row>
    <row r="22" spans="1:13" ht="15" x14ac:dyDescent="0.25">
      <c r="A22" s="248" t="s">
        <v>46</v>
      </c>
      <c r="B22" s="259" t="s">
        <v>62</v>
      </c>
      <c r="C22" s="249" t="s">
        <v>47</v>
      </c>
      <c r="D22" s="235" t="s">
        <v>34</v>
      </c>
      <c r="E22" s="225">
        <v>1</v>
      </c>
      <c r="F22" s="212" t="s">
        <v>36</v>
      </c>
      <c r="G22" s="213"/>
      <c r="H22" s="213"/>
      <c r="I22" s="211"/>
      <c r="J22" s="219"/>
      <c r="K22" s="219"/>
      <c r="L22" s="219"/>
      <c r="M22" s="219"/>
    </row>
    <row r="23" spans="1:13" ht="15" x14ac:dyDescent="0.25">
      <c r="A23" s="248" t="s">
        <v>39</v>
      </c>
      <c r="B23" s="248" t="s">
        <v>59</v>
      </c>
      <c r="C23" s="249" t="s">
        <v>40</v>
      </c>
      <c r="D23" s="217" t="s">
        <v>34</v>
      </c>
      <c r="E23" s="237">
        <v>1</v>
      </c>
      <c r="F23" s="238" t="s">
        <v>36</v>
      </c>
      <c r="G23" s="213"/>
      <c r="H23" s="213"/>
      <c r="I23" s="211"/>
      <c r="J23" s="219"/>
      <c r="K23" s="219"/>
      <c r="L23" s="219"/>
      <c r="M23" s="219"/>
    </row>
    <row r="24" spans="1:13" ht="15" x14ac:dyDescent="0.25">
      <c r="A24" s="248"/>
      <c r="B24" s="219" t="s">
        <v>272</v>
      </c>
      <c r="C24" s="219" t="s">
        <v>273</v>
      </c>
      <c r="D24" s="253"/>
      <c r="E24" s="226">
        <v>1</v>
      </c>
      <c r="F24" s="226" t="s">
        <v>36</v>
      </c>
      <c r="G24" s="226"/>
      <c r="H24" s="226"/>
      <c r="I24" s="211"/>
      <c r="J24" s="219"/>
      <c r="K24" s="219"/>
      <c r="L24" s="219"/>
      <c r="M24" s="219"/>
    </row>
    <row r="25" spans="1:13" ht="14.25" thickBot="1" x14ac:dyDescent="0.3">
      <c r="A25" s="256">
        <v>703020</v>
      </c>
      <c r="B25" s="257" t="s">
        <v>61</v>
      </c>
      <c r="C25" s="255" t="s">
        <v>52</v>
      </c>
      <c r="D25" s="219"/>
      <c r="E25" s="246">
        <v>60</v>
      </c>
      <c r="F25" s="245" t="s">
        <v>53</v>
      </c>
      <c r="G25" s="219"/>
      <c r="H25" s="219"/>
      <c r="I25" s="227"/>
      <c r="J25" s="219"/>
      <c r="K25" s="219"/>
      <c r="L25" s="228"/>
      <c r="M25" s="219"/>
    </row>
    <row r="26" spans="1:13" ht="14.25" thickBot="1" x14ac:dyDescent="0.3">
      <c r="A26" s="229"/>
      <c r="B26" s="258"/>
      <c r="C26" s="230"/>
      <c r="D26" s="231" t="s">
        <v>12</v>
      </c>
      <c r="E26" s="232" t="s">
        <v>15</v>
      </c>
      <c r="F26" s="233"/>
      <c r="G26" s="230"/>
      <c r="H26" s="230"/>
      <c r="I26" s="234"/>
      <c r="J26" s="219"/>
      <c r="K26" s="219"/>
      <c r="L26" s="228"/>
      <c r="M26" s="219"/>
    </row>
    <row r="27" spans="1:13" ht="13.5" x14ac:dyDescent="0.25">
      <c r="A27" s="772" t="s">
        <v>16</v>
      </c>
      <c r="B27" s="773"/>
      <c r="C27" s="774"/>
      <c r="D27" s="225">
        <v>2700</v>
      </c>
      <c r="E27" s="215" t="s">
        <v>28</v>
      </c>
      <c r="F27" s="775" t="s">
        <v>25</v>
      </c>
      <c r="G27" s="775"/>
      <c r="H27" s="776"/>
      <c r="I27" s="777"/>
      <c r="J27" s="219"/>
      <c r="K27" s="219"/>
      <c r="L27" s="228"/>
      <c r="M27" s="219"/>
    </row>
    <row r="28" spans="1:13" ht="13.5" x14ac:dyDescent="0.25">
      <c r="A28" s="778" t="s">
        <v>17</v>
      </c>
      <c r="B28" s="779"/>
      <c r="C28" s="780"/>
      <c r="D28" s="214">
        <v>8</v>
      </c>
      <c r="E28" s="214" t="s">
        <v>37</v>
      </c>
      <c r="F28" s="781" t="s">
        <v>18</v>
      </c>
      <c r="G28" s="781"/>
      <c r="H28" s="782"/>
      <c r="I28" s="783"/>
      <c r="J28" s="219"/>
      <c r="K28" s="219"/>
      <c r="L28" s="228"/>
      <c r="M28" s="219"/>
    </row>
    <row r="29" spans="1:13" ht="13.5" x14ac:dyDescent="0.25">
      <c r="A29" s="778" t="s">
        <v>19</v>
      </c>
      <c r="B29" s="779"/>
      <c r="C29" s="780"/>
      <c r="D29" s="214">
        <v>1</v>
      </c>
      <c r="E29" s="214" t="s">
        <v>36</v>
      </c>
      <c r="F29" s="781" t="s">
        <v>26</v>
      </c>
      <c r="G29" s="781"/>
      <c r="H29" s="782"/>
      <c r="I29" s="783"/>
      <c r="J29" s="219"/>
      <c r="K29" s="219"/>
      <c r="L29" s="228"/>
      <c r="M29" s="219"/>
    </row>
    <row r="30" spans="1:13" ht="13.5" x14ac:dyDescent="0.25">
      <c r="A30" s="778" t="s">
        <v>20</v>
      </c>
      <c r="B30" s="779"/>
      <c r="C30" s="780"/>
      <c r="D30" s="213">
        <v>2700</v>
      </c>
      <c r="E30" s="214" t="s">
        <v>28</v>
      </c>
      <c r="F30" s="794" t="s">
        <v>21</v>
      </c>
      <c r="G30" s="795"/>
      <c r="H30" s="782"/>
      <c r="I30" s="783"/>
      <c r="J30" s="219"/>
      <c r="K30" s="219"/>
      <c r="L30" s="228"/>
      <c r="M30" s="236"/>
    </row>
    <row r="31" spans="1:13" ht="14.25" thickBot="1" x14ac:dyDescent="0.3">
      <c r="A31" s="796" t="s">
        <v>22</v>
      </c>
      <c r="B31" s="797"/>
      <c r="C31" s="798"/>
      <c r="D31" s="244">
        <v>30</v>
      </c>
      <c r="E31" s="216" t="s">
        <v>28</v>
      </c>
      <c r="F31" s="799"/>
      <c r="G31" s="799"/>
      <c r="H31" s="800"/>
      <c r="I31" s="801"/>
      <c r="J31" s="219"/>
      <c r="K31" s="219"/>
      <c r="L31" s="228"/>
      <c r="M31" s="219"/>
    </row>
    <row r="32" spans="1:13" ht="13.5" thickBot="1" x14ac:dyDescent="0.25">
      <c r="A32" s="802" t="s">
        <v>23</v>
      </c>
      <c r="B32" s="803"/>
      <c r="C32" s="803"/>
      <c r="D32" s="803"/>
      <c r="E32" s="803"/>
      <c r="F32" s="803"/>
      <c r="G32" s="803"/>
      <c r="H32" s="803"/>
      <c r="I32" s="804"/>
      <c r="J32" s="219"/>
      <c r="K32" s="219"/>
      <c r="L32" s="219"/>
      <c r="M32" s="219"/>
    </row>
    <row r="33" spans="1:13" ht="15.75" x14ac:dyDescent="0.25">
      <c r="A33" s="681" t="s">
        <v>157</v>
      </c>
      <c r="B33" s="682"/>
      <c r="C33" s="682"/>
      <c r="D33" s="682"/>
      <c r="E33" s="682"/>
      <c r="F33" s="682"/>
      <c r="G33" s="682"/>
      <c r="H33" s="682"/>
      <c r="I33" s="683"/>
      <c r="J33" s="219"/>
      <c r="K33" s="219"/>
      <c r="L33" s="219"/>
      <c r="M33" s="219"/>
    </row>
    <row r="34" spans="1:13" ht="15.75" x14ac:dyDescent="0.25">
      <c r="A34" s="681" t="s">
        <v>158</v>
      </c>
      <c r="B34" s="682"/>
      <c r="C34" s="682"/>
      <c r="D34" s="682"/>
      <c r="E34" s="682"/>
      <c r="F34" s="682"/>
      <c r="G34" s="682"/>
      <c r="H34" s="682"/>
      <c r="I34" s="683"/>
      <c r="J34" s="219"/>
      <c r="K34" s="219"/>
      <c r="L34" s="219"/>
      <c r="M34" s="219"/>
    </row>
    <row r="35" spans="1:13" ht="15.75" x14ac:dyDescent="0.25">
      <c r="A35" s="681" t="s">
        <v>69</v>
      </c>
      <c r="B35" s="682"/>
      <c r="C35" s="682"/>
      <c r="D35" s="682"/>
      <c r="E35" s="682"/>
      <c r="F35" s="682"/>
      <c r="G35" s="682"/>
      <c r="H35" s="682"/>
      <c r="I35" s="683"/>
      <c r="J35" s="219"/>
      <c r="K35" s="219"/>
      <c r="L35" s="219"/>
      <c r="M35" s="219"/>
    </row>
    <row r="36" spans="1:13" x14ac:dyDescent="0.2">
      <c r="A36" s="219"/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</row>
    <row r="37" spans="1:13" ht="14.25" thickBot="1" x14ac:dyDescent="0.3">
      <c r="A37" s="872"/>
      <c r="B37" s="873"/>
      <c r="C37" s="874"/>
      <c r="D37" s="874"/>
      <c r="E37" s="874"/>
      <c r="F37" s="874"/>
      <c r="G37" s="874"/>
      <c r="H37" s="874"/>
      <c r="I37" s="875"/>
      <c r="J37" s="219"/>
      <c r="K37" s="219"/>
      <c r="L37" s="219"/>
      <c r="M37" s="219"/>
    </row>
    <row r="38" spans="1:13" ht="13.5" thickBot="1" x14ac:dyDescent="0.25">
      <c r="A38" s="883" t="s">
        <v>41</v>
      </c>
      <c r="B38" s="884"/>
      <c r="C38" s="885"/>
      <c r="D38" s="885"/>
      <c r="E38" s="885"/>
      <c r="F38" s="885"/>
      <c r="G38" s="885"/>
      <c r="H38" s="885"/>
      <c r="I38" s="886"/>
      <c r="J38" s="219"/>
      <c r="K38" s="219"/>
      <c r="L38" s="219"/>
      <c r="M38" s="219"/>
    </row>
    <row r="39" spans="1:13" ht="14.25" thickBot="1" x14ac:dyDescent="0.3">
      <c r="A39" s="872" t="s">
        <v>274</v>
      </c>
      <c r="B39" s="873"/>
      <c r="C39" s="874"/>
      <c r="D39" s="874"/>
      <c r="E39" s="874"/>
      <c r="F39" s="874"/>
      <c r="G39" s="874"/>
      <c r="H39" s="874"/>
      <c r="I39" s="875"/>
      <c r="J39" s="219"/>
      <c r="K39" s="219"/>
      <c r="L39" s="219"/>
      <c r="M39" s="219"/>
    </row>
    <row r="40" spans="1:13" ht="14.25" thickBot="1" x14ac:dyDescent="0.3">
      <c r="A40" s="872" t="s">
        <v>275</v>
      </c>
      <c r="B40" s="873"/>
      <c r="C40" s="874"/>
      <c r="D40" s="874"/>
      <c r="E40" s="874"/>
      <c r="F40" s="874"/>
      <c r="G40" s="874"/>
      <c r="H40" s="874"/>
      <c r="I40" s="875"/>
      <c r="J40" s="219"/>
      <c r="K40" s="219"/>
      <c r="L40" s="219"/>
      <c r="M40" s="219"/>
    </row>
    <row r="41" spans="1:13" ht="14.25" thickBot="1" x14ac:dyDescent="0.3">
      <c r="A41" s="872"/>
      <c r="B41" s="873"/>
      <c r="C41" s="874"/>
      <c r="D41" s="874"/>
      <c r="E41" s="874"/>
      <c r="F41" s="874"/>
      <c r="G41" s="874"/>
      <c r="H41" s="874"/>
      <c r="I41" s="875"/>
      <c r="J41" s="219"/>
      <c r="K41" s="219"/>
      <c r="L41" s="219"/>
      <c r="M41" s="219"/>
    </row>
  </sheetData>
  <mergeCells count="42">
    <mergeCell ref="A41:I41"/>
    <mergeCell ref="C1:G1"/>
    <mergeCell ref="C2:G2"/>
    <mergeCell ref="C3:G3"/>
    <mergeCell ref="H3:H6"/>
    <mergeCell ref="I3:I6"/>
    <mergeCell ref="D4:G4"/>
    <mergeCell ref="D5:G5"/>
    <mergeCell ref="A7:A8"/>
    <mergeCell ref="C7:C8"/>
    <mergeCell ref="D7:D8"/>
    <mergeCell ref="E7:F7"/>
    <mergeCell ref="G7:H7"/>
    <mergeCell ref="A27:C27"/>
    <mergeCell ref="F27:G27"/>
    <mergeCell ref="A29:C29"/>
    <mergeCell ref="F29:G29"/>
    <mergeCell ref="H29:I29"/>
    <mergeCell ref="A1:B6"/>
    <mergeCell ref="B7:B8"/>
    <mergeCell ref="H27:I27"/>
    <mergeCell ref="G15:H15"/>
    <mergeCell ref="G14:H14"/>
    <mergeCell ref="G16:H16"/>
    <mergeCell ref="A28:C28"/>
    <mergeCell ref="F28:G28"/>
    <mergeCell ref="H28:I28"/>
    <mergeCell ref="D6:G6"/>
    <mergeCell ref="A40:I40"/>
    <mergeCell ref="A32:I32"/>
    <mergeCell ref="A33:I33"/>
    <mergeCell ref="A34:I34"/>
    <mergeCell ref="A35:I35"/>
    <mergeCell ref="A37:I37"/>
    <mergeCell ref="A38:I38"/>
    <mergeCell ref="A39:I39"/>
    <mergeCell ref="A30:C30"/>
    <mergeCell ref="F30:G30"/>
    <mergeCell ref="H30:I30"/>
    <mergeCell ref="A31:C31"/>
    <mergeCell ref="F31:G31"/>
    <mergeCell ref="H31:I3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3095-6096-48C0-9DCC-ED48C899E3A0}">
  <dimension ref="A1:M41"/>
  <sheetViews>
    <sheetView workbookViewId="0">
      <selection activeCell="D17" sqref="D17"/>
    </sheetView>
  </sheetViews>
  <sheetFormatPr baseColWidth="10" defaultRowHeight="12.75" x14ac:dyDescent="0.2"/>
  <cols>
    <col min="3" max="3" width="39.7109375" customWidth="1"/>
  </cols>
  <sheetData>
    <row r="1" spans="1:9" ht="15.75" x14ac:dyDescent="0.25">
      <c r="A1" s="666"/>
      <c r="B1" s="666"/>
      <c r="C1" s="633" t="s">
        <v>24</v>
      </c>
      <c r="D1" s="634"/>
      <c r="E1" s="634"/>
      <c r="F1" s="634"/>
      <c r="G1" s="634"/>
      <c r="H1" s="5" t="s">
        <v>0</v>
      </c>
      <c r="I1" s="25" t="s">
        <v>266</v>
      </c>
    </row>
    <row r="2" spans="1:9" ht="16.5" thickBot="1" x14ac:dyDescent="0.3">
      <c r="A2" s="666"/>
      <c r="B2" s="666"/>
      <c r="C2" s="635" t="s">
        <v>1</v>
      </c>
      <c r="D2" s="636"/>
      <c r="E2" s="636"/>
      <c r="F2" s="636"/>
      <c r="G2" s="636"/>
      <c r="H2" s="6" t="s">
        <v>2</v>
      </c>
      <c r="I2" s="24" t="s">
        <v>276</v>
      </c>
    </row>
    <row r="3" spans="1:9" ht="18.75" thickBot="1" x14ac:dyDescent="0.25">
      <c r="A3" s="666"/>
      <c r="B3" s="666"/>
      <c r="C3" s="637" t="s">
        <v>268</v>
      </c>
      <c r="D3" s="637"/>
      <c r="E3" s="637"/>
      <c r="F3" s="637"/>
      <c r="G3" s="638"/>
      <c r="H3" s="639" t="s">
        <v>3</v>
      </c>
      <c r="I3" s="642">
        <v>45492</v>
      </c>
    </row>
    <row r="4" spans="1:9" ht="13.5" x14ac:dyDescent="0.25">
      <c r="A4" s="666"/>
      <c r="B4" s="666"/>
      <c r="C4" s="30" t="s">
        <v>4</v>
      </c>
      <c r="D4" s="644" t="s">
        <v>64</v>
      </c>
      <c r="E4" s="645"/>
      <c r="F4" s="645"/>
      <c r="G4" s="646"/>
      <c r="H4" s="640"/>
      <c r="I4" s="643"/>
    </row>
    <row r="5" spans="1:9" ht="13.5" x14ac:dyDescent="0.25">
      <c r="A5" s="666"/>
      <c r="B5" s="666"/>
      <c r="C5" s="31" t="s">
        <v>5</v>
      </c>
      <c r="D5" s="647" t="s">
        <v>55</v>
      </c>
      <c r="E5" s="648"/>
      <c r="F5" s="648"/>
      <c r="G5" s="649"/>
      <c r="H5" s="640"/>
      <c r="I5" s="643"/>
    </row>
    <row r="6" spans="1:9" ht="13.5" thickBot="1" x14ac:dyDescent="0.25">
      <c r="A6" s="666"/>
      <c r="B6" s="666"/>
      <c r="C6" s="417" t="s">
        <v>269</v>
      </c>
      <c r="D6" s="894" t="s">
        <v>270</v>
      </c>
      <c r="E6" s="894"/>
      <c r="F6" s="894"/>
      <c r="G6" s="894"/>
      <c r="H6" s="641"/>
      <c r="I6" s="643"/>
    </row>
    <row r="7" spans="1:9" ht="25.5" x14ac:dyDescent="0.2">
      <c r="A7" s="888" t="s">
        <v>6</v>
      </c>
      <c r="B7" s="914" t="s">
        <v>56</v>
      </c>
      <c r="C7" s="905" t="s">
        <v>7</v>
      </c>
      <c r="D7" s="905" t="s">
        <v>8</v>
      </c>
      <c r="E7" s="905" t="s">
        <v>9</v>
      </c>
      <c r="F7" s="905"/>
      <c r="G7" s="905" t="s">
        <v>10</v>
      </c>
      <c r="H7" s="905"/>
      <c r="I7" s="427" t="s">
        <v>11</v>
      </c>
    </row>
    <row r="8" spans="1:9" ht="26.25" thickBot="1" x14ac:dyDescent="0.25">
      <c r="A8" s="889"/>
      <c r="B8" s="915"/>
      <c r="C8" s="906"/>
      <c r="D8" s="907"/>
      <c r="E8" s="428" t="s">
        <v>12</v>
      </c>
      <c r="F8" s="429" t="s">
        <v>13</v>
      </c>
      <c r="G8" s="428" t="s">
        <v>12</v>
      </c>
      <c r="H8" s="429" t="s">
        <v>13</v>
      </c>
      <c r="I8" s="444" t="s">
        <v>14</v>
      </c>
    </row>
    <row r="9" spans="1:9" ht="13.5" x14ac:dyDescent="0.25">
      <c r="A9" s="455"/>
      <c r="B9" s="455"/>
      <c r="C9" s="456" t="s">
        <v>30</v>
      </c>
      <c r="D9" s="452"/>
      <c r="E9" s="421"/>
      <c r="F9" s="431"/>
      <c r="G9" s="420"/>
      <c r="H9" s="421"/>
      <c r="I9" s="445"/>
    </row>
    <row r="10" spans="1:9" ht="13.5" x14ac:dyDescent="0.25">
      <c r="A10" s="465" t="s">
        <v>65</v>
      </c>
      <c r="B10" s="465" t="s">
        <v>263</v>
      </c>
      <c r="C10" s="466" t="s">
        <v>151</v>
      </c>
      <c r="D10" s="452" t="s">
        <v>42</v>
      </c>
      <c r="E10" s="421">
        <v>1914</v>
      </c>
      <c r="F10" s="431" t="s">
        <v>28</v>
      </c>
      <c r="G10" s="430"/>
      <c r="H10" s="419"/>
      <c r="I10" s="446"/>
    </row>
    <row r="11" spans="1:9" ht="15" x14ac:dyDescent="0.25">
      <c r="A11" s="467">
        <v>96344</v>
      </c>
      <c r="B11" s="468" t="s">
        <v>70</v>
      </c>
      <c r="C11" s="425" t="s">
        <v>71</v>
      </c>
      <c r="D11" s="452" t="s">
        <v>42</v>
      </c>
      <c r="E11" s="421">
        <v>300</v>
      </c>
      <c r="F11" s="431" t="s">
        <v>28</v>
      </c>
      <c r="G11" s="890" t="s">
        <v>277</v>
      </c>
      <c r="H11" s="891"/>
      <c r="I11" s="446"/>
    </row>
    <row r="12" spans="1:9" ht="13.5" x14ac:dyDescent="0.25">
      <c r="A12" s="455"/>
      <c r="B12" s="455"/>
      <c r="C12" s="456"/>
      <c r="D12" s="452"/>
      <c r="E12" s="421"/>
      <c r="F12" s="431"/>
      <c r="G12" s="430"/>
      <c r="H12" s="419"/>
      <c r="I12" s="446"/>
    </row>
    <row r="13" spans="1:9" ht="13.5" x14ac:dyDescent="0.25">
      <c r="A13" s="455"/>
      <c r="B13" s="455"/>
      <c r="C13" s="456" t="s">
        <v>29</v>
      </c>
      <c r="D13" s="452"/>
      <c r="E13" s="421"/>
      <c r="F13" s="431"/>
      <c r="G13" s="430"/>
      <c r="H13" s="419"/>
      <c r="I13" s="446"/>
    </row>
    <row r="14" spans="1:9" ht="13.5" x14ac:dyDescent="0.25">
      <c r="A14" s="465"/>
      <c r="B14" s="465" t="s">
        <v>262</v>
      </c>
      <c r="C14" s="466" t="s">
        <v>66</v>
      </c>
      <c r="D14" s="452" t="s">
        <v>42</v>
      </c>
      <c r="E14" s="421">
        <v>365</v>
      </c>
      <c r="F14" s="431" t="s">
        <v>28</v>
      </c>
      <c r="G14" s="892" t="s">
        <v>32</v>
      </c>
      <c r="H14" s="893"/>
      <c r="I14" s="448"/>
    </row>
    <row r="15" spans="1:9" ht="13.5" x14ac:dyDescent="0.25">
      <c r="A15" s="469">
        <v>905000063</v>
      </c>
      <c r="B15" s="469" t="s">
        <v>152</v>
      </c>
      <c r="C15" s="470" t="s">
        <v>153</v>
      </c>
      <c r="D15" s="452" t="s">
        <v>42</v>
      </c>
      <c r="E15" s="421">
        <v>93</v>
      </c>
      <c r="F15" s="431" t="s">
        <v>28</v>
      </c>
      <c r="G15" s="890" t="s">
        <v>271</v>
      </c>
      <c r="H15" s="891"/>
      <c r="I15" s="446"/>
    </row>
    <row r="16" spans="1:9" ht="13.5" x14ac:dyDescent="0.25">
      <c r="A16" s="471"/>
      <c r="B16" s="465" t="s">
        <v>262</v>
      </c>
      <c r="C16" s="466" t="s">
        <v>66</v>
      </c>
      <c r="D16" s="452" t="s">
        <v>42</v>
      </c>
      <c r="E16" s="421">
        <v>73</v>
      </c>
      <c r="F16" s="431" t="s">
        <v>28</v>
      </c>
      <c r="G16" s="890" t="s">
        <v>271</v>
      </c>
      <c r="H16" s="891"/>
      <c r="I16" s="446"/>
    </row>
    <row r="17" spans="1:13" ht="13.5" x14ac:dyDescent="0.25">
      <c r="A17" s="461"/>
      <c r="B17" s="462"/>
      <c r="C17" s="460"/>
      <c r="D17" s="452"/>
      <c r="E17" s="421"/>
      <c r="F17" s="431"/>
      <c r="G17" s="430"/>
      <c r="H17" s="419"/>
      <c r="I17" s="446"/>
      <c r="J17" s="417"/>
      <c r="K17" s="417"/>
      <c r="L17" s="417"/>
      <c r="M17" s="417"/>
    </row>
    <row r="18" spans="1:13" ht="15" x14ac:dyDescent="0.25">
      <c r="A18" s="457"/>
      <c r="B18" s="457"/>
      <c r="C18" s="459" t="s">
        <v>27</v>
      </c>
      <c r="D18" s="440"/>
      <c r="E18" s="430"/>
      <c r="F18" s="419"/>
      <c r="G18" s="420"/>
      <c r="H18" s="421"/>
      <c r="I18" s="418"/>
      <c r="J18" s="426"/>
      <c r="K18" s="426"/>
      <c r="L18" s="426"/>
      <c r="M18" s="426"/>
    </row>
    <row r="19" spans="1:13" ht="15" x14ac:dyDescent="0.25">
      <c r="A19" s="453" t="s">
        <v>38</v>
      </c>
      <c r="B19" s="453" t="s">
        <v>57</v>
      </c>
      <c r="C19" s="454" t="s">
        <v>43</v>
      </c>
      <c r="D19" s="440" t="s">
        <v>35</v>
      </c>
      <c r="E19" s="430">
        <v>1</v>
      </c>
      <c r="F19" s="419" t="s">
        <v>36</v>
      </c>
      <c r="G19" s="420"/>
      <c r="H19" s="421"/>
      <c r="I19" s="418"/>
      <c r="J19" s="426"/>
      <c r="K19" s="426"/>
      <c r="L19" s="426"/>
      <c r="M19" s="426"/>
    </row>
    <row r="20" spans="1:13" ht="15.75" x14ac:dyDescent="0.25">
      <c r="A20" s="453" t="s">
        <v>50</v>
      </c>
      <c r="B20" s="453" t="s">
        <v>58</v>
      </c>
      <c r="C20" s="454" t="s">
        <v>51</v>
      </c>
      <c r="D20" s="447" t="s">
        <v>31</v>
      </c>
      <c r="E20" s="430">
        <v>1</v>
      </c>
      <c r="F20" s="419" t="s">
        <v>36</v>
      </c>
      <c r="G20" s="420"/>
      <c r="H20" s="421"/>
      <c r="I20" s="418"/>
      <c r="J20" s="426"/>
      <c r="K20" s="426"/>
      <c r="L20" s="426"/>
      <c r="M20" s="426"/>
    </row>
    <row r="21" spans="1:13" ht="15" x14ac:dyDescent="0.25">
      <c r="A21" s="453" t="s">
        <v>44</v>
      </c>
      <c r="B21" s="453" t="s">
        <v>62</v>
      </c>
      <c r="C21" s="454" t="s">
        <v>45</v>
      </c>
      <c r="D21" s="440" t="s">
        <v>33</v>
      </c>
      <c r="E21" s="430">
        <v>1</v>
      </c>
      <c r="F21" s="419" t="s">
        <v>36</v>
      </c>
      <c r="G21" s="420"/>
      <c r="H21" s="421"/>
      <c r="I21" s="418"/>
      <c r="J21" s="426"/>
      <c r="K21" s="426"/>
      <c r="L21" s="426"/>
      <c r="M21" s="426"/>
    </row>
    <row r="22" spans="1:13" ht="15" x14ac:dyDescent="0.25">
      <c r="A22" s="453" t="s">
        <v>46</v>
      </c>
      <c r="B22" s="464" t="s">
        <v>62</v>
      </c>
      <c r="C22" s="454" t="s">
        <v>47</v>
      </c>
      <c r="D22" s="440" t="s">
        <v>34</v>
      </c>
      <c r="E22" s="430">
        <v>1</v>
      </c>
      <c r="F22" s="419" t="s">
        <v>36</v>
      </c>
      <c r="G22" s="420"/>
      <c r="H22" s="420"/>
      <c r="I22" s="418"/>
      <c r="J22" s="426"/>
      <c r="K22" s="426"/>
      <c r="L22" s="426"/>
      <c r="M22" s="426"/>
    </row>
    <row r="23" spans="1:13" ht="15" x14ac:dyDescent="0.25">
      <c r="A23" s="453" t="s">
        <v>39</v>
      </c>
      <c r="B23" s="453" t="s">
        <v>59</v>
      </c>
      <c r="C23" s="454" t="s">
        <v>40</v>
      </c>
      <c r="D23" s="424" t="s">
        <v>34</v>
      </c>
      <c r="E23" s="442">
        <v>1</v>
      </c>
      <c r="F23" s="443" t="s">
        <v>36</v>
      </c>
      <c r="G23" s="420"/>
      <c r="H23" s="420"/>
      <c r="I23" s="418"/>
      <c r="J23" s="426"/>
      <c r="K23" s="426"/>
      <c r="L23" s="426"/>
      <c r="M23" s="426"/>
    </row>
    <row r="24" spans="1:13" ht="15" x14ac:dyDescent="0.25">
      <c r="A24" s="453"/>
      <c r="B24" s="417" t="s">
        <v>272</v>
      </c>
      <c r="C24" s="417" t="s">
        <v>273</v>
      </c>
      <c r="D24" s="458"/>
      <c r="E24" s="431">
        <v>1</v>
      </c>
      <c r="F24" s="431" t="s">
        <v>36</v>
      </c>
      <c r="G24" s="431"/>
      <c r="H24" s="431"/>
      <c r="I24" s="418"/>
      <c r="J24" s="426"/>
      <c r="K24" s="426"/>
      <c r="L24" s="426"/>
      <c r="M24" s="426"/>
    </row>
    <row r="25" spans="1:13" ht="14.25" thickBot="1" x14ac:dyDescent="0.3">
      <c r="A25" s="461">
        <v>703020</v>
      </c>
      <c r="B25" s="462" t="s">
        <v>61</v>
      </c>
      <c r="C25" s="460" t="s">
        <v>52</v>
      </c>
      <c r="D25" s="426"/>
      <c r="E25" s="451">
        <v>60</v>
      </c>
      <c r="F25" s="450" t="s">
        <v>53</v>
      </c>
      <c r="G25" s="426"/>
      <c r="H25" s="426"/>
      <c r="I25" s="432"/>
      <c r="J25" s="426"/>
      <c r="K25" s="426"/>
      <c r="L25" s="433"/>
      <c r="M25" s="426"/>
    </row>
    <row r="26" spans="1:13" ht="14.25" thickBot="1" x14ac:dyDescent="0.3">
      <c r="A26" s="434"/>
      <c r="B26" s="463"/>
      <c r="C26" s="435"/>
      <c r="D26" s="436" t="s">
        <v>12</v>
      </c>
      <c r="E26" s="437" t="s">
        <v>15</v>
      </c>
      <c r="F26" s="438"/>
      <c r="G26" s="435"/>
      <c r="H26" s="435"/>
      <c r="I26" s="439"/>
      <c r="J26" s="426"/>
      <c r="K26" s="426"/>
      <c r="L26" s="433"/>
      <c r="M26" s="426"/>
    </row>
    <row r="27" spans="1:13" ht="13.5" x14ac:dyDescent="0.25">
      <c r="A27" s="908" t="s">
        <v>16</v>
      </c>
      <c r="B27" s="909"/>
      <c r="C27" s="910"/>
      <c r="D27" s="430">
        <v>2700</v>
      </c>
      <c r="E27" s="422" t="s">
        <v>28</v>
      </c>
      <c r="F27" s="911" t="s">
        <v>25</v>
      </c>
      <c r="G27" s="911"/>
      <c r="H27" s="912"/>
      <c r="I27" s="913"/>
      <c r="J27" s="426"/>
      <c r="K27" s="426"/>
      <c r="L27" s="433"/>
      <c r="M27" s="426"/>
    </row>
    <row r="28" spans="1:13" ht="13.5" x14ac:dyDescent="0.25">
      <c r="A28" s="899" t="s">
        <v>17</v>
      </c>
      <c r="B28" s="900"/>
      <c r="C28" s="901"/>
      <c r="D28" s="421">
        <v>8</v>
      </c>
      <c r="E28" s="421" t="s">
        <v>37</v>
      </c>
      <c r="F28" s="902" t="s">
        <v>18</v>
      </c>
      <c r="G28" s="902"/>
      <c r="H28" s="903"/>
      <c r="I28" s="904"/>
      <c r="J28" s="426"/>
      <c r="K28" s="426"/>
      <c r="L28" s="433"/>
      <c r="M28" s="426"/>
    </row>
    <row r="29" spans="1:13" ht="13.5" x14ac:dyDescent="0.25">
      <c r="A29" s="899" t="s">
        <v>19</v>
      </c>
      <c r="B29" s="900"/>
      <c r="C29" s="901"/>
      <c r="D29" s="421">
        <v>1</v>
      </c>
      <c r="E29" s="421" t="s">
        <v>36</v>
      </c>
      <c r="F29" s="902" t="s">
        <v>26</v>
      </c>
      <c r="G29" s="902"/>
      <c r="H29" s="903"/>
      <c r="I29" s="904"/>
      <c r="J29" s="426"/>
      <c r="K29" s="426"/>
      <c r="L29" s="433"/>
      <c r="M29" s="426"/>
    </row>
    <row r="30" spans="1:13" ht="13.5" x14ac:dyDescent="0.25">
      <c r="A30" s="899" t="s">
        <v>20</v>
      </c>
      <c r="B30" s="900"/>
      <c r="C30" s="901"/>
      <c r="D30" s="420">
        <v>2700</v>
      </c>
      <c r="E30" s="421" t="s">
        <v>28</v>
      </c>
      <c r="F30" s="926" t="s">
        <v>21</v>
      </c>
      <c r="G30" s="927"/>
      <c r="H30" s="903"/>
      <c r="I30" s="904"/>
      <c r="J30" s="426"/>
      <c r="K30" s="426"/>
      <c r="L30" s="433"/>
      <c r="M30" s="441"/>
    </row>
    <row r="31" spans="1:13" ht="14.25" thickBot="1" x14ac:dyDescent="0.3">
      <c r="A31" s="928" t="s">
        <v>22</v>
      </c>
      <c r="B31" s="929"/>
      <c r="C31" s="930"/>
      <c r="D31" s="449">
        <v>45</v>
      </c>
      <c r="E31" s="423" t="s">
        <v>28</v>
      </c>
      <c r="F31" s="931"/>
      <c r="G31" s="931"/>
      <c r="H31" s="932"/>
      <c r="I31" s="933"/>
      <c r="J31" s="426"/>
      <c r="K31" s="426"/>
      <c r="L31" s="433"/>
      <c r="M31" s="426"/>
    </row>
    <row r="32" spans="1:13" ht="13.5" thickBot="1" x14ac:dyDescent="0.25">
      <c r="A32" s="916" t="s">
        <v>23</v>
      </c>
      <c r="B32" s="917"/>
      <c r="C32" s="917"/>
      <c r="D32" s="917"/>
      <c r="E32" s="917"/>
      <c r="F32" s="917"/>
      <c r="G32" s="917"/>
      <c r="H32" s="917"/>
      <c r="I32" s="918"/>
      <c r="J32" s="426"/>
      <c r="K32" s="426"/>
      <c r="L32" s="426"/>
      <c r="M32" s="426"/>
    </row>
    <row r="33" spans="1:13" ht="15.75" x14ac:dyDescent="0.25">
      <c r="A33" s="919" t="s">
        <v>157</v>
      </c>
      <c r="B33" s="920"/>
      <c r="C33" s="920"/>
      <c r="D33" s="920"/>
      <c r="E33" s="920"/>
      <c r="F33" s="920"/>
      <c r="G33" s="920"/>
      <c r="H33" s="920"/>
      <c r="I33" s="921"/>
      <c r="J33" s="426"/>
      <c r="K33" s="426"/>
      <c r="L33" s="426"/>
      <c r="M33" s="426"/>
    </row>
    <row r="34" spans="1:13" ht="15.75" x14ac:dyDescent="0.25">
      <c r="A34" s="919" t="s">
        <v>158</v>
      </c>
      <c r="B34" s="920"/>
      <c r="C34" s="920"/>
      <c r="D34" s="920"/>
      <c r="E34" s="920"/>
      <c r="F34" s="920"/>
      <c r="G34" s="920"/>
      <c r="H34" s="920"/>
      <c r="I34" s="921"/>
      <c r="J34" s="417"/>
      <c r="K34" s="417"/>
      <c r="L34" s="417"/>
      <c r="M34" s="417"/>
    </row>
    <row r="35" spans="1:13" ht="15.75" x14ac:dyDescent="0.25">
      <c r="A35" s="919" t="s">
        <v>69</v>
      </c>
      <c r="B35" s="920"/>
      <c r="C35" s="920"/>
      <c r="D35" s="920"/>
      <c r="E35" s="920"/>
      <c r="F35" s="920"/>
      <c r="G35" s="920"/>
      <c r="H35" s="920"/>
      <c r="I35" s="921"/>
      <c r="J35" s="417"/>
      <c r="K35" s="417"/>
      <c r="L35" s="417"/>
      <c r="M35" s="417"/>
    </row>
    <row r="36" spans="1:13" x14ac:dyDescent="0.2">
      <c r="A36" s="426"/>
      <c r="B36" s="426"/>
      <c r="C36" s="426"/>
      <c r="D36" s="426"/>
      <c r="E36" s="426"/>
      <c r="F36" s="426"/>
      <c r="G36" s="426"/>
      <c r="H36" s="426"/>
      <c r="I36" s="426"/>
      <c r="J36" s="417"/>
      <c r="K36" s="417"/>
      <c r="L36" s="417"/>
      <c r="M36" s="417"/>
    </row>
    <row r="37" spans="1:13" ht="14.25" thickBot="1" x14ac:dyDescent="0.3">
      <c r="A37" s="895"/>
      <c r="B37" s="896"/>
      <c r="C37" s="897"/>
      <c r="D37" s="897"/>
      <c r="E37" s="897"/>
      <c r="F37" s="897"/>
      <c r="G37" s="897"/>
      <c r="H37" s="897"/>
      <c r="I37" s="898"/>
      <c r="J37" s="417"/>
      <c r="K37" s="417"/>
      <c r="L37" s="417"/>
      <c r="M37" s="417"/>
    </row>
    <row r="38" spans="1:13" ht="13.5" thickBot="1" x14ac:dyDescent="0.25">
      <c r="A38" s="922" t="s">
        <v>41</v>
      </c>
      <c r="B38" s="923"/>
      <c r="C38" s="924"/>
      <c r="D38" s="924"/>
      <c r="E38" s="924"/>
      <c r="F38" s="924"/>
      <c r="G38" s="924"/>
      <c r="H38" s="924"/>
      <c r="I38" s="925"/>
      <c r="J38" s="417"/>
      <c r="K38" s="417"/>
      <c r="L38" s="417"/>
      <c r="M38" s="417"/>
    </row>
    <row r="39" spans="1:13" ht="14.25" thickBot="1" x14ac:dyDescent="0.3">
      <c r="A39" s="895" t="s">
        <v>274</v>
      </c>
      <c r="B39" s="896"/>
      <c r="C39" s="897"/>
      <c r="D39" s="897"/>
      <c r="E39" s="897"/>
      <c r="F39" s="897"/>
      <c r="G39" s="897"/>
      <c r="H39" s="897"/>
      <c r="I39" s="898"/>
      <c r="J39" s="417"/>
      <c r="K39" s="417"/>
      <c r="L39" s="417"/>
      <c r="M39" s="417"/>
    </row>
    <row r="40" spans="1:13" ht="14.25" thickBot="1" x14ac:dyDescent="0.3">
      <c r="A40" s="895" t="s">
        <v>275</v>
      </c>
      <c r="B40" s="896"/>
      <c r="C40" s="897"/>
      <c r="D40" s="897"/>
      <c r="E40" s="897"/>
      <c r="F40" s="897"/>
      <c r="G40" s="897"/>
      <c r="H40" s="897"/>
      <c r="I40" s="898"/>
      <c r="J40" s="417"/>
      <c r="K40" s="417"/>
      <c r="L40" s="417"/>
      <c r="M40" s="417"/>
    </row>
    <row r="41" spans="1:13" ht="14.25" thickBot="1" x14ac:dyDescent="0.3">
      <c r="A41" s="895" t="s">
        <v>278</v>
      </c>
      <c r="B41" s="896"/>
      <c r="C41" s="897"/>
      <c r="D41" s="897"/>
      <c r="E41" s="897"/>
      <c r="F41" s="897"/>
      <c r="G41" s="897"/>
      <c r="H41" s="897"/>
      <c r="I41" s="898"/>
      <c r="J41" s="417"/>
      <c r="K41" s="417"/>
      <c r="L41" s="417"/>
      <c r="M41" s="417"/>
    </row>
  </sheetData>
  <mergeCells count="43">
    <mergeCell ref="A31:C31"/>
    <mergeCell ref="F31:G31"/>
    <mergeCell ref="H31:I31"/>
    <mergeCell ref="A28:C28"/>
    <mergeCell ref="F28:G28"/>
    <mergeCell ref="H28:I28"/>
    <mergeCell ref="F27:G27"/>
    <mergeCell ref="H27:I27"/>
    <mergeCell ref="A1:B6"/>
    <mergeCell ref="B7:B8"/>
    <mergeCell ref="A40:I40"/>
    <mergeCell ref="A32:I32"/>
    <mergeCell ref="A33:I33"/>
    <mergeCell ref="A34:I34"/>
    <mergeCell ref="A35:I35"/>
    <mergeCell ref="A37:I37"/>
    <mergeCell ref="A38:I38"/>
    <mergeCell ref="A39:I39"/>
    <mergeCell ref="G11:H11"/>
    <mergeCell ref="A30:C30"/>
    <mergeCell ref="F30:G30"/>
    <mergeCell ref="H30:I30"/>
    <mergeCell ref="G16:H16"/>
    <mergeCell ref="D6:G6"/>
    <mergeCell ref="A41:I41"/>
    <mergeCell ref="C1:G1"/>
    <mergeCell ref="C2:G2"/>
    <mergeCell ref="C3:G3"/>
    <mergeCell ref="H3:H6"/>
    <mergeCell ref="I3:I6"/>
    <mergeCell ref="A29:C29"/>
    <mergeCell ref="F29:G29"/>
    <mergeCell ref="H29:I29"/>
    <mergeCell ref="C7:C8"/>
    <mergeCell ref="D7:D8"/>
    <mergeCell ref="E7:F7"/>
    <mergeCell ref="G7:H7"/>
    <mergeCell ref="A27:C27"/>
    <mergeCell ref="D4:G4"/>
    <mergeCell ref="D5:G5"/>
    <mergeCell ref="A7:A8"/>
    <mergeCell ref="G15:H15"/>
    <mergeCell ref="G14:H1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C5EA-BA6F-4329-A126-52A587443246}">
  <sheetPr>
    <pageSetUpPr fitToPage="1"/>
  </sheetPr>
  <dimension ref="A1:I4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4.5703125" customWidth="1"/>
    <col min="3" max="3" width="67.28515625" customWidth="1"/>
    <col min="4" max="4" width="21.28515625" customWidth="1"/>
    <col min="5" max="5" width="11.5703125" bestFit="1" customWidth="1"/>
    <col min="7" max="7" width="21.7109375" customWidth="1"/>
    <col min="8" max="8" width="21.42578125" customWidth="1"/>
    <col min="9" max="9" width="19.7109375" bestFit="1" customWidth="1"/>
  </cols>
  <sheetData>
    <row r="1" spans="1:9" ht="16.5" x14ac:dyDescent="0.3">
      <c r="A1" s="986"/>
      <c r="B1" s="987"/>
      <c r="C1" s="992" t="s">
        <v>24</v>
      </c>
      <c r="D1" s="992"/>
      <c r="E1" s="992"/>
      <c r="F1" s="992"/>
      <c r="G1" s="992"/>
      <c r="H1" s="472" t="s">
        <v>0</v>
      </c>
      <c r="I1" s="473" t="s">
        <v>279</v>
      </c>
    </row>
    <row r="2" spans="1:9" ht="17.25" thickBot="1" x14ac:dyDescent="0.35">
      <c r="A2" s="988"/>
      <c r="B2" s="989"/>
      <c r="C2" s="993" t="s">
        <v>1</v>
      </c>
      <c r="D2" s="994"/>
      <c r="E2" s="994"/>
      <c r="F2" s="994"/>
      <c r="G2" s="995"/>
      <c r="H2" s="474" t="s">
        <v>2</v>
      </c>
      <c r="I2" s="475" t="s">
        <v>305</v>
      </c>
    </row>
    <row r="3" spans="1:9" ht="27" customHeight="1" thickBot="1" x14ac:dyDescent="0.25">
      <c r="A3" s="988"/>
      <c r="B3" s="989"/>
      <c r="C3" s="1007" t="s">
        <v>265</v>
      </c>
      <c r="D3" s="1007"/>
      <c r="E3" s="1007"/>
      <c r="F3" s="1007"/>
      <c r="G3" s="1008"/>
      <c r="H3" s="996" t="s">
        <v>3</v>
      </c>
      <c r="I3" s="977">
        <v>45612</v>
      </c>
    </row>
    <row r="4" spans="1:9" ht="16.5" x14ac:dyDescent="0.3">
      <c r="A4" s="988"/>
      <c r="B4" s="989"/>
      <c r="C4" s="476" t="s">
        <v>4</v>
      </c>
      <c r="D4" s="980" t="s">
        <v>73</v>
      </c>
      <c r="E4" s="981"/>
      <c r="F4" s="981"/>
      <c r="G4" s="982"/>
      <c r="H4" s="997"/>
      <c r="I4" s="978"/>
    </row>
    <row r="5" spans="1:9" ht="17.25" thickBot="1" x14ac:dyDescent="0.35">
      <c r="A5" s="990"/>
      <c r="B5" s="991"/>
      <c r="C5" s="477" t="s">
        <v>5</v>
      </c>
      <c r="D5" s="983" t="s">
        <v>55</v>
      </c>
      <c r="E5" s="984"/>
      <c r="F5" s="984"/>
      <c r="G5" s="985"/>
      <c r="H5" s="998"/>
      <c r="I5" s="979"/>
    </row>
    <row r="6" spans="1:9" ht="15.75" thickBot="1" x14ac:dyDescent="0.3">
      <c r="A6" s="999" t="s">
        <v>164</v>
      </c>
      <c r="B6" s="999"/>
      <c r="C6" s="999"/>
      <c r="D6" s="1000" t="s">
        <v>29</v>
      </c>
      <c r="E6" s="1000"/>
      <c r="F6" s="1000"/>
      <c r="G6" s="1001" t="s">
        <v>166</v>
      </c>
      <c r="H6" s="1001"/>
      <c r="I6" s="478" t="s">
        <v>211</v>
      </c>
    </row>
    <row r="7" spans="1:9" ht="28.5" x14ac:dyDescent="0.2">
      <c r="A7" s="1002" t="s">
        <v>6</v>
      </c>
      <c r="B7" s="1004" t="s">
        <v>185</v>
      </c>
      <c r="C7" s="967" t="s">
        <v>7</v>
      </c>
      <c r="D7" s="967" t="s">
        <v>8</v>
      </c>
      <c r="E7" s="967" t="s">
        <v>9</v>
      </c>
      <c r="F7" s="967"/>
      <c r="G7" s="967" t="s">
        <v>10</v>
      </c>
      <c r="H7" s="967"/>
      <c r="I7" s="479" t="s">
        <v>11</v>
      </c>
    </row>
    <row r="8" spans="1:9" ht="29.25" thickBot="1" x14ac:dyDescent="0.25">
      <c r="A8" s="1003"/>
      <c r="B8" s="1005"/>
      <c r="C8" s="1006"/>
      <c r="D8" s="1006"/>
      <c r="E8" s="480" t="s">
        <v>12</v>
      </c>
      <c r="F8" s="481" t="s">
        <v>13</v>
      </c>
      <c r="G8" s="480" t="s">
        <v>12</v>
      </c>
      <c r="H8" s="481" t="s">
        <v>13</v>
      </c>
      <c r="I8" s="482" t="s">
        <v>14</v>
      </c>
    </row>
    <row r="9" spans="1:9" ht="20.25" x14ac:dyDescent="0.3">
      <c r="A9" s="483"/>
      <c r="B9" s="484"/>
      <c r="C9" s="485" t="s">
        <v>30</v>
      </c>
      <c r="D9" s="486"/>
      <c r="E9" s="487"/>
      <c r="F9" s="488"/>
      <c r="G9" s="487"/>
      <c r="H9" s="488"/>
      <c r="I9" s="489"/>
    </row>
    <row r="10" spans="1:9" ht="20.25" x14ac:dyDescent="0.3">
      <c r="A10" s="490" t="s">
        <v>65</v>
      </c>
      <c r="B10" s="490" t="s">
        <v>263</v>
      </c>
      <c r="C10" s="491" t="s">
        <v>280</v>
      </c>
      <c r="D10" s="492" t="s">
        <v>42</v>
      </c>
      <c r="E10" s="493">
        <v>2340</v>
      </c>
      <c r="F10" s="494" t="s">
        <v>28</v>
      </c>
      <c r="G10" s="495"/>
      <c r="H10" s="496" t="s">
        <v>281</v>
      </c>
      <c r="I10" s="489"/>
    </row>
    <row r="11" spans="1:9" ht="20.25" x14ac:dyDescent="0.3">
      <c r="A11" s="490">
        <v>96344</v>
      </c>
      <c r="B11" s="490" t="s">
        <v>70</v>
      </c>
      <c r="C11" s="491" t="s">
        <v>71</v>
      </c>
      <c r="D11" s="492" t="s">
        <v>42</v>
      </c>
      <c r="E11" s="493">
        <v>300</v>
      </c>
      <c r="F11" s="494" t="s">
        <v>28</v>
      </c>
      <c r="G11" s="497"/>
      <c r="H11" s="496" t="s">
        <v>277</v>
      </c>
      <c r="I11" s="489"/>
    </row>
    <row r="12" spans="1:9" ht="20.25" x14ac:dyDescent="0.3">
      <c r="A12" s="490" t="s">
        <v>65</v>
      </c>
      <c r="B12" s="490" t="s">
        <v>263</v>
      </c>
      <c r="C12" s="491" t="s">
        <v>280</v>
      </c>
      <c r="D12" s="492" t="s">
        <v>42</v>
      </c>
      <c r="E12" s="493">
        <f>0.05*E10</f>
        <v>117</v>
      </c>
      <c r="F12" s="494" t="s">
        <v>28</v>
      </c>
      <c r="G12" s="495" t="s">
        <v>294</v>
      </c>
      <c r="H12" s="496" t="s">
        <v>293</v>
      </c>
      <c r="I12" s="489"/>
    </row>
    <row r="13" spans="1:9" ht="20.25" x14ac:dyDescent="0.3">
      <c r="A13" s="498"/>
      <c r="B13" s="499"/>
      <c r="C13" s="500" t="s">
        <v>29</v>
      </c>
      <c r="D13" s="490"/>
      <c r="E13" s="497"/>
      <c r="F13" s="494"/>
      <c r="G13" s="487"/>
      <c r="H13" s="488"/>
      <c r="I13" s="489"/>
    </row>
    <row r="14" spans="1:9" ht="20.25" x14ac:dyDescent="0.3">
      <c r="A14" s="501"/>
      <c r="B14" s="501" t="s">
        <v>262</v>
      </c>
      <c r="C14" s="502" t="s">
        <v>66</v>
      </c>
      <c r="D14" s="501" t="s">
        <v>42</v>
      </c>
      <c r="E14" s="501">
        <v>400</v>
      </c>
      <c r="F14" s="501" t="s">
        <v>28</v>
      </c>
      <c r="G14" s="487"/>
      <c r="H14" s="536" t="s">
        <v>282</v>
      </c>
      <c r="I14" s="489"/>
    </row>
    <row r="15" spans="1:9" ht="36" customHeight="1" x14ac:dyDescent="0.3">
      <c r="A15" s="501">
        <v>905000063</v>
      </c>
      <c r="B15" s="501" t="s">
        <v>152</v>
      </c>
      <c r="C15" s="502" t="s">
        <v>283</v>
      </c>
      <c r="D15" s="501" t="s">
        <v>42</v>
      </c>
      <c r="E15" s="501">
        <v>70</v>
      </c>
      <c r="F15" s="501" t="s">
        <v>28</v>
      </c>
      <c r="G15" s="487"/>
      <c r="H15" s="537" t="s">
        <v>292</v>
      </c>
      <c r="I15" s="489"/>
    </row>
    <row r="16" spans="1:9" ht="37.5" customHeight="1" x14ac:dyDescent="0.3">
      <c r="A16" s="501"/>
      <c r="B16" s="501" t="s">
        <v>262</v>
      </c>
      <c r="C16" s="502" t="s">
        <v>66</v>
      </c>
      <c r="D16" s="501" t="s">
        <v>42</v>
      </c>
      <c r="E16" s="501">
        <v>70</v>
      </c>
      <c r="F16" s="501" t="s">
        <v>28</v>
      </c>
      <c r="G16" s="487"/>
      <c r="H16" s="537" t="s">
        <v>284</v>
      </c>
      <c r="I16" s="489"/>
    </row>
    <row r="17" spans="1:9" ht="20.25" x14ac:dyDescent="0.3">
      <c r="A17" s="501"/>
      <c r="B17" s="501"/>
      <c r="C17" s="502"/>
      <c r="D17" s="503"/>
      <c r="E17" s="501"/>
      <c r="F17" s="504"/>
      <c r="G17" s="487"/>
      <c r="H17" s="488"/>
      <c r="I17" s="489"/>
    </row>
    <row r="18" spans="1:9" ht="20.25" x14ac:dyDescent="0.3">
      <c r="A18" s="533"/>
      <c r="B18" s="533"/>
      <c r="C18" s="505" t="s">
        <v>285</v>
      </c>
      <c r="D18" s="506"/>
      <c r="E18" s="507"/>
      <c r="F18" s="488"/>
      <c r="G18" s="487"/>
      <c r="H18" s="508"/>
      <c r="I18" s="489"/>
    </row>
    <row r="19" spans="1:9" ht="20.25" x14ac:dyDescent="0.3">
      <c r="A19" s="501"/>
      <c r="B19" s="501" t="s">
        <v>295</v>
      </c>
      <c r="C19" s="502" t="s">
        <v>296</v>
      </c>
      <c r="D19" s="501"/>
      <c r="E19" s="509">
        <v>1</v>
      </c>
      <c r="F19" s="509" t="s">
        <v>36</v>
      </c>
      <c r="G19" s="510"/>
      <c r="H19" s="488"/>
      <c r="I19" s="489"/>
    </row>
    <row r="20" spans="1:9" ht="20.25" x14ac:dyDescent="0.3">
      <c r="A20" s="501" t="s">
        <v>50</v>
      </c>
      <c r="B20" s="501" t="s">
        <v>58</v>
      </c>
      <c r="C20" s="502" t="s">
        <v>51</v>
      </c>
      <c r="D20" s="501" t="s">
        <v>286</v>
      </c>
      <c r="E20" s="509">
        <v>1</v>
      </c>
      <c r="F20" s="509" t="s">
        <v>36</v>
      </c>
      <c r="G20" s="510"/>
      <c r="H20" s="488"/>
      <c r="I20" s="489"/>
    </row>
    <row r="21" spans="1:9" ht="20.25" x14ac:dyDescent="0.3">
      <c r="A21" s="501" t="s">
        <v>44</v>
      </c>
      <c r="B21" s="501" t="s">
        <v>62</v>
      </c>
      <c r="C21" s="502" t="s">
        <v>45</v>
      </c>
      <c r="D21" s="501" t="s">
        <v>287</v>
      </c>
      <c r="E21" s="509">
        <v>1</v>
      </c>
      <c r="F21" s="509" t="s">
        <v>36</v>
      </c>
      <c r="G21" s="510"/>
      <c r="H21" s="488"/>
      <c r="I21" s="489"/>
    </row>
    <row r="22" spans="1:9" ht="20.25" x14ac:dyDescent="0.3">
      <c r="A22" s="501"/>
      <c r="B22" s="532" t="s">
        <v>302</v>
      </c>
      <c r="C22" s="532" t="s">
        <v>303</v>
      </c>
      <c r="D22" s="501" t="s">
        <v>288</v>
      </c>
      <c r="E22" s="509">
        <v>1</v>
      </c>
      <c r="F22" s="509" t="s">
        <v>36</v>
      </c>
      <c r="G22" s="487"/>
      <c r="H22" s="488"/>
      <c r="I22" s="489"/>
    </row>
    <row r="23" spans="1:9" ht="20.25" x14ac:dyDescent="0.3">
      <c r="A23" s="501" t="s">
        <v>39</v>
      </c>
      <c r="B23" s="501" t="s">
        <v>59</v>
      </c>
      <c r="C23" s="502" t="s">
        <v>40</v>
      </c>
      <c r="D23" s="501" t="s">
        <v>288</v>
      </c>
      <c r="E23" s="509">
        <v>1</v>
      </c>
      <c r="F23" s="509" t="s">
        <v>36</v>
      </c>
      <c r="G23" s="487"/>
      <c r="H23" s="488"/>
      <c r="I23" s="489"/>
    </row>
    <row r="24" spans="1:9" ht="20.25" x14ac:dyDescent="0.3">
      <c r="A24" s="501"/>
      <c r="B24" s="501" t="s">
        <v>272</v>
      </c>
      <c r="C24" s="502" t="s">
        <v>289</v>
      </c>
      <c r="D24" s="501" t="s">
        <v>290</v>
      </c>
      <c r="E24" s="501">
        <v>1</v>
      </c>
      <c r="F24" s="511" t="s">
        <v>36</v>
      </c>
      <c r="G24" s="512"/>
      <c r="H24" s="488"/>
      <c r="I24" s="489"/>
    </row>
    <row r="25" spans="1:9" ht="40.5" x14ac:dyDescent="0.3">
      <c r="A25" s="501">
        <v>703020</v>
      </c>
      <c r="B25" s="534" t="s">
        <v>61</v>
      </c>
      <c r="C25" s="531" t="s">
        <v>300</v>
      </c>
      <c r="D25" s="501"/>
      <c r="E25" s="501">
        <v>60</v>
      </c>
      <c r="F25" s="511" t="s">
        <v>53</v>
      </c>
      <c r="G25" s="493"/>
      <c r="H25" s="488"/>
      <c r="I25" s="489"/>
    </row>
    <row r="26" spans="1:9" ht="20.25" x14ac:dyDescent="0.3">
      <c r="A26" s="535"/>
      <c r="B26" s="535"/>
      <c r="C26" s="513"/>
      <c r="D26" s="490"/>
      <c r="E26" s="493"/>
      <c r="F26" s="494"/>
      <c r="G26" s="493"/>
      <c r="H26" s="488"/>
      <c r="I26" s="489"/>
    </row>
    <row r="27" spans="1:9" ht="20.25" x14ac:dyDescent="0.3">
      <c r="A27" s="498"/>
      <c r="B27" s="499"/>
      <c r="C27" s="513"/>
      <c r="D27" s="490"/>
      <c r="E27" s="490"/>
      <c r="F27" s="494"/>
      <c r="G27" s="490"/>
      <c r="H27" s="490"/>
      <c r="I27" s="489"/>
    </row>
    <row r="28" spans="1:9" ht="21" thickBot="1" x14ac:dyDescent="0.35">
      <c r="A28" s="514"/>
      <c r="B28" s="515"/>
      <c r="C28" s="516"/>
      <c r="D28" s="516"/>
      <c r="E28" s="517"/>
      <c r="F28" s="518"/>
      <c r="G28" s="516"/>
      <c r="H28" s="516"/>
      <c r="I28" s="519"/>
    </row>
    <row r="29" spans="1:9" ht="21" thickBot="1" x14ac:dyDescent="0.35">
      <c r="A29" s="520"/>
      <c r="B29" s="521"/>
      <c r="C29" s="522"/>
      <c r="D29" s="523" t="s">
        <v>12</v>
      </c>
      <c r="E29" s="524" t="s">
        <v>15</v>
      </c>
      <c r="F29" s="525"/>
      <c r="G29" s="522"/>
      <c r="H29" s="522"/>
      <c r="I29" s="526"/>
    </row>
    <row r="30" spans="1:9" ht="20.25" x14ac:dyDescent="0.3">
      <c r="A30" s="968" t="s">
        <v>16</v>
      </c>
      <c r="B30" s="969"/>
      <c r="C30" s="970"/>
      <c r="D30" s="495">
        <v>2700</v>
      </c>
      <c r="E30" s="527" t="s">
        <v>28</v>
      </c>
      <c r="F30" s="971" t="s">
        <v>25</v>
      </c>
      <c r="G30" s="971"/>
      <c r="H30" s="972"/>
      <c r="I30" s="973"/>
    </row>
    <row r="31" spans="1:9" ht="20.25" x14ac:dyDescent="0.3">
      <c r="A31" s="947" t="s">
        <v>17</v>
      </c>
      <c r="B31" s="948"/>
      <c r="C31" s="949"/>
      <c r="D31" s="528">
        <v>8</v>
      </c>
      <c r="E31" s="490" t="s">
        <v>37</v>
      </c>
      <c r="F31" s="950" t="s">
        <v>18</v>
      </c>
      <c r="G31" s="950"/>
      <c r="H31" s="951"/>
      <c r="I31" s="952"/>
    </row>
    <row r="32" spans="1:9" ht="20.25" x14ac:dyDescent="0.3">
      <c r="A32" s="947" t="s">
        <v>19</v>
      </c>
      <c r="B32" s="948"/>
      <c r="C32" s="949"/>
      <c r="D32" s="490">
        <v>1</v>
      </c>
      <c r="E32" s="490" t="s">
        <v>36</v>
      </c>
      <c r="F32" s="950" t="s">
        <v>26</v>
      </c>
      <c r="G32" s="950"/>
      <c r="H32" s="951"/>
      <c r="I32" s="952"/>
    </row>
    <row r="33" spans="1:9" ht="20.25" x14ac:dyDescent="0.3">
      <c r="A33" s="947" t="s">
        <v>20</v>
      </c>
      <c r="B33" s="948"/>
      <c r="C33" s="949"/>
      <c r="D33" s="493">
        <v>2700</v>
      </c>
      <c r="E33" s="490" t="s">
        <v>28</v>
      </c>
      <c r="F33" s="956" t="s">
        <v>21</v>
      </c>
      <c r="G33" s="957"/>
      <c r="H33" s="958"/>
      <c r="I33" s="959"/>
    </row>
    <row r="34" spans="1:9" ht="21" thickBot="1" x14ac:dyDescent="0.35">
      <c r="A34" s="960" t="s">
        <v>22</v>
      </c>
      <c r="B34" s="961"/>
      <c r="C34" s="962"/>
      <c r="D34" s="529">
        <f>SUM(E10:E16)-D30</f>
        <v>597</v>
      </c>
      <c r="E34" s="530" t="s">
        <v>28</v>
      </c>
      <c r="F34" s="963"/>
      <c r="G34" s="963"/>
      <c r="H34" s="951"/>
      <c r="I34" s="952"/>
    </row>
    <row r="35" spans="1:9" ht="21" thickBot="1" x14ac:dyDescent="0.35">
      <c r="A35" s="964" t="s">
        <v>23</v>
      </c>
      <c r="B35" s="965"/>
      <c r="C35" s="965"/>
      <c r="D35" s="965"/>
      <c r="E35" s="965"/>
      <c r="F35" s="965"/>
      <c r="G35" s="965"/>
      <c r="H35" s="965"/>
      <c r="I35" s="966"/>
    </row>
    <row r="36" spans="1:9" ht="20.25" x14ac:dyDescent="0.3">
      <c r="A36" s="944" t="s">
        <v>157</v>
      </c>
      <c r="B36" s="945"/>
      <c r="C36" s="945"/>
      <c r="D36" s="945"/>
      <c r="E36" s="945"/>
      <c r="F36" s="945"/>
      <c r="G36" s="945"/>
      <c r="H36" s="945"/>
      <c r="I36" s="946"/>
    </row>
    <row r="37" spans="1:9" ht="47.25" customHeight="1" x14ac:dyDescent="0.3">
      <c r="A37" s="953" t="s">
        <v>297</v>
      </c>
      <c r="B37" s="954"/>
      <c r="C37" s="954"/>
      <c r="D37" s="954"/>
      <c r="E37" s="954"/>
      <c r="F37" s="954"/>
      <c r="G37" s="954"/>
      <c r="H37" s="954"/>
      <c r="I37" s="955"/>
    </row>
    <row r="38" spans="1:9" ht="20.25" x14ac:dyDescent="0.3">
      <c r="A38" s="944" t="s">
        <v>69</v>
      </c>
      <c r="B38" s="945"/>
      <c r="C38" s="945"/>
      <c r="D38" s="945"/>
      <c r="E38" s="945"/>
      <c r="F38" s="945"/>
      <c r="G38" s="945"/>
      <c r="H38" s="945"/>
      <c r="I38" s="946"/>
    </row>
    <row r="39" spans="1:9" ht="20.25" x14ac:dyDescent="0.3">
      <c r="A39" s="937"/>
      <c r="B39" s="937"/>
      <c r="C39" s="937"/>
      <c r="D39" s="937"/>
      <c r="E39" s="937"/>
      <c r="F39" s="937"/>
      <c r="G39" s="937"/>
      <c r="H39" s="937"/>
      <c r="I39" s="937"/>
    </row>
    <row r="40" spans="1:9" ht="21" thickBot="1" x14ac:dyDescent="0.35">
      <c r="A40" s="941"/>
      <c r="B40" s="942"/>
      <c r="C40" s="942"/>
      <c r="D40" s="942"/>
      <c r="E40" s="942"/>
      <c r="F40" s="942"/>
      <c r="G40" s="942"/>
      <c r="H40" s="942"/>
      <c r="I40" s="943"/>
    </row>
    <row r="41" spans="1:9" ht="20.25" x14ac:dyDescent="0.3">
      <c r="A41" s="938" t="s">
        <v>41</v>
      </c>
      <c r="B41" s="939"/>
      <c r="C41" s="939"/>
      <c r="D41" s="939"/>
      <c r="E41" s="939"/>
      <c r="F41" s="939"/>
      <c r="G41" s="939"/>
      <c r="H41" s="939"/>
      <c r="I41" s="939"/>
    </row>
    <row r="42" spans="1:9" ht="20.25" x14ac:dyDescent="0.3">
      <c r="A42" s="940" t="s">
        <v>298</v>
      </c>
      <c r="B42" s="940"/>
      <c r="C42" s="940"/>
      <c r="D42" s="940"/>
      <c r="E42" s="940"/>
      <c r="F42" s="940"/>
      <c r="G42" s="940"/>
      <c r="H42" s="940"/>
      <c r="I42" s="940"/>
    </row>
    <row r="43" spans="1:9" ht="20.25" x14ac:dyDescent="0.3">
      <c r="A43" s="940" t="s">
        <v>299</v>
      </c>
      <c r="B43" s="940"/>
      <c r="C43" s="940"/>
      <c r="D43" s="940"/>
      <c r="E43" s="940"/>
      <c r="F43" s="940"/>
      <c r="G43" s="940"/>
      <c r="H43" s="940"/>
      <c r="I43" s="940"/>
    </row>
    <row r="44" spans="1:9" ht="20.25" x14ac:dyDescent="0.3">
      <c r="A44" s="934" t="s">
        <v>301</v>
      </c>
      <c r="B44" s="935"/>
      <c r="C44" s="935"/>
      <c r="D44" s="935"/>
      <c r="E44" s="935"/>
      <c r="F44" s="935"/>
      <c r="G44" s="935"/>
      <c r="H44" s="935"/>
      <c r="I44" s="936"/>
    </row>
    <row r="45" spans="1:9" ht="20.25" customHeight="1" x14ac:dyDescent="0.3">
      <c r="A45" s="934" t="s">
        <v>304</v>
      </c>
      <c r="B45" s="935"/>
      <c r="C45" s="935"/>
      <c r="D45" s="935"/>
      <c r="E45" s="935"/>
      <c r="F45" s="935"/>
      <c r="G45" s="935"/>
      <c r="H45" s="935"/>
      <c r="I45" s="936"/>
    </row>
    <row r="46" spans="1:9" ht="18" x14ac:dyDescent="0.25">
      <c r="A46" s="974"/>
      <c r="B46" s="975"/>
      <c r="C46" s="975"/>
      <c r="D46" s="975"/>
      <c r="E46" s="975"/>
      <c r="F46" s="975"/>
      <c r="G46" s="975"/>
      <c r="H46" s="975"/>
      <c r="I46" s="976"/>
    </row>
  </sheetData>
  <mergeCells count="44">
    <mergeCell ref="A46:I46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0:C30"/>
    <mergeCell ref="F30:G30"/>
    <mergeCell ref="H30:I30"/>
    <mergeCell ref="A38:I38"/>
    <mergeCell ref="A31:C31"/>
    <mergeCell ref="F31:G31"/>
    <mergeCell ref="H31:I31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45:I45"/>
    <mergeCell ref="A44:I44"/>
    <mergeCell ref="A39:I39"/>
    <mergeCell ref="A41:I41"/>
    <mergeCell ref="A42:I42"/>
    <mergeCell ref="A43:I43"/>
    <mergeCell ref="A40:I40"/>
  </mergeCells>
  <pageMargins left="0.25" right="0.25" top="0.75" bottom="0.75" header="0.3" footer="0.3"/>
  <pageSetup scale="5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8970-ABDD-4111-A5FB-F54DA3536CE5}">
  <dimension ref="A1:R94"/>
  <sheetViews>
    <sheetView topLeftCell="A3" workbookViewId="0">
      <selection activeCell="E18" sqref="E18"/>
    </sheetView>
  </sheetViews>
  <sheetFormatPr baseColWidth="10" defaultColWidth="8.42578125" defaultRowHeight="12.75" x14ac:dyDescent="0.2"/>
  <cols>
    <col min="1" max="1" width="10" style="104" bestFit="1" customWidth="1"/>
    <col min="2" max="2" width="44.28515625" style="104" bestFit="1" customWidth="1"/>
    <col min="3" max="3" width="10.42578125" style="104" bestFit="1" customWidth="1"/>
    <col min="4" max="4" width="10.42578125" style="104" customWidth="1"/>
    <col min="5" max="5" width="9.7109375" style="104" bestFit="1" customWidth="1"/>
    <col min="6" max="6" width="9.5703125" style="104" bestFit="1" customWidth="1"/>
    <col min="7" max="7" width="9.5703125" style="204" bestFit="1" customWidth="1"/>
    <col min="8" max="8" width="10.42578125" style="177" bestFit="1" customWidth="1"/>
    <col min="9" max="9" width="4.5703125" style="177" customWidth="1"/>
    <col min="10" max="10" width="1.85546875" style="103" customWidth="1"/>
    <col min="11" max="11" width="7" style="104" bestFit="1" customWidth="1"/>
    <col min="12" max="12" width="6.28515625" style="104" customWidth="1"/>
    <col min="13" max="13" width="20.42578125" style="104" customWidth="1"/>
    <col min="14" max="14" width="6.42578125" style="104" bestFit="1" customWidth="1"/>
    <col min="15" max="16" width="8.42578125" style="104"/>
    <col min="17" max="17" width="3.28515625" style="104" customWidth="1"/>
    <col min="18" max="16384" width="8.42578125" style="104"/>
  </cols>
  <sheetData>
    <row r="1" spans="1:10" ht="27.75" customHeight="1" x14ac:dyDescent="0.2">
      <c r="A1" s="99"/>
      <c r="B1" s="99"/>
      <c r="C1" s="99"/>
      <c r="D1" s="99"/>
      <c r="E1" s="100" t="s">
        <v>88</v>
      </c>
      <c r="F1" s="101" t="s">
        <v>89</v>
      </c>
      <c r="G1" s="101" t="s">
        <v>90</v>
      </c>
      <c r="H1" s="101" t="s">
        <v>91</v>
      </c>
      <c r="I1" s="102"/>
    </row>
    <row r="2" spans="1:10" ht="30.75" customHeight="1" x14ac:dyDescent="0.2">
      <c r="A2" s="99"/>
      <c r="B2" s="99"/>
      <c r="C2" s="99"/>
      <c r="D2" s="99"/>
      <c r="E2" s="105">
        <f>IFERROR(O65,"")</f>
        <v>7328.1321919422571</v>
      </c>
      <c r="F2" s="105">
        <f>IFERROR(H56,"")</f>
        <v>4548.3252406417105</v>
      </c>
      <c r="G2" s="105">
        <f>IFERROR(H57,"")</f>
        <v>1702.0668693333334</v>
      </c>
      <c r="H2" s="105">
        <f>IFERROR(H59,"")</f>
        <v>552.45500000000004</v>
      </c>
      <c r="I2" s="106"/>
    </row>
    <row r="3" spans="1:10" ht="15" customHeight="1" x14ac:dyDescent="0.2">
      <c r="A3" s="99"/>
      <c r="B3" s="99"/>
      <c r="C3" s="99"/>
      <c r="D3" s="99"/>
      <c r="E3" s="99"/>
      <c r="F3" s="107"/>
      <c r="G3" s="107"/>
      <c r="H3" s="107"/>
      <c r="I3" s="107"/>
    </row>
    <row r="4" spans="1:10" ht="24.75" customHeight="1" thickBot="1" x14ac:dyDescent="0.25">
      <c r="A4" s="598"/>
      <c r="B4" s="598"/>
      <c r="C4" s="598"/>
      <c r="D4" s="598"/>
      <c r="E4" s="598"/>
      <c r="F4" s="598"/>
      <c r="G4" s="598"/>
      <c r="H4" s="598"/>
      <c r="I4" s="108"/>
    </row>
    <row r="5" spans="1:10" ht="19.5" customHeight="1" thickBot="1" x14ac:dyDescent="0.25">
      <c r="A5" s="599" t="s">
        <v>92</v>
      </c>
      <c r="B5" s="600"/>
      <c r="C5" s="600"/>
      <c r="D5" s="600"/>
      <c r="E5" s="600"/>
      <c r="F5" s="600"/>
      <c r="G5" s="600"/>
      <c r="H5" s="601"/>
      <c r="I5" s="109"/>
    </row>
    <row r="6" spans="1:10" ht="19.5" thickBot="1" x14ac:dyDescent="0.25">
      <c r="A6" s="109"/>
      <c r="B6" s="109"/>
      <c r="C6" s="109"/>
      <c r="D6" s="109"/>
      <c r="E6" s="109"/>
      <c r="F6" s="602" t="s">
        <v>93</v>
      </c>
      <c r="G6" s="602"/>
      <c r="H6" s="110">
        <f ca="1">TODAY()</f>
        <v>46020</v>
      </c>
      <c r="I6" s="110"/>
    </row>
    <row r="7" spans="1:10" ht="26.25" hidden="1" thickBot="1" x14ac:dyDescent="0.25">
      <c r="A7" s="111" t="s">
        <v>94</v>
      </c>
      <c r="B7" s="112" t="s">
        <v>95</v>
      </c>
      <c r="C7" s="112" t="s">
        <v>94</v>
      </c>
      <c r="D7" s="113" t="s">
        <v>96</v>
      </c>
      <c r="E7" s="113" t="s">
        <v>97</v>
      </c>
      <c r="F7" s="113" t="s">
        <v>98</v>
      </c>
      <c r="G7" s="113" t="s">
        <v>99</v>
      </c>
      <c r="H7" s="114" t="s">
        <v>100</v>
      </c>
      <c r="I7" s="115"/>
    </row>
    <row r="8" spans="1:10" ht="13.5" hidden="1" x14ac:dyDescent="0.25">
      <c r="A8" s="116">
        <v>0</v>
      </c>
      <c r="B8" s="104" t="s">
        <v>155</v>
      </c>
      <c r="C8" s="117">
        <f>+A8</f>
        <v>0</v>
      </c>
      <c r="D8" s="118" t="s">
        <v>102</v>
      </c>
      <c r="E8" s="118">
        <v>2.97</v>
      </c>
      <c r="F8" s="118">
        <f>IFERROR(C8*E8,"")</f>
        <v>0</v>
      </c>
      <c r="G8" s="196">
        <f t="shared" ref="G8:G14" si="0">IFERROR(F8/$F$69,"")</f>
        <v>0</v>
      </c>
      <c r="H8" s="120"/>
      <c r="I8" s="120"/>
      <c r="J8" s="197"/>
    </row>
    <row r="9" spans="1:10" ht="13.5" hidden="1" x14ac:dyDescent="0.25">
      <c r="A9" s="116"/>
      <c r="B9" s="104" t="str">
        <f>IFERROR(VLOOKUP(H9,'[1]Consolidado MP Planta'!$A$2:$M$823,3,0),"")</f>
        <v/>
      </c>
      <c r="C9" s="117">
        <f t="shared" ref="C9:C14" si="1">+A9</f>
        <v>0</v>
      </c>
      <c r="D9" s="118" t="str">
        <f>IFERROR(VLOOKUP(H9,'[1]Consolidado MP Planta'!$A$2:$M$823,13,0),"")</f>
        <v/>
      </c>
      <c r="E9" s="118" t="str">
        <f>IFERROR(VLOOKUP(H9,'[1]Consolidado MP Planta'!$A$2:$M$823,12,0),"")</f>
        <v/>
      </c>
      <c r="F9" s="118" t="str">
        <f t="shared" ref="F9:F14" si="2">IFERROR(C9*E9,"")</f>
        <v/>
      </c>
      <c r="G9" s="196" t="str">
        <f t="shared" si="0"/>
        <v/>
      </c>
      <c r="H9" s="120"/>
      <c r="I9" s="120"/>
      <c r="J9" s="197"/>
    </row>
    <row r="10" spans="1:10" ht="13.5" hidden="1" x14ac:dyDescent="0.25">
      <c r="A10" s="116"/>
      <c r="B10" s="104" t="str">
        <f>IFERROR(VLOOKUP(H10,'[1]Consolidado MP Planta'!$A$2:$M$823,3,0),"")</f>
        <v/>
      </c>
      <c r="C10" s="117">
        <f t="shared" si="1"/>
        <v>0</v>
      </c>
      <c r="D10" s="118" t="str">
        <f>IFERROR(VLOOKUP(H10,'[1]Consolidado MP Planta'!$A$2:$M$823,13,0),"")</f>
        <v/>
      </c>
      <c r="E10" s="118" t="str">
        <f>IFERROR(VLOOKUP(H10,'[1]Consolidado MP Planta'!$A$2:$M$823,12,0),"")</f>
        <v/>
      </c>
      <c r="F10" s="118" t="str">
        <f t="shared" si="2"/>
        <v/>
      </c>
      <c r="G10" s="196" t="str">
        <f t="shared" si="0"/>
        <v/>
      </c>
      <c r="H10" s="120"/>
      <c r="I10" s="120"/>
      <c r="J10" s="197"/>
    </row>
    <row r="11" spans="1:10" ht="13.5" hidden="1" x14ac:dyDescent="0.25">
      <c r="A11" s="116"/>
      <c r="B11" s="104" t="str">
        <f>IFERROR(VLOOKUP(H11,'[1]Consolidado MP Planta'!$A$2:$M$823,3,0),"")</f>
        <v/>
      </c>
      <c r="C11" s="117">
        <f t="shared" si="1"/>
        <v>0</v>
      </c>
      <c r="D11" s="118" t="str">
        <f>IFERROR(VLOOKUP(H11,'[1]Consolidado MP Planta'!$A$2:$M$823,13,0),"")</f>
        <v/>
      </c>
      <c r="E11" s="118" t="str">
        <f>IFERROR(VLOOKUP(H11,'[1]Consolidado MP Planta'!$A$2:$M$823,12,0),"")</f>
        <v/>
      </c>
      <c r="F11" s="118" t="str">
        <f t="shared" si="2"/>
        <v/>
      </c>
      <c r="G11" s="196" t="str">
        <f t="shared" si="0"/>
        <v/>
      </c>
      <c r="H11" s="120"/>
      <c r="I11" s="120"/>
      <c r="J11" s="197"/>
    </row>
    <row r="12" spans="1:10" ht="13.5" hidden="1" x14ac:dyDescent="0.25">
      <c r="A12" s="116"/>
      <c r="B12" s="104" t="str">
        <f>IFERROR(VLOOKUP(H12,'[1]Consolidado MP Planta'!$A$2:$M$823,3,0),"")</f>
        <v/>
      </c>
      <c r="C12" s="117">
        <f t="shared" si="1"/>
        <v>0</v>
      </c>
      <c r="D12" s="118" t="str">
        <f>IFERROR(VLOOKUP(H12,'[1]Consolidado MP Planta'!$A$2:$M$823,13,0),"")</f>
        <v/>
      </c>
      <c r="E12" s="118" t="str">
        <f>IFERROR(VLOOKUP(H12,'[1]Consolidado MP Planta'!$A$2:$M$823,12,0),"")</f>
        <v/>
      </c>
      <c r="F12" s="118" t="str">
        <f t="shared" si="2"/>
        <v/>
      </c>
      <c r="G12" s="196" t="str">
        <f t="shared" si="0"/>
        <v/>
      </c>
      <c r="H12" s="120"/>
      <c r="I12" s="120"/>
      <c r="J12" s="197"/>
    </row>
    <row r="13" spans="1:10" ht="13.5" hidden="1" x14ac:dyDescent="0.25">
      <c r="A13" s="116"/>
      <c r="B13" s="104" t="str">
        <f>IFERROR(VLOOKUP(H13,'[1]Consolidado MP Planta'!$A$2:$M$823,3,0),"")</f>
        <v/>
      </c>
      <c r="C13" s="117">
        <f t="shared" si="1"/>
        <v>0</v>
      </c>
      <c r="D13" s="118" t="str">
        <f>IFERROR(VLOOKUP(H13,'[1]Consolidado MP Planta'!$A$2:$M$823,13,0),"")</f>
        <v/>
      </c>
      <c r="E13" s="118" t="str">
        <f>IFERROR(VLOOKUP(H13,'[1]Consolidado MP Planta'!$A$2:$M$823,12,0),"")</f>
        <v/>
      </c>
      <c r="F13" s="118" t="str">
        <f t="shared" si="2"/>
        <v/>
      </c>
      <c r="G13" s="196" t="str">
        <f t="shared" si="0"/>
        <v/>
      </c>
      <c r="H13" s="120"/>
      <c r="I13" s="120"/>
      <c r="J13" s="197"/>
    </row>
    <row r="14" spans="1:10" ht="13.5" hidden="1" x14ac:dyDescent="0.25">
      <c r="A14" s="116"/>
      <c r="B14" s="104" t="str">
        <f>IFERROR(VLOOKUP(H14,'[1]Consolidado MP Planta'!$A$2:$M$823,3,0),"")</f>
        <v/>
      </c>
      <c r="C14" s="117">
        <f t="shared" si="1"/>
        <v>0</v>
      </c>
      <c r="D14" s="118" t="str">
        <f>IFERROR(VLOOKUP(H14,'[1]Consolidado MP Planta'!$A$2:$M$823,13,0),"")</f>
        <v/>
      </c>
      <c r="E14" s="118" t="str">
        <f>IFERROR(VLOOKUP(H14,'[1]Consolidado MP Planta'!$A$2:$M$823,12,0),"")</f>
        <v/>
      </c>
      <c r="F14" s="118" t="str">
        <f t="shared" si="2"/>
        <v/>
      </c>
      <c r="G14" s="196" t="str">
        <f t="shared" si="0"/>
        <v/>
      </c>
      <c r="H14" s="120"/>
      <c r="I14" s="120"/>
      <c r="J14" s="197"/>
    </row>
    <row r="15" spans="1:10" ht="14.25" hidden="1" thickBot="1" x14ac:dyDescent="0.3">
      <c r="A15" s="116"/>
      <c r="B15" s="104" t="str">
        <f>IFERROR(VLOOKUP(H15,'[2]ARTICULOS MP PLANTA'!$A$2:$G$589,2,0),"")</f>
        <v/>
      </c>
      <c r="C15" s="117"/>
      <c r="D15" s="118"/>
      <c r="E15" s="118"/>
      <c r="F15" s="118"/>
      <c r="G15" s="196"/>
      <c r="H15" s="120"/>
      <c r="I15" s="120"/>
      <c r="J15" s="197"/>
    </row>
    <row r="16" spans="1:10" ht="26.25" thickBot="1" x14ac:dyDescent="0.25">
      <c r="A16" s="111" t="s">
        <v>94</v>
      </c>
      <c r="B16" s="112" t="s">
        <v>101</v>
      </c>
      <c r="C16" s="112" t="s">
        <v>94</v>
      </c>
      <c r="D16" s="113" t="s">
        <v>96</v>
      </c>
      <c r="E16" s="113" t="s">
        <v>97</v>
      </c>
      <c r="F16" s="113" t="s">
        <v>98</v>
      </c>
      <c r="G16" s="113" t="s">
        <v>99</v>
      </c>
      <c r="H16" s="114" t="s">
        <v>100</v>
      </c>
      <c r="I16" s="115"/>
      <c r="J16" s="197"/>
    </row>
    <row r="17" spans="1:12" ht="13.5" x14ac:dyDescent="0.25">
      <c r="A17" s="270">
        <v>1</v>
      </c>
      <c r="B17" s="271" t="s">
        <v>151</v>
      </c>
      <c r="C17" s="117">
        <f>+A17</f>
        <v>1</v>
      </c>
      <c r="D17" s="117" t="s">
        <v>144</v>
      </c>
      <c r="E17" s="118">
        <f>+'Costo Rosquete 2400'!H53</f>
        <v>3047.6252406417107</v>
      </c>
      <c r="F17" s="118">
        <f>IFERROR(E17*C17,"")</f>
        <v>3047.6252406417107</v>
      </c>
      <c r="G17" s="196">
        <f t="shared" ref="G17:G24" si="3">IFERROR(F17/$F$69,"")</f>
        <v>0.44625350820537785</v>
      </c>
      <c r="H17" s="120" t="s">
        <v>145</v>
      </c>
      <c r="I17" s="120"/>
      <c r="J17" s="197"/>
    </row>
    <row r="18" spans="1:12" ht="13.5" x14ac:dyDescent="0.25">
      <c r="A18" s="270">
        <v>230</v>
      </c>
      <c r="B18" s="271" t="s">
        <v>66</v>
      </c>
      <c r="C18" s="117">
        <f t="shared" ref="C18:C24" si="4">+A18</f>
        <v>230</v>
      </c>
      <c r="D18" s="117" t="s">
        <v>102</v>
      </c>
      <c r="E18" s="118">
        <v>2.2999999999999998</v>
      </c>
      <c r="F18" s="118">
        <f t="shared" ref="F18:F24" si="5">IFERROR(E18*C18,"")</f>
        <v>529</v>
      </c>
      <c r="G18" s="196">
        <f t="shared" si="3"/>
        <v>7.7459689824244324E-2</v>
      </c>
      <c r="H18" s="120"/>
      <c r="I18" s="120"/>
      <c r="J18" s="197"/>
    </row>
    <row r="19" spans="1:12" ht="13.5" hidden="1" x14ac:dyDescent="0.25">
      <c r="A19" s="116">
        <v>0</v>
      </c>
      <c r="B19" s="104" t="s">
        <v>146</v>
      </c>
      <c r="C19" s="117">
        <f>+A19</f>
        <v>0</v>
      </c>
      <c r="D19" s="117" t="s">
        <v>102</v>
      </c>
      <c r="E19" s="118">
        <f>+'[3]Costo manjar con agua '!$E$69</f>
        <v>1.7749999999999999</v>
      </c>
      <c r="F19" s="118">
        <f>IFERROR(E19*C19,"")</f>
        <v>0</v>
      </c>
      <c r="G19" s="196">
        <f t="shared" si="3"/>
        <v>0</v>
      </c>
      <c r="H19" s="120">
        <v>905000108</v>
      </c>
      <c r="I19" s="120"/>
      <c r="J19" s="197"/>
    </row>
    <row r="20" spans="1:12" ht="13.5" x14ac:dyDescent="0.25">
      <c r="A20" s="270">
        <v>300</v>
      </c>
      <c r="B20" s="271" t="str">
        <f>IFERROR(VLOOKUP(H20,[1]SEMIELABORADOS!$A$2:$M$6000,2,0),"")</f>
        <v>CREMA DULCE LECHE KILO</v>
      </c>
      <c r="C20" s="117">
        <f>+A20</f>
        <v>300</v>
      </c>
      <c r="D20" s="117" t="str">
        <f>IFERROR(VLOOKUP(H20,[1]SEMIELABORADOS!$A$2:$M$6000,6,0),"")</f>
        <v>Gramo</v>
      </c>
      <c r="E20" s="118">
        <v>2.63</v>
      </c>
      <c r="F20" s="118">
        <f>IFERROR(E20*C20,"")</f>
        <v>789</v>
      </c>
      <c r="G20" s="196">
        <f t="shared" si="3"/>
        <v>0.11553061487963852</v>
      </c>
      <c r="H20" s="120" t="s">
        <v>147</v>
      </c>
      <c r="I20" s="120"/>
      <c r="J20" s="197"/>
    </row>
    <row r="21" spans="1:12" ht="13.5" x14ac:dyDescent="0.25">
      <c r="A21" s="116">
        <v>70</v>
      </c>
      <c r="B21" s="104" t="s">
        <v>153</v>
      </c>
      <c r="C21" s="117">
        <f>+A21</f>
        <v>70</v>
      </c>
      <c r="D21" s="117" t="s">
        <v>148</v>
      </c>
      <c r="E21" s="118">
        <v>2.61</v>
      </c>
      <c r="F21" s="118">
        <f>IFERROR(E21*C21,"")</f>
        <v>182.7</v>
      </c>
      <c r="G21" s="196">
        <f t="shared" si="3"/>
        <v>2.6752146183155839E-2</v>
      </c>
      <c r="H21" s="120">
        <v>905000063</v>
      </c>
      <c r="I21" s="120"/>
      <c r="J21" s="197"/>
    </row>
    <row r="22" spans="1:12" ht="13.5" hidden="1" x14ac:dyDescent="0.25">
      <c r="A22" s="116"/>
      <c r="B22" s="104" t="str">
        <f>IFERROR(VLOOKUP(H22,[1]SEMIELABORADOS!$A$2:$M$6000,2,0),"")</f>
        <v/>
      </c>
      <c r="C22" s="117">
        <f t="shared" si="4"/>
        <v>0</v>
      </c>
      <c r="D22" s="117" t="str">
        <f>IFERROR(VLOOKUP(H22,[1]SEMIELABORADOS!$A$2:$M$6000,6,0),"")</f>
        <v/>
      </c>
      <c r="E22" s="118" t="str">
        <f>IFERROR(VLOOKUP(H22,[1]SEMIELABORADOS!$A$2:$H$65536,8,0),"")</f>
        <v/>
      </c>
      <c r="F22" s="118" t="str">
        <f t="shared" si="5"/>
        <v/>
      </c>
      <c r="G22" s="196" t="str">
        <f t="shared" si="3"/>
        <v/>
      </c>
      <c r="H22" s="120"/>
      <c r="I22" s="120"/>
      <c r="J22" s="197"/>
    </row>
    <row r="23" spans="1:12" ht="13.5" hidden="1" x14ac:dyDescent="0.25">
      <c r="A23" s="116"/>
      <c r="B23" s="104" t="str">
        <f>IFERROR(VLOOKUP(H23,[1]SEMIELABORADOS!$A$2:$M$6000,2,0),"")</f>
        <v/>
      </c>
      <c r="C23" s="117">
        <f t="shared" si="4"/>
        <v>0</v>
      </c>
      <c r="D23" s="117" t="str">
        <f>IFERROR(VLOOKUP(H23,[1]SEMIELABORADOS!$A$2:$M$6000,6,0),"")</f>
        <v/>
      </c>
      <c r="E23" s="118" t="str">
        <f>IFERROR(VLOOKUP(H23,[1]SEMIELABORADOS!$A$2:$H$65536,8,0),"")</f>
        <v/>
      </c>
      <c r="F23" s="118" t="str">
        <f t="shared" si="5"/>
        <v/>
      </c>
      <c r="G23" s="196" t="str">
        <f t="shared" si="3"/>
        <v/>
      </c>
      <c r="H23" s="120"/>
      <c r="I23" s="120"/>
      <c r="J23" s="197"/>
    </row>
    <row r="24" spans="1:12" ht="13.5" hidden="1" x14ac:dyDescent="0.25">
      <c r="A24" s="116"/>
      <c r="B24" s="104" t="str">
        <f>IFERROR(VLOOKUP(H24,[1]SEMIELABORADOS!$A$2:$M$6000,2,0),"")</f>
        <v/>
      </c>
      <c r="C24" s="117">
        <f t="shared" si="4"/>
        <v>0</v>
      </c>
      <c r="D24" s="117" t="str">
        <f>IFERROR(VLOOKUP(H24,[1]SEMIELABORADOS!$A$2:$M$6000,6,0),"")</f>
        <v/>
      </c>
      <c r="E24" s="118" t="str">
        <f>IFERROR(VLOOKUP(H24,[1]SEMIELABORADOS!$A$2:$H$65536,8,0),"")</f>
        <v/>
      </c>
      <c r="F24" s="118" t="str">
        <f t="shared" si="5"/>
        <v/>
      </c>
      <c r="G24" s="196" t="str">
        <f t="shared" si="3"/>
        <v/>
      </c>
      <c r="H24" s="120"/>
      <c r="I24" s="120"/>
      <c r="J24" s="197"/>
    </row>
    <row r="25" spans="1:12" ht="14.25" thickBot="1" x14ac:dyDescent="0.3">
      <c r="A25" s="116"/>
      <c r="C25" s="117"/>
      <c r="D25" s="117"/>
      <c r="E25" s="118"/>
      <c r="F25" s="118"/>
      <c r="G25" s="196"/>
      <c r="H25" s="120"/>
      <c r="I25" s="120"/>
      <c r="J25" s="197"/>
    </row>
    <row r="26" spans="1:12" ht="26.25" thickBot="1" x14ac:dyDescent="0.25">
      <c r="A26" s="111" t="s">
        <v>94</v>
      </c>
      <c r="B26" s="112" t="s">
        <v>27</v>
      </c>
      <c r="C26" s="112" t="s">
        <v>94</v>
      </c>
      <c r="D26" s="113" t="s">
        <v>96</v>
      </c>
      <c r="E26" s="113" t="s">
        <v>97</v>
      </c>
      <c r="F26" s="113" t="s">
        <v>98</v>
      </c>
      <c r="G26" s="113" t="s">
        <v>99</v>
      </c>
      <c r="H26" s="114" t="s">
        <v>100</v>
      </c>
      <c r="I26" s="115"/>
    </row>
    <row r="27" spans="1:12" ht="13.5" x14ac:dyDescent="0.25">
      <c r="A27" s="116">
        <v>1</v>
      </c>
      <c r="B27" s="122" t="str">
        <f>IFERROR(VLOOKUP(H27,'[1]Consolidado MP Planta'!$A$2:$M$823,3,0),"")</f>
        <v>BASE CARTON 30 PORCIONES UND</v>
      </c>
      <c r="C27" s="117">
        <f t="shared" ref="C27:C35" si="6">+A27</f>
        <v>1</v>
      </c>
      <c r="D27" s="118" t="str">
        <f>IFERROR(VLOOKUP(H27,'[1]Consolidado MP Planta'!$A$2:$M$823,13,0),"")</f>
        <v>Und</v>
      </c>
      <c r="E27" s="118">
        <v>243.95</v>
      </c>
      <c r="F27" s="118">
        <f t="shared" ref="F27:F35" si="7">IFERROR(C27*E27,"")</f>
        <v>243.95</v>
      </c>
      <c r="G27" s="196">
        <f t="shared" ref="G27:G35" si="8">IFERROR(F27/$F$69,"")</f>
        <v>3.5720777566397736E-2</v>
      </c>
      <c r="H27" s="123" t="s">
        <v>38</v>
      </c>
      <c r="I27" s="123"/>
      <c r="J27" s="197"/>
      <c r="K27" s="603"/>
      <c r="L27" s="603"/>
    </row>
    <row r="28" spans="1:12" ht="13.5" x14ac:dyDescent="0.25">
      <c r="A28" s="116">
        <v>1</v>
      </c>
      <c r="B28" s="122" t="str">
        <f>IFERROR(VLOOKUP(H28,'[1]Consolidado MP Planta'!$A$2:$M$823,3,0),"")</f>
        <v>QUEQUERA RECTANGULAR 1/2 (CAJA:35 UND)</v>
      </c>
      <c r="C28" s="117">
        <f t="shared" si="6"/>
        <v>1</v>
      </c>
      <c r="D28" s="118" t="str">
        <f>IFERROR(VLOOKUP(H28,'[1]Consolidado MP Planta'!$A$2:$M$823,13,0),"")</f>
        <v>Und</v>
      </c>
      <c r="E28" s="118">
        <v>1428</v>
      </c>
      <c r="F28" s="118">
        <f t="shared" si="7"/>
        <v>1428</v>
      </c>
      <c r="G28" s="196">
        <f t="shared" si="8"/>
        <v>0.20909723453501117</v>
      </c>
      <c r="H28" s="123" t="s">
        <v>50</v>
      </c>
      <c r="I28" s="123"/>
      <c r="J28" s="197"/>
      <c r="K28" s="603"/>
      <c r="L28" s="603"/>
    </row>
    <row r="29" spans="1:12" ht="13.5" x14ac:dyDescent="0.25">
      <c r="A29" s="116">
        <v>1</v>
      </c>
      <c r="B29" s="122" t="str">
        <f>IFERROR(VLOOKUP(H29,'[1]Consolidado MP Planta'!$A$2:$M$823,3,0),"")</f>
        <v>ETIQ.FECHA VENCIMIENTO BLANCO (ROLLO)</v>
      </c>
      <c r="C29" s="117">
        <f>+A29</f>
        <v>1</v>
      </c>
      <c r="D29" s="118" t="str">
        <f>IFERROR(VLOOKUP(H29,'[1]Consolidado MP Planta'!$A$2:$M$823,13,0),"")</f>
        <v>Gramos</v>
      </c>
      <c r="E29" s="118">
        <f>IFERROR(VLOOKUP(H29,'[1]Consolidado MP Planta'!$A$2:$M$823,12,0),"")</f>
        <v>0.33333333333333331</v>
      </c>
      <c r="F29" s="118">
        <f>IFERROR(C29*E29,"")</f>
        <v>0.33333333333333331</v>
      </c>
      <c r="G29" s="196">
        <f t="shared" si="8"/>
        <v>4.8808878276146394E-5</v>
      </c>
      <c r="H29" s="123" t="s">
        <v>44</v>
      </c>
      <c r="I29" s="123"/>
      <c r="J29" s="197"/>
      <c r="K29" s="102"/>
      <c r="L29" s="102"/>
    </row>
    <row r="30" spans="1:12" ht="13.5" x14ac:dyDescent="0.25">
      <c r="A30" s="116">
        <v>1</v>
      </c>
      <c r="B30" s="122" t="str">
        <f>IFERROR(VLOOKUP(H30,'[1]Consolidado MP Planta'!$A$2:$M$823,3,0),"")</f>
        <v>ETIQUETA BLANCA 2 5/8X1 15/16 (UND)</v>
      </c>
      <c r="C30" s="117">
        <f>+A30</f>
        <v>1</v>
      </c>
      <c r="D30" s="118" t="str">
        <f>IFERROR(VLOOKUP(H30,'[1]Consolidado MP Planta'!$A$2:$M$823,13,0),"")</f>
        <v>Und</v>
      </c>
      <c r="E30" s="118">
        <f>IFERROR(VLOOKUP(H30,'[1]Consolidado MP Planta'!$A$2:$M$823,12,0),"")</f>
        <v>2.1280000000000001</v>
      </c>
      <c r="F30" s="118">
        <f>IFERROR(C30*E30,"")</f>
        <v>2.1280000000000001</v>
      </c>
      <c r="G30" s="196">
        <f t="shared" si="8"/>
        <v>3.1159587891491862E-4</v>
      </c>
      <c r="H30" s="123" t="s">
        <v>46</v>
      </c>
      <c r="I30" s="123"/>
      <c r="J30" s="197"/>
      <c r="K30" s="102"/>
      <c r="L30" s="102"/>
    </row>
    <row r="31" spans="1:12" ht="13.5" x14ac:dyDescent="0.25">
      <c r="A31" s="116">
        <v>1</v>
      </c>
      <c r="B31" s="122" t="str">
        <f>IFERROR(VLOOKUP(H31,'[1]Consolidado MP Planta'!$A$2:$M$823,3,0),"")</f>
        <v>ETIQUETA BLANCA R-153 (UND)</v>
      </c>
      <c r="C31" s="117">
        <f>+A31</f>
        <v>1</v>
      </c>
      <c r="D31" s="118" t="str">
        <f>IFERROR(VLOOKUP(H31,'[1]Consolidado MP Planta'!$A$2:$M$823,13,0),"")</f>
        <v>Und</v>
      </c>
      <c r="E31" s="118">
        <f>IFERROR(VLOOKUP(H31,'[1]Consolidado MP Planta'!$A$2:$M$823,12,0),"")</f>
        <v>0.39</v>
      </c>
      <c r="F31" s="118">
        <f>IFERROR(C31*E31,"")</f>
        <v>0.39</v>
      </c>
      <c r="G31" s="196">
        <f t="shared" si="8"/>
        <v>5.7106387583091284E-5</v>
      </c>
      <c r="H31" s="123" t="s">
        <v>39</v>
      </c>
      <c r="I31" s="123"/>
      <c r="J31" s="197"/>
      <c r="K31" s="102"/>
      <c r="L31" s="102"/>
    </row>
    <row r="32" spans="1:12" ht="13.5" x14ac:dyDescent="0.25">
      <c r="A32" s="116">
        <v>1</v>
      </c>
      <c r="B32" s="122" t="s">
        <v>289</v>
      </c>
      <c r="C32" s="117">
        <f t="shared" si="6"/>
        <v>1</v>
      </c>
      <c r="D32" s="118" t="s">
        <v>291</v>
      </c>
      <c r="E32" s="118" t="str">
        <f>IFERROR(VLOOKUP(H32,'[1]Consolidado MP Planta'!$A$2:$M$823,12,0),"")</f>
        <v/>
      </c>
      <c r="F32" s="118" t="str">
        <f t="shared" si="7"/>
        <v/>
      </c>
      <c r="G32" s="196" t="str">
        <f t="shared" si="8"/>
        <v/>
      </c>
      <c r="H32" s="123" t="s">
        <v>272</v>
      </c>
      <c r="I32" s="123"/>
      <c r="J32" s="197"/>
      <c r="K32" s="603"/>
      <c r="L32" s="603"/>
    </row>
    <row r="33" spans="1:18" ht="13.5" x14ac:dyDescent="0.25">
      <c r="A33" s="116">
        <v>60</v>
      </c>
      <c r="B33" s="122" t="str">
        <f>IFERROR(VLOOKUP(H33,'[1]Consolidado MP Planta'!$A$2:$M$823,3,0),"")</f>
        <v>CINTA ADHESIVA TRANSPARENT 2*100 M (UND)</v>
      </c>
      <c r="C33" s="117">
        <f t="shared" si="6"/>
        <v>60</v>
      </c>
      <c r="D33" s="118" t="str">
        <f>IFERROR(VLOOKUP(H33,'[1]Consolidado MP Planta'!$A$2:$M$823,13,0),"")</f>
        <v>Cm</v>
      </c>
      <c r="E33" s="118">
        <f>IFERROR(VLOOKUP(H33,'[1]Consolidado MP Planta'!$A$2:$M$823,12,0),"")</f>
        <v>0.17499999999999999</v>
      </c>
      <c r="F33" s="118">
        <f t="shared" si="7"/>
        <v>10.5</v>
      </c>
      <c r="G33" s="196">
        <f t="shared" si="8"/>
        <v>1.5374796656986115E-3</v>
      </c>
      <c r="H33" s="123" t="s">
        <v>149</v>
      </c>
      <c r="I33" s="123"/>
      <c r="J33" s="197"/>
      <c r="K33" s="603"/>
      <c r="L33" s="603"/>
    </row>
    <row r="34" spans="1:18" ht="13.5" x14ac:dyDescent="0.25">
      <c r="A34" s="116"/>
      <c r="B34" s="122" t="str">
        <f>IFERROR(VLOOKUP(H34,'[1]Consolidado MP Planta'!$A$2:$M$823,3,0),"")</f>
        <v/>
      </c>
      <c r="C34" s="117">
        <f t="shared" si="6"/>
        <v>0</v>
      </c>
      <c r="D34" s="118" t="str">
        <f>IFERROR(VLOOKUP(H34,'[1]Consolidado MP Planta'!$A$2:$M$823,13,0),"")</f>
        <v/>
      </c>
      <c r="E34" s="118" t="str">
        <f>IFERROR(VLOOKUP(H34,'[1]Consolidado MP Planta'!$A$2:$M$823,12,0),"")</f>
        <v/>
      </c>
      <c r="F34" s="118" t="str">
        <f t="shared" si="7"/>
        <v/>
      </c>
      <c r="G34" s="196" t="str">
        <f t="shared" si="8"/>
        <v/>
      </c>
      <c r="H34" s="123"/>
      <c r="I34" s="123"/>
      <c r="J34" s="197"/>
      <c r="K34" s="124"/>
      <c r="L34" s="125"/>
    </row>
    <row r="35" spans="1:18" ht="13.5" x14ac:dyDescent="0.25">
      <c r="A35" s="116"/>
      <c r="B35" s="122" t="str">
        <f>IFERROR(VLOOKUP(H35,'[1]Consolidado MP Planta'!$A$2:$M$823,3,0),"")</f>
        <v/>
      </c>
      <c r="C35" s="117">
        <f t="shared" si="6"/>
        <v>0</v>
      </c>
      <c r="D35" s="118" t="str">
        <f>IFERROR(VLOOKUP(H35,'[1]Consolidado MP Planta'!$A$2:$M$823,13,0),"")</f>
        <v/>
      </c>
      <c r="E35" s="118" t="str">
        <f>IFERROR(VLOOKUP(H35,'[1]Consolidado MP Planta'!$A$2:$M$823,12,0),"")</f>
        <v/>
      </c>
      <c r="F35" s="118" t="str">
        <f t="shared" si="7"/>
        <v/>
      </c>
      <c r="G35" s="196" t="str">
        <f t="shared" si="8"/>
        <v/>
      </c>
      <c r="H35" s="123"/>
      <c r="I35" s="123"/>
      <c r="J35" s="197"/>
    </row>
    <row r="36" spans="1:18" ht="14.25" thickBot="1" x14ac:dyDescent="0.3">
      <c r="A36" s="116"/>
      <c r="B36" s="122"/>
      <c r="C36" s="117"/>
      <c r="D36" s="118"/>
      <c r="E36" s="118"/>
      <c r="F36" s="118"/>
      <c r="G36" s="196"/>
      <c r="H36" s="123"/>
      <c r="I36" s="123"/>
      <c r="J36" s="197"/>
    </row>
    <row r="37" spans="1:18" ht="26.25" thickBot="1" x14ac:dyDescent="0.25">
      <c r="A37" s="111" t="s">
        <v>94</v>
      </c>
      <c r="B37" s="112" t="s">
        <v>106</v>
      </c>
      <c r="C37" s="112" t="s">
        <v>94</v>
      </c>
      <c r="D37" s="113" t="s">
        <v>96</v>
      </c>
      <c r="E37" s="113" t="s">
        <v>97</v>
      </c>
      <c r="F37" s="113" t="s">
        <v>98</v>
      </c>
      <c r="G37" s="113" t="s">
        <v>99</v>
      </c>
      <c r="H37" s="114" t="s">
        <v>100</v>
      </c>
      <c r="I37" s="123"/>
      <c r="J37" s="197"/>
    </row>
    <row r="38" spans="1:18" ht="13.5" x14ac:dyDescent="0.25">
      <c r="A38" s="116">
        <f t="shared" ref="A38:A44" si="9">+A17</f>
        <v>1</v>
      </c>
      <c r="B38" s="122" t="s">
        <v>143</v>
      </c>
      <c r="C38" s="117">
        <f>+A38</f>
        <v>1</v>
      </c>
      <c r="D38" s="118" t="s">
        <v>144</v>
      </c>
      <c r="E38" s="118">
        <v>16.739999999999998</v>
      </c>
      <c r="F38" s="118">
        <f>IFERROR(E38*C38,"")</f>
        <v>16.739999999999998</v>
      </c>
      <c r="G38" s="196">
        <f t="shared" ref="G38:G44" si="10">IFERROR(F38/$F$69,"")</f>
        <v>2.4511818670280719E-3</v>
      </c>
      <c r="H38" s="123" t="s">
        <v>145</v>
      </c>
      <c r="I38" s="123"/>
      <c r="J38" s="197"/>
    </row>
    <row r="39" spans="1:18" ht="13.5" x14ac:dyDescent="0.25">
      <c r="A39" s="116">
        <f t="shared" si="9"/>
        <v>230</v>
      </c>
      <c r="B39" s="104" t="s">
        <v>66</v>
      </c>
      <c r="C39" s="117">
        <f t="shared" ref="C39:C44" si="11">+A39</f>
        <v>230</v>
      </c>
      <c r="D39" s="118" t="s">
        <v>102</v>
      </c>
      <c r="E39" s="118">
        <f>+'[4]COSTO CREMA '!$E$76</f>
        <v>0</v>
      </c>
      <c r="F39" s="118">
        <f t="shared" ref="F39:F44" si="12">IFERROR(E39*C39,"")</f>
        <v>0</v>
      </c>
      <c r="G39" s="196">
        <f t="shared" si="10"/>
        <v>0</v>
      </c>
      <c r="H39" s="123"/>
      <c r="I39" s="123"/>
      <c r="J39" s="197"/>
    </row>
    <row r="40" spans="1:18" ht="13.5" x14ac:dyDescent="0.25">
      <c r="A40" s="116">
        <f t="shared" si="9"/>
        <v>0</v>
      </c>
      <c r="B40" s="104" t="s">
        <v>146</v>
      </c>
      <c r="C40" s="117">
        <f t="shared" si="11"/>
        <v>0</v>
      </c>
      <c r="D40" s="118" t="s">
        <v>148</v>
      </c>
      <c r="E40" s="118">
        <f>+'[3]Costo manjar con agua '!$E$76</f>
        <v>0</v>
      </c>
      <c r="F40" s="118">
        <f t="shared" si="12"/>
        <v>0</v>
      </c>
      <c r="G40" s="196">
        <f t="shared" si="10"/>
        <v>0</v>
      </c>
      <c r="H40" s="120">
        <v>905000108</v>
      </c>
      <c r="I40" s="123"/>
      <c r="J40" s="197"/>
      <c r="R40" s="104">
        <f>49990/35</f>
        <v>1428.2857142857142</v>
      </c>
    </row>
    <row r="41" spans="1:18" ht="13.5" x14ac:dyDescent="0.25">
      <c r="A41" s="116">
        <f t="shared" si="9"/>
        <v>300</v>
      </c>
      <c r="B41" s="122" t="str">
        <f>IFERROR(VLOOKUP(H41,[1]SEMIELABORADOS!$A$2:$M$6000,2,0),"")</f>
        <v>CREMA DULCE LECHE KILO</v>
      </c>
      <c r="C41" s="117">
        <f>+A41</f>
        <v>300</v>
      </c>
      <c r="D41" s="118" t="str">
        <f>IFERROR(VLOOKUP(H41,[1]SEMIELABORADOS!$A$2:$M$6000,6,0),"")</f>
        <v>Gramo</v>
      </c>
      <c r="E41" s="118">
        <f>IFERROR(VLOOKUP(H41,[1]SEMIELABORADOS!$A$2:$M$65536,10,0),"")</f>
        <v>8.5119999999999998E-5</v>
      </c>
      <c r="F41" s="118">
        <f>IFERROR(E41*C41,"")</f>
        <v>2.5536E-2</v>
      </c>
      <c r="G41" s="196">
        <f t="shared" si="10"/>
        <v>3.7391505469790232E-6</v>
      </c>
      <c r="H41" s="123" t="s">
        <v>147</v>
      </c>
      <c r="I41" s="123"/>
      <c r="J41" s="197"/>
    </row>
    <row r="42" spans="1:18" ht="13.5" x14ac:dyDescent="0.25">
      <c r="A42" s="116">
        <f t="shared" si="9"/>
        <v>70</v>
      </c>
      <c r="B42" s="122" t="s">
        <v>153</v>
      </c>
      <c r="C42" s="117">
        <f>+A42</f>
        <v>70</v>
      </c>
      <c r="D42" s="118" t="s">
        <v>148</v>
      </c>
      <c r="E42" s="118">
        <v>0</v>
      </c>
      <c r="F42" s="118">
        <f>IFERROR(E42*C42,"")</f>
        <v>0</v>
      </c>
      <c r="G42" s="196">
        <f t="shared" si="10"/>
        <v>0</v>
      </c>
      <c r="H42" s="123"/>
      <c r="I42" s="123"/>
      <c r="J42" s="197"/>
    </row>
    <row r="43" spans="1:18" ht="13.5" x14ac:dyDescent="0.25">
      <c r="A43" s="116">
        <f t="shared" si="9"/>
        <v>0</v>
      </c>
      <c r="B43" s="122" t="str">
        <f>IFERROR(VLOOKUP(H43,[1]SEMIELABORADOS!$A$2:$M$6000,2,0),"")</f>
        <v/>
      </c>
      <c r="C43" s="117">
        <f t="shared" si="11"/>
        <v>0</v>
      </c>
      <c r="D43" s="118" t="str">
        <f>IFERROR(VLOOKUP(H43,[1]SEMIELABORADOS!$A$2:$M$6000,6,0),"")</f>
        <v/>
      </c>
      <c r="E43" s="118" t="str">
        <f>IFERROR(VLOOKUP(H43,[1]SEMIELABORADOS!$A$2:$M$65536,10,0),"")</f>
        <v/>
      </c>
      <c r="F43" s="118" t="str">
        <f t="shared" si="12"/>
        <v/>
      </c>
      <c r="G43" s="196" t="str">
        <f t="shared" si="10"/>
        <v/>
      </c>
      <c r="H43" s="123"/>
      <c r="I43" s="123"/>
      <c r="J43" s="197"/>
    </row>
    <row r="44" spans="1:18" ht="13.5" x14ac:dyDescent="0.25">
      <c r="A44" s="116">
        <f t="shared" si="9"/>
        <v>0</v>
      </c>
      <c r="B44" s="122" t="str">
        <f>IFERROR(VLOOKUP(H44,[1]SEMIELABORADOS!$A$2:$M$6000,2,0),"")</f>
        <v/>
      </c>
      <c r="C44" s="117">
        <f t="shared" si="11"/>
        <v>0</v>
      </c>
      <c r="D44" s="118" t="str">
        <f>IFERROR(VLOOKUP(H44,[1]SEMIELABORADOS!$A$2:$M$6000,6,0),"")</f>
        <v/>
      </c>
      <c r="E44" s="118" t="str">
        <f>IFERROR(VLOOKUP(H44,[1]SEMIELABORADOS!$A$2:$M$65536,10,0),"")</f>
        <v/>
      </c>
      <c r="F44" s="118" t="str">
        <f t="shared" si="12"/>
        <v/>
      </c>
      <c r="G44" s="196" t="str">
        <f t="shared" si="10"/>
        <v/>
      </c>
      <c r="H44" s="123"/>
      <c r="I44" s="123"/>
      <c r="J44" s="197"/>
    </row>
    <row r="45" spans="1:18" ht="14.25" thickBot="1" x14ac:dyDescent="0.3">
      <c r="A45" s="116"/>
      <c r="B45" s="122"/>
      <c r="C45" s="117"/>
      <c r="D45" s="118"/>
      <c r="E45" s="118"/>
      <c r="F45" s="118"/>
      <c r="G45" s="196"/>
      <c r="H45" s="123"/>
      <c r="I45" s="123"/>
      <c r="J45" s="197"/>
    </row>
    <row r="46" spans="1:18" ht="26.25" thickBot="1" x14ac:dyDescent="0.25">
      <c r="A46" s="111" t="s">
        <v>94</v>
      </c>
      <c r="B46" s="112" t="s">
        <v>107</v>
      </c>
      <c r="C46" s="112" t="s">
        <v>94</v>
      </c>
      <c r="D46" s="113" t="s">
        <v>96</v>
      </c>
      <c r="E46" s="113" t="s">
        <v>97</v>
      </c>
      <c r="F46" s="113" t="s">
        <v>98</v>
      </c>
      <c r="G46" s="113" t="s">
        <v>99</v>
      </c>
      <c r="H46" s="114" t="s">
        <v>100</v>
      </c>
      <c r="I46" s="115"/>
      <c r="J46" s="197"/>
    </row>
    <row r="47" spans="1:18" ht="13.5" x14ac:dyDescent="0.25">
      <c r="A47" s="116">
        <f>+A38</f>
        <v>1</v>
      </c>
      <c r="B47" s="122" t="s">
        <v>143</v>
      </c>
      <c r="C47" s="117">
        <f>+A47</f>
        <v>1</v>
      </c>
      <c r="D47" s="118" t="s">
        <v>150</v>
      </c>
      <c r="E47" s="118">
        <v>52.34</v>
      </c>
      <c r="F47" s="118">
        <f>IFERROR(E47*C47,"")</f>
        <v>52.34</v>
      </c>
      <c r="G47" s="196">
        <f>IFERROR(F47/$F$69,"")</f>
        <v>7.6639700669205073E-3</v>
      </c>
      <c r="H47" s="123" t="s">
        <v>145</v>
      </c>
      <c r="I47" s="115"/>
      <c r="J47" s="197"/>
    </row>
    <row r="48" spans="1:18" ht="13.5" x14ac:dyDescent="0.25">
      <c r="A48" s="116">
        <f t="shared" ref="A48:A53" si="13">+A39</f>
        <v>230</v>
      </c>
      <c r="B48" s="104" t="s">
        <v>66</v>
      </c>
      <c r="C48" s="117">
        <f t="shared" ref="C48:C53" si="14">+A48</f>
        <v>230</v>
      </c>
      <c r="D48" s="118" t="s">
        <v>102</v>
      </c>
      <c r="E48" s="118">
        <f>+'[4]COSTO CREMA '!$E$74</f>
        <v>3.0499999999999999E-2</v>
      </c>
      <c r="F48" s="118">
        <f t="shared" ref="F48:F53" si="15">IFERROR(E48*C48,"")</f>
        <v>7.0149999999999997</v>
      </c>
      <c r="G48" s="196">
        <f t="shared" ref="G48:G53" si="16">IFERROR(F48/$F$69,"")</f>
        <v>1.0271828433215009E-3</v>
      </c>
      <c r="H48" s="123"/>
      <c r="I48" s="115"/>
      <c r="J48" s="197"/>
      <c r="M48" s="126"/>
    </row>
    <row r="49" spans="1:17" ht="13.5" x14ac:dyDescent="0.25">
      <c r="A49" s="116">
        <f t="shared" si="13"/>
        <v>0</v>
      </c>
      <c r="B49" s="104" t="s">
        <v>146</v>
      </c>
      <c r="C49" s="117">
        <f t="shared" si="14"/>
        <v>0</v>
      </c>
      <c r="D49" s="118" t="str">
        <f>IFERROR(VLOOKUP(H49,[1]SEMIELABORADOS!$A$2:$M$6000,6,0),"")</f>
        <v/>
      </c>
      <c r="E49" s="118">
        <f>+'[3]Costo manjar con agua '!$E$74</f>
        <v>0.20333333333333334</v>
      </c>
      <c r="F49" s="118">
        <f t="shared" si="15"/>
        <v>0</v>
      </c>
      <c r="G49" s="196">
        <f t="shared" si="16"/>
        <v>0</v>
      </c>
      <c r="H49" s="120">
        <v>905000108</v>
      </c>
      <c r="I49" s="115"/>
      <c r="J49" s="197"/>
    </row>
    <row r="50" spans="1:17" ht="13.5" x14ac:dyDescent="0.25">
      <c r="A50" s="116">
        <f t="shared" si="13"/>
        <v>300</v>
      </c>
      <c r="B50" s="122" t="str">
        <f>IFERROR(VLOOKUP(H50,[1]SEMIELABORADOS!$A$2:$M$6000,2,0),"")</f>
        <v>CREMA DULCE LECHE KILO</v>
      </c>
      <c r="C50" s="117">
        <f t="shared" si="14"/>
        <v>300</v>
      </c>
      <c r="D50" s="118" t="str">
        <f>IFERROR(VLOOKUP(H50,[1]SEMIELABORADOS!$A$2:$M$6000,6,0),"")</f>
        <v>Gramo</v>
      </c>
      <c r="E50" s="118">
        <v>0.01</v>
      </c>
      <c r="F50" s="118">
        <f t="shared" si="15"/>
        <v>3</v>
      </c>
      <c r="G50" s="196">
        <f t="shared" si="16"/>
        <v>4.3927990448531758E-4</v>
      </c>
      <c r="H50" s="123" t="s">
        <v>147</v>
      </c>
      <c r="I50" s="115"/>
      <c r="J50" s="197"/>
    </row>
    <row r="51" spans="1:17" ht="13.5" x14ac:dyDescent="0.25">
      <c r="A51" s="116">
        <f t="shared" si="13"/>
        <v>70</v>
      </c>
      <c r="B51" s="122" t="s">
        <v>153</v>
      </c>
      <c r="C51" s="117">
        <f t="shared" si="14"/>
        <v>70</v>
      </c>
      <c r="D51" s="118" t="str">
        <f>IFERROR(VLOOKUP(H51,[1]SEMIELABORADOS!$A$2:$M$6000,6,0),"")</f>
        <v/>
      </c>
      <c r="E51" s="118">
        <v>0.03</v>
      </c>
      <c r="F51" s="118">
        <f t="shared" si="15"/>
        <v>2.1</v>
      </c>
      <c r="G51" s="196">
        <f t="shared" si="16"/>
        <v>3.0749593313972231E-4</v>
      </c>
      <c r="H51" s="123"/>
      <c r="I51" s="115"/>
      <c r="J51" s="197"/>
    </row>
    <row r="52" spans="1:17" ht="13.5" hidden="1" x14ac:dyDescent="0.25">
      <c r="A52" s="116">
        <f t="shared" si="13"/>
        <v>0</v>
      </c>
      <c r="B52" s="122" t="str">
        <f>IFERROR(VLOOKUP(H52,[1]SEMIELABORADOS!$A$2:$M$6000,2,0),"")</f>
        <v/>
      </c>
      <c r="C52" s="117">
        <f t="shared" si="14"/>
        <v>0</v>
      </c>
      <c r="D52" s="118" t="str">
        <f>IFERROR(VLOOKUP(H52,[1]SEMIELABORADOS!$A$2:$M$6000,6,0),"")</f>
        <v/>
      </c>
      <c r="E52" s="118" t="str">
        <f>IFERROR(VLOOKUP(H52,[1]SEMIELABORADOS!$A$2:$M$65536,12,0),"")</f>
        <v/>
      </c>
      <c r="F52" s="118" t="str">
        <f t="shared" si="15"/>
        <v/>
      </c>
      <c r="G52" s="196" t="str">
        <f t="shared" si="16"/>
        <v/>
      </c>
      <c r="H52" s="123"/>
      <c r="I52" s="115"/>
      <c r="J52" s="197"/>
    </row>
    <row r="53" spans="1:17" ht="13.5" hidden="1" x14ac:dyDescent="0.25">
      <c r="A53" s="116">
        <f t="shared" si="13"/>
        <v>0</v>
      </c>
      <c r="B53" s="122" t="str">
        <f>IFERROR(VLOOKUP(H53,[1]SEMIELABORADOS!$A$2:$M$6000,2,0),"")</f>
        <v/>
      </c>
      <c r="C53" s="117">
        <f t="shared" si="14"/>
        <v>0</v>
      </c>
      <c r="D53" s="118" t="str">
        <f>IFERROR(VLOOKUP(H53,[1]SEMIELABORADOS!$A$2:$M$6000,6,0),"")</f>
        <v/>
      </c>
      <c r="E53" s="118" t="str">
        <f>IFERROR(VLOOKUP(H53,[1]SEMIELABORADOS!$A$2:$M$65536,12,0),"")</f>
        <v/>
      </c>
      <c r="F53" s="118" t="str">
        <f t="shared" si="15"/>
        <v/>
      </c>
      <c r="G53" s="196" t="str">
        <f t="shared" si="16"/>
        <v/>
      </c>
      <c r="H53" s="122"/>
      <c r="I53" s="115"/>
      <c r="J53" s="197"/>
    </row>
    <row r="54" spans="1:17" ht="13.5" x14ac:dyDescent="0.25">
      <c r="A54" s="116">
        <v>1</v>
      </c>
      <c r="B54" s="122" t="s">
        <v>108</v>
      </c>
      <c r="C54" s="117">
        <f>+A54</f>
        <v>1</v>
      </c>
      <c r="D54" s="117" t="s">
        <v>109</v>
      </c>
      <c r="E54" s="118">
        <f>+F68</f>
        <v>488</v>
      </c>
      <c r="F54" s="118">
        <f>IFERROR(C54*E54,"")</f>
        <v>488</v>
      </c>
      <c r="G54" s="196">
        <f>IFERROR(F54/$F$69,"")</f>
        <v>7.145619779627832E-2</v>
      </c>
      <c r="H54" s="127"/>
      <c r="I54" s="127"/>
      <c r="J54" s="197"/>
    </row>
    <row r="55" spans="1:17" ht="14.25" thickBot="1" x14ac:dyDescent="0.3">
      <c r="A55" s="116"/>
      <c r="B55" s="122"/>
      <c r="C55" s="117"/>
      <c r="D55" s="117"/>
      <c r="E55" s="118"/>
      <c r="F55" s="118"/>
      <c r="G55" s="196"/>
      <c r="H55" s="127"/>
      <c r="I55" s="127"/>
      <c r="J55" s="197"/>
    </row>
    <row r="56" spans="1:17" ht="13.5" thickBot="1" x14ac:dyDescent="0.25">
      <c r="A56" s="128"/>
      <c r="B56" s="604" t="s">
        <v>110</v>
      </c>
      <c r="C56" s="604"/>
      <c r="D56" s="604"/>
      <c r="E56" s="604"/>
      <c r="F56" s="130">
        <f>SUM(F8:F14,F17:F24)</f>
        <v>4548.3252406417105</v>
      </c>
      <c r="G56" s="196">
        <f>+F56/$F$69</f>
        <v>0.66599595909241649</v>
      </c>
      <c r="H56" s="131">
        <f>+F56/$D$63</f>
        <v>4548.3252406417105</v>
      </c>
      <c r="I56" s="131"/>
      <c r="J56" s="198"/>
      <c r="K56" s="133"/>
      <c r="L56" s="133"/>
      <c r="M56" s="133"/>
      <c r="N56" s="133"/>
      <c r="O56" s="133"/>
      <c r="P56" s="133"/>
      <c r="Q56" s="134"/>
    </row>
    <row r="57" spans="1:17" x14ac:dyDescent="0.2">
      <c r="A57" s="128"/>
      <c r="B57" s="604" t="s">
        <v>111</v>
      </c>
      <c r="C57" s="604"/>
      <c r="D57" s="604"/>
      <c r="E57" s="604"/>
      <c r="F57" s="130">
        <f>SUM(F27:F35,F38:F44)</f>
        <v>1702.0668693333334</v>
      </c>
      <c r="G57" s="196">
        <f>+F57/$F$69</f>
        <v>0.24922792392945672</v>
      </c>
      <c r="H57" s="131">
        <f>+F57/$D$63</f>
        <v>1702.0668693333334</v>
      </c>
      <c r="I57" s="131"/>
      <c r="J57" s="135"/>
      <c r="K57" s="605" t="s">
        <v>112</v>
      </c>
      <c r="L57" s="606"/>
      <c r="M57" s="606"/>
      <c r="N57" s="606"/>
      <c r="O57" s="136">
        <f>+F58</f>
        <v>6250.3921099750441</v>
      </c>
      <c r="P57" s="136"/>
      <c r="Q57" s="137"/>
    </row>
    <row r="58" spans="1:17" x14ac:dyDescent="0.2">
      <c r="A58" s="128"/>
      <c r="B58" s="604" t="s">
        <v>113</v>
      </c>
      <c r="C58" s="604"/>
      <c r="D58" s="604"/>
      <c r="E58" s="604"/>
      <c r="F58" s="130">
        <f>+F56+F57</f>
        <v>6250.3921099750441</v>
      </c>
      <c r="G58" s="196">
        <f>+F58/$F$69</f>
        <v>0.9152238830218733</v>
      </c>
      <c r="H58" s="131">
        <f>+F58/$D$63</f>
        <v>6250.3921099750441</v>
      </c>
      <c r="I58" s="131"/>
      <c r="J58" s="199"/>
      <c r="K58" s="139"/>
      <c r="M58" s="140" t="s">
        <v>114</v>
      </c>
      <c r="N58" s="141"/>
      <c r="O58" s="136">
        <f>+H59</f>
        <v>552.45500000000004</v>
      </c>
      <c r="P58" s="136"/>
      <c r="Q58" s="137"/>
    </row>
    <row r="59" spans="1:17" ht="13.5" thickBot="1" x14ac:dyDescent="0.25">
      <c r="A59" s="128"/>
      <c r="B59" s="129"/>
      <c r="C59" s="604" t="s">
        <v>115</v>
      </c>
      <c r="D59" s="604"/>
      <c r="E59" s="604"/>
      <c r="F59" s="130">
        <f>SUM(F47:F54)</f>
        <v>552.45500000000004</v>
      </c>
      <c r="G59" s="196">
        <f>+F59/$F$69</f>
        <v>8.0894126544145378E-2</v>
      </c>
      <c r="H59" s="131">
        <f>+F59/$D$63</f>
        <v>552.45500000000004</v>
      </c>
      <c r="I59" s="131"/>
      <c r="J59" s="199"/>
      <c r="K59" s="139"/>
      <c r="L59" s="139"/>
      <c r="M59" s="139" t="s">
        <v>116</v>
      </c>
      <c r="N59" s="200"/>
      <c r="O59" s="136">
        <f>O57*N59</f>
        <v>0</v>
      </c>
      <c r="P59" s="136"/>
      <c r="Q59" s="137"/>
    </row>
    <row r="60" spans="1:17" ht="13.5" thickBot="1" x14ac:dyDescent="0.25">
      <c r="A60" s="128"/>
      <c r="B60" s="143"/>
      <c r="C60" s="143"/>
      <c r="D60" s="143"/>
      <c r="E60" s="143"/>
      <c r="F60" s="144"/>
      <c r="G60" s="196"/>
      <c r="H60" s="145"/>
      <c r="I60" s="131"/>
      <c r="J60" s="199"/>
      <c r="K60" s="146"/>
      <c r="M60" s="147" t="s">
        <v>117</v>
      </c>
      <c r="N60" s="148"/>
      <c r="O60" s="149">
        <f>SUM(O57:O59)</f>
        <v>6802.8471099750441</v>
      </c>
      <c r="P60" s="150"/>
      <c r="Q60" s="137"/>
    </row>
    <row r="61" spans="1:17" x14ac:dyDescent="0.2">
      <c r="B61" s="608" t="s">
        <v>118</v>
      </c>
      <c r="C61" s="608"/>
      <c r="D61" s="151">
        <v>2700</v>
      </c>
      <c r="E61" s="152"/>
      <c r="G61" s="196"/>
      <c r="H61" s="145">
        <f>+H59/61</f>
        <v>9.0566393442622957</v>
      </c>
      <c r="I61" s="153"/>
      <c r="J61" s="199"/>
      <c r="K61" s="146"/>
      <c r="L61" s="139"/>
      <c r="M61" s="139" t="s">
        <v>119</v>
      </c>
      <c r="N61" s="201"/>
      <c r="O61" s="136">
        <f>+H62</f>
        <v>525.28508196721316</v>
      </c>
      <c r="P61" s="136"/>
      <c r="Q61" s="137"/>
    </row>
    <row r="62" spans="1:17" x14ac:dyDescent="0.2">
      <c r="B62" s="608" t="s">
        <v>120</v>
      </c>
      <c r="C62" s="608"/>
      <c r="D62" s="155">
        <v>2700</v>
      </c>
      <c r="E62" s="152"/>
      <c r="G62" s="196"/>
      <c r="H62" s="145">
        <f>+H61*58</f>
        <v>525.28508196721316</v>
      </c>
      <c r="I62" s="153"/>
      <c r="J62" s="199"/>
      <c r="K62" s="146"/>
      <c r="L62" s="139"/>
      <c r="M62" s="609" t="s">
        <v>117</v>
      </c>
      <c r="N62" s="609"/>
      <c r="O62" s="136">
        <f>SUM(O60:O61)</f>
        <v>7328.1321919422571</v>
      </c>
      <c r="P62" s="136"/>
      <c r="Q62" s="137"/>
    </row>
    <row r="63" spans="1:17" ht="13.5" thickBot="1" x14ac:dyDescent="0.25">
      <c r="B63" s="610" t="s">
        <v>121</v>
      </c>
      <c r="C63" s="610"/>
      <c r="D63" s="151">
        <f>+D61/D62</f>
        <v>1</v>
      </c>
      <c r="E63" s="152"/>
      <c r="F63" s="156"/>
      <c r="G63" s="196"/>
      <c r="H63" s="145"/>
      <c r="I63" s="153"/>
      <c r="J63" s="199"/>
      <c r="K63" s="146"/>
      <c r="L63" s="609"/>
      <c r="M63" s="609"/>
      <c r="N63" s="201"/>
      <c r="O63" s="136">
        <f>+O62*N63</f>
        <v>0</v>
      </c>
      <c r="P63" s="136"/>
      <c r="Q63" s="137"/>
    </row>
    <row r="64" spans="1:17" ht="13.5" thickBot="1" x14ac:dyDescent="0.25">
      <c r="B64" s="610" t="s">
        <v>122</v>
      </c>
      <c r="C64" s="610"/>
      <c r="D64" s="157"/>
      <c r="E64" s="152"/>
      <c r="F64" s="156"/>
      <c r="G64" s="196"/>
      <c r="H64" s="145"/>
      <c r="I64" s="153"/>
      <c r="J64" s="199"/>
      <c r="K64" s="611" t="s">
        <v>123</v>
      </c>
      <c r="L64" s="612"/>
      <c r="M64" s="612"/>
      <c r="N64" s="613"/>
      <c r="O64" s="149">
        <f>SUM(O62:O63)</f>
        <v>7328.1321919422571</v>
      </c>
      <c r="P64" s="158" t="s">
        <v>124</v>
      </c>
      <c r="Q64" s="137"/>
    </row>
    <row r="65" spans="2:17" ht="13.5" thickBot="1" x14ac:dyDescent="0.25">
      <c r="C65" s="128" t="s">
        <v>125</v>
      </c>
      <c r="D65" s="159"/>
      <c r="E65" s="102" t="s">
        <v>126</v>
      </c>
      <c r="F65" s="160" t="s">
        <v>127</v>
      </c>
      <c r="G65" s="196"/>
      <c r="H65" s="145"/>
      <c r="I65" s="153"/>
      <c r="J65" s="161"/>
      <c r="K65" s="162"/>
      <c r="L65" s="619" t="s">
        <v>128</v>
      </c>
      <c r="M65" s="619"/>
      <c r="N65" s="619"/>
      <c r="O65" s="163">
        <f>+O64/D63</f>
        <v>7328.1321919422571</v>
      </c>
      <c r="P65" s="164">
        <f>+O65/D62</f>
        <v>2.7141230340526876</v>
      </c>
      <c r="Q65" s="165"/>
    </row>
    <row r="66" spans="2:17" ht="13.5" thickBot="1" x14ac:dyDescent="0.25">
      <c r="B66" s="620" t="s">
        <v>113</v>
      </c>
      <c r="C66" s="620"/>
      <c r="D66" s="620"/>
      <c r="E66" s="202">
        <f>+F66/F66</f>
        <v>1</v>
      </c>
      <c r="F66" s="167">
        <f>SUM(F58)</f>
        <v>6250.3921099750441</v>
      </c>
      <c r="G66" s="196">
        <f>+F66/$F$69</f>
        <v>0.9152238830218733</v>
      </c>
      <c r="H66" s="145"/>
      <c r="I66" s="153"/>
      <c r="K66" s="621"/>
      <c r="L66" s="622"/>
      <c r="M66" s="622"/>
      <c r="N66" s="622"/>
      <c r="O66" s="168"/>
      <c r="P66" s="169"/>
    </row>
    <row r="67" spans="2:17" ht="13.5" thickBot="1" x14ac:dyDescent="0.25">
      <c r="B67" s="623" t="s">
        <v>129</v>
      </c>
      <c r="C67" s="623"/>
      <c r="D67" s="623"/>
      <c r="E67" s="170">
        <v>0.02</v>
      </c>
      <c r="F67" s="167">
        <f>+F56*E67</f>
        <v>90.966504812834216</v>
      </c>
      <c r="G67" s="196">
        <f>+F67/$F$69</f>
        <v>1.3319919181848331E-2</v>
      </c>
      <c r="H67" s="131"/>
      <c r="I67" s="153"/>
      <c r="J67" s="203"/>
      <c r="O67" s="172"/>
      <c r="P67" s="129"/>
    </row>
    <row r="68" spans="2:17" ht="13.5" thickBot="1" x14ac:dyDescent="0.25">
      <c r="B68" s="624" t="s">
        <v>130</v>
      </c>
      <c r="C68" s="625"/>
      <c r="D68" s="173">
        <v>8</v>
      </c>
      <c r="E68" s="174">
        <v>61</v>
      </c>
      <c r="F68" s="167">
        <f>+E68*D68</f>
        <v>488</v>
      </c>
      <c r="G68" s="196">
        <f>+F68/$F$69</f>
        <v>7.145619779627832E-2</v>
      </c>
      <c r="H68" s="131"/>
      <c r="I68" s="131"/>
      <c r="J68" s="197"/>
    </row>
    <row r="69" spans="2:17" ht="13.5" thickBot="1" x14ac:dyDescent="0.25">
      <c r="B69" s="626" t="s">
        <v>131</v>
      </c>
      <c r="C69" s="627"/>
      <c r="D69" s="627"/>
      <c r="E69" s="628"/>
      <c r="F69" s="144">
        <f>SUM(F66:F68)</f>
        <v>6829.3586147878787</v>
      </c>
      <c r="G69" s="196">
        <f>+F69/$F$69</f>
        <v>1</v>
      </c>
      <c r="H69" s="607"/>
      <c r="I69" s="131"/>
      <c r="J69" s="197"/>
      <c r="M69" s="104" t="s">
        <v>132</v>
      </c>
    </row>
    <row r="70" spans="2:17" x14ac:dyDescent="0.2">
      <c r="C70" s="126"/>
      <c r="D70" s="126"/>
      <c r="E70" s="176"/>
      <c r="F70" s="167"/>
      <c r="G70" s="196"/>
      <c r="H70" s="607"/>
      <c r="I70" s="175"/>
      <c r="J70" s="104"/>
      <c r="M70" s="104" t="s">
        <v>133</v>
      </c>
    </row>
    <row r="71" spans="2:17" ht="13.5" thickBot="1" x14ac:dyDescent="0.25">
      <c r="B71" s="614" t="s">
        <v>134</v>
      </c>
      <c r="C71" s="614"/>
      <c r="D71" s="614"/>
      <c r="E71" s="614"/>
      <c r="F71" s="614"/>
      <c r="G71" s="196"/>
      <c r="H71" s="178"/>
      <c r="I71" s="175"/>
      <c r="J71" s="104"/>
      <c r="M71" s="104" t="s">
        <v>135</v>
      </c>
    </row>
    <row r="72" spans="2:17" ht="13.5" thickBot="1" x14ac:dyDescent="0.25">
      <c r="B72" s="179" t="s">
        <v>136</v>
      </c>
      <c r="C72" s="180">
        <f>+F56</f>
        <v>4548.3252406417105</v>
      </c>
      <c r="D72" s="180">
        <f>+D61</f>
        <v>2700</v>
      </c>
      <c r="E72" s="181">
        <f>+C72/D72</f>
        <v>1.6845649039413741</v>
      </c>
      <c r="F72" s="196"/>
      <c r="G72" s="178"/>
      <c r="H72" s="197"/>
      <c r="I72" s="178"/>
      <c r="J72" s="104"/>
    </row>
    <row r="73" spans="2:17" x14ac:dyDescent="0.2">
      <c r="B73" s="182"/>
      <c r="C73" s="183"/>
      <c r="D73" s="184"/>
      <c r="E73" s="167"/>
      <c r="F73" s="196"/>
      <c r="G73" s="178"/>
      <c r="H73" s="197"/>
      <c r="I73" s="197"/>
      <c r="J73" s="104"/>
    </row>
    <row r="74" spans="2:17" x14ac:dyDescent="0.2">
      <c r="B74" s="179" t="s">
        <v>137</v>
      </c>
      <c r="C74" s="180">
        <f>SUM(F66:F67)</f>
        <v>6341.3586147878787</v>
      </c>
      <c r="D74" s="180">
        <f>+D61</f>
        <v>2700</v>
      </c>
      <c r="E74" s="185">
        <f>+C74/D74</f>
        <v>2.3486513388103254</v>
      </c>
      <c r="F74" s="196"/>
      <c r="G74" s="178"/>
      <c r="H74" s="197"/>
      <c r="I74" s="197"/>
      <c r="J74" s="104"/>
    </row>
    <row r="75" spans="2:17" x14ac:dyDescent="0.2">
      <c r="B75" s="179"/>
      <c r="C75" s="180"/>
      <c r="D75" s="180"/>
      <c r="E75" s="185"/>
      <c r="F75" s="196"/>
      <c r="G75" s="178"/>
      <c r="H75" s="197"/>
      <c r="I75" s="197"/>
      <c r="J75" s="104"/>
    </row>
    <row r="76" spans="2:17" ht="13.5" thickBot="1" x14ac:dyDescent="0.25">
      <c r="B76" s="179" t="s">
        <v>138</v>
      </c>
      <c r="C76" s="180">
        <f>+F68</f>
        <v>488</v>
      </c>
      <c r="D76" s="180">
        <f>+D61</f>
        <v>2700</v>
      </c>
      <c r="E76" s="185">
        <f>+C76/D76</f>
        <v>0.18074074074074073</v>
      </c>
      <c r="F76" s="196"/>
      <c r="G76" s="178"/>
      <c r="H76" s="197"/>
      <c r="I76" s="197"/>
      <c r="J76" s="104"/>
    </row>
    <row r="77" spans="2:17" ht="13.5" thickBot="1" x14ac:dyDescent="0.25">
      <c r="B77" s="179" t="s">
        <v>139</v>
      </c>
      <c r="C77" s="180">
        <f>+F59</f>
        <v>552.45500000000004</v>
      </c>
      <c r="D77" s="180">
        <f>+D76</f>
        <v>2700</v>
      </c>
      <c r="E77" s="181">
        <f>+C77/D77</f>
        <v>0.20461296296296297</v>
      </c>
      <c r="F77" s="196"/>
      <c r="G77" s="178"/>
      <c r="H77" s="197"/>
      <c r="I77" s="197"/>
      <c r="J77" s="104"/>
    </row>
    <row r="78" spans="2:17" ht="13.5" thickBot="1" x14ac:dyDescent="0.25">
      <c r="B78" s="143"/>
      <c r="C78" s="144"/>
      <c r="D78" s="144"/>
      <c r="E78" s="185"/>
      <c r="F78" s="196"/>
      <c r="G78" s="178"/>
      <c r="H78" s="197"/>
      <c r="I78" s="197"/>
      <c r="J78" s="104"/>
    </row>
    <row r="79" spans="2:17" ht="13.5" thickBot="1" x14ac:dyDescent="0.25">
      <c r="B79" s="179" t="s">
        <v>140</v>
      </c>
      <c r="C79" s="180">
        <f>+F57</f>
        <v>1702.0668693333334</v>
      </c>
      <c r="D79" s="180">
        <f>+D77</f>
        <v>2700</v>
      </c>
      <c r="E79" s="181">
        <f>+C79/D79</f>
        <v>0.63039513679012349</v>
      </c>
      <c r="F79" s="196"/>
      <c r="G79" s="178"/>
      <c r="H79" s="197"/>
      <c r="I79" s="197"/>
      <c r="J79" s="197"/>
    </row>
    <row r="80" spans="2:17" ht="13.5" thickBot="1" x14ac:dyDescent="0.25">
      <c r="B80" s="143"/>
      <c r="C80" s="144"/>
      <c r="D80" s="144"/>
      <c r="E80" s="185"/>
      <c r="F80" s="196"/>
      <c r="G80" s="178"/>
      <c r="H80" s="197"/>
      <c r="I80" s="197"/>
    </row>
    <row r="81" spans="1:10" ht="13.5" thickBot="1" x14ac:dyDescent="0.25">
      <c r="B81" s="615" t="s">
        <v>141</v>
      </c>
      <c r="C81" s="616"/>
      <c r="D81" s="617"/>
      <c r="E81" s="181">
        <f>+E72+E77</f>
        <v>1.8891778669043371</v>
      </c>
      <c r="G81" s="196"/>
      <c r="H81" s="178"/>
      <c r="I81" s="197"/>
      <c r="J81" s="185"/>
    </row>
    <row r="82" spans="1:10" x14ac:dyDescent="0.2">
      <c r="I82" s="178"/>
      <c r="J82" s="104"/>
    </row>
    <row r="83" spans="1:10" ht="13.5" thickBot="1" x14ac:dyDescent="0.25">
      <c r="B83" s="614" t="s">
        <v>142</v>
      </c>
      <c r="C83" s="614"/>
      <c r="D83" s="614"/>
      <c r="E83" s="614"/>
      <c r="F83" s="614"/>
      <c r="G83" s="196"/>
      <c r="H83" s="178"/>
      <c r="J83" s="104"/>
    </row>
    <row r="84" spans="1:10" ht="13.5" thickBot="1" x14ac:dyDescent="0.25">
      <c r="B84" s="179" t="s">
        <v>136</v>
      </c>
      <c r="C84" s="180">
        <f>+C72</f>
        <v>4548.3252406417105</v>
      </c>
      <c r="D84" s="180">
        <f>+D63</f>
        <v>1</v>
      </c>
      <c r="E84" s="181">
        <f>+C84/D84</f>
        <v>4548.3252406417105</v>
      </c>
      <c r="F84" s="196"/>
      <c r="G84" s="178"/>
      <c r="H84" s="197"/>
      <c r="I84" s="178"/>
      <c r="J84" s="104"/>
    </row>
    <row r="85" spans="1:10" x14ac:dyDescent="0.2">
      <c r="B85" s="182"/>
      <c r="C85" s="183"/>
      <c r="D85" s="184"/>
      <c r="E85" s="167"/>
      <c r="F85" s="196"/>
      <c r="G85" s="178"/>
      <c r="H85" s="197"/>
      <c r="I85" s="197"/>
      <c r="J85" s="104"/>
    </row>
    <row r="86" spans="1:10" x14ac:dyDescent="0.2">
      <c r="B86" s="179" t="s">
        <v>137</v>
      </c>
      <c r="C86" s="180">
        <f>+C74</f>
        <v>6341.3586147878787</v>
      </c>
      <c r="D86" s="180">
        <f>+D63</f>
        <v>1</v>
      </c>
      <c r="E86" s="185">
        <f>+C86/D86</f>
        <v>6341.3586147878787</v>
      </c>
      <c r="F86" s="196"/>
      <c r="G86" s="178"/>
      <c r="H86" s="197"/>
      <c r="I86" s="197"/>
      <c r="J86" s="104"/>
    </row>
    <row r="87" spans="1:10" x14ac:dyDescent="0.2">
      <c r="B87" s="179"/>
      <c r="C87" s="180"/>
      <c r="D87" s="180"/>
      <c r="E87" s="185"/>
      <c r="F87" s="196"/>
      <c r="G87" s="178"/>
      <c r="H87" s="197"/>
      <c r="I87" s="197"/>
      <c r="J87" s="104"/>
    </row>
    <row r="88" spans="1:10" ht="13.5" thickBot="1" x14ac:dyDescent="0.25">
      <c r="B88" s="179" t="s">
        <v>139</v>
      </c>
      <c r="C88" s="180">
        <f>+C76</f>
        <v>488</v>
      </c>
      <c r="D88" s="180">
        <f>+D63</f>
        <v>1</v>
      </c>
      <c r="E88" s="185">
        <f>+C88/D88</f>
        <v>488</v>
      </c>
      <c r="F88" s="187"/>
      <c r="G88" s="177"/>
      <c r="H88" s="103"/>
      <c r="I88" s="197"/>
    </row>
    <row r="89" spans="1:10" ht="13.5" thickBot="1" x14ac:dyDescent="0.25">
      <c r="B89" s="179" t="s">
        <v>139</v>
      </c>
      <c r="C89" s="180">
        <f>+C77</f>
        <v>552.45500000000004</v>
      </c>
      <c r="D89" s="180">
        <f>+D88</f>
        <v>1</v>
      </c>
      <c r="E89" s="181">
        <f>+C89/D89</f>
        <v>552.45500000000004</v>
      </c>
      <c r="F89" s="204"/>
      <c r="G89" s="177"/>
      <c r="H89" s="103"/>
      <c r="I89" s="103"/>
    </row>
    <row r="90" spans="1:10" x14ac:dyDescent="0.2">
      <c r="I90" s="103"/>
    </row>
    <row r="91" spans="1:10" x14ac:dyDescent="0.2">
      <c r="A91" s="618"/>
      <c r="B91" s="618"/>
      <c r="C91" s="188"/>
      <c r="D91" s="188"/>
      <c r="E91" s="189"/>
      <c r="G91" s="205"/>
    </row>
    <row r="92" spans="1:10" x14ac:dyDescent="0.2">
      <c r="A92" s="122"/>
      <c r="B92" s="191"/>
      <c r="C92" s="192"/>
      <c r="D92" s="192"/>
      <c r="E92" s="193"/>
      <c r="G92" s="205"/>
    </row>
    <row r="93" spans="1:10" x14ac:dyDescent="0.2">
      <c r="A93" s="122"/>
      <c r="B93" s="191"/>
      <c r="C93" s="194"/>
      <c r="D93" s="194"/>
      <c r="E93" s="122"/>
      <c r="G93" s="205"/>
    </row>
    <row r="94" spans="1:10" x14ac:dyDescent="0.2">
      <c r="A94" s="122"/>
      <c r="B94" s="191"/>
      <c r="C94" s="195"/>
      <c r="D94" s="195"/>
      <c r="E94" s="122"/>
      <c r="G94" s="205"/>
    </row>
  </sheetData>
  <mergeCells count="30">
    <mergeCell ref="K32:L32"/>
    <mergeCell ref="A4:H4"/>
    <mergeCell ref="A5:H5"/>
    <mergeCell ref="F6:G6"/>
    <mergeCell ref="K27:L27"/>
    <mergeCell ref="K28:L28"/>
    <mergeCell ref="B64:C64"/>
    <mergeCell ref="K64:N64"/>
    <mergeCell ref="K33:L33"/>
    <mergeCell ref="B56:E56"/>
    <mergeCell ref="B57:E57"/>
    <mergeCell ref="K57:N57"/>
    <mergeCell ref="B58:E58"/>
    <mergeCell ref="C59:E59"/>
    <mergeCell ref="B61:C61"/>
    <mergeCell ref="B62:C62"/>
    <mergeCell ref="M62:N62"/>
    <mergeCell ref="B63:C63"/>
    <mergeCell ref="L63:M63"/>
    <mergeCell ref="B71:F71"/>
    <mergeCell ref="B81:D81"/>
    <mergeCell ref="B83:F83"/>
    <mergeCell ref="A91:B91"/>
    <mergeCell ref="L65:N65"/>
    <mergeCell ref="B66:D66"/>
    <mergeCell ref="K66:N66"/>
    <mergeCell ref="B67:D67"/>
    <mergeCell ref="B68:C68"/>
    <mergeCell ref="B69:E69"/>
    <mergeCell ref="H69:H7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06255F-C634-4593-854D-BF6401966B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6B8B5BC7-E4D2-44D3-87FE-8ED06F47B8BE}"/>
</file>

<file path=customXml/itemProps3.xml><?xml version="1.0" encoding="utf-8"?>
<ds:datastoreItem xmlns:ds="http://schemas.openxmlformats.org/officeDocument/2006/customXml" ds:itemID="{A0F3A42D-632A-4C63-9F82-DB954E9F930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75A03FE7-8B5D-40D2-BF28-F291895151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ROSQUETE 2200</vt:lpstr>
      <vt:lpstr>Costo Rosquete 2200 </vt:lpstr>
      <vt:lpstr>REC TORTA 60 1</vt:lpstr>
      <vt:lpstr>Costo ensamble </vt:lpstr>
      <vt:lpstr>Crema Blanca Spoon</vt:lpstr>
      <vt:lpstr>Crema Verde Oscuro electrica </vt:lpstr>
      <vt:lpstr>Crema Chantilly Blanca Bucca</vt:lpstr>
      <vt:lpstr>Crema dulce de leche </vt:lpstr>
      <vt:lpstr>Premezcla Easy Vainilla </vt:lpstr>
      <vt:lpstr>Batido Easy vainilla </vt:lpstr>
      <vt:lpstr>Costo Rosquete 2400</vt:lpstr>
      <vt:lpstr>Ensamble 2</vt:lpstr>
      <vt:lpstr>Ensamble 3</vt:lpstr>
      <vt:lpstr>Ensamble 4</vt:lpstr>
      <vt:lpstr>Ensamble 5</vt:lpstr>
      <vt:lpstr>Costo ensamble 2</vt:lpstr>
      <vt:lpstr>'Ensamble 5'!Área_de_impresión</vt:lpstr>
      <vt:lpstr>'REC TORTA 60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2025-12-29T22:05:59Z</cp:lastPrinted>
  <dcterms:created xsi:type="dcterms:W3CDTF">2012-05-10T22:32:20Z</dcterms:created>
  <dcterms:modified xsi:type="dcterms:W3CDTF">2025-12-29T22:18:25Z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186000.000000000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</Properties>
</file>
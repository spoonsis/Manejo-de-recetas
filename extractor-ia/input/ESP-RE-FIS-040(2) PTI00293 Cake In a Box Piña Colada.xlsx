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calcChain.xml" ContentType="application/vnd.openxmlformats-officedocument.spreadsheetml.calcCh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edepast.sharepoint.com/sites/Stargate/Carpetas compartidas/Recetas Movidas/RECETAS 2025 ACTUALIZADA/FIGURAS/SPOON/"/>
    </mc:Choice>
  </mc:AlternateContent>
  <xr:revisionPtr revIDLastSave="2" documentId="8_{89FFD6CC-BC39-4F1B-B4DD-D8DAF72F96F3}" xr6:coauthVersionLast="47" xr6:coauthVersionMax="47" xr10:uidLastSave="{89DF2366-4784-41CA-BFB5-15211F587378}"/>
  <bookViews>
    <workbookView xWindow="20370" yWindow="-120" windowWidth="24240" windowHeight="13020" xr2:uid="{EDCE241F-87D7-4559-8A59-D5A873237020}"/>
  </bookViews>
  <sheets>
    <sheet name="Cake Box Piña Colada 3" sheetId="1" r:id="rId1"/>
  </sheets>
  <definedNames>
    <definedName name="_xlnm.Print_Area" localSheetId="0">'Cake Box Piña Colada 3'!$A$1:$I$49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E16" i="1"/>
</calcChain>
</file>

<file path=xl/sharedStrings.xml><?xml version="1.0" encoding="utf-8"?>
<sst xmlns="http://schemas.openxmlformats.org/spreadsheetml/2006/main" count="122" uniqueCount="91">
  <si>
    <t>2, Se convierte 1 una unidad, se actualiza dato de tiempo y datos de receta</t>
  </si>
  <si>
    <t>CONTROL DE CAMBIOS</t>
  </si>
  <si>
    <t xml:space="preserve">5, Tapar y etiquetar. </t>
  </si>
  <si>
    <t>4, Colocar de esquina a esquina los chips de coco caramelizados y la cereza en el medio hundiendola un poco</t>
  </si>
  <si>
    <t>3. Colocar otro rosquete, humedecer con el almibar, agregar relleno de piña con coco y con una manga la crema passionata de coco y por ultimo con ayuda de una bolsa la salsa de piña con brillo</t>
  </si>
  <si>
    <t xml:space="preserve">2, En cada empaque colocar un cuadrado de rosquete, humedecer con ayuda de una bolsa el almibar, colocar el relleno Piña con Coco, despues con una manga colocar la crema passionata de coco y el coco tostado con chocolate blanco. </t>
  </si>
  <si>
    <t>PROCEDIMIENTO DE PREPARACION DE LA  RECETA</t>
  </si>
  <si>
    <t>g</t>
  </si>
  <si>
    <t>MERMA</t>
  </si>
  <si>
    <t>Otros</t>
  </si>
  <si>
    <t>PESO DE CADA PORCIÓN</t>
  </si>
  <si>
    <t>Temperatura de Horneo:</t>
  </si>
  <si>
    <t>Unidad</t>
  </si>
  <si>
    <t>CANTIDAD DE PORCIONES OBTENIDAS</t>
  </si>
  <si>
    <t>Horno:</t>
  </si>
  <si>
    <t>min</t>
  </si>
  <si>
    <t>TIEMPO TOTAL DE PREPARACION</t>
  </si>
  <si>
    <t>Tiempo de Horneo:</t>
  </si>
  <si>
    <t>PESO TOTAL OBTENIDO</t>
  </si>
  <si>
    <t>Cantidad</t>
  </si>
  <si>
    <t>ud</t>
  </si>
  <si>
    <t xml:space="preserve">Etiqueta Cake In a Box Piña Colada </t>
  </si>
  <si>
    <t xml:space="preserve">Nuevo </t>
  </si>
  <si>
    <t>ETIPLAST</t>
  </si>
  <si>
    <t>ETIQ.FECHA VENCIMIENTO BLANCO</t>
  </si>
  <si>
    <t>EM10004</t>
  </si>
  <si>
    <t>ETIQUETA BLANCA R-153</t>
  </si>
  <si>
    <t>EM10124</t>
  </si>
  <si>
    <t>CEMUSA</t>
  </si>
  <si>
    <t>ETIQUETA BLANCA 2 5/8X1 15/16</t>
  </si>
  <si>
    <t>EM10011</t>
  </si>
  <si>
    <t>Empaque Cake In Box Cuadrado</t>
  </si>
  <si>
    <t>EM10500</t>
  </si>
  <si>
    <t>EMPAQUE</t>
  </si>
  <si>
    <t>4g x capa</t>
  </si>
  <si>
    <t>Cereza Roja C/Tallo</t>
  </si>
  <si>
    <t>MP10109</t>
  </si>
  <si>
    <t>FAS</t>
  </si>
  <si>
    <t xml:space="preserve">Salsa Piña Con Brillo </t>
  </si>
  <si>
    <t>Nuevo</t>
  </si>
  <si>
    <t>5g x capa</t>
  </si>
  <si>
    <t>Chips de Coco Caramelizado</t>
  </si>
  <si>
    <t>MP10733</t>
  </si>
  <si>
    <t>DECORACION</t>
  </si>
  <si>
    <t xml:space="preserve">8,4g </t>
  </si>
  <si>
    <t>ROSQUETE ARROLLADO 1000g</t>
  </si>
  <si>
    <t>SE00196</t>
  </si>
  <si>
    <t>907000042</t>
  </si>
  <si>
    <t>1 cucharada</t>
  </si>
  <si>
    <t>(1 capa)</t>
  </si>
  <si>
    <t>Procesado Coco Tostado con Chocolate Blanco</t>
  </si>
  <si>
    <t xml:space="preserve">30g x capa </t>
  </si>
  <si>
    <t>Crema Passionata de Coco</t>
  </si>
  <si>
    <t>SE00811</t>
  </si>
  <si>
    <t>1/3 taza</t>
  </si>
  <si>
    <t>80g x capa</t>
  </si>
  <si>
    <t>Relleno Piña y Coco</t>
  </si>
  <si>
    <t>SE00812</t>
  </si>
  <si>
    <t>15g x rosquete</t>
  </si>
  <si>
    <t>Almibar</t>
  </si>
  <si>
    <t>SE00005</t>
  </si>
  <si>
    <t>2 Unidades  por postre de 36g cada ud</t>
  </si>
  <si>
    <t>72g</t>
  </si>
  <si>
    <t xml:space="preserve">ud </t>
  </si>
  <si>
    <t>0.09</t>
  </si>
  <si>
    <t>Ensamble</t>
  </si>
  <si>
    <t>Colones</t>
  </si>
  <si>
    <t xml:space="preserve">Unidad medida </t>
  </si>
  <si>
    <t xml:space="preserve">Costo - Referencia </t>
  </si>
  <si>
    <t>Medida alternativa</t>
  </si>
  <si>
    <t>Unidad Internacional</t>
  </si>
  <si>
    <t xml:space="preserve">Marca </t>
  </si>
  <si>
    <t>Descripción del ingrediente</t>
  </si>
  <si>
    <t># Código Netsuite</t>
  </si>
  <si>
    <t xml:space="preserve"># Código </t>
  </si>
  <si>
    <t xml:space="preserve">Figuras </t>
  </si>
  <si>
    <t xml:space="preserve">AREA QUE EMPACA: </t>
  </si>
  <si>
    <t>AREA QUE PRODUCE:</t>
  </si>
  <si>
    <t>Sebastian Díaz, Gte Manufactura</t>
  </si>
  <si>
    <t>Aprobado</t>
  </si>
  <si>
    <t>Mariela Barrantes Sánchez, Chef</t>
  </si>
  <si>
    <t>Elaborado</t>
  </si>
  <si>
    <t>FECHA DE APROBACIÓN:</t>
  </si>
  <si>
    <t>PTI00293 Cake Box In a Piña Colada</t>
  </si>
  <si>
    <t>REVISIÓN:</t>
  </si>
  <si>
    <t>ESPECIFICACION DE RECETA</t>
  </si>
  <si>
    <t>ESP-RE-FIS-040</t>
  </si>
  <si>
    <t>CÓDIGO:</t>
  </si>
  <si>
    <t>SERVICIOS DE PASTELERIA S.A.</t>
  </si>
  <si>
    <t xml:space="preserve">1, Cortar el rosquete arrollado en 20 porciones, (4 cuadros de manera vertical y 15 cuadros de manera horizontal, 10,5cm x 10,5cm) quitandole excesos de los laterales. </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</si>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</sst>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000_);_(* \(#,##0.000\);_(* &quot;-&quot;??_);_(@_)"/>
  </numFmts>
  <fonts count="18" x14ac:knownFonts="1">
    <font>
      <sz val="11"/>
      <color theme="1"/>
      <name val="Aptos Narrow"/>
      <family val="2"/>
      <scheme val="minor"/>
    </font>
    <font>
      <sz val="11"/>
      <color theme="1"/>
      <name val="Aptos Narrow"/>
      <family val="2"/>
      <scheme val="minor"/>
    </font>
    <font>
      <sz val="12"/>
      <name val="Arial"/>
      <family val="2"/>
    </font>
    <font>
      <sz val="16"/>
      <name val="Arial"/>
      <family val="2"/>
    </font>
    <font>
      <b/>
      <sz val="16"/>
      <name val="Arial"/>
      <family val="2"/>
    </font>
    <font>
      <sz val="10"/>
      <name val="Arial"/>
      <family val="2"/>
    </font>
    <font>
      <sz val="16"/>
      <color theme="1"/>
      <name val="Arial"/>
      <family val="2"/>
    </font>
    <font>
      <sz val="16"/>
      <color indexed="8"/>
      <name val="Arial"/>
      <family val="2"/>
    </font>
    <font>
      <sz val="16"/>
      <color rgb="FF0070C0"/>
      <name val="Arial"/>
      <family val="2"/>
    </font>
    <font>
      <sz val="16"/>
      <color rgb="FF000000"/>
      <name val="Arial"/>
      <family val="2"/>
    </font>
    <font>
      <sz val="12"/>
      <color theme="1"/>
      <name val="Aptos Narrow"/>
      <family val="2"/>
      <scheme val="minor"/>
    </font>
    <font>
      <b/>
      <sz val="16"/>
      <color theme="1"/>
      <name val="Arial"/>
      <family val="2"/>
    </font>
    <font>
      <b/>
      <sz val="16"/>
      <color indexed="8"/>
      <name val="Arial"/>
      <family val="2"/>
    </font>
    <font>
      <b/>
      <sz val="12"/>
      <name val="Century Gothic"/>
      <family val="2"/>
    </font>
    <font>
      <b/>
      <sz val="12"/>
      <color rgb="FFFF0000"/>
      <name val="Arial"/>
      <family val="2"/>
    </font>
    <font>
      <b/>
      <sz val="12"/>
      <name val="Arial"/>
      <family val="2"/>
    </font>
    <font>
      <sz val="12"/>
      <name val="Century Gothic"/>
      <family val="2"/>
    </font>
    <font>
      <b/>
      <sz val="18"/>
      <name val="Century Gothic"/>
      <family val="2"/>
    </font>
  </fonts>
  <fills count="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indexed="22"/>
        <bgColor indexed="64"/>
      </patternFill>
    </fill>
    <fill>
      <patternFill patternType="solid">
        <fgColor theme="0"/>
        <bgColor indexed="64"/>
      </patternFill>
    </fill>
    <fill>
      <patternFill patternType="solid">
        <fgColor indexed="23"/>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s>
  <cellStyleXfs count="4">
    <xf numFmtId="0" fontId="0" fillId="0" borderId="0"/>
    <xf numFmtId="0" fontId="2" fillId="0" borderId="0"/>
    <xf numFmtId="0" fontId="5" fillId="0" borderId="0"/>
    <xf numFmtId="43" fontId="1" fillId="0" borderId="0" applyFont="0" applyFill="0" applyBorder="0" applyAlignment="0" applyProtection="0"/>
  </cellStyleXfs>
  <cellXfs count="152">
    <xf numFmtId="0" fontId="0" fillId="0" borderId="0" xfId="0"/>
    <xf numFmtId="0" fontId="3" fillId="2" borderId="1" xfId="1" applyFont="1" applyFill="1" applyBorder="1" applyAlignment="1">
      <alignment horizontal="left"/>
    </xf>
    <xf numFmtId="0" fontId="4" fillId="3" borderId="1" xfId="1" applyFont="1" applyFill="1" applyBorder="1" applyAlignment="1">
      <alignment horizontal="center"/>
    </xf>
    <xf numFmtId="0" fontId="3" fillId="0" borderId="1" xfId="2" applyFont="1" applyBorder="1" applyAlignment="1">
      <alignment horizontal="left"/>
    </xf>
    <xf numFmtId="0" fontId="6" fillId="0" borderId="1" xfId="0" applyFont="1" applyBorder="1" applyAlignment="1">
      <alignment horizontal="left"/>
    </xf>
    <xf numFmtId="0" fontId="6" fillId="0" borderId="1" xfId="0" applyFont="1" applyBorder="1" applyAlignment="1">
      <alignment horizontal="left" wrapText="1"/>
    </xf>
    <xf numFmtId="0" fontId="3" fillId="0" borderId="1" xfId="2" applyFont="1" applyBorder="1" applyAlignment="1">
      <alignment horizontal="left" wrapText="1"/>
    </xf>
    <xf numFmtId="0" fontId="4" fillId="4" borderId="2" xfId="2" applyFont="1" applyFill="1" applyBorder="1" applyAlignment="1">
      <alignment horizontal="center"/>
    </xf>
    <xf numFmtId="0" fontId="4" fillId="4" borderId="3" xfId="2" applyFont="1" applyFill="1" applyBorder="1" applyAlignment="1">
      <alignment horizontal="center"/>
    </xf>
    <xf numFmtId="0" fontId="4" fillId="4" borderId="4" xfId="2" applyFont="1" applyFill="1" applyBorder="1" applyAlignment="1">
      <alignment horizontal="center"/>
    </xf>
    <xf numFmtId="164" fontId="3" fillId="0" borderId="5" xfId="2" applyNumberFormat="1" applyFont="1" applyBorder="1" applyAlignment="1">
      <alignment horizontal="center"/>
    </xf>
    <xf numFmtId="164" fontId="3" fillId="0" borderId="6" xfId="2" applyNumberFormat="1" applyFont="1" applyBorder="1" applyAlignment="1">
      <alignment horizontal="center"/>
    </xf>
    <xf numFmtId="0" fontId="3" fillId="0" borderId="7" xfId="2" applyFont="1" applyBorder="1" applyAlignment="1">
      <alignment horizontal="right"/>
    </xf>
    <xf numFmtId="0" fontId="3" fillId="0" borderId="7" xfId="0" applyFont="1" applyBorder="1" applyAlignment="1">
      <alignment horizontal="center"/>
    </xf>
    <xf numFmtId="1" fontId="3" fillId="0" borderId="7" xfId="0" applyNumberFormat="1" applyFont="1" applyBorder="1" applyAlignment="1">
      <alignment horizontal="center"/>
    </xf>
    <xf numFmtId="0" fontId="4" fillId="0" borderId="7" xfId="2" applyFont="1" applyBorder="1" applyAlignment="1">
      <alignment horizontal="right"/>
    </xf>
    <xf numFmtId="0" fontId="4" fillId="0" borderId="8" xfId="2" applyFont="1" applyBorder="1" applyAlignment="1">
      <alignment horizontal="right"/>
    </xf>
    <xf numFmtId="0" fontId="4" fillId="0" borderId="9" xfId="2" applyFont="1" applyBorder="1" applyAlignment="1">
      <alignment horizontal="right"/>
    </xf>
    <xf numFmtId="164" fontId="3" fillId="0" borderId="10" xfId="2" applyNumberFormat="1" applyFont="1" applyBorder="1" applyAlignment="1">
      <alignment horizontal="center"/>
    </xf>
    <xf numFmtId="164" fontId="3" fillId="0" borderId="11" xfId="2" applyNumberFormat="1" applyFont="1" applyBorder="1" applyAlignment="1">
      <alignment horizontal="center"/>
    </xf>
    <xf numFmtId="164" fontId="3" fillId="0" borderId="12" xfId="2" applyNumberFormat="1" applyFont="1" applyBorder="1" applyAlignment="1">
      <alignment horizontal="right" wrapText="1"/>
    </xf>
    <xf numFmtId="164" fontId="3" fillId="0" borderId="11" xfId="2" applyNumberFormat="1" applyFont="1" applyBorder="1" applyAlignment="1">
      <alignment horizontal="right" wrapText="1"/>
    </xf>
    <xf numFmtId="0" fontId="3" fillId="0" borderId="1" xfId="0" applyFont="1" applyBorder="1" applyAlignment="1">
      <alignment horizontal="center"/>
    </xf>
    <xf numFmtId="0" fontId="4" fillId="0" borderId="12" xfId="2" applyFont="1" applyBorder="1" applyAlignment="1">
      <alignment horizontal="right"/>
    </xf>
    <xf numFmtId="0" fontId="4" fillId="0" borderId="13" xfId="2" applyFont="1" applyBorder="1" applyAlignment="1">
      <alignment horizontal="right"/>
    </xf>
    <xf numFmtId="0" fontId="4" fillId="0" borderId="14" xfId="2" applyFont="1" applyBorder="1" applyAlignment="1">
      <alignment horizontal="right"/>
    </xf>
    <xf numFmtId="0" fontId="3" fillId="0" borderId="1" xfId="2" applyFont="1" applyBorder="1" applyAlignment="1">
      <alignment horizontal="right"/>
    </xf>
    <xf numFmtId="0" fontId="3" fillId="2" borderId="15" xfId="2" applyFont="1" applyFill="1" applyBorder="1" applyAlignment="1">
      <alignment horizontal="center"/>
    </xf>
    <xf numFmtId="0" fontId="3" fillId="2" borderId="16" xfId="2" applyFont="1" applyFill="1" applyBorder="1" applyAlignment="1">
      <alignment horizontal="center"/>
    </xf>
    <xf numFmtId="164" fontId="3" fillId="0" borderId="17" xfId="2" applyNumberFormat="1" applyFont="1" applyBorder="1" applyAlignment="1">
      <alignment horizontal="right"/>
    </xf>
    <xf numFmtId="0" fontId="3" fillId="0" borderId="16" xfId="0" applyFont="1" applyBorder="1" applyAlignment="1">
      <alignment horizontal="center"/>
    </xf>
    <xf numFmtId="1" fontId="3" fillId="0" borderId="17" xfId="0" applyNumberFormat="1" applyFont="1" applyBorder="1" applyAlignment="1">
      <alignment horizontal="center"/>
    </xf>
    <xf numFmtId="0" fontId="4" fillId="0" borderId="18" xfId="2" applyFont="1" applyBorder="1" applyAlignment="1">
      <alignment horizontal="right"/>
    </xf>
    <xf numFmtId="0" fontId="4" fillId="0" borderId="19" xfId="2" applyFont="1" applyBorder="1" applyAlignment="1">
      <alignment horizontal="right"/>
    </xf>
    <xf numFmtId="0" fontId="4" fillId="0" borderId="20" xfId="2" applyFont="1" applyBorder="1" applyAlignment="1">
      <alignment horizontal="right"/>
    </xf>
    <xf numFmtId="1" fontId="0" fillId="0" borderId="0" xfId="0" applyNumberFormat="1"/>
    <xf numFmtId="0" fontId="3" fillId="4" borderId="21" xfId="2" applyFont="1" applyFill="1" applyBorder="1" applyAlignment="1">
      <alignment horizontal="center"/>
    </xf>
    <xf numFmtId="0" fontId="3" fillId="4" borderId="22" xfId="2" applyFont="1" applyFill="1" applyBorder="1"/>
    <xf numFmtId="164" fontId="3" fillId="4" borderId="22" xfId="2" applyNumberFormat="1" applyFont="1" applyFill="1" applyBorder="1" applyAlignment="1">
      <alignment horizontal="center" wrapText="1"/>
    </xf>
    <xf numFmtId="1" fontId="4" fillId="4" borderId="22" xfId="2" applyNumberFormat="1" applyFont="1" applyFill="1" applyBorder="1" applyAlignment="1">
      <alignment horizontal="center"/>
    </xf>
    <xf numFmtId="0" fontId="4" fillId="4" borderId="22" xfId="2" applyFont="1" applyFill="1" applyBorder="1" applyAlignment="1">
      <alignment horizontal="center"/>
    </xf>
    <xf numFmtId="0" fontId="3" fillId="4" borderId="22" xfId="2" applyFont="1" applyFill="1" applyBorder="1" applyAlignment="1">
      <alignment horizontal="center"/>
    </xf>
    <xf numFmtId="0" fontId="3" fillId="4" borderId="23" xfId="2" applyFont="1" applyFill="1" applyBorder="1" applyAlignment="1">
      <alignment horizontal="center"/>
    </xf>
    <xf numFmtId="0" fontId="3" fillId="2" borderId="24" xfId="2" applyFont="1" applyFill="1" applyBorder="1" applyAlignment="1">
      <alignment horizontal="center"/>
    </xf>
    <xf numFmtId="0" fontId="3" fillId="2" borderId="0" xfId="2" applyFont="1" applyFill="1"/>
    <xf numFmtId="164" fontId="3" fillId="2" borderId="0" xfId="2" applyNumberFormat="1" applyFont="1" applyFill="1" applyAlignment="1">
      <alignment horizontal="center" wrapText="1"/>
    </xf>
    <xf numFmtId="1" fontId="3" fillId="2" borderId="0" xfId="2" applyNumberFormat="1" applyFont="1" applyFill="1" applyAlignment="1">
      <alignment horizontal="center"/>
    </xf>
    <xf numFmtId="49" fontId="7" fillId="2" borderId="0" xfId="2" applyNumberFormat="1" applyFont="1" applyFill="1" applyAlignment="1">
      <alignment horizontal="center" vertical="center"/>
    </xf>
    <xf numFmtId="49" fontId="7" fillId="2" borderId="25" xfId="2" applyNumberFormat="1" applyFont="1" applyFill="1" applyBorder="1" applyAlignment="1">
      <alignment horizontal="center" vertical="center"/>
    </xf>
    <xf numFmtId="0" fontId="3" fillId="0" borderId="26" xfId="2" applyFont="1" applyBorder="1" applyAlignment="1">
      <alignment horizontal="center"/>
    </xf>
    <xf numFmtId="0" fontId="3" fillId="0" borderId="1" xfId="2" applyFont="1" applyBorder="1" applyAlignment="1">
      <alignment horizontal="center"/>
    </xf>
    <xf numFmtId="1" fontId="3" fillId="0" borderId="1" xfId="2" applyNumberFormat="1" applyFont="1" applyBorder="1" applyAlignment="1">
      <alignment horizontal="center" wrapText="1"/>
    </xf>
    <xf numFmtId="49" fontId="3" fillId="0" borderId="1" xfId="2" applyNumberFormat="1" applyFont="1" applyBorder="1"/>
    <xf numFmtId="49" fontId="3" fillId="0" borderId="12" xfId="2" applyNumberFormat="1" applyFont="1" applyBorder="1" applyAlignment="1">
      <alignment horizontal="center"/>
    </xf>
    <xf numFmtId="49" fontId="3" fillId="0" borderId="27" xfId="2" applyNumberFormat="1" applyFont="1" applyBorder="1" applyAlignment="1">
      <alignment horizontal="center"/>
    </xf>
    <xf numFmtId="12" fontId="8" fillId="0" borderId="1" xfId="2" applyNumberFormat="1" applyFont="1" applyBorder="1" applyAlignment="1">
      <alignment horizontal="left"/>
    </xf>
    <xf numFmtId="1" fontId="3" fillId="0" borderId="1" xfId="2" applyNumberFormat="1" applyFont="1" applyBorder="1" applyAlignment="1">
      <alignment horizontal="center"/>
    </xf>
    <xf numFmtId="0" fontId="3" fillId="5" borderId="1" xfId="0" applyFont="1" applyFill="1" applyBorder="1" applyAlignment="1">
      <alignment horizontal="center" wrapText="1"/>
    </xf>
    <xf numFmtId="1" fontId="3" fillId="5" borderId="1" xfId="0" applyNumberFormat="1" applyFont="1" applyFill="1" applyBorder="1" applyAlignment="1">
      <alignment horizontal="center"/>
    </xf>
    <xf numFmtId="0" fontId="3" fillId="5" borderId="1" xfId="0" applyFont="1" applyFill="1" applyBorder="1" applyAlignment="1">
      <alignment horizontal="center"/>
    </xf>
    <xf numFmtId="0" fontId="3" fillId="5" borderId="1" xfId="0" applyFont="1" applyFill="1" applyBorder="1"/>
    <xf numFmtId="0" fontId="9" fillId="5" borderId="1" xfId="0" applyFont="1" applyFill="1" applyBorder="1" applyAlignment="1">
      <alignment horizontal="center"/>
    </xf>
    <xf numFmtId="1" fontId="4" fillId="0" borderId="1" xfId="2" applyNumberFormat="1" applyFont="1" applyBorder="1" applyAlignment="1">
      <alignment horizontal="center"/>
    </xf>
    <xf numFmtId="0" fontId="3" fillId="5" borderId="1" xfId="0" applyFont="1" applyFill="1" applyBorder="1" applyAlignment="1">
      <alignment horizontal="center" vertical="center"/>
    </xf>
    <xf numFmtId="0" fontId="3" fillId="0" borderId="1" xfId="0" applyFont="1" applyBorder="1"/>
    <xf numFmtId="1" fontId="3" fillId="0" borderId="1" xfId="0" applyNumberFormat="1" applyFont="1" applyBorder="1" applyAlignment="1">
      <alignment horizontal="center"/>
    </xf>
    <xf numFmtId="165" fontId="4" fillId="5" borderId="1" xfId="3" applyNumberFormat="1" applyFont="1" applyFill="1" applyBorder="1" applyAlignment="1">
      <alignment horizontal="center"/>
    </xf>
    <xf numFmtId="0" fontId="3" fillId="0" borderId="0" xfId="0" applyFont="1" applyAlignment="1">
      <alignment horizontal="center"/>
    </xf>
    <xf numFmtId="0" fontId="10" fillId="0" borderId="0" xfId="0" applyFont="1"/>
    <xf numFmtId="0" fontId="6" fillId="0" borderId="1" xfId="0" applyFont="1" applyBorder="1" applyAlignment="1">
      <alignment horizontal="center"/>
    </xf>
    <xf numFmtId="1" fontId="3" fillId="0" borderId="1" xfId="0" applyNumberFormat="1" applyFont="1" applyBorder="1" applyAlignment="1">
      <alignment horizontal="center" wrapText="1"/>
    </xf>
    <xf numFmtId="0" fontId="6" fillId="0" borderId="1" xfId="0" applyFont="1" applyBorder="1"/>
    <xf numFmtId="0" fontId="4" fillId="0" borderId="1" xfId="2" applyFont="1" applyBorder="1"/>
    <xf numFmtId="1" fontId="4" fillId="0" borderId="1" xfId="2" applyNumberFormat="1" applyFont="1" applyBorder="1" applyAlignment="1">
      <alignment horizontal="center" wrapText="1"/>
    </xf>
    <xf numFmtId="1" fontId="3" fillId="5" borderId="1" xfId="0" applyNumberFormat="1" applyFont="1" applyFill="1" applyBorder="1" applyAlignment="1">
      <alignment horizontal="center" wrapText="1"/>
    </xf>
    <xf numFmtId="16" fontId="3" fillId="5" borderId="1" xfId="0" applyNumberFormat="1" applyFont="1" applyFill="1" applyBorder="1" applyAlignment="1">
      <alignment horizontal="center"/>
    </xf>
    <xf numFmtId="0" fontId="6" fillId="5"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16" fontId="3" fillId="0" borderId="12" xfId="0" applyNumberFormat="1" applyFont="1" applyBorder="1" applyAlignment="1">
      <alignment horizontal="center"/>
    </xf>
    <xf numFmtId="0" fontId="6" fillId="0" borderId="12" xfId="0" applyFont="1" applyBorder="1" applyAlignment="1">
      <alignment horizontal="left"/>
    </xf>
    <xf numFmtId="0" fontId="11" fillId="0" borderId="1" xfId="0" applyFont="1" applyBorder="1" applyAlignment="1">
      <alignment horizontal="center"/>
    </xf>
    <xf numFmtId="16" fontId="3" fillId="0" borderId="12" xfId="2" applyNumberFormat="1" applyFont="1" applyBorder="1" applyAlignment="1">
      <alignment horizontal="center"/>
    </xf>
    <xf numFmtId="0" fontId="6" fillId="0" borderId="12" xfId="0" applyFont="1" applyBorder="1"/>
    <xf numFmtId="0" fontId="6" fillId="0" borderId="0" xfId="0" applyFont="1"/>
    <xf numFmtId="0" fontId="4" fillId="0" borderId="12" xfId="2" applyFont="1" applyBorder="1"/>
    <xf numFmtId="1" fontId="3" fillId="0" borderId="11" xfId="2" applyNumberFormat="1" applyFont="1" applyBorder="1" applyAlignment="1">
      <alignment horizontal="center"/>
    </xf>
    <xf numFmtId="0" fontId="6" fillId="0" borderId="12" xfId="0" applyFont="1" applyBorder="1" applyAlignment="1">
      <alignment horizontal="center"/>
    </xf>
    <xf numFmtId="0" fontId="3" fillId="0" borderId="1" xfId="2" applyFont="1" applyBorder="1"/>
    <xf numFmtId="0" fontId="3" fillId="0" borderId="12" xfId="2" applyFont="1" applyBorder="1" applyAlignment="1">
      <alignment horizontal="center"/>
    </xf>
    <xf numFmtId="1" fontId="4" fillId="0" borderId="11" xfId="2" applyNumberFormat="1" applyFont="1" applyBorder="1" applyAlignment="1">
      <alignment horizontal="center"/>
    </xf>
    <xf numFmtId="0" fontId="11" fillId="0" borderId="12" xfId="0" applyFont="1" applyBorder="1" applyAlignment="1">
      <alignment horizontal="center"/>
    </xf>
    <xf numFmtId="0" fontId="4" fillId="0" borderId="1" xfId="0" applyFont="1" applyBorder="1" applyAlignment="1">
      <alignment horizontal="center"/>
    </xf>
    <xf numFmtId="0" fontId="4" fillId="0" borderId="1" xfId="2" applyFont="1" applyBorder="1" applyAlignment="1">
      <alignment horizontal="center"/>
    </xf>
    <xf numFmtId="0" fontId="4" fillId="0" borderId="12" xfId="2" applyFont="1" applyBorder="1" applyAlignment="1">
      <alignment horizontal="center"/>
    </xf>
    <xf numFmtId="0" fontId="6" fillId="0" borderId="16" xfId="0" applyFont="1" applyBorder="1" applyAlignment="1">
      <alignment horizontal="center"/>
    </xf>
    <xf numFmtId="1" fontId="3" fillId="0" borderId="16" xfId="2" applyNumberFormat="1" applyFont="1" applyBorder="1" applyAlignment="1">
      <alignment horizontal="center"/>
    </xf>
    <xf numFmtId="1" fontId="3" fillId="0" borderId="1" xfId="0" applyNumberFormat="1" applyFont="1" applyBorder="1" applyAlignment="1">
      <alignment horizontal="center" vertical="center" wrapText="1"/>
    </xf>
    <xf numFmtId="16" fontId="3" fillId="0" borderId="1" xfId="2" applyNumberFormat="1" applyFont="1" applyBorder="1" applyAlignment="1">
      <alignment horizontal="center"/>
    </xf>
    <xf numFmtId="0" fontId="4" fillId="0" borderId="1" xfId="2" applyFont="1" applyBorder="1" applyAlignment="1">
      <alignment horizontal="center" vertical="center"/>
    </xf>
    <xf numFmtId="0" fontId="12" fillId="0" borderId="1" xfId="2" applyFont="1" applyBorder="1" applyAlignment="1">
      <alignment vertical="center"/>
    </xf>
    <xf numFmtId="0" fontId="4" fillId="0" borderId="27" xfId="2" applyFont="1" applyBorder="1" applyAlignment="1">
      <alignment horizontal="center" vertical="center"/>
    </xf>
    <xf numFmtId="0" fontId="13" fillId="4" borderId="28" xfId="2" applyFont="1" applyFill="1" applyBorder="1" applyAlignment="1">
      <alignment horizontal="center"/>
    </xf>
    <xf numFmtId="1" fontId="13" fillId="4" borderId="7" xfId="2" applyNumberFormat="1" applyFont="1" applyFill="1" applyBorder="1" applyAlignment="1">
      <alignment horizontal="center" wrapText="1"/>
    </xf>
    <xf numFmtId="1" fontId="13" fillId="4" borderId="7" xfId="2" applyNumberFormat="1" applyFont="1" applyFill="1" applyBorder="1" applyAlignment="1">
      <alignment horizontal="center"/>
    </xf>
    <xf numFmtId="0" fontId="13" fillId="4" borderId="7" xfId="2" applyFont="1" applyFill="1" applyBorder="1" applyAlignment="1">
      <alignment horizontal="center" vertical="center"/>
    </xf>
    <xf numFmtId="0" fontId="13" fillId="4" borderId="29" xfId="2" applyFont="1" applyFill="1" applyBorder="1" applyAlignment="1">
      <alignment horizontal="center" vertical="center"/>
    </xf>
    <xf numFmtId="0" fontId="13" fillId="4" borderId="30" xfId="2" applyFont="1" applyFill="1" applyBorder="1" applyAlignment="1">
      <alignment horizontal="center" vertical="center" wrapText="1"/>
    </xf>
    <xf numFmtId="0" fontId="13" fillId="4" borderId="9" xfId="2" applyFont="1" applyFill="1" applyBorder="1" applyAlignment="1">
      <alignment horizontal="center" vertical="center"/>
    </xf>
    <xf numFmtId="0" fontId="13" fillId="4" borderId="31" xfId="2" applyFont="1" applyFill="1" applyBorder="1" applyAlignment="1">
      <alignment horizontal="center" vertical="center" wrapText="1"/>
    </xf>
    <xf numFmtId="0" fontId="13" fillId="4" borderId="32" xfId="2" applyFont="1" applyFill="1" applyBorder="1" applyAlignment="1">
      <alignment horizontal="center" vertical="center"/>
    </xf>
    <xf numFmtId="0" fontId="13" fillId="4" borderId="33" xfId="2" applyFont="1" applyFill="1" applyBorder="1" applyAlignment="1">
      <alignment horizontal="center" vertical="center" wrapText="1"/>
    </xf>
    <xf numFmtId="0" fontId="13" fillId="4" borderId="33" xfId="2" applyFont="1" applyFill="1" applyBorder="1" applyAlignment="1">
      <alignment horizontal="center" vertical="center"/>
    </xf>
    <xf numFmtId="14" fontId="14" fillId="2" borderId="0" xfId="1" applyNumberFormat="1" applyFont="1" applyFill="1" applyAlignment="1">
      <alignment horizontal="center" vertical="center" wrapText="1"/>
    </xf>
    <xf numFmtId="0" fontId="15" fillId="2" borderId="0" xfId="1" applyFont="1" applyFill="1"/>
    <xf numFmtId="0" fontId="14" fillId="2" borderId="34" xfId="1" applyFont="1" applyFill="1" applyBorder="1" applyAlignment="1">
      <alignment horizontal="center"/>
    </xf>
    <xf numFmtId="0" fontId="15" fillId="2" borderId="0" xfId="1" applyFont="1" applyFill="1" applyAlignment="1">
      <alignment horizontal="right"/>
    </xf>
    <xf numFmtId="14" fontId="16" fillId="2" borderId="35" xfId="1" applyNumberFormat="1" applyFont="1" applyFill="1" applyBorder="1" applyAlignment="1">
      <alignment horizontal="center" vertical="center" wrapText="1"/>
    </xf>
    <xf numFmtId="0" fontId="13" fillId="2" borderId="36" xfId="1" applyFont="1" applyFill="1" applyBorder="1" applyAlignment="1">
      <alignment horizontal="right" vertical="top" wrapText="1"/>
    </xf>
    <xf numFmtId="0" fontId="16" fillId="2" borderId="12" xfId="1" applyFont="1" applyFill="1" applyBorder="1" applyAlignment="1">
      <alignment horizontal="left"/>
    </xf>
    <xf numFmtId="0" fontId="16" fillId="2" borderId="13" xfId="1" applyFont="1" applyFill="1" applyBorder="1" applyAlignment="1">
      <alignment horizontal="left"/>
    </xf>
    <xf numFmtId="0" fontId="16" fillId="2" borderId="11" xfId="1" applyFont="1" applyFill="1" applyBorder="1" applyAlignment="1">
      <alignment horizontal="left"/>
    </xf>
    <xf numFmtId="0" fontId="16" fillId="2" borderId="1" xfId="1" applyFont="1" applyFill="1" applyBorder="1" applyAlignment="1">
      <alignment horizontal="right"/>
    </xf>
    <xf numFmtId="0" fontId="16" fillId="2" borderId="19" xfId="1" applyFont="1" applyFill="1" applyBorder="1" applyAlignment="1">
      <alignment horizontal="center"/>
    </xf>
    <xf numFmtId="0" fontId="16" fillId="2" borderId="20" xfId="1" applyFont="1" applyFill="1" applyBorder="1" applyAlignment="1">
      <alignment horizontal="center"/>
    </xf>
    <xf numFmtId="14" fontId="16" fillId="2" borderId="37" xfId="1" applyNumberFormat="1" applyFont="1" applyFill="1" applyBorder="1" applyAlignment="1">
      <alignment horizontal="center" vertical="center" wrapText="1"/>
    </xf>
    <xf numFmtId="0" fontId="13" fillId="2" borderId="38" xfId="1" applyFont="1" applyFill="1" applyBorder="1" applyAlignment="1">
      <alignment horizontal="right" vertical="top" wrapText="1"/>
    </xf>
    <xf numFmtId="0" fontId="16" fillId="2" borderId="39" xfId="1" applyFont="1" applyFill="1" applyBorder="1" applyAlignment="1">
      <alignment horizontal="left"/>
    </xf>
    <xf numFmtId="0" fontId="16" fillId="2" borderId="40" xfId="1" applyFont="1" applyFill="1" applyBorder="1" applyAlignment="1">
      <alignment horizontal="left"/>
    </xf>
    <xf numFmtId="0" fontId="16" fillId="2" borderId="41" xfId="1" applyFont="1" applyFill="1" applyBorder="1" applyAlignment="1">
      <alignment horizontal="left"/>
    </xf>
    <xf numFmtId="0" fontId="16" fillId="2" borderId="17" xfId="1" applyFont="1" applyFill="1" applyBorder="1" applyAlignment="1">
      <alignment horizontal="right"/>
    </xf>
    <xf numFmtId="0" fontId="16" fillId="2" borderId="0" xfId="1" applyFont="1" applyFill="1" applyAlignment="1">
      <alignment horizontal="center"/>
    </xf>
    <xf numFmtId="0" fontId="16" fillId="2" borderId="25" xfId="1" applyFont="1" applyFill="1" applyBorder="1" applyAlignment="1">
      <alignment horizontal="center"/>
    </xf>
    <xf numFmtId="14" fontId="16" fillId="2" borderId="42" xfId="1" applyNumberFormat="1" applyFont="1" applyFill="1" applyBorder="1" applyAlignment="1">
      <alignment horizontal="center" vertical="center" wrapText="1"/>
    </xf>
    <xf numFmtId="0" fontId="13" fillId="2" borderId="43" xfId="1" applyFont="1" applyFill="1" applyBorder="1" applyAlignment="1">
      <alignment horizontal="right" vertical="top" wrapText="1"/>
    </xf>
    <xf numFmtId="0" fontId="17" fillId="6" borderId="21" xfId="1" applyFont="1" applyFill="1" applyBorder="1" applyAlignment="1">
      <alignment horizontal="center" vertical="center" wrapText="1"/>
    </xf>
    <xf numFmtId="0" fontId="17" fillId="6" borderId="22" xfId="1" applyFont="1" applyFill="1" applyBorder="1" applyAlignment="1">
      <alignment horizontal="center" vertical="center" wrapText="1"/>
    </xf>
    <xf numFmtId="0" fontId="17" fillId="6" borderId="23" xfId="1" applyFont="1" applyFill="1" applyBorder="1" applyAlignment="1">
      <alignment horizontal="center" vertical="center" wrapText="1"/>
    </xf>
    <xf numFmtId="49" fontId="16" fillId="2" borderId="26" xfId="1" applyNumberFormat="1" applyFont="1" applyFill="1" applyBorder="1" applyAlignment="1">
      <alignment horizontal="center"/>
    </xf>
    <xf numFmtId="0" fontId="13" fillId="2" borderId="1" xfId="1" applyFont="1" applyFill="1" applyBorder="1" applyAlignment="1">
      <alignment horizontal="right"/>
    </xf>
    <xf numFmtId="0" fontId="13" fillId="2" borderId="29" xfId="1" applyFont="1" applyFill="1" applyBorder="1" applyAlignment="1">
      <alignment horizontal="center"/>
    </xf>
    <xf numFmtId="0" fontId="16" fillId="2" borderId="31" xfId="1" applyFont="1" applyFill="1" applyBorder="1" applyAlignment="1">
      <alignment horizontal="center"/>
    </xf>
    <xf numFmtId="0" fontId="13" fillId="2" borderId="32" xfId="1" applyFont="1" applyFill="1" applyBorder="1" applyAlignment="1">
      <alignment horizontal="right"/>
    </xf>
    <xf numFmtId="0" fontId="13" fillId="2" borderId="32" xfId="1" applyFont="1" applyFill="1" applyBorder="1" applyAlignment="1">
      <alignment horizontal="center"/>
    </xf>
    <xf numFmtId="0" fontId="16" fillId="2" borderId="3" xfId="1" applyFont="1" applyFill="1" applyBorder="1" applyAlignment="1">
      <alignment horizontal="center"/>
    </xf>
    <xf numFmtId="0" fontId="16" fillId="2" borderId="4" xfId="1" applyFont="1" applyFill="1" applyBorder="1" applyAlignment="1">
      <alignment horizontal="center"/>
    </xf>
    <xf numFmtId="49" fontId="7" fillId="5" borderId="1" xfId="2" applyNumberFormat="1" applyFont="1" applyFill="1" applyBorder="1" applyAlignment="1">
      <alignment horizontal="center"/>
    </xf>
    <xf numFmtId="0" fontId="7" fillId="0" borderId="1" xfId="2" applyFont="1" applyBorder="1" applyAlignment="1">
      <alignment horizontal="left" wrapText="1"/>
    </xf>
    <xf numFmtId="0" fontId="6" fillId="0" borderId="17" xfId="0" applyFont="1" applyBorder="1" applyAlignment="1">
      <alignment horizontal="center" wrapText="1"/>
    </xf>
    <xf numFmtId="49" fontId="12" fillId="5" borderId="1" xfId="2" applyNumberFormat="1" applyFont="1" applyFill="1" applyBorder="1" applyAlignment="1">
      <alignment horizontal="center"/>
    </xf>
    <xf numFmtId="0" fontId="12" fillId="0" borderId="1" xfId="2" applyFont="1" applyBorder="1" applyAlignment="1">
      <alignment horizontal="left" wrapText="1"/>
    </xf>
    <xf numFmtId="16" fontId="4" fillId="0" borderId="1" xfId="2" applyNumberFormat="1" applyFont="1" applyBorder="1" applyAlignment="1">
      <alignment horizontal="center"/>
    </xf>
  </cellXfs>
  <cellStyles count="4">
    <cellStyle name="Millares 3" xfId="3" xr:uid="{0CD2BF3D-9275-4691-B6A2-6F606F7CC3BF}"/>
    <cellStyle name="Normal" xfId="0" builtinId="0"/>
    <cellStyle name="Normal 2" xfId="2" xr:uid="{D02D2D9C-7FB4-42C5-98DA-85111A2751CE}"/>
    <cellStyle name="Normal_CRITERIOS DE EVALUACION PT DE GB 2" xfId="1" xr:uid="{E047B4EE-740A-4909-B101-002756FBCA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1</xdr:row>
      <xdr:rowOff>40481</xdr:rowOff>
    </xdr:from>
    <xdr:ext cx="1925144" cy="840581"/>
    <xdr:pic>
      <xdr:nvPicPr>
        <xdr:cNvPr id="2" name="Imagen 1">
          <a:extLst>
            <a:ext uri="{FF2B5EF4-FFF2-40B4-BE49-F238E27FC236}">
              <a16:creationId xmlns:a16="http://schemas.microsoft.com/office/drawing/2014/main" id="{76F3A239-D4BE-4387-82CC-F5F05D488C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54794"/>
          <a:ext cx="1925144" cy="8405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DDB2-BF65-4503-9FDD-F718E48C0C26}">
  <sheetPr>
    <pageSetUpPr fitToPage="1"/>
  </sheetPr>
  <dimension ref="A1:K49"/>
  <sheetViews>
    <sheetView tabSelected="1" zoomScale="80" zoomScaleNormal="80" workbookViewId="0">
      <selection activeCell="C1" sqref="C1:G1"/>
    </sheetView>
  </sheetViews>
  <sheetFormatPr baseColWidth="10" defaultColWidth="11.42578125" defaultRowHeight="15" x14ac:dyDescent="0.25"/>
  <cols>
    <col min="1" max="1" width="16.28515625" customWidth="1"/>
    <col min="2" max="2" width="14.28515625" bestFit="1" customWidth="1"/>
    <col min="3" max="3" width="65.140625" customWidth="1"/>
    <col min="4" max="4" width="17.42578125" customWidth="1"/>
    <col min="5" max="5" width="14.85546875" customWidth="1"/>
    <col min="6" max="6" width="13.5703125" customWidth="1"/>
    <col min="7" max="7" width="21.85546875" customWidth="1"/>
    <col min="8" max="8" width="19" customWidth="1"/>
    <col min="9" max="9" width="16.85546875" bestFit="1" customWidth="1"/>
  </cols>
  <sheetData>
    <row r="1" spans="1:10" ht="17.25" x14ac:dyDescent="0.3">
      <c r="A1" s="145"/>
      <c r="B1" s="144"/>
      <c r="C1" s="143" t="s">
        <v>88</v>
      </c>
      <c r="D1" s="143"/>
      <c r="E1" s="143"/>
      <c r="F1" s="143"/>
      <c r="G1" s="143"/>
      <c r="H1" s="142" t="s">
        <v>87</v>
      </c>
      <c r="I1" s="141" t="s">
        <v>86</v>
      </c>
    </row>
    <row r="2" spans="1:10" ht="18" thickBot="1" x14ac:dyDescent="0.35">
      <c r="A2" s="132"/>
      <c r="B2" s="131"/>
      <c r="C2" s="140" t="s">
        <v>85</v>
      </c>
      <c r="D2" s="140"/>
      <c r="E2" s="140"/>
      <c r="F2" s="140"/>
      <c r="G2" s="140"/>
      <c r="H2" s="139" t="s">
        <v>84</v>
      </c>
      <c r="I2" s="138" t="s">
        <v>90</v>
      </c>
    </row>
    <row r="3" spans="1:10" ht="31.5" customHeight="1" thickBot="1" x14ac:dyDescent="0.3">
      <c r="A3" s="132"/>
      <c r="B3" s="131"/>
      <c r="C3" s="137" t="s">
        <v>83</v>
      </c>
      <c r="D3" s="136"/>
      <c r="E3" s="136"/>
      <c r="F3" s="136"/>
      <c r="G3" s="135"/>
      <c r="H3" s="134" t="s">
        <v>82</v>
      </c>
      <c r="I3" s="133">
        <v>46063</v>
      </c>
    </row>
    <row r="4" spans="1:10" ht="17.25" x14ac:dyDescent="0.3">
      <c r="A4" s="132"/>
      <c r="B4" s="131"/>
      <c r="C4" s="130" t="s">
        <v>81</v>
      </c>
      <c r="D4" s="129" t="s">
        <v>80</v>
      </c>
      <c r="E4" s="128"/>
      <c r="F4" s="128"/>
      <c r="G4" s="127"/>
      <c r="H4" s="126"/>
      <c r="I4" s="125"/>
    </row>
    <row r="5" spans="1:10" ht="18" thickBot="1" x14ac:dyDescent="0.35">
      <c r="A5" s="124"/>
      <c r="B5" s="123"/>
      <c r="C5" s="122" t="s">
        <v>79</v>
      </c>
      <c r="D5" s="121" t="s">
        <v>78</v>
      </c>
      <c r="E5" s="120"/>
      <c r="F5" s="120"/>
      <c r="G5" s="119"/>
      <c r="H5" s="118"/>
      <c r="I5" s="117"/>
    </row>
    <row r="6" spans="1:10" ht="16.5" thickBot="1" x14ac:dyDescent="0.3">
      <c r="A6" s="116" t="s">
        <v>77</v>
      </c>
      <c r="B6" s="116"/>
      <c r="C6" s="116"/>
      <c r="D6" s="115" t="s">
        <v>75</v>
      </c>
      <c r="E6" s="115"/>
      <c r="F6" s="115"/>
      <c r="G6" s="114" t="s">
        <v>76</v>
      </c>
      <c r="H6" s="114"/>
      <c r="I6" s="113" t="s">
        <v>75</v>
      </c>
    </row>
    <row r="7" spans="1:10" ht="30" x14ac:dyDescent="0.25">
      <c r="A7" s="112" t="s">
        <v>74</v>
      </c>
      <c r="B7" s="111" t="s">
        <v>73</v>
      </c>
      <c r="C7" s="110" t="s">
        <v>72</v>
      </c>
      <c r="D7" s="110" t="s">
        <v>71</v>
      </c>
      <c r="E7" s="110" t="s">
        <v>70</v>
      </c>
      <c r="F7" s="110"/>
      <c r="G7" s="110" t="s">
        <v>69</v>
      </c>
      <c r="H7" s="110"/>
      <c r="I7" s="109" t="s">
        <v>68</v>
      </c>
    </row>
    <row r="8" spans="1:10" ht="42.75" customHeight="1" thickBot="1" x14ac:dyDescent="0.3">
      <c r="A8" s="108"/>
      <c r="B8" s="107"/>
      <c r="C8" s="106"/>
      <c r="D8" s="105"/>
      <c r="E8" s="104" t="s">
        <v>19</v>
      </c>
      <c r="F8" s="103" t="s">
        <v>67</v>
      </c>
      <c r="G8" s="104" t="s">
        <v>19</v>
      </c>
      <c r="H8" s="103" t="s">
        <v>67</v>
      </c>
      <c r="I8" s="102" t="s">
        <v>66</v>
      </c>
    </row>
    <row r="9" spans="1:10" ht="20.25" x14ac:dyDescent="0.3">
      <c r="A9" s="101"/>
      <c r="B9" s="99"/>
      <c r="C9" s="100" t="s">
        <v>65</v>
      </c>
      <c r="D9" s="99"/>
      <c r="E9" s="62"/>
      <c r="F9" s="73"/>
      <c r="G9" s="62"/>
      <c r="H9" s="73"/>
      <c r="I9" s="49"/>
      <c r="J9">
        <f>26*2</f>
        <v>52</v>
      </c>
    </row>
    <row r="10" spans="1:10" ht="81" x14ac:dyDescent="0.3">
      <c r="A10" s="146" t="s">
        <v>47</v>
      </c>
      <c r="B10" s="146" t="s">
        <v>46</v>
      </c>
      <c r="C10" s="147" t="s">
        <v>45</v>
      </c>
      <c r="D10" s="98" t="s">
        <v>37</v>
      </c>
      <c r="E10" s="65" t="s">
        <v>64</v>
      </c>
      <c r="F10" s="97" t="s">
        <v>63</v>
      </c>
      <c r="G10" s="96" t="s">
        <v>62</v>
      </c>
      <c r="H10" s="148" t="s">
        <v>61</v>
      </c>
      <c r="I10" s="50"/>
    </row>
    <row r="11" spans="1:10" ht="20.25" x14ac:dyDescent="0.3">
      <c r="A11" s="69"/>
      <c r="B11" s="69" t="s">
        <v>60</v>
      </c>
      <c r="C11" s="71" t="s">
        <v>59</v>
      </c>
      <c r="D11" s="98" t="s">
        <v>37</v>
      </c>
      <c r="E11" s="65">
        <v>30</v>
      </c>
      <c r="F11" s="97" t="s">
        <v>7</v>
      </c>
      <c r="G11" s="96" t="s">
        <v>58</v>
      </c>
      <c r="H11" s="95"/>
      <c r="I11" s="50"/>
      <c r="J11">
        <v>1920</v>
      </c>
    </row>
    <row r="12" spans="1:10" ht="20.25" x14ac:dyDescent="0.3">
      <c r="A12" s="69"/>
      <c r="B12" s="69" t="s">
        <v>57</v>
      </c>
      <c r="C12" s="71" t="s">
        <v>56</v>
      </c>
      <c r="D12" s="98" t="s">
        <v>37</v>
      </c>
      <c r="E12" s="65">
        <v>160</v>
      </c>
      <c r="F12" s="97" t="s">
        <v>7</v>
      </c>
      <c r="G12" s="96" t="s">
        <v>55</v>
      </c>
      <c r="H12" s="95" t="s">
        <v>54</v>
      </c>
      <c r="I12" s="50"/>
    </row>
    <row r="13" spans="1:10" ht="20.25" x14ac:dyDescent="0.3">
      <c r="A13" s="69"/>
      <c r="B13" s="69" t="s">
        <v>53</v>
      </c>
      <c r="C13" s="71" t="s">
        <v>52</v>
      </c>
      <c r="D13" s="98" t="s">
        <v>37</v>
      </c>
      <c r="E13" s="65">
        <v>60</v>
      </c>
      <c r="F13" s="97" t="s">
        <v>7</v>
      </c>
      <c r="G13" s="96" t="s">
        <v>51</v>
      </c>
      <c r="H13" s="95"/>
      <c r="I13" s="50"/>
    </row>
    <row r="14" spans="1:10" ht="20.25" x14ac:dyDescent="0.3">
      <c r="A14" s="50"/>
      <c r="B14" s="69" t="s">
        <v>39</v>
      </c>
      <c r="C14" s="71" t="s">
        <v>50</v>
      </c>
      <c r="D14" s="98" t="s">
        <v>37</v>
      </c>
      <c r="E14" s="65">
        <v>10</v>
      </c>
      <c r="F14" s="97" t="s">
        <v>7</v>
      </c>
      <c r="G14" s="96" t="s">
        <v>49</v>
      </c>
      <c r="H14" s="95" t="s">
        <v>48</v>
      </c>
      <c r="I14" s="50"/>
    </row>
    <row r="15" spans="1:10" ht="20.25" x14ac:dyDescent="0.3">
      <c r="A15" s="89"/>
      <c r="B15" s="50"/>
      <c r="C15" s="88"/>
      <c r="D15" s="22"/>
      <c r="E15" s="69"/>
      <c r="F15" s="87"/>
      <c r="G15" s="86"/>
      <c r="H15" s="69"/>
      <c r="I15" s="50"/>
    </row>
    <row r="16" spans="1:10" ht="20.25" x14ac:dyDescent="0.3">
      <c r="A16" s="149" t="s">
        <v>47</v>
      </c>
      <c r="B16" s="149" t="s">
        <v>46</v>
      </c>
      <c r="C16" s="150" t="s">
        <v>45</v>
      </c>
      <c r="D16" s="151" t="s">
        <v>37</v>
      </c>
      <c r="E16" s="81">
        <f>8.4/800</f>
        <v>1.0500000000000001E-2</v>
      </c>
      <c r="F16" s="91" t="s">
        <v>20</v>
      </c>
      <c r="G16" s="90" t="s">
        <v>44</v>
      </c>
      <c r="H16" s="81" t="s">
        <v>8</v>
      </c>
      <c r="I16" s="50"/>
    </row>
    <row r="17" spans="1:11" ht="20.25" x14ac:dyDescent="0.3">
      <c r="A17" s="94"/>
      <c r="B17" s="93"/>
      <c r="C17" s="72"/>
      <c r="D17" s="92"/>
      <c r="E17" s="81"/>
      <c r="F17" s="91"/>
      <c r="G17" s="90"/>
      <c r="H17" s="81"/>
      <c r="I17" s="50"/>
    </row>
    <row r="18" spans="1:11" ht="20.25" x14ac:dyDescent="0.3">
      <c r="A18" s="89"/>
      <c r="B18" s="50"/>
      <c r="C18" s="88"/>
      <c r="D18" s="22"/>
      <c r="E18" s="69"/>
      <c r="F18" s="87"/>
      <c r="G18" s="86"/>
      <c r="H18" s="69"/>
      <c r="I18" s="50"/>
    </row>
    <row r="19" spans="1:11" ht="20.25" x14ac:dyDescent="0.3">
      <c r="A19" s="50"/>
      <c r="B19" s="50"/>
      <c r="C19" s="85" t="s">
        <v>43</v>
      </c>
      <c r="D19" s="69"/>
      <c r="E19" s="71"/>
      <c r="F19" s="69"/>
      <c r="G19" s="56"/>
      <c r="H19" s="69"/>
      <c r="I19" s="50"/>
    </row>
    <row r="20" spans="1:11" ht="20.25" x14ac:dyDescent="0.3">
      <c r="A20" s="50"/>
      <c r="B20" s="69" t="s">
        <v>42</v>
      </c>
      <c r="C20" s="84" t="s">
        <v>41</v>
      </c>
      <c r="D20" s="69"/>
      <c r="E20" s="76">
        <v>5</v>
      </c>
      <c r="F20" s="76" t="s">
        <v>7</v>
      </c>
      <c r="G20" s="56" t="s">
        <v>40</v>
      </c>
      <c r="H20" s="69"/>
      <c r="I20" s="50"/>
    </row>
    <row r="21" spans="1:11" ht="20.25" x14ac:dyDescent="0.3">
      <c r="A21" s="50"/>
      <c r="B21" s="69" t="s">
        <v>39</v>
      </c>
      <c r="C21" s="83" t="s">
        <v>38</v>
      </c>
      <c r="D21" s="82" t="s">
        <v>37</v>
      </c>
      <c r="E21" s="69">
        <v>30</v>
      </c>
      <c r="F21" s="69" t="s">
        <v>7</v>
      </c>
      <c r="G21" s="56"/>
      <c r="H21" s="81"/>
      <c r="I21" s="50"/>
    </row>
    <row r="22" spans="1:11" ht="20.25" x14ac:dyDescent="0.3">
      <c r="A22" s="50"/>
      <c r="B22" s="69" t="s">
        <v>36</v>
      </c>
      <c r="C22" s="80" t="s">
        <v>35</v>
      </c>
      <c r="D22" s="79"/>
      <c r="E22" s="69">
        <v>1</v>
      </c>
      <c r="F22" s="76" t="s">
        <v>20</v>
      </c>
      <c r="G22" s="56" t="s">
        <v>34</v>
      </c>
      <c r="H22" s="69"/>
      <c r="I22" s="50"/>
    </row>
    <row r="23" spans="1:11" ht="20.25" x14ac:dyDescent="0.3">
      <c r="A23" s="50"/>
      <c r="B23" s="69"/>
      <c r="C23" s="78"/>
      <c r="D23" s="77"/>
      <c r="E23" s="76"/>
      <c r="F23" s="76"/>
      <c r="G23" s="62"/>
      <c r="H23" s="73"/>
      <c r="I23" s="50"/>
    </row>
    <row r="24" spans="1:11" ht="20.25" x14ac:dyDescent="0.3">
      <c r="A24" s="71"/>
      <c r="B24" s="59"/>
      <c r="C24" s="60"/>
      <c r="D24" s="75"/>
      <c r="E24" s="59"/>
      <c r="F24" s="74"/>
      <c r="G24" s="62"/>
      <c r="H24" s="73"/>
      <c r="I24" s="49"/>
    </row>
    <row r="25" spans="1:11" ht="20.25" x14ac:dyDescent="0.3">
      <c r="A25" s="50"/>
      <c r="B25" s="50"/>
      <c r="C25" s="72" t="s">
        <v>33</v>
      </c>
      <c r="D25" s="71"/>
      <c r="E25" s="71"/>
      <c r="F25" s="69"/>
      <c r="G25" s="56"/>
      <c r="H25" s="69"/>
      <c r="I25" s="49"/>
    </row>
    <row r="26" spans="1:11" ht="20.25" x14ac:dyDescent="0.3">
      <c r="A26" s="65"/>
      <c r="B26" s="22"/>
      <c r="C26" s="64"/>
      <c r="D26" s="63"/>
      <c r="E26" s="58"/>
      <c r="F26" s="58"/>
      <c r="G26" s="56"/>
      <c r="H26" s="69"/>
      <c r="I26" s="49"/>
    </row>
    <row r="27" spans="1:11" ht="20.25" x14ac:dyDescent="0.3">
      <c r="A27" s="65"/>
      <c r="B27" s="22" t="s">
        <v>32</v>
      </c>
      <c r="C27" s="64" t="s">
        <v>31</v>
      </c>
      <c r="D27" s="63"/>
      <c r="E27" s="58">
        <v>1</v>
      </c>
      <c r="F27" s="58" t="s">
        <v>20</v>
      </c>
      <c r="G27" s="66"/>
      <c r="H27" s="69"/>
      <c r="I27" s="49"/>
      <c r="J27" s="35"/>
    </row>
    <row r="28" spans="1:11" ht="20.25" x14ac:dyDescent="0.3">
      <c r="A28" s="65">
        <v>702123</v>
      </c>
      <c r="B28" s="22" t="s">
        <v>30</v>
      </c>
      <c r="C28" s="64" t="s">
        <v>29</v>
      </c>
      <c r="D28" s="63" t="s">
        <v>28</v>
      </c>
      <c r="E28" s="58">
        <v>1</v>
      </c>
      <c r="F28" s="58" t="s">
        <v>20</v>
      </c>
      <c r="G28" s="70"/>
      <c r="H28" s="69"/>
      <c r="I28" s="49"/>
      <c r="J28" s="68"/>
      <c r="K28" s="68"/>
    </row>
    <row r="29" spans="1:11" ht="20.25" x14ac:dyDescent="0.3">
      <c r="A29" s="65">
        <v>701096</v>
      </c>
      <c r="B29" s="67" t="s">
        <v>27</v>
      </c>
      <c r="C29" s="64" t="s">
        <v>26</v>
      </c>
      <c r="D29" s="63" t="s">
        <v>23</v>
      </c>
      <c r="E29" s="58">
        <v>1</v>
      </c>
      <c r="F29" s="58" t="s">
        <v>20</v>
      </c>
      <c r="G29" s="66"/>
      <c r="H29" s="50"/>
      <c r="I29" s="49"/>
    </row>
    <row r="30" spans="1:11" ht="20.25" x14ac:dyDescent="0.3">
      <c r="A30" s="65">
        <v>702007</v>
      </c>
      <c r="B30" s="22" t="s">
        <v>25</v>
      </c>
      <c r="C30" s="64" t="s">
        <v>24</v>
      </c>
      <c r="D30" s="63" t="s">
        <v>23</v>
      </c>
      <c r="E30" s="58">
        <v>1</v>
      </c>
      <c r="F30" s="58" t="s">
        <v>20</v>
      </c>
      <c r="G30" s="62"/>
      <c r="H30" s="50"/>
      <c r="I30" s="49"/>
      <c r="J30" s="35">
        <v>40</v>
      </c>
    </row>
    <row r="31" spans="1:11" ht="20.25" x14ac:dyDescent="0.3">
      <c r="A31" s="59"/>
      <c r="B31" s="61" t="s">
        <v>22</v>
      </c>
      <c r="C31" s="60" t="s">
        <v>21</v>
      </c>
      <c r="D31" s="59"/>
      <c r="E31" s="58">
        <v>1</v>
      </c>
      <c r="F31" s="57" t="s">
        <v>20</v>
      </c>
      <c r="G31" s="56"/>
      <c r="H31" s="55"/>
      <c r="I31" s="49"/>
    </row>
    <row r="32" spans="1:11" ht="20.25" x14ac:dyDescent="0.3">
      <c r="A32" s="54"/>
      <c r="B32" s="53"/>
      <c r="C32" s="52"/>
      <c r="D32" s="50"/>
      <c r="E32" s="50"/>
      <c r="F32" s="51"/>
      <c r="G32" s="50"/>
      <c r="H32" s="50"/>
      <c r="I32" s="49"/>
    </row>
    <row r="33" spans="1:11" ht="21" thickBot="1" x14ac:dyDescent="0.35">
      <c r="A33" s="48"/>
      <c r="B33" s="47"/>
      <c r="C33" s="44"/>
      <c r="D33" s="44"/>
      <c r="E33" s="46"/>
      <c r="F33" s="45"/>
      <c r="G33" s="44"/>
      <c r="H33" s="44"/>
      <c r="I33" s="43"/>
      <c r="K33" s="35"/>
    </row>
    <row r="34" spans="1:11" ht="21" thickBot="1" x14ac:dyDescent="0.35">
      <c r="A34" s="42"/>
      <c r="B34" s="41"/>
      <c r="C34" s="37"/>
      <c r="D34" s="40" t="s">
        <v>19</v>
      </c>
      <c r="E34" s="39" t="s">
        <v>12</v>
      </c>
      <c r="F34" s="38"/>
      <c r="G34" s="37"/>
      <c r="H34" s="37"/>
      <c r="I34" s="36"/>
      <c r="J34" s="35"/>
    </row>
    <row r="35" spans="1:11" ht="20.25" x14ac:dyDescent="0.3">
      <c r="A35" s="34" t="s">
        <v>18</v>
      </c>
      <c r="B35" s="33"/>
      <c r="C35" s="32"/>
      <c r="D35" s="31">
        <v>456</v>
      </c>
      <c r="E35" s="30" t="s">
        <v>7</v>
      </c>
      <c r="F35" s="29" t="s">
        <v>17</v>
      </c>
      <c r="G35" s="29"/>
      <c r="H35" s="28"/>
      <c r="I35" s="27"/>
    </row>
    <row r="36" spans="1:11" ht="20.25" x14ac:dyDescent="0.3">
      <c r="A36" s="25" t="s">
        <v>16</v>
      </c>
      <c r="B36" s="24"/>
      <c r="C36" s="23"/>
      <c r="D36" s="22">
        <v>1</v>
      </c>
      <c r="E36" s="22" t="s">
        <v>15</v>
      </c>
      <c r="F36" s="26" t="s">
        <v>14</v>
      </c>
      <c r="G36" s="26"/>
      <c r="H36" s="19"/>
      <c r="I36" s="18"/>
    </row>
    <row r="37" spans="1:11" ht="20.25" x14ac:dyDescent="0.3">
      <c r="A37" s="25" t="s">
        <v>13</v>
      </c>
      <c r="B37" s="24"/>
      <c r="C37" s="23"/>
      <c r="D37" s="22">
        <v>1</v>
      </c>
      <c r="E37" s="22" t="s">
        <v>12</v>
      </c>
      <c r="F37" s="26" t="s">
        <v>11</v>
      </c>
      <c r="G37" s="26"/>
      <c r="H37" s="19"/>
      <c r="I37" s="18"/>
    </row>
    <row r="38" spans="1:11" ht="20.25" x14ac:dyDescent="0.3">
      <c r="A38" s="25" t="s">
        <v>10</v>
      </c>
      <c r="B38" s="24"/>
      <c r="C38" s="23"/>
      <c r="D38" s="22">
        <v>456</v>
      </c>
      <c r="E38" s="22" t="s">
        <v>7</v>
      </c>
      <c r="F38" s="21" t="s">
        <v>9</v>
      </c>
      <c r="G38" s="20"/>
      <c r="H38" s="19"/>
      <c r="I38" s="18"/>
    </row>
    <row r="39" spans="1:11" ht="21" thickBot="1" x14ac:dyDescent="0.35">
      <c r="A39" s="17" t="s">
        <v>8</v>
      </c>
      <c r="B39" s="16"/>
      <c r="C39" s="15"/>
      <c r="D39" s="14">
        <v>0</v>
      </c>
      <c r="E39" s="13" t="s">
        <v>7</v>
      </c>
      <c r="F39" s="12"/>
      <c r="G39" s="12"/>
      <c r="H39" s="11"/>
      <c r="I39" s="10"/>
    </row>
    <row r="40" spans="1:11" ht="20.25" x14ac:dyDescent="0.3">
      <c r="A40" s="9" t="s">
        <v>6</v>
      </c>
      <c r="B40" s="8"/>
      <c r="C40" s="8"/>
      <c r="D40" s="8"/>
      <c r="E40" s="8"/>
      <c r="F40" s="8"/>
      <c r="G40" s="8"/>
      <c r="H40" s="8"/>
      <c r="I40" s="7"/>
    </row>
    <row r="41" spans="1:11" ht="50.25" customHeight="1" x14ac:dyDescent="0.3">
      <c r="A41" s="6" t="s">
        <v>89</v>
      </c>
      <c r="B41" s="3"/>
      <c r="C41" s="3"/>
      <c r="D41" s="3"/>
      <c r="E41" s="3"/>
      <c r="F41" s="3"/>
      <c r="G41" s="3"/>
      <c r="H41" s="3"/>
      <c r="I41" s="3"/>
    </row>
    <row r="42" spans="1:11" ht="42.75" customHeight="1" x14ac:dyDescent="0.3">
      <c r="A42" s="6" t="s">
        <v>5</v>
      </c>
      <c r="B42" s="6"/>
      <c r="C42" s="6"/>
      <c r="D42" s="6"/>
      <c r="E42" s="6"/>
      <c r="F42" s="6"/>
      <c r="G42" s="6"/>
      <c r="H42" s="6"/>
      <c r="I42" s="6"/>
    </row>
    <row r="43" spans="1:11" ht="47.25" customHeight="1" x14ac:dyDescent="0.3">
      <c r="A43" s="5" t="s">
        <v>4</v>
      </c>
      <c r="B43" s="4"/>
      <c r="C43" s="4"/>
      <c r="D43" s="4"/>
      <c r="E43" s="4"/>
      <c r="F43" s="4"/>
      <c r="G43" s="4"/>
      <c r="H43" s="4"/>
      <c r="I43" s="4"/>
    </row>
    <row r="44" spans="1:11" ht="20.25" x14ac:dyDescent="0.3">
      <c r="A44" s="4" t="s">
        <v>3</v>
      </c>
      <c r="B44" s="4"/>
      <c r="C44" s="4"/>
      <c r="D44" s="4"/>
      <c r="E44" s="4"/>
      <c r="F44" s="4"/>
      <c r="G44" s="4"/>
      <c r="H44" s="4"/>
      <c r="I44" s="4"/>
    </row>
    <row r="45" spans="1:11" ht="20.25" x14ac:dyDescent="0.3">
      <c r="A45" s="4" t="s">
        <v>2</v>
      </c>
      <c r="B45" s="4"/>
      <c r="C45" s="4"/>
      <c r="D45" s="4"/>
      <c r="E45" s="4"/>
      <c r="F45" s="4"/>
      <c r="G45" s="4"/>
      <c r="H45" s="4"/>
      <c r="I45" s="4"/>
    </row>
    <row r="46" spans="1:11" ht="20.25" x14ac:dyDescent="0.3">
      <c r="A46" s="3"/>
      <c r="B46" s="3"/>
      <c r="C46" s="3"/>
      <c r="D46" s="3"/>
      <c r="E46" s="3"/>
      <c r="F46" s="3"/>
      <c r="G46" s="3"/>
      <c r="H46" s="3"/>
      <c r="I46" s="3"/>
    </row>
    <row r="47" spans="1:11" ht="20.25" x14ac:dyDescent="0.3">
      <c r="A47" s="2" t="s">
        <v>1</v>
      </c>
      <c r="B47" s="2"/>
      <c r="C47" s="2"/>
      <c r="D47" s="2"/>
      <c r="E47" s="2"/>
      <c r="F47" s="2"/>
      <c r="G47" s="2"/>
      <c r="H47" s="2"/>
      <c r="I47" s="2"/>
    </row>
    <row r="48" spans="1:11" ht="20.25" x14ac:dyDescent="0.3">
      <c r="A48" s="1" t="s">
        <v>0</v>
      </c>
      <c r="B48" s="1"/>
      <c r="C48" s="1"/>
      <c r="D48" s="1"/>
      <c r="E48" s="1"/>
      <c r="F48" s="1"/>
      <c r="G48" s="1"/>
      <c r="H48" s="1"/>
      <c r="I48" s="1"/>
    </row>
    <row r="49" spans="1:9" ht="20.25" x14ac:dyDescent="0.3">
      <c r="A49" s="1"/>
      <c r="B49" s="1"/>
      <c r="C49" s="1"/>
      <c r="D49" s="1"/>
      <c r="E49" s="1"/>
      <c r="F49" s="1"/>
      <c r="G49" s="1"/>
      <c r="H49" s="1"/>
      <c r="I49" s="1"/>
    </row>
  </sheetData>
  <mergeCells count="42">
    <mergeCell ref="C1:G1"/>
    <mergeCell ref="C2:G2"/>
    <mergeCell ref="C3:G3"/>
    <mergeCell ref="H3:H5"/>
    <mergeCell ref="A6:C6"/>
    <mergeCell ref="A47:I47"/>
    <mergeCell ref="A48:I48"/>
    <mergeCell ref="A49:I49"/>
    <mergeCell ref="I3:I5"/>
    <mergeCell ref="D4:G4"/>
    <mergeCell ref="D5:G5"/>
    <mergeCell ref="A37:C37"/>
    <mergeCell ref="F37:G37"/>
    <mergeCell ref="H37:I37"/>
    <mergeCell ref="A1:B5"/>
    <mergeCell ref="D6:F6"/>
    <mergeCell ref="G6:H6"/>
    <mergeCell ref="A7:A8"/>
    <mergeCell ref="B7:B8"/>
    <mergeCell ref="C7:C8"/>
    <mergeCell ref="D7:D8"/>
    <mergeCell ref="E7:F7"/>
    <mergeCell ref="G7:H7"/>
    <mergeCell ref="A35:C35"/>
    <mergeCell ref="F35:G35"/>
    <mergeCell ref="H35:I35"/>
    <mergeCell ref="A38:C38"/>
    <mergeCell ref="F38:G38"/>
    <mergeCell ref="H38:I38"/>
    <mergeCell ref="A39:C39"/>
    <mergeCell ref="F39:G39"/>
    <mergeCell ref="H39:I39"/>
    <mergeCell ref="A36:C36"/>
    <mergeCell ref="F36:G36"/>
    <mergeCell ref="H36:I36"/>
    <mergeCell ref="A45:I45"/>
    <mergeCell ref="A46:I46"/>
    <mergeCell ref="A40:I40"/>
    <mergeCell ref="A41:I41"/>
    <mergeCell ref="A42:I42"/>
    <mergeCell ref="A43:I43"/>
    <mergeCell ref="A44:I44"/>
  </mergeCells>
  <pageMargins left="0.25" right="0.25" top="0.75" bottom="0.75" header="0.3" footer="0.3"/>
  <pageSetup scale="51"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Props1.xml><?xml version="1.0" encoding="utf-8"?>
<ds:datastoreItem xmlns:ds="http://schemas.openxmlformats.org/officeDocument/2006/customXml" ds:itemID="{48B1895C-277F-4422-8659-7CBF31C5E328}"/>
</file>

<file path=customXml/itemProps2.xml><?xml version="1.0" encoding="utf-8"?>
<ds:datastoreItem xmlns:ds="http://schemas.openxmlformats.org/officeDocument/2006/customXml" ds:itemID="{2B4D1341-70D4-4326-8C72-0E906D7DA1D9}"/>
</file>

<file path=customXml/itemProps3.xml><?xml version="1.0" encoding="utf-8"?>
<ds:datastoreItem xmlns:ds="http://schemas.openxmlformats.org/officeDocument/2006/customXml" ds:itemID="{B3FC39F3-D925-4792-B878-63F0C84213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Cake Box Piña Colada 3</vt:lpstr>
      <vt:lpstr>'Cake Box Piña Colada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Brenes</dc:creator>
  <cp:lastModifiedBy>Allan Brenes</cp:lastModifiedBy>
  <cp:lastPrinted>2026-03-13T23:03:14Z</cp:lastPrinted>
  <dcterms:created xsi:type="dcterms:W3CDTF">2026-03-13T22:58:53Z</dcterms:created>
  <dcterms:modified xsi:type="dcterms:W3CDTF">2026-03-13T23:03:15Z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ies>
</file>
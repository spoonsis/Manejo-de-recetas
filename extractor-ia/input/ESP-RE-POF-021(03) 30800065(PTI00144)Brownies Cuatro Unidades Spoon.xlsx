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3A100869-5D18-401C-B7B9-DBE5C720D317}" xr6:coauthVersionLast="47" xr6:coauthVersionMax="47" xr10:uidLastSave="{5E73D49D-09ED-46BC-8EFF-014814716411}"/>
  <bookViews>
    <workbookView xWindow="-108" yWindow="-108" windowWidth="23256" windowHeight="12456" tabRatio="876" firstSheet="2" activeTab="2" xr2:uid="{AEDF15B3-5E2A-40E7-919D-FA801B634803}"/>
  </bookViews>
  <sheets>
    <sheet name="Receta Actual " sheetId="11" state="hidden" r:id="rId1"/>
    <sheet name="Costo Actual " sheetId="10" state="hidden" r:id="rId2"/>
    <sheet name="Receta Reing" sheetId="9" r:id="rId3"/>
    <sheet name="Costo Reing" sheetId="12" state="hidden" r:id="rId4"/>
    <sheet name="Comparativo de costos" sheetId="13" state="hidden" r:id="rId5"/>
    <sheet name="Hoja1" sheetId="8" state="hidden" r:id="rId6"/>
    <sheet name="Costeo Brownie" sheetId="6" state="hidden" r:id="rId7"/>
    <sheet name="Precio Industria" sheetId="7" state="hidden" r:id="rId8"/>
  </sheets>
  <externalReferences>
    <externalReference r:id="rId9"/>
    <externalReference r:id="rId10"/>
  </externalReferences>
  <definedNames>
    <definedName name="_xlnm.Print_Area" localSheetId="2">'Receta Reing'!$A$1:$I$40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0" l="1"/>
  <c r="H31" i="10"/>
  <c r="L13" i="11"/>
  <c r="K13" i="11"/>
  <c r="L30" i="12"/>
  <c r="L29" i="12"/>
  <c r="I31" i="12"/>
  <c r="K12" i="11"/>
  <c r="J12" i="11"/>
  <c r="J23" i="9"/>
  <c r="J22" i="9"/>
  <c r="J21" i="9"/>
  <c r="J20" i="9"/>
  <c r="J19" i="9"/>
  <c r="J18" i="9"/>
  <c r="J13" i="9"/>
  <c r="K13" i="9" s="1"/>
  <c r="J12" i="9"/>
  <c r="K12" i="9" s="1"/>
  <c r="J10" i="9"/>
  <c r="B18" i="6" l="1"/>
  <c r="D9" i="7"/>
  <c r="D6" i="7"/>
  <c r="D66" i="6"/>
  <c r="D67" i="6"/>
  <c r="D69" i="6"/>
  <c r="D64" i="6"/>
  <c r="D62" i="6"/>
  <c r="F58" i="6"/>
  <c r="C66" i="6"/>
  <c r="D53" i="6"/>
  <c r="D76" i="6"/>
  <c r="D74" i="6"/>
  <c r="C44" i="6"/>
  <c r="E43" i="6"/>
  <c r="F43" i="6" s="1"/>
  <c r="C43" i="6"/>
  <c r="A43" i="6"/>
  <c r="E42" i="6"/>
  <c r="F42" i="6" s="1"/>
  <c r="A42" i="6"/>
  <c r="C42" i="6"/>
  <c r="E41" i="6"/>
  <c r="F41" i="6" s="1"/>
  <c r="A41" i="6"/>
  <c r="C41" i="6"/>
  <c r="E40" i="6"/>
  <c r="F40" i="6" s="1"/>
  <c r="A40" i="6"/>
  <c r="C40" i="6"/>
  <c r="A39" i="6"/>
  <c r="C39" i="6"/>
  <c r="E36" i="6"/>
  <c r="F36" i="6"/>
  <c r="G36" i="6" s="1"/>
  <c r="A36" i="6"/>
  <c r="C36" i="6"/>
  <c r="E35" i="6"/>
  <c r="F35" i="6" s="1"/>
  <c r="G35" i="6" s="1"/>
  <c r="A35" i="6"/>
  <c r="C35" i="6"/>
  <c r="E34" i="6"/>
  <c r="F34" i="6"/>
  <c r="G34" i="6" s="1"/>
  <c r="A34" i="6"/>
  <c r="C34" i="6"/>
  <c r="E33" i="6"/>
  <c r="F33" i="6" s="1"/>
  <c r="G33" i="6" s="1"/>
  <c r="A33" i="6"/>
  <c r="C33" i="6"/>
  <c r="A32" i="6"/>
  <c r="C32" i="6"/>
  <c r="E29" i="6"/>
  <c r="F29" i="6" s="1"/>
  <c r="D29" i="6"/>
  <c r="C29" i="6"/>
  <c r="B29" i="6"/>
  <c r="E28" i="6"/>
  <c r="F28" i="6" s="1"/>
  <c r="D28" i="6"/>
  <c r="C28" i="6"/>
  <c r="B28" i="6"/>
  <c r="E27" i="6"/>
  <c r="F27" i="6" s="1"/>
  <c r="D27" i="6"/>
  <c r="C27" i="6"/>
  <c r="B27" i="6"/>
  <c r="E26" i="6"/>
  <c r="F26" i="6" s="1"/>
  <c r="D26" i="6"/>
  <c r="C26" i="6"/>
  <c r="B26" i="6"/>
  <c r="E25" i="6"/>
  <c r="F25" i="6"/>
  <c r="D25" i="6"/>
  <c r="C25" i="6"/>
  <c r="B25" i="6"/>
  <c r="E24" i="6"/>
  <c r="F24" i="6" s="1"/>
  <c r="D24" i="6"/>
  <c r="C24" i="6"/>
  <c r="B24" i="6"/>
  <c r="E21" i="6"/>
  <c r="D21" i="6"/>
  <c r="C21" i="6"/>
  <c r="F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C17" i="6"/>
  <c r="E14" i="6"/>
  <c r="F14" i="6" s="1"/>
  <c r="D14" i="6"/>
  <c r="C14" i="6"/>
  <c r="B14" i="6"/>
  <c r="E13" i="6"/>
  <c r="F13" i="6" s="1"/>
  <c r="D13" i="6"/>
  <c r="C13" i="6"/>
  <c r="B13" i="6"/>
  <c r="E12" i="6"/>
  <c r="F12" i="6" s="1"/>
  <c r="D12" i="6"/>
  <c r="C12" i="6"/>
  <c r="B12" i="6"/>
  <c r="E11" i="6"/>
  <c r="F11" i="6" s="1"/>
  <c r="D11" i="6"/>
  <c r="C11" i="6"/>
  <c r="B11" i="6"/>
  <c r="E10" i="6"/>
  <c r="F10" i="6" s="1"/>
  <c r="D10" i="6"/>
  <c r="C10" i="6"/>
  <c r="B10" i="6"/>
  <c r="E9" i="6"/>
  <c r="F9" i="6" s="1"/>
  <c r="D9" i="6"/>
  <c r="C9" i="6"/>
  <c r="B9" i="6"/>
  <c r="F8" i="6"/>
  <c r="C8" i="6"/>
  <c r="H6" i="6"/>
  <c r="C78" i="6"/>
  <c r="E66" i="6"/>
  <c r="E44" i="6"/>
  <c r="F44" i="6"/>
  <c r="E17" i="6"/>
  <c r="F17" i="6" s="1"/>
  <c r="E39" i="6"/>
  <c r="F39" i="6" s="1"/>
  <c r="E32" i="6"/>
  <c r="F32" i="6" s="1"/>
  <c r="G32" i="6" s="1"/>
  <c r="D78" i="6"/>
  <c r="D79" i="6"/>
  <c r="E78" i="6"/>
  <c r="F47" i="6" l="1"/>
  <c r="F49" i="6"/>
  <c r="F46" i="6"/>
  <c r="C67" i="6" l="1"/>
  <c r="O48" i="6"/>
  <c r="H49" i="6"/>
  <c r="H46" i="6"/>
  <c r="C62" i="6"/>
  <c r="F57" i="6"/>
  <c r="F48" i="6"/>
  <c r="H47" i="6"/>
  <c r="C69" i="6"/>
  <c r="E69" i="6" s="1"/>
  <c r="F56" i="6" l="1"/>
  <c r="O47" i="6"/>
  <c r="H48" i="6"/>
  <c r="E62" i="6"/>
  <c r="C74" i="6"/>
  <c r="E74" i="6" s="1"/>
  <c r="F2" i="6"/>
  <c r="E6" i="7"/>
  <c r="F6" i="7" s="1"/>
  <c r="F16" i="7"/>
  <c r="H2" i="6"/>
  <c r="G2" i="6"/>
  <c r="E9" i="7"/>
  <c r="F9" i="7" s="1"/>
  <c r="C79" i="6"/>
  <c r="E79" i="6" s="1"/>
  <c r="E67" i="6"/>
  <c r="E71" i="6" l="1"/>
  <c r="F12" i="7"/>
  <c r="F18" i="7"/>
  <c r="O49" i="6"/>
  <c r="O50" i="6" s="1"/>
  <c r="F11" i="7"/>
  <c r="E56" i="6"/>
  <c r="C64" i="6"/>
  <c r="F59" i="6"/>
  <c r="O51" i="6" l="1"/>
  <c r="O52" i="6" s="1"/>
  <c r="C76" i="6"/>
  <c r="E76" i="6" s="1"/>
  <c r="E64" i="6"/>
  <c r="G44" i="6"/>
  <c r="G58" i="6"/>
  <c r="G20" i="6"/>
  <c r="G43" i="6"/>
  <c r="G14" i="6"/>
  <c r="G59" i="6"/>
  <c r="G8" i="6"/>
  <c r="G10" i="6"/>
  <c r="G12" i="6"/>
  <c r="G27" i="6"/>
  <c r="G41" i="6"/>
  <c r="G39" i="6"/>
  <c r="G17" i="6"/>
  <c r="G29" i="6"/>
  <c r="G24" i="6"/>
  <c r="G11" i="6"/>
  <c r="G9" i="6"/>
  <c r="G19" i="6"/>
  <c r="G28" i="6"/>
  <c r="G26" i="6"/>
  <c r="G13" i="6"/>
  <c r="G40" i="6"/>
  <c r="G18" i="6"/>
  <c r="G21" i="6"/>
  <c r="G25" i="6"/>
  <c r="G42" i="6"/>
  <c r="G46" i="6"/>
  <c r="G49" i="6"/>
  <c r="G47" i="6"/>
  <c r="G57" i="6"/>
  <c r="G48" i="6"/>
  <c r="G56" i="6"/>
  <c r="F13" i="7"/>
  <c r="O53" i="6" l="1"/>
  <c r="O54" i="6" s="1"/>
  <c r="O55" i="6" s="1"/>
  <c r="F15" i="7"/>
  <c r="F17" i="7" l="1"/>
  <c r="F19" i="7" s="1"/>
  <c r="P55" i="6"/>
  <c r="E2" i="6"/>
  <c r="F20" i="7" l="1"/>
  <c r="F21" i="7" s="1"/>
  <c r="F22" i="7" l="1"/>
  <c r="F23" i="7"/>
  <c r="G20" i="7" s="1"/>
  <c r="G19" i="7"/>
  <c r="G21" i="7" l="1"/>
  <c r="G23" i="7"/>
  <c r="F27" i="7"/>
  <c r="G16" i="7"/>
  <c r="G9" i="7"/>
  <c r="G6" i="7"/>
  <c r="G11" i="7"/>
  <c r="G12" i="7"/>
  <c r="G18" i="7"/>
  <c r="G13" i="7"/>
  <c r="G15" i="7"/>
  <c r="G17" i="7"/>
  <c r="G22" i="7"/>
  <c r="F28" i="7" l="1"/>
  <c r="F29" i="7" s="1"/>
  <c r="F30" i="7" l="1"/>
  <c r="F31" i="7"/>
  <c r="H29" i="7" s="1"/>
  <c r="G29" i="7" l="1"/>
  <c r="F32" i="7"/>
  <c r="F34" i="7"/>
  <c r="F35" i="7" s="1"/>
  <c r="H31" i="7"/>
</calcChain>
</file>

<file path=xl/sharedStrings.xml><?xml version="1.0" encoding="utf-8"?>
<sst xmlns="http://schemas.openxmlformats.org/spreadsheetml/2006/main" count="624" uniqueCount="249">
  <si>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</si>
  <si>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</si>
  <si>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</si>
  <si>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</si>
  <si>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</si>
  <si>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</si>
  <si>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</si>
  <si>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</si>
  <si>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</si>
  <si>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</si>
  <si>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</si>
  <si>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</si>
  <si>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</si>
  <si>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</si>
  <si>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</si>
  <si>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</si>
  <si>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</si>
  <si>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</si>
  <si>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</si>
  <si>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</si>
  <si>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</si>
  <si>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</si>
  <si>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</si>
  <si>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</si>
  <si>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</si>
  <si>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BROWNIE ( UND) 4 unids horneadas 360g</t>
  </si>
  <si>
    <t>g</t>
  </si>
  <si>
    <t>Ensamble</t>
  </si>
  <si>
    <t>95689</t>
  </si>
  <si>
    <t>10700019</t>
  </si>
  <si>
    <t>Empaque</t>
  </si>
  <si>
    <t>1950736</t>
  </si>
  <si>
    <t>0702012</t>
  </si>
  <si>
    <t>min</t>
  </si>
  <si>
    <t>ud</t>
  </si>
  <si>
    <t>702182</t>
  </si>
  <si>
    <t>ETIQUETA 25/8 X 15/16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</si>
  <si>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</si>
  <si>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</si>
  <si>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</si>
  <si>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</si>
  <si>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</si>
  <si>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</si>
  <si>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</si>
  <si>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</si>
  <si>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</si>
  <si>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</si>
  <si>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</si>
  <si>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</si>
  <si>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</si>
  <si>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</si>
  <si>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</si>
  <si>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</si>
  <si>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</si>
  <si>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</si>
  <si>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</si>
  <si>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</si>
  <si>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</si>
  <si>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</si>
  <si>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</si>
  <si>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</si>
  <si>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</si>
  <si>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</si>
  <si>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</si>
  <si>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</si>
  <si>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</si>
  <si>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</si>
  <si>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</si>
  <si>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</si>
  <si>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</si>
  <si>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</si>
  <si>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</si>
  <si>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</si>
  <si>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</si>
  <si>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</si>
  <si>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</si>
  <si>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</si>
  <si>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</si>
  <si>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</si>
  <si>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</si>
  <si>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</si>
  <si>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</si>
  <si>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</si>
  <si>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</si>
  <si>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</si>
  <si>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</si>
  <si>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</si>
  <si>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</si>
  <si>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</si>
  <si>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</si>
  <si>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</si>
  <si>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</si>
  <si>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</si>
  <si>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</si>
  <si>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</si>
  <si>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</si>
  <si>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</si>
  <si>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</si>
  <si>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</si>
  <si>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</si>
  <si>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</si>
  <si>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</si>
  <si>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</si>
  <si>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</si>
  <si>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</si>
  <si>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</si>
  <si>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</si>
  <si>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</si>
  <si>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</si>
  <si>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</si>
  <si>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</si>
  <si>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</si>
  <si>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UND</t>
  </si>
  <si>
    <t>GANACHE CHOCOLATE BLANCO (39295g)</t>
  </si>
  <si>
    <t>CONFITILLO CORAZONES MAVALERIO (PAQ=250G)</t>
  </si>
  <si>
    <t>Gramos</t>
  </si>
  <si>
    <t>0702123</t>
  </si>
  <si>
    <t>1950672</t>
  </si>
  <si>
    <t xml:space="preserve">Caja Brownie </t>
  </si>
  <si>
    <t>Postres</t>
  </si>
  <si>
    <t>ROSQUETE BROWNIE CASERO 2000g</t>
  </si>
  <si>
    <t>Javier Tong, Chef</t>
  </si>
  <si>
    <t>Esteban Cartin, Gte Manufactura</t>
  </si>
  <si>
    <t>FAS</t>
  </si>
  <si>
    <t>CAPSULA # 5 BLANCA (PAQ:1000 UND)</t>
  </si>
  <si>
    <t>CONT.24 ONZ.TAPA PLANA (PAQ:100 UND)</t>
  </si>
  <si>
    <t>ETIQ. GENERICA PEQUEÑA V-274 (UND)</t>
  </si>
  <si>
    <t>CONTROL DE CAMBIOS</t>
  </si>
  <si>
    <t>GANACHE CHOCOLATE BLANCO</t>
  </si>
  <si>
    <t>SE00330</t>
  </si>
  <si>
    <t>SE00051</t>
  </si>
  <si>
    <t>EM10069</t>
  </si>
  <si>
    <t>EM10074</t>
  </si>
  <si>
    <t>EM10119</t>
  </si>
  <si>
    <t>EM10011</t>
  </si>
  <si>
    <t>EM10002</t>
  </si>
  <si>
    <t>EM10124</t>
  </si>
  <si>
    <t>3- Etiquetar con fecha de vencimiento, cinta spoon pequeña y etiqueta con codigo y nombre,lote.</t>
  </si>
  <si>
    <t xml:space="preserve"> 30800065(PTI00144)Brownies Cuatro Unidades Spoon</t>
  </si>
  <si>
    <t># Código Netsuite</t>
  </si>
  <si>
    <t>Decoración</t>
  </si>
  <si>
    <t>ESTUARDO</t>
  </si>
  <si>
    <t>GOSACA</t>
  </si>
  <si>
    <t>ETIQ.BLANCA 1 1/4 * 3/4</t>
  </si>
  <si>
    <t>ETIPLAST</t>
  </si>
  <si>
    <t>LITOGRAFIA CR</t>
  </si>
  <si>
    <t>ETIQUETA BLANCA R-153</t>
  </si>
  <si>
    <t>Tiempo de Horneo:</t>
  </si>
  <si>
    <t>Horno:</t>
  </si>
  <si>
    <t>Temperatura de Horneo:</t>
  </si>
  <si>
    <t>Otros</t>
  </si>
  <si>
    <t>ESP-RE-POF-021</t>
  </si>
  <si>
    <t xml:space="preserve">2g x unidad </t>
  </si>
  <si>
    <t>2, Actualización peso chocolate procesado, se actualizan pesos finales</t>
  </si>
  <si>
    <t>02</t>
  </si>
  <si>
    <t xml:space="preserve">4g X unidad </t>
  </si>
  <si>
    <t>SE00707</t>
  </si>
  <si>
    <t xml:space="preserve">Pecana Tostada </t>
  </si>
  <si>
    <t>1- Partir la plancha en 24 rectangulos de 5,5 x 5,5cm, utilizar cuchillo con agua caliente para evitar que se pegue</t>
  </si>
  <si>
    <t xml:space="preserve">2- Decorar colocanto la pecana en trozos en el centro. </t>
  </si>
  <si>
    <t>3, Reingenieria en decoración y corte</t>
  </si>
  <si>
    <t>FILTROS :</t>
  </si>
  <si>
    <t>SUBSIDIARIA</t>
  </si>
  <si>
    <t>Empresa principal : Servicios de Pastelería S.A.</t>
  </si>
  <si>
    <t>ARTÍCULO</t>
  </si>
  <si>
    <t>PTI00144 Brownie Chocolate Spoon caja 4 und 280g</t>
  </si>
  <si>
    <t>UBICACIÓN</t>
  </si>
  <si>
    <t>Bodega Administrativa</t>
  </si>
  <si>
    <t>LISTA DE MATERIALES</t>
  </si>
  <si>
    <t>BOM PTI00144</t>
  </si>
  <si>
    <t>CONTROL DE VISUALIZACIÓN</t>
  </si>
  <si>
    <t>Por revisión</t>
  </si>
  <si>
    <t>FECHA/FECHA EFECTIVA</t>
  </si>
  <si>
    <t>01/08/2023</t>
  </si>
  <si>
    <t>REVISIÓN DE LISTA DE MATERIALES</t>
  </si>
  <si>
    <t>REV V1 BOM PTI00144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</si>
  <si>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</si>
  <si>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</si>
  <si>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</si>
  <si>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</si>
  <si>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</si>
  <si>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</si>
  <si>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</si>
  <si>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</si>
  <si>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</si>
  <si>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</si>
  <si>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</si>
  <si>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</si>
  <si>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CRC1,537.92</t>
  </si>
  <si>
    <t>CRC1,537.92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</si>
  <si>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</si>
  <si>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</si>
  <si>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</si>
  <si>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</si>
  <si>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</si>
  <si>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</si>
  <si>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</si>
  <si>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</si>
  <si>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SC-MO1</t>
  </si>
  <si>
    <t>Mano de Obra</t>
  </si>
  <si>
    <t>4.04</t>
  </si>
  <si>
    <t>100%</t>
  </si>
  <si>
    <t>77.00</t>
  </si>
  <si>
    <t>311.08</t>
  </si>
  <si>
    <t>SC-GIF1</t>
  </si>
  <si>
    <t>Gastos Indirectos Fabricación</t>
  </si>
  <si>
    <t>83.00</t>
  </si>
  <si>
    <t>335.32</t>
  </si>
  <si>
    <t>Capsula # 5 Blanca</t>
  </si>
  <si>
    <t>4</t>
  </si>
  <si>
    <t>11.555</t>
  </si>
  <si>
    <t>46.22</t>
  </si>
  <si>
    <t>Cont.24 Onz.Tapa Plana</t>
  </si>
  <si>
    <t>140.22</t>
  </si>
  <si>
    <t>Etiq. Generica Pequeña V-274</t>
  </si>
  <si>
    <t>13.4496</t>
  </si>
  <si>
    <t>13.45</t>
  </si>
  <si>
    <t>Etiqueta Blanca 2 5/8X1 15/16</t>
  </si>
  <si>
    <t>2.128</t>
  </si>
  <si>
    <t>2.13</t>
  </si>
  <si>
    <t>Ganache Chocolate Blanco</t>
  </si>
  <si>
    <t>0.02</t>
  </si>
  <si>
    <t>3,138.6835575</t>
  </si>
  <si>
    <t>KILOGRAMOS</t>
  </si>
  <si>
    <t>62.77</t>
  </si>
  <si>
    <t>Rosquete Brownie Casero 2000 grs</t>
  </si>
  <si>
    <t>0.166</t>
  </si>
  <si>
    <t>2,971.84069798</t>
  </si>
  <si>
    <t>493.33</t>
  </si>
  <si>
    <t>SE00392</t>
  </si>
  <si>
    <t>Procesado Chocolate Rallado Oscuro</t>
  </si>
  <si>
    <t>6,670.1112</t>
  </si>
  <si>
    <t>133.40</t>
  </si>
  <si>
    <t xml:space="preserve">3g X unidad </t>
  </si>
  <si>
    <t>902000149</t>
  </si>
  <si>
    <t>PROCESADO CHOCOLATE RALLADO OSCURO</t>
  </si>
  <si>
    <t>1- Partir la plancha en 24 rectangulos de 2,5cm y 11cm, utilizar cuchillo con agua caliente para evitar que se pegue</t>
  </si>
  <si>
    <t>1-  Colocar los rectangulos en su capsula, luego colocar las 4 unidades en el contenedor y proceder a decorar con el ganache haciendo hilos encima</t>
  </si>
  <si>
    <t>2- Decorar espolvoreando La ralladura oscura sobre cada uno de los brownies,  y tapar.</t>
  </si>
  <si>
    <t>0.008</t>
  </si>
  <si>
    <t xml:space="preserve">CODIGO </t>
  </si>
  <si>
    <t>DESCRICPION</t>
  </si>
  <si>
    <t>COSTO</t>
  </si>
  <si>
    <t>PTI00144</t>
  </si>
  <si>
    <t xml:space="preserve">Brownie Chocolate Spoon caja 4 und 280g  Actual </t>
  </si>
  <si>
    <t xml:space="preserve">Brownie Chocolate Spoon caja 4 und 315g  Reingenieria </t>
  </si>
  <si>
    <t>03</t>
  </si>
  <si>
    <t>1-  Colocar los rectangulos en su capsula, luego colocar las 4 unidades en el contenedor y proceder a decorar con el ganache haciendo hilos encima 
(lineas de un lado y lineas del lado contrario)</t>
  </si>
  <si>
    <t>30800065(PTI00144)Brownies Cuatro Unidades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</si>
</sst>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6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entury Gothic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" fillId="0" borderId="0"/>
    <xf numFmtId="0" fontId="2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0" borderId="0"/>
  </cellStyleXfs>
  <cellXfs count="466">
    <xf numFmtId="0" fontId="0" fillId="0" borderId="0" xfId="0"/>
    <xf numFmtId="0" fontId="7" fillId="9" borderId="0" xfId="0" applyFont="1" applyFill="1" applyAlignment="1">
      <alignment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5" fillId="0" borderId="3" xfId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2" applyNumberFormat="1" applyFont="1" applyAlignment="1">
      <alignment horizontal="center" vertical="center"/>
    </xf>
    <xf numFmtId="4" fontId="5" fillId="0" borderId="0" xfId="2" applyNumberFormat="1" applyFont="1" applyAlignment="1">
      <alignment horizontal="center" vertical="center"/>
    </xf>
    <xf numFmtId="10" fontId="5" fillId="0" borderId="0" xfId="5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0" fontId="8" fillId="0" borderId="0" xfId="5" applyNumberFormat="1" applyFont="1" applyAlignment="1">
      <alignment vertical="center"/>
    </xf>
    <xf numFmtId="0" fontId="7" fillId="0" borderId="0" xfId="0" applyFont="1"/>
    <xf numFmtId="49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/>
    <xf numFmtId="49" fontId="1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" fontId="5" fillId="0" borderId="0" xfId="1" applyNumberFormat="1" applyFont="1" applyAlignment="1">
      <alignment vertical="center"/>
    </xf>
    <xf numFmtId="43" fontId="15" fillId="0" borderId="0" xfId="1" applyFont="1" applyAlignment="1">
      <alignment horizontal="center" vertical="center"/>
    </xf>
    <xf numFmtId="10" fontId="8" fillId="4" borderId="18" xfId="5" applyNumberFormat="1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43" fontId="15" fillId="4" borderId="19" xfId="1" applyFont="1" applyFill="1" applyBorder="1" applyAlignment="1">
      <alignment horizontal="center" vertical="center"/>
    </xf>
    <xf numFmtId="43" fontId="17" fillId="0" borderId="0" xfId="1" applyFont="1" applyAlignment="1">
      <alignment horizontal="right"/>
    </xf>
    <xf numFmtId="0" fontId="7" fillId="4" borderId="19" xfId="0" applyFont="1" applyFill="1" applyBorder="1" applyAlignment="1">
      <alignment vertical="center"/>
    </xf>
    <xf numFmtId="10" fontId="8" fillId="4" borderId="19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9" fontId="45" fillId="0" borderId="0" xfId="5" applyFont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Alignment="1">
      <alignment vertical="center"/>
    </xf>
    <xf numFmtId="4" fontId="15" fillId="0" borderId="0" xfId="2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8" xfId="0" applyFont="1" applyBorder="1" applyAlignment="1">
      <alignment horizontal="right"/>
    </xf>
    <xf numFmtId="43" fontId="20" fillId="5" borderId="20" xfId="1" applyFont="1" applyFill="1" applyBorder="1" applyAlignment="1">
      <alignment horizontal="right"/>
    </xf>
    <xf numFmtId="43" fontId="20" fillId="0" borderId="0" xfId="1" applyFont="1" applyAlignment="1">
      <alignment horizontal="right"/>
    </xf>
    <xf numFmtId="43" fontId="5" fillId="0" borderId="3" xfId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10" fontId="22" fillId="0" borderId="0" xfId="5" applyNumberFormat="1" applyFont="1" applyAlignment="1">
      <alignment horizontal="right"/>
    </xf>
    <xf numFmtId="168" fontId="5" fillId="4" borderId="3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5" fillId="6" borderId="3" xfId="1" applyFont="1" applyFill="1" applyBorder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8" fillId="4" borderId="21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1" applyNumberFormat="1" applyFont="1" applyAlignment="1">
      <alignment horizontal="center"/>
    </xf>
    <xf numFmtId="2" fontId="19" fillId="0" borderId="0" xfId="1" applyNumberFormat="1" applyFont="1" applyAlignment="1">
      <alignment horizontal="center"/>
    </xf>
    <xf numFmtId="0" fontId="7" fillId="4" borderId="21" xfId="0" applyFont="1" applyFill="1" applyBorder="1" applyAlignment="1">
      <alignment vertical="center"/>
    </xf>
    <xf numFmtId="10" fontId="7" fillId="0" borderId="0" xfId="5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43" fontId="20" fillId="4" borderId="10" xfId="1" applyFont="1" applyFill="1" applyBorder="1" applyAlignment="1">
      <alignment horizontal="right"/>
    </xf>
    <xf numFmtId="0" fontId="5" fillId="4" borderId="11" xfId="0" applyFont="1" applyFill="1" applyBorder="1" applyAlignment="1">
      <alignment horizontal="right" vertical="center"/>
    </xf>
    <xf numFmtId="10" fontId="26" fillId="0" borderId="0" xfId="1" applyNumberFormat="1" applyFont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43" fontId="28" fillId="0" borderId="0" xfId="1" applyFont="1" applyAlignment="1">
      <alignment vertical="center"/>
    </xf>
    <xf numFmtId="4" fontId="29" fillId="0" borderId="0" xfId="2" applyNumberFormat="1" applyFont="1" applyAlignment="1">
      <alignment horizontal="center" vertical="center" wrapText="1"/>
    </xf>
    <xf numFmtId="43" fontId="7" fillId="0" borderId="0" xfId="1" applyFont="1" applyAlignment="1">
      <alignment vertical="center"/>
    </xf>
    <xf numFmtId="9" fontId="7" fillId="0" borderId="0" xfId="1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Alignment="1">
      <alignment vertical="center"/>
    </xf>
    <xf numFmtId="4" fontId="5" fillId="7" borderId="20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43" fontId="30" fillId="0" borderId="0" xfId="1" applyFont="1" applyAlignment="1">
      <alignment vertical="center"/>
    </xf>
    <xf numFmtId="9" fontId="30" fillId="0" borderId="0" xfId="1" applyNumberFormat="1" applyFont="1" applyAlignment="1">
      <alignment vertical="center"/>
    </xf>
    <xf numFmtId="4" fontId="5" fillId="0" borderId="0" xfId="1" applyNumberFormat="1" applyFont="1" applyAlignment="1">
      <alignment horizontal="center" vertical="center"/>
    </xf>
    <xf numFmtId="10" fontId="23" fillId="0" borderId="0" xfId="5" applyNumberFormat="1" applyFont="1" applyAlignment="1">
      <alignment vertical="center"/>
    </xf>
    <xf numFmtId="43" fontId="23" fillId="0" borderId="0" xfId="1" applyFont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" applyFont="1"/>
    <xf numFmtId="0" fontId="23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9" fontId="33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21" fillId="0" borderId="0" xfId="0" applyFont="1"/>
    <xf numFmtId="0" fontId="6" fillId="0" borderId="22" xfId="0" applyFont="1" applyBorder="1" applyAlignment="1">
      <alignment horizontal="center" vertical="center" wrapText="1"/>
    </xf>
    <xf numFmtId="0" fontId="35" fillId="5" borderId="3" xfId="0" applyFont="1" applyFill="1" applyBorder="1" applyAlignment="1">
      <alignment horizontal="center"/>
    </xf>
    <xf numFmtId="0" fontId="35" fillId="5" borderId="3" xfId="0" applyFont="1" applyFill="1" applyBorder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43" fontId="20" fillId="0" borderId="0" xfId="1" applyFont="1"/>
    <xf numFmtId="4" fontId="20" fillId="0" borderId="0" xfId="1" applyNumberFormat="1" applyFont="1" applyAlignment="1">
      <alignment horizontal="right"/>
    </xf>
    <xf numFmtId="9" fontId="20" fillId="0" borderId="0" xfId="5" applyFont="1" applyAlignment="1">
      <alignment horizontal="right"/>
    </xf>
    <xf numFmtId="49" fontId="20" fillId="0" borderId="0" xfId="2" applyNumberFormat="1" applyFont="1" applyAlignment="1">
      <alignment horizontal="center"/>
    </xf>
    <xf numFmtId="0" fontId="17" fillId="0" borderId="0" xfId="0" applyFont="1"/>
    <xf numFmtId="43" fontId="36" fillId="0" borderId="0" xfId="1" applyFont="1" applyAlignment="1">
      <alignment horizontal="center"/>
    </xf>
    <xf numFmtId="0" fontId="36" fillId="0" borderId="0" xfId="0" applyFont="1"/>
    <xf numFmtId="4" fontId="36" fillId="0" borderId="0" xfId="2" applyNumberFormat="1" applyFont="1"/>
    <xf numFmtId="4" fontId="36" fillId="0" borderId="0" xfId="2" applyNumberFormat="1" applyFont="1" applyAlignment="1">
      <alignment horizontal="right"/>
    </xf>
    <xf numFmtId="9" fontId="18" fillId="0" borderId="0" xfId="5" applyFont="1"/>
    <xf numFmtId="49" fontId="36" fillId="0" borderId="0" xfId="2" applyNumberFormat="1" applyFont="1" applyAlignment="1">
      <alignment horizontal="center"/>
    </xf>
    <xf numFmtId="9" fontId="20" fillId="0" borderId="0" xfId="5" applyFont="1" applyAlignment="1">
      <alignment vertical="center"/>
    </xf>
    <xf numFmtId="43" fontId="17" fillId="0" borderId="23" xfId="1" applyFont="1" applyBorder="1" applyAlignment="1">
      <alignment horizontal="right"/>
    </xf>
    <xf numFmtId="9" fontId="18" fillId="0" borderId="0" xfId="1" applyNumberFormat="1" applyFont="1"/>
    <xf numFmtId="4" fontId="18" fillId="0" borderId="0" xfId="1" applyNumberFormat="1" applyFont="1" applyAlignment="1">
      <alignment horizontal="right"/>
    </xf>
    <xf numFmtId="10" fontId="17" fillId="0" borderId="0" xfId="5" applyNumberFormat="1" applyFont="1" applyAlignment="1">
      <alignment horizontal="right"/>
    </xf>
    <xf numFmtId="0" fontId="18" fillId="0" borderId="0" xfId="0" applyFont="1" applyAlignment="1">
      <alignment horizontal="center"/>
    </xf>
    <xf numFmtId="10" fontId="20" fillId="0" borderId="0" xfId="5" applyNumberFormat="1" applyFont="1" applyAlignment="1">
      <alignment horizontal="right"/>
    </xf>
    <xf numFmtId="169" fontId="22" fillId="0" borderId="0" xfId="1" applyNumberFormat="1" applyFont="1"/>
    <xf numFmtId="0" fontId="20" fillId="0" borderId="0" xfId="5" applyNumberFormat="1" applyFont="1" applyAlignment="1">
      <alignment vertical="center"/>
    </xf>
    <xf numFmtId="2" fontId="18" fillId="0" borderId="0" xfId="0" applyNumberFormat="1" applyFont="1" applyAlignment="1">
      <alignment horizontal="center"/>
    </xf>
    <xf numFmtId="0" fontId="37" fillId="0" borderId="0" xfId="0" applyFont="1" applyAlignment="1">
      <alignment horizontal="right"/>
    </xf>
    <xf numFmtId="10" fontId="20" fillId="0" borderId="0" xfId="5" applyNumberFormat="1" applyFont="1"/>
    <xf numFmtId="0" fontId="17" fillId="4" borderId="10" xfId="0" applyFont="1" applyFill="1" applyBorder="1"/>
    <xf numFmtId="0" fontId="17" fillId="0" borderId="24" xfId="0" applyFont="1" applyBorder="1" applyAlignment="1">
      <alignment horizontal="right"/>
    </xf>
    <xf numFmtId="10" fontId="19" fillId="0" borderId="0" xfId="5" applyNumberFormat="1" applyFont="1"/>
    <xf numFmtId="43" fontId="20" fillId="9" borderId="0" xfId="1" applyFont="1" applyFill="1" applyAlignment="1">
      <alignment horizontal="right"/>
    </xf>
    <xf numFmtId="10" fontId="20" fillId="0" borderId="0" xfId="5" applyNumberFormat="1" applyFont="1" applyAlignment="1">
      <alignment vertical="center"/>
    </xf>
    <xf numFmtId="9" fontId="18" fillId="0" borderId="0" xfId="5" applyFont="1" applyAlignment="1">
      <alignment horizontal="center"/>
    </xf>
    <xf numFmtId="2" fontId="39" fillId="0" borderId="0" xfId="0" applyNumberFormat="1" applyFont="1" applyAlignment="1">
      <alignment horizontal="center"/>
    </xf>
    <xf numFmtId="10" fontId="41" fillId="0" borderId="0" xfId="5" applyNumberFormat="1" applyFont="1" applyAlignment="1">
      <alignment horizontal="right"/>
    </xf>
    <xf numFmtId="3" fontId="20" fillId="3" borderId="20" xfId="0" applyNumberFormat="1" applyFont="1" applyFill="1" applyBorder="1" applyAlignment="1">
      <alignment horizontal="center"/>
    </xf>
    <xf numFmtId="10" fontId="19" fillId="0" borderId="0" xfId="5" applyNumberFormat="1" applyFont="1" applyAlignment="1">
      <alignment horizontal="right"/>
    </xf>
    <xf numFmtId="1" fontId="19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10" fontId="42" fillId="0" borderId="0" xfId="5" applyNumberFormat="1" applyFont="1"/>
    <xf numFmtId="0" fontId="43" fillId="0" borderId="0" xfId="0" applyFont="1" applyAlignment="1">
      <alignment horizontal="center"/>
    </xf>
    <xf numFmtId="10" fontId="40" fillId="11" borderId="0" xfId="5" applyNumberFormat="1" applyFont="1" applyFill="1" applyAlignment="1">
      <alignment horizontal="right"/>
    </xf>
    <xf numFmtId="43" fontId="17" fillId="11" borderId="0" xfId="1" applyFont="1" applyFill="1" applyAlignment="1">
      <alignment horizontal="right"/>
    </xf>
    <xf numFmtId="0" fontId="48" fillId="2" borderId="1" xfId="4" applyFont="1" applyFill="1" applyBorder="1" applyAlignment="1">
      <alignment horizontal="right"/>
    </xf>
    <xf numFmtId="0" fontId="47" fillId="2" borderId="2" xfId="4" applyFont="1" applyFill="1" applyBorder="1" applyAlignment="1">
      <alignment horizontal="center"/>
    </xf>
    <xf numFmtId="0" fontId="48" fillId="2" borderId="3" xfId="4" applyFont="1" applyFill="1" applyBorder="1" applyAlignment="1">
      <alignment horizontal="right"/>
    </xf>
    <xf numFmtId="49" fontId="47" fillId="2" borderId="4" xfId="4" applyNumberFormat="1" applyFont="1" applyFill="1" applyBorder="1" applyAlignment="1">
      <alignment horizontal="center"/>
    </xf>
    <xf numFmtId="0" fontId="47" fillId="2" borderId="12" xfId="4" applyFont="1" applyFill="1" applyBorder="1" applyAlignment="1">
      <alignment horizontal="right"/>
    </xf>
    <xf numFmtId="0" fontId="47" fillId="2" borderId="3" xfId="4" applyFont="1" applyFill="1" applyBorder="1" applyAlignment="1">
      <alignment horizontal="right"/>
    </xf>
    <xf numFmtId="14" fontId="50" fillId="2" borderId="0" xfId="4" applyNumberFormat="1" applyFont="1" applyFill="1" applyAlignment="1">
      <alignment horizontal="center" vertical="center" wrapText="1"/>
    </xf>
    <xf numFmtId="0" fontId="48" fillId="3" borderId="2" xfId="3" applyFont="1" applyFill="1" applyBorder="1" applyAlignment="1">
      <alignment horizontal="center" vertical="center" wrapText="1"/>
    </xf>
    <xf numFmtId="1" fontId="48" fillId="3" borderId="5" xfId="3" applyNumberFormat="1" applyFont="1" applyFill="1" applyBorder="1" applyAlignment="1">
      <alignment horizontal="center"/>
    </xf>
    <xf numFmtId="1" fontId="48" fillId="3" borderId="5" xfId="3" applyNumberFormat="1" applyFont="1" applyFill="1" applyBorder="1" applyAlignment="1">
      <alignment horizontal="center" wrapText="1"/>
    </xf>
    <xf numFmtId="0" fontId="48" fillId="3" borderId="14" xfId="3" applyFont="1" applyFill="1" applyBorder="1" applyAlignment="1">
      <alignment horizontal="center"/>
    </xf>
    <xf numFmtId="0" fontId="51" fillId="0" borderId="6" xfId="3" applyFont="1" applyBorder="1" applyAlignment="1">
      <alignment horizontal="center" vertical="center"/>
    </xf>
    <xf numFmtId="0" fontId="51" fillId="0" borderId="25" xfId="3" applyFont="1" applyBorder="1" applyAlignment="1">
      <alignment horizontal="center" vertical="center"/>
    </xf>
    <xf numFmtId="0" fontId="52" fillId="0" borderId="3" xfId="3" applyFont="1" applyBorder="1" applyAlignment="1">
      <alignment vertical="center"/>
    </xf>
    <xf numFmtId="0" fontId="51" fillId="0" borderId="3" xfId="3" applyFont="1" applyBorder="1" applyAlignment="1">
      <alignment horizontal="center" vertical="center"/>
    </xf>
    <xf numFmtId="1" fontId="51" fillId="0" borderId="3" xfId="3" applyNumberFormat="1" applyFont="1" applyBorder="1" applyAlignment="1">
      <alignment horizontal="center"/>
    </xf>
    <xf numFmtId="1" fontId="51" fillId="0" borderId="3" xfId="3" applyNumberFormat="1" applyFont="1" applyBorder="1" applyAlignment="1">
      <alignment horizontal="center" wrapText="1"/>
    </xf>
    <xf numFmtId="0" fontId="53" fillId="0" borderId="4" xfId="3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0" borderId="3" xfId="0" applyFont="1" applyBorder="1" applyAlignment="1">
      <alignment horizontal="center" vertical="top"/>
    </xf>
    <xf numFmtId="16" fontId="53" fillId="2" borderId="3" xfId="0" applyNumberFormat="1" applyFont="1" applyFill="1" applyBorder="1" applyAlignment="1">
      <alignment horizontal="center"/>
    </xf>
    <xf numFmtId="1" fontId="53" fillId="2" borderId="3" xfId="0" applyNumberFormat="1" applyFont="1" applyFill="1" applyBorder="1" applyAlignment="1">
      <alignment horizontal="center"/>
    </xf>
    <xf numFmtId="1" fontId="53" fillId="2" borderId="3" xfId="0" applyNumberFormat="1" applyFont="1" applyFill="1" applyBorder="1" applyAlignment="1">
      <alignment horizontal="center" wrapText="1"/>
    </xf>
    <xf numFmtId="0" fontId="54" fillId="0" borderId="3" xfId="0" applyFont="1" applyBorder="1" applyAlignment="1">
      <alignment horizontal="center"/>
    </xf>
    <xf numFmtId="0" fontId="54" fillId="0" borderId="0" xfId="0" applyFont="1"/>
    <xf numFmtId="0" fontId="47" fillId="0" borderId="3" xfId="0" applyFont="1" applyBorder="1" applyAlignment="1">
      <alignment horizontal="center"/>
    </xf>
    <xf numFmtId="0" fontId="54" fillId="9" borderId="3" xfId="0" applyFont="1" applyFill="1" applyBorder="1"/>
    <xf numFmtId="1" fontId="53" fillId="0" borderId="3" xfId="3" applyNumberFormat="1" applyFont="1" applyBorder="1" applyAlignment="1">
      <alignment horizontal="center"/>
    </xf>
    <xf numFmtId="0" fontId="53" fillId="0" borderId="3" xfId="3" applyFont="1" applyBorder="1" applyAlignment="1">
      <alignment horizontal="center"/>
    </xf>
    <xf numFmtId="1" fontId="53" fillId="0" borderId="3" xfId="3" applyNumberFormat="1" applyFont="1" applyBorder="1" applyAlignment="1">
      <alignment horizontal="center" wrapText="1"/>
    </xf>
    <xf numFmtId="1" fontId="54" fillId="0" borderId="3" xfId="0" applyNumberFormat="1" applyFont="1" applyBorder="1"/>
    <xf numFmtId="0" fontId="54" fillId="0" borderId="3" xfId="0" applyFont="1" applyBorder="1"/>
    <xf numFmtId="0" fontId="47" fillId="9" borderId="3" xfId="3" applyFont="1" applyFill="1" applyBorder="1" applyAlignment="1">
      <alignment horizontal="center"/>
    </xf>
    <xf numFmtId="49" fontId="53" fillId="0" borderId="6" xfId="3" applyNumberFormat="1" applyFont="1" applyBorder="1" applyAlignment="1">
      <alignment horizontal="center"/>
    </xf>
    <xf numFmtId="49" fontId="53" fillId="0" borderId="25" xfId="3" applyNumberFormat="1" applyFont="1" applyBorder="1" applyAlignment="1">
      <alignment horizontal="center"/>
    </xf>
    <xf numFmtId="0" fontId="51" fillId="9" borderId="3" xfId="3" applyFont="1" applyFill="1" applyBorder="1" applyAlignment="1">
      <alignment horizontal="left"/>
    </xf>
    <xf numFmtId="170" fontId="53" fillId="0" borderId="3" xfId="3" applyNumberFormat="1" applyFont="1" applyBorder="1" applyAlignment="1">
      <alignment horizontal="center"/>
    </xf>
    <xf numFmtId="0" fontId="55" fillId="9" borderId="6" xfId="0" applyFont="1" applyFill="1" applyBorder="1" applyAlignment="1">
      <alignment horizontal="center"/>
    </xf>
    <xf numFmtId="0" fontId="55" fillId="9" borderId="37" xfId="0" applyFont="1" applyFill="1" applyBorder="1" applyAlignment="1">
      <alignment horizontal="center"/>
    </xf>
    <xf numFmtId="0" fontId="55" fillId="9" borderId="12" xfId="0" applyFont="1" applyFill="1" applyBorder="1"/>
    <xf numFmtId="0" fontId="47" fillId="9" borderId="25" xfId="0" applyFont="1" applyFill="1" applyBorder="1" applyAlignment="1">
      <alignment horizontal="center"/>
    </xf>
    <xf numFmtId="1" fontId="47" fillId="9" borderId="12" xfId="0" applyNumberFormat="1" applyFont="1" applyFill="1" applyBorder="1" applyAlignment="1">
      <alignment horizontal="center"/>
    </xf>
    <xf numFmtId="1" fontId="47" fillId="9" borderId="12" xfId="0" applyNumberFormat="1" applyFont="1" applyFill="1" applyBorder="1" applyAlignment="1">
      <alignment horizontal="center" wrapText="1"/>
    </xf>
    <xf numFmtId="1" fontId="47" fillId="9" borderId="3" xfId="3" applyNumberFormat="1" applyFont="1" applyFill="1" applyBorder="1" applyAlignment="1">
      <alignment horizontal="center"/>
    </xf>
    <xf numFmtId="1" fontId="47" fillId="9" borderId="3" xfId="3" applyNumberFormat="1" applyFont="1" applyFill="1" applyBorder="1" applyAlignment="1">
      <alignment horizontal="center" wrapText="1"/>
    </xf>
    <xf numFmtId="1" fontId="47" fillId="9" borderId="3" xfId="0" applyNumberFormat="1" applyFont="1" applyFill="1" applyBorder="1" applyAlignment="1">
      <alignment horizontal="center"/>
    </xf>
    <xf numFmtId="16" fontId="47" fillId="9" borderId="3" xfId="0" applyNumberFormat="1" applyFont="1" applyFill="1" applyBorder="1" applyAlignment="1">
      <alignment horizontal="center"/>
    </xf>
    <xf numFmtId="0" fontId="47" fillId="2" borderId="3" xfId="0" applyFont="1" applyFill="1" applyBorder="1" applyAlignment="1">
      <alignment horizontal="center"/>
    </xf>
    <xf numFmtId="1" fontId="47" fillId="0" borderId="12" xfId="0" applyNumberFormat="1" applyFont="1" applyBorder="1" applyAlignment="1">
      <alignment horizontal="center" wrapText="1"/>
    </xf>
    <xf numFmtId="16" fontId="47" fillId="0" borderId="3" xfId="0" applyNumberFormat="1" applyFont="1" applyBorder="1" applyAlignment="1">
      <alignment horizontal="center"/>
    </xf>
    <xf numFmtId="1" fontId="47" fillId="0" borderId="12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 wrapText="1"/>
    </xf>
    <xf numFmtId="49" fontId="51" fillId="0" borderId="34" xfId="3" applyNumberFormat="1" applyFont="1" applyBorder="1" applyAlignment="1">
      <alignment horizontal="center"/>
    </xf>
    <xf numFmtId="49" fontId="51" fillId="0" borderId="27" xfId="3" applyNumberFormat="1" applyFont="1" applyBorder="1" applyAlignment="1">
      <alignment horizontal="center"/>
    </xf>
    <xf numFmtId="0" fontId="52" fillId="9" borderId="3" xfId="3" applyFont="1" applyFill="1" applyBorder="1" applyAlignment="1">
      <alignment vertical="center"/>
    </xf>
    <xf numFmtId="0" fontId="51" fillId="0" borderId="25" xfId="3" applyFont="1" applyBorder="1" applyAlignment="1">
      <alignment horizontal="center"/>
    </xf>
    <xf numFmtId="170" fontId="51" fillId="0" borderId="3" xfId="3" applyNumberFormat="1" applyFont="1" applyBorder="1" applyAlignment="1">
      <alignment horizontal="center"/>
    </xf>
    <xf numFmtId="49" fontId="53" fillId="0" borderId="3" xfId="0" applyNumberFormat="1" applyFont="1" applyBorder="1" applyAlignment="1">
      <alignment horizontal="center"/>
    </xf>
    <xf numFmtId="49" fontId="53" fillId="0" borderId="3" xfId="0" applyNumberFormat="1" applyFont="1" applyBorder="1"/>
    <xf numFmtId="0" fontId="53" fillId="0" borderId="3" xfId="0" applyFont="1" applyBorder="1" applyAlignment="1">
      <alignment horizontal="center"/>
    </xf>
    <xf numFmtId="1" fontId="53" fillId="0" borderId="3" xfId="0" applyNumberFormat="1" applyFont="1" applyBorder="1" applyAlignment="1">
      <alignment horizontal="center"/>
    </xf>
    <xf numFmtId="1" fontId="53" fillId="0" borderId="3" xfId="0" applyNumberFormat="1" applyFont="1" applyBorder="1" applyAlignment="1">
      <alignment horizontal="center" wrapText="1"/>
    </xf>
    <xf numFmtId="171" fontId="48" fillId="9" borderId="3" xfId="1" applyNumberFormat="1" applyFont="1" applyFill="1" applyBorder="1" applyAlignment="1">
      <alignment horizontal="center"/>
    </xf>
    <xf numFmtId="0" fontId="56" fillId="0" borderId="3" xfId="7" applyFont="1" applyBorder="1" applyAlignment="1">
      <alignment horizontal="center"/>
    </xf>
    <xf numFmtId="0" fontId="56" fillId="0" borderId="3" xfId="7" applyFont="1" applyBorder="1" applyAlignment="1">
      <alignment horizontal="left"/>
    </xf>
    <xf numFmtId="16" fontId="53" fillId="0" borderId="3" xfId="0" applyNumberFormat="1" applyFont="1" applyBorder="1" applyAlignment="1">
      <alignment horizontal="center"/>
    </xf>
    <xf numFmtId="0" fontId="54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12" fontId="53" fillId="0" borderId="3" xfId="3" applyNumberFormat="1" applyFont="1" applyBorder="1" applyAlignment="1">
      <alignment horizontal="center"/>
    </xf>
    <xf numFmtId="0" fontId="47" fillId="0" borderId="3" xfId="0" quotePrefix="1" applyFont="1" applyBorder="1" applyAlignment="1">
      <alignment horizontal="center"/>
    </xf>
    <xf numFmtId="0" fontId="47" fillId="0" borderId="3" xfId="0" quotePrefix="1" applyFont="1" applyBorder="1"/>
    <xf numFmtId="49" fontId="53" fillId="0" borderId="3" xfId="3" applyNumberFormat="1" applyFont="1" applyBorder="1"/>
    <xf numFmtId="49" fontId="57" fillId="2" borderId="7" xfId="3" applyNumberFormat="1" applyFont="1" applyFill="1" applyBorder="1" applyAlignment="1">
      <alignment horizontal="center" vertical="center"/>
    </xf>
    <xf numFmtId="49" fontId="57" fillId="2" borderId="0" xfId="3" applyNumberFormat="1" applyFont="1" applyFill="1" applyAlignment="1">
      <alignment horizontal="center" vertical="center"/>
    </xf>
    <xf numFmtId="0" fontId="47" fillId="2" borderId="0" xfId="3" applyFont="1" applyFill="1"/>
    <xf numFmtId="1" fontId="47" fillId="2" borderId="0" xfId="3" applyNumberFormat="1" applyFont="1" applyFill="1" applyAlignment="1">
      <alignment horizontal="center"/>
    </xf>
    <xf numFmtId="166" fontId="47" fillId="2" borderId="0" xfId="3" applyNumberFormat="1" applyFont="1" applyFill="1" applyAlignment="1">
      <alignment horizontal="center" wrapText="1"/>
    </xf>
    <xf numFmtId="0" fontId="47" fillId="2" borderId="8" xfId="3" applyFont="1" applyFill="1" applyBorder="1" applyAlignment="1">
      <alignment horizontal="center"/>
    </xf>
    <xf numFmtId="0" fontId="47" fillId="3" borderId="9" xfId="3" applyFont="1" applyFill="1" applyBorder="1" applyAlignment="1">
      <alignment horizontal="center"/>
    </xf>
    <xf numFmtId="0" fontId="47" fillId="3" borderId="10" xfId="3" applyFont="1" applyFill="1" applyBorder="1" applyAlignment="1">
      <alignment horizontal="center"/>
    </xf>
    <xf numFmtId="0" fontId="47" fillId="3" borderId="10" xfId="3" applyFont="1" applyFill="1" applyBorder="1"/>
    <xf numFmtId="0" fontId="48" fillId="3" borderId="10" xfId="3" applyFont="1" applyFill="1" applyBorder="1" applyAlignment="1">
      <alignment horizontal="center"/>
    </xf>
    <xf numFmtId="1" fontId="48" fillId="3" borderId="10" xfId="3" applyNumberFormat="1" applyFont="1" applyFill="1" applyBorder="1" applyAlignment="1">
      <alignment horizontal="center"/>
    </xf>
    <xf numFmtId="166" fontId="47" fillId="3" borderId="10" xfId="3" applyNumberFormat="1" applyFont="1" applyFill="1" applyBorder="1" applyAlignment="1">
      <alignment horizontal="center" wrapText="1"/>
    </xf>
    <xf numFmtId="0" fontId="47" fillId="3" borderId="11" xfId="3" applyFont="1" applyFill="1" applyBorder="1" applyAlignment="1">
      <alignment horizontal="center"/>
    </xf>
    <xf numFmtId="0" fontId="47" fillId="0" borderId="13" xfId="0" applyFont="1" applyBorder="1" applyAlignment="1">
      <alignment horizontal="center"/>
    </xf>
    <xf numFmtId="1" fontId="47" fillId="0" borderId="5" xfId="0" applyNumberFormat="1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9" fillId="0" borderId="0" xfId="0" applyFont="1"/>
    <xf numFmtId="0" fontId="54" fillId="0" borderId="0" xfId="0" applyFont="1" applyAlignment="1">
      <alignment horizontal="left"/>
    </xf>
    <xf numFmtId="16" fontId="53" fillId="2" borderId="12" xfId="0" applyNumberFormat="1" applyFont="1" applyFill="1" applyBorder="1" applyAlignment="1">
      <alignment horizontal="center"/>
    </xf>
    <xf numFmtId="1" fontId="53" fillId="2" borderId="12" xfId="0" applyNumberFormat="1" applyFont="1" applyFill="1" applyBorder="1" applyAlignment="1">
      <alignment horizontal="center"/>
    </xf>
    <xf numFmtId="1" fontId="53" fillId="2" borderId="12" xfId="0" applyNumberFormat="1" applyFont="1" applyFill="1" applyBorder="1" applyAlignment="1">
      <alignment horizontal="center" wrapText="1"/>
    </xf>
    <xf numFmtId="0" fontId="47" fillId="0" borderId="12" xfId="0" applyFont="1" applyBorder="1" applyAlignment="1">
      <alignment horizontal="center" wrapText="1"/>
    </xf>
    <xf numFmtId="12" fontId="47" fillId="0" borderId="12" xfId="0" applyNumberFormat="1" applyFont="1" applyBorder="1" applyAlignment="1">
      <alignment horizontal="center"/>
    </xf>
    <xf numFmtId="0" fontId="54" fillId="0" borderId="25" xfId="0" applyFont="1" applyBorder="1" applyAlignment="1">
      <alignment horizontal="center" vertical="top"/>
    </xf>
    <xf numFmtId="0" fontId="54" fillId="0" borderId="25" xfId="0" applyFont="1" applyBorder="1" applyAlignment="1">
      <alignment vertical="top"/>
    </xf>
    <xf numFmtId="49" fontId="47" fillId="9" borderId="12" xfId="0" applyNumberFormat="1" applyFont="1" applyFill="1" applyBorder="1" applyAlignment="1">
      <alignment horizontal="center"/>
    </xf>
    <xf numFmtId="0" fontId="54" fillId="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0" fillId="13" borderId="0" xfId="0" applyFill="1"/>
    <xf numFmtId="0" fontId="1" fillId="0" borderId="0" xfId="0" applyFont="1"/>
    <xf numFmtId="0" fontId="58" fillId="0" borderId="3" xfId="0" applyFont="1" applyBorder="1" applyAlignment="1">
      <alignment horizontal="center"/>
    </xf>
    <xf numFmtId="0" fontId="0" fillId="0" borderId="3" xfId="0" applyBorder="1"/>
    <xf numFmtId="43" fontId="0" fillId="0" borderId="3" xfId="1" applyFont="1" applyBorder="1"/>
    <xf numFmtId="0" fontId="62" fillId="0" borderId="6" xfId="3" applyFont="1" applyBorder="1" applyAlignment="1">
      <alignment horizontal="center" vertical="center"/>
    </xf>
    <xf numFmtId="0" fontId="62" fillId="0" borderId="25" xfId="3" applyFont="1" applyBorder="1" applyAlignment="1">
      <alignment horizontal="center" vertical="center"/>
    </xf>
    <xf numFmtId="0" fontId="63" fillId="0" borderId="3" xfId="3" applyFont="1" applyBorder="1" applyAlignment="1">
      <alignment vertical="center"/>
    </xf>
    <xf numFmtId="0" fontId="62" fillId="0" borderId="3" xfId="3" applyFont="1" applyBorder="1" applyAlignment="1">
      <alignment horizontal="center" vertical="center"/>
    </xf>
    <xf numFmtId="1" fontId="62" fillId="0" borderId="3" xfId="3" applyNumberFormat="1" applyFont="1" applyBorder="1" applyAlignment="1">
      <alignment horizontal="center"/>
    </xf>
    <xf numFmtId="1" fontId="62" fillId="0" borderId="3" xfId="3" applyNumberFormat="1" applyFont="1" applyBorder="1" applyAlignment="1">
      <alignment horizontal="center" wrapText="1"/>
    </xf>
    <xf numFmtId="0" fontId="64" fillId="0" borderId="4" xfId="3" applyFont="1" applyBorder="1" applyAlignment="1">
      <alignment horizontal="center"/>
    </xf>
    <xf numFmtId="0" fontId="64" fillId="0" borderId="3" xfId="0" applyFont="1" applyBorder="1" applyAlignment="1">
      <alignment horizontal="center"/>
    </xf>
    <xf numFmtId="0" fontId="64" fillId="0" borderId="3" xfId="0" applyFont="1" applyBorder="1" applyAlignment="1">
      <alignment horizontal="left"/>
    </xf>
    <xf numFmtId="16" fontId="64" fillId="2" borderId="3" xfId="0" applyNumberFormat="1" applyFont="1" applyFill="1" applyBorder="1" applyAlignment="1">
      <alignment horizontal="center"/>
    </xf>
    <xf numFmtId="1" fontId="64" fillId="2" borderId="3" xfId="0" applyNumberFormat="1" applyFont="1" applyFill="1" applyBorder="1" applyAlignment="1">
      <alignment horizontal="center"/>
    </xf>
    <xf numFmtId="1" fontId="64" fillId="2" borderId="3" xfId="0" applyNumberFormat="1" applyFont="1" applyFill="1" applyBorder="1" applyAlignment="1">
      <alignment horizontal="center" wrapText="1"/>
    </xf>
    <xf numFmtId="0" fontId="64" fillId="0" borderId="3" xfId="0" applyFont="1" applyBorder="1" applyAlignment="1">
      <alignment horizontal="center" wrapText="1"/>
    </xf>
    <xf numFmtId="12" fontId="64" fillId="0" borderId="3" xfId="0" applyNumberFormat="1" applyFont="1" applyBorder="1" applyAlignment="1">
      <alignment horizontal="center"/>
    </xf>
    <xf numFmtId="0" fontId="64" fillId="0" borderId="3" xfId="0" applyFont="1" applyBorder="1" applyAlignment="1">
      <alignment horizontal="center" vertical="top"/>
    </xf>
    <xf numFmtId="0" fontId="64" fillId="0" borderId="3" xfId="0" applyFont="1" applyBorder="1" applyAlignment="1">
      <alignment vertical="top"/>
    </xf>
    <xf numFmtId="0" fontId="64" fillId="0" borderId="3" xfId="0" applyFont="1" applyBorder="1"/>
    <xf numFmtId="0" fontId="64" fillId="9" borderId="3" xfId="0" applyFont="1" applyFill="1" applyBorder="1"/>
    <xf numFmtId="1" fontId="64" fillId="0" borderId="3" xfId="3" applyNumberFormat="1" applyFont="1" applyBorder="1" applyAlignment="1">
      <alignment horizontal="center"/>
    </xf>
    <xf numFmtId="0" fontId="64" fillId="0" borderId="3" xfId="3" applyFont="1" applyBorder="1" applyAlignment="1">
      <alignment horizontal="center"/>
    </xf>
    <xf numFmtId="1" fontId="64" fillId="0" borderId="3" xfId="3" applyNumberFormat="1" applyFont="1" applyBorder="1" applyAlignment="1">
      <alignment horizontal="center" wrapText="1"/>
    </xf>
    <xf numFmtId="49" fontId="64" fillId="0" borderId="3" xfId="3" applyNumberFormat="1" applyFont="1" applyBorder="1" applyAlignment="1">
      <alignment horizontal="center"/>
    </xf>
    <xf numFmtId="0" fontId="62" fillId="9" borderId="3" xfId="3" applyFont="1" applyFill="1" applyBorder="1" applyAlignment="1">
      <alignment horizontal="left"/>
    </xf>
    <xf numFmtId="170" fontId="64" fillId="0" borderId="3" xfId="3" applyNumberFormat="1" applyFont="1" applyBorder="1" applyAlignment="1">
      <alignment horizontal="center"/>
    </xf>
    <xf numFmtId="0" fontId="64" fillId="0" borderId="0" xfId="0" applyFont="1"/>
    <xf numFmtId="16" fontId="64" fillId="0" borderId="3" xfId="0" applyNumberFormat="1" applyFont="1" applyBorder="1" applyAlignment="1">
      <alignment horizontal="center"/>
    </xf>
    <xf numFmtId="1" fontId="64" fillId="0" borderId="12" xfId="0" applyNumberFormat="1" applyFont="1" applyBorder="1" applyAlignment="1">
      <alignment horizontal="center"/>
    </xf>
    <xf numFmtId="1" fontId="64" fillId="0" borderId="3" xfId="0" applyNumberFormat="1" applyFont="1" applyBorder="1" applyAlignment="1">
      <alignment horizontal="center"/>
    </xf>
    <xf numFmtId="1" fontId="64" fillId="0" borderId="3" xfId="0" applyNumberFormat="1" applyFont="1" applyBorder="1" applyAlignment="1">
      <alignment horizontal="center" wrapText="1"/>
    </xf>
    <xf numFmtId="49" fontId="62" fillId="0" borderId="34" xfId="3" applyNumberFormat="1" applyFont="1" applyBorder="1" applyAlignment="1">
      <alignment horizontal="center"/>
    </xf>
    <xf numFmtId="49" fontId="62" fillId="0" borderId="27" xfId="3" applyNumberFormat="1" applyFont="1" applyBorder="1" applyAlignment="1">
      <alignment horizontal="center"/>
    </xf>
    <xf numFmtId="0" fontId="63" fillId="9" borderId="3" xfId="3" applyFont="1" applyFill="1" applyBorder="1" applyAlignment="1">
      <alignment vertical="center"/>
    </xf>
    <xf numFmtId="0" fontId="62" fillId="0" borderId="25" xfId="3" applyFont="1" applyBorder="1" applyAlignment="1">
      <alignment horizontal="center"/>
    </xf>
    <xf numFmtId="170" fontId="62" fillId="0" borderId="3" xfId="3" applyNumberFormat="1" applyFont="1" applyBorder="1" applyAlignment="1">
      <alignment horizontal="center"/>
    </xf>
    <xf numFmtId="49" fontId="64" fillId="0" borderId="3" xfId="0" applyNumberFormat="1" applyFont="1" applyBorder="1" applyAlignment="1">
      <alignment horizontal="center"/>
    </xf>
    <xf numFmtId="49" fontId="64" fillId="0" borderId="3" xfId="0" applyNumberFormat="1" applyFont="1" applyBorder="1"/>
    <xf numFmtId="171" fontId="62" fillId="9" borderId="3" xfId="1" applyNumberFormat="1" applyFont="1" applyFill="1" applyBorder="1" applyAlignment="1">
      <alignment horizontal="center"/>
    </xf>
    <xf numFmtId="0" fontId="65" fillId="0" borderId="3" xfId="7" applyFont="1" applyBorder="1" applyAlignment="1">
      <alignment horizontal="center"/>
    </xf>
    <xf numFmtId="0" fontId="65" fillId="0" borderId="3" xfId="7" applyFont="1" applyBorder="1" applyAlignment="1">
      <alignment horizontal="left"/>
    </xf>
    <xf numFmtId="0" fontId="64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left" vertical="center"/>
    </xf>
    <xf numFmtId="12" fontId="64" fillId="0" borderId="3" xfId="3" applyNumberFormat="1" applyFont="1" applyBorder="1" applyAlignment="1">
      <alignment horizontal="center"/>
    </xf>
    <xf numFmtId="49" fontId="64" fillId="0" borderId="6" xfId="3" applyNumberFormat="1" applyFont="1" applyBorder="1" applyAlignment="1">
      <alignment horizontal="center"/>
    </xf>
    <xf numFmtId="49" fontId="64" fillId="0" borderId="25" xfId="3" applyNumberFormat="1" applyFont="1" applyBorder="1" applyAlignment="1">
      <alignment horizontal="center"/>
    </xf>
    <xf numFmtId="49" fontId="64" fillId="0" borderId="3" xfId="3" applyNumberFormat="1" applyFont="1" applyBorder="1"/>
    <xf numFmtId="49" fontId="66" fillId="2" borderId="7" xfId="3" applyNumberFormat="1" applyFont="1" applyFill="1" applyBorder="1" applyAlignment="1">
      <alignment horizontal="center" vertical="center"/>
    </xf>
    <xf numFmtId="49" fontId="66" fillId="2" borderId="0" xfId="3" applyNumberFormat="1" applyFont="1" applyFill="1" applyAlignment="1">
      <alignment horizontal="center" vertical="center"/>
    </xf>
    <xf numFmtId="0" fontId="64" fillId="2" borderId="0" xfId="3" applyFont="1" applyFill="1"/>
    <xf numFmtId="1" fontId="64" fillId="2" borderId="0" xfId="3" applyNumberFormat="1" applyFont="1" applyFill="1" applyAlignment="1">
      <alignment horizontal="center"/>
    </xf>
    <xf numFmtId="166" fontId="64" fillId="2" borderId="0" xfId="3" applyNumberFormat="1" applyFont="1" applyFill="1" applyAlignment="1">
      <alignment horizontal="center" wrapText="1"/>
    </xf>
    <xf numFmtId="0" fontId="64" fillId="2" borderId="8" xfId="3" applyFont="1" applyFill="1" applyBorder="1" applyAlignment="1">
      <alignment horizontal="center"/>
    </xf>
    <xf numFmtId="0" fontId="64" fillId="3" borderId="9" xfId="3" applyFont="1" applyFill="1" applyBorder="1" applyAlignment="1">
      <alignment horizontal="center"/>
    </xf>
    <xf numFmtId="0" fontId="64" fillId="3" borderId="10" xfId="3" applyFont="1" applyFill="1" applyBorder="1" applyAlignment="1">
      <alignment horizontal="center"/>
    </xf>
    <xf numFmtId="0" fontId="64" fillId="3" borderId="10" xfId="3" applyFont="1" applyFill="1" applyBorder="1"/>
    <xf numFmtId="0" fontId="62" fillId="3" borderId="10" xfId="3" applyFont="1" applyFill="1" applyBorder="1" applyAlignment="1">
      <alignment horizontal="center"/>
    </xf>
    <xf numFmtId="1" fontId="62" fillId="3" borderId="10" xfId="3" applyNumberFormat="1" applyFont="1" applyFill="1" applyBorder="1" applyAlignment="1">
      <alignment horizontal="center"/>
    </xf>
    <xf numFmtId="166" fontId="64" fillId="3" borderId="10" xfId="3" applyNumberFormat="1" applyFont="1" applyFill="1" applyBorder="1" applyAlignment="1">
      <alignment horizontal="center" wrapText="1"/>
    </xf>
    <xf numFmtId="0" fontId="64" fillId="3" borderId="11" xfId="3" applyFont="1" applyFill="1" applyBorder="1" applyAlignment="1">
      <alignment horizontal="center"/>
    </xf>
    <xf numFmtId="0" fontId="64" fillId="0" borderId="13" xfId="0" applyFont="1" applyBorder="1" applyAlignment="1">
      <alignment horizontal="center"/>
    </xf>
    <xf numFmtId="1" fontId="64" fillId="0" borderId="5" xfId="0" applyNumberFormat="1" applyFont="1" applyBorder="1" applyAlignment="1">
      <alignment horizontal="center"/>
    </xf>
    <xf numFmtId="0" fontId="64" fillId="0" borderId="5" xfId="0" applyFont="1" applyBorder="1" applyAlignment="1">
      <alignment horizontal="center"/>
    </xf>
    <xf numFmtId="0" fontId="48" fillId="12" borderId="52" xfId="4" applyFont="1" applyFill="1" applyBorder="1" applyAlignment="1">
      <alignment horizontal="center"/>
    </xf>
    <xf numFmtId="0" fontId="48" fillId="12" borderId="41" xfId="4" applyFont="1" applyFill="1" applyBorder="1" applyAlignment="1">
      <alignment horizontal="center"/>
    </xf>
    <xf numFmtId="0" fontId="47" fillId="2" borderId="26" xfId="4" applyFont="1" applyFill="1" applyBorder="1" applyAlignment="1">
      <alignment horizontal="left"/>
    </xf>
    <xf numFmtId="0" fontId="47" fillId="2" borderId="27" xfId="4" applyFont="1" applyFill="1" applyBorder="1" applyAlignment="1">
      <alignment horizontal="left"/>
    </xf>
    <xf numFmtId="0" fontId="47" fillId="2" borderId="25" xfId="4" applyFont="1" applyFill="1" applyBorder="1" applyAlignment="1">
      <alignment horizontal="left"/>
    </xf>
    <xf numFmtId="0" fontId="60" fillId="2" borderId="53" xfId="4" applyFont="1" applyFill="1" applyBorder="1" applyAlignment="1">
      <alignment horizontal="left"/>
    </xf>
    <xf numFmtId="0" fontId="60" fillId="2" borderId="0" xfId="4" applyFont="1" applyFill="1" applyAlignment="1">
      <alignment horizontal="left"/>
    </xf>
    <xf numFmtId="0" fontId="53" fillId="0" borderId="27" xfId="0" applyFont="1" applyBorder="1" applyAlignment="1">
      <alignment horizontal="left"/>
    </xf>
    <xf numFmtId="0" fontId="3" fillId="0" borderId="36" xfId="3" applyFont="1" applyBorder="1" applyAlignment="1">
      <alignment horizontal="left" wrapText="1"/>
    </xf>
    <xf numFmtId="0" fontId="3" fillId="0" borderId="22" xfId="3" applyFont="1" applyBorder="1" applyAlignment="1">
      <alignment horizontal="left" wrapText="1"/>
    </xf>
    <xf numFmtId="0" fontId="3" fillId="0" borderId="31" xfId="3" applyFont="1" applyBorder="1" applyAlignment="1">
      <alignment horizontal="left" wrapText="1"/>
    </xf>
    <xf numFmtId="0" fontId="53" fillId="0" borderId="34" xfId="0" applyFont="1" applyBorder="1" applyAlignment="1">
      <alignment horizontal="left"/>
    </xf>
    <xf numFmtId="0" fontId="53" fillId="0" borderId="35" xfId="0" applyFont="1" applyBorder="1" applyAlignment="1">
      <alignment horizontal="left"/>
    </xf>
    <xf numFmtId="0" fontId="48" fillId="0" borderId="36" xfId="3" applyFont="1" applyBorder="1" applyAlignment="1">
      <alignment horizontal="left" wrapText="1"/>
    </xf>
    <xf numFmtId="0" fontId="48" fillId="0" borderId="22" xfId="3" applyFont="1" applyBorder="1" applyAlignment="1">
      <alignment horizontal="left" wrapText="1"/>
    </xf>
    <xf numFmtId="0" fontId="48" fillId="0" borderId="31" xfId="3" applyFont="1" applyBorder="1" applyAlignment="1">
      <alignment horizontal="left" wrapText="1"/>
    </xf>
    <xf numFmtId="0" fontId="51" fillId="0" borderId="34" xfId="0" applyFont="1" applyBorder="1" applyAlignment="1">
      <alignment horizontal="left"/>
    </xf>
    <xf numFmtId="0" fontId="51" fillId="0" borderId="27" xfId="0" applyFont="1" applyBorder="1" applyAlignment="1">
      <alignment horizontal="left"/>
    </xf>
    <xf numFmtId="0" fontId="51" fillId="0" borderId="35" xfId="0" applyFont="1" applyBorder="1" applyAlignment="1">
      <alignment horizontal="left"/>
    </xf>
    <xf numFmtId="0" fontId="48" fillId="0" borderId="34" xfId="3" applyFont="1" applyBorder="1" applyAlignment="1">
      <alignment horizontal="right"/>
    </xf>
    <xf numFmtId="0" fontId="48" fillId="0" borderId="27" xfId="3" applyFont="1" applyBorder="1" applyAlignment="1">
      <alignment horizontal="right"/>
    </xf>
    <xf numFmtId="0" fontId="48" fillId="0" borderId="25" xfId="3" applyFont="1" applyBorder="1" applyAlignment="1">
      <alignment horizontal="right"/>
    </xf>
    <xf numFmtId="0" fontId="47" fillId="0" borderId="3" xfId="3" applyFont="1" applyBorder="1" applyAlignment="1">
      <alignment horizontal="right"/>
    </xf>
    <xf numFmtId="166" fontId="47" fillId="0" borderId="26" xfId="3" applyNumberFormat="1" applyFont="1" applyBorder="1" applyAlignment="1">
      <alignment horizontal="center"/>
    </xf>
    <xf numFmtId="166" fontId="47" fillId="0" borderId="35" xfId="3" applyNumberFormat="1" applyFont="1" applyBorder="1" applyAlignment="1">
      <alignment horizontal="center"/>
    </xf>
    <xf numFmtId="166" fontId="47" fillId="0" borderId="26" xfId="3" applyNumberFormat="1" applyFont="1" applyBorder="1" applyAlignment="1">
      <alignment horizontal="right" wrapText="1"/>
    </xf>
    <xf numFmtId="166" fontId="47" fillId="0" borderId="25" xfId="3" applyNumberFormat="1" applyFont="1" applyBorder="1" applyAlignment="1">
      <alignment horizontal="right" wrapText="1"/>
    </xf>
    <xf numFmtId="166" fontId="47" fillId="0" borderId="26" xfId="0" applyNumberFormat="1" applyFont="1" applyBorder="1" applyAlignment="1">
      <alignment horizontal="center" wrapText="1"/>
    </xf>
    <xf numFmtId="166" fontId="47" fillId="0" borderId="35" xfId="0" applyNumberFormat="1" applyFont="1" applyBorder="1" applyAlignment="1">
      <alignment horizontal="center" wrapText="1"/>
    </xf>
    <xf numFmtId="0" fontId="48" fillId="0" borderId="33" xfId="3" applyFont="1" applyBorder="1" applyAlignment="1">
      <alignment horizontal="right"/>
    </xf>
    <xf numFmtId="0" fontId="48" fillId="0" borderId="39" xfId="3" applyFont="1" applyBorder="1" applyAlignment="1">
      <alignment horizontal="right"/>
    </xf>
    <xf numFmtId="0" fontId="48" fillId="0" borderId="5" xfId="3" applyFont="1" applyBorder="1" applyAlignment="1">
      <alignment horizontal="right"/>
    </xf>
    <xf numFmtId="0" fontId="47" fillId="0" borderId="5" xfId="3" applyFont="1" applyBorder="1" applyAlignment="1">
      <alignment horizontal="right"/>
    </xf>
    <xf numFmtId="0" fontId="48" fillId="3" borderId="9" xfId="3" applyFont="1" applyFill="1" applyBorder="1" applyAlignment="1">
      <alignment horizontal="left"/>
    </xf>
    <xf numFmtId="0" fontId="48" fillId="3" borderId="10" xfId="3" applyFont="1" applyFill="1" applyBorder="1" applyAlignment="1">
      <alignment horizontal="left"/>
    </xf>
    <xf numFmtId="0" fontId="48" fillId="3" borderId="11" xfId="3" applyFont="1" applyFill="1" applyBorder="1" applyAlignment="1">
      <alignment horizontal="left"/>
    </xf>
    <xf numFmtId="0" fontId="48" fillId="0" borderId="36" xfId="3" applyFont="1" applyBorder="1" applyAlignment="1">
      <alignment horizontal="right"/>
    </xf>
    <xf numFmtId="0" fontId="48" fillId="0" borderId="22" xfId="3" applyFont="1" applyBorder="1" applyAlignment="1">
      <alignment horizontal="right"/>
    </xf>
    <xf numFmtId="0" fontId="48" fillId="0" borderId="37" xfId="3" applyFont="1" applyBorder="1" applyAlignment="1">
      <alignment horizontal="right"/>
    </xf>
    <xf numFmtId="166" fontId="47" fillId="0" borderId="12" xfId="3" applyNumberFormat="1" applyFont="1" applyBorder="1" applyAlignment="1">
      <alignment horizontal="right"/>
    </xf>
    <xf numFmtId="0" fontId="47" fillId="2" borderId="13" xfId="3" applyFont="1" applyFill="1" applyBorder="1" applyAlignment="1">
      <alignment horizontal="center"/>
    </xf>
    <xf numFmtId="0" fontId="47" fillId="2" borderId="31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50" fillId="2" borderId="24" xfId="4" applyFont="1" applyFill="1" applyBorder="1" applyAlignment="1">
      <alignment horizontal="center"/>
    </xf>
    <xf numFmtId="0" fontId="3" fillId="2" borderId="0" xfId="4" applyFont="1" applyFill="1"/>
    <xf numFmtId="0" fontId="48" fillId="3" borderId="32" xfId="3" applyFont="1" applyFill="1" applyBorder="1" applyAlignment="1">
      <alignment horizontal="center" vertical="center"/>
    </xf>
    <xf numFmtId="0" fontId="48" fillId="3" borderId="33" xfId="3" applyFont="1" applyFill="1" applyBorder="1" applyAlignment="1">
      <alignment horizontal="center" vertical="center"/>
    </xf>
    <xf numFmtId="0" fontId="48" fillId="3" borderId="32" xfId="3" applyFont="1" applyFill="1" applyBorder="1" applyAlignment="1">
      <alignment horizontal="center" vertical="center" wrapText="1"/>
    </xf>
    <xf numFmtId="0" fontId="48" fillId="3" borderId="33" xfId="3" applyFont="1" applyFill="1" applyBorder="1" applyAlignment="1">
      <alignment horizontal="center" vertical="center" wrapText="1"/>
    </xf>
    <xf numFmtId="0" fontId="48" fillId="3" borderId="1" xfId="3" applyFont="1" applyFill="1" applyBorder="1" applyAlignment="1">
      <alignment horizontal="center" vertical="center"/>
    </xf>
    <xf numFmtId="0" fontId="48" fillId="3" borderId="5" xfId="3" applyFont="1" applyFill="1" applyBorder="1" applyAlignment="1">
      <alignment horizontal="center" vertical="center"/>
    </xf>
    <xf numFmtId="14" fontId="47" fillId="2" borderId="46" xfId="4" applyNumberFormat="1" applyFont="1" applyFill="1" applyBorder="1" applyAlignment="1">
      <alignment horizontal="center" vertical="center" wrapText="1"/>
    </xf>
    <xf numFmtId="14" fontId="47" fillId="2" borderId="50" xfId="4" applyNumberFormat="1" applyFont="1" applyFill="1" applyBorder="1" applyAlignment="1">
      <alignment horizontal="center" vertical="center" wrapText="1"/>
    </xf>
    <xf numFmtId="14" fontId="47" fillId="2" borderId="51" xfId="4" applyNumberFormat="1" applyFont="1" applyFill="1" applyBorder="1" applyAlignment="1">
      <alignment horizontal="center" vertical="center" wrapText="1"/>
    </xf>
    <xf numFmtId="0" fontId="47" fillId="2" borderId="47" xfId="4" applyFont="1" applyFill="1" applyBorder="1" applyAlignment="1">
      <alignment horizontal="left"/>
    </xf>
    <xf numFmtId="0" fontId="47" fillId="2" borderId="48" xfId="4" applyFont="1" applyFill="1" applyBorder="1" applyAlignment="1">
      <alignment horizontal="left"/>
    </xf>
    <xf numFmtId="0" fontId="47" fillId="2" borderId="49" xfId="4" applyFont="1" applyFill="1" applyBorder="1" applyAlignment="1">
      <alignment horizontal="left"/>
    </xf>
    <xf numFmtId="0" fontId="47" fillId="2" borderId="28" xfId="4" applyFont="1" applyFill="1" applyBorder="1" applyAlignment="1">
      <alignment horizontal="center"/>
    </xf>
    <xf numFmtId="0" fontId="47" fillId="2" borderId="41" xfId="4" applyFont="1" applyFill="1" applyBorder="1" applyAlignment="1">
      <alignment horizontal="center"/>
    </xf>
    <xf numFmtId="0" fontId="47" fillId="2" borderId="7" xfId="4" applyFont="1" applyFill="1" applyBorder="1" applyAlignment="1">
      <alignment horizontal="center"/>
    </xf>
    <xf numFmtId="0" fontId="47" fillId="2" borderId="0" xfId="4" applyFont="1" applyFill="1" applyAlignment="1">
      <alignment horizontal="center"/>
    </xf>
    <xf numFmtId="0" fontId="47" fillId="2" borderId="36" xfId="4" applyFont="1" applyFill="1" applyBorder="1" applyAlignment="1">
      <alignment horizontal="center"/>
    </xf>
    <xf numFmtId="0" fontId="47" fillId="2" borderId="22" xfId="4" applyFont="1" applyFill="1" applyBorder="1" applyAlignment="1">
      <alignment horizontal="center"/>
    </xf>
    <xf numFmtId="0" fontId="48" fillId="2" borderId="1" xfId="4" applyFont="1" applyFill="1" applyBorder="1" applyAlignment="1">
      <alignment horizontal="center"/>
    </xf>
    <xf numFmtId="0" fontId="48" fillId="2" borderId="40" xfId="4" applyFont="1" applyFill="1" applyBorder="1" applyAlignment="1">
      <alignment horizontal="center"/>
    </xf>
    <xf numFmtId="0" fontId="48" fillId="2" borderId="44" xfId="4" applyFont="1" applyFill="1" applyBorder="1" applyAlignment="1">
      <alignment horizontal="center"/>
    </xf>
    <xf numFmtId="0" fontId="48" fillId="2" borderId="39" xfId="4" applyFont="1" applyFill="1" applyBorder="1" applyAlignment="1">
      <alignment horizontal="center"/>
    </xf>
    <xf numFmtId="0" fontId="49" fillId="5" borderId="26" xfId="4" applyFont="1" applyFill="1" applyBorder="1" applyAlignment="1">
      <alignment horizontal="center" vertical="center" wrapText="1"/>
    </xf>
    <xf numFmtId="0" fontId="49" fillId="5" borderId="27" xfId="4" applyFont="1" applyFill="1" applyBorder="1" applyAlignment="1">
      <alignment horizontal="center" vertical="center" wrapText="1"/>
    </xf>
    <xf numFmtId="0" fontId="49" fillId="5" borderId="25" xfId="4" applyFont="1" applyFill="1" applyBorder="1" applyAlignment="1">
      <alignment horizontal="center" vertical="center" wrapText="1"/>
    </xf>
    <xf numFmtId="0" fontId="48" fillId="2" borderId="45" xfId="4" applyFont="1" applyFill="1" applyBorder="1" applyAlignment="1">
      <alignment horizontal="right" vertical="top" wrapText="1"/>
    </xf>
    <xf numFmtId="0" fontId="48" fillId="2" borderId="29" xfId="4" applyFont="1" applyFill="1" applyBorder="1" applyAlignment="1">
      <alignment horizontal="right" vertical="top" wrapText="1"/>
    </xf>
    <xf numFmtId="0" fontId="48" fillId="2" borderId="30" xfId="4" applyFont="1" applyFill="1" applyBorder="1" applyAlignment="1">
      <alignment horizontal="right" vertical="top" wrapText="1"/>
    </xf>
    <xf numFmtId="0" fontId="61" fillId="5" borderId="26" xfId="4" applyFont="1" applyFill="1" applyBorder="1" applyAlignment="1">
      <alignment horizontal="center" vertical="center" wrapText="1"/>
    </xf>
    <xf numFmtId="0" fontId="61" fillId="5" borderId="27" xfId="4" applyFont="1" applyFill="1" applyBorder="1" applyAlignment="1">
      <alignment horizontal="center" vertical="center" wrapText="1"/>
    </xf>
    <xf numFmtId="0" fontId="61" fillId="5" borderId="25" xfId="4" applyFont="1" applyFill="1" applyBorder="1" applyAlignment="1">
      <alignment horizontal="center" vertical="center" wrapText="1"/>
    </xf>
    <xf numFmtId="0" fontId="62" fillId="0" borderId="36" xfId="3" applyFont="1" applyBorder="1" applyAlignment="1">
      <alignment horizontal="right"/>
    </xf>
    <xf numFmtId="0" fontId="62" fillId="0" borderId="22" xfId="3" applyFont="1" applyBorder="1" applyAlignment="1">
      <alignment horizontal="right"/>
    </xf>
    <xf numFmtId="0" fontId="62" fillId="0" borderId="37" xfId="3" applyFont="1" applyBorder="1" applyAlignment="1">
      <alignment horizontal="right"/>
    </xf>
    <xf numFmtId="166" fontId="64" fillId="0" borderId="12" xfId="3" applyNumberFormat="1" applyFont="1" applyBorder="1" applyAlignment="1">
      <alignment horizontal="right"/>
    </xf>
    <xf numFmtId="0" fontId="64" fillId="2" borderId="13" xfId="3" applyFont="1" applyFill="1" applyBorder="1" applyAlignment="1">
      <alignment horizontal="center"/>
    </xf>
    <xf numFmtId="0" fontId="64" fillId="2" borderId="31" xfId="3" applyFont="1" applyFill="1" applyBorder="1" applyAlignment="1">
      <alignment horizontal="center"/>
    </xf>
    <xf numFmtId="0" fontId="62" fillId="0" borderId="34" xfId="3" applyFont="1" applyBorder="1" applyAlignment="1">
      <alignment horizontal="right"/>
    </xf>
    <xf numFmtId="0" fontId="62" fillId="0" borderId="27" xfId="3" applyFont="1" applyBorder="1" applyAlignment="1">
      <alignment horizontal="right"/>
    </xf>
    <xf numFmtId="0" fontId="62" fillId="0" borderId="25" xfId="3" applyFont="1" applyBorder="1" applyAlignment="1">
      <alignment horizontal="right"/>
    </xf>
    <xf numFmtId="0" fontId="64" fillId="0" borderId="3" xfId="3" applyFont="1" applyBorder="1" applyAlignment="1">
      <alignment horizontal="right"/>
    </xf>
    <xf numFmtId="166" fontId="64" fillId="0" borderId="26" xfId="3" applyNumberFormat="1" applyFont="1" applyBorder="1" applyAlignment="1">
      <alignment horizontal="center"/>
    </xf>
    <xf numFmtId="166" fontId="64" fillId="0" borderId="35" xfId="3" applyNumberFormat="1" applyFont="1" applyBorder="1" applyAlignment="1">
      <alignment horizontal="center"/>
    </xf>
    <xf numFmtId="0" fontId="64" fillId="0" borderId="27" xfId="0" applyFont="1" applyBorder="1" applyAlignment="1">
      <alignment horizontal="left"/>
    </xf>
    <xf numFmtId="166" fontId="64" fillId="0" borderId="26" xfId="3" applyNumberFormat="1" applyFont="1" applyBorder="1" applyAlignment="1">
      <alignment horizontal="right" wrapText="1"/>
    </xf>
    <xf numFmtId="166" fontId="64" fillId="0" borderId="25" xfId="3" applyNumberFormat="1" applyFont="1" applyBorder="1" applyAlignment="1">
      <alignment horizontal="right" wrapText="1"/>
    </xf>
    <xf numFmtId="166" fontId="64" fillId="0" borderId="26" xfId="0" applyNumberFormat="1" applyFont="1" applyBorder="1" applyAlignment="1">
      <alignment horizontal="center" wrapText="1"/>
    </xf>
    <xf numFmtId="166" fontId="64" fillId="0" borderId="35" xfId="0" applyNumberFormat="1" applyFont="1" applyBorder="1" applyAlignment="1">
      <alignment horizontal="center" wrapText="1"/>
    </xf>
    <xf numFmtId="0" fontId="62" fillId="0" borderId="33" xfId="3" applyFont="1" applyBorder="1" applyAlignment="1">
      <alignment horizontal="right"/>
    </xf>
    <xf numFmtId="0" fontId="62" fillId="0" borderId="39" xfId="3" applyFont="1" applyBorder="1" applyAlignment="1">
      <alignment horizontal="right"/>
    </xf>
    <xf numFmtId="0" fontId="62" fillId="0" borderId="5" xfId="3" applyFont="1" applyBorder="1" applyAlignment="1">
      <alignment horizontal="right"/>
    </xf>
    <xf numFmtId="0" fontId="64" fillId="0" borderId="5" xfId="3" applyFont="1" applyBorder="1" applyAlignment="1">
      <alignment horizontal="right"/>
    </xf>
    <xf numFmtId="0" fontId="62" fillId="3" borderId="9" xfId="3" applyFont="1" applyFill="1" applyBorder="1" applyAlignment="1">
      <alignment horizontal="center"/>
    </xf>
    <xf numFmtId="0" fontId="62" fillId="3" borderId="10" xfId="3" applyFont="1" applyFill="1" applyBorder="1" applyAlignment="1">
      <alignment horizontal="center"/>
    </xf>
    <xf numFmtId="0" fontId="62" fillId="3" borderId="11" xfId="3" applyFont="1" applyFill="1" applyBorder="1" applyAlignment="1">
      <alignment horizontal="center"/>
    </xf>
    <xf numFmtId="0" fontId="64" fillId="0" borderId="27" xfId="0" applyFont="1" applyBorder="1" applyAlignment="1">
      <alignment horizontal="left" wrapText="1"/>
    </xf>
    <xf numFmtId="0" fontId="64" fillId="9" borderId="48" xfId="0" applyFont="1" applyFill="1" applyBorder="1" applyAlignment="1">
      <alignment horizontal="left"/>
    </xf>
    <xf numFmtId="0" fontId="62" fillId="12" borderId="52" xfId="4" applyFont="1" applyFill="1" applyBorder="1" applyAlignment="1">
      <alignment horizontal="center"/>
    </xf>
    <xf numFmtId="0" fontId="62" fillId="12" borderId="41" xfId="4" applyFont="1" applyFill="1" applyBorder="1" applyAlignment="1">
      <alignment horizontal="center"/>
    </xf>
    <xf numFmtId="0" fontId="64" fillId="2" borderId="26" xfId="4" applyFont="1" applyFill="1" applyBorder="1" applyAlignment="1">
      <alignment horizontal="left"/>
    </xf>
    <xf numFmtId="0" fontId="64" fillId="2" borderId="27" xfId="4" applyFont="1" applyFill="1" applyBorder="1" applyAlignment="1">
      <alignment horizontal="left"/>
    </xf>
    <xf numFmtId="0" fontId="64" fillId="2" borderId="25" xfId="4" applyFont="1" applyFill="1" applyBorder="1" applyAlignment="1">
      <alignment horizontal="left"/>
    </xf>
    <xf numFmtId="0" fontId="62" fillId="0" borderId="34" xfId="0" applyFont="1" applyBorder="1" applyAlignment="1">
      <alignment horizontal="left"/>
    </xf>
    <xf numFmtId="0" fontId="62" fillId="0" borderId="27" xfId="0" applyFont="1" applyBorder="1" applyAlignment="1">
      <alignment horizontal="left"/>
    </xf>
    <xf numFmtId="0" fontId="62" fillId="0" borderId="35" xfId="0" applyFont="1" applyBorder="1" applyAlignment="1">
      <alignment horizontal="left"/>
    </xf>
    <xf numFmtId="0" fontId="15" fillId="0" borderId="0" xfId="0" applyFont="1" applyAlignment="1">
      <alignment horizontal="right" vertical="center"/>
    </xf>
    <xf numFmtId="0" fontId="20" fillId="4" borderId="9" xfId="0" applyFont="1" applyFill="1" applyBorder="1" applyAlignment="1">
      <alignment horizontal="right"/>
    </xf>
    <xf numFmtId="0" fontId="20" fillId="4" borderId="10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32" fillId="0" borderId="0" xfId="0" applyFont="1" applyAlignment="1">
      <alignment horizontal="right"/>
    </xf>
    <xf numFmtId="0" fontId="5" fillId="0" borderId="24" xfId="0" applyFont="1" applyBorder="1" applyAlignment="1">
      <alignment horizontal="right" vertical="center"/>
    </xf>
    <xf numFmtId="0" fontId="5" fillId="0" borderId="38" xfId="0" applyFont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5" fillId="8" borderId="10" xfId="0" applyFont="1" applyFill="1" applyBorder="1" applyAlignment="1">
      <alignment horizontal="right" vertical="center"/>
    </xf>
    <xf numFmtId="0" fontId="5" fillId="8" borderId="11" xfId="0" applyFont="1" applyFill="1" applyBorder="1" applyAlignment="1">
      <alignment horizontal="right" vertical="center"/>
    </xf>
    <xf numFmtId="4" fontId="29" fillId="0" borderId="0" xfId="2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1" fillId="0" borderId="9" xfId="0" applyFont="1" applyBorder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0" fontId="31" fillId="0" borderId="11" xfId="0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8" xfId="0" applyFont="1" applyBorder="1" applyAlignment="1">
      <alignment horizontal="right"/>
    </xf>
    <xf numFmtId="0" fontId="22" fillId="0" borderId="24" xfId="0" applyFont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6" fillId="0" borderId="28" xfId="0" applyFont="1" applyBorder="1" applyAlignment="1">
      <alignment horizontal="right"/>
    </xf>
    <xf numFmtId="0" fontId="16" fillId="0" borderId="41" xfId="0" applyFont="1" applyBorder="1" applyAlignment="1">
      <alignment horizontal="right"/>
    </xf>
    <xf numFmtId="0" fontId="10" fillId="0" borderId="2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right" vertical="center" wrapText="1"/>
    </xf>
    <xf numFmtId="0" fontId="6" fillId="4" borderId="9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38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38" fillId="11" borderId="0" xfId="0" applyFont="1" applyFill="1" applyAlignment="1">
      <alignment horizontal="right"/>
    </xf>
    <xf numFmtId="0" fontId="38" fillId="0" borderId="24" xfId="0" applyFont="1" applyBorder="1" applyAlignment="1">
      <alignment horizontal="right"/>
    </xf>
    <xf numFmtId="0" fontId="17" fillId="4" borderId="9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38" fillId="0" borderId="41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9" fillId="0" borderId="8" xfId="0" applyFont="1" applyBorder="1" applyAlignment="1">
      <alignment horizontal="right"/>
    </xf>
    <xf numFmtId="0" fontId="34" fillId="0" borderId="9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right" vertical="center" wrapText="1"/>
    </xf>
  </cellXfs>
  <cellStyles count="8">
    <cellStyle name="Millares" xfId="1" builtinId="3"/>
    <cellStyle name="Millares [0]" xfId="2" builtinId="6"/>
    <cellStyle name="Normal" xfId="0" builtinId="0"/>
    <cellStyle name="Normal 2" xfId="3" xr:uid="{3DA9F1BE-73A9-4161-91E9-DB061C84E00A}"/>
    <cellStyle name="Normal 3" xfId="7" xr:uid="{19616222-36B5-4E9A-908C-AA1E72BDF028}"/>
    <cellStyle name="Normal_CRITERIOS DE EVALUACION PT DE GB 2" xfId="4" xr:uid="{0A1CA372-AB71-4B9C-82AE-402CBD620063}"/>
    <cellStyle name="Porcentaje" xfId="5" builtinId="5"/>
    <cellStyle name="Porcentaje 2" xfId="6" xr:uid="{F16DE485-F34C-48ED-B678-DFE6D36147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214312</xdr:rowOff>
    </xdr:from>
    <xdr:to>
      <xdr:col>1</xdr:col>
      <xdr:colOff>761589</xdr:colOff>
      <xdr:row>3</xdr:row>
      <xdr:rowOff>190500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6CE616C-7F69-4138-A85F-E2F08CE6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214312"/>
          <a:ext cx="1845058" cy="833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Industria\Planta\Planta%20Batidos\Spoon\OBSOLETOS\2016\95254%20-%20BROWNIE%20CUADRADO%20SPO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254 REC BROWNIE"/>
      <sheetName val="COSTEO BROWNIE"/>
    </sheetNames>
    <sheetDataSet>
      <sheetData sheetId="0" refreshError="1"/>
      <sheetData sheetId="1">
        <row r="24">
          <cell r="H24">
            <v>97.086656419428152</v>
          </cell>
        </row>
        <row r="25">
          <cell r="H25">
            <v>1.8036294619474156</v>
          </cell>
        </row>
        <row r="27">
          <cell r="H27">
            <v>11.224767693186054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16DA-95D1-49D7-90E7-11CE450930E6}">
  <dimension ref="A1:L56"/>
  <sheetViews>
    <sheetView topLeftCell="A6" zoomScale="55" zoomScaleNormal="55" workbookViewId="0">
      <selection activeCell="L14" sqref="L14"/>
    </sheetView>
  </sheetViews>
  <sheetFormatPr baseColWidth="10" defaultRowHeight="13.2" x14ac:dyDescent="0.25"/>
  <cols>
    <col min="1" max="1" width="15.44140625" bestFit="1" customWidth="1"/>
    <col min="2" max="2" width="13.5546875" bestFit="1" customWidth="1"/>
    <col min="3" max="3" width="64.6640625" bestFit="1" customWidth="1"/>
    <col min="4" max="4" width="34.44140625" bestFit="1" customWidth="1"/>
    <col min="8" max="8" width="47.5546875" bestFit="1" customWidth="1"/>
    <col min="9" max="9" width="21.5546875" bestFit="1" customWidth="1"/>
  </cols>
  <sheetData>
    <row r="1" spans="1:12" ht="17.399999999999999" x14ac:dyDescent="0.3">
      <c r="A1" s="365"/>
      <c r="B1" s="366"/>
      <c r="C1" s="371" t="s">
        <v>22</v>
      </c>
      <c r="D1" s="371"/>
      <c r="E1" s="371"/>
      <c r="F1" s="371"/>
      <c r="G1" s="371"/>
      <c r="H1" s="141" t="s">
        <v>21</v>
      </c>
      <c r="I1" s="142" t="s">
        <v>151</v>
      </c>
    </row>
    <row r="2" spans="1:12" ht="18" customHeight="1" thickBot="1" x14ac:dyDescent="0.35">
      <c r="A2" s="367"/>
      <c r="B2" s="368"/>
      <c r="C2" s="372" t="s">
        <v>0</v>
      </c>
      <c r="D2" s="373"/>
      <c r="E2" s="373"/>
      <c r="F2" s="373"/>
      <c r="G2" s="374"/>
      <c r="H2" s="143" t="s">
        <v>20</v>
      </c>
      <c r="I2" s="144" t="s">
        <v>154</v>
      </c>
    </row>
    <row r="3" spans="1:12" ht="31.5" customHeight="1" thickBot="1" x14ac:dyDescent="0.3">
      <c r="A3" s="367"/>
      <c r="B3" s="368"/>
      <c r="C3" s="375" t="s">
        <v>138</v>
      </c>
      <c r="D3" s="376"/>
      <c r="E3" s="376"/>
      <c r="F3" s="376"/>
      <c r="G3" s="377"/>
      <c r="H3" s="378" t="s">
        <v>19</v>
      </c>
      <c r="I3" s="359">
        <v>45613</v>
      </c>
    </row>
    <row r="4" spans="1:12" ht="18" customHeight="1" x14ac:dyDescent="0.25">
      <c r="A4" s="367"/>
      <c r="B4" s="368"/>
      <c r="C4" s="145" t="s">
        <v>18</v>
      </c>
      <c r="D4" s="362" t="s">
        <v>121</v>
      </c>
      <c r="E4" s="363"/>
      <c r="F4" s="363"/>
      <c r="G4" s="364"/>
      <c r="H4" s="379"/>
      <c r="I4" s="360"/>
    </row>
    <row r="5" spans="1:12" ht="17.399999999999999" thickBot="1" x14ac:dyDescent="0.3">
      <c r="A5" s="369"/>
      <c r="B5" s="370"/>
      <c r="C5" s="146" t="s">
        <v>17</v>
      </c>
      <c r="D5" s="310" t="s">
        <v>122</v>
      </c>
      <c r="E5" s="311"/>
      <c r="F5" s="311"/>
      <c r="G5" s="312"/>
      <c r="H5" s="380"/>
      <c r="I5" s="361"/>
    </row>
    <row r="6" spans="1:12" ht="18" thickBot="1" x14ac:dyDescent="0.35">
      <c r="A6" s="350" t="s">
        <v>23</v>
      </c>
      <c r="B6" s="350"/>
      <c r="C6" s="350"/>
      <c r="D6" s="351" t="s">
        <v>119</v>
      </c>
      <c r="E6" s="351"/>
      <c r="F6" s="351"/>
      <c r="G6" s="352" t="s">
        <v>24</v>
      </c>
      <c r="H6" s="352"/>
      <c r="I6" s="147" t="s">
        <v>119</v>
      </c>
    </row>
    <row r="7" spans="1:12" ht="34.799999999999997" x14ac:dyDescent="0.25">
      <c r="A7" s="353" t="s">
        <v>1</v>
      </c>
      <c r="B7" s="355" t="s">
        <v>139</v>
      </c>
      <c r="C7" s="357" t="s">
        <v>2</v>
      </c>
      <c r="D7" s="357" t="s">
        <v>3</v>
      </c>
      <c r="E7" s="357" t="s">
        <v>4</v>
      </c>
      <c r="F7" s="357"/>
      <c r="G7" s="357" t="s">
        <v>16</v>
      </c>
      <c r="H7" s="357"/>
      <c r="I7" s="148" t="s">
        <v>5</v>
      </c>
    </row>
    <row r="8" spans="1:12" ht="35.4" thickBot="1" x14ac:dyDescent="0.35">
      <c r="A8" s="354"/>
      <c r="B8" s="356"/>
      <c r="C8" s="358"/>
      <c r="D8" s="358"/>
      <c r="E8" s="149" t="s">
        <v>6</v>
      </c>
      <c r="F8" s="150" t="s">
        <v>7</v>
      </c>
      <c r="G8" s="149" t="s">
        <v>6</v>
      </c>
      <c r="H8" s="150" t="s">
        <v>7</v>
      </c>
      <c r="I8" s="151" t="s">
        <v>8</v>
      </c>
    </row>
    <row r="9" spans="1:12" ht="18.45" customHeight="1" x14ac:dyDescent="0.35">
      <c r="A9" s="152"/>
      <c r="B9" s="153"/>
      <c r="C9" s="154" t="s">
        <v>27</v>
      </c>
      <c r="D9" s="155"/>
      <c r="E9" s="156"/>
      <c r="F9" s="157"/>
      <c r="G9" s="156"/>
      <c r="H9" s="157"/>
      <c r="I9" s="158"/>
    </row>
    <row r="10" spans="1:12" ht="18" customHeight="1" x14ac:dyDescent="0.35">
      <c r="A10" s="159">
        <v>903000025</v>
      </c>
      <c r="B10" s="159" t="s">
        <v>129</v>
      </c>
      <c r="C10" s="231" t="s">
        <v>120</v>
      </c>
      <c r="D10" s="232" t="s">
        <v>123</v>
      </c>
      <c r="E10" s="233">
        <v>1</v>
      </c>
      <c r="F10" s="234" t="s">
        <v>34</v>
      </c>
      <c r="G10" s="235"/>
      <c r="H10" s="236"/>
      <c r="I10" s="158"/>
    </row>
    <row r="11" spans="1:12" ht="18" x14ac:dyDescent="0.35">
      <c r="A11" s="160"/>
      <c r="B11" s="237"/>
      <c r="C11" s="238"/>
      <c r="D11" s="161"/>
      <c r="E11" s="162"/>
      <c r="F11" s="163"/>
      <c r="G11" s="235"/>
      <c r="H11" s="236"/>
      <c r="I11" s="158"/>
    </row>
    <row r="12" spans="1:12" ht="18" x14ac:dyDescent="0.35">
      <c r="A12" s="164">
        <v>908000045</v>
      </c>
      <c r="B12" s="159" t="s">
        <v>130</v>
      </c>
      <c r="C12" s="165" t="s">
        <v>128</v>
      </c>
      <c r="D12" s="161" t="s">
        <v>123</v>
      </c>
      <c r="E12" s="162">
        <v>72</v>
      </c>
      <c r="F12" s="163" t="s">
        <v>26</v>
      </c>
      <c r="G12" s="166"/>
      <c r="H12" s="236" t="s">
        <v>233</v>
      </c>
      <c r="I12" s="158"/>
      <c r="J12">
        <f>72/6</f>
        <v>12</v>
      </c>
      <c r="K12">
        <f>+J12/1000</f>
        <v>1.2E-2</v>
      </c>
    </row>
    <row r="13" spans="1:12" ht="18" x14ac:dyDescent="0.35">
      <c r="A13" s="164" t="s">
        <v>234</v>
      </c>
      <c r="B13" s="164" t="s">
        <v>229</v>
      </c>
      <c r="C13" s="167" t="s">
        <v>235</v>
      </c>
      <c r="D13" s="168" t="s">
        <v>123</v>
      </c>
      <c r="E13" s="169">
        <v>48</v>
      </c>
      <c r="F13" s="170" t="s">
        <v>26</v>
      </c>
      <c r="G13" s="166"/>
      <c r="H13" s="236" t="s">
        <v>152</v>
      </c>
      <c r="I13" s="158"/>
      <c r="K13">
        <f>48/6</f>
        <v>8</v>
      </c>
      <c r="L13">
        <f>+K13/1000</f>
        <v>8.0000000000000002E-3</v>
      </c>
    </row>
    <row r="14" spans="1:12" ht="18" x14ac:dyDescent="0.35">
      <c r="A14" s="164"/>
      <c r="B14" s="164"/>
      <c r="C14" s="167"/>
      <c r="D14" s="168"/>
      <c r="E14" s="169"/>
      <c r="F14" s="170"/>
      <c r="G14" s="166"/>
      <c r="H14" s="236"/>
      <c r="I14" s="158"/>
    </row>
    <row r="15" spans="1:12" ht="18" x14ac:dyDescent="0.35">
      <c r="A15" s="171"/>
      <c r="B15" s="164"/>
      <c r="C15" s="172"/>
      <c r="D15" s="173"/>
      <c r="E15" s="173"/>
      <c r="F15" s="173"/>
      <c r="G15" s="156"/>
      <c r="H15" s="236"/>
      <c r="I15" s="158"/>
    </row>
    <row r="16" spans="1:12" ht="18" x14ac:dyDescent="0.35">
      <c r="A16" s="174"/>
      <c r="B16" s="175"/>
      <c r="C16" s="176" t="s">
        <v>140</v>
      </c>
      <c r="D16" s="169"/>
      <c r="E16" s="177"/>
      <c r="F16" s="170"/>
      <c r="G16" s="156"/>
      <c r="H16" s="157"/>
      <c r="I16" s="158"/>
    </row>
    <row r="17" spans="1:9" ht="18" x14ac:dyDescent="0.35">
      <c r="A17" s="178"/>
      <c r="B17" s="179"/>
      <c r="C17" s="180"/>
      <c r="D17" s="181"/>
      <c r="E17" s="182"/>
      <c r="F17" s="183"/>
      <c r="G17" s="156"/>
      <c r="H17" s="157"/>
      <c r="I17" s="158"/>
    </row>
    <row r="18" spans="1:9" ht="18" x14ac:dyDescent="0.35">
      <c r="A18" s="178"/>
      <c r="B18" s="179"/>
      <c r="C18" s="180"/>
      <c r="D18" s="181"/>
      <c r="E18" s="239"/>
      <c r="F18" s="183"/>
      <c r="G18" s="156"/>
      <c r="H18" s="157"/>
      <c r="I18" s="158"/>
    </row>
    <row r="19" spans="1:9" ht="18" x14ac:dyDescent="0.35">
      <c r="A19" s="178"/>
      <c r="B19" s="179"/>
      <c r="C19" s="180"/>
      <c r="D19" s="181"/>
      <c r="E19" s="182"/>
      <c r="F19" s="183"/>
      <c r="G19" s="156"/>
      <c r="H19" s="157"/>
      <c r="I19" s="158"/>
    </row>
    <row r="20" spans="1:9" ht="18" x14ac:dyDescent="0.35">
      <c r="A20" s="178"/>
      <c r="B20" s="179"/>
      <c r="C20" s="180"/>
      <c r="D20" s="181"/>
      <c r="E20" s="184"/>
      <c r="F20" s="185"/>
      <c r="G20" s="156"/>
      <c r="H20" s="157"/>
      <c r="I20" s="158"/>
    </row>
    <row r="21" spans="1:9" ht="18" x14ac:dyDescent="0.35">
      <c r="A21" s="178"/>
      <c r="B21" s="179"/>
      <c r="C21" s="180"/>
      <c r="D21" s="181"/>
      <c r="E21" s="186"/>
      <c r="F21" s="185"/>
      <c r="G21" s="156"/>
      <c r="H21" s="157"/>
      <c r="I21" s="158"/>
    </row>
    <row r="22" spans="1:9" ht="18" x14ac:dyDescent="0.35">
      <c r="A22" s="159"/>
      <c r="B22" s="159"/>
      <c r="C22" s="165"/>
      <c r="D22" s="187"/>
      <c r="E22" s="188"/>
      <c r="F22" s="189"/>
      <c r="G22" s="156"/>
      <c r="H22" s="157"/>
      <c r="I22" s="158"/>
    </row>
    <row r="23" spans="1:9" ht="18" x14ac:dyDescent="0.35">
      <c r="A23" s="164"/>
      <c r="B23" s="164"/>
      <c r="C23" s="172"/>
      <c r="D23" s="190"/>
      <c r="E23" s="191"/>
      <c r="F23" s="189"/>
      <c r="G23" s="156"/>
      <c r="H23" s="157"/>
      <c r="I23" s="158"/>
    </row>
    <row r="24" spans="1:9" ht="18" x14ac:dyDescent="0.35">
      <c r="A24" s="164"/>
      <c r="B24" s="164"/>
      <c r="C24" s="172"/>
      <c r="D24" s="190"/>
      <c r="E24" s="192"/>
      <c r="F24" s="193"/>
      <c r="G24" s="156"/>
      <c r="H24" s="157"/>
      <c r="I24" s="158"/>
    </row>
    <row r="25" spans="1:9" ht="18" x14ac:dyDescent="0.35">
      <c r="A25" s="194"/>
      <c r="B25" s="195"/>
      <c r="C25" s="196" t="s">
        <v>30</v>
      </c>
      <c r="D25" s="197"/>
      <c r="E25" s="198"/>
      <c r="F25" s="157"/>
      <c r="G25" s="156"/>
      <c r="H25" s="165"/>
      <c r="I25" s="158"/>
    </row>
    <row r="26" spans="1:9" ht="18" x14ac:dyDescent="0.35">
      <c r="A26" s="199">
        <v>50600003</v>
      </c>
      <c r="B26" s="199" t="s">
        <v>131</v>
      </c>
      <c r="C26" s="200" t="s">
        <v>124</v>
      </c>
      <c r="D26" s="201" t="s">
        <v>141</v>
      </c>
      <c r="E26" s="202">
        <v>24</v>
      </c>
      <c r="F26" s="203" t="s">
        <v>34</v>
      </c>
      <c r="G26" s="204"/>
      <c r="H26" s="157"/>
      <c r="I26" s="158"/>
    </row>
    <row r="27" spans="1:9" ht="18" x14ac:dyDescent="0.35">
      <c r="A27" s="205">
        <v>1950909</v>
      </c>
      <c r="B27" s="205" t="s">
        <v>132</v>
      </c>
      <c r="C27" s="206" t="s">
        <v>125</v>
      </c>
      <c r="D27" s="201" t="s">
        <v>142</v>
      </c>
      <c r="E27" s="202">
        <v>6</v>
      </c>
      <c r="F27" s="203" t="s">
        <v>34</v>
      </c>
      <c r="G27" s="204"/>
      <c r="H27" s="157"/>
      <c r="I27" s="158"/>
    </row>
    <row r="28" spans="1:9" ht="18" x14ac:dyDescent="0.35">
      <c r="A28" s="164">
        <v>702069</v>
      </c>
      <c r="B28" s="164" t="s">
        <v>135</v>
      </c>
      <c r="C28" s="172" t="s">
        <v>143</v>
      </c>
      <c r="D28" s="207" t="s">
        <v>144</v>
      </c>
      <c r="E28" s="192">
        <v>6</v>
      </c>
      <c r="F28" s="166" t="s">
        <v>34</v>
      </c>
      <c r="G28" s="204"/>
      <c r="H28" s="157"/>
      <c r="I28" s="158"/>
    </row>
    <row r="29" spans="1:9" ht="18" x14ac:dyDescent="0.35">
      <c r="A29" s="208">
        <v>702077</v>
      </c>
      <c r="B29" s="208" t="s">
        <v>133</v>
      </c>
      <c r="C29" s="209" t="s">
        <v>126</v>
      </c>
      <c r="D29" s="201" t="s">
        <v>145</v>
      </c>
      <c r="E29" s="202">
        <v>6</v>
      </c>
      <c r="F29" s="203" t="s">
        <v>34</v>
      </c>
      <c r="G29" s="156"/>
      <c r="H29" s="157"/>
      <c r="I29" s="158"/>
    </row>
    <row r="30" spans="1:9" ht="18" x14ac:dyDescent="0.35">
      <c r="A30" s="208">
        <v>702123</v>
      </c>
      <c r="B30" s="208" t="s">
        <v>134</v>
      </c>
      <c r="C30" s="209" t="s">
        <v>36</v>
      </c>
      <c r="D30" s="201" t="s">
        <v>144</v>
      </c>
      <c r="E30" s="202">
        <v>6</v>
      </c>
      <c r="F30" s="203" t="s">
        <v>34</v>
      </c>
      <c r="G30" s="156"/>
      <c r="H30" s="157"/>
      <c r="I30" s="158"/>
    </row>
    <row r="31" spans="1:9" ht="18" x14ac:dyDescent="0.35">
      <c r="A31" s="208">
        <v>701096</v>
      </c>
      <c r="B31" s="208" t="s">
        <v>136</v>
      </c>
      <c r="C31" s="209" t="s">
        <v>146</v>
      </c>
      <c r="D31" s="201" t="s">
        <v>144</v>
      </c>
      <c r="E31" s="202">
        <v>6</v>
      </c>
      <c r="F31" s="203" t="s">
        <v>34</v>
      </c>
      <c r="G31" s="210"/>
      <c r="H31" s="157"/>
      <c r="I31" s="158"/>
    </row>
    <row r="32" spans="1:9" ht="18" x14ac:dyDescent="0.35">
      <c r="A32" s="208"/>
      <c r="B32" s="208"/>
      <c r="C32" s="209"/>
      <c r="D32" s="201"/>
      <c r="E32" s="202"/>
      <c r="F32" s="203"/>
      <c r="G32" s="168"/>
      <c r="H32" s="157"/>
      <c r="I32" s="158"/>
    </row>
    <row r="33" spans="1:9" ht="18" x14ac:dyDescent="0.35">
      <c r="A33" s="211"/>
      <c r="B33" s="211"/>
      <c r="C33" s="212"/>
      <c r="D33" s="201"/>
      <c r="E33" s="193"/>
      <c r="F33" s="193"/>
      <c r="G33" s="168"/>
      <c r="H33" s="157"/>
      <c r="I33" s="158"/>
    </row>
    <row r="34" spans="1:9" ht="18" x14ac:dyDescent="0.35">
      <c r="A34" s="199"/>
      <c r="B34" s="164"/>
      <c r="C34" s="200"/>
      <c r="D34" s="207"/>
      <c r="E34" s="192"/>
      <c r="F34" s="166"/>
      <c r="G34" s="168"/>
      <c r="H34" s="157"/>
      <c r="I34" s="158"/>
    </row>
    <row r="35" spans="1:9" ht="18" x14ac:dyDescent="0.35">
      <c r="A35" s="208"/>
      <c r="B35" s="208"/>
      <c r="C35" s="209"/>
      <c r="D35" s="201"/>
      <c r="E35" s="192"/>
      <c r="F35" s="166"/>
      <c r="G35" s="168"/>
      <c r="H35" s="157"/>
      <c r="I35" s="158"/>
    </row>
    <row r="36" spans="1:9" ht="18" x14ac:dyDescent="0.35">
      <c r="A36" s="174"/>
      <c r="B36" s="175"/>
      <c r="C36" s="213"/>
      <c r="D36" s="169"/>
      <c r="E36" s="169"/>
      <c r="F36" s="170"/>
      <c r="G36" s="169"/>
      <c r="H36" s="169"/>
      <c r="I36" s="158"/>
    </row>
    <row r="37" spans="1:9" ht="17.399999999999999" thickBot="1" x14ac:dyDescent="0.3">
      <c r="A37" s="214"/>
      <c r="B37" s="215"/>
      <c r="C37" s="216"/>
      <c r="D37" s="216"/>
      <c r="E37" s="217"/>
      <c r="F37" s="218"/>
      <c r="G37" s="216"/>
      <c r="H37" s="216"/>
      <c r="I37" s="219"/>
    </row>
    <row r="38" spans="1:9" ht="18" thickBot="1" x14ac:dyDescent="0.35">
      <c r="A38" s="220"/>
      <c r="B38" s="221"/>
      <c r="C38" s="222"/>
      <c r="D38" s="223" t="s">
        <v>6</v>
      </c>
      <c r="E38" s="224" t="s">
        <v>15</v>
      </c>
      <c r="F38" s="225"/>
      <c r="G38" s="222"/>
      <c r="H38" s="222"/>
      <c r="I38" s="226"/>
    </row>
    <row r="39" spans="1:9" ht="17.399999999999999" x14ac:dyDescent="0.3">
      <c r="A39" s="344" t="s">
        <v>10</v>
      </c>
      <c r="B39" s="345"/>
      <c r="C39" s="346"/>
      <c r="D39" s="191">
        <v>1710</v>
      </c>
      <c r="E39" s="227" t="s">
        <v>26</v>
      </c>
      <c r="F39" s="347" t="s">
        <v>147</v>
      </c>
      <c r="G39" s="347"/>
      <c r="H39" s="348"/>
      <c r="I39" s="349"/>
    </row>
    <row r="40" spans="1:9" ht="17.399999999999999" x14ac:dyDescent="0.3">
      <c r="A40" s="327" t="s">
        <v>9</v>
      </c>
      <c r="B40" s="328"/>
      <c r="C40" s="329"/>
      <c r="D40" s="192">
        <v>20</v>
      </c>
      <c r="E40" s="166" t="s">
        <v>33</v>
      </c>
      <c r="F40" s="330" t="s">
        <v>148</v>
      </c>
      <c r="G40" s="330"/>
      <c r="H40" s="331"/>
      <c r="I40" s="332"/>
    </row>
    <row r="41" spans="1:9" ht="17.399999999999999" x14ac:dyDescent="0.3">
      <c r="A41" s="327" t="s">
        <v>14</v>
      </c>
      <c r="B41" s="328"/>
      <c r="C41" s="329"/>
      <c r="D41" s="166">
        <v>6</v>
      </c>
      <c r="E41" s="166" t="s">
        <v>34</v>
      </c>
      <c r="F41" s="330" t="s">
        <v>149</v>
      </c>
      <c r="G41" s="330"/>
      <c r="H41" s="331"/>
      <c r="I41" s="332"/>
    </row>
    <row r="42" spans="1:9" ht="17.399999999999999" x14ac:dyDescent="0.3">
      <c r="A42" s="327" t="s">
        <v>13</v>
      </c>
      <c r="B42" s="328"/>
      <c r="C42" s="329"/>
      <c r="D42" s="192">
        <v>285</v>
      </c>
      <c r="E42" s="166" t="s">
        <v>26</v>
      </c>
      <c r="F42" s="333" t="s">
        <v>150</v>
      </c>
      <c r="G42" s="334"/>
      <c r="H42" s="335"/>
      <c r="I42" s="336"/>
    </row>
    <row r="43" spans="1:9" ht="18" thickBot="1" x14ac:dyDescent="0.35">
      <c r="A43" s="337" t="s">
        <v>12</v>
      </c>
      <c r="B43" s="338"/>
      <c r="C43" s="339"/>
      <c r="D43" s="228">
        <v>0</v>
      </c>
      <c r="E43" s="229" t="s">
        <v>26</v>
      </c>
      <c r="F43" s="340"/>
      <c r="G43" s="340"/>
      <c r="H43" s="331"/>
      <c r="I43" s="332"/>
    </row>
    <row r="44" spans="1:9" ht="18" thickBot="1" x14ac:dyDescent="0.35">
      <c r="A44" s="341" t="s">
        <v>11</v>
      </c>
      <c r="B44" s="342"/>
      <c r="C44" s="342"/>
      <c r="D44" s="342"/>
      <c r="E44" s="342"/>
      <c r="F44" s="342"/>
      <c r="G44" s="342"/>
      <c r="H44" s="342"/>
      <c r="I44" s="343"/>
    </row>
    <row r="45" spans="1:9" ht="18.45" customHeight="1" x14ac:dyDescent="0.3">
      <c r="A45" s="240" t="s">
        <v>236</v>
      </c>
      <c r="B45" s="240"/>
      <c r="C45" s="241"/>
      <c r="D45" s="241"/>
      <c r="E45" s="241"/>
      <c r="F45" s="241"/>
      <c r="G45" s="241"/>
      <c r="H45" s="241"/>
      <c r="I45" s="241"/>
    </row>
    <row r="46" spans="1:9" ht="14.7" customHeight="1" x14ac:dyDescent="0.35">
      <c r="A46" s="315" t="s">
        <v>237</v>
      </c>
      <c r="B46" s="315"/>
      <c r="C46" s="315"/>
      <c r="D46" s="315"/>
      <c r="E46" s="315"/>
      <c r="F46" s="315"/>
      <c r="G46" s="315"/>
      <c r="H46" s="315"/>
      <c r="I46" s="315"/>
    </row>
    <row r="47" spans="1:9" ht="14.7" customHeight="1" x14ac:dyDescent="0.35">
      <c r="A47" s="315" t="s">
        <v>238</v>
      </c>
      <c r="B47" s="315"/>
      <c r="C47" s="315"/>
      <c r="D47" s="315"/>
      <c r="E47" s="315"/>
      <c r="F47" s="315"/>
      <c r="G47" s="315"/>
      <c r="H47" s="315"/>
      <c r="I47" s="315"/>
    </row>
    <row r="48" spans="1:9" ht="14.7" customHeight="1" x14ac:dyDescent="0.35">
      <c r="A48" s="315" t="s">
        <v>137</v>
      </c>
      <c r="B48" s="315"/>
      <c r="C48" s="315"/>
      <c r="D48" s="315"/>
      <c r="E48" s="315"/>
      <c r="F48" s="315"/>
      <c r="G48" s="315"/>
      <c r="H48" s="315"/>
      <c r="I48" s="315"/>
    </row>
    <row r="49" spans="1:9" ht="14.7" customHeight="1" x14ac:dyDescent="0.3">
      <c r="A49" s="316"/>
      <c r="B49" s="317"/>
      <c r="C49" s="317"/>
      <c r="D49" s="317"/>
      <c r="E49" s="317"/>
      <c r="F49" s="317"/>
      <c r="G49" s="317"/>
      <c r="H49" s="317"/>
      <c r="I49" s="318"/>
    </row>
    <row r="50" spans="1:9" ht="14.7" customHeight="1" x14ac:dyDescent="0.35">
      <c r="A50" s="319"/>
      <c r="B50" s="315"/>
      <c r="C50" s="315"/>
      <c r="D50" s="315"/>
      <c r="E50" s="315"/>
      <c r="F50" s="315"/>
      <c r="G50" s="315"/>
      <c r="H50" s="315"/>
      <c r="I50" s="320"/>
    </row>
    <row r="51" spans="1:9" ht="18" customHeight="1" x14ac:dyDescent="0.35">
      <c r="A51" s="319"/>
      <c r="B51" s="315"/>
      <c r="C51" s="315"/>
      <c r="D51" s="315"/>
      <c r="E51" s="315"/>
      <c r="F51" s="315"/>
      <c r="G51" s="315"/>
      <c r="H51" s="315"/>
      <c r="I51" s="320"/>
    </row>
    <row r="52" spans="1:9" ht="17.399999999999999" x14ac:dyDescent="0.3">
      <c r="A52" s="321"/>
      <c r="B52" s="322"/>
      <c r="C52" s="322"/>
      <c r="D52" s="322"/>
      <c r="E52" s="322"/>
      <c r="F52" s="322"/>
      <c r="G52" s="322"/>
      <c r="H52" s="322"/>
      <c r="I52" s="323"/>
    </row>
    <row r="53" spans="1:9" ht="18" thickBot="1" x14ac:dyDescent="0.35">
      <c r="A53" s="324"/>
      <c r="B53" s="325"/>
      <c r="C53" s="325"/>
      <c r="D53" s="325"/>
      <c r="E53" s="325"/>
      <c r="F53" s="325"/>
      <c r="G53" s="325"/>
      <c r="H53" s="325"/>
      <c r="I53" s="326"/>
    </row>
    <row r="54" spans="1:9" ht="17.399999999999999" x14ac:dyDescent="0.3">
      <c r="A54" s="308" t="s">
        <v>127</v>
      </c>
      <c r="B54" s="309"/>
      <c r="C54" s="309"/>
      <c r="D54" s="309"/>
      <c r="E54" s="309"/>
      <c r="F54" s="309"/>
      <c r="G54" s="309"/>
      <c r="H54" s="309"/>
      <c r="I54" s="309"/>
    </row>
    <row r="55" spans="1:9" ht="16.8" x14ac:dyDescent="0.25">
      <c r="A55" s="310" t="s">
        <v>153</v>
      </c>
      <c r="B55" s="311"/>
      <c r="C55" s="311"/>
      <c r="D55" s="311"/>
      <c r="E55" s="311"/>
      <c r="F55" s="311"/>
      <c r="G55" s="311"/>
      <c r="H55" s="311"/>
      <c r="I55" s="312"/>
    </row>
    <row r="56" spans="1:9" x14ac:dyDescent="0.25">
      <c r="A56" s="313"/>
      <c r="B56" s="314"/>
      <c r="C56" s="314"/>
      <c r="D56" s="314"/>
      <c r="E56" s="314"/>
      <c r="F56" s="314"/>
      <c r="G56" s="314"/>
      <c r="H56" s="314"/>
      <c r="I56" s="314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7:I47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6:I46"/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B15C-A147-40CF-BD84-518993F7EB07}">
  <dimension ref="A2:L31"/>
  <sheetViews>
    <sheetView topLeftCell="A7" workbookViewId="0">
      <selection activeCell="L31" sqref="L31"/>
    </sheetView>
  </sheetViews>
  <sheetFormatPr baseColWidth="10" defaultRowHeight="13.2" x14ac:dyDescent="0.25"/>
  <cols>
    <col min="2" max="2" width="7.88671875" customWidth="1"/>
    <col min="3" max="3" width="27.109375" customWidth="1"/>
  </cols>
  <sheetData>
    <row r="2" spans="1:2" x14ac:dyDescent="0.25">
      <c r="A2" t="s">
        <v>161</v>
      </c>
    </row>
    <row r="3" spans="1:2" x14ac:dyDescent="0.25">
      <c r="A3" t="s">
        <v>162</v>
      </c>
      <c r="B3" t="s">
        <v>163</v>
      </c>
    </row>
    <row r="4" spans="1:2" x14ac:dyDescent="0.25">
      <c r="A4" t="s">
        <v>164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170</v>
      </c>
      <c r="B7" t="s">
        <v>171</v>
      </c>
    </row>
    <row r="8" spans="1:2" x14ac:dyDescent="0.25">
      <c r="A8" t="s">
        <v>172</v>
      </c>
      <c r="B8" t="s">
        <v>173</v>
      </c>
    </row>
    <row r="9" spans="1:2" x14ac:dyDescent="0.25">
      <c r="A9" t="s">
        <v>174</v>
      </c>
      <c r="B9" t="s">
        <v>175</v>
      </c>
    </row>
    <row r="10" spans="1:2" x14ac:dyDescent="0.25">
      <c r="A10" t="s">
        <v>176</v>
      </c>
      <c r="B10" t="s">
        <v>177</v>
      </c>
    </row>
    <row r="11" spans="1:2" x14ac:dyDescent="0.25">
      <c r="A11" t="s">
        <v>178</v>
      </c>
      <c r="B11" t="s">
        <v>179</v>
      </c>
    </row>
    <row r="12" spans="1:2" x14ac:dyDescent="0.25">
      <c r="A12" t="s">
        <v>180</v>
      </c>
      <c r="B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  <c r="B14" t="s">
        <v>185</v>
      </c>
    </row>
    <row r="17" spans="1:12" x14ac:dyDescent="0.25">
      <c r="A17" t="s">
        <v>186</v>
      </c>
      <c r="B17" t="s">
        <v>187</v>
      </c>
    </row>
    <row r="18" spans="1:12" x14ac:dyDescent="0.25">
      <c r="A18" t="s">
        <v>188</v>
      </c>
      <c r="B18" t="s">
        <v>189</v>
      </c>
    </row>
    <row r="20" spans="1:12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46</v>
      </c>
      <c r="J20" t="s">
        <v>43</v>
      </c>
      <c r="K20" t="s">
        <v>105</v>
      </c>
      <c r="L20" t="s">
        <v>105</v>
      </c>
    </row>
    <row r="21" spans="1:12" x14ac:dyDescent="0.25">
      <c r="A21" t="s">
        <v>198</v>
      </c>
      <c r="B21" t="s">
        <v>181</v>
      </c>
      <c r="C21" t="s">
        <v>199</v>
      </c>
      <c r="D21" t="s">
        <v>200</v>
      </c>
      <c r="E21" t="s">
        <v>201</v>
      </c>
      <c r="F21" t="s">
        <v>200</v>
      </c>
      <c r="G21" t="s">
        <v>200</v>
      </c>
      <c r="H21" t="s">
        <v>200</v>
      </c>
      <c r="I21" t="s">
        <v>202</v>
      </c>
      <c r="J21" t="s">
        <v>43</v>
      </c>
      <c r="K21" t="s">
        <v>203</v>
      </c>
      <c r="L21">
        <v>311.08</v>
      </c>
    </row>
    <row r="22" spans="1:12" x14ac:dyDescent="0.25">
      <c r="A22" t="s">
        <v>204</v>
      </c>
      <c r="B22" t="s">
        <v>181</v>
      </c>
      <c r="C22" t="s">
        <v>205</v>
      </c>
      <c r="D22" t="s">
        <v>200</v>
      </c>
      <c r="E22" t="s">
        <v>201</v>
      </c>
      <c r="F22" t="s">
        <v>200</v>
      </c>
      <c r="G22" t="s">
        <v>200</v>
      </c>
      <c r="H22" t="s">
        <v>200</v>
      </c>
      <c r="I22" t="s">
        <v>206</v>
      </c>
      <c r="J22" t="s">
        <v>43</v>
      </c>
      <c r="K22" t="s">
        <v>207</v>
      </c>
      <c r="L22">
        <v>335.32</v>
      </c>
    </row>
    <row r="23" spans="1:12" x14ac:dyDescent="0.25">
      <c r="A23" t="s">
        <v>131</v>
      </c>
      <c r="B23" t="s">
        <v>181</v>
      </c>
      <c r="C23" t="s">
        <v>208</v>
      </c>
      <c r="D23" t="s">
        <v>209</v>
      </c>
      <c r="E23" t="s">
        <v>201</v>
      </c>
      <c r="F23" t="s">
        <v>209</v>
      </c>
      <c r="G23" t="s">
        <v>209</v>
      </c>
      <c r="H23" t="s">
        <v>209</v>
      </c>
      <c r="I23" t="s">
        <v>210</v>
      </c>
      <c r="J23" t="s">
        <v>43</v>
      </c>
      <c r="K23" t="s">
        <v>211</v>
      </c>
      <c r="L23">
        <v>46.22</v>
      </c>
    </row>
    <row r="24" spans="1:12" x14ac:dyDescent="0.25">
      <c r="A24" t="s">
        <v>132</v>
      </c>
      <c r="B24" t="s">
        <v>181</v>
      </c>
      <c r="C24" t="s">
        <v>212</v>
      </c>
      <c r="D24" t="s">
        <v>181</v>
      </c>
      <c r="E24" t="s">
        <v>201</v>
      </c>
      <c r="F24" t="s">
        <v>181</v>
      </c>
      <c r="G24" t="s">
        <v>181</v>
      </c>
      <c r="H24" t="s">
        <v>181</v>
      </c>
      <c r="I24" t="s">
        <v>213</v>
      </c>
      <c r="J24" t="s">
        <v>43</v>
      </c>
      <c r="K24" t="s">
        <v>213</v>
      </c>
      <c r="L24">
        <v>140.22</v>
      </c>
    </row>
    <row r="25" spans="1:12" x14ac:dyDescent="0.25">
      <c r="A25" t="s">
        <v>133</v>
      </c>
      <c r="B25" t="s">
        <v>181</v>
      </c>
      <c r="C25" t="s">
        <v>214</v>
      </c>
      <c r="D25" t="s">
        <v>181</v>
      </c>
      <c r="E25" t="s">
        <v>201</v>
      </c>
      <c r="F25" t="s">
        <v>181</v>
      </c>
      <c r="G25" t="s">
        <v>181</v>
      </c>
      <c r="H25" t="s">
        <v>181</v>
      </c>
      <c r="I25" t="s">
        <v>215</v>
      </c>
      <c r="J25" t="s">
        <v>43</v>
      </c>
      <c r="K25" t="s">
        <v>216</v>
      </c>
      <c r="L25">
        <v>13.45</v>
      </c>
    </row>
    <row r="26" spans="1:12" x14ac:dyDescent="0.25">
      <c r="A26" t="s">
        <v>134</v>
      </c>
      <c r="B26" t="s">
        <v>181</v>
      </c>
      <c r="C26" t="s">
        <v>217</v>
      </c>
      <c r="D26" t="s">
        <v>181</v>
      </c>
      <c r="E26" t="s">
        <v>201</v>
      </c>
      <c r="F26" t="s">
        <v>181</v>
      </c>
      <c r="G26" t="s">
        <v>181</v>
      </c>
      <c r="H26" t="s">
        <v>181</v>
      </c>
      <c r="I26" t="s">
        <v>218</v>
      </c>
      <c r="J26" t="s">
        <v>43</v>
      </c>
      <c r="K26" t="s">
        <v>219</v>
      </c>
      <c r="L26">
        <v>2.13</v>
      </c>
    </row>
    <row r="27" spans="1:12" x14ac:dyDescent="0.25">
      <c r="A27" t="s">
        <v>130</v>
      </c>
      <c r="B27" t="s">
        <v>181</v>
      </c>
      <c r="C27" t="s">
        <v>220</v>
      </c>
      <c r="D27" t="s">
        <v>221</v>
      </c>
      <c r="E27" t="s">
        <v>201</v>
      </c>
      <c r="F27" t="s">
        <v>221</v>
      </c>
      <c r="G27" t="s">
        <v>221</v>
      </c>
      <c r="H27" t="s">
        <v>221</v>
      </c>
      <c r="I27" t="s">
        <v>222</v>
      </c>
      <c r="J27" t="s">
        <v>223</v>
      </c>
      <c r="K27" t="s">
        <v>224</v>
      </c>
      <c r="L27">
        <v>62.77</v>
      </c>
    </row>
    <row r="28" spans="1:12" x14ac:dyDescent="0.25">
      <c r="A28" t="s">
        <v>129</v>
      </c>
      <c r="B28" t="s">
        <v>181</v>
      </c>
      <c r="C28" t="s">
        <v>225</v>
      </c>
      <c r="D28" t="s">
        <v>226</v>
      </c>
      <c r="E28" t="s">
        <v>201</v>
      </c>
      <c r="F28" t="s">
        <v>226</v>
      </c>
      <c r="G28" t="s">
        <v>226</v>
      </c>
      <c r="H28" t="s">
        <v>226</v>
      </c>
      <c r="I28" t="s">
        <v>227</v>
      </c>
      <c r="J28" t="s">
        <v>43</v>
      </c>
      <c r="K28" t="s">
        <v>228</v>
      </c>
      <c r="L28">
        <v>493.33</v>
      </c>
    </row>
    <row r="29" spans="1:12" x14ac:dyDescent="0.25">
      <c r="A29" t="s">
        <v>229</v>
      </c>
      <c r="B29" t="s">
        <v>181</v>
      </c>
      <c r="C29" t="s">
        <v>230</v>
      </c>
      <c r="D29" t="s">
        <v>221</v>
      </c>
      <c r="E29" t="s">
        <v>201</v>
      </c>
      <c r="F29" s="243" t="s">
        <v>239</v>
      </c>
      <c r="G29" s="243" t="s">
        <v>239</v>
      </c>
      <c r="H29" s="243" t="s">
        <v>239</v>
      </c>
      <c r="I29" t="s">
        <v>231</v>
      </c>
      <c r="J29" t="s">
        <v>223</v>
      </c>
      <c r="K29">
        <v>53.36</v>
      </c>
      <c r="L29">
        <v>53.36</v>
      </c>
    </row>
    <row r="30" spans="1:12" x14ac:dyDescent="0.25">
      <c r="L30" s="230">
        <f>SUM(L21:L29)</f>
        <v>1457.8799999999999</v>
      </c>
    </row>
    <row r="31" spans="1:12" x14ac:dyDescent="0.25">
      <c r="H31">
        <f>0.008*6670.11</f>
        <v>53.360880000000002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13EB-4F25-4755-A865-E462B8B5E639}">
  <sheetPr>
    <pageSetUpPr fitToPage="1"/>
  </sheetPr>
  <dimension ref="A1:K40"/>
  <sheetViews>
    <sheetView tabSelected="1" topLeftCell="A9" zoomScale="80" zoomScaleNormal="80" workbookViewId="0">
      <selection activeCell="B21" sqref="B21"/>
    </sheetView>
  </sheetViews>
  <sheetFormatPr baseColWidth="10" defaultRowHeight="13.2" x14ac:dyDescent="0.25"/>
  <cols>
    <col min="1" max="1" width="16.88671875" bestFit="1" customWidth="1"/>
    <col min="2" max="2" width="14" customWidth="1"/>
    <col min="3" max="3" width="60.88671875" customWidth="1"/>
    <col min="4" max="4" width="24.109375" bestFit="1" customWidth="1"/>
    <col min="5" max="5" width="16" customWidth="1"/>
    <col min="6" max="6" width="16.109375" customWidth="1"/>
    <col min="7" max="7" width="17.33203125" customWidth="1"/>
    <col min="8" max="8" width="21.109375" customWidth="1"/>
    <col min="9" max="9" width="21.5546875" bestFit="1" customWidth="1"/>
  </cols>
  <sheetData>
    <row r="1" spans="1:11" ht="17.399999999999999" x14ac:dyDescent="0.3">
      <c r="A1" s="365"/>
      <c r="B1" s="366"/>
      <c r="C1" s="371" t="s">
        <v>22</v>
      </c>
      <c r="D1" s="371"/>
      <c r="E1" s="371"/>
      <c r="F1" s="371"/>
      <c r="G1" s="371"/>
      <c r="H1" s="141" t="s">
        <v>21</v>
      </c>
      <c r="I1" s="142" t="s">
        <v>151</v>
      </c>
    </row>
    <row r="2" spans="1:11" ht="18" customHeight="1" thickBot="1" x14ac:dyDescent="0.35">
      <c r="A2" s="367"/>
      <c r="B2" s="368"/>
      <c r="C2" s="372" t="s">
        <v>0</v>
      </c>
      <c r="D2" s="373"/>
      <c r="E2" s="373"/>
      <c r="F2" s="373"/>
      <c r="G2" s="374"/>
      <c r="H2" s="143" t="s">
        <v>20</v>
      </c>
      <c r="I2" s="144" t="s">
        <v>246</v>
      </c>
    </row>
    <row r="3" spans="1:11" ht="31.5" customHeight="1" thickBot="1" x14ac:dyDescent="0.3">
      <c r="A3" s="367"/>
      <c r="B3" s="368"/>
      <c r="C3" s="381" t="s">
        <v>248</v>
      </c>
      <c r="D3" s="382"/>
      <c r="E3" s="382"/>
      <c r="F3" s="382"/>
      <c r="G3" s="383"/>
      <c r="H3" s="378" t="s">
        <v>19</v>
      </c>
      <c r="I3" s="359">
        <v>45613</v>
      </c>
    </row>
    <row r="4" spans="1:11" ht="18" customHeight="1" x14ac:dyDescent="0.25">
      <c r="A4" s="367"/>
      <c r="B4" s="368"/>
      <c r="C4" s="145" t="s">
        <v>18</v>
      </c>
      <c r="D4" s="362" t="s">
        <v>121</v>
      </c>
      <c r="E4" s="363"/>
      <c r="F4" s="363"/>
      <c r="G4" s="364"/>
      <c r="H4" s="379"/>
      <c r="I4" s="360"/>
    </row>
    <row r="5" spans="1:11" ht="17.399999999999999" thickBot="1" x14ac:dyDescent="0.3">
      <c r="A5" s="369"/>
      <c r="B5" s="370"/>
      <c r="C5" s="146" t="s">
        <v>17</v>
      </c>
      <c r="D5" s="310" t="s">
        <v>122</v>
      </c>
      <c r="E5" s="311"/>
      <c r="F5" s="311"/>
      <c r="G5" s="312"/>
      <c r="H5" s="380"/>
      <c r="I5" s="361"/>
    </row>
    <row r="6" spans="1:11" ht="18" thickBot="1" x14ac:dyDescent="0.35">
      <c r="A6" s="350" t="s">
        <v>23</v>
      </c>
      <c r="B6" s="350"/>
      <c r="C6" s="350"/>
      <c r="D6" s="351" t="s">
        <v>119</v>
      </c>
      <c r="E6" s="351"/>
      <c r="F6" s="351"/>
      <c r="G6" s="352" t="s">
        <v>24</v>
      </c>
      <c r="H6" s="352"/>
      <c r="I6" s="147" t="s">
        <v>119</v>
      </c>
    </row>
    <row r="7" spans="1:11" ht="34.799999999999997" x14ac:dyDescent="0.25">
      <c r="A7" s="353" t="s">
        <v>1</v>
      </c>
      <c r="B7" s="355" t="s">
        <v>139</v>
      </c>
      <c r="C7" s="357" t="s">
        <v>2</v>
      </c>
      <c r="D7" s="357" t="s">
        <v>3</v>
      </c>
      <c r="E7" s="357" t="s">
        <v>4</v>
      </c>
      <c r="F7" s="357"/>
      <c r="G7" s="357" t="s">
        <v>16</v>
      </c>
      <c r="H7" s="357"/>
      <c r="I7" s="148" t="s">
        <v>5</v>
      </c>
    </row>
    <row r="8" spans="1:11" ht="35.4" thickBot="1" x14ac:dyDescent="0.35">
      <c r="A8" s="354"/>
      <c r="B8" s="356"/>
      <c r="C8" s="358"/>
      <c r="D8" s="358"/>
      <c r="E8" s="149" t="s">
        <v>6</v>
      </c>
      <c r="F8" s="150" t="s">
        <v>7</v>
      </c>
      <c r="G8" s="149" t="s">
        <v>6</v>
      </c>
      <c r="H8" s="150" t="s">
        <v>7</v>
      </c>
      <c r="I8" s="151" t="s">
        <v>8</v>
      </c>
    </row>
    <row r="9" spans="1:11" ht="18.45" customHeight="1" x14ac:dyDescent="0.4">
      <c r="A9" s="247"/>
      <c r="B9" s="248"/>
      <c r="C9" s="249" t="s">
        <v>27</v>
      </c>
      <c r="D9" s="250"/>
      <c r="E9" s="251"/>
      <c r="F9" s="252"/>
      <c r="G9" s="251"/>
      <c r="H9" s="252"/>
      <c r="I9" s="253"/>
    </row>
    <row r="10" spans="1:11" ht="20.399999999999999" x14ac:dyDescent="0.35">
      <c r="A10" s="254">
        <v>903000025</v>
      </c>
      <c r="B10" s="254" t="s">
        <v>129</v>
      </c>
      <c r="C10" s="255" t="s">
        <v>120</v>
      </c>
      <c r="D10" s="256" t="s">
        <v>123</v>
      </c>
      <c r="E10" s="257">
        <v>1</v>
      </c>
      <c r="F10" s="258" t="s">
        <v>34</v>
      </c>
      <c r="G10" s="259"/>
      <c r="H10" s="260"/>
      <c r="I10" s="253"/>
      <c r="J10">
        <f>1/6</f>
        <v>0.16666666666666666</v>
      </c>
    </row>
    <row r="11" spans="1:11" ht="20.399999999999999" x14ac:dyDescent="0.35">
      <c r="A11" s="261"/>
      <c r="B11" s="261"/>
      <c r="C11" s="262"/>
      <c r="D11" s="256"/>
      <c r="E11" s="257"/>
      <c r="F11" s="258"/>
      <c r="G11" s="259"/>
      <c r="H11" s="260"/>
      <c r="I11" s="253"/>
    </row>
    <row r="12" spans="1:11" ht="20.399999999999999" x14ac:dyDescent="0.35">
      <c r="A12" s="254">
        <v>908000045</v>
      </c>
      <c r="B12" s="254" t="s">
        <v>130</v>
      </c>
      <c r="C12" s="263" t="s">
        <v>128</v>
      </c>
      <c r="D12" s="256" t="s">
        <v>123</v>
      </c>
      <c r="E12" s="257">
        <v>96</v>
      </c>
      <c r="F12" s="258" t="s">
        <v>26</v>
      </c>
      <c r="G12" s="254"/>
      <c r="H12" s="260" t="s">
        <v>155</v>
      </c>
      <c r="I12" s="253"/>
      <c r="J12">
        <f>+E12/6</f>
        <v>16</v>
      </c>
      <c r="K12">
        <f>+J12/1000</f>
        <v>1.6E-2</v>
      </c>
    </row>
    <row r="13" spans="1:11" ht="20.399999999999999" x14ac:dyDescent="0.35">
      <c r="A13" s="254"/>
      <c r="B13" s="254" t="s">
        <v>156</v>
      </c>
      <c r="C13" s="264" t="s">
        <v>157</v>
      </c>
      <c r="D13" s="265" t="s">
        <v>123</v>
      </c>
      <c r="E13" s="266">
        <v>48</v>
      </c>
      <c r="F13" s="267" t="s">
        <v>26</v>
      </c>
      <c r="G13" s="254"/>
      <c r="H13" s="260" t="s">
        <v>152</v>
      </c>
      <c r="I13" s="253"/>
      <c r="J13">
        <f>+E13/6</f>
        <v>8</v>
      </c>
      <c r="K13">
        <f>+J13/1000</f>
        <v>8.0000000000000002E-3</v>
      </c>
    </row>
    <row r="14" spans="1:11" ht="20.399999999999999" x14ac:dyDescent="0.35">
      <c r="A14" s="254"/>
      <c r="B14" s="254"/>
      <c r="C14" s="264"/>
      <c r="D14" s="265"/>
      <c r="E14" s="266"/>
      <c r="F14" s="267"/>
      <c r="G14" s="254"/>
      <c r="H14" s="260"/>
      <c r="I14" s="253"/>
    </row>
    <row r="15" spans="1:11" ht="21" x14ac:dyDescent="0.4">
      <c r="A15" s="268"/>
      <c r="B15" s="268"/>
      <c r="C15" s="269" t="s">
        <v>140</v>
      </c>
      <c r="D15" s="266"/>
      <c r="E15" s="270"/>
      <c r="F15" s="267"/>
      <c r="G15" s="251"/>
      <c r="H15" s="252"/>
      <c r="I15" s="253"/>
    </row>
    <row r="16" spans="1:11" ht="21" x14ac:dyDescent="0.4">
      <c r="A16" s="254"/>
      <c r="B16" s="254"/>
      <c r="C16" s="263"/>
      <c r="D16" s="272"/>
      <c r="E16" s="274"/>
      <c r="F16" s="275"/>
      <c r="G16" s="251"/>
      <c r="H16" s="252"/>
      <c r="I16" s="253"/>
    </row>
    <row r="17" spans="1:10" ht="21" x14ac:dyDescent="0.4">
      <c r="A17" s="276"/>
      <c r="B17" s="277"/>
      <c r="C17" s="278" t="s">
        <v>30</v>
      </c>
      <c r="D17" s="279"/>
      <c r="E17" s="280"/>
      <c r="F17" s="252"/>
      <c r="G17" s="251"/>
      <c r="H17" s="271"/>
      <c r="I17" s="253"/>
    </row>
    <row r="18" spans="1:10" ht="21" x14ac:dyDescent="0.4">
      <c r="A18" s="281">
        <v>50600003</v>
      </c>
      <c r="B18" s="281" t="s">
        <v>131</v>
      </c>
      <c r="C18" s="282" t="s">
        <v>124</v>
      </c>
      <c r="D18" s="254" t="s">
        <v>141</v>
      </c>
      <c r="E18" s="274">
        <v>24</v>
      </c>
      <c r="F18" s="275" t="s">
        <v>34</v>
      </c>
      <c r="G18" s="283"/>
      <c r="H18" s="252"/>
      <c r="I18" s="253"/>
      <c r="J18">
        <f>+E18/$D$29</f>
        <v>4</v>
      </c>
    </row>
    <row r="19" spans="1:10" ht="21" x14ac:dyDescent="0.4">
      <c r="A19" s="284">
        <v>1950909</v>
      </c>
      <c r="B19" s="284" t="s">
        <v>132</v>
      </c>
      <c r="C19" s="285" t="s">
        <v>125</v>
      </c>
      <c r="D19" s="254" t="s">
        <v>142</v>
      </c>
      <c r="E19" s="274">
        <v>6</v>
      </c>
      <c r="F19" s="275" t="s">
        <v>34</v>
      </c>
      <c r="G19" s="283"/>
      <c r="H19" s="252"/>
      <c r="I19" s="253"/>
      <c r="J19">
        <f t="shared" ref="J19:J23" si="0">+E19/$D$29</f>
        <v>1</v>
      </c>
    </row>
    <row r="20" spans="1:10" ht="21" x14ac:dyDescent="0.4">
      <c r="A20" s="254">
        <v>702069</v>
      </c>
      <c r="B20" s="254" t="s">
        <v>135</v>
      </c>
      <c r="C20" s="263" t="s">
        <v>143</v>
      </c>
      <c r="D20" s="272" t="s">
        <v>144</v>
      </c>
      <c r="E20" s="274">
        <v>6</v>
      </c>
      <c r="F20" s="254" t="s">
        <v>34</v>
      </c>
      <c r="G20" s="283"/>
      <c r="H20" s="252"/>
      <c r="I20" s="253"/>
      <c r="J20">
        <f t="shared" si="0"/>
        <v>1</v>
      </c>
    </row>
    <row r="21" spans="1:10" ht="21" x14ac:dyDescent="0.4">
      <c r="A21" s="286">
        <v>702077</v>
      </c>
      <c r="B21" s="286" t="s">
        <v>133</v>
      </c>
      <c r="C21" s="287" t="s">
        <v>126</v>
      </c>
      <c r="D21" s="254" t="s">
        <v>145</v>
      </c>
      <c r="E21" s="274">
        <v>6</v>
      </c>
      <c r="F21" s="275" t="s">
        <v>34</v>
      </c>
      <c r="G21" s="251"/>
      <c r="H21" s="252"/>
      <c r="I21" s="253"/>
      <c r="J21">
        <f t="shared" si="0"/>
        <v>1</v>
      </c>
    </row>
    <row r="22" spans="1:10" ht="21" x14ac:dyDescent="0.4">
      <c r="A22" s="286">
        <v>702123</v>
      </c>
      <c r="B22" s="286" t="s">
        <v>134</v>
      </c>
      <c r="C22" s="287" t="s">
        <v>36</v>
      </c>
      <c r="D22" s="254" t="s">
        <v>144</v>
      </c>
      <c r="E22" s="274">
        <v>6</v>
      </c>
      <c r="F22" s="275" t="s">
        <v>34</v>
      </c>
      <c r="G22" s="251"/>
      <c r="H22" s="252"/>
      <c r="I22" s="253"/>
      <c r="J22">
        <f t="shared" si="0"/>
        <v>1</v>
      </c>
    </row>
    <row r="23" spans="1:10" ht="21" x14ac:dyDescent="0.4">
      <c r="A23" s="286">
        <v>701096</v>
      </c>
      <c r="B23" s="286" t="s">
        <v>136</v>
      </c>
      <c r="C23" s="287" t="s">
        <v>146</v>
      </c>
      <c r="D23" s="254" t="s">
        <v>144</v>
      </c>
      <c r="E23" s="274">
        <v>6</v>
      </c>
      <c r="F23" s="275" t="s">
        <v>34</v>
      </c>
      <c r="G23" s="288"/>
      <c r="H23" s="252"/>
      <c r="I23" s="253"/>
      <c r="J23">
        <f t="shared" si="0"/>
        <v>1</v>
      </c>
    </row>
    <row r="24" spans="1:10" ht="20.399999999999999" x14ac:dyDescent="0.35">
      <c r="A24" s="289"/>
      <c r="B24" s="290"/>
      <c r="C24" s="291"/>
      <c r="D24" s="266"/>
      <c r="E24" s="266"/>
      <c r="F24" s="267"/>
      <c r="G24" s="266"/>
      <c r="H24" s="266"/>
      <c r="I24" s="253"/>
    </row>
    <row r="25" spans="1:10" ht="21" thickBot="1" x14ac:dyDescent="0.4">
      <c r="A25" s="292"/>
      <c r="B25" s="293"/>
      <c r="C25" s="294"/>
      <c r="D25" s="294"/>
      <c r="E25" s="295"/>
      <c r="F25" s="296"/>
      <c r="G25" s="294"/>
      <c r="H25" s="294"/>
      <c r="I25" s="297"/>
    </row>
    <row r="26" spans="1:10" ht="21.6" thickBot="1" x14ac:dyDescent="0.45">
      <c r="A26" s="298"/>
      <c r="B26" s="299"/>
      <c r="C26" s="300"/>
      <c r="D26" s="301" t="s">
        <v>6</v>
      </c>
      <c r="E26" s="302" t="s">
        <v>15</v>
      </c>
      <c r="F26" s="303"/>
      <c r="G26" s="300"/>
      <c r="H26" s="300"/>
      <c r="I26" s="304"/>
    </row>
    <row r="27" spans="1:10" ht="21" x14ac:dyDescent="0.4">
      <c r="A27" s="384" t="s">
        <v>10</v>
      </c>
      <c r="B27" s="385"/>
      <c r="C27" s="386"/>
      <c r="D27" s="273">
        <v>1890</v>
      </c>
      <c r="E27" s="305" t="s">
        <v>26</v>
      </c>
      <c r="F27" s="387" t="s">
        <v>147</v>
      </c>
      <c r="G27" s="387"/>
      <c r="H27" s="388"/>
      <c r="I27" s="389"/>
    </row>
    <row r="28" spans="1:10" ht="21" x14ac:dyDescent="0.4">
      <c r="A28" s="390" t="s">
        <v>9</v>
      </c>
      <c r="B28" s="391"/>
      <c r="C28" s="392"/>
      <c r="D28" s="274">
        <v>20</v>
      </c>
      <c r="E28" s="254" t="s">
        <v>33</v>
      </c>
      <c r="F28" s="393" t="s">
        <v>148</v>
      </c>
      <c r="G28" s="393"/>
      <c r="H28" s="394"/>
      <c r="I28" s="395"/>
    </row>
    <row r="29" spans="1:10" ht="21" x14ac:dyDescent="0.4">
      <c r="A29" s="390" t="s">
        <v>14</v>
      </c>
      <c r="B29" s="391"/>
      <c r="C29" s="392"/>
      <c r="D29" s="254">
        <v>6</v>
      </c>
      <c r="E29" s="254" t="s">
        <v>34</v>
      </c>
      <c r="F29" s="393" t="s">
        <v>149</v>
      </c>
      <c r="G29" s="393"/>
      <c r="H29" s="394"/>
      <c r="I29" s="395"/>
    </row>
    <row r="30" spans="1:10" ht="21" x14ac:dyDescent="0.4">
      <c r="A30" s="390" t="s">
        <v>13</v>
      </c>
      <c r="B30" s="391"/>
      <c r="C30" s="392"/>
      <c r="D30" s="274">
        <v>315</v>
      </c>
      <c r="E30" s="254" t="s">
        <v>26</v>
      </c>
      <c r="F30" s="397" t="s">
        <v>150</v>
      </c>
      <c r="G30" s="398"/>
      <c r="H30" s="399"/>
      <c r="I30" s="400"/>
    </row>
    <row r="31" spans="1:10" ht="21.6" thickBot="1" x14ac:dyDescent="0.45">
      <c r="A31" s="401" t="s">
        <v>12</v>
      </c>
      <c r="B31" s="402"/>
      <c r="C31" s="403"/>
      <c r="D31" s="306">
        <v>4</v>
      </c>
      <c r="E31" s="307" t="s">
        <v>26</v>
      </c>
      <c r="F31" s="404"/>
      <c r="G31" s="404"/>
      <c r="H31" s="394"/>
      <c r="I31" s="395"/>
    </row>
    <row r="32" spans="1:10" ht="21.6" thickBot="1" x14ac:dyDescent="0.45">
      <c r="A32" s="405" t="s">
        <v>11</v>
      </c>
      <c r="B32" s="406"/>
      <c r="C32" s="406"/>
      <c r="D32" s="406"/>
      <c r="E32" s="406"/>
      <c r="F32" s="406"/>
      <c r="G32" s="406"/>
      <c r="H32" s="406"/>
      <c r="I32" s="407"/>
    </row>
    <row r="33" spans="1:9" ht="20.399999999999999" x14ac:dyDescent="0.35">
      <c r="A33" s="409" t="s">
        <v>158</v>
      </c>
      <c r="B33" s="409"/>
      <c r="C33" s="409"/>
      <c r="D33" s="409"/>
      <c r="E33" s="409"/>
      <c r="F33" s="409"/>
      <c r="G33" s="409"/>
      <c r="H33" s="409"/>
      <c r="I33" s="409"/>
    </row>
    <row r="34" spans="1:9" ht="46.5" customHeight="1" x14ac:dyDescent="0.35">
      <c r="A34" s="408" t="s">
        <v>247</v>
      </c>
      <c r="B34" s="396"/>
      <c r="C34" s="396"/>
      <c r="D34" s="396"/>
      <c r="E34" s="396"/>
      <c r="F34" s="396"/>
      <c r="G34" s="396"/>
      <c r="H34" s="396"/>
      <c r="I34" s="396"/>
    </row>
    <row r="35" spans="1:9" ht="20.399999999999999" x14ac:dyDescent="0.35">
      <c r="A35" s="396" t="s">
        <v>159</v>
      </c>
      <c r="B35" s="396"/>
      <c r="C35" s="396"/>
      <c r="D35" s="396"/>
      <c r="E35" s="396"/>
      <c r="F35" s="396"/>
      <c r="G35" s="396"/>
      <c r="H35" s="396"/>
      <c r="I35" s="396"/>
    </row>
    <row r="36" spans="1:9" ht="20.399999999999999" x14ac:dyDescent="0.35">
      <c r="A36" s="396" t="s">
        <v>137</v>
      </c>
      <c r="B36" s="396"/>
      <c r="C36" s="396"/>
      <c r="D36" s="396"/>
      <c r="E36" s="396"/>
      <c r="F36" s="396"/>
      <c r="G36" s="396"/>
      <c r="H36" s="396"/>
      <c r="I36" s="396"/>
    </row>
    <row r="37" spans="1:9" ht="21.6" thickBot="1" x14ac:dyDescent="0.45">
      <c r="A37" s="415"/>
      <c r="B37" s="416"/>
      <c r="C37" s="416"/>
      <c r="D37" s="416"/>
      <c r="E37" s="416"/>
      <c r="F37" s="416"/>
      <c r="G37" s="416"/>
      <c r="H37" s="416"/>
      <c r="I37" s="417"/>
    </row>
    <row r="38" spans="1:9" ht="21" x14ac:dyDescent="0.4">
      <c r="A38" s="410" t="s">
        <v>127</v>
      </c>
      <c r="B38" s="411"/>
      <c r="C38" s="411"/>
      <c r="D38" s="411"/>
      <c r="E38" s="411"/>
      <c r="F38" s="411"/>
      <c r="G38" s="411"/>
      <c r="H38" s="411"/>
      <c r="I38" s="411"/>
    </row>
    <row r="39" spans="1:9" ht="20.399999999999999" x14ac:dyDescent="0.35">
      <c r="A39" s="412" t="s">
        <v>153</v>
      </c>
      <c r="B39" s="413"/>
      <c r="C39" s="413"/>
      <c r="D39" s="413"/>
      <c r="E39" s="413"/>
      <c r="F39" s="413"/>
      <c r="G39" s="413"/>
      <c r="H39" s="413"/>
      <c r="I39" s="414"/>
    </row>
    <row r="40" spans="1:9" ht="20.399999999999999" x14ac:dyDescent="0.35">
      <c r="A40" s="412" t="s">
        <v>160</v>
      </c>
      <c r="B40" s="413"/>
      <c r="C40" s="413"/>
      <c r="D40" s="413"/>
      <c r="E40" s="413"/>
      <c r="F40" s="413"/>
      <c r="G40" s="413"/>
      <c r="H40" s="413"/>
      <c r="I40" s="414"/>
    </row>
  </sheetData>
  <mergeCells count="41">
    <mergeCell ref="A38:I38"/>
    <mergeCell ref="A39:I39"/>
    <mergeCell ref="A40:I40"/>
    <mergeCell ref="A36:I36"/>
    <mergeCell ref="A37:I37"/>
    <mergeCell ref="A35:I35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4:I34"/>
    <mergeCell ref="A33:I33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A1C2-B08B-458C-9624-690C2A7435F8}">
  <dimension ref="A2:L31"/>
  <sheetViews>
    <sheetView topLeftCell="A10" workbookViewId="0">
      <selection activeCell="G33" sqref="G33"/>
    </sheetView>
  </sheetViews>
  <sheetFormatPr baseColWidth="10" defaultRowHeight="13.2" x14ac:dyDescent="0.25"/>
  <cols>
    <col min="2" max="2" width="7.88671875" customWidth="1"/>
    <col min="3" max="3" width="27.109375" customWidth="1"/>
  </cols>
  <sheetData>
    <row r="2" spans="1:2" x14ac:dyDescent="0.25">
      <c r="A2" t="s">
        <v>161</v>
      </c>
    </row>
    <row r="3" spans="1:2" x14ac:dyDescent="0.25">
      <c r="A3" t="s">
        <v>162</v>
      </c>
      <c r="B3" t="s">
        <v>163</v>
      </c>
    </row>
    <row r="4" spans="1:2" x14ac:dyDescent="0.25">
      <c r="A4" t="s">
        <v>164</v>
      </c>
      <c r="B4" s="243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170</v>
      </c>
      <c r="B7" t="s">
        <v>171</v>
      </c>
    </row>
    <row r="8" spans="1:2" x14ac:dyDescent="0.25">
      <c r="A8" t="s">
        <v>172</v>
      </c>
      <c r="B8" t="s">
        <v>173</v>
      </c>
    </row>
    <row r="9" spans="1:2" x14ac:dyDescent="0.25">
      <c r="A9" t="s">
        <v>174</v>
      </c>
      <c r="B9" t="s">
        <v>175</v>
      </c>
    </row>
    <row r="10" spans="1:2" x14ac:dyDescent="0.25">
      <c r="A10" t="s">
        <v>176</v>
      </c>
      <c r="B10" t="s">
        <v>177</v>
      </c>
    </row>
    <row r="11" spans="1:2" x14ac:dyDescent="0.25">
      <c r="A11" t="s">
        <v>178</v>
      </c>
      <c r="B11" t="s">
        <v>179</v>
      </c>
    </row>
    <row r="12" spans="1:2" x14ac:dyDescent="0.25">
      <c r="A12" t="s">
        <v>180</v>
      </c>
      <c r="B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  <c r="B14" t="s">
        <v>185</v>
      </c>
    </row>
    <row r="17" spans="1:12" x14ac:dyDescent="0.25">
      <c r="A17" t="s">
        <v>186</v>
      </c>
      <c r="B17" t="s">
        <v>187</v>
      </c>
    </row>
    <row r="18" spans="1:12" x14ac:dyDescent="0.25">
      <c r="A18" t="s">
        <v>188</v>
      </c>
      <c r="B18" t="s">
        <v>189</v>
      </c>
    </row>
    <row r="20" spans="1:12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46</v>
      </c>
      <c r="J20" t="s">
        <v>43</v>
      </c>
      <c r="K20" t="s">
        <v>105</v>
      </c>
      <c r="L20" t="s">
        <v>105</v>
      </c>
    </row>
    <row r="21" spans="1:12" x14ac:dyDescent="0.25">
      <c r="A21" t="s">
        <v>198</v>
      </c>
      <c r="B21" t="s">
        <v>181</v>
      </c>
      <c r="C21" t="s">
        <v>199</v>
      </c>
      <c r="D21" t="s">
        <v>200</v>
      </c>
      <c r="E21" t="s">
        <v>201</v>
      </c>
      <c r="F21" t="s">
        <v>200</v>
      </c>
      <c r="G21" t="s">
        <v>200</v>
      </c>
      <c r="H21" t="s">
        <v>200</v>
      </c>
      <c r="I21" t="s">
        <v>202</v>
      </c>
      <c r="J21" t="s">
        <v>43</v>
      </c>
      <c r="K21" t="s">
        <v>203</v>
      </c>
      <c r="L21">
        <v>311.08</v>
      </c>
    </row>
    <row r="22" spans="1:12" x14ac:dyDescent="0.25">
      <c r="A22" t="s">
        <v>204</v>
      </c>
      <c r="B22" t="s">
        <v>181</v>
      </c>
      <c r="C22" t="s">
        <v>205</v>
      </c>
      <c r="D22" t="s">
        <v>200</v>
      </c>
      <c r="E22" t="s">
        <v>201</v>
      </c>
      <c r="F22" t="s">
        <v>200</v>
      </c>
      <c r="G22" t="s">
        <v>200</v>
      </c>
      <c r="H22" t="s">
        <v>200</v>
      </c>
      <c r="I22" t="s">
        <v>206</v>
      </c>
      <c r="J22" t="s">
        <v>43</v>
      </c>
      <c r="K22" t="s">
        <v>207</v>
      </c>
      <c r="L22">
        <v>335.32</v>
      </c>
    </row>
    <row r="23" spans="1:12" x14ac:dyDescent="0.25">
      <c r="A23" t="s">
        <v>131</v>
      </c>
      <c r="B23" t="s">
        <v>181</v>
      </c>
      <c r="C23" t="s">
        <v>208</v>
      </c>
      <c r="D23" t="s">
        <v>209</v>
      </c>
      <c r="E23" t="s">
        <v>201</v>
      </c>
      <c r="F23" t="s">
        <v>209</v>
      </c>
      <c r="G23" t="s">
        <v>209</v>
      </c>
      <c r="H23" t="s">
        <v>209</v>
      </c>
      <c r="I23" t="s">
        <v>210</v>
      </c>
      <c r="J23" t="s">
        <v>43</v>
      </c>
      <c r="K23" t="s">
        <v>211</v>
      </c>
      <c r="L23">
        <v>46.22</v>
      </c>
    </row>
    <row r="24" spans="1:12" x14ac:dyDescent="0.25">
      <c r="A24" t="s">
        <v>132</v>
      </c>
      <c r="B24" t="s">
        <v>181</v>
      </c>
      <c r="C24" t="s">
        <v>212</v>
      </c>
      <c r="D24" t="s">
        <v>181</v>
      </c>
      <c r="E24" t="s">
        <v>201</v>
      </c>
      <c r="F24" t="s">
        <v>181</v>
      </c>
      <c r="G24" t="s">
        <v>181</v>
      </c>
      <c r="H24" t="s">
        <v>181</v>
      </c>
      <c r="I24" t="s">
        <v>213</v>
      </c>
      <c r="J24" t="s">
        <v>43</v>
      </c>
      <c r="K24" t="s">
        <v>213</v>
      </c>
      <c r="L24">
        <v>140.22</v>
      </c>
    </row>
    <row r="25" spans="1:12" x14ac:dyDescent="0.25">
      <c r="A25" t="s">
        <v>133</v>
      </c>
      <c r="B25" t="s">
        <v>181</v>
      </c>
      <c r="C25" t="s">
        <v>214</v>
      </c>
      <c r="D25" t="s">
        <v>181</v>
      </c>
      <c r="E25" t="s">
        <v>201</v>
      </c>
      <c r="F25" t="s">
        <v>181</v>
      </c>
      <c r="G25" t="s">
        <v>181</v>
      </c>
      <c r="H25" t="s">
        <v>181</v>
      </c>
      <c r="I25" t="s">
        <v>215</v>
      </c>
      <c r="J25" t="s">
        <v>43</v>
      </c>
      <c r="K25" t="s">
        <v>216</v>
      </c>
      <c r="L25">
        <v>13.45</v>
      </c>
    </row>
    <row r="26" spans="1:12" x14ac:dyDescent="0.25">
      <c r="A26" t="s">
        <v>134</v>
      </c>
      <c r="B26" t="s">
        <v>181</v>
      </c>
      <c r="C26" t="s">
        <v>217</v>
      </c>
      <c r="D26" t="s">
        <v>181</v>
      </c>
      <c r="E26" t="s">
        <v>201</v>
      </c>
      <c r="F26" t="s">
        <v>181</v>
      </c>
      <c r="G26" t="s">
        <v>181</v>
      </c>
      <c r="H26" t="s">
        <v>181</v>
      </c>
      <c r="I26" t="s">
        <v>218</v>
      </c>
      <c r="J26" t="s">
        <v>43</v>
      </c>
      <c r="K26" t="s">
        <v>219</v>
      </c>
      <c r="L26">
        <v>2.13</v>
      </c>
    </row>
    <row r="27" spans="1:12" x14ac:dyDescent="0.25">
      <c r="A27" s="242" t="s">
        <v>130</v>
      </c>
      <c r="B27" s="242" t="s">
        <v>181</v>
      </c>
      <c r="C27" s="242" t="s">
        <v>220</v>
      </c>
      <c r="D27" s="242" t="s">
        <v>221</v>
      </c>
      <c r="E27" s="242" t="s">
        <v>201</v>
      </c>
      <c r="F27" s="242" t="s">
        <v>221</v>
      </c>
      <c r="G27" t="s">
        <v>221</v>
      </c>
      <c r="H27" t="s">
        <v>221</v>
      </c>
      <c r="I27" t="s">
        <v>222</v>
      </c>
      <c r="J27" t="s">
        <v>223</v>
      </c>
      <c r="K27" t="s">
        <v>224</v>
      </c>
      <c r="L27">
        <v>62.77</v>
      </c>
    </row>
    <row r="28" spans="1:12" x14ac:dyDescent="0.25">
      <c r="A28" s="242" t="s">
        <v>129</v>
      </c>
      <c r="B28" s="242" t="s">
        <v>181</v>
      </c>
      <c r="C28" s="242" t="s">
        <v>225</v>
      </c>
      <c r="D28" s="242" t="s">
        <v>226</v>
      </c>
      <c r="E28" s="242" t="s">
        <v>201</v>
      </c>
      <c r="F28" s="242" t="s">
        <v>226</v>
      </c>
      <c r="G28" t="s">
        <v>226</v>
      </c>
      <c r="H28" t="s">
        <v>226</v>
      </c>
      <c r="I28" t="s">
        <v>227</v>
      </c>
      <c r="J28" t="s">
        <v>43</v>
      </c>
      <c r="K28" t="s">
        <v>228</v>
      </c>
      <c r="L28">
        <v>493.33</v>
      </c>
    </row>
    <row r="29" spans="1:12" x14ac:dyDescent="0.25">
      <c r="A29" t="s">
        <v>156</v>
      </c>
      <c r="B29" t="s">
        <v>181</v>
      </c>
      <c r="C29" t="s">
        <v>157</v>
      </c>
      <c r="D29">
        <v>8.0000000000000002E-3</v>
      </c>
      <c r="E29" t="s">
        <v>201</v>
      </c>
      <c r="F29">
        <v>8.0000000000000002E-3</v>
      </c>
      <c r="G29" s="243" t="s">
        <v>72</v>
      </c>
      <c r="H29">
        <v>8.0000000000000002E-3</v>
      </c>
      <c r="I29">
        <v>8425</v>
      </c>
      <c r="J29" t="s">
        <v>223</v>
      </c>
      <c r="K29" t="s">
        <v>232</v>
      </c>
      <c r="L29">
        <f>+H29*I29</f>
        <v>67.400000000000006</v>
      </c>
    </row>
    <row r="30" spans="1:12" x14ac:dyDescent="0.25">
      <c r="L30" s="230">
        <f>SUM(L21:L29)</f>
        <v>1471.92</v>
      </c>
    </row>
    <row r="31" spans="1:12" x14ac:dyDescent="0.25">
      <c r="I31">
        <f>0.008*8420</f>
        <v>67.36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202D-9E40-4C67-93B4-62BF1CD8C70B}">
  <dimension ref="A1:C3"/>
  <sheetViews>
    <sheetView workbookViewId="0">
      <selection activeCell="E11" sqref="E11"/>
    </sheetView>
  </sheetViews>
  <sheetFormatPr baseColWidth="10" defaultRowHeight="13.2" x14ac:dyDescent="0.25"/>
  <cols>
    <col min="2" max="2" width="50.5546875" customWidth="1"/>
  </cols>
  <sheetData>
    <row r="1" spans="1:3" ht="14.4" x14ac:dyDescent="0.3">
      <c r="A1" s="244" t="s">
        <v>240</v>
      </c>
      <c r="B1" s="244" t="s">
        <v>241</v>
      </c>
      <c r="C1" s="244" t="s">
        <v>242</v>
      </c>
    </row>
    <row r="2" spans="1:3" x14ac:dyDescent="0.25">
      <c r="A2" s="245" t="s">
        <v>243</v>
      </c>
      <c r="B2" s="245" t="s">
        <v>244</v>
      </c>
      <c r="C2" s="246">
        <v>1457</v>
      </c>
    </row>
    <row r="3" spans="1:3" x14ac:dyDescent="0.25">
      <c r="A3" s="245" t="s">
        <v>243</v>
      </c>
      <c r="B3" s="245" t="s">
        <v>245</v>
      </c>
      <c r="C3" s="246">
        <v>1472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E1F2-9CB1-458C-9238-DC512D88730A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D97E-3317-487B-94B7-1CF0BBBCA0B2}">
  <dimension ref="A1:Q84"/>
  <sheetViews>
    <sheetView topLeftCell="A18" workbookViewId="0">
      <selection activeCell="E17" sqref="E17"/>
    </sheetView>
  </sheetViews>
  <sheetFormatPr baseColWidth="10" defaultColWidth="8.44140625" defaultRowHeight="13.2" x14ac:dyDescent="0.25"/>
  <cols>
    <col min="1" max="1" width="10" style="6" bestFit="1" customWidth="1"/>
    <col min="2" max="2" width="44.33203125" style="6" bestFit="1" customWidth="1"/>
    <col min="3" max="3" width="10.44140625" style="6" bestFit="1" customWidth="1"/>
    <col min="4" max="4" width="10.44140625" style="6" customWidth="1"/>
    <col min="5" max="5" width="9.6640625" style="6" bestFit="1" customWidth="1"/>
    <col min="6" max="6" width="9.5546875" style="6" bestFit="1" customWidth="1"/>
    <col min="7" max="7" width="9.5546875" style="85" bestFit="1" customWidth="1"/>
    <col min="8" max="8" width="10.44140625" style="76" bestFit="1" customWidth="1"/>
    <col min="9" max="9" width="4.5546875" style="76" customWidth="1"/>
    <col min="10" max="10" width="1.6640625" style="5" customWidth="1"/>
    <col min="11" max="11" width="7" style="6" bestFit="1" customWidth="1"/>
    <col min="12" max="12" width="6.33203125" style="6" customWidth="1"/>
    <col min="13" max="13" width="20.44140625" style="6" customWidth="1"/>
    <col min="14" max="14" width="6.44140625" style="6" bestFit="1" customWidth="1"/>
    <col min="15" max="16" width="8.44140625" style="6"/>
    <col min="17" max="17" width="3.33203125" style="6" customWidth="1"/>
    <col min="18" max="16384" width="8.44140625" style="6"/>
  </cols>
  <sheetData>
    <row r="1" spans="1:10" ht="27.75" customHeight="1" x14ac:dyDescent="0.25">
      <c r="A1" s="1"/>
      <c r="B1" s="1"/>
      <c r="C1" s="1"/>
      <c r="D1" s="1"/>
      <c r="E1" s="2" t="s">
        <v>37</v>
      </c>
      <c r="F1" s="3" t="s">
        <v>38</v>
      </c>
      <c r="G1" s="3" t="s">
        <v>39</v>
      </c>
      <c r="H1" s="3" t="s">
        <v>40</v>
      </c>
      <c r="I1" s="4"/>
    </row>
    <row r="2" spans="1:10" ht="30.75" customHeight="1" x14ac:dyDescent="0.25">
      <c r="A2" s="1"/>
      <c r="B2" s="1"/>
      <c r="C2" s="1"/>
      <c r="D2" s="1"/>
      <c r="E2" s="7">
        <f>IFERROR(O55,"")</f>
        <v>1154.6607228666767</v>
      </c>
      <c r="F2" s="7">
        <f>IFERROR(H46,"")</f>
        <v>493.76304087300423</v>
      </c>
      <c r="G2" s="7">
        <f>IFERROR(H47,"")</f>
        <v>276.9013722922341</v>
      </c>
      <c r="H2" s="7">
        <f>IFERROR(H49,"")</f>
        <v>101.37044583962489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444"/>
      <c r="B4" s="444"/>
      <c r="C4" s="444"/>
      <c r="D4" s="444"/>
      <c r="E4" s="444"/>
      <c r="F4" s="444"/>
      <c r="G4" s="444"/>
      <c r="H4" s="444"/>
      <c r="I4" s="10"/>
    </row>
    <row r="5" spans="1:10" ht="19.5" customHeight="1" thickBot="1" x14ac:dyDescent="0.3">
      <c r="A5" s="445" t="s">
        <v>41</v>
      </c>
      <c r="B5" s="446"/>
      <c r="C5" s="446"/>
      <c r="D5" s="446"/>
      <c r="E5" s="446"/>
      <c r="F5" s="446"/>
      <c r="G5" s="446"/>
      <c r="H5" s="447"/>
      <c r="I5" s="11"/>
    </row>
    <row r="6" spans="1:10" ht="18" thickBot="1" x14ac:dyDescent="0.3">
      <c r="A6" s="11"/>
      <c r="B6" s="11"/>
      <c r="C6" s="11"/>
      <c r="D6" s="11"/>
      <c r="E6" s="11"/>
      <c r="F6" s="448" t="s">
        <v>42</v>
      </c>
      <c r="G6" s="448"/>
      <c r="H6" s="12">
        <f ca="1">TODAY()</f>
        <v>46154</v>
      </c>
      <c r="I6" s="12"/>
    </row>
    <row r="7" spans="1:10" ht="40.200000000000003" thickBot="1" x14ac:dyDescent="0.3">
      <c r="A7" s="13" t="s">
        <v>43</v>
      </c>
      <c r="B7" s="14" t="s">
        <v>44</v>
      </c>
      <c r="C7" s="14" t="s">
        <v>43</v>
      </c>
      <c r="D7" s="15" t="s">
        <v>45</v>
      </c>
      <c r="E7" s="15" t="s">
        <v>46</v>
      </c>
      <c r="F7" s="15" t="s">
        <v>47</v>
      </c>
      <c r="G7" s="15" t="s">
        <v>48</v>
      </c>
      <c r="H7" s="16" t="s">
        <v>49</v>
      </c>
      <c r="I7" s="17"/>
    </row>
    <row r="8" spans="1:10" ht="13.8" x14ac:dyDescent="0.3">
      <c r="A8" s="18">
        <v>4</v>
      </c>
      <c r="B8" s="6" t="s">
        <v>114</v>
      </c>
      <c r="C8" s="19">
        <f>+A8</f>
        <v>4</v>
      </c>
      <c r="D8" s="20" t="s">
        <v>115</v>
      </c>
      <c r="E8" s="20">
        <v>3.4</v>
      </c>
      <c r="F8" s="20">
        <f>IFERROR(C8*E8,"")</f>
        <v>13.6</v>
      </c>
      <c r="G8" s="21">
        <f>IFERROR(F8/$F$59,"")</f>
        <v>1.6276905123097263E-2</v>
      </c>
      <c r="H8" s="22" t="s">
        <v>29</v>
      </c>
      <c r="I8" s="22"/>
      <c r="J8" s="23"/>
    </row>
    <row r="9" spans="1:10" ht="13.8" hidden="1" x14ac:dyDescent="0.3">
      <c r="A9" s="18"/>
      <c r="B9" s="6" t="str">
        <f>IFERROR(VLOOKUP($H9,'[1]MP PLANTA'!$A$2:$F$500,2,0),"")</f>
        <v/>
      </c>
      <c r="C9" s="19">
        <f t="shared" ref="C9:C14" si="0">+A9</f>
        <v>0</v>
      </c>
      <c r="D9" s="20" t="str">
        <f>IFERROR(VLOOKUP($H9,'[1]MP PLANTA'!$A$2:$F$500,5,0),"")</f>
        <v/>
      </c>
      <c r="E9" s="20" t="str">
        <f>IFERROR(VLOOKUP($H9,'[1]MP PLANTA'!$A$2:$F$500,6,0),"")</f>
        <v/>
      </c>
      <c r="F9" s="20" t="str">
        <f t="shared" ref="F9:F14" si="1">IFERROR(C9*E9,"")</f>
        <v/>
      </c>
      <c r="G9" s="21" t="str">
        <f t="shared" ref="G9:G14" si="2">IFERROR(F9/$F$59,"")</f>
        <v/>
      </c>
      <c r="H9" s="22"/>
      <c r="I9" s="22"/>
      <c r="J9" s="23"/>
    </row>
    <row r="10" spans="1:10" ht="13.8" hidden="1" x14ac:dyDescent="0.3">
      <c r="A10" s="18"/>
      <c r="B10" s="6" t="str">
        <f>IFERROR(VLOOKUP($H10,'[1]MP PLANTA'!$A$2:$F$500,2,0),"")</f>
        <v/>
      </c>
      <c r="C10" s="19">
        <f t="shared" si="0"/>
        <v>0</v>
      </c>
      <c r="D10" s="20" t="str">
        <f>IFERROR(VLOOKUP($H10,'[1]MP PLANTA'!$A$2:$F$500,5,0),"")</f>
        <v/>
      </c>
      <c r="E10" s="20" t="str">
        <f>IFERROR(VLOOKUP($H10,'[1]MP PLANTA'!$A$2:$F$500,6,0),"")</f>
        <v/>
      </c>
      <c r="F10" s="20" t="str">
        <f t="shared" si="1"/>
        <v/>
      </c>
      <c r="G10" s="21" t="str">
        <f t="shared" si="2"/>
        <v/>
      </c>
      <c r="H10" s="22"/>
      <c r="I10" s="22"/>
      <c r="J10" s="23"/>
    </row>
    <row r="11" spans="1:10" ht="13.8" hidden="1" x14ac:dyDescent="0.3">
      <c r="A11" s="18"/>
      <c r="B11" s="6" t="str">
        <f>IFERROR(VLOOKUP($H11,'[1]MP PLANTA'!$A$2:$F$500,2,0),"")</f>
        <v/>
      </c>
      <c r="C11" s="19">
        <f t="shared" si="0"/>
        <v>0</v>
      </c>
      <c r="D11" s="20" t="str">
        <f>IFERROR(VLOOKUP($H11,'[1]MP PLANTA'!$A$2:$F$500,5,0),"")</f>
        <v/>
      </c>
      <c r="E11" s="20" t="str">
        <f>IFERROR(VLOOKUP($H11,'[1]MP PLANTA'!$A$2:$F$500,6,0),"")</f>
        <v/>
      </c>
      <c r="F11" s="20" t="str">
        <f t="shared" si="1"/>
        <v/>
      </c>
      <c r="G11" s="21" t="str">
        <f t="shared" si="2"/>
        <v/>
      </c>
      <c r="H11" s="22"/>
      <c r="I11" s="22"/>
      <c r="J11" s="23"/>
    </row>
    <row r="12" spans="1:10" ht="13.8" hidden="1" x14ac:dyDescent="0.3">
      <c r="A12" s="18"/>
      <c r="B12" s="6" t="str">
        <f>IFERROR(VLOOKUP($H12,'[1]MP PLANTA'!$A$2:$F$500,2,0),"")</f>
        <v/>
      </c>
      <c r="C12" s="19">
        <f t="shared" si="0"/>
        <v>0</v>
      </c>
      <c r="D12" s="20" t="str">
        <f>IFERROR(VLOOKUP($H12,'[1]MP PLANTA'!$A$2:$F$500,5,0),"")</f>
        <v/>
      </c>
      <c r="E12" s="20" t="str">
        <f>IFERROR(VLOOKUP($H12,'[1]MP PLANTA'!$A$2:$F$500,6,0),"")</f>
        <v/>
      </c>
      <c r="F12" s="20" t="str">
        <f t="shared" si="1"/>
        <v/>
      </c>
      <c r="G12" s="21" t="str">
        <f t="shared" si="2"/>
        <v/>
      </c>
      <c r="H12" s="22"/>
      <c r="I12" s="22"/>
      <c r="J12" s="23"/>
    </row>
    <row r="13" spans="1:10" ht="13.8" hidden="1" x14ac:dyDescent="0.3">
      <c r="A13" s="18"/>
      <c r="B13" s="6" t="str">
        <f>IFERROR(VLOOKUP($H13,'[1]MP PLANTA'!$A$2:$F$500,2,0),"")</f>
        <v/>
      </c>
      <c r="C13" s="19">
        <f t="shared" si="0"/>
        <v>0</v>
      </c>
      <c r="D13" s="20" t="str">
        <f>IFERROR(VLOOKUP($H13,'[1]MP PLANTA'!$A$2:$F$500,5,0),"")</f>
        <v/>
      </c>
      <c r="E13" s="20" t="str">
        <f>IFERROR(VLOOKUP($H13,'[1]MP PLANTA'!$A$2:$F$500,6,0),"")</f>
        <v/>
      </c>
      <c r="F13" s="20" t="str">
        <f t="shared" si="1"/>
        <v/>
      </c>
      <c r="G13" s="21" t="str">
        <f t="shared" si="2"/>
        <v/>
      </c>
      <c r="H13" s="22"/>
      <c r="I13" s="22"/>
      <c r="J13" s="23"/>
    </row>
    <row r="14" spans="1:10" ht="13.8" hidden="1" x14ac:dyDescent="0.3">
      <c r="A14" s="18"/>
      <c r="B14" s="6" t="str">
        <f>IFERROR(VLOOKUP($H14,'[1]MP PLANTA'!$A$2:$F$500,2,0),"")</f>
        <v/>
      </c>
      <c r="C14" s="19">
        <f t="shared" si="0"/>
        <v>0</v>
      </c>
      <c r="D14" s="20" t="str">
        <f>IFERROR(VLOOKUP($H14,'[1]MP PLANTA'!$A$2:$F$500,5,0),"")</f>
        <v/>
      </c>
      <c r="E14" s="20" t="str">
        <f>IFERROR(VLOOKUP($H14,'[1]MP PLANTA'!$A$2:$F$500,6,0),"")</f>
        <v/>
      </c>
      <c r="F14" s="20" t="str">
        <f t="shared" si="1"/>
        <v/>
      </c>
      <c r="G14" s="21" t="str">
        <f t="shared" si="2"/>
        <v/>
      </c>
      <c r="H14" s="22"/>
      <c r="I14" s="22"/>
      <c r="J14" s="23"/>
    </row>
    <row r="15" spans="1:10" ht="14.4" thickBot="1" x14ac:dyDescent="0.35">
      <c r="A15" s="18"/>
      <c r="C15" s="19"/>
      <c r="D15" s="20"/>
      <c r="E15" s="20"/>
      <c r="F15" s="20"/>
      <c r="G15" s="21"/>
      <c r="H15" s="22"/>
      <c r="I15" s="22"/>
      <c r="J15" s="23"/>
    </row>
    <row r="16" spans="1:10" ht="40.200000000000003" thickBot="1" x14ac:dyDescent="0.3">
      <c r="A16" s="13" t="s">
        <v>43</v>
      </c>
      <c r="B16" s="14" t="s">
        <v>50</v>
      </c>
      <c r="C16" s="14" t="s">
        <v>43</v>
      </c>
      <c r="D16" s="15" t="s">
        <v>45</v>
      </c>
      <c r="E16" s="15" t="s">
        <v>46</v>
      </c>
      <c r="F16" s="15" t="s">
        <v>47</v>
      </c>
      <c r="G16" s="15" t="s">
        <v>48</v>
      </c>
      <c r="H16" s="16" t="s">
        <v>49</v>
      </c>
      <c r="I16" s="17"/>
      <c r="J16" s="23"/>
    </row>
    <row r="17" spans="1:12" ht="13.8" x14ac:dyDescent="0.3">
      <c r="A17" s="18">
        <v>4</v>
      </c>
      <c r="B17" s="6" t="s">
        <v>25</v>
      </c>
      <c r="C17" s="19">
        <f>+A17</f>
        <v>4</v>
      </c>
      <c r="D17" s="19" t="s">
        <v>112</v>
      </c>
      <c r="E17" s="20">
        <f>+'[2]COSTEO BROWNIE'!$H$24</f>
        <v>97.086656419428152</v>
      </c>
      <c r="F17" s="20">
        <f>IFERROR(E17*C17,"")</f>
        <v>388.34662567771261</v>
      </c>
      <c r="G17" s="21">
        <f>IFERROR(F17/$F$59,"")</f>
        <v>0.46478538095816874</v>
      </c>
      <c r="H17" s="22">
        <v>95254</v>
      </c>
      <c r="I17" s="22"/>
      <c r="J17" s="23"/>
    </row>
    <row r="18" spans="1:12" ht="13.8" x14ac:dyDescent="0.3">
      <c r="A18" s="18">
        <v>40</v>
      </c>
      <c r="B18" s="6" t="str">
        <f>IFERROR(VLOOKUP($H18,[1]SEMIELABORADOS!$A$1:$J$999,2,0),"")</f>
        <v>GANACHE CHOCOLATE BLANCO (39295g)</v>
      </c>
      <c r="C18" s="19">
        <f>+A18</f>
        <v>40</v>
      </c>
      <c r="D18" s="19" t="str">
        <f>IFERROR(VLOOKUP($H18,[1]SEMIELABORADOS!$A$1:$J$999,4,0),"")</f>
        <v>GRAMO</v>
      </c>
      <c r="E18" s="20">
        <f>IFERROR(VLOOKUP($H18,[1]SEMIELABORADOS!$A$1:$J$999,6,0),"")</f>
        <v>2.29541037988229</v>
      </c>
      <c r="F18" s="20">
        <f>IFERROR(E18*C18,"")</f>
        <v>91.816415195291597</v>
      </c>
      <c r="G18" s="21">
        <f>IFERROR(F18/$F$59,"")</f>
        <v>0.10988875579975493</v>
      </c>
      <c r="H18" s="22" t="s">
        <v>28</v>
      </c>
      <c r="I18" s="22"/>
      <c r="J18" s="23"/>
    </row>
    <row r="19" spans="1:12" ht="13.8" hidden="1" x14ac:dyDescent="0.3">
      <c r="A19" s="18"/>
      <c r="B19" s="6" t="str">
        <f>IFERROR(VLOOKUP($H19,[1]SEMIELABORADOS!$A$1:$J$999,2,0),"")</f>
        <v/>
      </c>
      <c r="C19" s="19">
        <f>+A19</f>
        <v>0</v>
      </c>
      <c r="D19" s="19" t="str">
        <f>IFERROR(VLOOKUP($H19,[1]SEMIELABORADOS!$A$1:$J$999,4,0),"")</f>
        <v/>
      </c>
      <c r="E19" s="20" t="str">
        <f>IFERROR(VLOOKUP($H19,[1]SEMIELABORADOS!$A$1:$J$999,6,0),"")</f>
        <v/>
      </c>
      <c r="F19" s="20" t="str">
        <f>IFERROR(E19*C19,"")</f>
        <v/>
      </c>
      <c r="G19" s="21" t="str">
        <f>IFERROR(F19/$F$59,"")</f>
        <v/>
      </c>
      <c r="H19" s="22"/>
      <c r="I19" s="22"/>
      <c r="J19" s="23"/>
    </row>
    <row r="20" spans="1:12" ht="13.8" hidden="1" x14ac:dyDescent="0.3">
      <c r="A20" s="18"/>
      <c r="B20" s="6" t="str">
        <f>IFERROR(VLOOKUP($H20,[1]SEMIELABORADOS!$A$1:$J$999,2,0),"")</f>
        <v/>
      </c>
      <c r="C20" s="19">
        <f>+A20</f>
        <v>0</v>
      </c>
      <c r="D20" s="19" t="str">
        <f>IFERROR(VLOOKUP($H20,[1]SEMIELABORADOS!$A$1:$J$999,4,0),"")</f>
        <v/>
      </c>
      <c r="E20" s="20" t="str">
        <f>IFERROR(VLOOKUP($H20,[1]SEMIELABORADOS!$A$1:$J$999,6,0),"")</f>
        <v/>
      </c>
      <c r="F20" s="20" t="str">
        <f>IFERROR(E20*C20,"")</f>
        <v/>
      </c>
      <c r="G20" s="21" t="str">
        <f>IFERROR(F20/$F$59,"")</f>
        <v/>
      </c>
      <c r="H20" s="22"/>
      <c r="I20" s="22"/>
      <c r="J20" s="23"/>
    </row>
    <row r="21" spans="1:12" ht="13.8" hidden="1" x14ac:dyDescent="0.3">
      <c r="A21" s="18"/>
      <c r="B21" s="6" t="str">
        <f>IFERROR(VLOOKUP($H21,[1]SEMIELABORADOS!$A$1:$J$999,2,0),"")</f>
        <v/>
      </c>
      <c r="C21" s="19">
        <f>+A21</f>
        <v>0</v>
      </c>
      <c r="D21" s="19" t="str">
        <f>IFERROR(VLOOKUP($H21,[1]SEMIELABORADOS!$A$1:$J$999,4,0),"")</f>
        <v/>
      </c>
      <c r="E21" s="20" t="str">
        <f>IFERROR(VLOOKUP($H21,[1]SEMIELABORADOS!$A$1:$J$999,6,0),"")</f>
        <v/>
      </c>
      <c r="F21" s="20" t="str">
        <f>IFERROR(E21*C21,"")</f>
        <v/>
      </c>
      <c r="G21" s="21" t="str">
        <f>IFERROR(F21/$F$59,"")</f>
        <v/>
      </c>
      <c r="H21" s="22"/>
      <c r="I21" s="22"/>
      <c r="J21" s="23"/>
    </row>
    <row r="22" spans="1:12" ht="14.4" thickBot="1" x14ac:dyDescent="0.35">
      <c r="A22" s="18"/>
      <c r="C22" s="19"/>
      <c r="D22" s="19"/>
      <c r="E22" s="20"/>
      <c r="F22" s="20"/>
      <c r="G22" s="21"/>
      <c r="H22" s="22"/>
      <c r="I22" s="22"/>
      <c r="J22" s="23"/>
    </row>
    <row r="23" spans="1:12" ht="40.200000000000003" thickBot="1" x14ac:dyDescent="0.3">
      <c r="A23" s="13" t="s">
        <v>43</v>
      </c>
      <c r="B23" s="14" t="s">
        <v>51</v>
      </c>
      <c r="C23" s="14" t="s">
        <v>43</v>
      </c>
      <c r="D23" s="15" t="s">
        <v>45</v>
      </c>
      <c r="E23" s="15" t="s">
        <v>46</v>
      </c>
      <c r="F23" s="15" t="s">
        <v>47</v>
      </c>
      <c r="G23" s="15" t="s">
        <v>48</v>
      </c>
      <c r="H23" s="16" t="s">
        <v>49</v>
      </c>
      <c r="I23" s="17"/>
    </row>
    <row r="24" spans="1:12" ht="13.8" x14ac:dyDescent="0.3">
      <c r="A24" s="18">
        <v>4</v>
      </c>
      <c r="B24" s="24" t="str">
        <f>IFERROR(VLOOKUP($H24,'[1]EMP PLANTA'!$A$2:$F$500,2,0),"")</f>
        <v>CAPSULA # 5 BLANCA (100 * PAQ)</v>
      </c>
      <c r="C24" s="19">
        <f t="shared" ref="C24:C29" si="3">+A24</f>
        <v>4</v>
      </c>
      <c r="D24" s="20" t="str">
        <f>IFERROR(VLOOKUP($H24,'[1]EMP PLANTA'!$A$2:$F$500,5,0),"")</f>
        <v>UND</v>
      </c>
      <c r="E24" s="20">
        <f>IFERROR(VLOOKUP($H24,'[1]EMP PLANTA'!$A$2:$F$500,6,0),"")</f>
        <v>7.75</v>
      </c>
      <c r="F24" s="20">
        <f t="shared" ref="F24:F29" si="4">IFERROR(E24*C24,"")</f>
        <v>31</v>
      </c>
      <c r="G24" s="21">
        <f t="shared" ref="G24:G29" si="5">IFERROR(F24/$F$59,"")</f>
        <v>3.7101769030589343E-2</v>
      </c>
      <c r="H24" s="25" t="s">
        <v>31</v>
      </c>
      <c r="I24" s="25"/>
      <c r="J24" s="23"/>
      <c r="K24" s="441"/>
      <c r="L24" s="441"/>
    </row>
    <row r="25" spans="1:12" ht="13.8" x14ac:dyDescent="0.3">
      <c r="A25" s="18">
        <v>1</v>
      </c>
      <c r="B25" s="24" t="str">
        <f>IFERROR(VLOOKUP($H25,'[1]EMP PLANTA'!$A$2:$F$500,2,0),"")</f>
        <v>CONT. 48 ON TRANSPA. TAPA PLANA (PAQ=100 UND)</v>
      </c>
      <c r="C25" s="19">
        <f t="shared" si="3"/>
        <v>1</v>
      </c>
      <c r="D25" s="20" t="str">
        <f>IFERROR(VLOOKUP($H25,'[1]EMP PLANTA'!$A$2:$F$500,5,0),"")</f>
        <v>UND</v>
      </c>
      <c r="E25" s="20">
        <f>IFERROR(VLOOKUP($H25,'[1]EMP PLANTA'!$A$2:$F$500,6,0),"")</f>
        <v>201.988</v>
      </c>
      <c r="F25" s="20">
        <f t="shared" si="4"/>
        <v>201.988</v>
      </c>
      <c r="G25" s="21">
        <f t="shared" si="5"/>
        <v>0.24174555235324777</v>
      </c>
      <c r="H25" s="25" t="s">
        <v>117</v>
      </c>
      <c r="I25" s="25"/>
      <c r="J25" s="23"/>
      <c r="K25" s="441"/>
      <c r="L25" s="441"/>
    </row>
    <row r="26" spans="1:12" ht="13.8" x14ac:dyDescent="0.3">
      <c r="A26" s="18">
        <v>1</v>
      </c>
      <c r="B26" s="24" t="str">
        <f>IFERROR(VLOOKUP($H26,'[1]EMP PLANTA'!$A$2:$F$500,2,0),"")</f>
        <v>ETIQ.FECHA VENCIMIENTO VERDE</v>
      </c>
      <c r="C26" s="19">
        <f t="shared" si="3"/>
        <v>1</v>
      </c>
      <c r="D26" s="20" t="str">
        <f>IFERROR(VLOOKUP($H26,'[1]EMP PLANTA'!$A$2:$F$500,5,0),"")</f>
        <v>UND</v>
      </c>
      <c r="E26" s="20">
        <f>IFERROR(VLOOKUP($H26,'[1]EMP PLANTA'!$A$2:$F$500,6,0),"")</f>
        <v>0.21185444444444446</v>
      </c>
      <c r="F26" s="20">
        <f t="shared" si="4"/>
        <v>0.21185444444444446</v>
      </c>
      <c r="G26" s="21">
        <f t="shared" si="5"/>
        <v>2.5355402148005164E-4</v>
      </c>
      <c r="H26" s="25" t="s">
        <v>32</v>
      </c>
      <c r="I26" s="25"/>
      <c r="J26" s="23"/>
      <c r="K26" s="441"/>
      <c r="L26" s="441"/>
    </row>
    <row r="27" spans="1:12" ht="13.8" x14ac:dyDescent="0.3">
      <c r="A27" s="18">
        <v>1</v>
      </c>
      <c r="B27" s="24" t="str">
        <f>IFERROR(VLOOKUP($H27,'[1]EMP PLANTA'!$A$2:$F$500,2,0),"")</f>
        <v>ETIQUETA IMP. SPOON MEDIANA V-273</v>
      </c>
      <c r="C27" s="19">
        <f t="shared" si="3"/>
        <v>1</v>
      </c>
      <c r="D27" s="20" t="str">
        <f>IFERROR(VLOOKUP($H27,'[1]EMP PLANTA'!$A$2:$F$500,5,0),"")</f>
        <v>UND</v>
      </c>
      <c r="E27" s="20">
        <f>IFERROR(VLOOKUP($H27,'[1]EMP PLANTA'!$A$2:$F$500,6,0),"")</f>
        <v>34.210999999999999</v>
      </c>
      <c r="F27" s="20">
        <f t="shared" si="4"/>
        <v>34.210999999999999</v>
      </c>
      <c r="G27" s="21">
        <f t="shared" si="5"/>
        <v>4.0944794203402968E-2</v>
      </c>
      <c r="H27" s="25" t="s">
        <v>35</v>
      </c>
      <c r="I27" s="25"/>
      <c r="J27" s="23"/>
      <c r="K27" s="441"/>
      <c r="L27" s="441"/>
    </row>
    <row r="28" spans="1:12" ht="13.8" x14ac:dyDescent="0.3">
      <c r="A28" s="18">
        <v>1</v>
      </c>
      <c r="B28" s="24" t="str">
        <f>IFERROR(VLOOKUP($H28,'[1]EMP PLANTA'!$A$2:$F$500,2,0),"")</f>
        <v>ETIQUETA BLANCA 2 5/8X1 15/16 PRE BLANCA</v>
      </c>
      <c r="C28" s="19">
        <f t="shared" si="3"/>
        <v>1</v>
      </c>
      <c r="D28" s="20" t="str">
        <f>IFERROR(VLOOKUP($H28,'[1]EMP PLANTA'!$A$2:$F$500,5,0),"")</f>
        <v>UND</v>
      </c>
      <c r="E28" s="20">
        <f>IFERROR(VLOOKUP($H28,'[1]EMP PLANTA'!$A$2:$F$500,6,0),"")</f>
        <v>2.2759999999999998</v>
      </c>
      <c r="F28" s="20">
        <f t="shared" si="4"/>
        <v>2.2759999999999998</v>
      </c>
      <c r="G28" s="21">
        <f t="shared" si="5"/>
        <v>2.7239879456006887E-3</v>
      </c>
      <c r="H28" s="25" t="s">
        <v>116</v>
      </c>
      <c r="I28" s="25"/>
      <c r="J28" s="23"/>
      <c r="K28" s="26"/>
      <c r="L28" s="27"/>
    </row>
    <row r="29" spans="1:12" ht="13.8" x14ac:dyDescent="0.3">
      <c r="A29" s="18"/>
      <c r="B29" s="24" t="str">
        <f>IFERROR(VLOOKUP($H29,'[1]EMP PLANTA'!$A$2:$F$500,2,0),"")</f>
        <v/>
      </c>
      <c r="C29" s="19">
        <f t="shared" si="3"/>
        <v>0</v>
      </c>
      <c r="D29" s="20" t="str">
        <f>IFERROR(VLOOKUP($H29,'[1]EMP PLANTA'!$A$2:$F$500,5,0),"")</f>
        <v/>
      </c>
      <c r="E29" s="20" t="str">
        <f>IFERROR(VLOOKUP($H29,'[1]EMP PLANTA'!$A$2:$F$500,6,0),"")</f>
        <v/>
      </c>
      <c r="F29" s="20" t="str">
        <f t="shared" si="4"/>
        <v/>
      </c>
      <c r="G29" s="21" t="str">
        <f t="shared" si="5"/>
        <v/>
      </c>
      <c r="H29" s="25"/>
      <c r="I29" s="25"/>
      <c r="J29" s="23"/>
    </row>
    <row r="30" spans="1:12" ht="14.4" thickBot="1" x14ac:dyDescent="0.35">
      <c r="A30" s="18"/>
      <c r="B30" s="24"/>
      <c r="C30" s="19"/>
      <c r="D30" s="20"/>
      <c r="E30" s="20"/>
      <c r="F30" s="20"/>
      <c r="G30" s="21"/>
      <c r="H30" s="25"/>
      <c r="I30" s="25"/>
      <c r="J30" s="23"/>
    </row>
    <row r="31" spans="1:12" ht="40.200000000000003" thickBot="1" x14ac:dyDescent="0.3">
      <c r="A31" s="13" t="s">
        <v>43</v>
      </c>
      <c r="B31" s="14" t="s">
        <v>52</v>
      </c>
      <c r="C31" s="14" t="s">
        <v>43</v>
      </c>
      <c r="D31" s="15" t="s">
        <v>45</v>
      </c>
      <c r="E31" s="15" t="s">
        <v>46</v>
      </c>
      <c r="F31" s="15" t="s">
        <v>47</v>
      </c>
      <c r="G31" s="15" t="s">
        <v>48</v>
      </c>
      <c r="H31" s="16" t="s">
        <v>49</v>
      </c>
      <c r="I31" s="17"/>
      <c r="J31" s="23"/>
    </row>
    <row r="32" spans="1:12" ht="13.8" x14ac:dyDescent="0.3">
      <c r="A32" s="18">
        <f>+A17</f>
        <v>4</v>
      </c>
      <c r="B32" s="24" t="s">
        <v>25</v>
      </c>
      <c r="C32" s="19">
        <f>+A32</f>
        <v>4</v>
      </c>
      <c r="D32" s="20" t="s">
        <v>53</v>
      </c>
      <c r="E32" s="20">
        <f>+'[2]COSTEO BROWNIE'!$H$25</f>
        <v>1.8036294619474156</v>
      </c>
      <c r="F32" s="20">
        <f>IFERROR(E32*C32,"")</f>
        <v>7.2145178477896623</v>
      </c>
      <c r="G32" s="21">
        <f>IFERROR(F32/$F$58,"")</f>
        <v>0.13117305177799385</v>
      </c>
      <c r="H32" s="25">
        <v>95254</v>
      </c>
      <c r="I32" s="25"/>
      <c r="J32" s="23"/>
    </row>
    <row r="33" spans="1:17" ht="13.8" x14ac:dyDescent="0.3">
      <c r="A33" s="18">
        <f>+A18</f>
        <v>40</v>
      </c>
      <c r="B33" s="24" t="s">
        <v>113</v>
      </c>
      <c r="C33" s="19">
        <f>+A33</f>
        <v>40</v>
      </c>
      <c r="D33" s="20" t="s">
        <v>53</v>
      </c>
      <c r="E33" s="20">
        <f>IFERROR(VLOOKUP($H33,[1]SEMIELABORADOS!$A$1:$J$999,8,0),"")</f>
        <v>0</v>
      </c>
      <c r="F33" s="20">
        <f>IFERROR(E33*C33,"")</f>
        <v>0</v>
      </c>
      <c r="G33" s="21">
        <f>IFERROR(F33/$F$58,"")</f>
        <v>0</v>
      </c>
      <c r="H33" s="25" t="s">
        <v>28</v>
      </c>
      <c r="I33" s="25"/>
      <c r="J33" s="23"/>
    </row>
    <row r="34" spans="1:17" ht="13.8" hidden="1" x14ac:dyDescent="0.3">
      <c r="A34" s="18">
        <f>+A19</f>
        <v>0</v>
      </c>
      <c r="B34" s="24"/>
      <c r="C34" s="19">
        <f>+A34</f>
        <v>0</v>
      </c>
      <c r="D34" s="20" t="s">
        <v>53</v>
      </c>
      <c r="E34" s="20" t="str">
        <f>IFERROR(VLOOKUP($H34,[1]SEMIELABORADOS!$A$1:$J$999,8,0),"")</f>
        <v/>
      </c>
      <c r="F34" s="20" t="str">
        <f>IFERROR(E34*C34,"")</f>
        <v/>
      </c>
      <c r="G34" s="21" t="str">
        <f>IFERROR(F34/$F$58,"")</f>
        <v/>
      </c>
      <c r="H34" s="25"/>
      <c r="I34" s="25"/>
      <c r="J34" s="23"/>
    </row>
    <row r="35" spans="1:17" ht="13.8" hidden="1" x14ac:dyDescent="0.3">
      <c r="A35" s="18">
        <f>+A20</f>
        <v>0</v>
      </c>
      <c r="B35" s="24"/>
      <c r="C35" s="19">
        <f>+A35</f>
        <v>0</v>
      </c>
      <c r="D35" s="20" t="s">
        <v>53</v>
      </c>
      <c r="E35" s="20" t="str">
        <f>IFERROR(VLOOKUP($H35,[1]SEMIELABORADOS!$A$1:$J$999,8,0),"")</f>
        <v/>
      </c>
      <c r="F35" s="20" t="str">
        <f>IFERROR(E35*C35,"")</f>
        <v/>
      </c>
      <c r="G35" s="21" t="str">
        <f>IFERROR(F35/$F$58,"")</f>
        <v/>
      </c>
      <c r="H35" s="25"/>
      <c r="I35" s="25"/>
      <c r="J35" s="23"/>
    </row>
    <row r="36" spans="1:17" ht="13.8" hidden="1" x14ac:dyDescent="0.3">
      <c r="A36" s="18">
        <f>+A21</f>
        <v>0</v>
      </c>
      <c r="B36" s="24"/>
      <c r="C36" s="19">
        <f>+A36</f>
        <v>0</v>
      </c>
      <c r="D36" s="20" t="s">
        <v>53</v>
      </c>
      <c r="E36" s="20" t="str">
        <f>IFERROR(VLOOKUP($H36,[1]SEMIELABORADOS!$A$1:$J$999,8,0),"")</f>
        <v/>
      </c>
      <c r="F36" s="20" t="str">
        <f>IFERROR(E36*C36,"")</f>
        <v/>
      </c>
      <c r="G36" s="21" t="str">
        <f>IFERROR(F36/$F$58,"")</f>
        <v/>
      </c>
      <c r="H36" s="25"/>
      <c r="I36" s="25"/>
      <c r="J36" s="23"/>
    </row>
    <row r="37" spans="1:17" ht="14.4" thickBot="1" x14ac:dyDescent="0.35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7" ht="40.200000000000003" thickBot="1" x14ac:dyDescent="0.3">
      <c r="A38" s="13" t="s">
        <v>43</v>
      </c>
      <c r="B38" s="14" t="s">
        <v>54</v>
      </c>
      <c r="C38" s="14" t="s">
        <v>43</v>
      </c>
      <c r="D38" s="14"/>
      <c r="E38" s="15" t="s">
        <v>46</v>
      </c>
      <c r="F38" s="15" t="s">
        <v>47</v>
      </c>
      <c r="G38" s="15" t="s">
        <v>48</v>
      </c>
      <c r="H38" s="16" t="s">
        <v>49</v>
      </c>
      <c r="I38" s="17"/>
      <c r="J38" s="23"/>
    </row>
    <row r="39" spans="1:17" ht="13.8" x14ac:dyDescent="0.3">
      <c r="A39" s="18">
        <f>+A17</f>
        <v>4</v>
      </c>
      <c r="B39" s="28" t="s">
        <v>25</v>
      </c>
      <c r="C39" s="19">
        <f t="shared" ref="C39:C44" si="6">+A39</f>
        <v>4</v>
      </c>
      <c r="D39" s="19" t="s">
        <v>53</v>
      </c>
      <c r="E39" s="20">
        <f>+'[2]COSTEO BROWNIE'!$H$27</f>
        <v>11.224767693186054</v>
      </c>
      <c r="F39" s="20">
        <f t="shared" ref="F39:F44" si="7">IFERROR(C39*E39,"")</f>
        <v>44.899070772744217</v>
      </c>
      <c r="G39" s="21">
        <f t="shared" ref="G39:G44" si="8">IFERROR(F39/$F$59,"")</f>
        <v>5.3736611403175503E-2</v>
      </c>
      <c r="H39" s="29">
        <v>95254</v>
      </c>
      <c r="I39" s="29"/>
      <c r="J39" s="23"/>
    </row>
    <row r="40" spans="1:17" ht="13.8" x14ac:dyDescent="0.3">
      <c r="A40" s="18">
        <f>+A18</f>
        <v>40</v>
      </c>
      <c r="B40" s="28" t="s">
        <v>113</v>
      </c>
      <c r="C40" s="19">
        <f t="shared" si="6"/>
        <v>40</v>
      </c>
      <c r="D40" s="19" t="s">
        <v>53</v>
      </c>
      <c r="E40" s="20">
        <f>IFERROR(VLOOKUP($H40,[1]SEMIELABORADOS!$A$1:$J$999,10,0),"")</f>
        <v>3.6784376672017123E-2</v>
      </c>
      <c r="F40" s="20">
        <f t="shared" si="7"/>
        <v>1.4713750668806849</v>
      </c>
      <c r="G40" s="21">
        <f t="shared" si="8"/>
        <v>1.7609876738314556E-3</v>
      </c>
      <c r="H40" s="29" t="s">
        <v>28</v>
      </c>
      <c r="I40" s="29"/>
      <c r="J40" s="23"/>
    </row>
    <row r="41" spans="1:17" ht="13.8" hidden="1" x14ac:dyDescent="0.3">
      <c r="A41" s="18">
        <f>+A19</f>
        <v>0</v>
      </c>
      <c r="B41" s="28"/>
      <c r="C41" s="19">
        <f t="shared" si="6"/>
        <v>0</v>
      </c>
      <c r="D41" s="19" t="s">
        <v>53</v>
      </c>
      <c r="E41" s="20" t="str">
        <f>IFERROR(VLOOKUP($H41,[1]SEMIELABORADOS!$A$1:$J$999,10,0),"")</f>
        <v/>
      </c>
      <c r="F41" s="20" t="str">
        <f t="shared" si="7"/>
        <v/>
      </c>
      <c r="G41" s="21" t="str">
        <f t="shared" si="8"/>
        <v/>
      </c>
      <c r="H41" s="29"/>
      <c r="I41" s="29"/>
      <c r="J41" s="23"/>
    </row>
    <row r="42" spans="1:17" ht="13.8" hidden="1" x14ac:dyDescent="0.3">
      <c r="A42" s="18">
        <f>+A20</f>
        <v>0</v>
      </c>
      <c r="B42" s="28"/>
      <c r="C42" s="19">
        <f t="shared" si="6"/>
        <v>0</v>
      </c>
      <c r="D42" s="19" t="s">
        <v>53</v>
      </c>
      <c r="E42" s="20" t="str">
        <f>IFERROR(VLOOKUP($H42,[1]SEMIELABORADOS!$A$1:$J$999,10,0),"")</f>
        <v/>
      </c>
      <c r="F42" s="20" t="str">
        <f t="shared" si="7"/>
        <v/>
      </c>
      <c r="G42" s="21" t="str">
        <f t="shared" si="8"/>
        <v/>
      </c>
      <c r="H42" s="29"/>
      <c r="I42" s="29"/>
      <c r="J42" s="23"/>
    </row>
    <row r="43" spans="1:17" ht="13.8" hidden="1" x14ac:dyDescent="0.3">
      <c r="A43" s="18">
        <f>+A21</f>
        <v>0</v>
      </c>
      <c r="B43" s="28"/>
      <c r="C43" s="19">
        <f t="shared" si="6"/>
        <v>0</v>
      </c>
      <c r="D43" s="19" t="s">
        <v>53</v>
      </c>
      <c r="E43" s="20" t="str">
        <f>IFERROR(VLOOKUP($H43,[1]SEMIELABORADOS!$A$1:$J$999,10,0),"")</f>
        <v/>
      </c>
      <c r="F43" s="20" t="str">
        <f t="shared" si="7"/>
        <v/>
      </c>
      <c r="G43" s="21" t="str">
        <f t="shared" si="8"/>
        <v/>
      </c>
      <c r="H43" s="29"/>
      <c r="I43" s="29"/>
      <c r="J43" s="23"/>
    </row>
    <row r="44" spans="1:17" ht="13.8" x14ac:dyDescent="0.3">
      <c r="A44" s="18">
        <v>1</v>
      </c>
      <c r="B44" s="24" t="s">
        <v>55</v>
      </c>
      <c r="C44" s="19">
        <f t="shared" si="6"/>
        <v>1</v>
      </c>
      <c r="D44" s="19" t="s">
        <v>53</v>
      </c>
      <c r="E44" s="20">
        <f>+F58</f>
        <v>55</v>
      </c>
      <c r="F44" s="20">
        <f t="shared" si="7"/>
        <v>55</v>
      </c>
      <c r="G44" s="21">
        <f t="shared" si="8"/>
        <v>6.5825719247819811E-2</v>
      </c>
      <c r="H44" s="29"/>
      <c r="I44" s="29"/>
      <c r="J44" s="23"/>
    </row>
    <row r="45" spans="1:17" ht="14.4" thickBot="1" x14ac:dyDescent="0.35">
      <c r="A45" s="18"/>
      <c r="B45" s="24"/>
      <c r="C45" s="19"/>
      <c r="D45" s="19"/>
      <c r="E45" s="20"/>
      <c r="F45" s="20"/>
      <c r="G45" s="21"/>
      <c r="H45" s="29"/>
      <c r="I45" s="29"/>
      <c r="J45" s="23"/>
    </row>
    <row r="46" spans="1:17" ht="13.8" thickBot="1" x14ac:dyDescent="0.3">
      <c r="A46" s="30"/>
      <c r="B46" s="439" t="s">
        <v>56</v>
      </c>
      <c r="C46" s="439"/>
      <c r="D46" s="439"/>
      <c r="E46" s="439"/>
      <c r="F46" s="32">
        <f>SUM(F8:F14,F17:F21)</f>
        <v>493.76304087300423</v>
      </c>
      <c r="G46" s="21">
        <f>+F46/$F$59</f>
        <v>0.59095104188102099</v>
      </c>
      <c r="H46" s="33">
        <f>+F46/$D$53</f>
        <v>493.76304087300423</v>
      </c>
      <c r="I46" s="33"/>
      <c r="J46" s="34"/>
      <c r="K46" s="35"/>
      <c r="L46" s="35"/>
      <c r="M46" s="35"/>
      <c r="N46" s="35"/>
      <c r="O46" s="35"/>
      <c r="P46" s="35"/>
      <c r="Q46" s="36"/>
    </row>
    <row r="47" spans="1:17" x14ac:dyDescent="0.25">
      <c r="A47" s="30"/>
      <c r="B47" s="439" t="s">
        <v>57</v>
      </c>
      <c r="C47" s="439"/>
      <c r="D47" s="439"/>
      <c r="E47" s="439"/>
      <c r="F47" s="32">
        <f>SUM(F24:F29,F32:F36)</f>
        <v>276.9013722922341</v>
      </c>
      <c r="G47" s="21">
        <f>+F47/$F$59</f>
        <v>0.33140421803353876</v>
      </c>
      <c r="H47" s="33">
        <f>+F47/$D$53</f>
        <v>276.9013722922341</v>
      </c>
      <c r="I47" s="33"/>
      <c r="J47" s="37"/>
      <c r="K47" s="442" t="s">
        <v>58</v>
      </c>
      <c r="L47" s="443"/>
      <c r="M47" s="443"/>
      <c r="N47" s="443"/>
      <c r="O47" s="38">
        <f>+F48</f>
        <v>770.66441316523833</v>
      </c>
      <c r="P47" s="38"/>
      <c r="Q47" s="39"/>
    </row>
    <row r="48" spans="1:17" x14ac:dyDescent="0.25">
      <c r="A48" s="30"/>
      <c r="B48" s="439" t="s">
        <v>59</v>
      </c>
      <c r="C48" s="439"/>
      <c r="D48" s="439"/>
      <c r="E48" s="439"/>
      <c r="F48" s="32">
        <f>+F46+F47</f>
        <v>770.66441316523833</v>
      </c>
      <c r="G48" s="21">
        <f>+F48/$F$59</f>
        <v>0.92235525991455969</v>
      </c>
      <c r="H48" s="33">
        <f>+F48/$D$53</f>
        <v>770.66441316523833</v>
      </c>
      <c r="I48" s="33"/>
      <c r="J48" s="40"/>
      <c r="K48" s="41"/>
      <c r="L48" s="434" t="s">
        <v>60</v>
      </c>
      <c r="M48" s="434"/>
      <c r="N48" s="434"/>
      <c r="O48" s="38">
        <f>+F49</f>
        <v>101.37044583962489</v>
      </c>
      <c r="P48" s="38"/>
      <c r="Q48" s="39"/>
    </row>
    <row r="49" spans="1:17" ht="13.8" thickBot="1" x14ac:dyDescent="0.3">
      <c r="A49" s="30"/>
      <c r="B49" s="31"/>
      <c r="C49" s="439" t="s">
        <v>61</v>
      </c>
      <c r="D49" s="439"/>
      <c r="E49" s="439"/>
      <c r="F49" s="32">
        <f>SUM(F39:F44)</f>
        <v>101.37044583962489</v>
      </c>
      <c r="G49" s="21">
        <f>+F49/$F$59</f>
        <v>0.12132331832482676</v>
      </c>
      <c r="H49" s="33">
        <f>+F49/$D$53</f>
        <v>101.37044583962489</v>
      </c>
      <c r="I49" s="33"/>
      <c r="J49" s="40"/>
      <c r="K49" s="41"/>
      <c r="L49" s="41"/>
      <c r="M49" s="41" t="s">
        <v>62</v>
      </c>
      <c r="N49" s="42">
        <v>0.01</v>
      </c>
      <c r="O49" s="38">
        <f>O47*N49</f>
        <v>7.706644131652383</v>
      </c>
      <c r="P49" s="38"/>
      <c r="Q49" s="39"/>
    </row>
    <row r="50" spans="1:17" ht="13.8" thickBot="1" x14ac:dyDescent="0.25">
      <c r="A50" s="30"/>
      <c r="B50" s="43"/>
      <c r="C50" s="43"/>
      <c r="D50" s="43"/>
      <c r="E50" s="43"/>
      <c r="F50" s="44"/>
      <c r="G50" s="21"/>
      <c r="H50" s="45"/>
      <c r="I50" s="33"/>
      <c r="J50" s="40"/>
      <c r="K50" s="46"/>
      <c r="M50" s="47" t="s">
        <v>63</v>
      </c>
      <c r="N50" s="48"/>
      <c r="O50" s="49">
        <f>SUM(O47:O49)</f>
        <v>879.74150313651558</v>
      </c>
      <c r="P50" s="50"/>
      <c r="Q50" s="39"/>
    </row>
    <row r="51" spans="1:17" x14ac:dyDescent="0.25">
      <c r="B51" s="440" t="s">
        <v>64</v>
      </c>
      <c r="C51" s="440"/>
      <c r="D51" s="51">
        <v>104</v>
      </c>
      <c r="E51" s="52"/>
      <c r="G51" s="21"/>
      <c r="H51" s="45"/>
      <c r="I51" s="45"/>
      <c r="J51" s="40"/>
      <c r="K51" s="46"/>
      <c r="L51" s="41"/>
      <c r="M51" s="41" t="s">
        <v>65</v>
      </c>
      <c r="N51" s="53">
        <v>0.25</v>
      </c>
      <c r="O51" s="38">
        <f>+O50*N51</f>
        <v>219.93537578412889</v>
      </c>
      <c r="P51" s="38"/>
      <c r="Q51" s="39"/>
    </row>
    <row r="52" spans="1:17" x14ac:dyDescent="0.25">
      <c r="B52" s="440" t="s">
        <v>66</v>
      </c>
      <c r="C52" s="440"/>
      <c r="D52" s="54">
        <v>104</v>
      </c>
      <c r="E52" s="52"/>
      <c r="G52" s="21"/>
      <c r="H52" s="45"/>
      <c r="I52" s="45"/>
      <c r="J52" s="40"/>
      <c r="K52" s="46"/>
      <c r="L52" s="41"/>
      <c r="M52" s="434" t="s">
        <v>63</v>
      </c>
      <c r="N52" s="434"/>
      <c r="O52" s="38">
        <f>SUM(O50:O51)</f>
        <v>1099.6768789206444</v>
      </c>
      <c r="P52" s="38"/>
      <c r="Q52" s="39"/>
    </row>
    <row r="53" spans="1:17" ht="13.8" thickBot="1" x14ac:dyDescent="0.3">
      <c r="B53" s="433" t="s">
        <v>67</v>
      </c>
      <c r="C53" s="433"/>
      <c r="D53" s="51">
        <f>+D51/D52</f>
        <v>1</v>
      </c>
      <c r="E53" s="52"/>
      <c r="F53" s="55"/>
      <c r="G53" s="21"/>
      <c r="H53" s="45"/>
      <c r="I53" s="45"/>
      <c r="J53" s="40"/>
      <c r="K53" s="46"/>
      <c r="L53" s="434" t="s">
        <v>68</v>
      </c>
      <c r="M53" s="434"/>
      <c r="N53" s="53">
        <v>0.05</v>
      </c>
      <c r="O53" s="38">
        <f>+O52*N53</f>
        <v>54.983843946032223</v>
      </c>
      <c r="P53" s="38"/>
      <c r="Q53" s="39"/>
    </row>
    <row r="54" spans="1:17" ht="13.8" thickBot="1" x14ac:dyDescent="0.25">
      <c r="B54" s="433" t="s">
        <v>69</v>
      </c>
      <c r="C54" s="433"/>
      <c r="D54" s="56"/>
      <c r="E54" s="52"/>
      <c r="F54" s="55"/>
      <c r="G54" s="21"/>
      <c r="H54" s="45"/>
      <c r="I54" s="45"/>
      <c r="J54" s="40"/>
      <c r="K54" s="435" t="s">
        <v>70</v>
      </c>
      <c r="L54" s="436"/>
      <c r="M54" s="436"/>
      <c r="N54" s="437"/>
      <c r="O54" s="49">
        <f>SUM(O52:O53)</f>
        <v>1154.6607228666767</v>
      </c>
      <c r="P54" s="57" t="s">
        <v>71</v>
      </c>
      <c r="Q54" s="39"/>
    </row>
    <row r="55" spans="1:17" ht="13.8" thickBot="1" x14ac:dyDescent="0.25">
      <c r="C55" s="30" t="s">
        <v>72</v>
      </c>
      <c r="D55" s="58"/>
      <c r="E55" s="4" t="s">
        <v>73</v>
      </c>
      <c r="F55" s="59" t="s">
        <v>74</v>
      </c>
      <c r="G55" s="21"/>
      <c r="H55" s="45"/>
      <c r="I55" s="45"/>
      <c r="J55" s="60"/>
      <c r="K55" s="61"/>
      <c r="L55" s="438" t="s">
        <v>75</v>
      </c>
      <c r="M55" s="438"/>
      <c r="N55" s="438"/>
      <c r="O55" s="62">
        <f>+O54/D53</f>
        <v>1154.6607228666767</v>
      </c>
      <c r="P55" s="63">
        <f>+O55/D52</f>
        <v>11.102506950641121</v>
      </c>
      <c r="Q55" s="64"/>
    </row>
    <row r="56" spans="1:17" ht="13.8" thickBot="1" x14ac:dyDescent="0.25">
      <c r="B56" s="418" t="s">
        <v>59</v>
      </c>
      <c r="C56" s="418"/>
      <c r="D56" s="418"/>
      <c r="E56" s="65">
        <f>+F56/F56</f>
        <v>1</v>
      </c>
      <c r="F56" s="66">
        <f>SUM(F48)</f>
        <v>770.66441316523833</v>
      </c>
      <c r="G56" s="21">
        <f>+F56/$F$59</f>
        <v>0.92235525991455969</v>
      </c>
      <c r="H56" s="45"/>
      <c r="I56" s="45"/>
      <c r="K56" s="419"/>
      <c r="L56" s="420"/>
      <c r="M56" s="420"/>
      <c r="N56" s="420"/>
      <c r="O56" s="67"/>
      <c r="P56" s="68"/>
    </row>
    <row r="57" spans="1:17" ht="13.8" thickBot="1" x14ac:dyDescent="0.3">
      <c r="B57" s="421" t="s">
        <v>76</v>
      </c>
      <c r="C57" s="421"/>
      <c r="D57" s="421"/>
      <c r="E57" s="69">
        <v>0.02</v>
      </c>
      <c r="F57" s="66">
        <f>+F46*E57</f>
        <v>9.8752608174600844</v>
      </c>
      <c r="G57" s="21">
        <f>+F57/$F$59</f>
        <v>1.1819020837620419E-2</v>
      </c>
      <c r="H57" s="33"/>
      <c r="I57" s="45"/>
      <c r="J57" s="23"/>
      <c r="O57" s="70"/>
      <c r="P57" s="31"/>
    </row>
    <row r="58" spans="1:17" ht="13.8" thickBot="1" x14ac:dyDescent="0.3">
      <c r="B58" s="423" t="s">
        <v>77</v>
      </c>
      <c r="C58" s="424"/>
      <c r="D58" s="71">
        <v>1</v>
      </c>
      <c r="E58" s="72">
        <v>55</v>
      </c>
      <c r="F58" s="66">
        <f>+E58*D58</f>
        <v>55</v>
      </c>
      <c r="G58" s="21">
        <f>+F58/$F$59</f>
        <v>6.5825719247819811E-2</v>
      </c>
      <c r="H58" s="33"/>
      <c r="I58" s="33"/>
      <c r="J58" s="23"/>
    </row>
    <row r="59" spans="1:17" ht="13.8" thickBot="1" x14ac:dyDescent="0.3">
      <c r="B59" s="425" t="s">
        <v>78</v>
      </c>
      <c r="C59" s="426"/>
      <c r="D59" s="426"/>
      <c r="E59" s="427"/>
      <c r="F59" s="44">
        <f>SUM(F56:F58)</f>
        <v>835.53967398269845</v>
      </c>
      <c r="G59" s="21">
        <f>+F59/$F$59</f>
        <v>1</v>
      </c>
      <c r="H59" s="428"/>
      <c r="I59" s="33"/>
      <c r="J59" s="23"/>
    </row>
    <row r="60" spans="1:17" x14ac:dyDescent="0.25">
      <c r="C60" s="74"/>
      <c r="D60" s="74"/>
      <c r="E60" s="75"/>
      <c r="F60" s="66"/>
      <c r="G60" s="21"/>
      <c r="H60" s="428"/>
      <c r="I60" s="73"/>
      <c r="J60" s="6"/>
    </row>
    <row r="61" spans="1:17" ht="13.8" thickBot="1" x14ac:dyDescent="0.3">
      <c r="B61" s="429" t="s">
        <v>79</v>
      </c>
      <c r="C61" s="429"/>
      <c r="D61" s="429"/>
      <c r="E61" s="429"/>
      <c r="F61" s="429"/>
      <c r="G61" s="21"/>
      <c r="H61" s="77"/>
      <c r="I61" s="73"/>
      <c r="J61" s="6"/>
    </row>
    <row r="62" spans="1:17" ht="13.8" thickBot="1" x14ac:dyDescent="0.3">
      <c r="B62" s="78" t="s">
        <v>80</v>
      </c>
      <c r="C62" s="79">
        <f>+F46</f>
        <v>493.76304087300423</v>
      </c>
      <c r="D62" s="79">
        <f>+D51</f>
        <v>104</v>
      </c>
      <c r="E62" s="80">
        <f>+C62/D62</f>
        <v>4.7477215468558098</v>
      </c>
      <c r="F62" s="21"/>
      <c r="G62" s="77"/>
      <c r="H62" s="23"/>
      <c r="I62" s="77"/>
      <c r="J62" s="6"/>
    </row>
    <row r="63" spans="1:17" x14ac:dyDescent="0.25">
      <c r="B63" s="81"/>
      <c r="C63" s="82"/>
      <c r="D63" s="83"/>
      <c r="E63" s="66"/>
      <c r="F63" s="21"/>
      <c r="G63" s="77"/>
      <c r="H63" s="23"/>
      <c r="I63" s="23"/>
      <c r="J63" s="6"/>
    </row>
    <row r="64" spans="1:17" x14ac:dyDescent="0.25">
      <c r="B64" s="78" t="s">
        <v>81</v>
      </c>
      <c r="C64" s="79">
        <f>SUM(F56:F57)</f>
        <v>780.53967398269845</v>
      </c>
      <c r="D64" s="79">
        <f>+D51</f>
        <v>104</v>
      </c>
      <c r="E64" s="84">
        <f>+C64/D64</f>
        <v>7.505189172910562</v>
      </c>
      <c r="F64" s="21"/>
      <c r="G64" s="77"/>
      <c r="H64" s="23"/>
      <c r="I64" s="23"/>
      <c r="J64" s="6"/>
    </row>
    <row r="65" spans="2:10" x14ac:dyDescent="0.25">
      <c r="B65" s="78"/>
      <c r="C65" s="79"/>
      <c r="D65" s="79"/>
      <c r="E65" s="84"/>
      <c r="F65" s="21"/>
      <c r="G65" s="77"/>
      <c r="H65" s="23"/>
      <c r="I65" s="23"/>
      <c r="J65" s="6"/>
    </row>
    <row r="66" spans="2:10" ht="13.8" thickBot="1" x14ac:dyDescent="0.3">
      <c r="B66" s="78" t="s">
        <v>82</v>
      </c>
      <c r="C66" s="79">
        <f>+F58</f>
        <v>55</v>
      </c>
      <c r="D66" s="79">
        <f>+D51</f>
        <v>104</v>
      </c>
      <c r="E66" s="84">
        <f>+C66/D66</f>
        <v>0.52884615384615385</v>
      </c>
      <c r="F66" s="21"/>
      <c r="G66" s="77"/>
      <c r="H66" s="23"/>
      <c r="I66" s="23"/>
      <c r="J66" s="6"/>
    </row>
    <row r="67" spans="2:10" ht="13.8" thickBot="1" x14ac:dyDescent="0.3">
      <c r="B67" s="78" t="s">
        <v>83</v>
      </c>
      <c r="C67" s="79">
        <f>+F49</f>
        <v>101.37044583962489</v>
      </c>
      <c r="D67" s="79">
        <f>+D66</f>
        <v>104</v>
      </c>
      <c r="E67" s="80">
        <f>+C67/D67</f>
        <v>0.97471582538100854</v>
      </c>
      <c r="F67" s="21"/>
      <c r="G67" s="77"/>
      <c r="H67" s="23"/>
      <c r="I67" s="23"/>
      <c r="J67" s="6"/>
    </row>
    <row r="68" spans="2:10" ht="13.8" thickBot="1" x14ac:dyDescent="0.3">
      <c r="B68" s="43"/>
      <c r="C68" s="44"/>
      <c r="D68" s="44"/>
      <c r="E68" s="84"/>
      <c r="F68" s="21"/>
      <c r="G68" s="77"/>
      <c r="H68" s="23"/>
      <c r="I68" s="23"/>
      <c r="J68" s="6"/>
    </row>
    <row r="69" spans="2:10" ht="13.8" thickBot="1" x14ac:dyDescent="0.3">
      <c r="B69" s="78" t="s">
        <v>84</v>
      </c>
      <c r="C69" s="79">
        <f>+F47</f>
        <v>276.9013722922341</v>
      </c>
      <c r="D69" s="79">
        <f>+D67</f>
        <v>104</v>
      </c>
      <c r="E69" s="80">
        <f>+C69/D69</f>
        <v>2.6625131951176355</v>
      </c>
      <c r="F69" s="21"/>
      <c r="G69" s="77"/>
      <c r="H69" s="23"/>
      <c r="I69" s="23"/>
      <c r="J69" s="23"/>
    </row>
    <row r="70" spans="2:10" ht="13.8" thickBot="1" x14ac:dyDescent="0.3">
      <c r="B70" s="43"/>
      <c r="C70" s="44"/>
      <c r="D70" s="44"/>
      <c r="E70" s="84"/>
      <c r="F70" s="21"/>
      <c r="G70" s="77"/>
      <c r="H70" s="23"/>
      <c r="I70" s="23"/>
    </row>
    <row r="71" spans="2:10" ht="13.8" thickBot="1" x14ac:dyDescent="0.3">
      <c r="B71" s="430" t="s">
        <v>85</v>
      </c>
      <c r="C71" s="431"/>
      <c r="D71" s="432"/>
      <c r="E71" s="80">
        <f>+E62+E67</f>
        <v>5.7224373722368185</v>
      </c>
      <c r="G71" s="21"/>
      <c r="H71" s="77"/>
      <c r="I71" s="23"/>
      <c r="J71" s="84"/>
    </row>
    <row r="72" spans="2:10" x14ac:dyDescent="0.25">
      <c r="I72" s="77"/>
      <c r="J72" s="6"/>
    </row>
    <row r="73" spans="2:10" ht="13.8" thickBot="1" x14ac:dyDescent="0.3">
      <c r="B73" s="429" t="s">
        <v>86</v>
      </c>
      <c r="C73" s="429"/>
      <c r="D73" s="429"/>
      <c r="E73" s="429"/>
      <c r="F73" s="429"/>
      <c r="G73" s="21"/>
      <c r="H73" s="77"/>
      <c r="J73" s="6"/>
    </row>
    <row r="74" spans="2:10" ht="13.8" thickBot="1" x14ac:dyDescent="0.3">
      <c r="B74" s="78" t="s">
        <v>80</v>
      </c>
      <c r="C74" s="79">
        <f>+C62</f>
        <v>493.76304087300423</v>
      </c>
      <c r="D74" s="79">
        <f>+D53</f>
        <v>1</v>
      </c>
      <c r="E74" s="80">
        <f>+C74/D74</f>
        <v>493.76304087300423</v>
      </c>
      <c r="F74" s="21"/>
      <c r="G74" s="77"/>
      <c r="H74" s="23"/>
      <c r="I74" s="77"/>
      <c r="J74" s="6"/>
    </row>
    <row r="75" spans="2:10" x14ac:dyDescent="0.25">
      <c r="B75" s="81"/>
      <c r="C75" s="82"/>
      <c r="D75" s="83"/>
      <c r="E75" s="66"/>
      <c r="F75" s="21"/>
      <c r="G75" s="77"/>
      <c r="H75" s="23"/>
      <c r="I75" s="23"/>
      <c r="J75" s="6"/>
    </row>
    <row r="76" spans="2:10" x14ac:dyDescent="0.25">
      <c r="B76" s="78" t="s">
        <v>81</v>
      </c>
      <c r="C76" s="79">
        <f>+C64</f>
        <v>780.53967398269845</v>
      </c>
      <c r="D76" s="79">
        <f>+D53</f>
        <v>1</v>
      </c>
      <c r="E76" s="84">
        <f>+C76/D76</f>
        <v>780.53967398269845</v>
      </c>
      <c r="F76" s="21"/>
      <c r="G76" s="77"/>
      <c r="H76" s="23"/>
      <c r="I76" s="23"/>
      <c r="J76" s="6"/>
    </row>
    <row r="77" spans="2:10" x14ac:dyDescent="0.25">
      <c r="B77" s="78"/>
      <c r="C77" s="79"/>
      <c r="D77" s="79"/>
      <c r="E77" s="84"/>
      <c r="F77" s="21"/>
      <c r="G77" s="77"/>
      <c r="H77" s="23"/>
      <c r="I77" s="23"/>
      <c r="J77" s="6"/>
    </row>
    <row r="78" spans="2:10" ht="13.8" thickBot="1" x14ac:dyDescent="0.3">
      <c r="B78" s="78" t="s">
        <v>83</v>
      </c>
      <c r="C78" s="79">
        <f>+C66</f>
        <v>55</v>
      </c>
      <c r="D78" s="79">
        <f>+D53</f>
        <v>1</v>
      </c>
      <c r="E78" s="84">
        <f>+C78/D78</f>
        <v>55</v>
      </c>
      <c r="F78" s="86"/>
      <c r="G78" s="76"/>
      <c r="H78" s="5"/>
      <c r="I78" s="23"/>
    </row>
    <row r="79" spans="2:10" ht="13.8" thickBot="1" x14ac:dyDescent="0.3">
      <c r="B79" s="78" t="s">
        <v>83</v>
      </c>
      <c r="C79" s="79">
        <f>+C67</f>
        <v>101.37044583962489</v>
      </c>
      <c r="D79" s="79">
        <f>+D78</f>
        <v>1</v>
      </c>
      <c r="E79" s="80">
        <f>+C79/D79</f>
        <v>101.37044583962489</v>
      </c>
      <c r="F79" s="85"/>
      <c r="G79" s="76"/>
      <c r="H79" s="5"/>
      <c r="I79" s="5"/>
    </row>
    <row r="80" spans="2:10" x14ac:dyDescent="0.25">
      <c r="I80" s="5"/>
    </row>
    <row r="81" spans="1:5" x14ac:dyDescent="0.25">
      <c r="A81" s="422"/>
      <c r="B81" s="422"/>
      <c r="C81" s="87"/>
      <c r="D81" s="87"/>
      <c r="E81" s="88"/>
    </row>
    <row r="82" spans="1:5" x14ac:dyDescent="0.25">
      <c r="A82" s="24"/>
      <c r="B82" s="89"/>
      <c r="C82" s="90"/>
      <c r="D82" s="90"/>
      <c r="E82" s="91"/>
    </row>
    <row r="83" spans="1:5" x14ac:dyDescent="0.25">
      <c r="A83" s="24"/>
      <c r="B83" s="89"/>
      <c r="C83" s="92"/>
      <c r="D83" s="92"/>
      <c r="E83" s="24"/>
    </row>
    <row r="84" spans="1:5" x14ac:dyDescent="0.25">
      <c r="A84" s="24"/>
      <c r="B84" s="89"/>
      <c r="C84" s="93"/>
      <c r="D84" s="93"/>
      <c r="E84" s="24"/>
    </row>
  </sheetData>
  <mergeCells count="31">
    <mergeCell ref="A4:H4"/>
    <mergeCell ref="A5:H5"/>
    <mergeCell ref="F6:G6"/>
    <mergeCell ref="K24:L24"/>
    <mergeCell ref="K25:L25"/>
    <mergeCell ref="K26:L26"/>
    <mergeCell ref="K27:L27"/>
    <mergeCell ref="B46:E46"/>
    <mergeCell ref="B47:E47"/>
    <mergeCell ref="K47:N47"/>
    <mergeCell ref="B48:E48"/>
    <mergeCell ref="L48:N48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8E20-B145-44C4-A9EF-FAAAD125CD1C}">
  <dimension ref="A1:AK43"/>
  <sheetViews>
    <sheetView topLeftCell="A10" workbookViewId="0">
      <selection activeCell="F23" sqref="F23"/>
    </sheetView>
  </sheetViews>
  <sheetFormatPr baseColWidth="10" defaultColWidth="8.44140625" defaultRowHeight="10.199999999999999" x14ac:dyDescent="0.2"/>
  <cols>
    <col min="1" max="1" width="7.5546875" style="94" customWidth="1"/>
    <col min="2" max="2" width="7.6640625" style="94" bestFit="1" customWidth="1"/>
    <col min="3" max="3" width="39.33203125" style="94" customWidth="1"/>
    <col min="4" max="4" width="10" style="94" bestFit="1" customWidth="1"/>
    <col min="5" max="5" width="9.44140625" style="94" bestFit="1" customWidth="1"/>
    <col min="6" max="6" width="11.6640625" style="136" customWidth="1"/>
    <col min="7" max="7" width="8.6640625" style="137" bestFit="1" customWidth="1"/>
    <col min="8" max="8" width="10.33203125" style="138" bestFit="1" customWidth="1"/>
    <col min="9" max="16384" width="8.44140625" style="94"/>
  </cols>
  <sheetData>
    <row r="1" spans="2:8" ht="36" customHeight="1" thickBot="1" x14ac:dyDescent="0.4">
      <c r="B1" s="460"/>
      <c r="C1" s="461"/>
      <c r="D1" s="461"/>
      <c r="E1" s="461"/>
      <c r="F1" s="461"/>
      <c r="G1" s="461"/>
      <c r="H1" s="462"/>
    </row>
    <row r="2" spans="2:8" ht="19.5" customHeight="1" thickBot="1" x14ac:dyDescent="0.25">
      <c r="B2" s="463" t="s">
        <v>87</v>
      </c>
      <c r="C2" s="463"/>
      <c r="D2" s="463"/>
      <c r="E2" s="463"/>
      <c r="F2" s="463"/>
      <c r="G2" s="463"/>
      <c r="H2" s="463"/>
    </row>
    <row r="3" spans="2:8" ht="19.5" customHeight="1" thickTop="1" x14ac:dyDescent="0.2">
      <c r="B3" s="464" t="s">
        <v>88</v>
      </c>
      <c r="C3" s="464"/>
      <c r="D3" s="464"/>
      <c r="E3" s="464"/>
      <c r="F3" s="464"/>
      <c r="G3" s="464"/>
      <c r="H3" s="464"/>
    </row>
    <row r="4" spans="2:8" ht="19.5" customHeight="1" x14ac:dyDescent="0.2">
      <c r="B4" s="95"/>
      <c r="C4" s="95"/>
      <c r="D4" s="95"/>
      <c r="E4" s="95"/>
      <c r="F4" s="465" t="s">
        <v>42</v>
      </c>
      <c r="G4" s="465"/>
      <c r="H4" s="12"/>
    </row>
    <row r="5" spans="2:8" ht="30" customHeight="1" x14ac:dyDescent="0.2">
      <c r="B5" s="96" t="s">
        <v>75</v>
      </c>
      <c r="C5" s="96" t="s">
        <v>44</v>
      </c>
      <c r="D5" s="96" t="s">
        <v>75</v>
      </c>
      <c r="E5" s="97" t="s">
        <v>89</v>
      </c>
      <c r="F5" s="97" t="s">
        <v>90</v>
      </c>
      <c r="G5" s="97" t="s">
        <v>91</v>
      </c>
      <c r="H5" s="97" t="s">
        <v>92</v>
      </c>
    </row>
    <row r="6" spans="2:8" s="98" customFormat="1" ht="20.100000000000001" customHeight="1" x14ac:dyDescent="0.2">
      <c r="B6" s="99">
        <v>1</v>
      </c>
      <c r="C6" s="98" t="s">
        <v>118</v>
      </c>
      <c r="D6" s="100">
        <f>+B6</f>
        <v>1</v>
      </c>
      <c r="E6" s="100">
        <f>+'Costeo Brownie'!H46</f>
        <v>493.76304087300423</v>
      </c>
      <c r="F6" s="101">
        <f>+D6*E6</f>
        <v>493.76304087300423</v>
      </c>
      <c r="G6" s="102">
        <f>+F6/$F$23</f>
        <v>0.44192732425933012</v>
      </c>
      <c r="H6" s="103" t="s">
        <v>93</v>
      </c>
    </row>
    <row r="7" spans="2:8" s="98" customFormat="1" ht="20.100000000000001" customHeight="1" x14ac:dyDescent="0.2">
      <c r="B7" s="99"/>
      <c r="D7" s="100"/>
      <c r="E7" s="100"/>
      <c r="F7" s="101"/>
      <c r="G7" s="102"/>
      <c r="H7" s="103"/>
    </row>
    <row r="8" spans="2:8" ht="30" customHeight="1" x14ac:dyDescent="0.2">
      <c r="B8" s="96" t="s">
        <v>75</v>
      </c>
      <c r="C8" s="96" t="s">
        <v>51</v>
      </c>
      <c r="D8" s="96" t="s">
        <v>75</v>
      </c>
      <c r="E8" s="97" t="s">
        <v>89</v>
      </c>
      <c r="F8" s="97" t="s">
        <v>90</v>
      </c>
      <c r="G8" s="97" t="s">
        <v>91</v>
      </c>
      <c r="H8" s="97" t="s">
        <v>92</v>
      </c>
    </row>
    <row r="9" spans="2:8" s="98" customFormat="1" ht="20.100000000000001" customHeight="1" x14ac:dyDescent="0.2">
      <c r="B9" s="99">
        <v>1</v>
      </c>
      <c r="C9" s="98" t="s">
        <v>94</v>
      </c>
      <c r="D9" s="100">
        <f>+B9</f>
        <v>1</v>
      </c>
      <c r="E9" s="100">
        <f>+'Costeo Brownie'!H47</f>
        <v>276.9013722922341</v>
      </c>
      <c r="F9" s="101">
        <f>+D9*E9</f>
        <v>276.9013722922341</v>
      </c>
      <c r="G9" s="102">
        <f>+F9/$F$23</f>
        <v>0.24783200120544713</v>
      </c>
      <c r="H9" s="103" t="s">
        <v>95</v>
      </c>
    </row>
    <row r="10" spans="2:8" s="104" customFormat="1" ht="17.25" customHeight="1" x14ac:dyDescent="0.25">
      <c r="B10" s="105"/>
      <c r="C10" s="106"/>
      <c r="D10" s="107"/>
      <c r="E10" s="107"/>
      <c r="F10" s="108"/>
      <c r="G10" s="109"/>
      <c r="H10" s="110"/>
    </row>
    <row r="11" spans="2:8" s="104" customFormat="1" ht="12" x14ac:dyDescent="0.25">
      <c r="B11" s="99"/>
      <c r="C11" s="434" t="s">
        <v>96</v>
      </c>
      <c r="D11" s="434"/>
      <c r="E11" s="100"/>
      <c r="F11" s="38">
        <f>SUM(F6)</f>
        <v>493.76304087300423</v>
      </c>
      <c r="G11" s="111">
        <f>+F11/$F$23</f>
        <v>0.44192732425933012</v>
      </c>
      <c r="H11" s="103"/>
    </row>
    <row r="12" spans="2:8" s="104" customFormat="1" ht="12.6" thickBot="1" x14ac:dyDescent="0.3">
      <c r="B12" s="99"/>
      <c r="C12" s="434" t="s">
        <v>97</v>
      </c>
      <c r="D12" s="434"/>
      <c r="E12" s="100"/>
      <c r="F12" s="112">
        <f>SUM(F9)</f>
        <v>276.9013722922341</v>
      </c>
      <c r="G12" s="111">
        <f>+F12/$F$23</f>
        <v>0.24783200120544713</v>
      </c>
      <c r="H12" s="103"/>
    </row>
    <row r="13" spans="2:8" s="104" customFormat="1" ht="12.6" thickTop="1" x14ac:dyDescent="0.25">
      <c r="B13" s="99"/>
      <c r="C13" s="436" t="s">
        <v>58</v>
      </c>
      <c r="D13" s="436"/>
      <c r="E13" s="436"/>
      <c r="F13" s="50">
        <f>SUM(F11:F12)</f>
        <v>770.66441316523833</v>
      </c>
      <c r="G13" s="111">
        <f>+F13/$F$23</f>
        <v>0.68975932546477725</v>
      </c>
      <c r="H13" s="103"/>
    </row>
    <row r="14" spans="2:8" s="104" customFormat="1" ht="12" x14ac:dyDescent="0.25">
      <c r="C14" s="46"/>
      <c r="D14" s="46"/>
      <c r="E14" s="113"/>
      <c r="F14" s="114"/>
      <c r="G14" s="111"/>
    </row>
    <row r="15" spans="2:8" s="104" customFormat="1" ht="12" x14ac:dyDescent="0.25">
      <c r="B15" s="434" t="s">
        <v>58</v>
      </c>
      <c r="C15" s="434"/>
      <c r="D15" s="434"/>
      <c r="E15" s="115" t="s">
        <v>98</v>
      </c>
      <c r="F15" s="38">
        <f>+F13</f>
        <v>770.66441316523833</v>
      </c>
      <c r="G15" s="111">
        <f t="shared" ref="G15:G23" si="0">+F15/$F$23</f>
        <v>0.68975932546477725</v>
      </c>
      <c r="H15" s="116"/>
    </row>
    <row r="16" spans="2:8" s="104" customFormat="1" ht="12.75" customHeight="1" thickBot="1" x14ac:dyDescent="0.3">
      <c r="B16" s="41"/>
      <c r="C16" s="434" t="s">
        <v>60</v>
      </c>
      <c r="D16" s="434"/>
      <c r="E16" s="117"/>
      <c r="F16" s="38">
        <f>+'Costeo Brownie'!H49</f>
        <v>101.37044583962489</v>
      </c>
      <c r="G16" s="111">
        <f t="shared" si="0"/>
        <v>9.072847941327164E-2</v>
      </c>
      <c r="H16" s="116"/>
    </row>
    <row r="17" spans="1:37" s="104" customFormat="1" ht="12.75" hidden="1" customHeight="1" x14ac:dyDescent="0.25">
      <c r="B17" s="41"/>
      <c r="C17" s="434" t="s">
        <v>99</v>
      </c>
      <c r="D17" s="434"/>
      <c r="E17" s="118">
        <v>0</v>
      </c>
      <c r="F17" s="38">
        <f>+(F15+F16)*E17</f>
        <v>0</v>
      </c>
      <c r="G17" s="111">
        <f t="shared" si="0"/>
        <v>0</v>
      </c>
      <c r="H17" s="116"/>
    </row>
    <row r="18" spans="1:37" s="104" customFormat="1" ht="12.6" hidden="1" thickBot="1" x14ac:dyDescent="0.3">
      <c r="B18" s="41"/>
      <c r="C18" s="434" t="s">
        <v>100</v>
      </c>
      <c r="D18" s="434"/>
      <c r="E18" s="118">
        <v>0</v>
      </c>
      <c r="F18" s="38">
        <f>+F16*E18</f>
        <v>0</v>
      </c>
      <c r="G18" s="111">
        <f t="shared" si="0"/>
        <v>0</v>
      </c>
      <c r="H18" s="116"/>
    </row>
    <row r="19" spans="1:37" s="104" customFormat="1" ht="12.6" thickBot="1" x14ac:dyDescent="0.3">
      <c r="B19" s="46"/>
      <c r="C19" s="458"/>
      <c r="D19" s="458"/>
      <c r="E19" s="459"/>
      <c r="F19" s="49">
        <f>SUM(F15:F18)</f>
        <v>872.03485900486316</v>
      </c>
      <c r="G19" s="119">
        <f>+F19/$F$21</f>
        <v>0.79999999999999993</v>
      </c>
      <c r="H19" s="116"/>
    </row>
    <row r="20" spans="1:37" s="104" customFormat="1" ht="12" x14ac:dyDescent="0.25">
      <c r="B20" s="46"/>
      <c r="C20" s="434" t="s">
        <v>65</v>
      </c>
      <c r="D20" s="434"/>
      <c r="E20" s="53">
        <v>0.25</v>
      </c>
      <c r="F20" s="38">
        <f>+F19*E20</f>
        <v>218.00871475121579</v>
      </c>
      <c r="G20" s="111">
        <f t="shared" si="0"/>
        <v>0.1951219512195122</v>
      </c>
      <c r="H20" s="116"/>
    </row>
    <row r="21" spans="1:37" s="104" customFormat="1" ht="12" x14ac:dyDescent="0.25">
      <c r="B21" s="46"/>
      <c r="C21" s="434" t="s">
        <v>63</v>
      </c>
      <c r="D21" s="434"/>
      <c r="E21" s="434"/>
      <c r="F21" s="38">
        <f>SUM(F19:F20)</f>
        <v>1090.043573756079</v>
      </c>
      <c r="G21" s="111">
        <f t="shared" si="0"/>
        <v>0.97560975609756106</v>
      </c>
      <c r="H21" s="116"/>
    </row>
    <row r="22" spans="1:37" s="104" customFormat="1" ht="12.6" thickBot="1" x14ac:dyDescent="0.3">
      <c r="B22" s="46"/>
      <c r="C22" s="434" t="s">
        <v>68</v>
      </c>
      <c r="D22" s="434"/>
      <c r="E22" s="53">
        <v>2.5000000000000001E-2</v>
      </c>
      <c r="F22" s="38">
        <f>+F21*E22</f>
        <v>27.251089343901977</v>
      </c>
      <c r="G22" s="111">
        <f t="shared" si="0"/>
        <v>2.4390243902439029E-2</v>
      </c>
      <c r="H22" s="116"/>
    </row>
    <row r="23" spans="1:37" s="104" customFormat="1" ht="12.6" thickBot="1" x14ac:dyDescent="0.3">
      <c r="B23" s="46"/>
      <c r="C23" s="436" t="s">
        <v>70</v>
      </c>
      <c r="D23" s="436"/>
      <c r="E23" s="437"/>
      <c r="F23" s="49">
        <f>SUM(F21:F22)</f>
        <v>1117.2946630999809</v>
      </c>
      <c r="G23" s="111">
        <f t="shared" si="0"/>
        <v>1</v>
      </c>
      <c r="H23" s="120"/>
    </row>
    <row r="24" spans="1:37" s="104" customFormat="1" ht="12.6" thickBot="1" x14ac:dyDescent="0.3">
      <c r="B24" s="46"/>
      <c r="C24" s="121"/>
      <c r="D24" s="121"/>
      <c r="E24" s="121"/>
      <c r="F24" s="50"/>
      <c r="G24" s="122"/>
      <c r="H24" s="120"/>
    </row>
    <row r="25" spans="1:37" s="123" customFormat="1" ht="19.5" customHeight="1" thickBot="1" x14ac:dyDescent="0.3">
      <c r="A25" s="455"/>
      <c r="B25" s="456"/>
      <c r="C25" s="456"/>
      <c r="D25" s="456"/>
      <c r="E25" s="456"/>
      <c r="F25" s="456"/>
      <c r="G25" s="456"/>
      <c r="H25" s="456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</row>
    <row r="26" spans="1:37" s="104" customFormat="1" ht="19.5" customHeight="1" thickBot="1" x14ac:dyDescent="0.3">
      <c r="F26" s="124"/>
      <c r="G26" s="125"/>
      <c r="H26" s="116"/>
    </row>
    <row r="27" spans="1:37" s="104" customFormat="1" ht="13.5" customHeight="1" thickBot="1" x14ac:dyDescent="0.3">
      <c r="B27" s="46"/>
      <c r="C27" s="436" t="s">
        <v>70</v>
      </c>
      <c r="D27" s="436"/>
      <c r="E27" s="437"/>
      <c r="F27" s="49">
        <f>+F23</f>
        <v>1117.2946630999809</v>
      </c>
      <c r="H27" s="116"/>
    </row>
    <row r="28" spans="1:37" s="104" customFormat="1" ht="13.5" customHeight="1" x14ac:dyDescent="0.25">
      <c r="B28" s="46"/>
      <c r="C28" s="451" t="s">
        <v>101</v>
      </c>
      <c r="D28" s="451" t="s">
        <v>102</v>
      </c>
      <c r="E28" s="53">
        <v>0.1</v>
      </c>
      <c r="F28" s="126">
        <f>+F27*E28</f>
        <v>111.72946630999809</v>
      </c>
      <c r="G28" s="127" t="s">
        <v>103</v>
      </c>
      <c r="H28" s="116" t="s">
        <v>104</v>
      </c>
    </row>
    <row r="29" spans="1:37" s="104" customFormat="1" ht="13.5" customHeight="1" x14ac:dyDescent="0.25">
      <c r="B29" s="46"/>
      <c r="C29" s="452" t="s">
        <v>105</v>
      </c>
      <c r="D29" s="452"/>
      <c r="E29" s="452"/>
      <c r="F29" s="126">
        <f>SUM(F27:F28)</f>
        <v>1229.024129409979</v>
      </c>
      <c r="G29" s="127">
        <f>+F29/$F$31</f>
        <v>0.8</v>
      </c>
      <c r="H29" s="128">
        <f>1-(F29/F31)</f>
        <v>0.19999999999999996</v>
      </c>
    </row>
    <row r="30" spans="1:37" s="104" customFormat="1" ht="12" x14ac:dyDescent="0.25">
      <c r="B30" s="106"/>
      <c r="C30" s="451" t="s">
        <v>106</v>
      </c>
      <c r="D30" s="451"/>
      <c r="E30" s="53">
        <v>0.25</v>
      </c>
      <c r="F30" s="38">
        <f>+F29*E30</f>
        <v>307.25603235249474</v>
      </c>
      <c r="G30" s="122"/>
      <c r="H30" s="129"/>
    </row>
    <row r="31" spans="1:37" s="104" customFormat="1" ht="12.6" thickBot="1" x14ac:dyDescent="0.3">
      <c r="B31" s="106"/>
      <c r="C31" s="453" t="s">
        <v>107</v>
      </c>
      <c r="D31" s="453"/>
      <c r="E31" s="139"/>
      <c r="F31" s="140">
        <f>SUM(F29:F30)</f>
        <v>1536.2801617624737</v>
      </c>
      <c r="G31" s="122"/>
      <c r="H31" s="120">
        <f>+F31/4</f>
        <v>384.07004044061841</v>
      </c>
    </row>
    <row r="32" spans="1:37" s="104" customFormat="1" ht="12.6" thickBot="1" x14ac:dyDescent="0.3">
      <c r="B32" s="106"/>
      <c r="C32" s="454" t="s">
        <v>108</v>
      </c>
      <c r="D32" s="454"/>
      <c r="E32" s="130">
        <v>0.13</v>
      </c>
      <c r="F32" s="131">
        <f>+F31*(1+E32)</f>
        <v>1735.9965827915951</v>
      </c>
      <c r="G32" s="122"/>
      <c r="H32" s="120"/>
    </row>
    <row r="33" spans="1:37" s="104" customFormat="1" ht="12.6" thickBot="1" x14ac:dyDescent="0.3">
      <c r="A33" s="455"/>
      <c r="B33" s="456"/>
      <c r="C33" s="456"/>
      <c r="D33" s="456"/>
      <c r="E33" s="456"/>
      <c r="F33" s="456"/>
      <c r="G33" s="456"/>
      <c r="H33" s="456"/>
    </row>
    <row r="34" spans="1:37" s="104" customFormat="1" ht="12" x14ac:dyDescent="0.25">
      <c r="B34" s="106"/>
      <c r="C34" s="457" t="s">
        <v>109</v>
      </c>
      <c r="D34" s="457"/>
      <c r="E34" s="132">
        <v>0.65</v>
      </c>
      <c r="F34" s="133">
        <f>+F31/0.65</f>
        <v>2363.5079411730362</v>
      </c>
      <c r="G34" s="122"/>
      <c r="H34" s="120"/>
    </row>
    <row r="35" spans="1:37" s="104" customFormat="1" ht="12" x14ac:dyDescent="0.25">
      <c r="B35" s="106"/>
      <c r="C35" s="451" t="s">
        <v>110</v>
      </c>
      <c r="D35" s="451"/>
      <c r="E35" s="132">
        <v>0.13</v>
      </c>
      <c r="F35" s="133">
        <f>+F34*1.13</f>
        <v>2670.7639735255307</v>
      </c>
      <c r="G35" s="122"/>
      <c r="H35" s="120"/>
    </row>
    <row r="36" spans="1:37" s="104" customFormat="1" ht="12.6" thickBot="1" x14ac:dyDescent="0.3">
      <c r="C36" s="438"/>
      <c r="D36" s="438"/>
      <c r="F36" s="134"/>
      <c r="G36" s="125"/>
      <c r="H36" s="116"/>
    </row>
    <row r="37" spans="1:37" s="123" customFormat="1" ht="19.5" customHeight="1" thickBot="1" x14ac:dyDescent="0.35">
      <c r="A37" s="449" t="s">
        <v>111</v>
      </c>
      <c r="B37" s="450"/>
      <c r="C37" s="450"/>
      <c r="D37" s="450"/>
      <c r="E37" s="450"/>
      <c r="F37" s="450"/>
      <c r="G37" s="450"/>
      <c r="H37" s="450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</row>
    <row r="38" spans="1:37" s="104" customFormat="1" ht="12" x14ac:dyDescent="0.25">
      <c r="F38" s="135"/>
      <c r="G38" s="125"/>
      <c r="H38" s="116"/>
    </row>
    <row r="43" spans="1:37" ht="12" x14ac:dyDescent="0.25">
      <c r="H43" s="108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ADDA9D9-7785-44DC-BCF6-24FF06163F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896E50-E7F1-4960-92D4-ACE39E109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270B65-E56A-4C66-A5C3-894C24930BB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B059E28-0C24-408D-B12F-2DD6C29CE3E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Receta Actual </vt:lpstr>
      <vt:lpstr>Costo Actual </vt:lpstr>
      <vt:lpstr>Receta Reing</vt:lpstr>
      <vt:lpstr>Costo Reing</vt:lpstr>
      <vt:lpstr>Comparativo de costos</vt:lpstr>
      <vt:lpstr>Hoja1</vt:lpstr>
      <vt:lpstr>Costeo Brownie</vt:lpstr>
      <vt:lpstr>Precio Industria</vt:lpstr>
      <vt:lpstr>'Receta Reing'!Área_de_impresión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2026-02-27T16:41:33Z</cp:lastPrinted>
  <dcterms:created xsi:type="dcterms:W3CDTF">2009-03-11T22:07:15Z</dcterms:created>
  <dcterms:modified xsi:type="dcterms:W3CDTF">2026-05-12T20:37:20Z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381800.000000000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
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5" documentId="8_{B4DB8F90-7FEE-4E7D-B94E-23F35CD76753}" xr6:coauthVersionLast="47" xr6:coauthVersionMax="47" xr10:uidLastSave="{1BA5A355-D277-48FD-B050-1585C0D92793}"/>
  <bookViews>
    <workbookView xWindow="-108" yWindow="-108" windowWidth="23256" windowHeight="12456" xr2:uid="{00000000-000D-0000-FFFF-FFFF00000000}"/>
  </bookViews>
  <sheets>
    <sheet name="Hoja1" sheetId="7" r:id="rId1"/>
    <sheet name="COSTO" sheetId="5" state="hidden" r:id="rId2"/>
    <sheet name="PRECIO" sheetId="6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7" l="1"/>
  <c r="D6" i="6"/>
  <c r="E6" i="6"/>
  <c r="F6" i="6"/>
  <c r="G6" i="6"/>
  <c r="D9" i="6"/>
  <c r="E9" i="6"/>
  <c r="F9" i="6"/>
  <c r="G9" i="6"/>
  <c r="F11" i="6"/>
  <c r="G11" i="6"/>
  <c r="F12" i="6"/>
  <c r="G12" i="6"/>
  <c r="F13" i="6"/>
  <c r="G13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7" i="6"/>
  <c r="F28" i="6"/>
  <c r="F29" i="6"/>
  <c r="G29" i="6"/>
  <c r="H29" i="6"/>
  <c r="F30" i="6"/>
  <c r="F31" i="6"/>
  <c r="F32" i="6"/>
  <c r="F34" i="6"/>
  <c r="F35" i="6"/>
  <c r="E2" i="5"/>
  <c r="F2" i="5"/>
  <c r="G2" i="5"/>
  <c r="H2" i="5"/>
  <c r="H6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C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A41" i="5"/>
  <c r="B41" i="5"/>
  <c r="C41" i="5"/>
  <c r="D41" i="5"/>
  <c r="E41" i="5"/>
  <c r="F41" i="5"/>
  <c r="G41" i="5"/>
  <c r="A42" i="5"/>
  <c r="B42" i="5"/>
  <c r="C42" i="5"/>
  <c r="D42" i="5"/>
  <c r="E42" i="5"/>
  <c r="F42" i="5"/>
  <c r="G42" i="5"/>
  <c r="A43" i="5"/>
  <c r="B43" i="5"/>
  <c r="C43" i="5"/>
  <c r="D43" i="5"/>
  <c r="E43" i="5"/>
  <c r="F43" i="5"/>
  <c r="G43" i="5"/>
  <c r="A44" i="5"/>
  <c r="B44" i="5"/>
  <c r="C44" i="5"/>
  <c r="D44" i="5"/>
  <c r="E44" i="5"/>
  <c r="F44" i="5"/>
  <c r="G44" i="5"/>
  <c r="A45" i="5"/>
  <c r="B45" i="5"/>
  <c r="C45" i="5"/>
  <c r="D45" i="5"/>
  <c r="E45" i="5"/>
  <c r="F45" i="5"/>
  <c r="G45" i="5"/>
  <c r="A46" i="5"/>
  <c r="B46" i="5"/>
  <c r="C46" i="5"/>
  <c r="D46" i="5"/>
  <c r="E46" i="5"/>
  <c r="F46" i="5"/>
  <c r="G46" i="5"/>
  <c r="A47" i="5"/>
  <c r="B47" i="5"/>
  <c r="C47" i="5"/>
  <c r="D47" i="5"/>
  <c r="E47" i="5"/>
  <c r="F47" i="5"/>
  <c r="G47" i="5"/>
  <c r="A50" i="5"/>
  <c r="B50" i="5"/>
  <c r="C50" i="5"/>
  <c r="D50" i="5"/>
  <c r="E50" i="5"/>
  <c r="F50" i="5"/>
  <c r="G50" i="5"/>
  <c r="A51" i="5"/>
  <c r="B51" i="5"/>
  <c r="C51" i="5"/>
  <c r="D51" i="5"/>
  <c r="E51" i="5"/>
  <c r="F51" i="5"/>
  <c r="G51" i="5"/>
  <c r="A52" i="5"/>
  <c r="B52" i="5"/>
  <c r="C52" i="5"/>
  <c r="D52" i="5"/>
  <c r="E52" i="5"/>
  <c r="F52" i="5"/>
  <c r="G52" i="5"/>
  <c r="A53" i="5"/>
  <c r="B53" i="5"/>
  <c r="C53" i="5"/>
  <c r="D53" i="5"/>
  <c r="E53" i="5"/>
  <c r="F53" i="5"/>
  <c r="G53" i="5"/>
  <c r="A54" i="5"/>
  <c r="B54" i="5"/>
  <c r="C54" i="5"/>
  <c r="D54" i="5"/>
  <c r="E54" i="5"/>
  <c r="F54" i="5"/>
  <c r="G54" i="5"/>
  <c r="A55" i="5"/>
  <c r="B55" i="5"/>
  <c r="C55" i="5"/>
  <c r="D55" i="5"/>
  <c r="E55" i="5"/>
  <c r="F55" i="5"/>
  <c r="G55" i="5"/>
  <c r="A56" i="5"/>
  <c r="B56" i="5"/>
  <c r="C56" i="5"/>
  <c r="D56" i="5"/>
  <c r="E56" i="5"/>
  <c r="F56" i="5"/>
  <c r="G56" i="5"/>
  <c r="C57" i="5"/>
  <c r="E57" i="5"/>
  <c r="F57" i="5"/>
  <c r="G57" i="5"/>
  <c r="F59" i="5"/>
  <c r="G59" i="5"/>
  <c r="H59" i="5"/>
  <c r="F60" i="5"/>
  <c r="G60" i="5"/>
  <c r="H60" i="5"/>
  <c r="O60" i="5"/>
  <c r="F61" i="5"/>
  <c r="G61" i="5"/>
  <c r="H61" i="5"/>
  <c r="O61" i="5"/>
  <c r="F62" i="5"/>
  <c r="G62" i="5"/>
  <c r="H62" i="5"/>
  <c r="O62" i="5"/>
  <c r="O63" i="5"/>
  <c r="O64" i="5"/>
  <c r="O65" i="5"/>
  <c r="D66" i="5"/>
  <c r="O66" i="5"/>
  <c r="O67" i="5"/>
  <c r="O68" i="5"/>
  <c r="P68" i="5"/>
  <c r="E69" i="5"/>
  <c r="F69" i="5"/>
  <c r="G69" i="5"/>
  <c r="F70" i="5"/>
  <c r="G70" i="5"/>
  <c r="F71" i="5"/>
  <c r="G71" i="5"/>
  <c r="F72" i="5"/>
  <c r="G72" i="5"/>
  <c r="C75" i="5"/>
  <c r="D75" i="5"/>
  <c r="E75" i="5"/>
  <c r="C77" i="5"/>
  <c r="D77" i="5"/>
  <c r="E77" i="5"/>
  <c r="C79" i="5"/>
  <c r="D79" i="5"/>
  <c r="E79" i="5"/>
  <c r="C80" i="5"/>
  <c r="D80" i="5"/>
  <c r="E80" i="5"/>
  <c r="C82" i="5"/>
  <c r="D82" i="5"/>
  <c r="E82" i="5"/>
  <c r="E84" i="5"/>
  <c r="C87" i="5"/>
  <c r="D87" i="5"/>
  <c r="E87" i="5"/>
  <c r="C89" i="5"/>
  <c r="D89" i="5"/>
  <c r="E89" i="5"/>
  <c r="C91" i="5"/>
  <c r="D91" i="5"/>
  <c r="E91" i="5"/>
  <c r="C92" i="5"/>
  <c r="D92" i="5"/>
  <c r="E92" i="5"/>
</calcChain>
</file>

<file path=xl/sharedStrings.xml><?xml version="1.0" encoding="utf-8"?>
<sst xmlns="http://schemas.openxmlformats.org/spreadsheetml/2006/main" count="323" uniqueCount="201">
  <si>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</si>
  <si>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</si>
  <si>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</si>
  <si>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</si>
  <si>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</si>
  <si>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</si>
  <si>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</si>
  <si>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</si>
  <si>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</si>
  <si>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</si>
  <si>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</si>
  <si>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</si>
  <si>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</si>
  <si>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</si>
  <si>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</si>
  <si>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</si>
  <si>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</si>
  <si>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</si>
  <si>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</si>
  <si>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</si>
  <si>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</si>
  <si>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</si>
  <si>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</si>
  <si>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</si>
  <si>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</si>
  <si>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</si>
  <si>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</si>
  <si>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</si>
  <si>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0702069</t>
  </si>
  <si>
    <t>ETIQ.BLANCA 1 1/4 * 3/4</t>
  </si>
  <si>
    <t>EMPAQUE</t>
  </si>
  <si>
    <t>Segunda capa</t>
  </si>
  <si>
    <t>Decoración</t>
  </si>
  <si>
    <t>2.- Colocar otro medio rosquete humedecido y rellenar con caramelo y chocolate con pecanas.</t>
  </si>
  <si>
    <t>3.- Tapar con rosquete humedecido.</t>
  </si>
  <si>
    <t>96344</t>
  </si>
  <si>
    <t>4.- Encremar con crema de dulce de leche. Hacer el colocho marmoleado con la boquilla de 842.</t>
  </si>
  <si>
    <t>5.- Colcar en el centro el ganache de baileys y el ganache oscuro en forma de gotas y 2 hojas de otoño acorde a la fotografia.</t>
  </si>
  <si>
    <t>60100023</t>
  </si>
  <si>
    <t>ETIQ.FECHA VENCIMIENTO BLANCO</t>
  </si>
  <si>
    <t>910000007</t>
  </si>
  <si>
    <t>905000031</t>
  </si>
  <si>
    <t>907000015</t>
  </si>
  <si>
    <t>1.- Partir 2 rosquetes por la  Utilizar 1 1/2 unidad Huedecer 3 medios rosquetes con mezcla de tres leches con bailyes. Rellenar la primera capa con crema moka.</t>
  </si>
  <si>
    <t>MEZCLA TRES LECHES C/BAILEYS LITRO</t>
  </si>
  <si>
    <t>MEZCLA CHOCOLATE BLANCO C/PECANA (KILO)</t>
  </si>
  <si>
    <t>CREMA DULCE LECHE KILO</t>
  </si>
  <si>
    <t>908000048</t>
  </si>
  <si>
    <t>GANACHE BAILEYS (KILO)</t>
  </si>
  <si>
    <t>908000032</t>
  </si>
  <si>
    <t>GANACHE CHOCOLATE OSCURO (KILO)</t>
  </si>
  <si>
    <t>FAS</t>
  </si>
  <si>
    <t>CINTA ADHESIVA TRANSPARENT 2*100 M (UND)</t>
  </si>
  <si>
    <t>Esteban Cartin, Gte Manufactura</t>
  </si>
  <si>
    <t>ud</t>
  </si>
  <si>
    <t>cm</t>
  </si>
  <si>
    <t>ETIQUETA BLANCA R-153 (UND)</t>
  </si>
  <si>
    <t>ETIQUETA BLANCA 2 5/8X1 15/16 (UND)</t>
  </si>
  <si>
    <t>ETIQUETA D-31 TORTA BAILEYS (ROLLO)</t>
  </si>
  <si>
    <t>min</t>
  </si>
  <si>
    <t>907000233</t>
  </si>
  <si>
    <t>SPOON</t>
  </si>
  <si>
    <t>10700013</t>
  </si>
  <si>
    <t>STICK DORADO (CAJA:100 UND)</t>
  </si>
  <si>
    <t>1950808</t>
  </si>
  <si>
    <t>ORLA CARTON  8" (100 * PAQ )</t>
  </si>
  <si>
    <t>51400016</t>
  </si>
  <si>
    <t>51400017</t>
  </si>
  <si>
    <t>702007</t>
  </si>
  <si>
    <t>0702077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</si>
  <si>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</si>
  <si>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</si>
  <si>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</si>
  <si>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</si>
  <si>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</si>
  <si>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</si>
  <si>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</si>
  <si>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</si>
  <si>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</si>
  <si>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</si>
  <si>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</si>
  <si>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</si>
  <si>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</si>
  <si>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</si>
  <si>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</si>
  <si>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</si>
  <si>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</si>
  <si>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</si>
  <si>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</si>
  <si>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</si>
  <si>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</si>
  <si>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</si>
  <si>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</si>
  <si>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</si>
  <si>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</si>
  <si>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</si>
  <si>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</si>
  <si>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</si>
  <si>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</si>
  <si>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</si>
  <si>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</si>
  <si>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</si>
  <si>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</si>
  <si>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</si>
  <si>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</si>
  <si>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</si>
  <si>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</si>
  <si>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</si>
  <si>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</si>
  <si>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</si>
  <si>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</si>
  <si>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</si>
  <si>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</si>
  <si>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</si>
  <si>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</si>
  <si>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</si>
  <si>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</si>
  <si>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</si>
  <si>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</si>
  <si>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</si>
  <si>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</si>
  <si>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</si>
  <si>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</si>
  <si>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</si>
  <si>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</si>
  <si>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</si>
  <si>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</si>
  <si>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</si>
  <si>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</si>
  <si>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</si>
  <si>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</si>
  <si>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% MK</t>
  </si>
  <si>
    <t>TRANSFERENCIA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</si>
  <si>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</si>
  <si>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</si>
  <si>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</si>
  <si>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</si>
  <si>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</si>
  <si>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</si>
  <si>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</si>
  <si>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</si>
  <si>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</si>
  <si>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</si>
  <si>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</si>
  <si>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0410154</t>
  </si>
  <si>
    <t>701096</t>
  </si>
  <si>
    <t>703020</t>
  </si>
  <si>
    <t>0702123</t>
  </si>
  <si>
    <t>0702167</t>
  </si>
  <si>
    <t>Und</t>
  </si>
  <si>
    <t xml:space="preserve">TORTA MINI BAILEYS </t>
  </si>
  <si>
    <t>RELLENO CREMA MOKA C/BAILEYS (KILO)</t>
  </si>
  <si>
    <t>6.- Colocar en una orla #10 y en una quequera 10 baja. Etiquetar con nombre, fecha de vencimiento, día Juliano, logo Spoon , sticcker Baileys.</t>
  </si>
  <si>
    <t>20100162</t>
  </si>
  <si>
    <t>EMPAQUE RELLENO CARAMELO SPOON</t>
  </si>
  <si>
    <t>SE00445</t>
  </si>
  <si>
    <t>SE00084</t>
  </si>
  <si>
    <t>SE00085</t>
  </si>
  <si>
    <t>SE00340</t>
  </si>
  <si>
    <t>SE00086</t>
  </si>
  <si>
    <t>SE00032</t>
  </si>
  <si>
    <t>SE00087</t>
  </si>
  <si>
    <t>SE00001</t>
  </si>
  <si>
    <t>MP10011</t>
  </si>
  <si>
    <t>EM10025</t>
  </si>
  <si>
    <t>EM10004</t>
  </si>
  <si>
    <t>EM10124</t>
  </si>
  <si>
    <t>EM10248</t>
  </si>
  <si>
    <t>EM10011</t>
  </si>
  <si>
    <t>EM10283</t>
  </si>
  <si>
    <t>EM10119</t>
  </si>
  <si>
    <t>EM10002</t>
  </si>
  <si>
    <t>EM10021</t>
  </si>
  <si>
    <t xml:space="preserve"> QUEQUERA BASE CON DOMO 9 ALTA (CAJA:50 UND) </t>
  </si>
  <si>
    <t>PTI00059 Torta de Baileys Mini</t>
  </si>
  <si>
    <t>Javier Tong, Chef</t>
  </si>
  <si>
    <t>AREA QUE PRODUCE:</t>
  </si>
  <si>
    <t xml:space="preserve">AREA QUE EMPACA: </t>
  </si>
  <si>
    <t>Decoracion</t>
  </si>
  <si>
    <t># Código Netsuite</t>
  </si>
  <si>
    <t>Ensamble</t>
  </si>
  <si>
    <t>ROSQUETE NUCLEO VAINILLA DAWN REDONDO 180G</t>
  </si>
  <si>
    <t>1 1/2 UND</t>
  </si>
  <si>
    <t>1/3 TAZA</t>
  </si>
  <si>
    <t>ENCREMAR</t>
  </si>
  <si>
    <t>COLOCHO BOQUILLA 842</t>
  </si>
  <si>
    <t>GOTAS</t>
  </si>
  <si>
    <t>KAROL LEDEZMA</t>
  </si>
  <si>
    <t>Empaque</t>
  </si>
  <si>
    <t>ESTUARDO</t>
  </si>
  <si>
    <t/>
  </si>
  <si>
    <t xml:space="preserve">ETIQ. GENERICA PEQUEÑA V-274 </t>
  </si>
  <si>
    <t>LITOGRAFIA CR</t>
  </si>
  <si>
    <t>ETIPLAST</t>
  </si>
  <si>
    <t>CEMUSA</t>
  </si>
  <si>
    <t>MAYCA</t>
  </si>
  <si>
    <t>CONTROL DE CAMBIOS</t>
  </si>
  <si>
    <t>ESP-RE-DES-043</t>
  </si>
  <si>
    <t>1/8 TAZA</t>
  </si>
  <si>
    <t>02</t>
  </si>
  <si>
    <t>2, Actualizacion de datos de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</si>
</sst>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0.0%"/>
    <numFmt numFmtId="172" formatCode="_(* #,##0.000_);_(* \(#,##0.000\);_(* &quot;-&quot;??_);_(@_)"/>
  </numFmts>
  <fonts count="60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46" fillId="0" borderId="0"/>
    <xf numFmtId="0" fontId="5" fillId="0" borderId="0"/>
    <xf numFmtId="0" fontId="46" fillId="0" borderId="0"/>
    <xf numFmtId="0" fontId="46" fillId="0" borderId="0"/>
    <xf numFmtId="0" fontId="46" fillId="0" borderId="0"/>
    <xf numFmtId="0" fontId="2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6" fillId="0" borderId="0" applyFont="0" applyFill="0" applyBorder="0" applyAlignment="0" applyProtection="0"/>
    <xf numFmtId="0" fontId="2" fillId="0" borderId="0"/>
  </cellStyleXfs>
  <cellXfs count="371">
    <xf numFmtId="0" fontId="0" fillId="0" borderId="0" xfId="0"/>
    <xf numFmtId="0" fontId="6" fillId="9" borderId="0" xfId="0" applyFont="1" applyFill="1" applyAlignment="1">
      <alignment vertical="center"/>
    </xf>
    <xf numFmtId="0" fontId="8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5" fontId="8" fillId="0" borderId="5" xfId="1" applyFont="1" applyFill="1" applyBorder="1" applyAlignment="1">
      <alignment horizontal="center" vertical="center"/>
    </xf>
    <xf numFmtId="165" fontId="8" fillId="0" borderId="0" xfId="1" applyFont="1" applyFill="1" applyBorder="1" applyAlignment="1">
      <alignment horizontal="center" vertical="center"/>
    </xf>
    <xf numFmtId="165" fontId="10" fillId="0" borderId="0" xfId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69" fontId="13" fillId="0" borderId="0" xfId="0" applyNumberFormat="1" applyFont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14" fillId="0" borderId="0" xfId="0" applyNumberFormat="1" applyFont="1" applyAlignment="1">
      <alignment horizontal="center"/>
    </xf>
    <xf numFmtId="4" fontId="14" fillId="0" borderId="0" xfId="2" applyNumberFormat="1" applyFont="1" applyFill="1" applyAlignment="1">
      <alignment horizontal="center" vertical="center"/>
    </xf>
    <xf numFmtId="4" fontId="8" fillId="0" borderId="0" xfId="2" applyNumberFormat="1" applyFont="1" applyFill="1" applyAlignment="1">
      <alignment horizontal="center" vertical="center"/>
    </xf>
    <xf numFmtId="10" fontId="8" fillId="0" borderId="0" xfId="18" applyNumberFormat="1" applyFont="1" applyFill="1" applyAlignment="1">
      <alignment vertical="center"/>
    </xf>
    <xf numFmtId="49" fontId="8" fillId="0" borderId="0" xfId="0" applyNumberFormat="1" applyFont="1" applyAlignment="1">
      <alignment horizontal="center" vertical="center"/>
    </xf>
    <xf numFmtId="10" fontId="9" fillId="0" borderId="0" xfId="18" applyNumberFormat="1" applyFont="1" applyFill="1" applyAlignment="1">
      <alignment vertical="center"/>
    </xf>
    <xf numFmtId="0" fontId="6" fillId="0" borderId="0" xfId="0" applyFont="1"/>
    <xf numFmtId="49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165" fontId="6" fillId="0" borderId="0" xfId="1" applyFont="1" applyFill="1" applyAlignment="1">
      <alignment vertical="center"/>
    </xf>
    <xf numFmtId="49" fontId="1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4" fontId="8" fillId="0" borderId="0" xfId="1" applyNumberFormat="1" applyFont="1" applyFill="1" applyAlignment="1">
      <alignment vertical="center"/>
    </xf>
    <xf numFmtId="165" fontId="16" fillId="0" borderId="0" xfId="1" applyFont="1" applyFill="1" applyAlignment="1">
      <alignment horizontal="center" vertical="center"/>
    </xf>
    <xf numFmtId="10" fontId="9" fillId="4" borderId="23" xfId="18" applyNumberFormat="1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23" xfId="0" applyFont="1" applyFill="1" applyBorder="1" applyAlignment="1">
      <alignment vertical="center"/>
    </xf>
    <xf numFmtId="165" fontId="16" fillId="4" borderId="24" xfId="1" applyFont="1" applyFill="1" applyBorder="1" applyAlignment="1">
      <alignment horizontal="center" vertical="center"/>
    </xf>
    <xf numFmtId="165" fontId="18" fillId="0" borderId="0" xfId="1" applyFont="1" applyFill="1" applyBorder="1" applyAlignment="1">
      <alignment horizontal="right"/>
    </xf>
    <xf numFmtId="0" fontId="6" fillId="4" borderId="24" xfId="0" applyFont="1" applyFill="1" applyBorder="1" applyAlignment="1">
      <alignment vertical="center"/>
    </xf>
    <xf numFmtId="10" fontId="9" fillId="4" borderId="24" xfId="18" applyNumberFormat="1" applyFont="1" applyFill="1" applyBorder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9" fontId="17" fillId="0" borderId="0" xfId="0" applyNumberFormat="1" applyFont="1"/>
    <xf numFmtId="9" fontId="47" fillId="0" borderId="0" xfId="18" applyFont="1" applyFill="1" applyAlignment="1">
      <alignment horizontal="center"/>
    </xf>
    <xf numFmtId="0" fontId="16" fillId="0" borderId="0" xfId="0" applyFont="1" applyAlignment="1">
      <alignment horizontal="right" vertical="center"/>
    </xf>
    <xf numFmtId="4" fontId="16" fillId="0" borderId="0" xfId="1" applyNumberFormat="1" applyFont="1" applyFill="1" applyAlignment="1">
      <alignment vertical="center"/>
    </xf>
    <xf numFmtId="4" fontId="16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25" xfId="0" applyFont="1" applyBorder="1" applyAlignment="1">
      <alignment horizontal="right"/>
    </xf>
    <xf numFmtId="165" fontId="21" fillId="5" borderId="26" xfId="1" applyFont="1" applyFill="1" applyBorder="1" applyAlignment="1">
      <alignment horizontal="right"/>
    </xf>
    <xf numFmtId="165" fontId="21" fillId="0" borderId="0" xfId="1" applyFont="1" applyFill="1" applyBorder="1" applyAlignment="1">
      <alignment horizontal="right"/>
    </xf>
    <xf numFmtId="165" fontId="8" fillId="0" borderId="5" xfId="1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6" fillId="0" borderId="0" xfId="2" applyNumberFormat="1" applyFont="1" applyFill="1" applyAlignment="1">
      <alignment horizontal="center" vertical="center"/>
    </xf>
    <xf numFmtId="10" fontId="23" fillId="0" borderId="0" xfId="18" applyNumberFormat="1" applyFont="1" applyFill="1" applyAlignment="1">
      <alignment horizontal="right"/>
    </xf>
    <xf numFmtId="170" fontId="8" fillId="4" borderId="5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5" fontId="8" fillId="6" borderId="5" xfId="1" applyFont="1" applyFill="1" applyBorder="1" applyAlignment="1">
      <alignment vertical="center"/>
    </xf>
    <xf numFmtId="165" fontId="24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9" fillId="4" borderId="27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1" applyNumberFormat="1" applyFont="1" applyFill="1" applyBorder="1" applyAlignment="1">
      <alignment horizontal="center"/>
    </xf>
    <xf numFmtId="2" fontId="20" fillId="0" borderId="0" xfId="1" applyNumberFormat="1" applyFont="1" applyFill="1" applyBorder="1" applyAlignment="1">
      <alignment horizontal="center"/>
    </xf>
    <xf numFmtId="0" fontId="6" fillId="4" borderId="27" xfId="0" applyFont="1" applyFill="1" applyBorder="1" applyAlignment="1">
      <alignment vertical="center"/>
    </xf>
    <xf numFmtId="10" fontId="6" fillId="0" borderId="0" xfId="18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65" fontId="21" fillId="4" borderId="11" xfId="1" applyFont="1" applyFill="1" applyBorder="1" applyAlignment="1">
      <alignment horizontal="right"/>
    </xf>
    <xf numFmtId="0" fontId="8" fillId="4" borderId="12" xfId="0" applyFont="1" applyFill="1" applyBorder="1" applyAlignment="1">
      <alignment horizontal="right" vertical="center"/>
    </xf>
    <xf numFmtId="10" fontId="27" fillId="0" borderId="0" xfId="1" applyNumberFormat="1" applyFont="1" applyFill="1" applyAlignment="1">
      <alignment vertical="center"/>
    </xf>
    <xf numFmtId="10" fontId="9" fillId="0" borderId="0" xfId="18" applyNumberFormat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165" fontId="29" fillId="0" borderId="0" xfId="1" applyFont="1" applyFill="1" applyAlignment="1">
      <alignment vertical="center"/>
    </xf>
    <xf numFmtId="4" fontId="30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4" fontId="15" fillId="0" borderId="0" xfId="1" applyNumberFormat="1" applyFont="1" applyFill="1" applyAlignment="1">
      <alignment vertical="center"/>
    </xf>
    <xf numFmtId="4" fontId="8" fillId="7" borderId="26" xfId="1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165" fontId="31" fillId="0" borderId="0" xfId="1" applyFont="1" applyFill="1" applyAlignment="1">
      <alignment vertical="center"/>
    </xf>
    <xf numFmtId="9" fontId="31" fillId="0" borderId="0" xfId="1" applyNumberFormat="1" applyFont="1" applyFill="1" applyAlignment="1">
      <alignment vertical="center"/>
    </xf>
    <xf numFmtId="4" fontId="8" fillId="0" borderId="0" xfId="1" applyNumberFormat="1" applyFont="1" applyFill="1" applyAlignment="1">
      <alignment horizontal="center" vertical="center"/>
    </xf>
    <xf numFmtId="10" fontId="24" fillId="0" borderId="0" xfId="18" applyNumberFormat="1" applyFont="1" applyFill="1" applyAlignment="1">
      <alignment vertical="center"/>
    </xf>
    <xf numFmtId="165" fontId="24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5" fontId="6" fillId="0" borderId="0" xfId="1" applyFont="1" applyFill="1" applyBorder="1"/>
    <xf numFmtId="10" fontId="24" fillId="0" borderId="0" xfId="18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165" fontId="6" fillId="0" borderId="0" xfId="1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8" fillId="0" borderId="0" xfId="0" applyNumberFormat="1" applyFont="1" applyAlignment="1">
      <alignment horizontal="center"/>
    </xf>
    <xf numFmtId="165" fontId="8" fillId="0" borderId="0" xfId="0" applyNumberFormat="1" applyFont="1"/>
    <xf numFmtId="0" fontId="22" fillId="0" borderId="0" xfId="0" applyFont="1"/>
    <xf numFmtId="0" fontId="36" fillId="0" borderId="28" xfId="0" applyFont="1" applyBorder="1" applyAlignment="1">
      <alignment horizontal="center" vertical="center" wrapText="1"/>
    </xf>
    <xf numFmtId="0" fontId="37" fillId="5" borderId="5" xfId="0" applyFont="1" applyFill="1" applyBorder="1" applyAlignment="1">
      <alignment horizontal="center"/>
    </xf>
    <xf numFmtId="0" fontId="37" fillId="5" borderId="5" xfId="0" applyFont="1" applyFill="1" applyBorder="1" applyAlignment="1">
      <alignment horizont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165" fontId="21" fillId="0" borderId="0" xfId="1" applyFont="1"/>
    <xf numFmtId="4" fontId="21" fillId="0" borderId="0" xfId="1" applyNumberFormat="1" applyFont="1" applyAlignment="1">
      <alignment horizontal="right"/>
    </xf>
    <xf numFmtId="9" fontId="21" fillId="0" borderId="0" xfId="18" applyFont="1" applyAlignment="1">
      <alignment horizontal="right"/>
    </xf>
    <xf numFmtId="49" fontId="21" fillId="0" borderId="0" xfId="2" applyNumberFormat="1" applyFont="1" applyAlignment="1">
      <alignment horizontal="center"/>
    </xf>
    <xf numFmtId="0" fontId="18" fillId="0" borderId="0" xfId="0" applyFont="1"/>
    <xf numFmtId="165" fontId="38" fillId="0" borderId="0" xfId="1" applyFont="1" applyFill="1" applyBorder="1" applyAlignment="1">
      <alignment horizontal="center"/>
    </xf>
    <xf numFmtId="0" fontId="38" fillId="0" borderId="0" xfId="0" applyFont="1"/>
    <xf numFmtId="4" fontId="38" fillId="0" borderId="0" xfId="2" applyNumberFormat="1" applyFont="1" applyFill="1" applyBorder="1"/>
    <xf numFmtId="4" fontId="38" fillId="0" borderId="0" xfId="2" applyNumberFormat="1" applyFont="1" applyFill="1" applyBorder="1" applyAlignment="1">
      <alignment horizontal="right"/>
    </xf>
    <xf numFmtId="9" fontId="19" fillId="0" borderId="0" xfId="18" applyFont="1" applyFill="1"/>
    <xf numFmtId="49" fontId="38" fillId="0" borderId="0" xfId="2" applyNumberFormat="1" applyFont="1" applyFill="1" applyBorder="1" applyAlignment="1">
      <alignment horizontal="center"/>
    </xf>
    <xf numFmtId="9" fontId="21" fillId="0" borderId="0" xfId="18" applyFont="1" applyFill="1" applyAlignment="1">
      <alignment vertical="center"/>
    </xf>
    <xf numFmtId="165" fontId="18" fillId="0" borderId="29" xfId="1" applyFont="1" applyFill="1" applyBorder="1" applyAlignment="1">
      <alignment horizontal="right"/>
    </xf>
    <xf numFmtId="9" fontId="19" fillId="0" borderId="0" xfId="1" applyNumberFormat="1" applyFont="1" applyFill="1" applyBorder="1"/>
    <xf numFmtId="4" fontId="19" fillId="0" borderId="0" xfId="1" applyNumberFormat="1" applyFont="1" applyFill="1" applyBorder="1" applyAlignment="1">
      <alignment horizontal="right"/>
    </xf>
    <xf numFmtId="10" fontId="18" fillId="0" borderId="0" xfId="18" applyNumberFormat="1" applyFont="1" applyFill="1" applyAlignment="1">
      <alignment horizontal="right"/>
    </xf>
    <xf numFmtId="0" fontId="19" fillId="0" borderId="0" xfId="0" applyFont="1" applyAlignment="1">
      <alignment horizontal="center"/>
    </xf>
    <xf numFmtId="10" fontId="21" fillId="0" borderId="0" xfId="18" applyNumberFormat="1" applyFont="1" applyFill="1" applyBorder="1" applyAlignment="1">
      <alignment horizontal="right"/>
    </xf>
    <xf numFmtId="171" fontId="23" fillId="0" borderId="0" xfId="1" applyNumberFormat="1" applyFont="1" applyFill="1"/>
    <xf numFmtId="0" fontId="21" fillId="0" borderId="0" xfId="18" applyNumberFormat="1" applyFont="1" applyFill="1" applyAlignment="1">
      <alignment vertical="center"/>
    </xf>
    <xf numFmtId="2" fontId="19" fillId="0" borderId="0" xfId="0" applyNumberFormat="1" applyFont="1" applyAlignment="1">
      <alignment horizontal="center"/>
    </xf>
    <xf numFmtId="0" fontId="39" fillId="0" borderId="0" xfId="0" applyFont="1" applyAlignment="1">
      <alignment horizontal="right"/>
    </xf>
    <xf numFmtId="10" fontId="21" fillId="0" borderId="0" xfId="18" applyNumberFormat="1" applyFont="1" applyFill="1"/>
    <xf numFmtId="0" fontId="18" fillId="4" borderId="11" xfId="0" applyFont="1" applyFill="1" applyBorder="1"/>
    <xf numFmtId="0" fontId="18" fillId="0" borderId="18" xfId="0" applyFont="1" applyBorder="1" applyAlignment="1">
      <alignment horizontal="right"/>
    </xf>
    <xf numFmtId="10" fontId="20" fillId="0" borderId="0" xfId="18" applyNumberFormat="1" applyFont="1" applyFill="1" applyBorder="1"/>
    <xf numFmtId="165" fontId="21" fillId="9" borderId="0" xfId="1" applyFont="1" applyFill="1" applyBorder="1" applyAlignment="1">
      <alignment horizontal="right"/>
    </xf>
    <xf numFmtId="10" fontId="21" fillId="0" borderId="0" xfId="18" applyNumberFormat="1" applyFont="1" applyFill="1" applyAlignment="1">
      <alignment vertical="center"/>
    </xf>
    <xf numFmtId="9" fontId="19" fillId="0" borderId="0" xfId="18" applyFont="1" applyFill="1" applyAlignment="1">
      <alignment horizontal="center"/>
    </xf>
    <xf numFmtId="2" fontId="41" fillId="0" borderId="0" xfId="0" applyNumberFormat="1" applyFont="1" applyAlignment="1">
      <alignment horizontal="center"/>
    </xf>
    <xf numFmtId="10" fontId="43" fillId="0" borderId="0" xfId="18" applyNumberFormat="1" applyFont="1" applyFill="1" applyAlignment="1">
      <alignment horizontal="right"/>
    </xf>
    <xf numFmtId="3" fontId="21" fillId="3" borderId="26" xfId="0" applyNumberFormat="1" applyFont="1" applyFill="1" applyBorder="1" applyAlignment="1">
      <alignment horizontal="center"/>
    </xf>
    <xf numFmtId="10" fontId="20" fillId="0" borderId="0" xfId="18" applyNumberFormat="1" applyFont="1" applyFill="1" applyAlignment="1">
      <alignment horizontal="right"/>
    </xf>
    <xf numFmtId="1" fontId="20" fillId="0" borderId="0" xfId="0" applyNumberFormat="1" applyFont="1" applyAlignment="1">
      <alignment horizontal="center"/>
    </xf>
    <xf numFmtId="165" fontId="23" fillId="0" borderId="0" xfId="0" applyNumberFormat="1" applyFont="1" applyAlignment="1">
      <alignment horizontal="right"/>
    </xf>
    <xf numFmtId="10" fontId="20" fillId="0" borderId="0" xfId="18" applyNumberFormat="1" applyFont="1" applyFill="1"/>
    <xf numFmtId="0" fontId="18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10" fontId="44" fillId="0" borderId="0" xfId="18" applyNumberFormat="1" applyFont="1" applyFill="1"/>
    <xf numFmtId="0" fontId="45" fillId="0" borderId="0" xfId="0" applyFont="1" applyAlignment="1">
      <alignment horizontal="center"/>
    </xf>
    <xf numFmtId="10" fontId="42" fillId="11" borderId="0" xfId="18" applyNumberFormat="1" applyFont="1" applyFill="1" applyAlignment="1">
      <alignment horizontal="right"/>
    </xf>
    <xf numFmtId="165" fontId="18" fillId="11" borderId="0" xfId="1" applyFont="1" applyFill="1" applyBorder="1" applyAlignment="1">
      <alignment horizontal="right"/>
    </xf>
    <xf numFmtId="0" fontId="4" fillId="2" borderId="4" xfId="17" applyFont="1" applyFill="1" applyBorder="1" applyAlignment="1">
      <alignment horizontal="right"/>
    </xf>
    <xf numFmtId="0" fontId="50" fillId="2" borderId="1" xfId="17" applyFont="1" applyFill="1" applyBorder="1" applyAlignment="1">
      <alignment horizontal="center"/>
    </xf>
    <xf numFmtId="0" fontId="4" fillId="2" borderId="5" xfId="17" applyFont="1" applyFill="1" applyBorder="1" applyAlignment="1">
      <alignment horizontal="right"/>
    </xf>
    <xf numFmtId="49" fontId="50" fillId="2" borderId="8" xfId="17" applyNumberFormat="1" applyFont="1" applyFill="1" applyBorder="1" applyAlignment="1">
      <alignment horizontal="center"/>
    </xf>
    <xf numFmtId="0" fontId="50" fillId="2" borderId="6" xfId="17" applyFont="1" applyFill="1" applyBorder="1" applyAlignment="1">
      <alignment horizontal="right"/>
    </xf>
    <xf numFmtId="0" fontId="50" fillId="2" borderId="5" xfId="17" applyFont="1" applyFill="1" applyBorder="1" applyAlignment="1">
      <alignment horizontal="right"/>
    </xf>
    <xf numFmtId="14" fontId="51" fillId="2" borderId="0" xfId="29" applyNumberFormat="1" applyFont="1" applyFill="1" applyAlignment="1">
      <alignment horizontal="center" vertical="center" wrapText="1"/>
    </xf>
    <xf numFmtId="0" fontId="4" fillId="3" borderId="1" xfId="10" applyFont="1" applyFill="1" applyBorder="1" applyAlignment="1">
      <alignment horizontal="center" vertical="center" wrapText="1"/>
    </xf>
    <xf numFmtId="1" fontId="4" fillId="3" borderId="2" xfId="10" applyNumberFormat="1" applyFont="1" applyFill="1" applyBorder="1" applyAlignment="1">
      <alignment horizontal="center"/>
    </xf>
    <xf numFmtId="1" fontId="4" fillId="3" borderId="2" xfId="10" applyNumberFormat="1" applyFont="1" applyFill="1" applyBorder="1" applyAlignment="1">
      <alignment horizontal="center" wrapText="1"/>
    </xf>
    <xf numFmtId="0" fontId="4" fillId="3" borderId="3" xfId="10" applyFont="1" applyFill="1" applyBorder="1" applyAlignment="1">
      <alignment horizontal="center"/>
    </xf>
    <xf numFmtId="0" fontId="52" fillId="0" borderId="15" xfId="10" applyFont="1" applyBorder="1" applyAlignment="1">
      <alignment horizontal="center" vertical="center"/>
    </xf>
    <xf numFmtId="0" fontId="52" fillId="0" borderId="14" xfId="10" applyFont="1" applyBorder="1" applyAlignment="1">
      <alignment horizontal="center" vertical="center"/>
    </xf>
    <xf numFmtId="0" fontId="53" fillId="0" borderId="5" xfId="10" applyFont="1" applyBorder="1" applyAlignment="1">
      <alignment vertical="center"/>
    </xf>
    <xf numFmtId="0" fontId="52" fillId="0" borderId="5" xfId="10" applyFont="1" applyBorder="1" applyAlignment="1">
      <alignment horizontal="center" vertical="center"/>
    </xf>
    <xf numFmtId="1" fontId="52" fillId="0" borderId="5" xfId="10" applyNumberFormat="1" applyFont="1" applyBorder="1" applyAlignment="1">
      <alignment horizontal="center"/>
    </xf>
    <xf numFmtId="1" fontId="52" fillId="0" borderId="5" xfId="10" applyNumberFormat="1" applyFont="1" applyBorder="1" applyAlignment="1">
      <alignment horizontal="center" wrapText="1"/>
    </xf>
    <xf numFmtId="0" fontId="54" fillId="0" borderId="8" xfId="10" applyFont="1" applyBorder="1" applyAlignment="1">
      <alignment horizontal="center"/>
    </xf>
    <xf numFmtId="0" fontId="55" fillId="9" borderId="15" xfId="0" applyFont="1" applyFill="1" applyBorder="1" applyAlignment="1">
      <alignment horizontal="center"/>
    </xf>
    <xf numFmtId="0" fontId="55" fillId="9" borderId="5" xfId="0" applyFont="1" applyFill="1" applyBorder="1" applyAlignment="1">
      <alignment horizontal="center"/>
    </xf>
    <xf numFmtId="0" fontId="55" fillId="9" borderId="6" xfId="0" applyFont="1" applyFill="1" applyBorder="1"/>
    <xf numFmtId="0" fontId="50" fillId="9" borderId="14" xfId="0" applyFont="1" applyFill="1" applyBorder="1" applyAlignment="1">
      <alignment horizontal="center"/>
    </xf>
    <xf numFmtId="1" fontId="50" fillId="9" borderId="5" xfId="0" applyNumberFormat="1" applyFont="1" applyFill="1" applyBorder="1" applyAlignment="1">
      <alignment horizontal="center"/>
    </xf>
    <xf numFmtId="1" fontId="50" fillId="9" borderId="5" xfId="0" applyNumberFormat="1" applyFont="1" applyFill="1" applyBorder="1" applyAlignment="1">
      <alignment horizontal="center" wrapText="1"/>
    </xf>
    <xf numFmtId="0" fontId="50" fillId="0" borderId="6" xfId="0" applyFont="1" applyBorder="1" applyAlignment="1">
      <alignment horizontal="center" wrapText="1"/>
    </xf>
    <xf numFmtId="12" fontId="50" fillId="0" borderId="6" xfId="0" applyNumberFormat="1" applyFont="1" applyBorder="1" applyAlignment="1">
      <alignment horizontal="center"/>
    </xf>
    <xf numFmtId="0" fontId="55" fillId="9" borderId="14" xfId="0" applyFont="1" applyFill="1" applyBorder="1" applyAlignment="1">
      <alignment horizontal="center"/>
    </xf>
    <xf numFmtId="0" fontId="55" fillId="9" borderId="5" xfId="0" applyFont="1" applyFill="1" applyBorder="1"/>
    <xf numFmtId="1" fontId="50" fillId="9" borderId="6" xfId="0" applyNumberFormat="1" applyFont="1" applyFill="1" applyBorder="1" applyAlignment="1">
      <alignment horizontal="center"/>
    </xf>
    <xf numFmtId="1" fontId="50" fillId="9" borderId="6" xfId="0" applyNumberFormat="1" applyFont="1" applyFill="1" applyBorder="1" applyAlignment="1">
      <alignment horizontal="center" wrapText="1"/>
    </xf>
    <xf numFmtId="0" fontId="50" fillId="0" borderId="5" xfId="0" applyFont="1" applyBorder="1" applyAlignment="1">
      <alignment horizontal="center"/>
    </xf>
    <xf numFmtId="0" fontId="56" fillId="0" borderId="5" xfId="0" applyFont="1" applyBorder="1" applyAlignment="1">
      <alignment horizontal="center"/>
    </xf>
    <xf numFmtId="0" fontId="56" fillId="0" borderId="5" xfId="0" applyFont="1" applyBorder="1" applyAlignment="1">
      <alignment horizontal="center" vertical="center"/>
    </xf>
    <xf numFmtId="0" fontId="56" fillId="12" borderId="5" xfId="0" applyFont="1" applyFill="1" applyBorder="1"/>
    <xf numFmtId="0" fontId="50" fillId="0" borderId="5" xfId="0" applyFont="1" applyBorder="1" applyAlignment="1">
      <alignment horizontal="center" wrapText="1"/>
    </xf>
    <xf numFmtId="0" fontId="56" fillId="12" borderId="0" xfId="0" applyFont="1" applyFill="1" applyAlignment="1">
      <alignment horizontal="center"/>
    </xf>
    <xf numFmtId="0" fontId="56" fillId="12" borderId="0" xfId="0" applyFont="1" applyFill="1"/>
    <xf numFmtId="0" fontId="4" fillId="12" borderId="5" xfId="0" applyFont="1" applyFill="1" applyBorder="1" applyAlignment="1">
      <alignment horizontal="left"/>
    </xf>
    <xf numFmtId="0" fontId="50" fillId="0" borderId="6" xfId="0" applyFont="1" applyBorder="1" applyAlignment="1">
      <alignment horizontal="center"/>
    </xf>
    <xf numFmtId="0" fontId="56" fillId="12" borderId="5" xfId="0" applyFont="1" applyFill="1" applyBorder="1" applyAlignment="1">
      <alignment horizontal="left" vertical="center"/>
    </xf>
    <xf numFmtId="0" fontId="57" fillId="0" borderId="5" xfId="0" applyFont="1" applyBorder="1" applyAlignment="1">
      <alignment horizontal="center"/>
    </xf>
    <xf numFmtId="0" fontId="57" fillId="0" borderId="5" xfId="0" applyFont="1" applyBorder="1"/>
    <xf numFmtId="16" fontId="54" fillId="0" borderId="14" xfId="0" applyNumberFormat="1" applyFont="1" applyBorder="1" applyAlignment="1">
      <alignment horizontal="center"/>
    </xf>
    <xf numFmtId="1" fontId="54" fillId="0" borderId="5" xfId="0" applyNumberFormat="1" applyFont="1" applyBorder="1" applyAlignment="1">
      <alignment horizontal="center"/>
    </xf>
    <xf numFmtId="1" fontId="54" fillId="0" borderId="5" xfId="0" applyNumberFormat="1" applyFont="1" applyBorder="1" applyAlignment="1">
      <alignment horizontal="center" wrapText="1"/>
    </xf>
    <xf numFmtId="49" fontId="54" fillId="0" borderId="15" xfId="10" applyNumberFormat="1" applyFont="1" applyBorder="1" applyAlignment="1">
      <alignment horizontal="center"/>
    </xf>
    <xf numFmtId="49" fontId="54" fillId="0" borderId="14" xfId="10" applyNumberFormat="1" applyFont="1" applyBorder="1" applyAlignment="1">
      <alignment horizontal="center"/>
    </xf>
    <xf numFmtId="0" fontId="52" fillId="9" borderId="5" xfId="10" applyFont="1" applyFill="1" applyBorder="1" applyAlignment="1">
      <alignment horizontal="left"/>
    </xf>
    <xf numFmtId="0" fontId="54" fillId="0" borderId="5" xfId="10" applyFont="1" applyBorder="1" applyAlignment="1">
      <alignment horizontal="center"/>
    </xf>
    <xf numFmtId="168" fontId="54" fillId="0" borderId="5" xfId="10" applyNumberFormat="1" applyFont="1" applyBorder="1" applyAlignment="1">
      <alignment horizontal="center"/>
    </xf>
    <xf numFmtId="1" fontId="54" fillId="0" borderId="5" xfId="10" applyNumberFormat="1" applyFont="1" applyBorder="1" applyAlignment="1">
      <alignment horizontal="center" wrapText="1"/>
    </xf>
    <xf numFmtId="0" fontId="55" fillId="9" borderId="45" xfId="0" applyFont="1" applyFill="1" applyBorder="1" applyAlignment="1">
      <alignment horizontal="center"/>
    </xf>
    <xf numFmtId="1" fontId="50" fillId="0" borderId="5" xfId="0" applyNumberFormat="1" applyFont="1" applyBorder="1" applyAlignment="1">
      <alignment horizontal="center"/>
    </xf>
    <xf numFmtId="1" fontId="50" fillId="9" borderId="5" xfId="10" applyNumberFormat="1" applyFont="1" applyFill="1" applyBorder="1" applyAlignment="1">
      <alignment horizontal="center"/>
    </xf>
    <xf numFmtId="1" fontId="50" fillId="9" borderId="5" xfId="10" applyNumberFormat="1" applyFont="1" applyFill="1" applyBorder="1" applyAlignment="1">
      <alignment horizontal="center" wrapText="1"/>
    </xf>
    <xf numFmtId="0" fontId="57" fillId="0" borderId="0" xfId="0" applyFont="1" applyAlignment="1">
      <alignment horizontal="center"/>
    </xf>
    <xf numFmtId="0" fontId="57" fillId="0" borderId="0" xfId="0" applyFont="1"/>
    <xf numFmtId="16" fontId="50" fillId="9" borderId="5" xfId="0" applyNumberFormat="1" applyFont="1" applyFill="1" applyBorder="1" applyAlignment="1">
      <alignment horizontal="center"/>
    </xf>
    <xf numFmtId="0" fontId="50" fillId="2" borderId="5" xfId="0" applyFont="1" applyFill="1" applyBorder="1" applyAlignment="1">
      <alignment horizontal="center"/>
    </xf>
    <xf numFmtId="1" fontId="50" fillId="0" borderId="6" xfId="0" applyNumberFormat="1" applyFont="1" applyBorder="1" applyAlignment="1">
      <alignment horizontal="center" wrapText="1"/>
    </xf>
    <xf numFmtId="16" fontId="50" fillId="0" borderId="5" xfId="0" applyNumberFormat="1" applyFont="1" applyBorder="1" applyAlignment="1">
      <alignment horizontal="center"/>
    </xf>
    <xf numFmtId="1" fontId="50" fillId="0" borderId="6" xfId="0" applyNumberFormat="1" applyFont="1" applyBorder="1" applyAlignment="1">
      <alignment horizontal="center"/>
    </xf>
    <xf numFmtId="1" fontId="50" fillId="0" borderId="5" xfId="0" applyNumberFormat="1" applyFont="1" applyBorder="1" applyAlignment="1">
      <alignment horizontal="center" wrapText="1"/>
    </xf>
    <xf numFmtId="49" fontId="52" fillId="0" borderId="17" xfId="10" applyNumberFormat="1" applyFont="1" applyBorder="1" applyAlignment="1">
      <alignment horizontal="center"/>
    </xf>
    <xf numFmtId="49" fontId="52" fillId="0" borderId="33" xfId="10" applyNumberFormat="1" applyFont="1" applyBorder="1" applyAlignment="1">
      <alignment horizontal="center"/>
    </xf>
    <xf numFmtId="0" fontId="53" fillId="9" borderId="5" xfId="10" applyFont="1" applyFill="1" applyBorder="1" applyAlignment="1">
      <alignment vertical="center"/>
    </xf>
    <xf numFmtId="0" fontId="52" fillId="0" borderId="14" xfId="10" applyFont="1" applyBorder="1" applyAlignment="1">
      <alignment horizontal="center"/>
    </xf>
    <xf numFmtId="168" fontId="52" fillId="0" borderId="5" xfId="10" applyNumberFormat="1" applyFont="1" applyBorder="1" applyAlignment="1">
      <alignment horizontal="center"/>
    </xf>
    <xf numFmtId="49" fontId="54" fillId="0" borderId="5" xfId="0" applyNumberFormat="1" applyFont="1" applyBorder="1" applyAlignment="1">
      <alignment horizontal="center"/>
    </xf>
    <xf numFmtId="49" fontId="54" fillId="0" borderId="5" xfId="0" applyNumberFormat="1" applyFont="1" applyBorder="1"/>
    <xf numFmtId="0" fontId="54" fillId="0" borderId="5" xfId="0" applyFont="1" applyBorder="1" applyAlignment="1">
      <alignment horizontal="center"/>
    </xf>
    <xf numFmtId="172" fontId="4" fillId="9" borderId="5" xfId="1" applyNumberFormat="1" applyFont="1" applyFill="1" applyBorder="1" applyAlignment="1">
      <alignment horizontal="center"/>
    </xf>
    <xf numFmtId="0" fontId="58" fillId="0" borderId="5" xfId="12" applyFont="1" applyBorder="1" applyAlignment="1">
      <alignment horizontal="center"/>
    </xf>
    <xf numFmtId="0" fontId="58" fillId="0" borderId="5" xfId="12" applyFont="1" applyBorder="1" applyAlignment="1">
      <alignment horizontal="left"/>
    </xf>
    <xf numFmtId="16" fontId="54" fillId="0" borderId="5" xfId="0" applyNumberFormat="1" applyFont="1" applyBorder="1" applyAlignment="1">
      <alignment horizontal="center"/>
    </xf>
    <xf numFmtId="49" fontId="54" fillId="0" borderId="5" xfId="10" applyNumberFormat="1" applyFont="1" applyBorder="1" applyAlignment="1">
      <alignment horizontal="center"/>
    </xf>
    <xf numFmtId="49" fontId="54" fillId="0" borderId="5" xfId="10" applyNumberFormat="1" applyFont="1" applyBorder="1"/>
    <xf numFmtId="0" fontId="57" fillId="0" borderId="5" xfId="0" applyFont="1" applyBorder="1" applyAlignment="1">
      <alignment horizontal="center" vertical="center"/>
    </xf>
    <xf numFmtId="0" fontId="57" fillId="0" borderId="5" xfId="0" applyFont="1" applyBorder="1" applyAlignment="1">
      <alignment horizontal="left" vertical="center"/>
    </xf>
    <xf numFmtId="12" fontId="54" fillId="0" borderId="5" xfId="10" applyNumberFormat="1" applyFont="1" applyBorder="1" applyAlignment="1">
      <alignment horizontal="center"/>
    </xf>
    <xf numFmtId="1" fontId="54" fillId="0" borderId="5" xfId="10" applyNumberFormat="1" applyFont="1" applyBorder="1" applyAlignment="1">
      <alignment horizontal="center"/>
    </xf>
    <xf numFmtId="0" fontId="50" fillId="0" borderId="5" xfId="0" quotePrefix="1" applyFont="1" applyBorder="1" applyAlignment="1">
      <alignment horizontal="center"/>
    </xf>
    <xf numFmtId="0" fontId="50" fillId="0" borderId="5" xfId="0" quotePrefix="1" applyFont="1" applyBorder="1"/>
    <xf numFmtId="49" fontId="59" fillId="2" borderId="36" xfId="10" applyNumberFormat="1" applyFont="1" applyFill="1" applyBorder="1" applyAlignment="1">
      <alignment horizontal="center" vertical="center"/>
    </xf>
    <xf numFmtId="49" fontId="59" fillId="2" borderId="0" xfId="10" applyNumberFormat="1" applyFont="1" applyFill="1" applyAlignment="1">
      <alignment horizontal="center" vertical="center"/>
    </xf>
    <xf numFmtId="0" fontId="50" fillId="2" borderId="0" xfId="10" applyFont="1" applyFill="1"/>
    <xf numFmtId="1" fontId="50" fillId="2" borderId="0" xfId="10" applyNumberFormat="1" applyFont="1" applyFill="1" applyAlignment="1">
      <alignment horizontal="center"/>
    </xf>
    <xf numFmtId="167" fontId="50" fillId="2" borderId="0" xfId="10" applyNumberFormat="1" applyFont="1" applyFill="1" applyAlignment="1">
      <alignment horizontal="center" wrapText="1"/>
    </xf>
    <xf numFmtId="0" fontId="50" fillId="2" borderId="25" xfId="10" applyFont="1" applyFill="1" applyBorder="1" applyAlignment="1">
      <alignment horizontal="center"/>
    </xf>
    <xf numFmtId="0" fontId="50" fillId="3" borderId="10" xfId="10" applyFont="1" applyFill="1" applyBorder="1" applyAlignment="1">
      <alignment horizontal="center"/>
    </xf>
    <xf numFmtId="0" fontId="50" fillId="3" borderId="11" xfId="10" applyFont="1" applyFill="1" applyBorder="1" applyAlignment="1">
      <alignment horizontal="center"/>
    </xf>
    <xf numFmtId="0" fontId="50" fillId="3" borderId="11" xfId="10" applyFont="1" applyFill="1" applyBorder="1"/>
    <xf numFmtId="0" fontId="4" fillId="3" borderId="11" xfId="10" applyFont="1" applyFill="1" applyBorder="1" applyAlignment="1">
      <alignment horizontal="center"/>
    </xf>
    <xf numFmtId="1" fontId="4" fillId="3" borderId="11" xfId="10" applyNumberFormat="1" applyFont="1" applyFill="1" applyBorder="1" applyAlignment="1">
      <alignment horizontal="center"/>
    </xf>
    <xf numFmtId="167" fontId="50" fillId="3" borderId="11" xfId="10" applyNumberFormat="1" applyFont="1" applyFill="1" applyBorder="1" applyAlignment="1">
      <alignment horizontal="center" wrapText="1"/>
    </xf>
    <xf numFmtId="0" fontId="50" fillId="3" borderId="12" xfId="10" applyFont="1" applyFill="1" applyBorder="1" applyAlignment="1">
      <alignment horizontal="center"/>
    </xf>
    <xf numFmtId="0" fontId="50" fillId="0" borderId="13" xfId="0" applyFont="1" applyBorder="1" applyAlignment="1">
      <alignment horizontal="center"/>
    </xf>
    <xf numFmtId="1" fontId="50" fillId="0" borderId="2" xfId="0" applyNumberFormat="1" applyFont="1" applyBorder="1" applyAlignment="1">
      <alignment horizontal="center"/>
    </xf>
    <xf numFmtId="0" fontId="50" fillId="0" borderId="2" xfId="0" applyFont="1" applyBorder="1" applyAlignment="1">
      <alignment horizontal="center"/>
    </xf>
    <xf numFmtId="0" fontId="52" fillId="0" borderId="17" xfId="0" applyFont="1" applyBorder="1" applyAlignment="1">
      <alignment horizontal="left"/>
    </xf>
    <xf numFmtId="0" fontId="52" fillId="0" borderId="33" xfId="0" applyFont="1" applyBorder="1" applyAlignment="1">
      <alignment horizontal="left"/>
    </xf>
    <xf numFmtId="0" fontId="52" fillId="0" borderId="32" xfId="0" applyFont="1" applyBorder="1" applyAlignment="1">
      <alignment horizontal="left"/>
    </xf>
    <xf numFmtId="0" fontId="4" fillId="13" borderId="53" xfId="17" applyFont="1" applyFill="1" applyBorder="1" applyAlignment="1">
      <alignment horizontal="center"/>
    </xf>
    <xf numFmtId="0" fontId="4" fillId="13" borderId="48" xfId="17" applyFont="1" applyFill="1" applyBorder="1" applyAlignment="1">
      <alignment horizontal="center"/>
    </xf>
    <xf numFmtId="0" fontId="50" fillId="2" borderId="54" xfId="17" applyFont="1" applyFill="1" applyBorder="1" applyAlignment="1">
      <alignment horizontal="left"/>
    </xf>
    <xf numFmtId="0" fontId="50" fillId="2" borderId="0" xfId="17" applyFont="1" applyFill="1" applyAlignment="1">
      <alignment horizontal="left"/>
    </xf>
    <xf numFmtId="0" fontId="3" fillId="2" borderId="54" xfId="17" applyFont="1" applyFill="1" applyBorder="1" applyAlignment="1">
      <alignment horizontal="left"/>
    </xf>
    <xf numFmtId="0" fontId="3" fillId="2" borderId="0" xfId="17" applyFont="1" applyFill="1" applyAlignment="1">
      <alignment horizontal="left"/>
    </xf>
    <xf numFmtId="0" fontId="50" fillId="0" borderId="30" xfId="0" applyFont="1" applyBorder="1" applyAlignment="1">
      <alignment horizontal="left"/>
    </xf>
    <xf numFmtId="0" fontId="50" fillId="0" borderId="45" xfId="0" applyFont="1" applyBorder="1" applyAlignment="1">
      <alignment horizontal="left"/>
    </xf>
    <xf numFmtId="0" fontId="50" fillId="0" borderId="6" xfId="0" applyFont="1" applyBorder="1" applyAlignment="1">
      <alignment horizontal="left"/>
    </xf>
    <xf numFmtId="0" fontId="50" fillId="0" borderId="7" xfId="0" applyFont="1" applyBorder="1" applyAlignment="1">
      <alignment horizontal="left"/>
    </xf>
    <xf numFmtId="0" fontId="50" fillId="0" borderId="30" xfId="0" applyFont="1" applyBorder="1" applyAlignment="1">
      <alignment horizontal="left" wrapText="1"/>
    </xf>
    <xf numFmtId="0" fontId="50" fillId="0" borderId="45" xfId="0" applyFont="1" applyBorder="1" applyAlignment="1">
      <alignment horizontal="left" wrapText="1"/>
    </xf>
    <xf numFmtId="0" fontId="50" fillId="0" borderId="6" xfId="0" applyFont="1" applyBorder="1" applyAlignment="1">
      <alignment horizontal="left" wrapText="1"/>
    </xf>
    <xf numFmtId="0" fontId="50" fillId="0" borderId="7" xfId="0" applyFont="1" applyBorder="1" applyAlignment="1">
      <alignment horizontal="left" wrapText="1"/>
    </xf>
    <xf numFmtId="0" fontId="50" fillId="0" borderId="15" xfId="10" applyFont="1" applyBorder="1" applyAlignment="1">
      <alignment horizontal="left"/>
    </xf>
    <xf numFmtId="0" fontId="50" fillId="0" borderId="14" xfId="10" applyFont="1" applyBorder="1" applyAlignment="1">
      <alignment horizontal="left"/>
    </xf>
    <xf numFmtId="0" fontId="50" fillId="0" borderId="5" xfId="10" applyFont="1" applyBorder="1" applyAlignment="1">
      <alignment horizontal="left"/>
    </xf>
    <xf numFmtId="0" fontId="50" fillId="0" borderId="8" xfId="10" applyFont="1" applyBorder="1" applyAlignment="1">
      <alignment horizontal="left"/>
    </xf>
    <xf numFmtId="0" fontId="4" fillId="0" borderId="17" xfId="10" applyFont="1" applyBorder="1" applyAlignment="1">
      <alignment horizontal="right"/>
    </xf>
    <xf numFmtId="0" fontId="4" fillId="0" borderId="33" xfId="10" applyFont="1" applyBorder="1" applyAlignment="1">
      <alignment horizontal="right"/>
    </xf>
    <xf numFmtId="0" fontId="4" fillId="0" borderId="14" xfId="10" applyFont="1" applyBorder="1" applyAlignment="1">
      <alignment horizontal="right"/>
    </xf>
    <xf numFmtId="0" fontId="50" fillId="0" borderId="5" xfId="10" applyFont="1" applyBorder="1" applyAlignment="1">
      <alignment horizontal="right"/>
    </xf>
    <xf numFmtId="167" fontId="50" fillId="0" borderId="31" xfId="10" applyNumberFormat="1" applyFont="1" applyBorder="1" applyAlignment="1">
      <alignment horizontal="center"/>
    </xf>
    <xf numFmtId="167" fontId="50" fillId="0" borderId="32" xfId="10" applyNumberFormat="1" applyFont="1" applyBorder="1" applyAlignment="1">
      <alignment horizontal="center"/>
    </xf>
    <xf numFmtId="167" fontId="50" fillId="0" borderId="31" xfId="10" applyNumberFormat="1" applyFont="1" applyBorder="1" applyAlignment="1">
      <alignment horizontal="right" wrapText="1"/>
    </xf>
    <xf numFmtId="167" fontId="50" fillId="0" borderId="14" xfId="10" applyNumberFormat="1" applyFont="1" applyBorder="1" applyAlignment="1">
      <alignment horizontal="right" wrapText="1"/>
    </xf>
    <xf numFmtId="167" fontId="50" fillId="0" borderId="31" xfId="0" applyNumberFormat="1" applyFont="1" applyBorder="1" applyAlignment="1">
      <alignment horizontal="center" wrapText="1"/>
    </xf>
    <xf numFmtId="167" fontId="50" fillId="0" borderId="32" xfId="0" applyNumberFormat="1" applyFont="1" applyBorder="1" applyAlignment="1">
      <alignment horizontal="center" wrapText="1"/>
    </xf>
    <xf numFmtId="0" fontId="4" fillId="0" borderId="34" xfId="10" applyFont="1" applyBorder="1" applyAlignment="1">
      <alignment horizontal="right"/>
    </xf>
    <xf numFmtId="0" fontId="4" fillId="0" borderId="51" xfId="10" applyFont="1" applyBorder="1" applyAlignment="1">
      <alignment horizontal="right"/>
    </xf>
    <xf numFmtId="0" fontId="4" fillId="0" borderId="2" xfId="10" applyFont="1" applyBorder="1" applyAlignment="1">
      <alignment horizontal="right"/>
    </xf>
    <xf numFmtId="0" fontId="50" fillId="0" borderId="2" xfId="10" applyFont="1" applyBorder="1" applyAlignment="1">
      <alignment horizontal="right"/>
    </xf>
    <xf numFmtId="0" fontId="4" fillId="3" borderId="10" xfId="10" applyFont="1" applyFill="1" applyBorder="1" applyAlignment="1">
      <alignment horizontal="left"/>
    </xf>
    <xf numFmtId="0" fontId="4" fillId="3" borderId="11" xfId="10" applyFont="1" applyFill="1" applyBorder="1" applyAlignment="1">
      <alignment horizontal="left"/>
    </xf>
    <xf numFmtId="0" fontId="4" fillId="3" borderId="12" xfId="10" applyFont="1" applyFill="1" applyBorder="1" applyAlignment="1">
      <alignment horizontal="left"/>
    </xf>
    <xf numFmtId="0" fontId="4" fillId="0" borderId="44" xfId="10" applyFont="1" applyBorder="1" applyAlignment="1">
      <alignment horizontal="right"/>
    </xf>
    <xf numFmtId="0" fontId="4" fillId="0" borderId="28" xfId="10" applyFont="1" applyBorder="1" applyAlignment="1">
      <alignment horizontal="right"/>
    </xf>
    <xf numFmtId="0" fontId="4" fillId="0" borderId="45" xfId="10" applyFont="1" applyBorder="1" applyAlignment="1">
      <alignment horizontal="right"/>
    </xf>
    <xf numFmtId="167" fontId="50" fillId="0" borderId="6" xfId="10" applyNumberFormat="1" applyFont="1" applyBorder="1" applyAlignment="1">
      <alignment horizontal="right"/>
    </xf>
    <xf numFmtId="0" fontId="50" fillId="2" borderId="13" xfId="10" applyFont="1" applyFill="1" applyBorder="1" applyAlignment="1">
      <alignment horizontal="center"/>
    </xf>
    <xf numFmtId="0" fontId="50" fillId="2" borderId="46" xfId="10" applyFont="1" applyFill="1" applyBorder="1" applyAlignment="1">
      <alignment horizontal="center"/>
    </xf>
    <xf numFmtId="0" fontId="49" fillId="2" borderId="0" xfId="29" applyFont="1" applyFill="1" applyAlignment="1">
      <alignment horizontal="right"/>
    </xf>
    <xf numFmtId="0" fontId="51" fillId="2" borderId="18" xfId="29" applyFont="1" applyFill="1" applyBorder="1" applyAlignment="1">
      <alignment horizontal="center"/>
    </xf>
    <xf numFmtId="0" fontId="49" fillId="2" borderId="0" xfId="29" applyFont="1" applyFill="1"/>
    <xf numFmtId="0" fontId="4" fillId="3" borderId="16" xfId="10" applyFont="1" applyFill="1" applyBorder="1" applyAlignment="1">
      <alignment horizontal="center" vertical="center"/>
    </xf>
    <xf numFmtId="0" fontId="4" fillId="3" borderId="34" xfId="10" applyFont="1" applyFill="1" applyBorder="1" applyAlignment="1">
      <alignment horizontal="center" vertical="center"/>
    </xf>
    <xf numFmtId="0" fontId="4" fillId="3" borderId="16" xfId="10" applyFont="1" applyFill="1" applyBorder="1" applyAlignment="1">
      <alignment horizontal="center" vertical="center" wrapText="1"/>
    </xf>
    <xf numFmtId="0" fontId="4" fillId="3" borderId="34" xfId="10" applyFont="1" applyFill="1" applyBorder="1" applyAlignment="1">
      <alignment horizontal="center" vertical="center" wrapText="1"/>
    </xf>
    <xf numFmtId="0" fontId="4" fillId="3" borderId="4" xfId="10" applyFont="1" applyFill="1" applyBorder="1" applyAlignment="1">
      <alignment horizontal="center" vertical="center"/>
    </xf>
    <xf numFmtId="0" fontId="4" fillId="3" borderId="2" xfId="10" applyFont="1" applyFill="1" applyBorder="1" applyAlignment="1">
      <alignment horizontal="center" vertical="center"/>
    </xf>
    <xf numFmtId="14" fontId="50" fillId="2" borderId="9" xfId="17" applyNumberFormat="1" applyFont="1" applyFill="1" applyBorder="1" applyAlignment="1">
      <alignment horizontal="center" vertical="center" wrapText="1"/>
    </xf>
    <xf numFmtId="14" fontId="50" fillId="2" borderId="40" xfId="17" applyNumberFormat="1" applyFont="1" applyFill="1" applyBorder="1" applyAlignment="1">
      <alignment horizontal="center" vertical="center" wrapText="1"/>
    </xf>
    <xf numFmtId="14" fontId="50" fillId="2" borderId="7" xfId="17" applyNumberFormat="1" applyFont="1" applyFill="1" applyBorder="1" applyAlignment="1">
      <alignment horizontal="center" vertical="center" wrapText="1"/>
    </xf>
    <xf numFmtId="0" fontId="50" fillId="2" borderId="41" xfId="17" applyFont="1" applyFill="1" applyBorder="1" applyAlignment="1">
      <alignment horizontal="left"/>
    </xf>
    <xf numFmtId="0" fontId="50" fillId="2" borderId="42" xfId="17" applyFont="1" applyFill="1" applyBorder="1" applyAlignment="1">
      <alignment horizontal="left"/>
    </xf>
    <xf numFmtId="0" fontId="50" fillId="2" borderId="43" xfId="17" applyFont="1" applyFill="1" applyBorder="1" applyAlignment="1">
      <alignment horizontal="left"/>
    </xf>
    <xf numFmtId="0" fontId="50" fillId="2" borderId="31" xfId="17" applyFont="1" applyFill="1" applyBorder="1" applyAlignment="1">
      <alignment horizontal="left"/>
    </xf>
    <xf numFmtId="0" fontId="50" fillId="2" borderId="33" xfId="17" applyFont="1" applyFill="1" applyBorder="1" applyAlignment="1">
      <alignment horizontal="left"/>
    </xf>
    <xf numFmtId="0" fontId="50" fillId="2" borderId="14" xfId="17" applyFont="1" applyFill="1" applyBorder="1" applyAlignment="1">
      <alignment horizontal="left"/>
    </xf>
    <xf numFmtId="0" fontId="50" fillId="2" borderId="47" xfId="17" applyFont="1" applyFill="1" applyBorder="1" applyAlignment="1">
      <alignment horizontal="center"/>
    </xf>
    <xf numFmtId="0" fontId="50" fillId="2" borderId="48" xfId="17" applyFont="1" applyFill="1" applyBorder="1" applyAlignment="1">
      <alignment horizontal="center"/>
    </xf>
    <xf numFmtId="0" fontId="50" fillId="2" borderId="36" xfId="17" applyFont="1" applyFill="1" applyBorder="1" applyAlignment="1">
      <alignment horizontal="center"/>
    </xf>
    <xf numFmtId="0" fontId="50" fillId="2" borderId="0" xfId="17" applyFont="1" applyFill="1" applyAlignment="1">
      <alignment horizontal="center"/>
    </xf>
    <xf numFmtId="0" fontId="50" fillId="2" borderId="44" xfId="17" applyFont="1" applyFill="1" applyBorder="1" applyAlignment="1">
      <alignment horizontal="center"/>
    </xf>
    <xf numFmtId="0" fontId="50" fillId="2" borderId="28" xfId="17" applyFont="1" applyFill="1" applyBorder="1" applyAlignment="1">
      <alignment horizontal="center"/>
    </xf>
    <xf numFmtId="0" fontId="4" fillId="2" borderId="4" xfId="17" applyFont="1" applyFill="1" applyBorder="1" applyAlignment="1">
      <alignment horizontal="center"/>
    </xf>
    <xf numFmtId="0" fontId="4" fillId="2" borderId="35" xfId="17" applyFont="1" applyFill="1" applyBorder="1" applyAlignment="1">
      <alignment horizontal="center"/>
    </xf>
    <xf numFmtId="0" fontId="4" fillId="2" borderId="52" xfId="17" applyFont="1" applyFill="1" applyBorder="1" applyAlignment="1">
      <alignment horizontal="center"/>
    </xf>
    <xf numFmtId="0" fontId="4" fillId="2" borderId="51" xfId="17" applyFont="1" applyFill="1" applyBorder="1" applyAlignment="1">
      <alignment horizontal="center"/>
    </xf>
    <xf numFmtId="0" fontId="4" fillId="5" borderId="10" xfId="17" applyFont="1" applyFill="1" applyBorder="1" applyAlignment="1">
      <alignment horizontal="center" vertical="center" wrapText="1"/>
    </xf>
    <xf numFmtId="0" fontId="4" fillId="5" borderId="11" xfId="17" applyFont="1" applyFill="1" applyBorder="1" applyAlignment="1">
      <alignment horizontal="center" vertical="center" wrapText="1"/>
    </xf>
    <xf numFmtId="0" fontId="4" fillId="5" borderId="12" xfId="17" applyFont="1" applyFill="1" applyBorder="1" applyAlignment="1">
      <alignment horizontal="center" vertical="center" wrapText="1"/>
    </xf>
    <xf numFmtId="0" fontId="4" fillId="2" borderId="37" xfId="17" applyFont="1" applyFill="1" applyBorder="1" applyAlignment="1">
      <alignment horizontal="right" vertical="top" wrapText="1"/>
    </xf>
    <xf numFmtId="0" fontId="4" fillId="2" borderId="38" xfId="17" applyFont="1" applyFill="1" applyBorder="1" applyAlignment="1">
      <alignment horizontal="right" vertical="top" wrapText="1"/>
    </xf>
    <xf numFmtId="0" fontId="4" fillId="2" borderId="39" xfId="17" applyFont="1" applyFill="1" applyBorder="1" applyAlignment="1">
      <alignment horizontal="right" vertical="top" wrapText="1"/>
    </xf>
    <xf numFmtId="0" fontId="16" fillId="0" borderId="0" xfId="0" applyFont="1" applyAlignment="1">
      <alignment horizontal="center" vertical="center"/>
    </xf>
    <xf numFmtId="0" fontId="32" fillId="0" borderId="10" xfId="0" applyFont="1" applyBorder="1" applyAlignment="1">
      <alignment horizontal="right" vertical="center"/>
    </xf>
    <xf numFmtId="0" fontId="32" fillId="0" borderId="11" xfId="0" applyFont="1" applyBorder="1" applyAlignment="1">
      <alignment horizontal="right" vertical="center"/>
    </xf>
    <xf numFmtId="0" fontId="32" fillId="0" borderId="12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18" xfId="0" applyFont="1" applyBorder="1" applyAlignment="1">
      <alignment horizontal="right"/>
    </xf>
    <xf numFmtId="0" fontId="16" fillId="0" borderId="0" xfId="0" applyFont="1" applyAlignment="1">
      <alignment horizontal="right" vertical="center"/>
    </xf>
    <xf numFmtId="0" fontId="21" fillId="4" borderId="10" xfId="0" applyFont="1" applyFill="1" applyBorder="1" applyAlignment="1">
      <alignment horizontal="right"/>
    </xf>
    <xf numFmtId="0" fontId="21" fillId="4" borderId="11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8" fillId="0" borderId="18" xfId="0" applyFont="1" applyBorder="1" applyAlignment="1">
      <alignment horizontal="right" vertical="center"/>
    </xf>
    <xf numFmtId="0" fontId="8" fillId="0" borderId="19" xfId="0" applyFont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8" fillId="8" borderId="11" xfId="0" applyFont="1" applyFill="1" applyBorder="1" applyAlignment="1">
      <alignment horizontal="right" vertical="center"/>
    </xf>
    <xf numFmtId="0" fontId="8" fillId="8" borderId="12" xfId="0" applyFont="1" applyFill="1" applyBorder="1" applyAlignment="1">
      <alignment horizontal="right" vertical="center"/>
    </xf>
    <xf numFmtId="4" fontId="30" fillId="0" borderId="0" xfId="2" applyNumberFormat="1" applyFont="1" applyFill="1" applyAlignment="1">
      <alignment horizontal="center" vertical="center" wrapText="1"/>
    </xf>
    <xf numFmtId="0" fontId="24" fillId="0" borderId="5" xfId="0" applyFont="1" applyBorder="1" applyAlignment="1">
      <alignment horizontal="right" vertical="center"/>
    </xf>
    <xf numFmtId="0" fontId="25" fillId="0" borderId="3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47" xfId="0" applyFont="1" applyBorder="1" applyAlignment="1">
      <alignment horizontal="right"/>
    </xf>
    <xf numFmtId="0" fontId="17" fillId="0" borderId="48" xfId="0" applyFont="1" applyBorder="1" applyAlignment="1">
      <alignment horizontal="right"/>
    </xf>
    <xf numFmtId="0" fontId="6" fillId="0" borderId="5" xfId="0" applyFont="1" applyBorder="1" applyAlignment="1">
      <alignment horizontal="right" vertical="center"/>
    </xf>
    <xf numFmtId="0" fontId="17" fillId="0" borderId="0" xfId="0" applyFont="1" applyAlignment="1">
      <alignment horizontal="right"/>
    </xf>
    <xf numFmtId="0" fontId="11" fillId="0" borderId="18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right" vertical="center" wrapText="1"/>
    </xf>
    <xf numFmtId="0" fontId="40" fillId="0" borderId="48" xfId="0" applyFont="1" applyBorder="1" applyAlignment="1">
      <alignment horizontal="right"/>
    </xf>
    <xf numFmtId="0" fontId="40" fillId="0" borderId="0" xfId="0" applyFont="1" applyAlignment="1">
      <alignment horizontal="right"/>
    </xf>
    <xf numFmtId="0" fontId="36" fillId="4" borderId="10" xfId="0" applyFont="1" applyFill="1" applyBorder="1" applyAlignment="1">
      <alignment horizontal="right"/>
    </xf>
    <xf numFmtId="0" fontId="36" fillId="4" borderId="11" xfId="0" applyFont="1" applyFill="1" applyBorder="1" applyAlignment="1">
      <alignment horizontal="right"/>
    </xf>
    <xf numFmtId="0" fontId="48" fillId="0" borderId="0" xfId="0" applyFont="1" applyAlignment="1">
      <alignment horizontal="right"/>
    </xf>
    <xf numFmtId="0" fontId="40" fillId="11" borderId="0" xfId="0" applyFont="1" applyFill="1" applyAlignment="1">
      <alignment horizontal="right"/>
    </xf>
    <xf numFmtId="0" fontId="40" fillId="0" borderId="18" xfId="0" applyFont="1" applyBorder="1" applyAlignment="1">
      <alignment horizontal="right"/>
    </xf>
    <xf numFmtId="0" fontId="18" fillId="4" borderId="10" xfId="0" applyFont="1" applyFill="1" applyBorder="1" applyAlignment="1">
      <alignment horizontal="center"/>
    </xf>
    <xf numFmtId="0" fontId="18" fillId="4" borderId="11" xfId="0" applyFont="1" applyFill="1" applyBorder="1" applyAlignment="1">
      <alignment horizontal="center"/>
    </xf>
    <xf numFmtId="0" fontId="20" fillId="0" borderId="0" xfId="0" applyFont="1" applyAlignment="1">
      <alignment horizontal="right"/>
    </xf>
    <xf numFmtId="0" fontId="20" fillId="0" borderId="25" xfId="0" applyFont="1" applyBorder="1" applyAlignment="1">
      <alignment horizontal="right"/>
    </xf>
    <xf numFmtId="0" fontId="35" fillId="0" borderId="10" xfId="0" applyFont="1" applyBorder="1" applyAlignment="1">
      <alignment horizontal="center"/>
    </xf>
    <xf numFmtId="0" fontId="35" fillId="0" borderId="11" xfId="0" applyFont="1" applyBorder="1" applyAlignment="1">
      <alignment horizontal="center"/>
    </xf>
    <xf numFmtId="0" fontId="35" fillId="0" borderId="12" xfId="0" applyFont="1" applyBorder="1" applyAlignment="1">
      <alignment horizontal="center"/>
    </xf>
    <xf numFmtId="0" fontId="35" fillId="0" borderId="49" xfId="0" applyFont="1" applyBorder="1" applyAlignment="1">
      <alignment horizontal="center" vertical="center" wrapText="1"/>
    </xf>
    <xf numFmtId="0" fontId="36" fillId="0" borderId="50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right" vertical="center" wrapText="1"/>
    </xf>
  </cellXfs>
  <cellStyles count="30">
    <cellStyle name="Millares" xfId="1" builtinId="3"/>
    <cellStyle name="Millares [0]" xfId="2" builtinId="6"/>
    <cellStyle name="Millares [0] 2" xfId="3" xr:uid="{00000000-0005-0000-0000-000002000000}"/>
    <cellStyle name="Millares [0] 2 2" xfId="27" xr:uid="{00000000-0005-0000-0000-000003000000}"/>
    <cellStyle name="Millares [0] 3" xfId="4" xr:uid="{00000000-0005-0000-0000-000004000000}"/>
    <cellStyle name="Millares [0] 3 2" xfId="5" xr:uid="{00000000-0005-0000-0000-000005000000}"/>
    <cellStyle name="Millares [0] 3 2 3 2" xfId="6" xr:uid="{00000000-0005-0000-0000-000006000000}"/>
    <cellStyle name="Millares [0] 3 3" xfId="28" xr:uid="{00000000-0005-0000-0000-000007000000}"/>
    <cellStyle name="Millares 2" xfId="7" xr:uid="{00000000-0005-0000-0000-000008000000}"/>
    <cellStyle name="Millares 3" xfId="8" xr:uid="{00000000-0005-0000-0000-000009000000}"/>
    <cellStyle name="Millares 4" xfId="9" xr:uid="{00000000-0005-0000-0000-00000A000000}"/>
    <cellStyle name="Normal" xfId="0" builtinId="0"/>
    <cellStyle name="Normal 2" xfId="10" xr:uid="{00000000-0005-0000-0000-00000C000000}"/>
    <cellStyle name="Normal 2 2" xfId="11" xr:uid="{00000000-0005-0000-0000-00000D000000}"/>
    <cellStyle name="Normal 3" xfId="12" xr:uid="{00000000-0005-0000-0000-00000E000000}"/>
    <cellStyle name="Normal 3 2" xfId="13" xr:uid="{00000000-0005-0000-0000-00000F000000}"/>
    <cellStyle name="Normal 4" xfId="14" xr:uid="{00000000-0005-0000-0000-000010000000}"/>
    <cellStyle name="Normal 5" xfId="15" xr:uid="{00000000-0005-0000-0000-000011000000}"/>
    <cellStyle name="Normal 5 2" xfId="16" xr:uid="{00000000-0005-0000-0000-000012000000}"/>
    <cellStyle name="Normal_CRITERIOS DE EVALUACION PT DE GB" xfId="17" xr:uid="{00000000-0005-0000-0000-000013000000}"/>
    <cellStyle name="Normal_CRITERIOS DE EVALUACION PT DE GB 2" xfId="29" xr:uid="{0DDDA7E1-92E2-4CAD-A255-63710103482F}"/>
    <cellStyle name="Porcentaje" xfId="18" builtinId="5"/>
    <cellStyle name="Porcentaje 2" xfId="19" xr:uid="{00000000-0005-0000-0000-000015000000}"/>
    <cellStyle name="Porcentaje 2 2" xfId="20" xr:uid="{00000000-0005-0000-0000-000016000000}"/>
    <cellStyle name="Porcentaje 2 3" xfId="21" xr:uid="{00000000-0005-0000-0000-000017000000}"/>
    <cellStyle name="Porcentaje 3" xfId="22" xr:uid="{00000000-0005-0000-0000-000018000000}"/>
    <cellStyle name="Porcentaje 3 2" xfId="23" xr:uid="{00000000-0005-0000-0000-000019000000}"/>
    <cellStyle name="Porcentaje 3 2 2" xfId="24" xr:uid="{00000000-0005-0000-0000-00001A000000}"/>
    <cellStyle name="Porcentaje 4" xfId="25" xr:uid="{00000000-0005-0000-0000-00001B000000}"/>
    <cellStyle name="Porcentaje 5" xfId="26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#DIV/0!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#DIV/0!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 t="str">
            <v>Und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 t="str">
            <v>Und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Und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Mililitros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Gramos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  <cell r="M364" t="str">
            <v>Gramos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/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 t="str">
            <v>und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 t="str">
            <v>Gramos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 t="str">
            <v>Gramos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  <cell r="M380" t="str">
            <v>Gramos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 t="str">
            <v>Gramos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 t="str">
            <v>Gramos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  <cell r="M401" t="str">
            <v>Gramos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 t="str">
            <v>Gramos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Gramos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 t="str">
            <v>Mililitros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  <cell r="M407" t="str">
            <v>Gramos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 t="str">
            <v>Gramos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#DIV/0!</v>
          </cell>
          <cell r="M411" t="str">
            <v>Gramos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  <cell r="M417" t="str">
            <v>Gramos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  <cell r="M423" t="str">
            <v>Gramos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 t="str">
            <v>Mililitros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 t="str">
            <v>Unidad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Unidad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 t="str">
            <v>Mililitros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/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 t="str">
            <v>Mililitros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 t="str">
            <v>Gramos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 t="str">
            <v>Mililitros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 t="str">
            <v>Mililitros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 t="str">
            <v>Gramos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 t="str">
            <v>Gramos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/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 t="str">
            <v>Gramos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#DIV/0!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#N/A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#N/A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#DIV/0!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#DIV/0!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 t="str">
            <v>Und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 t="str">
            <v>Und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 t="str">
            <v>Und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/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 t="str">
            <v>Und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 t="str">
            <v>Und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 t="str">
            <v>Und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 t="str">
            <v>Und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 t="str">
            <v>Und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/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 t="str">
            <v>Und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 t="str">
            <v>Und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 t="str">
            <v>Und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 t="str">
            <v>Und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 t="str">
            <v>Mililitros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/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#DIV/0!</v>
          </cell>
          <cell r="M711" t="str">
            <v>Mililitros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/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  <cell r="M714" t="str">
            <v>Gramos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 t="str">
            <v>Mililitros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  <cell r="M765" t="str">
            <v>Gramos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 t="str">
            <v>Gramos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#DIV/0!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#DIV/0!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Und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 t="str">
            <v>Gramos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ASEO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4295</v>
          </cell>
          <cell r="J788">
            <v>282909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B789">
            <v>5668</v>
          </cell>
          <cell r="C789" t="str">
            <v>AGUA PLANTA</v>
          </cell>
          <cell r="D789" t="str">
            <v>119000012</v>
          </cell>
          <cell r="E789" t="str">
            <v>MATERIAS PRIMAS PLANTA</v>
          </cell>
          <cell r="F789" t="str">
            <v>LITRO</v>
          </cell>
          <cell r="G789">
            <v>500</v>
          </cell>
          <cell r="H789" t="str">
            <v>15/06/2020</v>
          </cell>
          <cell r="I789">
            <v>100</v>
          </cell>
          <cell r="J789">
            <v>12423172.800000001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MANO OBRA</v>
          </cell>
          <cell r="F790" t="str">
            <v>Minuto</v>
          </cell>
          <cell r="G790">
            <v>500</v>
          </cell>
          <cell r="H790" t="str">
            <v>15/06/2020</v>
          </cell>
          <cell r="I790">
            <v>56</v>
          </cell>
          <cell r="J790">
            <v>51068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EMPAQUES PLANTA</v>
          </cell>
          <cell r="F791" t="str">
            <v>UND</v>
          </cell>
          <cell r="G791">
            <v>500</v>
          </cell>
          <cell r="H791" t="str">
            <v>03/12/2019</v>
          </cell>
          <cell r="I791">
            <v>8990</v>
          </cell>
          <cell r="J791">
            <v>-12951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B792">
            <v>14824</v>
          </cell>
          <cell r="C792" t="str">
            <v>CLORO 5% MFS (UND:GL)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 t="e">
            <v>#N/A</v>
          </cell>
          <cell r="J792">
            <v>165121.5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 xml:space="preserve">TRIPLE SEC 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5600</v>
          </cell>
          <cell r="J793">
            <v>130093.7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B794">
            <v>14826</v>
          </cell>
          <cell r="C794" t="str">
            <v>MERMELADA DE NARANJA SMUCKER (UND:361 G)</v>
          </cell>
          <cell r="D794" t="str">
            <v>120000019</v>
          </cell>
          <cell r="E794" t="str">
            <v>MATERIAS PRIMAS PLANTA</v>
          </cell>
          <cell r="F794" t="str">
            <v>UND</v>
          </cell>
          <cell r="G794">
            <v>500</v>
          </cell>
          <cell r="H794" t="str">
            <v>05/06/2020</v>
          </cell>
          <cell r="I794">
            <v>2323</v>
          </cell>
          <cell r="J794">
            <v>126655.1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CAFÉ INSTANTANEO (PAQ: 500 G)</v>
          </cell>
          <cell r="D795" t="str">
            <v>120000022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21/05/2020</v>
          </cell>
          <cell r="I795">
            <v>8555</v>
          </cell>
          <cell r="J795">
            <v>85170</v>
          </cell>
          <cell r="K795">
            <v>500</v>
          </cell>
          <cell r="L795">
            <v>17.11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e">
            <v>#N/A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e">
            <v>#N/A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/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/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/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/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/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/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/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2504.1564981818178</v>
          </cell>
          <cell r="H47">
            <v>2.5041564981818176</v>
          </cell>
          <cell r="I47">
            <v>0</v>
          </cell>
          <cell r="J47">
            <v>0</v>
          </cell>
          <cell r="K47">
            <v>450.74816967272722</v>
          </cell>
          <cell r="L47">
            <v>0.45074816967272724</v>
          </cell>
          <cell r="M47">
            <v>2954.9046678545451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1326.1626390163178</v>
          </cell>
          <cell r="H85">
            <v>1.3261626390163179</v>
          </cell>
          <cell r="I85">
            <v>17.500383714188949</v>
          </cell>
          <cell r="J85">
            <v>1.7500383714188949E-2</v>
          </cell>
          <cell r="K85">
            <v>241.85934409149121</v>
          </cell>
          <cell r="L85">
            <v>0.24185934409149121</v>
          </cell>
          <cell r="M85">
            <v>1585.522366821998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2300.2934436977612</v>
          </cell>
          <cell r="H253">
            <v>2.3002934436977611</v>
          </cell>
          <cell r="I253">
            <v>2.3980769230769225E-3</v>
          </cell>
          <cell r="J253">
            <v>2.3980769230769227E-6</v>
          </cell>
          <cell r="K253">
            <v>414.05325151944311</v>
          </cell>
          <cell r="L253">
            <v>0.41405325151944311</v>
          </cell>
          <cell r="M253">
            <v>2714.3490932941272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1843.3397736906572</v>
          </cell>
          <cell r="H328">
            <v>1843.3397736906572</v>
          </cell>
          <cell r="I328">
            <v>0.24805175150499653</v>
          </cell>
          <cell r="J328">
            <v>0.24805175150499653</v>
          </cell>
          <cell r="K328">
            <v>331.84580857958917</v>
          </cell>
          <cell r="L328">
            <v>331.84580857958917</v>
          </cell>
          <cell r="M328">
            <v>2175.4336340217515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593A-D367-418D-8502-D8FEBFE16522}">
  <dimension ref="A1:I63"/>
  <sheetViews>
    <sheetView tabSelected="1" view="pageBreakPreview" topLeftCell="A22" zoomScale="60" zoomScaleNormal="70" workbookViewId="0">
      <selection activeCell="B42" sqref="B42"/>
    </sheetView>
  </sheetViews>
  <sheetFormatPr baseColWidth="10" defaultRowHeight="13.2" x14ac:dyDescent="0.25"/>
  <cols>
    <col min="1" max="1" width="15.44140625" bestFit="1" customWidth="1"/>
    <col min="2" max="2" width="13.5546875" bestFit="1" customWidth="1"/>
    <col min="3" max="3" width="74" customWidth="1"/>
    <col min="4" max="4" width="34.44140625" bestFit="1" customWidth="1"/>
    <col min="5" max="5" width="11.5546875" bestFit="1" customWidth="1"/>
    <col min="8" max="8" width="47.5546875" bestFit="1" customWidth="1"/>
    <col min="9" max="9" width="21.21875" bestFit="1" customWidth="1"/>
  </cols>
  <sheetData>
    <row r="1" spans="1:9" ht="17.399999999999999" x14ac:dyDescent="0.3">
      <c r="A1" s="307"/>
      <c r="B1" s="308"/>
      <c r="C1" s="313" t="s">
        <v>25</v>
      </c>
      <c r="D1" s="313"/>
      <c r="E1" s="313"/>
      <c r="F1" s="313"/>
      <c r="G1" s="313"/>
      <c r="H1" s="146" t="s">
        <v>0</v>
      </c>
      <c r="I1" s="147" t="s">
        <v>197</v>
      </c>
    </row>
    <row r="2" spans="1:9" ht="18" customHeight="1" thickBot="1" x14ac:dyDescent="0.35">
      <c r="A2" s="309"/>
      <c r="B2" s="310"/>
      <c r="C2" s="314" t="s">
        <v>1</v>
      </c>
      <c r="D2" s="315"/>
      <c r="E2" s="315"/>
      <c r="F2" s="315"/>
      <c r="G2" s="316"/>
      <c r="H2" s="148" t="s">
        <v>2</v>
      </c>
      <c r="I2" s="149" t="s">
        <v>199</v>
      </c>
    </row>
    <row r="3" spans="1:9" ht="31.5" customHeight="1" thickBot="1" x14ac:dyDescent="0.3">
      <c r="A3" s="309"/>
      <c r="B3" s="310"/>
      <c r="C3" s="317" t="s">
        <v>174</v>
      </c>
      <c r="D3" s="318"/>
      <c r="E3" s="318"/>
      <c r="F3" s="318"/>
      <c r="G3" s="319"/>
      <c r="H3" s="320" t="s">
        <v>3</v>
      </c>
      <c r="I3" s="298">
        <v>45613</v>
      </c>
    </row>
    <row r="4" spans="1:9" ht="18" customHeight="1" x14ac:dyDescent="0.25">
      <c r="A4" s="309"/>
      <c r="B4" s="310"/>
      <c r="C4" s="150" t="s">
        <v>4</v>
      </c>
      <c r="D4" s="301" t="s">
        <v>175</v>
      </c>
      <c r="E4" s="302"/>
      <c r="F4" s="302"/>
      <c r="G4" s="303"/>
      <c r="H4" s="321"/>
      <c r="I4" s="299"/>
    </row>
    <row r="5" spans="1:9" ht="17.399999999999999" thickBot="1" x14ac:dyDescent="0.3">
      <c r="A5" s="311"/>
      <c r="B5" s="312"/>
      <c r="C5" s="151" t="s">
        <v>5</v>
      </c>
      <c r="D5" s="304" t="s">
        <v>53</v>
      </c>
      <c r="E5" s="305"/>
      <c r="F5" s="305"/>
      <c r="G5" s="306"/>
      <c r="H5" s="322"/>
      <c r="I5" s="300"/>
    </row>
    <row r="6" spans="1:9" ht="18" thickBot="1" x14ac:dyDescent="0.35">
      <c r="A6" s="289" t="s">
        <v>176</v>
      </c>
      <c r="B6" s="289"/>
      <c r="C6" s="289"/>
      <c r="D6" s="290" t="s">
        <v>32</v>
      </c>
      <c r="E6" s="290"/>
      <c r="F6" s="290"/>
      <c r="G6" s="291" t="s">
        <v>177</v>
      </c>
      <c r="H6" s="291"/>
      <c r="I6" s="152" t="s">
        <v>178</v>
      </c>
    </row>
    <row r="7" spans="1:9" ht="34.799999999999997" x14ac:dyDescent="0.25">
      <c r="A7" s="292" t="s">
        <v>6</v>
      </c>
      <c r="B7" s="294" t="s">
        <v>179</v>
      </c>
      <c r="C7" s="296" t="s">
        <v>7</v>
      </c>
      <c r="D7" s="296" t="s">
        <v>8</v>
      </c>
      <c r="E7" s="296" t="s">
        <v>9</v>
      </c>
      <c r="F7" s="296"/>
      <c r="G7" s="296" t="s">
        <v>10</v>
      </c>
      <c r="H7" s="296"/>
      <c r="I7" s="153" t="s">
        <v>11</v>
      </c>
    </row>
    <row r="8" spans="1:9" ht="35.4" thickBot="1" x14ac:dyDescent="0.35">
      <c r="A8" s="293"/>
      <c r="B8" s="295"/>
      <c r="C8" s="297"/>
      <c r="D8" s="297"/>
      <c r="E8" s="154" t="s">
        <v>12</v>
      </c>
      <c r="F8" s="155" t="s">
        <v>13</v>
      </c>
      <c r="G8" s="154" t="s">
        <v>12</v>
      </c>
      <c r="H8" s="155" t="s">
        <v>13</v>
      </c>
      <c r="I8" s="156" t="s">
        <v>14</v>
      </c>
    </row>
    <row r="9" spans="1:9" ht="18" x14ac:dyDescent="0.35">
      <c r="A9" s="157"/>
      <c r="B9" s="158"/>
      <c r="C9" s="159" t="s">
        <v>180</v>
      </c>
      <c r="D9" s="160"/>
      <c r="E9" s="161"/>
      <c r="F9" s="162"/>
      <c r="G9" s="161"/>
      <c r="H9" s="162"/>
      <c r="I9" s="163"/>
    </row>
    <row r="10" spans="1:9" ht="18" customHeight="1" x14ac:dyDescent="0.35">
      <c r="A10" s="164">
        <v>907000308</v>
      </c>
      <c r="B10" s="165" t="s">
        <v>155</v>
      </c>
      <c r="C10" s="166" t="s">
        <v>181</v>
      </c>
      <c r="D10" s="167" t="s">
        <v>51</v>
      </c>
      <c r="E10" s="168">
        <v>230</v>
      </c>
      <c r="F10" s="169" t="s">
        <v>15</v>
      </c>
      <c r="G10" s="170"/>
      <c r="H10" s="171" t="s">
        <v>182</v>
      </c>
      <c r="I10" s="163"/>
    </row>
    <row r="11" spans="1:9" ht="18" x14ac:dyDescent="0.35">
      <c r="A11" s="164">
        <v>910000007</v>
      </c>
      <c r="B11" s="172" t="s">
        <v>156</v>
      </c>
      <c r="C11" s="173" t="s">
        <v>44</v>
      </c>
      <c r="D11" s="167" t="s">
        <v>51</v>
      </c>
      <c r="E11" s="174">
        <v>50</v>
      </c>
      <c r="F11" s="175" t="s">
        <v>15</v>
      </c>
      <c r="G11" s="170"/>
      <c r="H11" s="171"/>
      <c r="I11" s="163"/>
    </row>
    <row r="12" spans="1:9" ht="18" x14ac:dyDescent="0.35">
      <c r="A12" s="164">
        <v>905000031</v>
      </c>
      <c r="B12" s="172" t="s">
        <v>157</v>
      </c>
      <c r="C12" s="173" t="s">
        <v>151</v>
      </c>
      <c r="D12" s="167" t="s">
        <v>51</v>
      </c>
      <c r="E12" s="174">
        <v>75</v>
      </c>
      <c r="F12" s="175" t="s">
        <v>15</v>
      </c>
      <c r="G12" s="176"/>
      <c r="H12" s="171" t="s">
        <v>183</v>
      </c>
      <c r="I12" s="163"/>
    </row>
    <row r="13" spans="1:9" ht="18" x14ac:dyDescent="0.35">
      <c r="A13" s="164"/>
      <c r="B13" s="172"/>
      <c r="C13" s="173" t="s">
        <v>31</v>
      </c>
      <c r="D13" s="167"/>
      <c r="E13" s="174"/>
      <c r="F13" s="175"/>
      <c r="G13" s="176"/>
      <c r="H13" s="171"/>
      <c r="I13" s="163"/>
    </row>
    <row r="14" spans="1:9" ht="18" x14ac:dyDescent="0.35">
      <c r="A14" s="177" t="s">
        <v>40</v>
      </c>
      <c r="B14" s="178" t="s">
        <v>156</v>
      </c>
      <c r="C14" s="179" t="s">
        <v>44</v>
      </c>
      <c r="D14" s="176" t="s">
        <v>51</v>
      </c>
      <c r="E14" s="176">
        <v>50</v>
      </c>
      <c r="F14" s="180" t="s">
        <v>15</v>
      </c>
      <c r="G14" s="176"/>
      <c r="H14" s="171"/>
      <c r="I14" s="163"/>
    </row>
    <row r="15" spans="1:9" ht="18" x14ac:dyDescent="0.35">
      <c r="A15" s="181" t="s">
        <v>153</v>
      </c>
      <c r="B15" s="178" t="s">
        <v>158</v>
      </c>
      <c r="C15" s="182" t="s">
        <v>154</v>
      </c>
      <c r="D15" s="176" t="s">
        <v>51</v>
      </c>
      <c r="E15" s="176">
        <v>100</v>
      </c>
      <c r="F15" s="180" t="s">
        <v>15</v>
      </c>
      <c r="G15" s="176"/>
      <c r="H15" s="171" t="s">
        <v>183</v>
      </c>
      <c r="I15" s="163"/>
    </row>
    <row r="16" spans="1:9" ht="18" x14ac:dyDescent="0.35">
      <c r="A16" s="176">
        <v>907000015</v>
      </c>
      <c r="B16" s="176" t="s">
        <v>159</v>
      </c>
      <c r="C16" s="183" t="s">
        <v>45</v>
      </c>
      <c r="D16" s="184" t="s">
        <v>51</v>
      </c>
      <c r="E16" s="184">
        <v>30</v>
      </c>
      <c r="F16" s="170" t="s">
        <v>15</v>
      </c>
      <c r="G16" s="176"/>
      <c r="H16" s="171" t="s">
        <v>183</v>
      </c>
      <c r="I16" s="163"/>
    </row>
    <row r="17" spans="1:9" ht="18" x14ac:dyDescent="0.35">
      <c r="A17" s="176" t="s">
        <v>40</v>
      </c>
      <c r="B17" s="176" t="s">
        <v>156</v>
      </c>
      <c r="C17" s="183" t="s">
        <v>44</v>
      </c>
      <c r="D17" s="184" t="s">
        <v>51</v>
      </c>
      <c r="E17" s="184">
        <v>50</v>
      </c>
      <c r="F17" s="170" t="s">
        <v>15</v>
      </c>
      <c r="G17" s="176"/>
      <c r="H17" s="171"/>
      <c r="I17" s="163"/>
    </row>
    <row r="18" spans="1:9" ht="18" x14ac:dyDescent="0.35">
      <c r="A18" s="176"/>
      <c r="B18" s="176"/>
      <c r="C18" s="183"/>
      <c r="D18" s="184"/>
      <c r="E18" s="184"/>
      <c r="F18" s="170"/>
      <c r="G18" s="176"/>
      <c r="H18" s="171"/>
      <c r="I18" s="163"/>
    </row>
    <row r="19" spans="1:9" ht="18" x14ac:dyDescent="0.35">
      <c r="A19" s="176"/>
      <c r="B19" s="176"/>
      <c r="C19" s="183"/>
      <c r="D19" s="184"/>
      <c r="E19" s="184"/>
      <c r="F19" s="170"/>
      <c r="G19" s="176"/>
      <c r="H19" s="171"/>
      <c r="I19" s="163"/>
    </row>
    <row r="20" spans="1:9" ht="18" x14ac:dyDescent="0.35">
      <c r="A20" s="178"/>
      <c r="B20" s="178"/>
      <c r="C20" s="185"/>
      <c r="D20" s="176"/>
      <c r="E20" s="176"/>
      <c r="F20" s="180"/>
      <c r="G20" s="176"/>
      <c r="H20" s="171"/>
      <c r="I20" s="163"/>
    </row>
    <row r="21" spans="1:9" ht="18" x14ac:dyDescent="0.35">
      <c r="A21" s="177"/>
      <c r="B21" s="178"/>
      <c r="C21" s="179"/>
      <c r="D21" s="176"/>
      <c r="E21" s="176"/>
      <c r="F21" s="180"/>
      <c r="G21" s="176"/>
      <c r="H21" s="171"/>
      <c r="I21" s="163"/>
    </row>
    <row r="22" spans="1:9" ht="18" x14ac:dyDescent="0.35">
      <c r="A22" s="186"/>
      <c r="B22" s="186"/>
      <c r="C22" s="187"/>
      <c r="D22" s="188"/>
      <c r="E22" s="189"/>
      <c r="F22" s="190"/>
      <c r="G22" s="161"/>
      <c r="H22" s="171"/>
      <c r="I22" s="163"/>
    </row>
    <row r="23" spans="1:9" ht="18" x14ac:dyDescent="0.35">
      <c r="A23" s="191"/>
      <c r="B23" s="192"/>
      <c r="C23" s="193" t="s">
        <v>32</v>
      </c>
      <c r="D23" s="194"/>
      <c r="E23" s="195"/>
      <c r="F23" s="196"/>
      <c r="G23" s="161"/>
      <c r="H23" s="162"/>
      <c r="I23" s="163"/>
    </row>
    <row r="24" spans="1:9" ht="18" x14ac:dyDescent="0.35">
      <c r="A24" s="164">
        <v>96344</v>
      </c>
      <c r="B24" s="197" t="s">
        <v>160</v>
      </c>
      <c r="C24" s="166" t="s">
        <v>46</v>
      </c>
      <c r="D24" s="167" t="s">
        <v>51</v>
      </c>
      <c r="E24" s="174">
        <v>80</v>
      </c>
      <c r="F24" s="175" t="s">
        <v>15</v>
      </c>
      <c r="G24" s="161"/>
      <c r="H24" s="162" t="s">
        <v>184</v>
      </c>
      <c r="I24" s="163"/>
    </row>
    <row r="25" spans="1:9" ht="18" x14ac:dyDescent="0.35">
      <c r="A25" s="164" t="s">
        <v>35</v>
      </c>
      <c r="B25" s="197" t="s">
        <v>160</v>
      </c>
      <c r="C25" s="166" t="s">
        <v>46</v>
      </c>
      <c r="D25" s="167" t="s">
        <v>51</v>
      </c>
      <c r="E25" s="198">
        <v>25</v>
      </c>
      <c r="F25" s="175" t="s">
        <v>15</v>
      </c>
      <c r="G25" s="161"/>
      <c r="H25" s="162" t="s">
        <v>185</v>
      </c>
      <c r="I25" s="163"/>
    </row>
    <row r="26" spans="1:9" ht="18" x14ac:dyDescent="0.35">
      <c r="A26" s="164">
        <v>908000048</v>
      </c>
      <c r="B26" s="197" t="s">
        <v>161</v>
      </c>
      <c r="C26" s="166" t="s">
        <v>48</v>
      </c>
      <c r="D26" s="167" t="s">
        <v>51</v>
      </c>
      <c r="E26" s="174">
        <v>25</v>
      </c>
      <c r="F26" s="175" t="s">
        <v>15</v>
      </c>
      <c r="G26" s="161"/>
      <c r="H26" s="162" t="s">
        <v>198</v>
      </c>
      <c r="I26" s="163"/>
    </row>
    <row r="27" spans="1:9" ht="18" x14ac:dyDescent="0.35">
      <c r="A27" s="164">
        <v>908000032</v>
      </c>
      <c r="B27" s="197" t="s">
        <v>162</v>
      </c>
      <c r="C27" s="166" t="s">
        <v>50</v>
      </c>
      <c r="D27" s="167" t="s">
        <v>51</v>
      </c>
      <c r="E27" s="199">
        <v>5</v>
      </c>
      <c r="F27" s="200" t="s">
        <v>15</v>
      </c>
      <c r="G27" s="161"/>
      <c r="H27" s="162" t="s">
        <v>186</v>
      </c>
      <c r="I27" s="163"/>
    </row>
    <row r="28" spans="1:9" ht="18" x14ac:dyDescent="0.35">
      <c r="A28" s="164" t="s">
        <v>62</v>
      </c>
      <c r="B28" s="197" t="s">
        <v>163</v>
      </c>
      <c r="C28" s="166" t="s">
        <v>63</v>
      </c>
      <c r="D28" s="167" t="s">
        <v>187</v>
      </c>
      <c r="E28" s="168">
        <v>0.5</v>
      </c>
      <c r="F28" s="200" t="s">
        <v>54</v>
      </c>
      <c r="G28" s="161"/>
      <c r="H28" s="162"/>
      <c r="I28" s="163"/>
    </row>
    <row r="29" spans="1:9" ht="18" x14ac:dyDescent="0.35">
      <c r="A29" s="201"/>
      <c r="B29" s="201"/>
      <c r="C29" s="202"/>
      <c r="D29" s="203"/>
      <c r="E29" s="204"/>
      <c r="F29" s="205"/>
      <c r="G29" s="161"/>
      <c r="H29" s="162"/>
      <c r="I29" s="163"/>
    </row>
    <row r="30" spans="1:9" ht="18" x14ac:dyDescent="0.35">
      <c r="A30" s="186"/>
      <c r="B30" s="186"/>
      <c r="C30" s="187"/>
      <c r="D30" s="206"/>
      <c r="E30" s="207"/>
      <c r="F30" s="205"/>
      <c r="G30" s="161"/>
      <c r="H30" s="162"/>
      <c r="I30" s="163"/>
    </row>
    <row r="31" spans="1:9" ht="18" x14ac:dyDescent="0.35">
      <c r="A31" s="186"/>
      <c r="B31" s="186"/>
      <c r="C31" s="187"/>
      <c r="D31" s="206"/>
      <c r="E31" s="198"/>
      <c r="F31" s="208"/>
      <c r="G31" s="161"/>
      <c r="H31" s="162"/>
      <c r="I31" s="163"/>
    </row>
    <row r="32" spans="1:9" ht="18" x14ac:dyDescent="0.35">
      <c r="A32" s="209"/>
      <c r="B32" s="210"/>
      <c r="C32" s="211" t="s">
        <v>188</v>
      </c>
      <c r="D32" s="212"/>
      <c r="E32" s="213"/>
      <c r="F32" s="162"/>
      <c r="G32" s="161"/>
      <c r="H32" s="202"/>
      <c r="I32" s="163"/>
    </row>
    <row r="33" spans="1:9" ht="18" x14ac:dyDescent="0.35">
      <c r="A33" s="214" t="s">
        <v>64</v>
      </c>
      <c r="B33" s="214" t="s">
        <v>164</v>
      </c>
      <c r="C33" s="215" t="s">
        <v>65</v>
      </c>
      <c r="D33" s="216" t="s">
        <v>189</v>
      </c>
      <c r="E33" s="189">
        <v>1</v>
      </c>
      <c r="F33" s="190" t="s">
        <v>54</v>
      </c>
      <c r="G33" s="217"/>
      <c r="H33" s="162"/>
      <c r="I33" s="163"/>
    </row>
    <row r="34" spans="1:9" ht="18" x14ac:dyDescent="0.35">
      <c r="A34" s="218">
        <v>51400021</v>
      </c>
      <c r="B34" s="218" t="s">
        <v>172</v>
      </c>
      <c r="C34" s="219" t="s">
        <v>173</v>
      </c>
      <c r="D34" s="216" t="s">
        <v>190</v>
      </c>
      <c r="E34" s="189">
        <v>1</v>
      </c>
      <c r="F34" s="190" t="s">
        <v>54</v>
      </c>
      <c r="G34" s="217"/>
      <c r="H34" s="162"/>
      <c r="I34" s="163"/>
    </row>
    <row r="35" spans="1:9" ht="18" x14ac:dyDescent="0.35">
      <c r="A35" s="186">
        <v>702077</v>
      </c>
      <c r="B35" s="186" t="s">
        <v>170</v>
      </c>
      <c r="C35" s="187" t="s">
        <v>191</v>
      </c>
      <c r="D35" s="220" t="s">
        <v>192</v>
      </c>
      <c r="E35" s="198">
        <v>1</v>
      </c>
      <c r="F35" s="176" t="s">
        <v>54</v>
      </c>
      <c r="G35" s="217"/>
      <c r="H35" s="162"/>
      <c r="I35" s="163"/>
    </row>
    <row r="36" spans="1:9" ht="18" x14ac:dyDescent="0.35">
      <c r="A36" s="221" t="s">
        <v>68</v>
      </c>
      <c r="B36" s="221" t="s">
        <v>165</v>
      </c>
      <c r="C36" s="222" t="s">
        <v>39</v>
      </c>
      <c r="D36" s="216" t="s">
        <v>193</v>
      </c>
      <c r="E36" s="189">
        <v>1</v>
      </c>
      <c r="F36" s="190" t="s">
        <v>54</v>
      </c>
      <c r="G36" s="161"/>
      <c r="H36" s="162"/>
      <c r="I36" s="163"/>
    </row>
    <row r="37" spans="1:9" ht="18" x14ac:dyDescent="0.35">
      <c r="A37" s="223">
        <v>701096</v>
      </c>
      <c r="B37" s="223" t="s">
        <v>166</v>
      </c>
      <c r="C37" s="224" t="s">
        <v>56</v>
      </c>
      <c r="D37" s="216" t="s">
        <v>194</v>
      </c>
      <c r="E37" s="189">
        <v>1</v>
      </c>
      <c r="F37" s="190" t="s">
        <v>54</v>
      </c>
      <c r="G37" s="161"/>
      <c r="H37" s="162"/>
      <c r="I37" s="163"/>
    </row>
    <row r="38" spans="1:9" ht="18" x14ac:dyDescent="0.35">
      <c r="A38" s="223">
        <v>703020</v>
      </c>
      <c r="B38" s="223" t="s">
        <v>167</v>
      </c>
      <c r="C38" s="224" t="s">
        <v>52</v>
      </c>
      <c r="D38" s="216" t="s">
        <v>195</v>
      </c>
      <c r="E38" s="189">
        <v>60</v>
      </c>
      <c r="F38" s="190" t="s">
        <v>55</v>
      </c>
      <c r="G38" s="225"/>
      <c r="H38" s="162"/>
      <c r="I38" s="163"/>
    </row>
    <row r="39" spans="1:9" ht="18" x14ac:dyDescent="0.35">
      <c r="A39" s="223">
        <v>702123</v>
      </c>
      <c r="B39" s="223" t="s">
        <v>168</v>
      </c>
      <c r="C39" s="224" t="s">
        <v>57</v>
      </c>
      <c r="D39" s="216" t="s">
        <v>193</v>
      </c>
      <c r="E39" s="189">
        <v>1</v>
      </c>
      <c r="F39" s="190" t="s">
        <v>54</v>
      </c>
      <c r="G39" s="226"/>
      <c r="H39" s="162"/>
      <c r="I39" s="163"/>
    </row>
    <row r="40" spans="1:9" ht="18" x14ac:dyDescent="0.35">
      <c r="A40" s="227"/>
      <c r="B40" s="227"/>
      <c r="C40" s="228"/>
      <c r="D40" s="216" t="s">
        <v>190</v>
      </c>
      <c r="E40" s="208"/>
      <c r="F40" s="208"/>
      <c r="G40" s="226"/>
      <c r="H40" s="162"/>
      <c r="I40" s="163"/>
    </row>
    <row r="41" spans="1:9" ht="18" x14ac:dyDescent="0.35">
      <c r="A41" s="214" t="s">
        <v>28</v>
      </c>
      <c r="B41" s="186" t="s">
        <v>171</v>
      </c>
      <c r="C41" s="215" t="s">
        <v>29</v>
      </c>
      <c r="D41" s="220" t="s">
        <v>194</v>
      </c>
      <c r="E41" s="198">
        <v>1</v>
      </c>
      <c r="F41" s="176" t="s">
        <v>54</v>
      </c>
      <c r="G41" s="226"/>
      <c r="H41" s="162"/>
      <c r="I41" s="163"/>
    </row>
    <row r="42" spans="1:9" ht="18" x14ac:dyDescent="0.35">
      <c r="A42" s="223">
        <v>702167</v>
      </c>
      <c r="B42" s="223" t="s">
        <v>169</v>
      </c>
      <c r="C42" s="224" t="s">
        <v>58</v>
      </c>
      <c r="D42" s="216" t="s">
        <v>193</v>
      </c>
      <c r="E42" s="198">
        <v>1</v>
      </c>
      <c r="F42" s="176" t="s">
        <v>54</v>
      </c>
      <c r="G42" s="226"/>
      <c r="H42" s="162"/>
      <c r="I42" s="163"/>
    </row>
    <row r="43" spans="1:9" ht="18" x14ac:dyDescent="0.35">
      <c r="A43" s="191"/>
      <c r="B43" s="192"/>
      <c r="C43" s="222"/>
      <c r="D43" s="194"/>
      <c r="E43" s="194"/>
      <c r="F43" s="196"/>
      <c r="G43" s="194"/>
      <c r="H43" s="194"/>
      <c r="I43" s="163"/>
    </row>
    <row r="44" spans="1:9" ht="17.399999999999999" thickBot="1" x14ac:dyDescent="0.3">
      <c r="A44" s="229"/>
      <c r="B44" s="230"/>
      <c r="C44" s="231"/>
      <c r="D44" s="231"/>
      <c r="E44" s="232"/>
      <c r="F44" s="233"/>
      <c r="G44" s="231"/>
      <c r="H44" s="231"/>
      <c r="I44" s="234"/>
    </row>
    <row r="45" spans="1:9" ht="18" thickBot="1" x14ac:dyDescent="0.35">
      <c r="A45" s="235"/>
      <c r="B45" s="236"/>
      <c r="C45" s="237"/>
      <c r="D45" s="238" t="s">
        <v>12</v>
      </c>
      <c r="E45" s="239" t="s">
        <v>16</v>
      </c>
      <c r="F45" s="240"/>
      <c r="G45" s="237"/>
      <c r="H45" s="237"/>
      <c r="I45" s="241"/>
    </row>
    <row r="46" spans="1:9" ht="17.399999999999999" x14ac:dyDescent="0.3">
      <c r="A46" s="283" t="s">
        <v>17</v>
      </c>
      <c r="B46" s="284"/>
      <c r="C46" s="285"/>
      <c r="D46" s="207">
        <v>766</v>
      </c>
      <c r="E46" s="242" t="s">
        <v>15</v>
      </c>
      <c r="F46" s="286" t="s">
        <v>26</v>
      </c>
      <c r="G46" s="286"/>
      <c r="H46" s="287"/>
      <c r="I46" s="288"/>
    </row>
    <row r="47" spans="1:9" ht="17.399999999999999" x14ac:dyDescent="0.3">
      <c r="A47" s="266" t="s">
        <v>18</v>
      </c>
      <c r="B47" s="267"/>
      <c r="C47" s="268"/>
      <c r="D47" s="176">
        <v>6</v>
      </c>
      <c r="E47" s="176" t="s">
        <v>59</v>
      </c>
      <c r="F47" s="269" t="s">
        <v>19</v>
      </c>
      <c r="G47" s="269"/>
      <c r="H47" s="270"/>
      <c r="I47" s="271"/>
    </row>
    <row r="48" spans="1:9" ht="17.399999999999999" x14ac:dyDescent="0.3">
      <c r="A48" s="266" t="s">
        <v>20</v>
      </c>
      <c r="B48" s="267"/>
      <c r="C48" s="268"/>
      <c r="D48" s="176">
        <v>1</v>
      </c>
      <c r="E48" s="176" t="s">
        <v>54</v>
      </c>
      <c r="F48" s="269" t="s">
        <v>27</v>
      </c>
      <c r="G48" s="269"/>
      <c r="H48" s="270"/>
      <c r="I48" s="271"/>
    </row>
    <row r="49" spans="1:9" ht="17.399999999999999" x14ac:dyDescent="0.3">
      <c r="A49" s="266" t="s">
        <v>21</v>
      </c>
      <c r="B49" s="267"/>
      <c r="C49" s="268"/>
      <c r="D49" s="198">
        <v>766</v>
      </c>
      <c r="E49" s="176" t="s">
        <v>15</v>
      </c>
      <c r="F49" s="272" t="s">
        <v>22</v>
      </c>
      <c r="G49" s="273"/>
      <c r="H49" s="274"/>
      <c r="I49" s="275"/>
    </row>
    <row r="50" spans="1:9" ht="18" thickBot="1" x14ac:dyDescent="0.35">
      <c r="A50" s="276" t="s">
        <v>23</v>
      </c>
      <c r="B50" s="277"/>
      <c r="C50" s="278"/>
      <c r="D50" s="243">
        <f>SUM(E10:E28)-D46</f>
        <v>-45.5</v>
      </c>
      <c r="E50" s="244" t="s">
        <v>15</v>
      </c>
      <c r="F50" s="279"/>
      <c r="G50" s="279"/>
      <c r="H50" s="270"/>
      <c r="I50" s="271"/>
    </row>
    <row r="51" spans="1:9" ht="18" thickBot="1" x14ac:dyDescent="0.35">
      <c r="A51" s="280" t="s">
        <v>24</v>
      </c>
      <c r="B51" s="281"/>
      <c r="C51" s="281"/>
      <c r="D51" s="281"/>
      <c r="E51" s="281"/>
      <c r="F51" s="281"/>
      <c r="G51" s="281"/>
      <c r="H51" s="281"/>
      <c r="I51" s="282"/>
    </row>
    <row r="52" spans="1:9" ht="18.45" customHeight="1" x14ac:dyDescent="0.25">
      <c r="A52" s="258" t="s">
        <v>43</v>
      </c>
      <c r="B52" s="259"/>
      <c r="C52" s="260"/>
      <c r="D52" s="260"/>
      <c r="E52" s="260"/>
      <c r="F52" s="260"/>
      <c r="G52" s="260"/>
      <c r="H52" s="260"/>
      <c r="I52" s="261"/>
    </row>
    <row r="53" spans="1:9" ht="14.7" customHeight="1" x14ac:dyDescent="0.25">
      <c r="A53" s="254" t="s">
        <v>33</v>
      </c>
      <c r="B53" s="255"/>
      <c r="C53" s="256"/>
      <c r="D53" s="256"/>
      <c r="E53" s="256"/>
      <c r="F53" s="256"/>
      <c r="G53" s="256"/>
      <c r="H53" s="256"/>
      <c r="I53" s="257"/>
    </row>
    <row r="54" spans="1:9" ht="14.7" customHeight="1" x14ac:dyDescent="0.25">
      <c r="A54" s="254" t="s">
        <v>34</v>
      </c>
      <c r="B54" s="255"/>
      <c r="C54" s="256"/>
      <c r="D54" s="256"/>
      <c r="E54" s="256"/>
      <c r="F54" s="256"/>
      <c r="G54" s="256"/>
      <c r="H54" s="256"/>
      <c r="I54" s="257"/>
    </row>
    <row r="55" spans="1:9" ht="14.7" customHeight="1" x14ac:dyDescent="0.25">
      <c r="A55" s="254" t="s">
        <v>36</v>
      </c>
      <c r="B55" s="255"/>
      <c r="C55" s="256"/>
      <c r="D55" s="256"/>
      <c r="E55" s="256"/>
      <c r="F55" s="256"/>
      <c r="G55" s="256"/>
      <c r="H55" s="256"/>
      <c r="I55" s="257"/>
    </row>
    <row r="56" spans="1:9" ht="14.7" customHeight="1" x14ac:dyDescent="0.25">
      <c r="A56" s="254" t="s">
        <v>37</v>
      </c>
      <c r="B56" s="255"/>
      <c r="C56" s="256"/>
      <c r="D56" s="256"/>
      <c r="E56" s="256"/>
      <c r="F56" s="256"/>
      <c r="G56" s="256"/>
      <c r="H56" s="256"/>
      <c r="I56" s="257"/>
    </row>
    <row r="57" spans="1:9" ht="14.7" customHeight="1" x14ac:dyDescent="0.25">
      <c r="A57" s="258" t="s">
        <v>152</v>
      </c>
      <c r="B57" s="259"/>
      <c r="C57" s="260"/>
      <c r="D57" s="260"/>
      <c r="E57" s="260"/>
      <c r="F57" s="260"/>
      <c r="G57" s="260"/>
      <c r="H57" s="260"/>
      <c r="I57" s="261"/>
    </row>
    <row r="58" spans="1:9" ht="18" customHeight="1" x14ac:dyDescent="0.25">
      <c r="A58" s="262"/>
      <c r="B58" s="263"/>
      <c r="C58" s="264"/>
      <c r="D58" s="264"/>
      <c r="E58" s="264"/>
      <c r="F58" s="264"/>
      <c r="G58" s="264"/>
      <c r="H58" s="264"/>
      <c r="I58" s="265"/>
    </row>
    <row r="59" spans="1:9" ht="16.8" x14ac:dyDescent="0.25">
      <c r="A59" s="262"/>
      <c r="B59" s="263"/>
      <c r="C59" s="264"/>
      <c r="D59" s="264"/>
      <c r="E59" s="264"/>
      <c r="F59" s="264"/>
      <c r="G59" s="264"/>
      <c r="H59" s="264"/>
      <c r="I59" s="265"/>
    </row>
    <row r="60" spans="1:9" ht="18" thickBot="1" x14ac:dyDescent="0.35">
      <c r="A60" s="245"/>
      <c r="B60" s="246"/>
      <c r="C60" s="246"/>
      <c r="D60" s="246"/>
      <c r="E60" s="246"/>
      <c r="F60" s="246"/>
      <c r="G60" s="246"/>
      <c r="H60" s="246"/>
      <c r="I60" s="247"/>
    </row>
    <row r="61" spans="1:9" ht="17.399999999999999" x14ac:dyDescent="0.3">
      <c r="A61" s="248" t="s">
        <v>196</v>
      </c>
      <c r="B61" s="249"/>
      <c r="C61" s="249"/>
      <c r="D61" s="249"/>
      <c r="E61" s="249"/>
      <c r="F61" s="249"/>
      <c r="G61" s="249"/>
      <c r="H61" s="249"/>
      <c r="I61" s="249"/>
    </row>
    <row r="62" spans="1:9" ht="16.8" x14ac:dyDescent="0.25">
      <c r="A62" s="250" t="s">
        <v>200</v>
      </c>
      <c r="B62" s="251"/>
      <c r="C62" s="251"/>
      <c r="D62" s="251"/>
      <c r="E62" s="251"/>
      <c r="F62" s="251"/>
      <c r="G62" s="251"/>
      <c r="H62" s="251"/>
      <c r="I62" s="251"/>
    </row>
    <row r="63" spans="1:9" x14ac:dyDescent="0.25">
      <c r="A63" s="252"/>
      <c r="B63" s="253"/>
      <c r="C63" s="253"/>
      <c r="D63" s="253"/>
      <c r="E63" s="253"/>
      <c r="F63" s="253"/>
      <c r="G63" s="253"/>
      <c r="H63" s="253"/>
      <c r="I63" s="25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"/>
  <sheetViews>
    <sheetView topLeftCell="A27" workbookViewId="0">
      <selection activeCell="B22" sqref="B22"/>
    </sheetView>
  </sheetViews>
  <sheetFormatPr baseColWidth="10" defaultColWidth="8.44140625" defaultRowHeight="13.2" x14ac:dyDescent="0.25"/>
  <cols>
    <col min="1" max="1" width="10" style="6" bestFit="1" customWidth="1"/>
    <col min="2" max="2" width="44.21875" style="6" bestFit="1" customWidth="1"/>
    <col min="3" max="3" width="10.44140625" style="6" bestFit="1" customWidth="1"/>
    <col min="4" max="4" width="10.44140625" style="6" customWidth="1"/>
    <col min="5" max="5" width="9.77734375" style="6" bestFit="1" customWidth="1"/>
    <col min="6" max="6" width="9.5546875" style="6" bestFit="1" customWidth="1"/>
    <col min="7" max="7" width="9.5546875" style="88" bestFit="1" customWidth="1"/>
    <col min="8" max="8" width="10.44140625" style="79" bestFit="1" customWidth="1"/>
    <col min="9" max="9" width="4.5546875" style="79" customWidth="1"/>
    <col min="10" max="10" width="1.77734375" style="5" customWidth="1"/>
    <col min="11" max="11" width="7" style="6" bestFit="1" customWidth="1"/>
    <col min="12" max="12" width="6.21875" style="6" customWidth="1"/>
    <col min="13" max="13" width="20.44140625" style="6" customWidth="1"/>
    <col min="14" max="14" width="6.44140625" style="6" bestFit="1" customWidth="1"/>
    <col min="15" max="16" width="8.44140625" style="6"/>
    <col min="17" max="17" width="3.21875" style="6" customWidth="1"/>
    <col min="18" max="16384" width="8.44140625" style="6"/>
  </cols>
  <sheetData>
    <row r="1" spans="1:10" ht="27.75" customHeight="1" x14ac:dyDescent="0.25">
      <c r="A1" s="1"/>
      <c r="B1" s="1"/>
      <c r="C1" s="1"/>
      <c r="D1" s="1"/>
      <c r="E1" s="2" t="s">
        <v>70</v>
      </c>
      <c r="F1" s="3" t="s">
        <v>71</v>
      </c>
      <c r="G1" s="3" t="s">
        <v>72</v>
      </c>
      <c r="H1" s="3" t="s">
        <v>73</v>
      </c>
      <c r="I1" s="4"/>
    </row>
    <row r="2" spans="1:10" ht="30.75" customHeight="1" x14ac:dyDescent="0.25">
      <c r="A2" s="1"/>
      <c r="B2" s="1"/>
      <c r="C2" s="1"/>
      <c r="D2" s="1"/>
      <c r="E2" s="7">
        <f>IFERROR(O68,"")</f>
        <v>4602.8548901725271</v>
      </c>
      <c r="F2" s="7">
        <f>IFERROR(H59,"")</f>
        <v>3011.6991524408777</v>
      </c>
      <c r="G2" s="7">
        <f>IFERROR(H60,"")</f>
        <v>423.26718350876968</v>
      </c>
      <c r="H2" s="7">
        <f>IFERROR(H62,"")</f>
        <v>801.19956047093649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349"/>
      <c r="B4" s="349"/>
      <c r="C4" s="349"/>
      <c r="D4" s="349"/>
      <c r="E4" s="349"/>
      <c r="F4" s="349"/>
      <c r="G4" s="349"/>
      <c r="H4" s="349"/>
      <c r="I4" s="10"/>
    </row>
    <row r="5" spans="1:10" ht="19.5" customHeight="1" thickBot="1" x14ac:dyDescent="0.3">
      <c r="A5" s="350" t="s">
        <v>74</v>
      </c>
      <c r="B5" s="351"/>
      <c r="C5" s="351"/>
      <c r="D5" s="351"/>
      <c r="E5" s="351"/>
      <c r="F5" s="351"/>
      <c r="G5" s="351"/>
      <c r="H5" s="352"/>
      <c r="I5" s="11"/>
    </row>
    <row r="6" spans="1:10" ht="18" thickBot="1" x14ac:dyDescent="0.3">
      <c r="A6" s="11"/>
      <c r="B6" s="11"/>
      <c r="C6" s="11"/>
      <c r="D6" s="11"/>
      <c r="E6" s="11"/>
      <c r="F6" s="353" t="s">
        <v>75</v>
      </c>
      <c r="G6" s="353"/>
      <c r="H6" s="12">
        <f ca="1">TODAY()</f>
        <v>46149</v>
      </c>
      <c r="I6" s="12"/>
    </row>
    <row r="7" spans="1:10" ht="40.200000000000003" thickBot="1" x14ac:dyDescent="0.3">
      <c r="A7" s="13" t="s">
        <v>76</v>
      </c>
      <c r="B7" s="14" t="s">
        <v>77</v>
      </c>
      <c r="C7" s="14" t="s">
        <v>76</v>
      </c>
      <c r="D7" s="15" t="s">
        <v>78</v>
      </c>
      <c r="E7" s="15" t="s">
        <v>79</v>
      </c>
      <c r="F7" s="15" t="s">
        <v>80</v>
      </c>
      <c r="G7" s="15" t="s">
        <v>81</v>
      </c>
      <c r="H7" s="16" t="s">
        <v>82</v>
      </c>
      <c r="I7" s="17"/>
    </row>
    <row r="8" spans="1:10" ht="13.8" x14ac:dyDescent="0.3">
      <c r="A8" s="18">
        <v>110</v>
      </c>
      <c r="B8" s="6" t="str">
        <f>IFERROR(VLOOKUP(H8,'[1]Consolidado MP Planta'!$A$2:$M$823,3,0),"")</f>
        <v>RELLENO CARAMELO KILO</v>
      </c>
      <c r="C8" s="19">
        <f>+A8</f>
        <v>110</v>
      </c>
      <c r="D8" s="20" t="str">
        <f>IFERROR(VLOOKUP(H8,'[1]Consolidado MP Planta'!$A$2:$M$823,13,0),"")</f>
        <v>Gramos</v>
      </c>
      <c r="E8" s="20">
        <f>IFERROR(VLOOKUP(H8,'[1]Consolidado MP Planta'!$A$2:$M$823,12,0),"")</f>
        <v>3.335</v>
      </c>
      <c r="F8" s="20">
        <f>IFERROR(C8*E8,"")</f>
        <v>366.85</v>
      </c>
      <c r="G8" s="21">
        <f t="shared" ref="G8:G14" si="0">IFERROR(F8/$F$72,"")</f>
        <v>9.5903474173099176E-2</v>
      </c>
      <c r="H8" s="22" t="s">
        <v>144</v>
      </c>
      <c r="I8" s="22"/>
      <c r="J8" s="23"/>
    </row>
    <row r="9" spans="1:10" ht="13.8" x14ac:dyDescent="0.3">
      <c r="A9" s="18">
        <v>0.5</v>
      </c>
      <c r="B9" s="6" t="str">
        <f>IFERROR(VLOOKUP(H9,'[1]Consolidado MP Planta'!$A$2:$M$823,3,0),"")</f>
        <v>STICK DORADO (CAJA:100 UND)</v>
      </c>
      <c r="C9" s="19">
        <f t="shared" ref="C9:C14" si="1">+A9</f>
        <v>0.5</v>
      </c>
      <c r="D9" s="20" t="str">
        <f>IFERROR(VLOOKUP(H9,'[1]Consolidado MP Planta'!$A$2:$M$823,13,0),"")</f>
        <v>Und</v>
      </c>
      <c r="E9" s="20">
        <f>IFERROR(VLOOKUP(H9,'[1]Consolidado MP Planta'!$A$2:$M$823,12,0),"")</f>
        <v>58.38</v>
      </c>
      <c r="F9" s="20">
        <f t="shared" ref="F9:F14" si="2">IFERROR(C9*E9,"")</f>
        <v>29.19</v>
      </c>
      <c r="G9" s="21">
        <f t="shared" si="0"/>
        <v>7.63097290749016E-3</v>
      </c>
      <c r="H9" s="22" t="s">
        <v>62</v>
      </c>
      <c r="I9" s="22"/>
      <c r="J9" s="23"/>
    </row>
    <row r="10" spans="1:10" ht="13.8" hidden="1" x14ac:dyDescent="0.3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3.8" hidden="1" x14ac:dyDescent="0.3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3.8" hidden="1" x14ac:dyDescent="0.3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3.8" hidden="1" x14ac:dyDescent="0.3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8" hidden="1" x14ac:dyDescent="0.3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4" thickBot="1" x14ac:dyDescent="0.35">
      <c r="A15" s="18"/>
      <c r="B15" s="6" t="str">
        <f>IFERROR(VLOOKUP(H15,'[2]Consolidado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40.200000000000003" thickBot="1" x14ac:dyDescent="0.3">
      <c r="A16" s="13" t="s">
        <v>76</v>
      </c>
      <c r="B16" s="14" t="s">
        <v>83</v>
      </c>
      <c r="C16" s="14" t="s">
        <v>76</v>
      </c>
      <c r="D16" s="15" t="s">
        <v>78</v>
      </c>
      <c r="E16" s="15" t="s">
        <v>79</v>
      </c>
      <c r="F16" s="15" t="s">
        <v>80</v>
      </c>
      <c r="G16" s="15" t="s">
        <v>81</v>
      </c>
      <c r="H16" s="16" t="s">
        <v>82</v>
      </c>
      <c r="I16" s="17"/>
      <c r="J16" s="23"/>
    </row>
    <row r="17" spans="1:12" ht="13.8" x14ac:dyDescent="0.3">
      <c r="A17" s="18">
        <v>1.5</v>
      </c>
      <c r="B17" s="6" t="str">
        <f>IFERROR(VLOOKUP(H17,[1]SEMIELABORADOS!$A$2:$M$6000,2,0),"")</f>
        <v>ROSQUETE MELOCOTON PERSONAL 180 g</v>
      </c>
      <c r="C17" s="19">
        <f>+A17</f>
        <v>1.5</v>
      </c>
      <c r="D17" s="19" t="str">
        <f>IFERROR(VLOOKUP(H17,[1]SEMIELABORADOS!$A$2:$M$6000,6,0),"")</f>
        <v>Und</v>
      </c>
      <c r="E17" s="20">
        <f>IFERROR(VLOOKUP(H17,[1]SEMIELABORADOS!$A$2:$H$65536,8,0),"")</f>
        <v>228.58490834464379</v>
      </c>
      <c r="F17" s="20">
        <f>IFERROR(E17*C17,"")</f>
        <v>342.87736251696572</v>
      </c>
      <c r="G17" s="21">
        <f t="shared" ref="G17:G24" si="3">IFERROR(F17/$F$72,"")</f>
        <v>8.9636446178782025E-2</v>
      </c>
      <c r="H17" s="22" t="s">
        <v>60</v>
      </c>
      <c r="I17" s="22"/>
      <c r="J17" s="23"/>
    </row>
    <row r="18" spans="1:12" ht="13.8" x14ac:dyDescent="0.3">
      <c r="A18" s="18">
        <v>150</v>
      </c>
      <c r="B18" s="6" t="str">
        <f>IFERROR(VLOOKUP(H18,[1]SEMIELABORADOS!$A$2:$M$6000,2,0),"")</f>
        <v>MEZCLA TRES LECHES C/BAILEYS LITRO</v>
      </c>
      <c r="C18" s="19">
        <f t="shared" ref="C18:C24" si="4">+A18</f>
        <v>150</v>
      </c>
      <c r="D18" s="19" t="str">
        <f>IFERROR(VLOOKUP(H18,[1]SEMIELABORADOS!$A$2:$M$6000,6,0),"")</f>
        <v>Gramo</v>
      </c>
      <c r="E18" s="20">
        <f>IFERROR(VLOOKUP(H18,[1]SEMIELABORADOS!$A$2:$H$65536,8,0),"")</f>
        <v>8.7060947017792447</v>
      </c>
      <c r="F18" s="20">
        <f t="shared" ref="F18:F24" si="5">IFERROR(E18*C18,"")</f>
        <v>1305.9142052668867</v>
      </c>
      <c r="G18" s="21">
        <f t="shared" si="3"/>
        <v>0.34139759917431156</v>
      </c>
      <c r="H18" s="22" t="s">
        <v>40</v>
      </c>
      <c r="I18" s="22"/>
      <c r="J18" s="23"/>
    </row>
    <row r="19" spans="1:12" ht="13.8" x14ac:dyDescent="0.3">
      <c r="A19" s="18">
        <v>75</v>
      </c>
      <c r="B19" s="6" t="str">
        <f>IFERROR(VLOOKUP(H19,[1]SEMIELABORADOS!$A$2:$M$6000,2,0),"")</f>
        <v>RELLENO CREMA MOKA C/BAILEYS (KILO)</v>
      </c>
      <c r="C19" s="19">
        <f t="shared" si="4"/>
        <v>75</v>
      </c>
      <c r="D19" s="19" t="str">
        <f>IFERROR(VLOOKUP(H19,[1]SEMIELABORADOS!$A$2:$M$6000,6,0),"")</f>
        <v>Gramo</v>
      </c>
      <c r="E19" s="20">
        <f>IFERROR(VLOOKUP(H19,[1]SEMIELABORADOS!$A$2:$H$65536,8,0),"")</f>
        <v>4.3294891243851863</v>
      </c>
      <c r="F19" s="20">
        <f t="shared" si="5"/>
        <v>324.71168432888896</v>
      </c>
      <c r="G19" s="21">
        <f t="shared" si="3"/>
        <v>8.488749797393795E-2</v>
      </c>
      <c r="H19" s="22" t="s">
        <v>41</v>
      </c>
      <c r="I19" s="22"/>
      <c r="J19" s="23"/>
    </row>
    <row r="20" spans="1:12" ht="13.8" x14ac:dyDescent="0.3">
      <c r="A20" s="18">
        <v>40</v>
      </c>
      <c r="B20" s="6" t="str">
        <f>IFERROR(VLOOKUP(H20,[1]SEMIELABORADOS!$A$2:$M$6000,2,0),"")</f>
        <v>MEZCLA CHOCOLATE BLANCO C/PECANA (KILO)</v>
      </c>
      <c r="C20" s="19">
        <f t="shared" si="4"/>
        <v>40</v>
      </c>
      <c r="D20" s="19" t="str">
        <f>IFERROR(VLOOKUP(H20,[1]SEMIELABORADOS!$A$2:$M$6000,6,0),"")</f>
        <v>Gramo</v>
      </c>
      <c r="E20" s="20">
        <f>IFERROR(VLOOKUP(H20,[1]SEMIELABORADOS!$A$2:$H$65536,8,0),"")</f>
        <v>6.7241879999999998</v>
      </c>
      <c r="F20" s="20">
        <f t="shared" si="5"/>
        <v>268.96751999999998</v>
      </c>
      <c r="G20" s="21">
        <f t="shared" si="3"/>
        <v>7.0314623436615875E-2</v>
      </c>
      <c r="H20" s="22" t="s">
        <v>42</v>
      </c>
      <c r="I20" s="22"/>
      <c r="J20" s="23"/>
    </row>
    <row r="21" spans="1:12" ht="13.8" x14ac:dyDescent="0.3">
      <c r="A21" s="18">
        <v>115</v>
      </c>
      <c r="B21" s="6" t="str">
        <f>IFERROR(VLOOKUP(H21,[1]SEMIELABORADOS!$A$2:$M$6000,2,0),"")</f>
        <v>CREMA DULCE LECHE KILO</v>
      </c>
      <c r="C21" s="19">
        <f t="shared" si="4"/>
        <v>115</v>
      </c>
      <c r="D21" s="19" t="str">
        <f>IFERROR(VLOOKUP(H21,[1]SEMIELABORADOS!$A$2:$M$6000,6,0),"")</f>
        <v>Gramo</v>
      </c>
      <c r="E21" s="20">
        <f>IFERROR(VLOOKUP(H21,[1]SEMIELABORADOS!$A$2:$H$65536,8,0),"")</f>
        <v>2.2018293624489793</v>
      </c>
      <c r="F21" s="20">
        <f t="shared" si="5"/>
        <v>253.21037668163262</v>
      </c>
      <c r="G21" s="21">
        <f t="shared" si="3"/>
        <v>6.6195324575296907E-2</v>
      </c>
      <c r="H21" s="22" t="s">
        <v>35</v>
      </c>
      <c r="I21" s="22"/>
      <c r="J21" s="23"/>
    </row>
    <row r="22" spans="1:12" ht="13.8" x14ac:dyDescent="0.3">
      <c r="A22" s="18">
        <v>20</v>
      </c>
      <c r="B22" s="6" t="str">
        <f>IFERROR(VLOOKUP(H22,[1]SEMIELABORADOS!$A$2:$M$6000,2,0),"")</f>
        <v>GANACHE BAILEYS (KILO)</v>
      </c>
      <c r="C22" s="19">
        <f t="shared" si="4"/>
        <v>20</v>
      </c>
      <c r="D22" s="19" t="str">
        <f>IFERROR(VLOOKUP(H22,[1]SEMIELABORADOS!$A$2:$M$6000,6,0),"")</f>
        <v>Gramo</v>
      </c>
      <c r="E22" s="20">
        <f>IFERROR(VLOOKUP(H22,[1]SEMIELABORADOS!$A$2:$H$65536,8,0),"")</f>
        <v>5.1140353174603161</v>
      </c>
      <c r="F22" s="20">
        <f t="shared" si="5"/>
        <v>102.28070634920633</v>
      </c>
      <c r="G22" s="21">
        <f t="shared" si="3"/>
        <v>2.6738653618011313E-2</v>
      </c>
      <c r="H22" s="22" t="s">
        <v>47</v>
      </c>
      <c r="I22" s="22"/>
      <c r="J22" s="23"/>
    </row>
    <row r="23" spans="1:12" ht="13.8" x14ac:dyDescent="0.3">
      <c r="A23" s="18">
        <v>5</v>
      </c>
      <c r="B23" s="6" t="str">
        <f>IFERROR(VLOOKUP(H23,[1]SEMIELABORADOS!$A$2:$M$6000,2,0),"")</f>
        <v>GANACHE CHOCOLATE OSCURO (KILO)</v>
      </c>
      <c r="C23" s="19">
        <f t="shared" si="4"/>
        <v>5</v>
      </c>
      <c r="D23" s="19" t="str">
        <f>IFERROR(VLOOKUP(H23,[1]SEMIELABORADOS!$A$2:$M$6000,6,0),"")</f>
        <v>Gramo</v>
      </c>
      <c r="E23" s="20">
        <f>IFERROR(VLOOKUP(H23,[1]SEMIELABORADOS!$A$2:$H$65536,8,0),"")</f>
        <v>3.5394594594594593</v>
      </c>
      <c r="F23" s="20">
        <f t="shared" si="5"/>
        <v>17.697297297297297</v>
      </c>
      <c r="G23" s="21">
        <f t="shared" si="3"/>
        <v>4.6265020970015242E-3</v>
      </c>
      <c r="H23" s="22" t="s">
        <v>49</v>
      </c>
      <c r="I23" s="22"/>
      <c r="J23" s="23"/>
    </row>
    <row r="24" spans="1:12" ht="13.8" x14ac:dyDescent="0.3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4" thickBot="1" x14ac:dyDescent="0.35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40.200000000000003" thickBot="1" x14ac:dyDescent="0.3">
      <c r="A26" s="13" t="s">
        <v>76</v>
      </c>
      <c r="B26" s="14" t="s">
        <v>30</v>
      </c>
      <c r="C26" s="14" t="s">
        <v>76</v>
      </c>
      <c r="D26" s="15" t="s">
        <v>78</v>
      </c>
      <c r="E26" s="15" t="s">
        <v>79</v>
      </c>
      <c r="F26" s="15" t="s">
        <v>80</v>
      </c>
      <c r="G26" s="15" t="s">
        <v>81</v>
      </c>
      <c r="H26" s="16" t="s">
        <v>82</v>
      </c>
      <c r="I26" s="17"/>
    </row>
    <row r="27" spans="1:12" ht="13.8" x14ac:dyDescent="0.3">
      <c r="A27" s="18">
        <v>1</v>
      </c>
      <c r="B27" s="24" t="str">
        <f>IFERROR(VLOOKUP(H27,'[1]Consolidado MP Planta'!$A$2:$M$823,3,0),"")</f>
        <v>ORLA CARTON  8" DORADA (UND)</v>
      </c>
      <c r="C27" s="19">
        <f t="shared" ref="C27:C38" si="6">+A27</f>
        <v>1</v>
      </c>
      <c r="D27" s="20" t="str">
        <f>IFERROR(VLOOKUP(H27,'[1]Consolidado MP Planta'!$A$2:$M$823,13,0),"")</f>
        <v>Und</v>
      </c>
      <c r="E27" s="20">
        <f>IFERROR(VLOOKUP(H27,'[1]Consolidado MP Planta'!$A$2:$M$823,12,0),"")</f>
        <v>85</v>
      </c>
      <c r="F27" s="20">
        <f t="shared" ref="F27:F38" si="7">IFERROR(C27*E27,"")</f>
        <v>85</v>
      </c>
      <c r="G27" s="21">
        <f>IFERROR(F27/$F$72,"")</f>
        <v>2.2221058483613002E-2</v>
      </c>
      <c r="H27" s="25" t="s">
        <v>64</v>
      </c>
      <c r="I27" s="25"/>
      <c r="J27" s="23"/>
      <c r="K27" s="343"/>
      <c r="L27" s="343"/>
    </row>
    <row r="28" spans="1:12" ht="13.8" x14ac:dyDescent="0.3">
      <c r="A28" s="18">
        <v>1</v>
      </c>
      <c r="B28" s="24" t="str">
        <f>IFERROR(VLOOKUP(H28,'[1]Consolidado MP Planta'!$A$2:$M$823,3,0),"")</f>
        <v>DOMO QUEQUERA 8" ALTA (CAJA:100 UND)</v>
      </c>
      <c r="C28" s="19">
        <f t="shared" si="6"/>
        <v>1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185.95</v>
      </c>
      <c r="F28" s="20">
        <f t="shared" si="7"/>
        <v>185.95</v>
      </c>
      <c r="G28" s="21">
        <f>IFERROR(F28/$F$72,"")</f>
        <v>4.861183323562162E-2</v>
      </c>
      <c r="H28" s="25" t="s">
        <v>66</v>
      </c>
      <c r="I28" s="25"/>
      <c r="J28" s="23"/>
      <c r="K28" s="343"/>
      <c r="L28" s="343"/>
    </row>
    <row r="29" spans="1:12" ht="13.8" x14ac:dyDescent="0.3">
      <c r="A29" s="18">
        <v>1</v>
      </c>
      <c r="B29" s="24" t="str">
        <f>IFERROR(VLOOKUP(H29,'[1]Consolidado MP Planta'!$A$2:$M$823,3,0),"")</f>
        <v>BASE QUEQUERA 8" ALTA (CAJA:200 UND)</v>
      </c>
      <c r="C29" s="19">
        <f t="shared" ref="C29:C34" si="8">+A29</f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110.63500000000001</v>
      </c>
      <c r="F29" s="20">
        <f t="shared" ref="F29:F34" si="9">IFERROR(C29*E29,"")</f>
        <v>110.63500000000001</v>
      </c>
      <c r="G29" s="21">
        <f t="shared" ref="G29:G34" si="10">IFERROR(F29/$F$72,"")</f>
        <v>2.892266829805323E-2</v>
      </c>
      <c r="H29" s="25" t="s">
        <v>67</v>
      </c>
      <c r="I29" s="25"/>
      <c r="J29" s="23"/>
      <c r="K29" s="4"/>
      <c r="L29" s="4"/>
    </row>
    <row r="30" spans="1:12" ht="13.8" x14ac:dyDescent="0.3">
      <c r="A30" s="18">
        <v>1</v>
      </c>
      <c r="B30" s="24" t="str">
        <f>IFERROR(VLOOKUP(H30,'[1]Consolidado MP Planta'!$A$2:$M$823,3,0),"")</f>
        <v>ETIQ. GENERICA PEQUEÑA V-274 (UND)</v>
      </c>
      <c r="C30" s="19">
        <f t="shared" si="8"/>
        <v>1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12.188000000000001</v>
      </c>
      <c r="F30" s="20">
        <f t="shared" si="9"/>
        <v>12.188000000000001</v>
      </c>
      <c r="G30" s="21">
        <f t="shared" si="10"/>
        <v>3.1862383623326505E-3</v>
      </c>
      <c r="H30" s="25" t="s">
        <v>69</v>
      </c>
      <c r="I30" s="25"/>
      <c r="J30" s="23"/>
      <c r="K30" s="4"/>
      <c r="L30" s="4"/>
    </row>
    <row r="31" spans="1:12" ht="13.8" x14ac:dyDescent="0.3">
      <c r="A31" s="18">
        <v>1</v>
      </c>
      <c r="B31" s="24" t="s">
        <v>39</v>
      </c>
      <c r="C31" s="19">
        <f t="shared" si="8"/>
        <v>1</v>
      </c>
      <c r="D31" s="20" t="s">
        <v>149</v>
      </c>
      <c r="E31" s="20">
        <v>0.18</v>
      </c>
      <c r="F31" s="20">
        <f t="shared" si="9"/>
        <v>0.18</v>
      </c>
      <c r="G31" s="21">
        <f t="shared" si="10"/>
        <v>4.7056359141768711E-5</v>
      </c>
      <c r="H31" s="25" t="s">
        <v>68</v>
      </c>
      <c r="I31" s="25"/>
      <c r="J31" s="23"/>
      <c r="K31" s="4"/>
      <c r="L31" s="4"/>
    </row>
    <row r="32" spans="1:12" ht="13.8" x14ac:dyDescent="0.3">
      <c r="A32" s="18">
        <v>1</v>
      </c>
      <c r="B32" s="24" t="str">
        <f>IFERROR(VLOOKUP(H32,'[1]Consolidado MP Planta'!$A$2:$M$823,3,0),"")</f>
        <v>ETIQUETA BLANCA R-153 (UND)</v>
      </c>
      <c r="C32" s="19">
        <f t="shared" si="8"/>
        <v>1</v>
      </c>
      <c r="D32" s="20" t="str">
        <f>IFERROR(VLOOKUP(H32,'[1]Consolidado MP Planta'!$A$2:$M$823,13,0),"")</f>
        <v>Und</v>
      </c>
      <c r="E32" s="20">
        <f>IFERROR(VLOOKUP(H32,'[1]Consolidado MP Planta'!$A$2:$M$823,12,0),"")</f>
        <v>0.39</v>
      </c>
      <c r="F32" s="20">
        <f t="shared" si="9"/>
        <v>0.39</v>
      </c>
      <c r="G32" s="21">
        <f t="shared" si="10"/>
        <v>1.0195544480716554E-4</v>
      </c>
      <c r="H32" s="25" t="s">
        <v>145</v>
      </c>
      <c r="I32" s="25"/>
      <c r="J32" s="23"/>
      <c r="K32" s="4"/>
      <c r="L32" s="4"/>
    </row>
    <row r="33" spans="1:12" ht="13.8" x14ac:dyDescent="0.3">
      <c r="A33" s="18">
        <v>60</v>
      </c>
      <c r="B33" s="24" t="str">
        <f>IFERROR(VLOOKUP(H33,'[1]Consolidado MP Planta'!$A$2:$M$823,3,0),"")</f>
        <v>CINTA ADHESIVA TRANSPARENT 2*100 M (UND)</v>
      </c>
      <c r="C33" s="19">
        <f t="shared" si="8"/>
        <v>60</v>
      </c>
      <c r="D33" s="20" t="str">
        <f>IFERROR(VLOOKUP(H33,'[1]Consolidado MP Planta'!$A$2:$M$823,13,0),"")</f>
        <v>Cm</v>
      </c>
      <c r="E33" s="20">
        <f>IFERROR(VLOOKUP(H33,'[1]Consolidado MP Planta'!$A$2:$M$823,12,0),"")</f>
        <v>0.17499999999999999</v>
      </c>
      <c r="F33" s="20">
        <f t="shared" si="9"/>
        <v>10.5</v>
      </c>
      <c r="G33" s="21">
        <f t="shared" si="10"/>
        <v>2.7449542832698416E-3</v>
      </c>
      <c r="H33" s="25" t="s">
        <v>146</v>
      </c>
      <c r="I33" s="25"/>
      <c r="J33" s="23"/>
      <c r="K33" s="4"/>
      <c r="L33" s="4"/>
    </row>
    <row r="34" spans="1:12" ht="13.8" x14ac:dyDescent="0.3">
      <c r="A34" s="18">
        <v>1</v>
      </c>
      <c r="B34" s="24" t="str">
        <f>IFERROR(VLOOKUP(H34,'[1]Consolidado MP Planta'!$A$2:$M$823,3,0),"")</f>
        <v>ETIQUETA BLANCA 2 5/8X1 15/16 (UND)</v>
      </c>
      <c r="C34" s="19">
        <f t="shared" si="8"/>
        <v>1</v>
      </c>
      <c r="D34" s="20" t="str">
        <f>IFERROR(VLOOKUP(H34,'[1]Consolidado MP Planta'!$A$2:$M$823,13,0),"")</f>
        <v>Und</v>
      </c>
      <c r="E34" s="20">
        <f>IFERROR(VLOOKUP(H34,'[1]Consolidado MP Planta'!$A$2:$M$823,12,0),"")</f>
        <v>2.1280000000000001</v>
      </c>
      <c r="F34" s="20">
        <f t="shared" si="9"/>
        <v>2.1280000000000001</v>
      </c>
      <c r="G34" s="21">
        <f t="shared" si="10"/>
        <v>5.5631073474268788E-4</v>
      </c>
      <c r="H34" s="25" t="s">
        <v>147</v>
      </c>
      <c r="I34" s="25"/>
      <c r="J34" s="23"/>
      <c r="K34" s="4"/>
      <c r="L34" s="4"/>
    </row>
    <row r="35" spans="1:12" ht="13.8" x14ac:dyDescent="0.3">
      <c r="A35" s="18">
        <v>1</v>
      </c>
      <c r="B35" s="24" t="str">
        <f>IFERROR(VLOOKUP(H35,'[1]Consolidado MP Planta'!$A$2:$M$823,3,0),"")</f>
        <v>ETIQ APP SPOONERS CARD CUADRADA (UND)</v>
      </c>
      <c r="C35" s="19">
        <f t="shared" si="6"/>
        <v>1</v>
      </c>
      <c r="D35" s="20">
        <f>IFERROR(VLOOKUP(H35,'[1]Consolidado MP Planta'!$A$2:$M$823,13,0),"")</f>
        <v>0</v>
      </c>
      <c r="E35" s="20">
        <f>IFERROR(VLOOKUP(H35,'[1]Consolidado MP Planta'!$A$2:$M$823,12,0),"")</f>
        <v>5.6</v>
      </c>
      <c r="F35" s="20">
        <f t="shared" si="7"/>
        <v>5.6</v>
      </c>
      <c r="G35" s="21">
        <f>IFERROR(F35/$F$72,"")</f>
        <v>1.4639756177439154E-3</v>
      </c>
      <c r="H35" s="25" t="s">
        <v>38</v>
      </c>
      <c r="I35" s="25"/>
      <c r="J35" s="23"/>
      <c r="K35" s="343"/>
      <c r="L35" s="343"/>
    </row>
    <row r="36" spans="1:12" ht="13.8" x14ac:dyDescent="0.3">
      <c r="A36" s="18">
        <v>1</v>
      </c>
      <c r="B36" s="24" t="str">
        <f>IFERROR(VLOOKUP(H36,'[1]Consolidado MP Planta'!$A$2:$M$823,3,0),"")</f>
        <v>ETIQ.BLANCA 1 1/4 * 3/4 (UND)</v>
      </c>
      <c r="C36" s="19">
        <f t="shared" si="6"/>
        <v>1</v>
      </c>
      <c r="D36" s="20" t="str">
        <f>IFERROR(VLOOKUP(H36,'[1]Consolidado MP Planta'!$A$2:$M$823,13,0),"")</f>
        <v>Und</v>
      </c>
      <c r="E36" s="20">
        <f>IFERROR(VLOOKUP(H36,'[1]Consolidado MP Planta'!$A$2:$M$823,12,0),"")</f>
        <v>0.57999999999999996</v>
      </c>
      <c r="F36" s="20">
        <f t="shared" si="7"/>
        <v>0.57999999999999996</v>
      </c>
      <c r="G36" s="21">
        <f>IFERROR(F36/$F$72,"")</f>
        <v>1.5162604612347695E-4</v>
      </c>
      <c r="H36" s="25" t="s">
        <v>28</v>
      </c>
      <c r="I36" s="25"/>
      <c r="J36" s="23"/>
      <c r="K36" s="343"/>
      <c r="L36" s="343"/>
    </row>
    <row r="37" spans="1:12" ht="13.8" x14ac:dyDescent="0.3">
      <c r="A37" s="18">
        <v>1</v>
      </c>
      <c r="B37" s="24" t="str">
        <f>IFERROR(VLOOKUP(H37,'[1]Consolidado MP Planta'!$A$2:$M$823,3,0),"")</f>
        <v>ETIQUETA D-31 TORTA BAILEYS (ROLLO)</v>
      </c>
      <c r="C37" s="19">
        <f t="shared" si="6"/>
        <v>1</v>
      </c>
      <c r="D37" s="20" t="str">
        <f>IFERROR(VLOOKUP(H37,'[1]Consolidado MP Planta'!$A$2:$M$823,13,0),"")</f>
        <v>und</v>
      </c>
      <c r="E37" s="20">
        <f>IFERROR(VLOOKUP(H37,'[1]Consolidado MP Planta'!$A$2:$M$823,12,0),"")</f>
        <v>8</v>
      </c>
      <c r="F37" s="20">
        <f t="shared" si="7"/>
        <v>8</v>
      </c>
      <c r="G37" s="21">
        <f>IFERROR(F37/$F$72,"")</f>
        <v>2.0913937396341651E-3</v>
      </c>
      <c r="H37" s="25" t="s">
        <v>148</v>
      </c>
      <c r="I37" s="25"/>
      <c r="J37" s="23"/>
      <c r="K37" s="26"/>
      <c r="L37" s="27"/>
    </row>
    <row r="38" spans="1:12" ht="13.8" x14ac:dyDescent="0.3">
      <c r="A38" s="18"/>
      <c r="B38" s="24" t="str">
        <f>IFERROR(VLOOKUP(H38,'[1]Consolidado MP Planta'!$A$2:$M$823,3,0),"")</f>
        <v/>
      </c>
      <c r="C38" s="19">
        <f t="shared" si="6"/>
        <v>0</v>
      </c>
      <c r="D38" s="20" t="str">
        <f>IFERROR(VLOOKUP(H38,'[1]Consolidado MP Planta'!$A$2:$M$823,13,0),"")</f>
        <v/>
      </c>
      <c r="E38" s="20" t="str">
        <f>IFERROR(VLOOKUP(H38,'[1]Consolidado MP Planta'!$A$2:$M$823,12,0),"")</f>
        <v/>
      </c>
      <c r="F38" s="20" t="str">
        <f t="shared" si="7"/>
        <v/>
      </c>
      <c r="G38" s="21" t="str">
        <f>IFERROR(F38/$F$72,"")</f>
        <v/>
      </c>
      <c r="H38" s="25"/>
      <c r="I38" s="25"/>
      <c r="J38" s="23"/>
    </row>
    <row r="39" spans="1:12" ht="14.4" thickBot="1" x14ac:dyDescent="0.35">
      <c r="A39" s="18"/>
      <c r="B39" s="24"/>
      <c r="C39" s="19"/>
      <c r="D39" s="20"/>
      <c r="E39" s="20"/>
      <c r="F39" s="20"/>
      <c r="G39" s="21"/>
      <c r="H39" s="25"/>
      <c r="I39" s="25"/>
      <c r="J39" s="23"/>
    </row>
    <row r="40" spans="1:12" ht="40.200000000000003" thickBot="1" x14ac:dyDescent="0.3">
      <c r="A40" s="13" t="s">
        <v>76</v>
      </c>
      <c r="B40" s="14" t="s">
        <v>84</v>
      </c>
      <c r="C40" s="14" t="s">
        <v>76</v>
      </c>
      <c r="D40" s="15" t="s">
        <v>78</v>
      </c>
      <c r="E40" s="15" t="s">
        <v>79</v>
      </c>
      <c r="F40" s="15" t="s">
        <v>80</v>
      </c>
      <c r="G40" s="15" t="s">
        <v>81</v>
      </c>
      <c r="H40" s="16" t="s">
        <v>82</v>
      </c>
      <c r="I40" s="25"/>
      <c r="J40" s="23"/>
    </row>
    <row r="41" spans="1:12" ht="13.8" x14ac:dyDescent="0.3">
      <c r="A41" s="18">
        <f t="shared" ref="A41:A47" si="11">+A17</f>
        <v>1.5</v>
      </c>
      <c r="B41" s="24" t="str">
        <f>IFERROR(VLOOKUP(H41,[1]SEMIELABORADOS!$A$2:$M$6000,2,0),"")</f>
        <v>ROSQUETE MELOCOTON PERSONAL 180 g</v>
      </c>
      <c r="C41" s="19">
        <f>+A41</f>
        <v>1.5</v>
      </c>
      <c r="D41" s="20" t="str">
        <f>IFERROR(VLOOKUP(H41,[1]SEMIELABORADOS!$A$2:$M$6000,6,0),"")</f>
        <v>Und</v>
      </c>
      <c r="E41" s="20">
        <f>IFERROR(VLOOKUP(H41,[1]SEMIELABORADOS!$A$2:$M$65536,10,0),"")</f>
        <v>0.18629910000000002</v>
      </c>
      <c r="F41" s="20">
        <f>IFERROR(E41*C41,"")</f>
        <v>0.27944865000000002</v>
      </c>
      <c r="G41" s="21">
        <f>IFERROR(F41/$F$72,"")</f>
        <v>7.3054644644902369E-5</v>
      </c>
      <c r="H41" s="25" t="s">
        <v>60</v>
      </c>
      <c r="I41" s="25"/>
      <c r="J41" s="23"/>
    </row>
    <row r="42" spans="1:12" ht="13.8" x14ac:dyDescent="0.3">
      <c r="A42" s="18">
        <f t="shared" si="11"/>
        <v>150</v>
      </c>
      <c r="B42" s="24" t="str">
        <f>IFERROR(VLOOKUP(H42,[1]SEMIELABORADOS!$A$2:$M$6000,2,0),"")</f>
        <v>MEZCLA TRES LECHES C/BAILEYS LITRO</v>
      </c>
      <c r="C42" s="19">
        <f t="shared" ref="C42:C47" si="12">+A42</f>
        <v>150</v>
      </c>
      <c r="D42" s="20" t="str">
        <f>IFERROR(VLOOKUP(H42,[1]SEMIELABORADOS!$A$2:$M$6000,6,0),"")</f>
        <v>Gramo</v>
      </c>
      <c r="E42" s="20">
        <f>IFERROR(VLOOKUP(H42,[1]SEMIELABORADOS!$A$2:$M$65536,10,0),"")</f>
        <v>3.4582064812698414E-3</v>
      </c>
      <c r="F42" s="20">
        <f t="shared" ref="F42:F47" si="13">IFERROR(E42*C42,"")</f>
        <v>0.51873097219047626</v>
      </c>
      <c r="G42" s="21">
        <f t="shared" ref="G42:G47" si="14">IFERROR(F42/$F$72,"")</f>
        <v>1.3560883847418828E-4</v>
      </c>
      <c r="H42" s="25" t="s">
        <v>40</v>
      </c>
      <c r="I42" s="25"/>
      <c r="J42" s="23"/>
    </row>
    <row r="43" spans="1:12" ht="13.8" x14ac:dyDescent="0.3">
      <c r="A43" s="18">
        <f t="shared" si="11"/>
        <v>75</v>
      </c>
      <c r="B43" s="24" t="str">
        <f>IFERROR(VLOOKUP(H43,[1]SEMIELABORADOS!$A$2:$M$6000,2,0),"")</f>
        <v>RELLENO CREMA MOKA C/BAILEYS (KILO)</v>
      </c>
      <c r="C43" s="19">
        <f t="shared" si="12"/>
        <v>75</v>
      </c>
      <c r="D43" s="20" t="str">
        <f>IFERROR(VLOOKUP(H43,[1]SEMIELABORADOS!$A$2:$M$6000,6,0),"")</f>
        <v>Gramo</v>
      </c>
      <c r="E43" s="20">
        <f>IFERROR(VLOOKUP(H43,[1]SEMIELABORADOS!$A$2:$M$65536,10,0),"")</f>
        <v>4.6210825629629633E-4</v>
      </c>
      <c r="F43" s="20">
        <f t="shared" si="13"/>
        <v>3.4658119222222228E-2</v>
      </c>
      <c r="G43" s="21">
        <f t="shared" si="14"/>
        <v>9.06047169610626E-6</v>
      </c>
      <c r="H43" s="25" t="s">
        <v>41</v>
      </c>
      <c r="I43" s="25"/>
      <c r="J43" s="23"/>
    </row>
    <row r="44" spans="1:12" ht="13.8" x14ac:dyDescent="0.3">
      <c r="A44" s="18">
        <f t="shared" si="11"/>
        <v>40</v>
      </c>
      <c r="B44" s="24" t="str">
        <f>IFERROR(VLOOKUP(H44,[1]SEMIELABORADOS!$A$2:$M$6000,2,0),"")</f>
        <v>MEZCLA CHOCOLATE BLANCO C/PECANA (KILO)</v>
      </c>
      <c r="C44" s="19">
        <f t="shared" si="12"/>
        <v>40</v>
      </c>
      <c r="D44" s="20" t="str">
        <f>IFERROR(VLOOKUP(H44,[1]SEMIELABORADOS!$A$2:$M$6000,6,0),"")</f>
        <v>Gramo</v>
      </c>
      <c r="E44" s="20">
        <f>IFERROR(VLOOKUP(H44,[1]SEMIELABORADOS!$A$2:$M$65536,10,0),"")</f>
        <v>2.4E-2</v>
      </c>
      <c r="F44" s="20">
        <f t="shared" si="13"/>
        <v>0.96</v>
      </c>
      <c r="G44" s="21">
        <f t="shared" si="14"/>
        <v>2.5096724875609981E-4</v>
      </c>
      <c r="H44" s="25" t="s">
        <v>42</v>
      </c>
      <c r="I44" s="25"/>
      <c r="J44" s="23"/>
    </row>
    <row r="45" spans="1:12" ht="13.8" x14ac:dyDescent="0.3">
      <c r="A45" s="18">
        <f t="shared" si="11"/>
        <v>115</v>
      </c>
      <c r="B45" s="24" t="str">
        <f>IFERROR(VLOOKUP(H45,[1]SEMIELABORADOS!$A$2:$M$6000,2,0),"")</f>
        <v>CREMA DULCE LECHE KILO</v>
      </c>
      <c r="C45" s="19">
        <f t="shared" si="12"/>
        <v>115</v>
      </c>
      <c r="D45" s="20" t="str">
        <f>IFERROR(VLOOKUP(H45,[1]SEMIELABORADOS!$A$2:$M$6000,6,0),"")</f>
        <v>Gramo</v>
      </c>
      <c r="E45" s="20">
        <f>IFERROR(VLOOKUP(H45,[1]SEMIELABORADOS!$A$2:$M$65536,10,0),"")</f>
        <v>8.5119999999999998E-5</v>
      </c>
      <c r="F45" s="20">
        <f t="shared" si="13"/>
        <v>9.7888000000000003E-3</v>
      </c>
      <c r="G45" s="21">
        <f t="shared" si="14"/>
        <v>2.5590293798163644E-6</v>
      </c>
      <c r="H45" s="25" t="s">
        <v>35</v>
      </c>
      <c r="I45" s="25"/>
      <c r="J45" s="23"/>
    </row>
    <row r="46" spans="1:12" ht="13.8" x14ac:dyDescent="0.3">
      <c r="A46" s="18">
        <f t="shared" si="11"/>
        <v>20</v>
      </c>
      <c r="B46" s="24" t="str">
        <f>IFERROR(VLOOKUP(H46,[1]SEMIELABORADOS!$A$2:$M$6000,2,0),"")</f>
        <v>GANACHE BAILEYS (KILO)</v>
      </c>
      <c r="C46" s="19">
        <f t="shared" si="12"/>
        <v>20</v>
      </c>
      <c r="D46" s="20" t="str">
        <f>IFERROR(VLOOKUP(H46,[1]SEMIELABORADOS!$A$2:$M$6000,6,0),"")</f>
        <v>Gramo</v>
      </c>
      <c r="E46" s="20">
        <f>IFERROR(VLOOKUP(H46,[1]SEMIELABORADOS!$A$2:$M$65536,10,0),"")</f>
        <v>1.5674285714285714E-2</v>
      </c>
      <c r="F46" s="20">
        <f t="shared" si="13"/>
        <v>0.31348571428571426</v>
      </c>
      <c r="G46" s="21">
        <f t="shared" si="14"/>
        <v>8.1952757540235908E-5</v>
      </c>
      <c r="H46" s="25" t="s">
        <v>47</v>
      </c>
      <c r="I46" s="25"/>
      <c r="J46" s="23"/>
    </row>
    <row r="47" spans="1:12" ht="13.8" x14ac:dyDescent="0.3">
      <c r="A47" s="18">
        <f t="shared" si="11"/>
        <v>5</v>
      </c>
      <c r="B47" s="24" t="str">
        <f>IFERROR(VLOOKUP(H47,[1]SEMIELABORADOS!$A$2:$M$6000,2,0),"")</f>
        <v>GANACHE CHOCOLATE OSCURO (KILO)</v>
      </c>
      <c r="C47" s="19">
        <f t="shared" si="12"/>
        <v>5</v>
      </c>
      <c r="D47" s="20" t="str">
        <f>IFERROR(VLOOKUP(H47,[1]SEMIELABORADOS!$A$2:$M$6000,6,0),"")</f>
        <v>Gramo</v>
      </c>
      <c r="E47" s="20">
        <f>IFERROR(VLOOKUP(H47,[1]SEMIELABORADOS!$A$2:$M$65536,10,0),"")</f>
        <v>1.4250614250614247E-5</v>
      </c>
      <c r="F47" s="20">
        <f t="shared" si="13"/>
        <v>7.1253071253071237E-5</v>
      </c>
      <c r="G47" s="21">
        <f t="shared" si="14"/>
        <v>1.8627278393547533E-8</v>
      </c>
      <c r="H47" s="25" t="s">
        <v>49</v>
      </c>
      <c r="I47" s="25"/>
      <c r="J47" s="23"/>
    </row>
    <row r="48" spans="1:12" ht="14.4" thickBot="1" x14ac:dyDescent="0.35">
      <c r="A48" s="18"/>
      <c r="B48" s="24"/>
      <c r="C48" s="19"/>
      <c r="D48" s="20"/>
      <c r="E48" s="20"/>
      <c r="F48" s="20"/>
      <c r="G48" s="21"/>
      <c r="H48" s="25"/>
      <c r="I48" s="25"/>
      <c r="J48" s="23"/>
    </row>
    <row r="49" spans="1:17" ht="40.200000000000003" thickBot="1" x14ac:dyDescent="0.3">
      <c r="A49" s="13" t="s">
        <v>76</v>
      </c>
      <c r="B49" s="14" t="s">
        <v>85</v>
      </c>
      <c r="C49" s="14" t="s">
        <v>76</v>
      </c>
      <c r="D49" s="15" t="s">
        <v>78</v>
      </c>
      <c r="E49" s="15" t="s">
        <v>79</v>
      </c>
      <c r="F49" s="15" t="s">
        <v>80</v>
      </c>
      <c r="G49" s="15" t="s">
        <v>81</v>
      </c>
      <c r="H49" s="16" t="s">
        <v>82</v>
      </c>
      <c r="I49" s="17"/>
      <c r="J49" s="23"/>
    </row>
    <row r="50" spans="1:17" ht="13.8" x14ac:dyDescent="0.3">
      <c r="A50" s="18">
        <f>+A41</f>
        <v>1.5</v>
      </c>
      <c r="B50" s="24" t="str">
        <f>IFERROR(VLOOKUP(H50,[1]SEMIELABORADOS!$A$2:$M$6000,2,0),"")</f>
        <v>ROSQUETE MELOCOTON PERSONAL 180 g</v>
      </c>
      <c r="C50" s="19">
        <f>+A50</f>
        <v>1.5</v>
      </c>
      <c r="D50" s="20" t="str">
        <f>IFERROR(VLOOKUP(H50,[1]SEMIELABORADOS!$A$2:$M$6000,6,0),"")</f>
        <v>Und</v>
      </c>
      <c r="E50" s="20">
        <f>IFERROR(VLOOKUP(H50,[1]SEMIELABORADOS!$A$2:$M$65536,12,0),"")</f>
        <v>41.178817340035884</v>
      </c>
      <c r="F50" s="20">
        <f>IFERROR(E50*C50,"")</f>
        <v>61.768226010053823</v>
      </c>
      <c r="G50" s="21">
        <f>IFERROR(F50/$F$72,"")</f>
        <v>1.6147710148216844E-2</v>
      </c>
      <c r="H50" s="25" t="s">
        <v>60</v>
      </c>
      <c r="I50" s="17"/>
      <c r="J50" s="23"/>
    </row>
    <row r="51" spans="1:17" ht="13.8" x14ac:dyDescent="0.3">
      <c r="A51" s="18">
        <f t="shared" ref="A51:A56" si="15">+A42</f>
        <v>150</v>
      </c>
      <c r="B51" s="24" t="str">
        <f>IFERROR(VLOOKUP(H51,[1]SEMIELABORADOS!$A$2:$M$6000,2,0),"")</f>
        <v>MEZCLA TRES LECHES C/BAILEYS LITRO</v>
      </c>
      <c r="C51" s="19">
        <f t="shared" ref="C51:C56" si="16">+A51</f>
        <v>150</v>
      </c>
      <c r="D51" s="20" t="str">
        <f>IFERROR(VLOOKUP(H51,[1]SEMIELABORADOS!$A$2:$M$6000,6,0),"")</f>
        <v>Gramo</v>
      </c>
      <c r="E51" s="20">
        <f>IFERROR(VLOOKUP(H51,[1]SEMIELABORADOS!$A$2:$M$65536,12,0),"")</f>
        <v>1.5677195234868924</v>
      </c>
      <c r="F51" s="20">
        <f t="shared" ref="F51:F56" si="17">IFERROR(E51*C51,"")</f>
        <v>235.15792852303386</v>
      </c>
      <c r="G51" s="21">
        <f t="shared" ref="G51:G56" si="18">IFERROR(F51/$F$72,"")</f>
        <v>6.1475977442301433E-2</v>
      </c>
      <c r="H51" s="25" t="s">
        <v>40</v>
      </c>
      <c r="I51" s="17"/>
      <c r="J51" s="23"/>
      <c r="M51" s="28"/>
    </row>
    <row r="52" spans="1:17" ht="13.8" x14ac:dyDescent="0.3">
      <c r="A52" s="18">
        <f t="shared" si="15"/>
        <v>75</v>
      </c>
      <c r="B52" s="24" t="str">
        <f>IFERROR(VLOOKUP(H52,[1]SEMIELABORADOS!$A$2:$M$6000,2,0),"")</f>
        <v>RELLENO CREMA MOKA C/BAILEYS (KILO)</v>
      </c>
      <c r="C52" s="19">
        <f t="shared" si="16"/>
        <v>75</v>
      </c>
      <c r="D52" s="20" t="str">
        <f>IFERROR(VLOOKUP(H52,[1]SEMIELABORADOS!$A$2:$M$6000,6,0),"")</f>
        <v>Gramo</v>
      </c>
      <c r="E52" s="20">
        <f>IFERROR(VLOOKUP(H52,[1]SEMIELABORADOS!$A$2:$M$65536,12,0),"")</f>
        <v>0.77939122187546683</v>
      </c>
      <c r="F52" s="20">
        <f t="shared" si="17"/>
        <v>58.454341640660012</v>
      </c>
      <c r="G52" s="21">
        <f t="shared" si="18"/>
        <v>1.5281380520214129E-2</v>
      </c>
      <c r="H52" s="25" t="s">
        <v>41</v>
      </c>
      <c r="I52" s="17"/>
      <c r="J52" s="23"/>
    </row>
    <row r="53" spans="1:17" ht="13.8" x14ac:dyDescent="0.3">
      <c r="A53" s="18">
        <f t="shared" si="15"/>
        <v>40</v>
      </c>
      <c r="B53" s="24" t="str">
        <f>IFERROR(VLOOKUP(H53,[1]SEMIELABORADOS!$A$2:$M$6000,2,0),"")</f>
        <v>MEZCLA CHOCOLATE BLANCO C/PECANA (KILO)</v>
      </c>
      <c r="C53" s="19">
        <f t="shared" si="16"/>
        <v>40</v>
      </c>
      <c r="D53" s="20" t="str">
        <f>IFERROR(VLOOKUP(H53,[1]SEMIELABORADOS!$A$2:$M$6000,6,0),"")</f>
        <v>Gramo</v>
      </c>
      <c r="E53" s="20">
        <f>IFERROR(VLOOKUP(H53,[1]SEMIELABORADOS!$A$2:$M$65536,12,0),"")</f>
        <v>1.2146738399999999</v>
      </c>
      <c r="F53" s="20">
        <f t="shared" si="17"/>
        <v>48.586953599999994</v>
      </c>
      <c r="G53" s="21">
        <f t="shared" si="18"/>
        <v>1.2701806323366954E-2</v>
      </c>
      <c r="H53" s="25" t="s">
        <v>42</v>
      </c>
      <c r="I53" s="17"/>
      <c r="J53" s="23"/>
    </row>
    <row r="54" spans="1:17" ht="13.8" x14ac:dyDescent="0.3">
      <c r="A54" s="18">
        <f t="shared" si="15"/>
        <v>115</v>
      </c>
      <c r="B54" s="24" t="str">
        <f>IFERROR(VLOOKUP(H54,[1]SEMIELABORADOS!$A$2:$M$6000,2,0),"")</f>
        <v>CREMA DULCE LECHE KILO</v>
      </c>
      <c r="C54" s="19">
        <f t="shared" si="16"/>
        <v>115</v>
      </c>
      <c r="D54" s="20" t="str">
        <f>IFERROR(VLOOKUP(H54,[1]SEMIELABORADOS!$A$2:$M$6000,6,0),"")</f>
        <v>Gramo</v>
      </c>
      <c r="E54" s="20">
        <f>IFERROR(VLOOKUP(H54,[1]SEMIELABORADOS!$A$2:$M$65536,12,0),"")</f>
        <v>0.39634460684081629</v>
      </c>
      <c r="F54" s="20">
        <f t="shared" si="17"/>
        <v>45.579629786693872</v>
      </c>
      <c r="G54" s="21">
        <f t="shared" si="18"/>
        <v>1.191561904884181E-2</v>
      </c>
      <c r="H54" s="25" t="s">
        <v>35</v>
      </c>
      <c r="I54" s="17"/>
      <c r="J54" s="23"/>
    </row>
    <row r="55" spans="1:17" ht="13.8" x14ac:dyDescent="0.3">
      <c r="A55" s="18">
        <f t="shared" si="15"/>
        <v>20</v>
      </c>
      <c r="B55" s="24" t="str">
        <f>IFERROR(VLOOKUP(H55,[1]SEMIELABORADOS!$A$2:$M$6000,2,0),"")</f>
        <v>GANACHE BAILEYS (KILO)</v>
      </c>
      <c r="C55" s="19">
        <f t="shared" si="16"/>
        <v>20</v>
      </c>
      <c r="D55" s="20" t="str">
        <f>IFERROR(VLOOKUP(H55,[1]SEMIELABORADOS!$A$2:$M$6000,6,0),"")</f>
        <v>Gramo</v>
      </c>
      <c r="E55" s="20">
        <f>IFERROR(VLOOKUP(H55,[1]SEMIELABORADOS!$A$2:$M$65536,12,0),"")</f>
        <v>0.92334772857142822</v>
      </c>
      <c r="F55" s="20">
        <f t="shared" si="17"/>
        <v>18.466954571428566</v>
      </c>
      <c r="G55" s="21">
        <f t="shared" si="18"/>
        <v>4.8277091475992786E-3</v>
      </c>
      <c r="H55" s="25" t="s">
        <v>47</v>
      </c>
      <c r="I55" s="17"/>
      <c r="J55" s="23"/>
    </row>
    <row r="56" spans="1:17" ht="13.8" x14ac:dyDescent="0.3">
      <c r="A56" s="18">
        <f t="shared" si="15"/>
        <v>5</v>
      </c>
      <c r="B56" s="24" t="str">
        <f>IFERROR(VLOOKUP(H56,[1]SEMIELABORADOS!$A$2:$M$6000,2,0),"")</f>
        <v>GANACHE CHOCOLATE OSCURO (KILO)</v>
      </c>
      <c r="C56" s="19">
        <f t="shared" si="16"/>
        <v>5</v>
      </c>
      <c r="D56" s="20" t="str">
        <f>IFERROR(VLOOKUP(H56,[1]SEMIELABORADOS!$A$2:$M$6000,6,0),"")</f>
        <v>Gramo</v>
      </c>
      <c r="E56" s="20">
        <f>IFERROR(VLOOKUP(H56,[1]SEMIELABORADOS!$A$2:$M$65536,12,0),"")</f>
        <v>0.63710526781326771</v>
      </c>
      <c r="F56" s="20">
        <f t="shared" si="17"/>
        <v>3.1855263390663384</v>
      </c>
      <c r="G56" s="21">
        <f t="shared" si="18"/>
        <v>8.3277373037038502E-4</v>
      </c>
      <c r="H56" s="25" t="s">
        <v>49</v>
      </c>
      <c r="I56" s="17"/>
      <c r="J56" s="23"/>
    </row>
    <row r="57" spans="1:17" ht="13.8" x14ac:dyDescent="0.3">
      <c r="A57" s="18">
        <v>1</v>
      </c>
      <c r="B57" s="24" t="s">
        <v>86</v>
      </c>
      <c r="C57" s="19">
        <f>+A57</f>
        <v>1</v>
      </c>
      <c r="D57" s="19" t="s">
        <v>87</v>
      </c>
      <c r="E57" s="20">
        <f>+F71</f>
        <v>330</v>
      </c>
      <c r="F57" s="20">
        <f>IFERROR(C57*E57,"")</f>
        <v>330</v>
      </c>
      <c r="G57" s="21">
        <f>IFERROR(F57/$F$72,"")</f>
        <v>8.6269991759909306E-2</v>
      </c>
      <c r="H57" s="29"/>
      <c r="I57" s="29"/>
      <c r="J57" s="23"/>
    </row>
    <row r="58" spans="1:17" ht="14.4" thickBot="1" x14ac:dyDescent="0.35">
      <c r="A58" s="18"/>
      <c r="B58" s="24"/>
      <c r="C58" s="19"/>
      <c r="D58" s="19"/>
      <c r="E58" s="20"/>
      <c r="F58" s="20"/>
      <c r="G58" s="21"/>
      <c r="H58" s="29"/>
      <c r="I58" s="29"/>
      <c r="J58" s="23"/>
    </row>
    <row r="59" spans="1:17" ht="13.8" thickBot="1" x14ac:dyDescent="0.3">
      <c r="A59" s="30"/>
      <c r="B59" s="344" t="s">
        <v>88</v>
      </c>
      <c r="C59" s="344"/>
      <c r="D59" s="344"/>
      <c r="E59" s="344"/>
      <c r="F59" s="32">
        <f>SUM(F8:F14,F17:F24)</f>
        <v>3011.6991524408777</v>
      </c>
      <c r="G59" s="21">
        <f>+F59/$F$72</f>
        <v>0.78733109413454649</v>
      </c>
      <c r="H59" s="33">
        <f>+F59/$D$66</f>
        <v>3011.6991524408777</v>
      </c>
      <c r="I59" s="33"/>
      <c r="J59" s="34"/>
      <c r="K59" s="35"/>
      <c r="L59" s="35"/>
      <c r="M59" s="35"/>
      <c r="N59" s="35"/>
      <c r="O59" s="35"/>
      <c r="P59" s="35"/>
      <c r="Q59" s="36"/>
    </row>
    <row r="60" spans="1:17" x14ac:dyDescent="0.25">
      <c r="A60" s="30"/>
      <c r="B60" s="344" t="s">
        <v>89</v>
      </c>
      <c r="C60" s="344"/>
      <c r="D60" s="344"/>
      <c r="E60" s="344"/>
      <c r="F60" s="32">
        <f>SUM(F27:F38,F41:F47)</f>
        <v>423.26718350876968</v>
      </c>
      <c r="G60" s="21">
        <f>+F60/$F$72</f>
        <v>0.11065229222285328</v>
      </c>
      <c r="H60" s="33">
        <f>+F60/$D$66</f>
        <v>423.26718350876968</v>
      </c>
      <c r="I60" s="33"/>
      <c r="J60" s="37"/>
      <c r="K60" s="345" t="s">
        <v>90</v>
      </c>
      <c r="L60" s="346"/>
      <c r="M60" s="346"/>
      <c r="N60" s="346"/>
      <c r="O60" s="38">
        <f>+F61</f>
        <v>3434.9663359496471</v>
      </c>
      <c r="P60" s="38"/>
      <c r="Q60" s="39"/>
    </row>
    <row r="61" spans="1:17" x14ac:dyDescent="0.25">
      <c r="A61" s="30"/>
      <c r="B61" s="344" t="s">
        <v>91</v>
      </c>
      <c r="C61" s="344"/>
      <c r="D61" s="344"/>
      <c r="E61" s="344"/>
      <c r="F61" s="32">
        <f>+F59+F60</f>
        <v>3434.9663359496471</v>
      </c>
      <c r="G61" s="21">
        <f>+F61/$F$72</f>
        <v>0.89798338635739972</v>
      </c>
      <c r="H61" s="33">
        <f>+F61/$D$66</f>
        <v>3434.9663359496471</v>
      </c>
      <c r="I61" s="33"/>
      <c r="J61" s="40"/>
      <c r="K61" s="41"/>
      <c r="L61" s="42" t="s">
        <v>92</v>
      </c>
      <c r="M61" s="42"/>
      <c r="N61" s="43">
        <v>0.18</v>
      </c>
      <c r="O61" s="38">
        <f>+O60*N61</f>
        <v>618.29394047093649</v>
      </c>
      <c r="P61" s="38"/>
      <c r="Q61" s="39"/>
    </row>
    <row r="62" spans="1:17" ht="13.8" thickBot="1" x14ac:dyDescent="0.3">
      <c r="A62" s="30"/>
      <c r="B62" s="31"/>
      <c r="C62" s="344" t="s">
        <v>93</v>
      </c>
      <c r="D62" s="344"/>
      <c r="E62" s="344"/>
      <c r="F62" s="32">
        <f>SUM(F50:F57)</f>
        <v>801.19956047093649</v>
      </c>
      <c r="G62" s="21">
        <f>+F62/$F$72</f>
        <v>0.20945296812082015</v>
      </c>
      <c r="H62" s="33">
        <f>+F62/$D$66</f>
        <v>801.19956047093649</v>
      </c>
      <c r="I62" s="33"/>
      <c r="J62" s="40"/>
      <c r="K62" s="41"/>
      <c r="L62" s="41"/>
      <c r="M62" s="41" t="s">
        <v>94</v>
      </c>
      <c r="N62" s="44"/>
      <c r="O62" s="38">
        <f>O60*N62</f>
        <v>0</v>
      </c>
      <c r="P62" s="38"/>
      <c r="Q62" s="39"/>
    </row>
    <row r="63" spans="1:17" ht="13.8" thickBot="1" x14ac:dyDescent="0.25">
      <c r="A63" s="30"/>
      <c r="B63" s="45"/>
      <c r="C63" s="45"/>
      <c r="D63" s="45"/>
      <c r="E63" s="45"/>
      <c r="F63" s="46"/>
      <c r="G63" s="21"/>
      <c r="H63" s="47"/>
      <c r="I63" s="33"/>
      <c r="J63" s="40"/>
      <c r="K63" s="48"/>
      <c r="M63" s="49" t="s">
        <v>95</v>
      </c>
      <c r="N63" s="50"/>
      <c r="O63" s="51">
        <f>SUM(O60:O62)</f>
        <v>4053.2602764205835</v>
      </c>
      <c r="P63" s="52"/>
      <c r="Q63" s="39"/>
    </row>
    <row r="64" spans="1:17" x14ac:dyDescent="0.25">
      <c r="B64" s="347" t="s">
        <v>96</v>
      </c>
      <c r="C64" s="347"/>
      <c r="D64" s="53">
        <v>740</v>
      </c>
      <c r="E64" s="54"/>
      <c r="G64" s="21"/>
      <c r="H64" s="47"/>
      <c r="I64" s="55"/>
      <c r="J64" s="40"/>
      <c r="K64" s="48"/>
      <c r="L64" s="41"/>
      <c r="M64" s="41" t="s">
        <v>97</v>
      </c>
      <c r="N64" s="56">
        <v>0.16</v>
      </c>
      <c r="O64" s="38">
        <f>+O60*N64</f>
        <v>549.5946137519436</v>
      </c>
      <c r="P64" s="38"/>
      <c r="Q64" s="39"/>
    </row>
    <row r="65" spans="2:17" x14ac:dyDescent="0.25">
      <c r="B65" s="347" t="s">
        <v>98</v>
      </c>
      <c r="C65" s="347"/>
      <c r="D65" s="57">
        <v>740</v>
      </c>
      <c r="E65" s="54"/>
      <c r="G65" s="21"/>
      <c r="H65" s="47"/>
      <c r="I65" s="55"/>
      <c r="J65" s="40"/>
      <c r="K65" s="48"/>
      <c r="L65" s="41"/>
      <c r="M65" s="348" t="s">
        <v>95</v>
      </c>
      <c r="N65" s="348"/>
      <c r="O65" s="38">
        <f>SUM(O63:O64)</f>
        <v>4602.8548901725271</v>
      </c>
      <c r="P65" s="38"/>
      <c r="Q65" s="39"/>
    </row>
    <row r="66" spans="2:17" ht="13.8" thickBot="1" x14ac:dyDescent="0.3">
      <c r="B66" s="339" t="s">
        <v>99</v>
      </c>
      <c r="C66" s="339"/>
      <c r="D66" s="53">
        <f>+D64/D65</f>
        <v>1</v>
      </c>
      <c r="E66" s="54"/>
      <c r="F66" s="58"/>
      <c r="G66" s="21"/>
      <c r="H66" s="47"/>
      <c r="I66" s="55"/>
      <c r="J66" s="40"/>
      <c r="K66" s="48"/>
      <c r="L66" s="348"/>
      <c r="M66" s="348"/>
      <c r="N66" s="56"/>
      <c r="O66" s="38">
        <f>+O65*N66</f>
        <v>0</v>
      </c>
      <c r="P66" s="38"/>
      <c r="Q66" s="39"/>
    </row>
    <row r="67" spans="2:17" ht="13.8" thickBot="1" x14ac:dyDescent="0.25">
      <c r="B67" s="339" t="s">
        <v>100</v>
      </c>
      <c r="C67" s="339"/>
      <c r="D67" s="59"/>
      <c r="E67" s="54"/>
      <c r="F67" s="58"/>
      <c r="G67" s="21"/>
      <c r="H67" s="47"/>
      <c r="I67" s="55"/>
      <c r="J67" s="40"/>
      <c r="K67" s="340" t="s">
        <v>101</v>
      </c>
      <c r="L67" s="341"/>
      <c r="M67" s="341"/>
      <c r="N67" s="342"/>
      <c r="O67" s="51">
        <f>SUM(O65:O66)</f>
        <v>4602.8548901725271</v>
      </c>
      <c r="P67" s="60" t="s">
        <v>102</v>
      </c>
      <c r="Q67" s="39"/>
    </row>
    <row r="68" spans="2:17" ht="13.8" thickBot="1" x14ac:dyDescent="0.25">
      <c r="C68" s="30" t="s">
        <v>103</v>
      </c>
      <c r="D68" s="61"/>
      <c r="E68" s="4" t="s">
        <v>104</v>
      </c>
      <c r="F68" s="62" t="s">
        <v>105</v>
      </c>
      <c r="G68" s="21"/>
      <c r="H68" s="47"/>
      <c r="I68" s="55"/>
      <c r="J68" s="63"/>
      <c r="K68" s="64"/>
      <c r="L68" s="328" t="s">
        <v>106</v>
      </c>
      <c r="M68" s="328"/>
      <c r="N68" s="328"/>
      <c r="O68" s="65">
        <f>+O67/D66</f>
        <v>4602.8548901725271</v>
      </c>
      <c r="P68" s="66">
        <f>+O68/D65</f>
        <v>6.2200741759088203</v>
      </c>
      <c r="Q68" s="67"/>
    </row>
    <row r="69" spans="2:17" ht="13.8" thickBot="1" x14ac:dyDescent="0.25">
      <c r="B69" s="329" t="s">
        <v>91</v>
      </c>
      <c r="C69" s="329"/>
      <c r="D69" s="329"/>
      <c r="E69" s="68">
        <f>+F69/F69</f>
        <v>1</v>
      </c>
      <c r="F69" s="69">
        <f>SUM(F61)</f>
        <v>3434.9663359496471</v>
      </c>
      <c r="G69" s="21">
        <f>+F69/$F$72</f>
        <v>0.89798338635739972</v>
      </c>
      <c r="H69" s="47"/>
      <c r="I69" s="55"/>
      <c r="K69" s="330"/>
      <c r="L69" s="331"/>
      <c r="M69" s="331"/>
      <c r="N69" s="331"/>
      <c r="O69" s="70"/>
      <c r="P69" s="71"/>
    </row>
    <row r="70" spans="2:17" ht="13.8" thickBot="1" x14ac:dyDescent="0.3">
      <c r="B70" s="332" t="s">
        <v>107</v>
      </c>
      <c r="C70" s="332"/>
      <c r="D70" s="332"/>
      <c r="E70" s="72">
        <v>0.02</v>
      </c>
      <c r="F70" s="69">
        <f>+F59*E70</f>
        <v>60.233983048817556</v>
      </c>
      <c r="G70" s="21">
        <f>+F70/$F$72</f>
        <v>1.574662188269093E-2</v>
      </c>
      <c r="H70" s="33"/>
      <c r="I70" s="55"/>
      <c r="J70" s="73"/>
      <c r="O70" s="74"/>
      <c r="P70" s="31"/>
    </row>
    <row r="71" spans="2:17" ht="13.8" thickBot="1" x14ac:dyDescent="0.3">
      <c r="B71" s="333" t="s">
        <v>108</v>
      </c>
      <c r="C71" s="334"/>
      <c r="D71" s="75">
        <v>6</v>
      </c>
      <c r="E71" s="76">
        <v>55</v>
      </c>
      <c r="F71" s="69">
        <f>+E71*D71</f>
        <v>330</v>
      </c>
      <c r="G71" s="21">
        <f>+F71/$F$72</f>
        <v>8.6269991759909306E-2</v>
      </c>
      <c r="H71" s="33"/>
      <c r="I71" s="33"/>
      <c r="J71" s="23"/>
    </row>
    <row r="72" spans="2:17" ht="13.8" thickBot="1" x14ac:dyDescent="0.3">
      <c r="B72" s="335" t="s">
        <v>109</v>
      </c>
      <c r="C72" s="336"/>
      <c r="D72" s="336"/>
      <c r="E72" s="337"/>
      <c r="F72" s="46">
        <f>SUM(F69:F71)</f>
        <v>3825.2003189984648</v>
      </c>
      <c r="G72" s="21">
        <f>+F72/$F$72</f>
        <v>1</v>
      </c>
      <c r="H72" s="338"/>
      <c r="I72" s="33"/>
      <c r="J72" s="23"/>
    </row>
    <row r="73" spans="2:17" x14ac:dyDescent="0.25">
      <c r="C73" s="28"/>
      <c r="D73" s="28"/>
      <c r="E73" s="78"/>
      <c r="F73" s="69"/>
      <c r="G73" s="21"/>
      <c r="H73" s="338"/>
      <c r="I73" s="77"/>
      <c r="J73" s="6"/>
    </row>
    <row r="74" spans="2:17" ht="13.8" thickBot="1" x14ac:dyDescent="0.3">
      <c r="B74" s="323" t="s">
        <v>110</v>
      </c>
      <c r="C74" s="323"/>
      <c r="D74" s="323"/>
      <c r="E74" s="323"/>
      <c r="F74" s="323"/>
      <c r="G74" s="21"/>
      <c r="H74" s="80"/>
      <c r="I74" s="77"/>
      <c r="J74" s="6"/>
    </row>
    <row r="75" spans="2:17" ht="13.8" thickBot="1" x14ac:dyDescent="0.3">
      <c r="B75" s="81" t="s">
        <v>111</v>
      </c>
      <c r="C75" s="82">
        <f>+F59</f>
        <v>3011.6991524408777</v>
      </c>
      <c r="D75" s="82">
        <f>+D64</f>
        <v>740</v>
      </c>
      <c r="E75" s="83">
        <f>+C75/D75</f>
        <v>4.0698637195146992</v>
      </c>
      <c r="F75" s="21"/>
      <c r="G75" s="80"/>
      <c r="H75" s="23"/>
      <c r="I75" s="80"/>
      <c r="J75" s="6"/>
    </row>
    <row r="76" spans="2:17" x14ac:dyDescent="0.25">
      <c r="B76" s="84"/>
      <c r="C76" s="85"/>
      <c r="D76" s="86"/>
      <c r="E76" s="69"/>
      <c r="F76" s="21"/>
      <c r="G76" s="80"/>
      <c r="H76" s="23"/>
      <c r="I76" s="23"/>
      <c r="J76" s="6"/>
    </row>
    <row r="77" spans="2:17" x14ac:dyDescent="0.25">
      <c r="B77" s="81" t="s">
        <v>112</v>
      </c>
      <c r="C77" s="82">
        <f>SUM(F69:F70)</f>
        <v>3495.2003189984648</v>
      </c>
      <c r="D77" s="82">
        <f>+D64</f>
        <v>740</v>
      </c>
      <c r="E77" s="87">
        <f>+C77/D77</f>
        <v>4.7232436743222497</v>
      </c>
      <c r="F77" s="21"/>
      <c r="G77" s="80"/>
      <c r="H77" s="23"/>
      <c r="I77" s="23"/>
      <c r="J77" s="6"/>
    </row>
    <row r="78" spans="2:17" x14ac:dyDescent="0.25">
      <c r="B78" s="81"/>
      <c r="C78" s="82"/>
      <c r="D78" s="82"/>
      <c r="E78" s="87"/>
      <c r="F78" s="21"/>
      <c r="G78" s="80"/>
      <c r="H78" s="23"/>
      <c r="I78" s="23"/>
      <c r="J78" s="6"/>
    </row>
    <row r="79" spans="2:17" ht="13.8" thickBot="1" x14ac:dyDescent="0.3">
      <c r="B79" s="81" t="s">
        <v>113</v>
      </c>
      <c r="C79" s="82">
        <f>+F71</f>
        <v>330</v>
      </c>
      <c r="D79" s="82">
        <f>+D64</f>
        <v>740</v>
      </c>
      <c r="E79" s="87">
        <f>+C79/D79</f>
        <v>0.44594594594594594</v>
      </c>
      <c r="F79" s="21"/>
      <c r="G79" s="80"/>
      <c r="H79" s="23"/>
      <c r="I79" s="23"/>
      <c r="J79" s="6"/>
    </row>
    <row r="80" spans="2:17" ht="13.8" thickBot="1" x14ac:dyDescent="0.3">
      <c r="B80" s="81" t="s">
        <v>114</v>
      </c>
      <c r="C80" s="82">
        <f>+F62</f>
        <v>801.19956047093649</v>
      </c>
      <c r="D80" s="82">
        <f>+D79</f>
        <v>740</v>
      </c>
      <c r="E80" s="83">
        <f>+C80/D80</f>
        <v>1.0827021087445088</v>
      </c>
      <c r="F80" s="21"/>
      <c r="G80" s="80"/>
      <c r="H80" s="23"/>
      <c r="I80" s="23"/>
      <c r="J80" s="6"/>
    </row>
    <row r="81" spans="1:10" ht="13.8" thickBot="1" x14ac:dyDescent="0.3">
      <c r="B81" s="45"/>
      <c r="C81" s="46"/>
      <c r="D81" s="46"/>
      <c r="E81" s="87"/>
      <c r="F81" s="21"/>
      <c r="G81" s="80"/>
      <c r="H81" s="23"/>
      <c r="I81" s="23"/>
      <c r="J81" s="6"/>
    </row>
    <row r="82" spans="1:10" ht="13.8" thickBot="1" x14ac:dyDescent="0.3">
      <c r="B82" s="81" t="s">
        <v>115</v>
      </c>
      <c r="C82" s="82">
        <f>+F60</f>
        <v>423.26718350876968</v>
      </c>
      <c r="D82" s="82">
        <f>+D80</f>
        <v>740</v>
      </c>
      <c r="E82" s="83">
        <f>+C82/D82</f>
        <v>0.57198268041725631</v>
      </c>
      <c r="F82" s="21"/>
      <c r="G82" s="80"/>
      <c r="H82" s="23"/>
      <c r="I82" s="23"/>
      <c r="J82" s="23"/>
    </row>
    <row r="83" spans="1:10" ht="13.8" thickBot="1" x14ac:dyDescent="0.3">
      <c r="B83" s="45"/>
      <c r="C83" s="46"/>
      <c r="D83" s="46"/>
      <c r="E83" s="87"/>
      <c r="F83" s="21"/>
      <c r="G83" s="80"/>
      <c r="H83" s="23"/>
      <c r="I83" s="23"/>
    </row>
    <row r="84" spans="1:10" ht="13.8" thickBot="1" x14ac:dyDescent="0.3">
      <c r="B84" s="324" t="s">
        <v>116</v>
      </c>
      <c r="C84" s="325"/>
      <c r="D84" s="326"/>
      <c r="E84" s="83">
        <f>+E75+E80</f>
        <v>5.1525658282592079</v>
      </c>
      <c r="G84" s="21"/>
      <c r="H84" s="80"/>
      <c r="I84" s="23"/>
      <c r="J84" s="87"/>
    </row>
    <row r="85" spans="1:10" x14ac:dyDescent="0.25">
      <c r="I85" s="80"/>
      <c r="J85" s="6"/>
    </row>
    <row r="86" spans="1:10" ht="13.8" thickBot="1" x14ac:dyDescent="0.3">
      <c r="B86" s="323" t="s">
        <v>117</v>
      </c>
      <c r="C86" s="323"/>
      <c r="D86" s="323"/>
      <c r="E86" s="323"/>
      <c r="F86" s="323"/>
      <c r="G86" s="21"/>
      <c r="H86" s="80"/>
      <c r="J86" s="6"/>
    </row>
    <row r="87" spans="1:10" ht="13.8" thickBot="1" x14ac:dyDescent="0.3">
      <c r="B87" s="81" t="s">
        <v>111</v>
      </c>
      <c r="C87" s="82">
        <f>+C75</f>
        <v>3011.6991524408777</v>
      </c>
      <c r="D87" s="82">
        <f>+D66</f>
        <v>1</v>
      </c>
      <c r="E87" s="83">
        <f>+C87/D87</f>
        <v>3011.6991524408777</v>
      </c>
      <c r="F87" s="21"/>
      <c r="G87" s="80"/>
      <c r="H87" s="23"/>
      <c r="I87" s="80"/>
      <c r="J87" s="6"/>
    </row>
    <row r="88" spans="1:10" x14ac:dyDescent="0.25">
      <c r="B88" s="84"/>
      <c r="C88" s="85"/>
      <c r="D88" s="86"/>
      <c r="E88" s="69"/>
      <c r="F88" s="21"/>
      <c r="G88" s="80"/>
      <c r="H88" s="23"/>
      <c r="I88" s="23"/>
      <c r="J88" s="6"/>
    </row>
    <row r="89" spans="1:10" x14ac:dyDescent="0.25">
      <c r="B89" s="81" t="s">
        <v>112</v>
      </c>
      <c r="C89" s="82">
        <f>+C77</f>
        <v>3495.2003189984648</v>
      </c>
      <c r="D89" s="82">
        <f>+D66</f>
        <v>1</v>
      </c>
      <c r="E89" s="87">
        <f>+C89/D89</f>
        <v>3495.2003189984648</v>
      </c>
      <c r="F89" s="21"/>
      <c r="G89" s="80"/>
      <c r="H89" s="23"/>
      <c r="I89" s="23"/>
      <c r="J89" s="6"/>
    </row>
    <row r="90" spans="1:10" x14ac:dyDescent="0.25">
      <c r="B90" s="81"/>
      <c r="C90" s="82"/>
      <c r="D90" s="82"/>
      <c r="E90" s="87"/>
      <c r="F90" s="21"/>
      <c r="G90" s="80"/>
      <c r="H90" s="23"/>
      <c r="I90" s="23"/>
      <c r="J90" s="6"/>
    </row>
    <row r="91" spans="1:10" ht="13.8" thickBot="1" x14ac:dyDescent="0.3">
      <c r="B91" s="81" t="s">
        <v>114</v>
      </c>
      <c r="C91" s="82">
        <f>+C79</f>
        <v>330</v>
      </c>
      <c r="D91" s="82">
        <f>+D66</f>
        <v>1</v>
      </c>
      <c r="E91" s="87">
        <f>+C91/D91</f>
        <v>330</v>
      </c>
      <c r="F91" s="89"/>
      <c r="G91" s="79"/>
      <c r="H91" s="5"/>
      <c r="I91" s="23"/>
    </row>
    <row r="92" spans="1:10" ht="13.8" thickBot="1" x14ac:dyDescent="0.3">
      <c r="B92" s="81" t="s">
        <v>114</v>
      </c>
      <c r="C92" s="82">
        <f>+C80</f>
        <v>801.19956047093649</v>
      </c>
      <c r="D92" s="82">
        <f>+D91</f>
        <v>1</v>
      </c>
      <c r="E92" s="83">
        <f>+C92/D92</f>
        <v>801.19956047093649</v>
      </c>
      <c r="F92" s="88"/>
      <c r="G92" s="79"/>
      <c r="H92" s="5"/>
      <c r="I92" s="5"/>
    </row>
    <row r="93" spans="1:10" x14ac:dyDescent="0.25">
      <c r="I93" s="5"/>
    </row>
    <row r="94" spans="1:10" x14ac:dyDescent="0.25">
      <c r="A94" s="327"/>
      <c r="B94" s="327"/>
      <c r="C94" s="90"/>
      <c r="D94" s="90"/>
      <c r="E94" s="91"/>
      <c r="G94" s="92"/>
    </row>
    <row r="95" spans="1:10" x14ac:dyDescent="0.25">
      <c r="A95" s="24"/>
      <c r="B95" s="93"/>
      <c r="C95" s="94"/>
      <c r="D95" s="94"/>
      <c r="E95" s="95"/>
      <c r="G95" s="92"/>
    </row>
    <row r="96" spans="1:10" x14ac:dyDescent="0.25">
      <c r="A96" s="24"/>
      <c r="B96" s="93"/>
      <c r="C96" s="96"/>
      <c r="D96" s="96"/>
      <c r="E96" s="24"/>
      <c r="G96" s="92"/>
    </row>
    <row r="97" spans="1:7" x14ac:dyDescent="0.25">
      <c r="A97" s="24"/>
      <c r="B97" s="93"/>
      <c r="C97" s="97"/>
      <c r="D97" s="97"/>
      <c r="E97" s="24"/>
      <c r="G97" s="92"/>
    </row>
  </sheetData>
  <mergeCells count="30">
    <mergeCell ref="K35:L35"/>
    <mergeCell ref="A4:H4"/>
    <mergeCell ref="A5:H5"/>
    <mergeCell ref="F6:G6"/>
    <mergeCell ref="K27:L27"/>
    <mergeCell ref="K28:L28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3"/>
  <sheetViews>
    <sheetView topLeftCell="A16" workbookViewId="0">
      <selection activeCell="F31" sqref="F31"/>
    </sheetView>
  </sheetViews>
  <sheetFormatPr baseColWidth="10" defaultColWidth="8.44140625" defaultRowHeight="10.199999999999999" x14ac:dyDescent="0.2"/>
  <cols>
    <col min="1" max="1" width="7.5546875" style="98" customWidth="1"/>
    <col min="2" max="2" width="7.77734375" style="98" bestFit="1" customWidth="1"/>
    <col min="3" max="3" width="39.21875" style="98" customWidth="1"/>
    <col min="4" max="4" width="10" style="98" bestFit="1" customWidth="1"/>
    <col min="5" max="5" width="9.44140625" style="98" bestFit="1" customWidth="1"/>
    <col min="6" max="6" width="11.77734375" style="141" customWidth="1"/>
    <col min="7" max="7" width="8.77734375" style="142" bestFit="1" customWidth="1"/>
    <col min="8" max="8" width="10.21875" style="143" bestFit="1" customWidth="1"/>
    <col min="9" max="16384" width="8.44140625" style="98"/>
  </cols>
  <sheetData>
    <row r="1" spans="2:8" ht="36" customHeight="1" thickBot="1" x14ac:dyDescent="0.4">
      <c r="B1" s="365"/>
      <c r="C1" s="366"/>
      <c r="D1" s="366"/>
      <c r="E1" s="366"/>
      <c r="F1" s="366"/>
      <c r="G1" s="366"/>
      <c r="H1" s="367"/>
    </row>
    <row r="2" spans="2:8" ht="19.5" customHeight="1" thickBot="1" x14ac:dyDescent="0.25">
      <c r="B2" s="368" t="s">
        <v>118</v>
      </c>
      <c r="C2" s="368"/>
      <c r="D2" s="368"/>
      <c r="E2" s="368"/>
      <c r="F2" s="368"/>
      <c r="G2" s="368"/>
      <c r="H2" s="368"/>
    </row>
    <row r="3" spans="2:8" ht="19.5" customHeight="1" thickTop="1" x14ac:dyDescent="0.2">
      <c r="B3" s="369" t="s">
        <v>119</v>
      </c>
      <c r="C3" s="369"/>
      <c r="D3" s="369"/>
      <c r="E3" s="369"/>
      <c r="F3" s="369"/>
      <c r="G3" s="369"/>
      <c r="H3" s="369"/>
    </row>
    <row r="4" spans="2:8" ht="19.5" customHeight="1" x14ac:dyDescent="0.2">
      <c r="B4" s="99"/>
      <c r="C4" s="99"/>
      <c r="D4" s="99"/>
      <c r="E4" s="99"/>
      <c r="F4" s="370" t="s">
        <v>75</v>
      </c>
      <c r="G4" s="370"/>
      <c r="H4" s="12"/>
    </row>
    <row r="5" spans="2:8" ht="30" customHeight="1" x14ac:dyDescent="0.2">
      <c r="B5" s="100" t="s">
        <v>106</v>
      </c>
      <c r="C5" s="100" t="s">
        <v>77</v>
      </c>
      <c r="D5" s="100" t="s">
        <v>106</v>
      </c>
      <c r="E5" s="101" t="s">
        <v>120</v>
      </c>
      <c r="F5" s="101" t="s">
        <v>121</v>
      </c>
      <c r="G5" s="101" t="s">
        <v>122</v>
      </c>
      <c r="H5" s="101" t="s">
        <v>123</v>
      </c>
    </row>
    <row r="6" spans="2:8" s="102" customFormat="1" ht="20.100000000000001" customHeight="1" x14ac:dyDescent="0.2">
      <c r="B6" s="103">
        <v>1</v>
      </c>
      <c r="C6" s="102" t="s">
        <v>150</v>
      </c>
      <c r="D6" s="104">
        <f>+B6</f>
        <v>1</v>
      </c>
      <c r="E6" s="104">
        <f>+COSTO!H59</f>
        <v>3011.6991524408777</v>
      </c>
      <c r="F6" s="105">
        <f>+D6*E6</f>
        <v>3011.6991524408777</v>
      </c>
      <c r="G6" s="106">
        <f>+F6/$F$23</f>
        <v>0.65431112305345596</v>
      </c>
      <c r="H6" s="107" t="s">
        <v>61</v>
      </c>
    </row>
    <row r="7" spans="2:8" s="102" customFormat="1" ht="20.100000000000001" customHeight="1" x14ac:dyDescent="0.2">
      <c r="B7" s="103"/>
      <c r="D7" s="104"/>
      <c r="E7" s="104"/>
      <c r="F7" s="105"/>
      <c r="G7" s="106"/>
      <c r="H7" s="107"/>
    </row>
    <row r="8" spans="2:8" ht="30" customHeight="1" x14ac:dyDescent="0.2">
      <c r="B8" s="100" t="s">
        <v>106</v>
      </c>
      <c r="C8" s="100" t="s">
        <v>30</v>
      </c>
      <c r="D8" s="100" t="s">
        <v>106</v>
      </c>
      <c r="E8" s="101" t="s">
        <v>120</v>
      </c>
      <c r="F8" s="101" t="s">
        <v>121</v>
      </c>
      <c r="G8" s="101" t="s">
        <v>122</v>
      </c>
      <c r="H8" s="101" t="s">
        <v>123</v>
      </c>
    </row>
    <row r="9" spans="2:8" s="102" customFormat="1" ht="20.100000000000001" customHeight="1" x14ac:dyDescent="0.2">
      <c r="B9" s="103">
        <v>1</v>
      </c>
      <c r="C9" s="102" t="s">
        <v>124</v>
      </c>
      <c r="D9" s="104">
        <f>+B9</f>
        <v>1</v>
      </c>
      <c r="E9" s="104">
        <f>+COSTO!H60</f>
        <v>423.26718350876968</v>
      </c>
      <c r="F9" s="105">
        <f>+D9*E9</f>
        <v>423.26718350876968</v>
      </c>
      <c r="G9" s="106">
        <f>+F9/$F$23</f>
        <v>9.1957533662962054E-2</v>
      </c>
      <c r="H9" s="107" t="s">
        <v>125</v>
      </c>
    </row>
    <row r="10" spans="2:8" s="108" customFormat="1" ht="17.25" customHeight="1" x14ac:dyDescent="0.25">
      <c r="B10" s="109"/>
      <c r="C10" s="110"/>
      <c r="D10" s="111"/>
      <c r="E10" s="111"/>
      <c r="F10" s="112"/>
      <c r="G10" s="113"/>
      <c r="H10" s="114"/>
    </row>
    <row r="11" spans="2:8" s="108" customFormat="1" ht="12" x14ac:dyDescent="0.25">
      <c r="B11" s="103"/>
      <c r="C11" s="348" t="s">
        <v>126</v>
      </c>
      <c r="D11" s="348"/>
      <c r="E11" s="104"/>
      <c r="F11" s="38">
        <f>SUM(F6)</f>
        <v>3011.6991524408777</v>
      </c>
      <c r="G11" s="115">
        <f>+F11/$F$23</f>
        <v>0.65431112305345596</v>
      </c>
      <c r="H11" s="107"/>
    </row>
    <row r="12" spans="2:8" s="108" customFormat="1" ht="12.6" thickBot="1" x14ac:dyDescent="0.3">
      <c r="B12" s="103"/>
      <c r="C12" s="348" t="s">
        <v>127</v>
      </c>
      <c r="D12" s="348"/>
      <c r="E12" s="104"/>
      <c r="F12" s="116">
        <f>SUM(F9)</f>
        <v>423.26718350876968</v>
      </c>
      <c r="G12" s="115">
        <f>+F12/$F$23</f>
        <v>9.1957533662962054E-2</v>
      </c>
      <c r="H12" s="107"/>
    </row>
    <row r="13" spans="2:8" s="108" customFormat="1" ht="12.6" thickTop="1" x14ac:dyDescent="0.25">
      <c r="B13" s="103"/>
      <c r="C13" s="341" t="s">
        <v>90</v>
      </c>
      <c r="D13" s="341"/>
      <c r="E13" s="341"/>
      <c r="F13" s="52">
        <f>SUM(F11:F12)</f>
        <v>3434.9663359496471</v>
      </c>
      <c r="G13" s="115">
        <f>+F13/$F$23</f>
        <v>0.74626865671641796</v>
      </c>
      <c r="H13" s="107"/>
    </row>
    <row r="14" spans="2:8" s="108" customFormat="1" ht="12" x14ac:dyDescent="0.25">
      <c r="C14" s="48"/>
      <c r="D14" s="48"/>
      <c r="E14" s="117"/>
      <c r="F14" s="118"/>
      <c r="G14" s="115"/>
    </row>
    <row r="15" spans="2:8" s="108" customFormat="1" ht="12" x14ac:dyDescent="0.25">
      <c r="B15" s="348" t="s">
        <v>90</v>
      </c>
      <c r="C15" s="348"/>
      <c r="D15" s="348"/>
      <c r="E15" s="119" t="s">
        <v>128</v>
      </c>
      <c r="F15" s="38">
        <f>+F13</f>
        <v>3434.9663359496471</v>
      </c>
      <c r="G15" s="115">
        <f t="shared" ref="G15:G23" si="0">+F15/$F$23</f>
        <v>0.74626865671641796</v>
      </c>
      <c r="H15" s="120"/>
    </row>
    <row r="16" spans="2:8" s="108" customFormat="1" ht="12.75" customHeight="1" thickBot="1" x14ac:dyDescent="0.3">
      <c r="B16" s="41"/>
      <c r="C16" s="348" t="s">
        <v>92</v>
      </c>
      <c r="D16" s="348"/>
      <c r="E16" s="121"/>
      <c r="F16" s="38">
        <f>+COSTO!O61</f>
        <v>618.29394047093649</v>
      </c>
      <c r="G16" s="115">
        <f t="shared" si="0"/>
        <v>0.13432835820895522</v>
      </c>
      <c r="H16" s="120"/>
    </row>
    <row r="17" spans="1:37" s="108" customFormat="1" ht="12.75" hidden="1" customHeight="1" x14ac:dyDescent="0.25">
      <c r="B17" s="41"/>
      <c r="C17" s="348" t="s">
        <v>129</v>
      </c>
      <c r="D17" s="348"/>
      <c r="E17" s="122">
        <v>0</v>
      </c>
      <c r="F17" s="38">
        <f>+(F15+F16)*E17</f>
        <v>0</v>
      </c>
      <c r="G17" s="115">
        <f t="shared" si="0"/>
        <v>0</v>
      </c>
      <c r="H17" s="120"/>
    </row>
    <row r="18" spans="1:37" s="108" customFormat="1" ht="12.6" hidden="1" thickBot="1" x14ac:dyDescent="0.3">
      <c r="B18" s="41"/>
      <c r="C18" s="348" t="s">
        <v>130</v>
      </c>
      <c r="D18" s="348"/>
      <c r="E18" s="122">
        <v>0</v>
      </c>
      <c r="F18" s="38">
        <f>+F16*E18</f>
        <v>0</v>
      </c>
      <c r="G18" s="115">
        <f t="shared" si="0"/>
        <v>0</v>
      </c>
      <c r="H18" s="120"/>
    </row>
    <row r="19" spans="1:37" s="108" customFormat="1" ht="12.6" thickBot="1" x14ac:dyDescent="0.3">
      <c r="B19" s="48"/>
      <c r="C19" s="363"/>
      <c r="D19" s="363"/>
      <c r="E19" s="364"/>
      <c r="F19" s="51">
        <f>SUM(F15:F18)</f>
        <v>4053.2602764205835</v>
      </c>
      <c r="G19" s="123">
        <f>+F19/$F$21</f>
        <v>0.88059701492537312</v>
      </c>
      <c r="H19" s="120"/>
    </row>
    <row r="20" spans="1:37" s="108" customFormat="1" ht="12" x14ac:dyDescent="0.25">
      <c r="B20" s="48"/>
      <c r="C20" s="348" t="s">
        <v>131</v>
      </c>
      <c r="D20" s="348"/>
      <c r="E20" s="56">
        <v>0.16</v>
      </c>
      <c r="F20" s="38">
        <f>+F13*E20</f>
        <v>549.5946137519436</v>
      </c>
      <c r="G20" s="115">
        <f t="shared" si="0"/>
        <v>0.11940298507462688</v>
      </c>
      <c r="H20" s="120"/>
    </row>
    <row r="21" spans="1:37" s="108" customFormat="1" ht="12" x14ac:dyDescent="0.25">
      <c r="B21" s="48"/>
      <c r="C21" s="348" t="s">
        <v>95</v>
      </c>
      <c r="D21" s="348"/>
      <c r="E21" s="348"/>
      <c r="F21" s="38">
        <f>SUM(F19:F20)</f>
        <v>4602.8548901725271</v>
      </c>
      <c r="G21" s="115">
        <f t="shared" si="0"/>
        <v>1</v>
      </c>
      <c r="H21" s="120"/>
    </row>
    <row r="22" spans="1:37" s="108" customFormat="1" ht="12.6" thickBot="1" x14ac:dyDescent="0.3">
      <c r="B22" s="48"/>
      <c r="C22" s="348" t="s">
        <v>132</v>
      </c>
      <c r="D22" s="348"/>
      <c r="E22" s="56"/>
      <c r="F22" s="38">
        <f>+F21*E22</f>
        <v>0</v>
      </c>
      <c r="G22" s="115">
        <f t="shared" si="0"/>
        <v>0</v>
      </c>
      <c r="H22" s="120"/>
    </row>
    <row r="23" spans="1:37" s="108" customFormat="1" ht="12.6" thickBot="1" x14ac:dyDescent="0.3">
      <c r="B23" s="48"/>
      <c r="C23" s="341" t="s">
        <v>101</v>
      </c>
      <c r="D23" s="341"/>
      <c r="E23" s="342"/>
      <c r="F23" s="51">
        <f>SUM(F21:F22)</f>
        <v>4602.8548901725271</v>
      </c>
      <c r="G23" s="115">
        <f t="shared" si="0"/>
        <v>1</v>
      </c>
      <c r="H23" s="124"/>
    </row>
    <row r="24" spans="1:37" s="108" customFormat="1" ht="12.6" thickBot="1" x14ac:dyDescent="0.3">
      <c r="B24" s="48"/>
      <c r="C24" s="125"/>
      <c r="D24" s="125"/>
      <c r="E24" s="125"/>
      <c r="F24" s="52"/>
      <c r="G24" s="126"/>
      <c r="H24" s="124"/>
    </row>
    <row r="25" spans="1:37" s="127" customFormat="1" ht="19.5" customHeight="1" thickBot="1" x14ac:dyDescent="0.3">
      <c r="A25" s="361"/>
      <c r="B25" s="362"/>
      <c r="C25" s="362"/>
      <c r="D25" s="362"/>
      <c r="E25" s="362"/>
      <c r="F25" s="362"/>
      <c r="G25" s="362"/>
      <c r="H25" s="362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</row>
    <row r="26" spans="1:37" s="108" customFormat="1" ht="19.5" customHeight="1" thickBot="1" x14ac:dyDescent="0.3">
      <c r="F26" s="128"/>
      <c r="G26" s="129"/>
      <c r="H26" s="120"/>
    </row>
    <row r="27" spans="1:37" s="108" customFormat="1" ht="13.5" customHeight="1" thickBot="1" x14ac:dyDescent="0.3">
      <c r="B27" s="48"/>
      <c r="C27" s="341" t="s">
        <v>101</v>
      </c>
      <c r="D27" s="341"/>
      <c r="E27" s="342"/>
      <c r="F27" s="51">
        <f>+F23</f>
        <v>4602.8548901725271</v>
      </c>
      <c r="H27" s="120"/>
    </row>
    <row r="28" spans="1:37" s="108" customFormat="1" ht="13.5" customHeight="1" x14ac:dyDescent="0.25">
      <c r="B28" s="48"/>
      <c r="C28" s="355" t="s">
        <v>133</v>
      </c>
      <c r="D28" s="355" t="s">
        <v>134</v>
      </c>
      <c r="E28" s="56"/>
      <c r="F28" s="130">
        <f>+F27*E28</f>
        <v>0</v>
      </c>
      <c r="G28" s="131" t="s">
        <v>135</v>
      </c>
      <c r="H28" s="120" t="s">
        <v>136</v>
      </c>
    </row>
    <row r="29" spans="1:37" s="108" customFormat="1" ht="13.5" customHeight="1" x14ac:dyDescent="0.25">
      <c r="B29" s="48"/>
      <c r="C29" s="358" t="s">
        <v>137</v>
      </c>
      <c r="D29" s="358"/>
      <c r="E29" s="358"/>
      <c r="F29" s="130">
        <f>SUM(F27:F28)</f>
        <v>4602.8548901725271</v>
      </c>
      <c r="G29" s="131">
        <f>+F29/$F$31</f>
        <v>0.8</v>
      </c>
      <c r="H29" s="132">
        <f>1-(F29/F31)</f>
        <v>0.19999999999999996</v>
      </c>
    </row>
    <row r="30" spans="1:37" s="108" customFormat="1" ht="12" x14ac:dyDescent="0.25">
      <c r="B30" s="110"/>
      <c r="C30" s="355" t="s">
        <v>138</v>
      </c>
      <c r="D30" s="355"/>
      <c r="E30" s="56">
        <v>0.25</v>
      </c>
      <c r="F30" s="38">
        <f>+F29*E30</f>
        <v>1150.7137225431318</v>
      </c>
      <c r="G30" s="126"/>
      <c r="H30" s="133"/>
    </row>
    <row r="31" spans="1:37" s="108" customFormat="1" ht="12.6" thickBot="1" x14ac:dyDescent="0.3">
      <c r="B31" s="110"/>
      <c r="C31" s="359" t="s">
        <v>139</v>
      </c>
      <c r="D31" s="359"/>
      <c r="E31" s="144"/>
      <c r="F31" s="145">
        <f>SUM(F29:F30)</f>
        <v>5753.5686127156587</v>
      </c>
      <c r="G31" s="126"/>
      <c r="H31" s="124"/>
    </row>
    <row r="32" spans="1:37" s="108" customFormat="1" ht="12.6" thickBot="1" x14ac:dyDescent="0.3">
      <c r="B32" s="110"/>
      <c r="C32" s="360" t="s">
        <v>140</v>
      </c>
      <c r="D32" s="360"/>
      <c r="E32" s="134">
        <v>0.13</v>
      </c>
      <c r="F32" s="135">
        <f>+F31*(1+E32)</f>
        <v>6501.5325323686939</v>
      </c>
      <c r="G32" s="126"/>
      <c r="H32" s="124"/>
    </row>
    <row r="33" spans="1:37" s="108" customFormat="1" ht="12.6" thickBot="1" x14ac:dyDescent="0.3">
      <c r="A33" s="361"/>
      <c r="B33" s="362"/>
      <c r="C33" s="362"/>
      <c r="D33" s="362"/>
      <c r="E33" s="362"/>
      <c r="F33" s="362"/>
      <c r="G33" s="362"/>
      <c r="H33" s="362"/>
    </row>
    <row r="34" spans="1:37" s="108" customFormat="1" ht="12" x14ac:dyDescent="0.25">
      <c r="B34" s="110"/>
      <c r="C34" s="354" t="s">
        <v>141</v>
      </c>
      <c r="D34" s="354"/>
      <c r="E34" s="136">
        <v>0.65</v>
      </c>
      <c r="F34" s="137">
        <f>+F31/0.65</f>
        <v>8851.644019562551</v>
      </c>
      <c r="G34" s="126"/>
      <c r="H34" s="124"/>
    </row>
    <row r="35" spans="1:37" s="108" customFormat="1" ht="12" x14ac:dyDescent="0.25">
      <c r="B35" s="110"/>
      <c r="C35" s="355" t="s">
        <v>142</v>
      </c>
      <c r="D35" s="355"/>
      <c r="E35" s="136">
        <v>0.13</v>
      </c>
      <c r="F35" s="137">
        <f>+F34*1.13</f>
        <v>10002.357742105682</v>
      </c>
      <c r="G35" s="126"/>
      <c r="H35" s="124"/>
    </row>
    <row r="36" spans="1:37" s="108" customFormat="1" ht="12.6" thickBot="1" x14ac:dyDescent="0.3">
      <c r="C36" s="328"/>
      <c r="D36" s="328"/>
      <c r="F36" s="138"/>
      <c r="G36" s="139"/>
      <c r="H36" s="120"/>
    </row>
    <row r="37" spans="1:37" s="127" customFormat="1" ht="19.5" customHeight="1" thickBot="1" x14ac:dyDescent="0.35">
      <c r="A37" s="356" t="s">
        <v>143</v>
      </c>
      <c r="B37" s="357"/>
      <c r="C37" s="357"/>
      <c r="D37" s="357"/>
      <c r="E37" s="357"/>
      <c r="F37" s="357"/>
      <c r="G37" s="357"/>
      <c r="H37" s="357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108"/>
      <c r="AH37" s="108"/>
      <c r="AI37" s="108"/>
      <c r="AJ37" s="108"/>
      <c r="AK37" s="108"/>
    </row>
    <row r="38" spans="1:37" s="108" customFormat="1" ht="12" x14ac:dyDescent="0.25">
      <c r="F38" s="140"/>
      <c r="G38" s="139"/>
      <c r="H38" s="120"/>
    </row>
    <row r="43" spans="1:37" ht="12" x14ac:dyDescent="0.25">
      <c r="H43" s="112"/>
    </row>
  </sheetData>
  <mergeCells count="28">
    <mergeCell ref="C12:D12"/>
    <mergeCell ref="B1:H1"/>
    <mergeCell ref="B2:H2"/>
    <mergeCell ref="B3:H3"/>
    <mergeCell ref="F4:G4"/>
    <mergeCell ref="C11:D11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4FF878-A091-4570-A735-3F876D0CA479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7b4e74ba-38a7-42d4-a9ca-1da0fc041db0"/>
    <ds:schemaRef ds:uri="eae225b5-53a6-4b69-be5f-a92fedf9fd97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AC3E95E-4A9E-47E2-9957-C1A6CDC3E7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76808F-F075-42A7-87DD-96F122D81E34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0BF58585-2215-4084-BBEA-F6A3BBE1BA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Valery Cerdas</cp:lastModifiedBy>
  <cp:lastPrinted>2025-04-04T20:41:21Z</cp:lastPrinted>
  <dcterms:created xsi:type="dcterms:W3CDTF">2012-05-10T22:32:20Z</dcterms:created>
  <dcterms:modified xsi:type="dcterms:W3CDTF">2026-05-07T19:30:17Z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239800.000000000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
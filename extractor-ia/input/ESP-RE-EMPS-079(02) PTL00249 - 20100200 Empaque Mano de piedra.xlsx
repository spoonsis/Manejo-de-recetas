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10" documentId="8_{4032BBA4-D8C8-4C9D-88F4-A20018A2778D}" xr6:coauthVersionLast="47" xr6:coauthVersionMax="47" xr10:uidLastSave="{3AE900D0-E477-4DF3-8689-AE0AF3C9634A}"/>
  <bookViews>
    <workbookView xWindow="-120" yWindow="-120" windowWidth="20730" windowHeight="11040" firstSheet="2" activeTab="2" xr2:uid="{C9E15B74-726B-477E-BB07-60066F9D1626}"/>
  </bookViews>
  <sheets>
    <sheet name="Costo coccion" sheetId="5" state="hidden" r:id="rId1"/>
    <sheet name="costo Salsa" sheetId="6" state="hidden" r:id="rId2"/>
    <sheet name="Empaque" sheetId="4" r:id="rId3"/>
    <sheet name="Costo empaque " sheetId="7" state="hidden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7" l="1"/>
  <c r="D76" i="7" s="1"/>
  <c r="D73" i="7"/>
  <c r="C73" i="7"/>
  <c r="E73" i="7" s="1"/>
  <c r="D71" i="7"/>
  <c r="D69" i="7"/>
  <c r="F65" i="7"/>
  <c r="D60" i="7"/>
  <c r="D85" i="7" s="1"/>
  <c r="D86" i="7" s="1"/>
  <c r="E51" i="7"/>
  <c r="C51" i="7"/>
  <c r="F51" i="7" s="1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A45" i="7"/>
  <c r="C45" i="7" s="1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B37" i="7"/>
  <c r="A37" i="7"/>
  <c r="C37" i="7" s="1"/>
  <c r="A36" i="7"/>
  <c r="C36" i="7" s="1"/>
  <c r="A35" i="7"/>
  <c r="A44" i="7" s="1"/>
  <c r="C44" i="7" s="1"/>
  <c r="E32" i="7"/>
  <c r="D32" i="7"/>
  <c r="C32" i="7"/>
  <c r="B32" i="7"/>
  <c r="E31" i="7"/>
  <c r="F31" i="7" s="1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C18" i="7"/>
  <c r="C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F10" i="7" s="1"/>
  <c r="D10" i="7"/>
  <c r="C10" i="7"/>
  <c r="B10" i="7"/>
  <c r="E9" i="7"/>
  <c r="F9" i="7" s="1"/>
  <c r="D9" i="7"/>
  <c r="C9" i="7"/>
  <c r="B9" i="7"/>
  <c r="E8" i="7"/>
  <c r="F8" i="7" s="1"/>
  <c r="D8" i="7"/>
  <c r="C8" i="7"/>
  <c r="B8" i="7"/>
  <c r="H6" i="7"/>
  <c r="D74" i="6"/>
  <c r="D76" i="6" s="1"/>
  <c r="D73" i="6"/>
  <c r="D71" i="6"/>
  <c r="D69" i="6"/>
  <c r="F65" i="6"/>
  <c r="C73" i="6" s="1"/>
  <c r="D60" i="6"/>
  <c r="D85" i="6" s="1"/>
  <c r="D86" i="6" s="1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1" i="6"/>
  <c r="D41" i="6"/>
  <c r="C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C39" i="6" s="1"/>
  <c r="E38" i="6"/>
  <c r="D38" i="6"/>
  <c r="C38" i="6"/>
  <c r="B38" i="6"/>
  <c r="A38" i="6"/>
  <c r="A47" i="6" s="1"/>
  <c r="C47" i="6" s="1"/>
  <c r="E37" i="6"/>
  <c r="D37" i="6"/>
  <c r="B37" i="6"/>
  <c r="A37" i="6"/>
  <c r="A46" i="6" s="1"/>
  <c r="C46" i="6" s="1"/>
  <c r="A36" i="6"/>
  <c r="C36" i="6" s="1"/>
  <c r="A35" i="6"/>
  <c r="A44" i="6" s="1"/>
  <c r="C44" i="6" s="1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F18" i="6"/>
  <c r="C18" i="6"/>
  <c r="C17" i="6"/>
  <c r="B15" i="6"/>
  <c r="E14" i="6"/>
  <c r="F14" i="6" s="1"/>
  <c r="D14" i="6"/>
  <c r="C14" i="6"/>
  <c r="B14" i="6"/>
  <c r="E13" i="6"/>
  <c r="F13" i="6" s="1"/>
  <c r="D13" i="6"/>
  <c r="C13" i="6"/>
  <c r="B13" i="6"/>
  <c r="E12" i="6"/>
  <c r="F12" i="6" s="1"/>
  <c r="D12" i="6"/>
  <c r="C12" i="6"/>
  <c r="B12" i="6"/>
  <c r="E11" i="6"/>
  <c r="D11" i="6"/>
  <c r="C11" i="6"/>
  <c r="B11" i="6"/>
  <c r="E10" i="6"/>
  <c r="F10" i="6" s="1"/>
  <c r="D10" i="6"/>
  <c r="C10" i="6"/>
  <c r="B10" i="6"/>
  <c r="C9" i="6"/>
  <c r="C8" i="6"/>
  <c r="H6" i="6"/>
  <c r="D73" i="5"/>
  <c r="D74" i="5" s="1"/>
  <c r="D76" i="5" s="1"/>
  <c r="D71" i="5"/>
  <c r="D69" i="5"/>
  <c r="F65" i="5"/>
  <c r="D60" i="5"/>
  <c r="D85" i="5" s="1"/>
  <c r="D86" i="5" s="1"/>
  <c r="E51" i="5"/>
  <c r="F51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A45" i="5"/>
  <c r="C45" i="5" s="1"/>
  <c r="E41" i="5"/>
  <c r="D41" i="5"/>
  <c r="C41" i="5"/>
  <c r="B41" i="5"/>
  <c r="A41" i="5"/>
  <c r="A50" i="5" s="1"/>
  <c r="C50" i="5" s="1"/>
  <c r="E40" i="5"/>
  <c r="D40" i="5"/>
  <c r="B40" i="5"/>
  <c r="A40" i="5"/>
  <c r="C40" i="5" s="1"/>
  <c r="E39" i="5"/>
  <c r="F39" i="5" s="1"/>
  <c r="D39" i="5"/>
  <c r="B39" i="5"/>
  <c r="A39" i="5"/>
  <c r="C39" i="5" s="1"/>
  <c r="E38" i="5"/>
  <c r="D38" i="5"/>
  <c r="B38" i="5"/>
  <c r="A38" i="5"/>
  <c r="C38" i="5" s="1"/>
  <c r="E37" i="5"/>
  <c r="D37" i="5"/>
  <c r="C37" i="5"/>
  <c r="B37" i="5"/>
  <c r="A37" i="5"/>
  <c r="A46" i="5" s="1"/>
  <c r="C46" i="5" s="1"/>
  <c r="E36" i="5"/>
  <c r="D36" i="5"/>
  <c r="B36" i="5"/>
  <c r="A36" i="5"/>
  <c r="C36" i="5" s="1"/>
  <c r="A35" i="5"/>
  <c r="A44" i="5" s="1"/>
  <c r="C44" i="5" s="1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E13" i="5"/>
  <c r="D13" i="5"/>
  <c r="C13" i="5"/>
  <c r="B13" i="5"/>
  <c r="C12" i="5"/>
  <c r="C11" i="5"/>
  <c r="C10" i="5"/>
  <c r="C9" i="5"/>
  <c r="F8" i="5"/>
  <c r="C8" i="5"/>
  <c r="H6" i="5"/>
  <c r="F13" i="5" l="1"/>
  <c r="F32" i="7"/>
  <c r="F30" i="7"/>
  <c r="F30" i="6"/>
  <c r="F11" i="6"/>
  <c r="F31" i="5"/>
  <c r="C85" i="7"/>
  <c r="E85" i="7" s="1"/>
  <c r="F50" i="7"/>
  <c r="F40" i="7"/>
  <c r="C41" i="7"/>
  <c r="F38" i="7"/>
  <c r="F41" i="7"/>
  <c r="F29" i="7"/>
  <c r="F28" i="7"/>
  <c r="F27" i="7"/>
  <c r="C35" i="7"/>
  <c r="E51" i="6"/>
  <c r="F51" i="6" s="1"/>
  <c r="F46" i="6"/>
  <c r="F40" i="6"/>
  <c r="F41" i="6"/>
  <c r="F28" i="6"/>
  <c r="F32" i="6"/>
  <c r="F39" i="6"/>
  <c r="C37" i="6"/>
  <c r="F37" i="6"/>
  <c r="F38" i="6"/>
  <c r="F9" i="6"/>
  <c r="A45" i="6"/>
  <c r="C45" i="6" s="1"/>
  <c r="F45" i="6" s="1"/>
  <c r="C35" i="6"/>
  <c r="F35" i="6"/>
  <c r="F17" i="6"/>
  <c r="F8" i="6"/>
  <c r="F46" i="5"/>
  <c r="F40" i="5"/>
  <c r="F38" i="5"/>
  <c r="F41" i="5"/>
  <c r="F28" i="5"/>
  <c r="F32" i="5"/>
  <c r="F30" i="5"/>
  <c r="F45" i="5"/>
  <c r="F37" i="5"/>
  <c r="F9" i="5"/>
  <c r="F10" i="5"/>
  <c r="F11" i="5"/>
  <c r="F12" i="5"/>
  <c r="F17" i="5"/>
  <c r="C35" i="5"/>
  <c r="F35" i="5" s="1"/>
  <c r="F44" i="5"/>
  <c r="F39" i="7"/>
  <c r="F48" i="7"/>
  <c r="F37" i="7"/>
  <c r="D81" i="7"/>
  <c r="A47" i="7"/>
  <c r="C47" i="7" s="1"/>
  <c r="F47" i="7" s="1"/>
  <c r="A49" i="7"/>
  <c r="C49" i="7" s="1"/>
  <c r="F49" i="7" s="1"/>
  <c r="D83" i="7"/>
  <c r="A46" i="7"/>
  <c r="C46" i="7" s="1"/>
  <c r="F46" i="7" s="1"/>
  <c r="A48" i="7"/>
  <c r="C48" i="7" s="1"/>
  <c r="F50" i="6"/>
  <c r="F36" i="6"/>
  <c r="F47" i="6"/>
  <c r="C85" i="6"/>
  <c r="E85" i="6" s="1"/>
  <c r="E73" i="6"/>
  <c r="F44" i="6"/>
  <c r="D81" i="6"/>
  <c r="A49" i="6"/>
  <c r="C49" i="6" s="1"/>
  <c r="F49" i="6" s="1"/>
  <c r="D83" i="6"/>
  <c r="A48" i="6"/>
  <c r="C48" i="6" s="1"/>
  <c r="F48" i="6" s="1"/>
  <c r="F50" i="5"/>
  <c r="F36" i="5"/>
  <c r="F49" i="5"/>
  <c r="D81" i="5"/>
  <c r="A47" i="5"/>
  <c r="C47" i="5" s="1"/>
  <c r="F47" i="5" s="1"/>
  <c r="C73" i="5"/>
  <c r="A49" i="5"/>
  <c r="C49" i="5" s="1"/>
  <c r="D83" i="5"/>
  <c r="A48" i="5"/>
  <c r="C48" i="5" s="1"/>
  <c r="F48" i="5" s="1"/>
  <c r="F54" i="6" l="1"/>
  <c r="C76" i="6" s="1"/>
  <c r="E76" i="6" s="1"/>
  <c r="E36" i="7" s="1"/>
  <c r="F36" i="7" s="1"/>
  <c r="F53" i="6"/>
  <c r="F64" i="6" s="1"/>
  <c r="F54" i="5"/>
  <c r="C76" i="5" s="1"/>
  <c r="E76" i="5" s="1"/>
  <c r="E35" i="7" s="1"/>
  <c r="F35" i="7" s="1"/>
  <c r="F53" i="5"/>
  <c r="H53" i="5" s="1"/>
  <c r="F2" i="5" s="1"/>
  <c r="F56" i="6"/>
  <c r="F56" i="5"/>
  <c r="C85" i="5"/>
  <c r="E85" i="5" s="1"/>
  <c r="E73" i="5"/>
  <c r="F54" i="7" l="1"/>
  <c r="H54" i="7" s="1"/>
  <c r="G2" i="7" s="1"/>
  <c r="H54" i="6"/>
  <c r="G2" i="6" s="1"/>
  <c r="F55" i="6"/>
  <c r="H55" i="6" s="1"/>
  <c r="H53" i="6"/>
  <c r="F2" i="6" s="1"/>
  <c r="C69" i="6"/>
  <c r="E69" i="6" s="1"/>
  <c r="E18" i="7" s="1"/>
  <c r="F18" i="7" s="1"/>
  <c r="H54" i="5"/>
  <c r="G2" i="5" s="1"/>
  <c r="F64" i="5"/>
  <c r="C69" i="5"/>
  <c r="E69" i="5" s="1"/>
  <c r="E17" i="7" s="1"/>
  <c r="F17" i="7" s="1"/>
  <c r="F55" i="5"/>
  <c r="F63" i="5" s="1"/>
  <c r="H56" i="6"/>
  <c r="C74" i="6"/>
  <c r="H56" i="5"/>
  <c r="C74" i="5"/>
  <c r="C76" i="7" l="1"/>
  <c r="E76" i="7" s="1"/>
  <c r="F53" i="7"/>
  <c r="C69" i="7" s="1"/>
  <c r="E69" i="7" s="1"/>
  <c r="F63" i="6"/>
  <c r="C71" i="6" s="1"/>
  <c r="O54" i="6"/>
  <c r="O56" i="6" s="1"/>
  <c r="C81" i="6"/>
  <c r="E81" i="6" s="1"/>
  <c r="O54" i="5"/>
  <c r="O56" i="5" s="1"/>
  <c r="C81" i="5"/>
  <c r="E81" i="5" s="1"/>
  <c r="H55" i="5"/>
  <c r="O55" i="6"/>
  <c r="H58" i="6"/>
  <c r="H59" i="6" s="1"/>
  <c r="O58" i="6" s="1"/>
  <c r="H2" i="6"/>
  <c r="C86" i="6"/>
  <c r="E86" i="6" s="1"/>
  <c r="E74" i="6"/>
  <c r="O55" i="5"/>
  <c r="H2" i="5"/>
  <c r="H58" i="5"/>
  <c r="H59" i="5" s="1"/>
  <c r="O58" i="5" s="1"/>
  <c r="C71" i="5"/>
  <c r="E63" i="5"/>
  <c r="F66" i="5"/>
  <c r="G63" i="5" s="1"/>
  <c r="C86" i="5"/>
  <c r="E86" i="5" s="1"/>
  <c r="E74" i="5"/>
  <c r="F55" i="7" l="1"/>
  <c r="H55" i="7" s="1"/>
  <c r="H53" i="7"/>
  <c r="F2" i="7" s="1"/>
  <c r="C81" i="7"/>
  <c r="E81" i="7" s="1"/>
  <c r="F64" i="7"/>
  <c r="E78" i="6"/>
  <c r="E45" i="7"/>
  <c r="F45" i="7" s="1"/>
  <c r="E78" i="5"/>
  <c r="E44" i="7"/>
  <c r="F44" i="7" s="1"/>
  <c r="F56" i="7" s="1"/>
  <c r="F66" i="6"/>
  <c r="G63" i="6" s="1"/>
  <c r="E63" i="6"/>
  <c r="O57" i="6"/>
  <c r="O59" i="6" s="1"/>
  <c r="O57" i="5"/>
  <c r="O59" i="5" s="1"/>
  <c r="C83" i="6"/>
  <c r="E83" i="6" s="1"/>
  <c r="E71" i="6"/>
  <c r="G66" i="5"/>
  <c r="G12" i="5"/>
  <c r="G23" i="5"/>
  <c r="G13" i="5"/>
  <c r="G11" i="5"/>
  <c r="G35" i="5"/>
  <c r="G38" i="5"/>
  <c r="G32" i="5"/>
  <c r="G30" i="5"/>
  <c r="G41" i="5"/>
  <c r="G10" i="5"/>
  <c r="G46" i="5"/>
  <c r="G31" i="5"/>
  <c r="G39" i="5"/>
  <c r="G45" i="5"/>
  <c r="G65" i="5"/>
  <c r="G28" i="5"/>
  <c r="G21" i="5"/>
  <c r="G18" i="5"/>
  <c r="G24" i="5"/>
  <c r="G19" i="5"/>
  <c r="G27" i="5"/>
  <c r="G29" i="5"/>
  <c r="G9" i="5"/>
  <c r="G14" i="5"/>
  <c r="G44" i="5"/>
  <c r="G51" i="5"/>
  <c r="G22" i="5"/>
  <c r="G37" i="5"/>
  <c r="G17" i="5"/>
  <c r="G20" i="5"/>
  <c r="G40" i="5"/>
  <c r="G8" i="5"/>
  <c r="G50" i="5"/>
  <c r="G54" i="5"/>
  <c r="G49" i="5"/>
  <c r="G36" i="5"/>
  <c r="G47" i="5"/>
  <c r="G53" i="5"/>
  <c r="G48" i="5"/>
  <c r="G55" i="5"/>
  <c r="G64" i="5"/>
  <c r="G56" i="5"/>
  <c r="C83" i="5"/>
  <c r="E83" i="5" s="1"/>
  <c r="E71" i="5"/>
  <c r="F63" i="7" l="1"/>
  <c r="O54" i="7"/>
  <c r="O56" i="7" s="1"/>
  <c r="H56" i="7"/>
  <c r="C74" i="7"/>
  <c r="G36" i="6"/>
  <c r="G27" i="6"/>
  <c r="G11" i="6"/>
  <c r="G9" i="6"/>
  <c r="G45" i="6"/>
  <c r="G22" i="6"/>
  <c r="G66" i="6"/>
  <c r="G37" i="6"/>
  <c r="G39" i="6"/>
  <c r="G48" i="6"/>
  <c r="G53" i="6"/>
  <c r="G8" i="6"/>
  <c r="G55" i="6"/>
  <c r="G29" i="6"/>
  <c r="G12" i="6"/>
  <c r="G31" i="6"/>
  <c r="G20" i="6"/>
  <c r="G38" i="6"/>
  <c r="G32" i="6"/>
  <c r="G28" i="6"/>
  <c r="G64" i="6"/>
  <c r="G24" i="6"/>
  <c r="G47" i="6"/>
  <c r="G54" i="6"/>
  <c r="G41" i="6"/>
  <c r="G30" i="6"/>
  <c r="G51" i="6"/>
  <c r="G56" i="6"/>
  <c r="G13" i="6"/>
  <c r="G19" i="6"/>
  <c r="G10" i="6"/>
  <c r="G46" i="6"/>
  <c r="G23" i="6"/>
  <c r="G50" i="6"/>
  <c r="G17" i="6"/>
  <c r="G40" i="6"/>
  <c r="G65" i="6"/>
  <c r="G44" i="6"/>
  <c r="G14" i="6"/>
  <c r="G21" i="6"/>
  <c r="G49" i="6"/>
  <c r="G35" i="6"/>
  <c r="G18" i="6"/>
  <c r="O60" i="6"/>
  <c r="O61" i="6" s="1"/>
  <c r="O62" i="6" s="1"/>
  <c r="E2" i="6" s="1"/>
  <c r="O60" i="5"/>
  <c r="O61" i="5" s="1"/>
  <c r="O62" i="5" s="1"/>
  <c r="C71" i="7" l="1"/>
  <c r="F66" i="7"/>
  <c r="E63" i="7"/>
  <c r="O55" i="7"/>
  <c r="O57" i="7" s="1"/>
  <c r="H2" i="7"/>
  <c r="H58" i="7"/>
  <c r="H59" i="7" s="1"/>
  <c r="O58" i="7" s="1"/>
  <c r="C86" i="7"/>
  <c r="E86" i="7" s="1"/>
  <c r="E74" i="7"/>
  <c r="E78" i="7" s="1"/>
  <c r="P62" i="6"/>
  <c r="E2" i="5"/>
  <c r="P62" i="5"/>
  <c r="G63" i="7" l="1"/>
  <c r="G54" i="7"/>
  <c r="G19" i="7"/>
  <c r="G32" i="7"/>
  <c r="G8" i="7"/>
  <c r="G64" i="7"/>
  <c r="G45" i="7"/>
  <c r="G56" i="7"/>
  <c r="G22" i="7"/>
  <c r="G24" i="7"/>
  <c r="G50" i="7"/>
  <c r="G37" i="7"/>
  <c r="G49" i="7"/>
  <c r="G38" i="7"/>
  <c r="G9" i="7"/>
  <c r="G36" i="7"/>
  <c r="G28" i="7"/>
  <c r="G65" i="7"/>
  <c r="G29" i="7"/>
  <c r="G35" i="7"/>
  <c r="G51" i="7"/>
  <c r="G13" i="7"/>
  <c r="G46" i="7"/>
  <c r="G10" i="7"/>
  <c r="G55" i="7"/>
  <c r="G30" i="7"/>
  <c r="G41" i="7"/>
  <c r="G39" i="7"/>
  <c r="G11" i="7"/>
  <c r="G27" i="7"/>
  <c r="G20" i="7"/>
  <c r="G17" i="7"/>
  <c r="G44" i="7"/>
  <c r="G40" i="7"/>
  <c r="G18" i="7"/>
  <c r="G48" i="7"/>
  <c r="G53" i="7"/>
  <c r="G12" i="7"/>
  <c r="G47" i="7"/>
  <c r="G21" i="7"/>
  <c r="G66" i="7"/>
  <c r="G31" i="7"/>
  <c r="G23" i="7"/>
  <c r="G14" i="7"/>
  <c r="C83" i="7"/>
  <c r="E83" i="7" s="1"/>
  <c r="E71" i="7"/>
  <c r="O59" i="7"/>
  <c r="O60" i="7" s="1"/>
  <c r="O61" i="7" s="1"/>
  <c r="O62" i="7" s="1"/>
  <c r="E2" i="7" l="1"/>
  <c r="P62" i="7"/>
</calcChain>
</file>

<file path=xl/sharedStrings.xml><?xml version="1.0" encoding="utf-8"?>
<sst xmlns="http://schemas.openxmlformats.org/spreadsheetml/2006/main" count="394" uniqueCount="132">
  <si>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</si>
  <si>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</si>
  <si>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</si>
  <si>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</si>
  <si>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</si>
  <si>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</si>
  <si>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</si>
  <si>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</si>
  <si>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</si>
  <si>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</si>
  <si>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</si>
  <si>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</si>
  <si>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</si>
  <si>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</si>
  <si>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FAS</t>
  </si>
  <si>
    <t>MP10019</t>
  </si>
  <si>
    <t>SE00104</t>
  </si>
  <si>
    <t>MP10034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</si>
  <si>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</si>
  <si>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</si>
  <si>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</si>
  <si>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</si>
  <si>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</si>
  <si>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</si>
  <si>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</si>
  <si>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</si>
  <si>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</si>
  <si>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</si>
  <si>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</si>
  <si>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</si>
  <si>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</si>
  <si>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</si>
  <si>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</si>
  <si>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</si>
  <si>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</si>
  <si>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Javier Tong, Chef</t>
  </si>
  <si>
    <t>Cocina</t>
  </si>
  <si>
    <t># Código Netsuite</t>
  </si>
  <si>
    <t>Empaque</t>
  </si>
  <si>
    <t>Tiempo de Horneo:</t>
  </si>
  <si>
    <t>CONTROL DE CAMBIOS</t>
  </si>
  <si>
    <t>Sal Empacada Planta</t>
  </si>
  <si>
    <t>MP10244</t>
  </si>
  <si>
    <t>Mano Piedra</t>
  </si>
  <si>
    <t>Pasta Ajo</t>
  </si>
  <si>
    <t>MP10038</t>
  </si>
  <si>
    <t>Pimienta Negra Molida</t>
  </si>
  <si>
    <t>Paprika</t>
  </si>
  <si>
    <t>MP10266</t>
  </si>
  <si>
    <t>Oregano</t>
  </si>
  <si>
    <t>MP10287</t>
  </si>
  <si>
    <t>Pasta Tomate</t>
  </si>
  <si>
    <t>SE00390</t>
  </si>
  <si>
    <t>Mayo Mostaza French</t>
  </si>
  <si>
    <t>SE00014</t>
  </si>
  <si>
    <t>Empaque Almidon Modificado</t>
  </si>
  <si>
    <t>MP10025</t>
  </si>
  <si>
    <t>Preservante 1017S</t>
  </si>
  <si>
    <t>EM10045</t>
  </si>
  <si>
    <t>BOLSA TRANSPARENTE 6X6X4</t>
  </si>
  <si>
    <t>CEMUSA</t>
  </si>
  <si>
    <t>EM10002</t>
  </si>
  <si>
    <t>ETIQ.BLANCA 1 1/4 * 3/4</t>
  </si>
  <si>
    <t>ETIPLAST</t>
  </si>
  <si>
    <t>EM10004</t>
  </si>
  <si>
    <t>ETIQ.FECHA VENCIMIENTO BLANCO</t>
  </si>
  <si>
    <t>SALSA MANO DE PIEDRA</t>
  </si>
  <si>
    <t>MANO DE PIEDRA COCCION</t>
  </si>
  <si>
    <t>2.-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</si>
  <si>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</si>
  <si>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</si>
  <si>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</si>
  <si>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</si>
  <si>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</si>
  <si>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</si>
  <si>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</si>
  <si>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</si>
  <si>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</si>
  <si>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</si>
  <si>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</si>
  <si>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</si>
  <si>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</si>
  <si>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</si>
  <si>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</si>
  <si>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</si>
  <si>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</si>
  <si>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</si>
  <si>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</si>
  <si>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</si>
  <si>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</si>
  <si>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</si>
  <si>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</si>
  <si>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</si>
  <si>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</si>
  <si>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</si>
  <si>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</si>
  <si>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</si>
  <si>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</si>
  <si>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</si>
  <si>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</si>
  <si>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</si>
  <si>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</si>
  <si>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</si>
  <si>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</si>
  <si>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</si>
  <si>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</si>
  <si>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</si>
  <si>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</si>
  <si>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</si>
  <si>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</si>
  <si>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</si>
  <si>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</si>
  <si>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</si>
  <si>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</si>
  <si>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</si>
  <si>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</si>
  <si>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</si>
  <si>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</si>
  <si>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</si>
  <si>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</si>
  <si>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</si>
  <si>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</si>
  <si>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401000002</t>
  </si>
  <si>
    <t>0702069</t>
  </si>
  <si>
    <t>0702007</t>
  </si>
  <si>
    <t>SE00725</t>
  </si>
  <si>
    <t>SE00726</t>
  </si>
  <si>
    <t xml:space="preserve">PTL00249 - 20100200 Empaque Mano de piedra </t>
  </si>
  <si>
    <t>ESP-RE-EMPS-079</t>
  </si>
  <si>
    <t>Revision #2: Se aumenta la cantidad de salsa</t>
  </si>
  <si>
    <t>1.- Empacar 150g de mano de piedra con 100g de salsa en la bolsa 6x6x4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</si>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</sst>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6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name val="Times New Roman"/>
      <family val="1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72">
    <xf numFmtId="0" fontId="0" fillId="0" borderId="0" xfId="0"/>
    <xf numFmtId="0" fontId="5" fillId="0" borderId="16" xfId="0" applyFont="1" applyBorder="1" applyAlignment="1">
      <alignment horizontal="center"/>
    </xf>
    <xf numFmtId="0" fontId="3" fillId="2" borderId="17" xfId="4" applyFont="1" applyFill="1" applyBorder="1" applyAlignment="1">
      <alignment horizontal="right"/>
    </xf>
    <xf numFmtId="0" fontId="3" fillId="2" borderId="13" xfId="4" applyFont="1" applyFill="1" applyBorder="1" applyAlignment="1">
      <alignment horizontal="right"/>
    </xf>
    <xf numFmtId="49" fontId="1" fillId="2" borderId="12" xfId="4" applyNumberFormat="1" applyFont="1" applyFill="1" applyBorder="1" applyAlignment="1">
      <alignment horizontal="center"/>
    </xf>
    <xf numFmtId="0" fontId="1" fillId="2" borderId="9" xfId="4" applyFont="1" applyFill="1" applyBorder="1" applyAlignment="1">
      <alignment horizontal="right"/>
    </xf>
    <xf numFmtId="0" fontId="1" fillId="2" borderId="13" xfId="4" applyFont="1" applyFill="1" applyBorder="1" applyAlignment="1">
      <alignment horizontal="right"/>
    </xf>
    <xf numFmtId="0" fontId="3" fillId="3" borderId="16" xfId="3" applyFont="1" applyFill="1" applyBorder="1" applyAlignment="1">
      <alignment horizontal="center" vertical="center" wrapText="1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0" fontId="10" fillId="7" borderId="0" xfId="0" applyFont="1" applyFill="1" applyAlignment="1">
      <alignment vertical="center"/>
    </xf>
    <xf numFmtId="0" fontId="8" fillId="8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8" fillId="0" borderId="13" xfId="7" applyFont="1" applyFill="1" applyBorder="1" applyAlignment="1">
      <alignment horizontal="center" vertical="center"/>
    </xf>
    <xf numFmtId="43" fontId="8" fillId="0" borderId="0" xfId="7" applyFont="1" applyFill="1" applyBorder="1" applyAlignment="1">
      <alignment horizontal="center" vertical="center"/>
    </xf>
    <xf numFmtId="43" fontId="12" fillId="0" borderId="0" xfId="7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8" fillId="9" borderId="44" xfId="0" applyFont="1" applyFill="1" applyBorder="1" applyAlignment="1">
      <alignment horizontal="center" vertical="center"/>
    </xf>
    <xf numFmtId="0" fontId="8" fillId="9" borderId="45" xfId="0" applyFont="1" applyFill="1" applyBorder="1" applyAlignment="1">
      <alignment horizontal="center" vertical="center"/>
    </xf>
    <xf numFmtId="0" fontId="8" fillId="9" borderId="45" xfId="0" applyFont="1" applyFill="1" applyBorder="1" applyAlignment="1">
      <alignment horizontal="center" vertical="center" wrapText="1"/>
    </xf>
    <xf numFmtId="0" fontId="8" fillId="9" borderId="4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8" applyNumberFormat="1" applyFont="1" applyFill="1" applyAlignment="1">
      <alignment horizontal="center" vertical="center"/>
    </xf>
    <xf numFmtId="4" fontId="8" fillId="0" borderId="0" xfId="8" applyNumberFormat="1" applyFont="1" applyFill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11" fillId="0" borderId="0" xfId="2" applyNumberFormat="1" applyFont="1" applyFill="1" applyAlignment="1">
      <alignment vertic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7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7" applyNumberFormat="1" applyFont="1" applyFill="1" applyAlignment="1">
      <alignment vertical="center"/>
    </xf>
    <xf numFmtId="43" fontId="18" fillId="0" borderId="0" xfId="7" applyFont="1" applyFill="1" applyAlignment="1">
      <alignment horizontal="center" vertical="center"/>
    </xf>
    <xf numFmtId="10" fontId="11" fillId="9" borderId="47" xfId="2" applyNumberFormat="1" applyFont="1" applyFill="1" applyBorder="1" applyAlignment="1">
      <alignment vertical="center"/>
    </xf>
    <xf numFmtId="0" fontId="10" fillId="9" borderId="40" xfId="0" applyFont="1" applyFill="1" applyBorder="1" applyAlignment="1">
      <alignment vertical="center"/>
    </xf>
    <xf numFmtId="0" fontId="10" fillId="9" borderId="47" xfId="0" applyFont="1" applyFill="1" applyBorder="1" applyAlignment="1">
      <alignment vertical="center"/>
    </xf>
    <xf numFmtId="43" fontId="18" fillId="9" borderId="48" xfId="7" applyFont="1" applyFill="1" applyBorder="1" applyAlignment="1">
      <alignment horizontal="center" vertical="center"/>
    </xf>
    <xf numFmtId="43" fontId="20" fillId="0" borderId="0" xfId="7" applyFont="1" applyFill="1" applyBorder="1" applyAlignment="1">
      <alignment horizontal="right"/>
    </xf>
    <xf numFmtId="0" fontId="10" fillId="9" borderId="48" xfId="0" applyFont="1" applyFill="1" applyBorder="1" applyAlignment="1">
      <alignment vertical="center"/>
    </xf>
    <xf numFmtId="10" fontId="11" fillId="9" borderId="48" xfId="2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2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7" applyNumberFormat="1" applyFont="1" applyFill="1" applyAlignment="1">
      <alignment vertical="center"/>
    </xf>
    <xf numFmtId="4" fontId="18" fillId="0" borderId="0" xfId="8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20" xfId="0" applyFont="1" applyBorder="1" applyAlignment="1">
      <alignment horizontal="right"/>
    </xf>
    <xf numFmtId="43" fontId="24" fillId="4" borderId="49" xfId="7" applyFont="1" applyFill="1" applyBorder="1" applyAlignment="1">
      <alignment horizontal="right"/>
    </xf>
    <xf numFmtId="43" fontId="24" fillId="0" borderId="0" xfId="7" applyFont="1" applyFill="1" applyBorder="1" applyAlignment="1">
      <alignment horizontal="right"/>
    </xf>
    <xf numFmtId="43" fontId="8" fillId="0" borderId="13" xfId="7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8" applyNumberFormat="1" applyFont="1" applyFill="1" applyAlignment="1">
      <alignment horizontal="center" vertical="center"/>
    </xf>
    <xf numFmtId="10" fontId="26" fillId="0" borderId="0" xfId="2" applyNumberFormat="1" applyFont="1" applyFill="1" applyAlignment="1">
      <alignment horizontal="right"/>
    </xf>
    <xf numFmtId="168" fontId="8" fillId="9" borderId="13" xfId="7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8" fillId="10" borderId="13" xfId="7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1" fillId="9" borderId="50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7" applyNumberFormat="1" applyFont="1" applyFill="1" applyBorder="1" applyAlignment="1">
      <alignment horizontal="center"/>
    </xf>
    <xf numFmtId="2" fontId="23" fillId="0" borderId="0" xfId="7" applyNumberFormat="1" applyFont="1" applyFill="1" applyBorder="1" applyAlignment="1">
      <alignment horizontal="center"/>
    </xf>
    <xf numFmtId="0" fontId="10" fillId="9" borderId="50" xfId="0" applyFont="1" applyFill="1" applyBorder="1" applyAlignment="1">
      <alignment vertical="center"/>
    </xf>
    <xf numFmtId="10" fontId="10" fillId="0" borderId="0" xfId="2" applyNumberFormat="1" applyFont="1" applyFill="1" applyAlignment="1">
      <alignment vertical="center"/>
    </xf>
    <xf numFmtId="4" fontId="10" fillId="0" borderId="0" xfId="7" applyNumberFormat="1" applyFont="1" applyFill="1" applyAlignment="1">
      <alignment vertical="center"/>
    </xf>
    <xf numFmtId="43" fontId="24" fillId="9" borderId="40" xfId="7" applyFont="1" applyFill="1" applyBorder="1" applyAlignment="1">
      <alignment horizontal="right"/>
    </xf>
    <xf numFmtId="0" fontId="8" fillId="9" borderId="41" xfId="0" applyFont="1" applyFill="1" applyBorder="1" applyAlignment="1">
      <alignment horizontal="right" vertical="center"/>
    </xf>
    <xf numFmtId="10" fontId="30" fillId="0" borderId="0" xfId="7" applyNumberFormat="1" applyFont="1" applyFill="1" applyAlignment="1">
      <alignment vertical="center"/>
    </xf>
    <xf numFmtId="10" fontId="11" fillId="0" borderId="0" xfId="2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10" fillId="7" borderId="49" xfId="0" applyFont="1" applyFill="1" applyBorder="1" applyAlignment="1">
      <alignment horizontal="center" vertical="center"/>
    </xf>
    <xf numFmtId="43" fontId="32" fillId="0" borderId="0" xfId="7" applyFont="1" applyFill="1" applyAlignment="1">
      <alignment vertical="center"/>
    </xf>
    <xf numFmtId="4" fontId="33" fillId="0" borderId="0" xfId="8" applyNumberFormat="1" applyFont="1" applyFill="1" applyAlignment="1">
      <alignment horizontal="center" vertical="center" wrapText="1"/>
    </xf>
    <xf numFmtId="9" fontId="10" fillId="0" borderId="0" xfId="7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7" applyNumberFormat="1" applyFont="1" applyFill="1" applyAlignment="1">
      <alignment vertical="center"/>
    </xf>
    <xf numFmtId="4" fontId="8" fillId="12" borderId="49" xfId="7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7" applyFont="1" applyFill="1" applyAlignment="1">
      <alignment vertical="center"/>
    </xf>
    <xf numFmtId="9" fontId="34" fillId="0" borderId="0" xfId="7" applyNumberFormat="1" applyFont="1" applyFill="1" applyAlignment="1">
      <alignment vertical="center"/>
    </xf>
    <xf numFmtId="4" fontId="8" fillId="0" borderId="0" xfId="7" applyNumberFormat="1" applyFont="1" applyFill="1" applyAlignment="1">
      <alignment horizontal="center" vertical="center"/>
    </xf>
    <xf numFmtId="10" fontId="27" fillId="0" borderId="0" xfId="2" applyNumberFormat="1" applyFont="1" applyFill="1" applyAlignment="1">
      <alignment vertical="center"/>
    </xf>
    <xf numFmtId="43" fontId="27" fillId="0" borderId="0" xfId="7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7" applyFont="1" applyFill="1" applyBorder="1"/>
    <xf numFmtId="10" fontId="27" fillId="0" borderId="0" xfId="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10" fillId="0" borderId="0" xfId="7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8" fillId="0" borderId="0" xfId="0" applyFont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right" vertical="center" wrapText="1"/>
    </xf>
    <xf numFmtId="0" fontId="27" fillId="0" borderId="13" xfId="0" applyFont="1" applyBorder="1" applyAlignment="1">
      <alignment horizontal="right" vertical="center"/>
    </xf>
    <xf numFmtId="0" fontId="28" fillId="0" borderId="21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20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9" fillId="0" borderId="35" xfId="0" applyFont="1" applyBorder="1" applyAlignment="1">
      <alignment horizontal="right"/>
    </xf>
    <xf numFmtId="0" fontId="19" fillId="0" borderId="34" xfId="0" applyFont="1" applyBorder="1" applyAlignment="1">
      <alignment horizontal="right"/>
    </xf>
    <xf numFmtId="0" fontId="10" fillId="0" borderId="13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5" fillId="0" borderId="39" xfId="0" applyFont="1" applyBorder="1" applyAlignment="1">
      <alignment horizontal="right" vertical="center"/>
    </xf>
    <xf numFmtId="0" fontId="35" fillId="0" borderId="40" xfId="0" applyFont="1" applyBorder="1" applyAlignment="1">
      <alignment horizontal="right" vertical="center"/>
    </xf>
    <xf numFmtId="0" fontId="35" fillId="0" borderId="4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28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9" borderId="39" xfId="0" applyFont="1" applyFill="1" applyBorder="1" applyAlignment="1">
      <alignment horizontal="right"/>
    </xf>
    <xf numFmtId="0" fontId="24" fillId="9" borderId="40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0" fontId="8" fillId="0" borderId="51" xfId="0" applyFont="1" applyBorder="1" applyAlignment="1">
      <alignment horizontal="right" vertical="center"/>
    </xf>
    <xf numFmtId="0" fontId="8" fillId="11" borderId="39" xfId="0" applyFont="1" applyFill="1" applyBorder="1" applyAlignment="1">
      <alignment horizontal="right" vertical="center"/>
    </xf>
    <xf numFmtId="0" fontId="8" fillId="11" borderId="40" xfId="0" applyFont="1" applyFill="1" applyBorder="1" applyAlignment="1">
      <alignment horizontal="right" vertical="center"/>
    </xf>
    <xf numFmtId="0" fontId="8" fillId="11" borderId="41" xfId="0" applyFont="1" applyFill="1" applyBorder="1" applyAlignment="1">
      <alignment horizontal="right" vertical="center"/>
    </xf>
    <xf numFmtId="4" fontId="33" fillId="0" borderId="0" xfId="8" applyNumberFormat="1" applyFont="1" applyFill="1" applyAlignment="1">
      <alignment horizontal="center" vertical="center" wrapText="1"/>
    </xf>
    <xf numFmtId="0" fontId="7" fillId="2" borderId="0" xfId="4" applyFont="1" applyFill="1" applyAlignment="1">
      <alignment horizontal="right"/>
    </xf>
    <xf numFmtId="0" fontId="7" fillId="2" borderId="0" xfId="4" applyFont="1" applyFill="1"/>
    <xf numFmtId="0" fontId="3" fillId="3" borderId="19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19" xfId="3" applyFont="1" applyFill="1" applyBorder="1" applyAlignment="1">
      <alignment horizontal="center" vertical="center" wrapText="1"/>
    </xf>
    <xf numFmtId="0" fontId="3" fillId="3" borderId="17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14" fontId="1" fillId="2" borderId="30" xfId="4" applyNumberFormat="1" applyFont="1" applyFill="1" applyBorder="1" applyAlignment="1">
      <alignment horizontal="center" vertical="center" wrapText="1"/>
    </xf>
    <xf numFmtId="14" fontId="1" fillId="2" borderId="32" xfId="4" applyNumberFormat="1" applyFont="1" applyFill="1" applyBorder="1" applyAlignment="1">
      <alignment horizontal="center" vertical="center" wrapText="1"/>
    </xf>
    <xf numFmtId="14" fontId="1" fillId="2" borderId="8" xfId="4" applyNumberFormat="1" applyFont="1" applyFill="1" applyBorder="1" applyAlignment="1">
      <alignment horizontal="center" vertical="center" wrapText="1"/>
    </xf>
    <xf numFmtId="0" fontId="1" fillId="2" borderId="26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18" xfId="4" applyFont="1" applyFill="1" applyBorder="1" applyAlignment="1">
      <alignment horizontal="left"/>
    </xf>
    <xf numFmtId="0" fontId="1" fillId="2" borderId="23" xfId="4" applyFont="1" applyFill="1" applyBorder="1" applyAlignment="1">
      <alignment horizontal="left"/>
    </xf>
    <xf numFmtId="0" fontId="1" fillId="2" borderId="6" xfId="4" applyFont="1" applyFill="1" applyBorder="1" applyAlignment="1">
      <alignment horizontal="left"/>
    </xf>
    <xf numFmtId="0" fontId="1" fillId="2" borderId="14" xfId="4" applyFont="1" applyFill="1" applyBorder="1" applyAlignment="1">
      <alignment horizontal="left"/>
    </xf>
    <xf numFmtId="0" fontId="1" fillId="2" borderId="35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37" xfId="4" applyFont="1" applyFill="1" applyBorder="1" applyAlignment="1">
      <alignment horizontal="center"/>
    </xf>
    <xf numFmtId="0" fontId="1" fillId="2" borderId="38" xfId="4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/>
    </xf>
    <xf numFmtId="0" fontId="6" fillId="2" borderId="22" xfId="4" applyFont="1" applyFill="1" applyBorder="1" applyAlignment="1">
      <alignment horizontal="center"/>
    </xf>
    <xf numFmtId="0" fontId="6" fillId="2" borderId="36" xfId="4" applyFont="1" applyFill="1" applyBorder="1" applyAlignment="1">
      <alignment horizontal="center"/>
    </xf>
    <xf numFmtId="0" fontId="6" fillId="2" borderId="3" xfId="4" applyFont="1" applyFill="1" applyBorder="1" applyAlignment="1">
      <alignment horizontal="center"/>
    </xf>
    <xf numFmtId="0" fontId="3" fillId="2" borderId="29" xfId="4" applyFont="1" applyFill="1" applyBorder="1" applyAlignment="1">
      <alignment horizontal="right" vertical="top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1" xfId="4" applyFont="1" applyFill="1" applyBorder="1" applyAlignment="1">
      <alignment horizontal="right" vertical="top" wrapText="1"/>
    </xf>
    <xf numFmtId="0" fontId="38" fillId="0" borderId="15" xfId="3" applyFont="1" applyBorder="1" applyAlignment="1">
      <alignment horizontal="center" vertical="center"/>
    </xf>
    <xf numFmtId="0" fontId="38" fillId="0" borderId="13" xfId="3" applyFont="1" applyBorder="1" applyAlignment="1">
      <alignment horizontal="center" vertical="center"/>
    </xf>
    <xf numFmtId="1" fontId="38" fillId="0" borderId="13" xfId="3" applyNumberFormat="1" applyFont="1" applyBorder="1" applyAlignment="1">
      <alignment horizontal="center"/>
    </xf>
    <xf numFmtId="1" fontId="38" fillId="0" borderId="13" xfId="3" applyNumberFormat="1" applyFont="1" applyBorder="1" applyAlignment="1">
      <alignment horizontal="center" wrapText="1"/>
    </xf>
    <xf numFmtId="0" fontId="40" fillId="0" borderId="12" xfId="3" applyFont="1" applyBorder="1" applyAlignment="1">
      <alignment horizontal="center"/>
    </xf>
    <xf numFmtId="1" fontId="39" fillId="0" borderId="13" xfId="0" applyNumberFormat="1" applyFont="1" applyBorder="1"/>
    <xf numFmtId="0" fontId="40" fillId="0" borderId="13" xfId="0" applyFont="1" applyBorder="1" applyAlignment="1">
      <alignment horizontal="center" vertical="center"/>
    </xf>
    <xf numFmtId="1" fontId="40" fillId="0" borderId="13" xfId="0" applyNumberFormat="1" applyFont="1" applyBorder="1" applyAlignment="1">
      <alignment horizontal="center" vertical="center"/>
    </xf>
    <xf numFmtId="1" fontId="40" fillId="0" borderId="13" xfId="0" applyNumberFormat="1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wrapText="1"/>
    </xf>
    <xf numFmtId="12" fontId="40" fillId="0" borderId="9" xfId="0" applyNumberFormat="1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41" fillId="6" borderId="13" xfId="0" applyFont="1" applyFill="1" applyBorder="1" applyAlignment="1">
      <alignment vertical="center"/>
    </xf>
    <xf numFmtId="0" fontId="38" fillId="0" borderId="14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3" xfId="0" applyFont="1" applyBorder="1" applyAlignment="1">
      <alignment horizontal="center" wrapText="1"/>
    </xf>
    <xf numFmtId="0" fontId="40" fillId="0" borderId="13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38" fillId="0" borderId="13" xfId="0" applyFont="1" applyBorder="1"/>
    <xf numFmtId="0" fontId="40" fillId="0" borderId="13" xfId="0" applyFont="1" applyBorder="1" applyAlignment="1">
      <alignment horizontal="center" wrapText="1"/>
    </xf>
    <xf numFmtId="0" fontId="42" fillId="0" borderId="15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13" xfId="0" applyFont="1" applyBorder="1"/>
    <xf numFmtId="0" fontId="43" fillId="0" borderId="13" xfId="0" applyFont="1" applyBorder="1" applyAlignment="1">
      <alignment horizontal="center" vertical="center"/>
    </xf>
    <xf numFmtId="0" fontId="40" fillId="0" borderId="13" xfId="0" quotePrefix="1" applyFont="1" applyBorder="1" applyAlignment="1">
      <alignment horizontal="center"/>
    </xf>
    <xf numFmtId="0" fontId="40" fillId="0" borderId="13" xfId="0" quotePrefix="1" applyFont="1" applyBorder="1"/>
    <xf numFmtId="1" fontId="40" fillId="0" borderId="13" xfId="0" applyNumberFormat="1" applyFont="1" applyBorder="1" applyAlignment="1">
      <alignment horizontal="center" wrapText="1"/>
    </xf>
    <xf numFmtId="1" fontId="40" fillId="0" borderId="13" xfId="3" applyNumberFormat="1" applyFont="1" applyBorder="1" applyAlignment="1">
      <alignment horizontal="center"/>
    </xf>
    <xf numFmtId="49" fontId="43" fillId="2" borderId="21" xfId="3" applyNumberFormat="1" applyFont="1" applyFill="1" applyBorder="1" applyAlignment="1">
      <alignment horizontal="center" vertical="center"/>
    </xf>
    <xf numFmtId="49" fontId="43" fillId="2" borderId="0" xfId="3" applyNumberFormat="1" applyFont="1" applyFill="1" applyAlignment="1">
      <alignment horizontal="center" vertical="center"/>
    </xf>
    <xf numFmtId="0" fontId="40" fillId="2" borderId="0" xfId="3" applyFont="1" applyFill="1"/>
    <xf numFmtId="1" fontId="40" fillId="2" borderId="0" xfId="3" applyNumberFormat="1" applyFont="1" applyFill="1" applyAlignment="1">
      <alignment horizontal="center"/>
    </xf>
    <xf numFmtId="164" fontId="40" fillId="2" borderId="0" xfId="3" applyNumberFormat="1" applyFont="1" applyFill="1" applyAlignment="1">
      <alignment horizontal="center" wrapText="1"/>
    </xf>
    <xf numFmtId="0" fontId="40" fillId="2" borderId="20" xfId="3" applyFont="1" applyFill="1" applyBorder="1" applyAlignment="1">
      <alignment horizontal="center"/>
    </xf>
    <xf numFmtId="0" fontId="40" fillId="3" borderId="39" xfId="3" applyFont="1" applyFill="1" applyBorder="1" applyAlignment="1">
      <alignment horizontal="center"/>
    </xf>
    <xf numFmtId="0" fontId="40" fillId="3" borderId="40" xfId="3" applyFont="1" applyFill="1" applyBorder="1" applyAlignment="1">
      <alignment horizontal="center"/>
    </xf>
    <xf numFmtId="0" fontId="40" fillId="3" borderId="40" xfId="3" applyFont="1" applyFill="1" applyBorder="1"/>
    <xf numFmtId="0" fontId="38" fillId="3" borderId="40" xfId="3" applyFont="1" applyFill="1" applyBorder="1" applyAlignment="1">
      <alignment horizontal="center"/>
    </xf>
    <xf numFmtId="1" fontId="38" fillId="3" borderId="40" xfId="3" applyNumberFormat="1" applyFont="1" applyFill="1" applyBorder="1" applyAlignment="1">
      <alignment horizontal="center"/>
    </xf>
    <xf numFmtId="164" fontId="40" fillId="3" borderId="40" xfId="3" applyNumberFormat="1" applyFont="1" applyFill="1" applyBorder="1" applyAlignment="1">
      <alignment horizontal="center" wrapText="1"/>
    </xf>
    <xf numFmtId="0" fontId="40" fillId="3" borderId="41" xfId="3" applyFont="1" applyFill="1" applyBorder="1" applyAlignment="1">
      <alignment horizontal="center"/>
    </xf>
    <xf numFmtId="0" fontId="38" fillId="0" borderId="37" xfId="3" applyFont="1" applyBorder="1" applyAlignment="1">
      <alignment horizontal="right"/>
    </xf>
    <xf numFmtId="0" fontId="38" fillId="0" borderId="38" xfId="3" applyFont="1" applyBorder="1" applyAlignment="1">
      <alignment horizontal="right"/>
    </xf>
    <xf numFmtId="0" fontId="38" fillId="0" borderId="10" xfId="3" applyFont="1" applyBorder="1" applyAlignment="1">
      <alignment horizontal="right"/>
    </xf>
    <xf numFmtId="1" fontId="40" fillId="0" borderId="9" xfId="0" applyNumberFormat="1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164" fontId="40" fillId="0" borderId="9" xfId="3" applyNumberFormat="1" applyFont="1" applyBorder="1" applyAlignment="1">
      <alignment horizontal="right"/>
    </xf>
    <xf numFmtId="0" fontId="40" fillId="2" borderId="42" xfId="3" applyFont="1" applyFill="1" applyBorder="1" applyAlignment="1">
      <alignment horizontal="center"/>
    </xf>
    <xf numFmtId="0" fontId="40" fillId="2" borderId="43" xfId="3" applyFont="1" applyFill="1" applyBorder="1" applyAlignment="1">
      <alignment horizontal="center"/>
    </xf>
    <xf numFmtId="0" fontId="38" fillId="0" borderId="7" xfId="3" applyFont="1" applyBorder="1" applyAlignment="1">
      <alignment horizontal="right"/>
    </xf>
    <xf numFmtId="0" fontId="38" fillId="0" borderId="6" xfId="3" applyFont="1" applyBorder="1" applyAlignment="1">
      <alignment horizontal="right"/>
    </xf>
    <xf numFmtId="0" fontId="38" fillId="0" borderId="14" xfId="3" applyFont="1" applyBorder="1" applyAlignment="1">
      <alignment horizontal="right"/>
    </xf>
    <xf numFmtId="1" fontId="40" fillId="0" borderId="13" xfId="0" applyNumberFormat="1" applyFont="1" applyBorder="1" applyAlignment="1">
      <alignment horizontal="center"/>
    </xf>
    <xf numFmtId="0" fontId="40" fillId="0" borderId="13" xfId="3" applyFont="1" applyBorder="1" applyAlignment="1">
      <alignment horizontal="right"/>
    </xf>
    <xf numFmtId="164" fontId="40" fillId="0" borderId="23" xfId="3" applyNumberFormat="1" applyFont="1" applyBorder="1" applyAlignment="1">
      <alignment horizontal="center"/>
    </xf>
    <xf numFmtId="164" fontId="40" fillId="0" borderId="5" xfId="3" applyNumberFormat="1" applyFont="1" applyBorder="1" applyAlignment="1">
      <alignment horizontal="center"/>
    </xf>
    <xf numFmtId="164" fontId="40" fillId="0" borderId="23" xfId="3" applyNumberFormat="1" applyFont="1" applyBorder="1" applyAlignment="1">
      <alignment horizontal="right" wrapText="1"/>
    </xf>
    <xf numFmtId="164" fontId="40" fillId="0" borderId="14" xfId="3" applyNumberFormat="1" applyFont="1" applyBorder="1" applyAlignment="1">
      <alignment horizontal="right" wrapText="1"/>
    </xf>
    <xf numFmtId="164" fontId="40" fillId="0" borderId="23" xfId="0" applyNumberFormat="1" applyFont="1" applyBorder="1" applyAlignment="1">
      <alignment horizontal="center" wrapText="1"/>
    </xf>
    <xf numFmtId="164" fontId="40" fillId="0" borderId="5" xfId="0" applyNumberFormat="1" applyFont="1" applyBorder="1" applyAlignment="1">
      <alignment horizontal="center" wrapText="1"/>
    </xf>
    <xf numFmtId="0" fontId="38" fillId="0" borderId="4" xfId="3" applyFont="1" applyBorder="1" applyAlignment="1">
      <alignment horizontal="right"/>
    </xf>
    <xf numFmtId="0" fontId="38" fillId="0" borderId="3" xfId="3" applyFont="1" applyBorder="1" applyAlignment="1">
      <alignment horizontal="right"/>
    </xf>
    <xf numFmtId="0" fontId="38" fillId="0" borderId="2" xfId="3" applyFont="1" applyBorder="1" applyAlignment="1">
      <alignment horizontal="right"/>
    </xf>
    <xf numFmtId="1" fontId="40" fillId="0" borderId="2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40" fillId="0" borderId="2" xfId="3" applyFont="1" applyBorder="1" applyAlignment="1">
      <alignment horizontal="right"/>
    </xf>
    <xf numFmtId="0" fontId="40" fillId="0" borderId="19" xfId="0" applyFont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40" fillId="0" borderId="17" xfId="0" applyFont="1" applyBorder="1" applyAlignment="1">
      <alignment horizontal="left"/>
    </xf>
    <xf numFmtId="0" fontId="40" fillId="0" borderId="16" xfId="0" applyFont="1" applyBorder="1" applyAlignment="1">
      <alignment horizontal="left"/>
    </xf>
    <xf numFmtId="0" fontId="40" fillId="0" borderId="15" xfId="0" applyFont="1" applyBorder="1" applyAlignment="1">
      <alignment horizontal="left" wrapText="1"/>
    </xf>
    <xf numFmtId="0" fontId="40" fillId="0" borderId="14" xfId="0" applyFont="1" applyBorder="1" applyAlignment="1">
      <alignment horizontal="left" wrapText="1"/>
    </xf>
    <xf numFmtId="0" fontId="40" fillId="0" borderId="13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40" fillId="0" borderId="15" xfId="0" applyFont="1" applyBorder="1" applyAlignment="1">
      <alignment horizontal="left"/>
    </xf>
    <xf numFmtId="0" fontId="40" fillId="0" borderId="14" xfId="0" applyFont="1" applyBorder="1" applyAlignment="1">
      <alignment horizontal="left"/>
    </xf>
    <xf numFmtId="0" fontId="40" fillId="0" borderId="13" xfId="0" applyFont="1" applyBorder="1" applyAlignment="1">
      <alignment horizontal="left"/>
    </xf>
    <xf numFmtId="0" fontId="40" fillId="0" borderId="12" xfId="0" applyFont="1" applyBorder="1" applyAlignment="1">
      <alignment horizontal="left"/>
    </xf>
    <xf numFmtId="0" fontId="40" fillId="0" borderId="7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11" xfId="0" applyFont="1" applyBorder="1" applyAlignment="1">
      <alignment horizontal="left" wrapText="1"/>
    </xf>
    <xf numFmtId="0" fontId="40" fillId="0" borderId="10" xfId="0" applyFont="1" applyBorder="1" applyAlignment="1">
      <alignment horizontal="left" wrapText="1"/>
    </xf>
    <xf numFmtId="0" fontId="40" fillId="0" borderId="9" xfId="0" applyFont="1" applyBorder="1" applyAlignment="1">
      <alignment horizontal="left" wrapText="1"/>
    </xf>
    <xf numFmtId="0" fontId="40" fillId="0" borderId="8" xfId="0" applyFont="1" applyBorder="1" applyAlignment="1">
      <alignment horizontal="left" wrapText="1"/>
    </xf>
    <xf numFmtId="0" fontId="3" fillId="3" borderId="52" xfId="3" applyFont="1" applyFill="1" applyBorder="1" applyAlignment="1">
      <alignment horizontal="center" vertical="center" wrapText="1"/>
    </xf>
    <xf numFmtId="0" fontId="3" fillId="3" borderId="53" xfId="3" applyFont="1" applyFill="1" applyBorder="1" applyAlignment="1">
      <alignment horizontal="center" vertical="center"/>
    </xf>
    <xf numFmtId="0" fontId="39" fillId="0" borderId="13" xfId="0" applyFont="1" applyBorder="1"/>
    <xf numFmtId="0" fontId="44" fillId="2" borderId="28" xfId="4" applyFont="1" applyFill="1" applyBorder="1" applyAlignment="1">
      <alignment horizontal="center"/>
    </xf>
    <xf numFmtId="14" fontId="44" fillId="2" borderId="0" xfId="4" applyNumberFormat="1" applyFont="1" applyFill="1" applyAlignment="1">
      <alignment horizontal="center" vertical="center" wrapText="1"/>
    </xf>
    <xf numFmtId="0" fontId="45" fillId="4" borderId="27" xfId="4" applyFont="1" applyFill="1" applyBorder="1" applyAlignment="1">
      <alignment horizontal="center" vertical="center" wrapText="1"/>
    </xf>
    <xf numFmtId="0" fontId="45" fillId="4" borderId="25" xfId="4" applyFont="1" applyFill="1" applyBorder="1" applyAlignment="1">
      <alignment horizontal="center" vertical="center" wrapText="1"/>
    </xf>
    <xf numFmtId="0" fontId="45" fillId="4" borderId="24" xfId="4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/>
    </xf>
    <xf numFmtId="0" fontId="38" fillId="3" borderId="40" xfId="3" applyFont="1" applyFill="1" applyBorder="1" applyAlignment="1">
      <alignment horizontal="center"/>
    </xf>
    <xf numFmtId="0" fontId="38" fillId="3" borderId="41" xfId="3" applyFont="1" applyFill="1" applyBorder="1" applyAlignment="1">
      <alignment horizontal="center"/>
    </xf>
    <xf numFmtId="0" fontId="40" fillId="0" borderId="52" xfId="0" applyFont="1" applyBorder="1" applyAlignment="1">
      <alignment horizontal="left" wrapText="1"/>
    </xf>
    <xf numFmtId="0" fontId="40" fillId="0" borderId="29" xfId="0" applyFont="1" applyBorder="1" applyAlignment="1">
      <alignment horizontal="left" wrapText="1"/>
    </xf>
    <xf numFmtId="0" fontId="40" fillId="0" borderId="53" xfId="0" applyFont="1" applyBorder="1" applyAlignment="1">
      <alignment horizontal="left" wrapText="1"/>
    </xf>
    <xf numFmtId="0" fontId="40" fillId="0" borderId="30" xfId="0" applyFont="1" applyBorder="1" applyAlignment="1">
      <alignment horizontal="left" wrapText="1"/>
    </xf>
    <xf numFmtId="0" fontId="38" fillId="5" borderId="13" xfId="4" applyFont="1" applyFill="1" applyBorder="1" applyAlignment="1">
      <alignment horizontal="center"/>
    </xf>
    <xf numFmtId="0" fontId="40" fillId="2" borderId="13" xfId="4" applyFont="1" applyFill="1" applyBorder="1" applyAlignment="1">
      <alignment horizontal="left"/>
    </xf>
  </cellXfs>
  <cellStyles count="9">
    <cellStyle name="Millares" xfId="7" builtinId="3"/>
    <cellStyle name="Millares [0]" xfId="8" builtinId="6"/>
    <cellStyle name="Normal" xfId="0" builtinId="0"/>
    <cellStyle name="Normal 2" xfId="3" xr:uid="{62A89771-DEBE-43BF-8B89-C7C819B1B0D0}"/>
    <cellStyle name="Normal 2 2" xfId="6" xr:uid="{3AE79C02-B854-4100-BCFE-09847EB2A72A}"/>
    <cellStyle name="Normal 3" xfId="1" xr:uid="{2EEBA4A1-6A8F-4DFD-90A9-D1CB2F0556AC}"/>
    <cellStyle name="Normal 3 2" xfId="5" xr:uid="{CF2428E1-4E25-4176-9521-E76A6B8EFA12}"/>
    <cellStyle name="Normal_CRITERIOS DE EVALUACION PT DE GB 2" xfId="4" xr:uid="{F20743FF-AF6E-4B09-A507-604C23ED9985}"/>
    <cellStyle name="Porcentaje 2" xfId="2" xr:uid="{22BCAF08-4F8A-4AF2-B2C9-52A29515A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95249</xdr:rowOff>
    </xdr:from>
    <xdr:to>
      <xdr:col>1</xdr:col>
      <xdr:colOff>1083468</xdr:colOff>
      <xdr:row>4</xdr:row>
      <xdr:rowOff>55276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CB375E9-24A2-4642-B66E-2E48CCA9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49"/>
          <a:ext cx="2088356" cy="960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E19E-E28E-4DC7-8D77-3D1516B0B9F2}">
  <dimension ref="A1:Q91"/>
  <sheetViews>
    <sheetView topLeftCell="A6" workbookViewId="0">
      <selection activeCell="M35" sqref="M35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69</v>
      </c>
      <c r="F1" s="13" t="s">
        <v>70</v>
      </c>
      <c r="G1" s="13" t="s">
        <v>71</v>
      </c>
      <c r="H1" s="13" t="s">
        <v>72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10939.471688311687</v>
      </c>
      <c r="F2" s="17">
        <f>IFERROR(H53,"")</f>
        <v>9659.01</v>
      </c>
      <c r="G2" s="17">
        <f>IFERROR(H54,"")</f>
        <v>0.15</v>
      </c>
      <c r="H2" s="17">
        <f>IFERROR(H56,"")</f>
        <v>616.15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109"/>
      <c r="B4" s="109"/>
      <c r="C4" s="109"/>
      <c r="D4" s="109"/>
      <c r="E4" s="109"/>
      <c r="F4" s="109"/>
      <c r="G4" s="109"/>
      <c r="H4" s="109"/>
      <c r="I4" s="20"/>
    </row>
    <row r="5" spans="1:10" ht="19.5" customHeight="1" thickBot="1" x14ac:dyDescent="0.3">
      <c r="A5" s="110" t="s">
        <v>73</v>
      </c>
      <c r="B5" s="111"/>
      <c r="C5" s="111"/>
      <c r="D5" s="111"/>
      <c r="E5" s="111"/>
      <c r="F5" s="111"/>
      <c r="G5" s="111"/>
      <c r="H5" s="112"/>
      <c r="I5" s="21"/>
    </row>
    <row r="6" spans="1:10" ht="19.5" thickBot="1" x14ac:dyDescent="0.3">
      <c r="A6" s="21"/>
      <c r="B6" s="21"/>
      <c r="C6" s="21"/>
      <c r="D6" s="21"/>
      <c r="E6" s="21"/>
      <c r="F6" s="113" t="s">
        <v>74</v>
      </c>
      <c r="G6" s="113"/>
      <c r="H6" s="22">
        <f ca="1">TODAY()</f>
        <v>45937</v>
      </c>
      <c r="I6" s="22"/>
    </row>
    <row r="7" spans="1:10" ht="26.25" thickBot="1" x14ac:dyDescent="0.3">
      <c r="A7" s="23" t="s">
        <v>75</v>
      </c>
      <c r="B7" s="24" t="s">
        <v>76</v>
      </c>
      <c r="C7" s="24" t="s">
        <v>75</v>
      </c>
      <c r="D7" s="25" t="s">
        <v>77</v>
      </c>
      <c r="E7" s="25" t="s">
        <v>78</v>
      </c>
      <c r="F7" s="25" t="s">
        <v>79</v>
      </c>
      <c r="G7" s="25" t="s">
        <v>80</v>
      </c>
      <c r="H7" s="26" t="s">
        <v>81</v>
      </c>
      <c r="I7" s="27"/>
    </row>
    <row r="8" spans="1:10" ht="13.5" x14ac:dyDescent="0.25">
      <c r="A8" s="28">
        <v>2000</v>
      </c>
      <c r="B8" s="16" t="s">
        <v>43</v>
      </c>
      <c r="C8" s="29">
        <f>+A8</f>
        <v>2000</v>
      </c>
      <c r="D8" s="30" t="s">
        <v>121</v>
      </c>
      <c r="E8" s="30">
        <v>4.7</v>
      </c>
      <c r="F8" s="30">
        <f>IFERROR(C8*E8,"")</f>
        <v>9400</v>
      </c>
      <c r="G8" s="31">
        <f t="shared" ref="G8:G14" si="0">IFERROR(F8/$F$66,"")</f>
        <v>0.89794559790863493</v>
      </c>
      <c r="H8" s="32" t="s">
        <v>42</v>
      </c>
      <c r="I8" s="32"/>
      <c r="J8" s="33"/>
    </row>
    <row r="9" spans="1:10" ht="15" x14ac:dyDescent="0.25">
      <c r="A9" s="28">
        <v>30</v>
      </c>
      <c r="B9" t="s">
        <v>44</v>
      </c>
      <c r="C9" s="29">
        <f t="shared" ref="C9:C14" si="1">+A9</f>
        <v>30</v>
      </c>
      <c r="D9" s="30" t="s">
        <v>121</v>
      </c>
      <c r="E9" s="30">
        <v>4.9000000000000004</v>
      </c>
      <c r="F9" s="30">
        <f t="shared" ref="F9:F14" si="2">IFERROR(C9*E9,"")</f>
        <v>147</v>
      </c>
      <c r="G9" s="31">
        <f t="shared" si="0"/>
        <v>1.4042340733252058E-2</v>
      </c>
      <c r="H9" s="32" t="s">
        <v>15</v>
      </c>
      <c r="I9" s="32"/>
      <c r="J9" s="33"/>
    </row>
    <row r="10" spans="1:10" ht="15" x14ac:dyDescent="0.25">
      <c r="A10" s="28">
        <v>2</v>
      </c>
      <c r="B10" t="s">
        <v>46</v>
      </c>
      <c r="C10" s="29">
        <f t="shared" si="1"/>
        <v>2</v>
      </c>
      <c r="D10" s="30" t="s">
        <v>121</v>
      </c>
      <c r="E10" s="30">
        <v>6.37</v>
      </c>
      <c r="F10" s="30">
        <f t="shared" si="2"/>
        <v>12.74</v>
      </c>
      <c r="G10" s="31">
        <f t="shared" si="0"/>
        <v>1.2170028635485118E-3</v>
      </c>
      <c r="H10" s="32" t="s">
        <v>45</v>
      </c>
      <c r="I10" s="32"/>
      <c r="J10" s="33"/>
    </row>
    <row r="11" spans="1:10" ht="15" x14ac:dyDescent="0.25">
      <c r="A11" s="28">
        <v>6</v>
      </c>
      <c r="B11" t="s">
        <v>47</v>
      </c>
      <c r="C11" s="29">
        <f t="shared" si="1"/>
        <v>6</v>
      </c>
      <c r="D11" s="30" t="s">
        <v>121</v>
      </c>
      <c r="E11" s="30">
        <v>7.13</v>
      </c>
      <c r="F11" s="30">
        <f t="shared" si="2"/>
        <v>42.78</v>
      </c>
      <c r="G11" s="31">
        <f t="shared" si="0"/>
        <v>4.0866077317586605E-3</v>
      </c>
      <c r="H11" s="32" t="s">
        <v>17</v>
      </c>
      <c r="I11" s="32"/>
      <c r="J11" s="33"/>
    </row>
    <row r="12" spans="1:10" ht="15" x14ac:dyDescent="0.25">
      <c r="A12" s="28">
        <v>4</v>
      </c>
      <c r="B12" t="s">
        <v>49</v>
      </c>
      <c r="C12" s="29">
        <f t="shared" si="1"/>
        <v>4</v>
      </c>
      <c r="D12" s="30" t="s">
        <v>121</v>
      </c>
      <c r="E12" s="30">
        <v>11.31</v>
      </c>
      <c r="F12" s="30">
        <f t="shared" si="2"/>
        <v>45.24</v>
      </c>
      <c r="G12" s="31">
        <f t="shared" si="0"/>
        <v>4.3216020052538988E-3</v>
      </c>
      <c r="H12" s="32" t="s">
        <v>48</v>
      </c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3">
      <c r="A16" s="23" t="s">
        <v>75</v>
      </c>
      <c r="B16" s="24" t="s">
        <v>82</v>
      </c>
      <c r="C16" s="24" t="s">
        <v>75</v>
      </c>
      <c r="D16" s="25" t="s">
        <v>77</v>
      </c>
      <c r="E16" s="25" t="s">
        <v>78</v>
      </c>
      <c r="F16" s="25" t="s">
        <v>79</v>
      </c>
      <c r="G16" s="25" t="s">
        <v>80</v>
      </c>
      <c r="H16" s="26" t="s">
        <v>81</v>
      </c>
      <c r="I16" s="27"/>
      <c r="J16" s="33"/>
    </row>
    <row r="17" spans="1:12" ht="13.5" x14ac:dyDescent="0.25">
      <c r="A17" s="28">
        <v>15</v>
      </c>
      <c r="B17" s="16" t="s">
        <v>41</v>
      </c>
      <c r="C17" s="29">
        <f>+A17</f>
        <v>15</v>
      </c>
      <c r="D17" s="29" t="s">
        <v>121</v>
      </c>
      <c r="E17" s="30">
        <v>0.75</v>
      </c>
      <c r="F17" s="30">
        <f>IFERROR(E17*C17,"")</f>
        <v>11.25</v>
      </c>
      <c r="G17" s="31">
        <f t="shared" ref="G17:G24" si="3">IFERROR(F17/$F$66,"")</f>
        <v>1.0746689336672494E-3</v>
      </c>
      <c r="H17" s="32" t="s">
        <v>16</v>
      </c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hidden="1" thickBot="1" x14ac:dyDescent="0.3">
      <c r="A26" s="23" t="s">
        <v>75</v>
      </c>
      <c r="B26" s="24" t="s">
        <v>83</v>
      </c>
      <c r="C26" s="24" t="s">
        <v>75</v>
      </c>
      <c r="D26" s="25" t="s">
        <v>77</v>
      </c>
      <c r="E26" s="25" t="s">
        <v>78</v>
      </c>
      <c r="F26" s="25" t="s">
        <v>79</v>
      </c>
      <c r="G26" s="25" t="s">
        <v>80</v>
      </c>
      <c r="H26" s="26" t="s">
        <v>81</v>
      </c>
      <c r="I26" s="27"/>
    </row>
    <row r="27" spans="1:12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108"/>
      <c r="L27" s="108"/>
    </row>
    <row r="28" spans="1:12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108"/>
      <c r="L28" s="108"/>
    </row>
    <row r="29" spans="1:12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108"/>
      <c r="L29" s="108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108"/>
      <c r="L30" s="108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75</v>
      </c>
      <c r="B34" s="24" t="s">
        <v>84</v>
      </c>
      <c r="C34" s="24" t="s">
        <v>75</v>
      </c>
      <c r="D34" s="25" t="s">
        <v>77</v>
      </c>
      <c r="E34" s="25" t="s">
        <v>78</v>
      </c>
      <c r="F34" s="25" t="s">
        <v>79</v>
      </c>
      <c r="G34" s="25" t="s">
        <v>80</v>
      </c>
      <c r="H34" s="26" t="s">
        <v>81</v>
      </c>
      <c r="I34" s="35"/>
      <c r="J34" s="33"/>
    </row>
    <row r="35" spans="1:13" ht="13.5" x14ac:dyDescent="0.25">
      <c r="A35" s="28">
        <f>+A17</f>
        <v>15</v>
      </c>
      <c r="B35" s="34" t="s">
        <v>41</v>
      </c>
      <c r="C35" s="29">
        <f>+A35</f>
        <v>15</v>
      </c>
      <c r="D35" s="30" t="s">
        <v>121</v>
      </c>
      <c r="E35" s="30">
        <v>0.01</v>
      </c>
      <c r="F35" s="30">
        <f>IFERROR(E35*C35,"")</f>
        <v>0.15</v>
      </c>
      <c r="G35" s="31">
        <f t="shared" ref="G35:G41" si="9">IFERROR(F35/$F$66,"")</f>
        <v>1.4328919115563324E-5</v>
      </c>
      <c r="H35" s="35" t="s">
        <v>16</v>
      </c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3">
      <c r="A43" s="23" t="s">
        <v>75</v>
      </c>
      <c r="B43" s="24" t="s">
        <v>85</v>
      </c>
      <c r="C43" s="24" t="s">
        <v>75</v>
      </c>
      <c r="D43" s="25" t="s">
        <v>77</v>
      </c>
      <c r="E43" s="25" t="s">
        <v>78</v>
      </c>
      <c r="F43" s="25" t="s">
        <v>79</v>
      </c>
      <c r="G43" s="25" t="s">
        <v>80</v>
      </c>
      <c r="H43" s="26" t="s">
        <v>81</v>
      </c>
      <c r="I43" s="27"/>
      <c r="J43" s="33"/>
    </row>
    <row r="44" spans="1:13" ht="13.5" x14ac:dyDescent="0.25">
      <c r="A44" s="28">
        <f>+A35</f>
        <v>15</v>
      </c>
      <c r="B44" s="34" t="s">
        <v>41</v>
      </c>
      <c r="C44" s="29">
        <f>+A44</f>
        <v>15</v>
      </c>
      <c r="D44" s="30" t="s">
        <v>121</v>
      </c>
      <c r="E44" s="30">
        <v>0.01</v>
      </c>
      <c r="F44" s="30">
        <f>IFERROR(E44*C44,"")</f>
        <v>0.15</v>
      </c>
      <c r="G44" s="31">
        <f>IFERROR(F44/$F$66,"")</f>
        <v>1.4328919115563324E-5</v>
      </c>
      <c r="H44" s="35" t="s">
        <v>16</v>
      </c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86</v>
      </c>
      <c r="C51" s="29">
        <f>+A51</f>
        <v>1</v>
      </c>
      <c r="D51" s="29" t="s">
        <v>87</v>
      </c>
      <c r="E51" s="30">
        <f>+F65</f>
        <v>616</v>
      </c>
      <c r="F51" s="30">
        <f>IFERROR(C51*E51,"")</f>
        <v>616</v>
      </c>
      <c r="G51" s="31">
        <f>IFERROR(F51/$F$66,"")</f>
        <v>5.8844094501246717E-2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3">
      <c r="A53" s="40"/>
      <c r="B53" s="118" t="s">
        <v>88</v>
      </c>
      <c r="C53" s="118"/>
      <c r="D53" s="118"/>
      <c r="E53" s="118"/>
      <c r="F53" s="42">
        <f>SUM(F8:F14,F17:F24)</f>
        <v>9659.01</v>
      </c>
      <c r="G53" s="31">
        <f>+F53/$F$66</f>
        <v>0.92268782017611539</v>
      </c>
      <c r="H53" s="43">
        <f>+F53/$D$60</f>
        <v>9659.01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18" t="s">
        <v>89</v>
      </c>
      <c r="C54" s="118"/>
      <c r="D54" s="118"/>
      <c r="E54" s="118"/>
      <c r="F54" s="42">
        <f>SUM(F27:F32,F35:F41)</f>
        <v>0.15</v>
      </c>
      <c r="G54" s="31">
        <f>+F54/$F$66</f>
        <v>1.4328919115563324E-5</v>
      </c>
      <c r="H54" s="43">
        <f>+F54/$D$60</f>
        <v>0.15</v>
      </c>
      <c r="I54" s="43"/>
      <c r="J54" s="47"/>
      <c r="K54" s="119" t="s">
        <v>90</v>
      </c>
      <c r="L54" s="120"/>
      <c r="M54" s="120"/>
      <c r="N54" s="120"/>
      <c r="O54" s="48">
        <f>+F55</f>
        <v>9659.16</v>
      </c>
      <c r="P54" s="48"/>
      <c r="Q54" s="49"/>
    </row>
    <row r="55" spans="1:17" x14ac:dyDescent="0.2">
      <c r="A55" s="40"/>
      <c r="B55" s="118" t="s">
        <v>91</v>
      </c>
      <c r="C55" s="118"/>
      <c r="D55" s="118"/>
      <c r="E55" s="118"/>
      <c r="F55" s="42">
        <f>+F53+F54</f>
        <v>9659.16</v>
      </c>
      <c r="G55" s="31">
        <f>+F55/$F$66</f>
        <v>0.92270214909523096</v>
      </c>
      <c r="H55" s="43">
        <f>+F55/$D$60</f>
        <v>9659.16</v>
      </c>
      <c r="I55" s="43"/>
      <c r="J55" s="50"/>
      <c r="K55" s="51"/>
      <c r="M55" s="52" t="s">
        <v>92</v>
      </c>
      <c r="N55" s="53"/>
      <c r="O55" s="48">
        <f>+H56</f>
        <v>616.15</v>
      </c>
      <c r="P55" s="48"/>
      <c r="Q55" s="49"/>
    </row>
    <row r="56" spans="1:17" ht="13.5" thickBot="1" x14ac:dyDescent="0.25">
      <c r="A56" s="40"/>
      <c r="B56" s="41"/>
      <c r="C56" s="118" t="s">
        <v>93</v>
      </c>
      <c r="D56" s="118"/>
      <c r="E56" s="118"/>
      <c r="F56" s="42">
        <f>SUM(F44:F51)</f>
        <v>616.15</v>
      </c>
      <c r="G56" s="31">
        <f>+F56/$F$66</f>
        <v>5.885842342036228E-2</v>
      </c>
      <c r="H56" s="43">
        <f>+F56/$D$60</f>
        <v>616.15</v>
      </c>
      <c r="I56" s="43"/>
      <c r="J56" s="50"/>
      <c r="K56" s="51"/>
      <c r="L56" s="51"/>
      <c r="M56" s="51" t="s">
        <v>94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95</v>
      </c>
      <c r="N57" s="60"/>
      <c r="O57" s="61">
        <f>SUM(O54:O56)</f>
        <v>10275.31</v>
      </c>
      <c r="P57" s="62"/>
      <c r="Q57" s="49"/>
    </row>
    <row r="58" spans="1:17" x14ac:dyDescent="0.2">
      <c r="B58" s="121" t="s">
        <v>96</v>
      </c>
      <c r="C58" s="121"/>
      <c r="D58" s="63">
        <v>1665</v>
      </c>
      <c r="E58" s="64"/>
      <c r="G58" s="31"/>
      <c r="H58" s="57">
        <f>+H56/77</f>
        <v>8.0019480519480517</v>
      </c>
      <c r="I58" s="65"/>
      <c r="J58" s="50"/>
      <c r="K58" s="58"/>
      <c r="L58" s="51"/>
      <c r="M58" s="51" t="s">
        <v>97</v>
      </c>
      <c r="N58" s="66"/>
      <c r="O58" s="48">
        <f>+H59</f>
        <v>664.16168831168829</v>
      </c>
      <c r="P58" s="48"/>
      <c r="Q58" s="49"/>
    </row>
    <row r="59" spans="1:17" x14ac:dyDescent="0.2">
      <c r="B59" s="121" t="s">
        <v>98</v>
      </c>
      <c r="C59" s="121"/>
      <c r="D59" s="67">
        <v>1665</v>
      </c>
      <c r="E59" s="64"/>
      <c r="G59" s="31"/>
      <c r="H59" s="57">
        <f>+H58*83</f>
        <v>664.16168831168829</v>
      </c>
      <c r="I59" s="65"/>
      <c r="J59" s="50"/>
      <c r="K59" s="58"/>
      <c r="L59" s="51"/>
      <c r="M59" s="122" t="s">
        <v>95</v>
      </c>
      <c r="N59" s="122"/>
      <c r="O59" s="48">
        <f>SUM(O57:O58)</f>
        <v>10939.471688311687</v>
      </c>
      <c r="P59" s="48"/>
      <c r="Q59" s="49"/>
    </row>
    <row r="60" spans="1:17" ht="13.5" thickBot="1" x14ac:dyDescent="0.25">
      <c r="B60" s="114" t="s">
        <v>99</v>
      </c>
      <c r="C60" s="114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22"/>
      <c r="M60" s="122"/>
      <c r="N60" s="66"/>
      <c r="O60" s="48">
        <f>+O59*N60</f>
        <v>0</v>
      </c>
      <c r="P60" s="48"/>
      <c r="Q60" s="49"/>
    </row>
    <row r="61" spans="1:17" ht="13.5" thickBot="1" x14ac:dyDescent="0.25">
      <c r="B61" s="114" t="s">
        <v>100</v>
      </c>
      <c r="C61" s="114"/>
      <c r="D61" s="69"/>
      <c r="E61" s="64"/>
      <c r="F61" s="68"/>
      <c r="G61" s="31"/>
      <c r="H61" s="57"/>
      <c r="I61" s="65"/>
      <c r="J61" s="50"/>
      <c r="K61" s="115" t="s">
        <v>101</v>
      </c>
      <c r="L61" s="116"/>
      <c r="M61" s="116"/>
      <c r="N61" s="117"/>
      <c r="O61" s="61">
        <f>SUM(O59:O60)</f>
        <v>10939.471688311687</v>
      </c>
      <c r="P61" s="70" t="s">
        <v>102</v>
      </c>
      <c r="Q61" s="49"/>
    </row>
    <row r="62" spans="1:17" ht="13.5" thickBot="1" x14ac:dyDescent="0.25">
      <c r="C62" s="40" t="s">
        <v>103</v>
      </c>
      <c r="D62" s="71"/>
      <c r="E62" s="14" t="s">
        <v>104</v>
      </c>
      <c r="F62" s="72" t="s">
        <v>105</v>
      </c>
      <c r="G62" s="31"/>
      <c r="H62" s="57"/>
      <c r="I62" s="65"/>
      <c r="J62" s="73"/>
      <c r="K62" s="74"/>
      <c r="L62" s="128" t="s">
        <v>106</v>
      </c>
      <c r="M62" s="128"/>
      <c r="N62" s="128"/>
      <c r="O62" s="75">
        <f>+O61/D60</f>
        <v>10939.471688311687</v>
      </c>
      <c r="P62" s="76">
        <f>+O62/D59</f>
        <v>6.5702532662532658</v>
      </c>
      <c r="Q62" s="77"/>
    </row>
    <row r="63" spans="1:17" ht="13.5" thickBot="1" x14ac:dyDescent="0.25">
      <c r="B63" s="129" t="s">
        <v>91</v>
      </c>
      <c r="C63" s="129"/>
      <c r="D63" s="129"/>
      <c r="E63" s="78">
        <f>+F63/F63</f>
        <v>1</v>
      </c>
      <c r="F63" s="79">
        <f>SUM(F55)</f>
        <v>9659.16</v>
      </c>
      <c r="G63" s="31">
        <f>+F63/$F$66</f>
        <v>0.92270214909523096</v>
      </c>
      <c r="H63" s="57"/>
      <c r="I63" s="65"/>
      <c r="K63" s="130"/>
      <c r="L63" s="131"/>
      <c r="M63" s="131"/>
      <c r="N63" s="131"/>
      <c r="O63" s="80"/>
      <c r="P63" s="81"/>
    </row>
    <row r="64" spans="1:17" ht="13.5" thickBot="1" x14ac:dyDescent="0.3">
      <c r="B64" s="132" t="s">
        <v>107</v>
      </c>
      <c r="C64" s="132"/>
      <c r="D64" s="132"/>
      <c r="E64" s="82">
        <v>0.02</v>
      </c>
      <c r="F64" s="79">
        <f>+F53*E64</f>
        <v>193.18020000000001</v>
      </c>
      <c r="G64" s="31">
        <f>+F64/$F$66</f>
        <v>1.8453756403522308E-2</v>
      </c>
      <c r="H64" s="43"/>
      <c r="I64" s="65"/>
      <c r="J64" s="83"/>
      <c r="O64" s="84"/>
      <c r="P64" s="41"/>
    </row>
    <row r="65" spans="2:13" ht="13.5" thickBot="1" x14ac:dyDescent="0.3">
      <c r="B65" s="133" t="s">
        <v>108</v>
      </c>
      <c r="C65" s="134"/>
      <c r="D65" s="85">
        <v>8</v>
      </c>
      <c r="E65" s="86">
        <v>77</v>
      </c>
      <c r="F65" s="79">
        <f>+E65*D65</f>
        <v>616</v>
      </c>
      <c r="G65" s="31">
        <f>+F65/$F$66</f>
        <v>5.8844094501246717E-2</v>
      </c>
      <c r="H65" s="43"/>
      <c r="I65" s="43"/>
      <c r="J65" s="33"/>
    </row>
    <row r="66" spans="2:13" ht="13.5" thickBot="1" x14ac:dyDescent="0.3">
      <c r="B66" s="135" t="s">
        <v>109</v>
      </c>
      <c r="C66" s="136"/>
      <c r="D66" s="136"/>
      <c r="E66" s="137"/>
      <c r="F66" s="56">
        <f>SUM(F63:F65)</f>
        <v>10468.340200000001</v>
      </c>
      <c r="G66" s="31">
        <f>+F66/$F$66</f>
        <v>1</v>
      </c>
      <c r="H66" s="138"/>
      <c r="I66" s="43"/>
      <c r="J66" s="33"/>
      <c r="M66" s="16" t="s">
        <v>110</v>
      </c>
    </row>
    <row r="67" spans="2:13" x14ac:dyDescent="0.25">
      <c r="C67" s="38"/>
      <c r="D67" s="38"/>
      <c r="E67" s="88"/>
      <c r="F67" s="79"/>
      <c r="G67" s="31"/>
      <c r="H67" s="138"/>
      <c r="I67" s="87"/>
      <c r="J67" s="16"/>
      <c r="M67" s="16" t="s">
        <v>111</v>
      </c>
    </row>
    <row r="68" spans="2:13" ht="13.5" thickBot="1" x14ac:dyDescent="0.3">
      <c r="B68" s="123" t="s">
        <v>112</v>
      </c>
      <c r="C68" s="123"/>
      <c r="D68" s="123"/>
      <c r="E68" s="123"/>
      <c r="F68" s="123"/>
      <c r="G68" s="31"/>
      <c r="H68" s="90"/>
      <c r="I68" s="87"/>
      <c r="J68" s="16"/>
      <c r="M68" s="16" t="s">
        <v>113</v>
      </c>
    </row>
    <row r="69" spans="2:13" ht="13.5" thickBot="1" x14ac:dyDescent="0.3">
      <c r="B69" s="91" t="s">
        <v>114</v>
      </c>
      <c r="C69" s="92">
        <f>+F53</f>
        <v>9659.01</v>
      </c>
      <c r="D69" s="92">
        <f>+D58</f>
        <v>1665</v>
      </c>
      <c r="E69" s="93">
        <f>+C69/D69</f>
        <v>5.8012072072072076</v>
      </c>
      <c r="F69" s="31"/>
      <c r="G69" s="90"/>
      <c r="H69" s="33"/>
      <c r="I69" s="90"/>
      <c r="J69" s="16"/>
    </row>
    <row r="70" spans="2:13" x14ac:dyDescent="0.25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5">
      <c r="B71" s="91" t="s">
        <v>115</v>
      </c>
      <c r="C71" s="92">
        <f>SUM(F63:F64)</f>
        <v>9852.3402000000006</v>
      </c>
      <c r="D71" s="92">
        <f>+D58</f>
        <v>1665</v>
      </c>
      <c r="E71" s="97">
        <f>+C71/D71</f>
        <v>5.9173214414414419</v>
      </c>
      <c r="F71" s="31"/>
      <c r="G71" s="90"/>
      <c r="H71" s="33"/>
      <c r="I71" s="33"/>
      <c r="J71" s="16"/>
    </row>
    <row r="72" spans="2:13" x14ac:dyDescent="0.25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3">
      <c r="B73" s="91" t="s">
        <v>116</v>
      </c>
      <c r="C73" s="92">
        <f>+F65</f>
        <v>616</v>
      </c>
      <c r="D73" s="92">
        <f>+D58</f>
        <v>1665</v>
      </c>
      <c r="E73" s="97">
        <f>+C73/D73</f>
        <v>0.36996996996996995</v>
      </c>
      <c r="F73" s="31"/>
      <c r="G73" s="90"/>
      <c r="H73" s="33"/>
      <c r="I73" s="33"/>
      <c r="J73" s="16"/>
    </row>
    <row r="74" spans="2:13" ht="13.5" thickBot="1" x14ac:dyDescent="0.3">
      <c r="B74" s="91" t="s">
        <v>117</v>
      </c>
      <c r="C74" s="92">
        <f>+F56</f>
        <v>616.15</v>
      </c>
      <c r="D74" s="92">
        <f>+D73</f>
        <v>1665</v>
      </c>
      <c r="E74" s="93">
        <f>+C74/D74</f>
        <v>0.37006006006006004</v>
      </c>
      <c r="F74" s="31"/>
      <c r="G74" s="90"/>
      <c r="H74" s="33"/>
      <c r="I74" s="33"/>
      <c r="J74" s="16"/>
    </row>
    <row r="75" spans="2:13" ht="13.5" thickBot="1" x14ac:dyDescent="0.3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3">
      <c r="B76" s="91" t="s">
        <v>118</v>
      </c>
      <c r="C76" s="92">
        <f>+F54</f>
        <v>0.15</v>
      </c>
      <c r="D76" s="92">
        <f>+D74</f>
        <v>1665</v>
      </c>
      <c r="E76" s="93">
        <f>+C76/D76</f>
        <v>9.0090090090090091E-5</v>
      </c>
      <c r="F76" s="31"/>
      <c r="G76" s="90"/>
      <c r="H76" s="33"/>
      <c r="I76" s="33"/>
      <c r="J76" s="33"/>
    </row>
    <row r="77" spans="2:13" ht="13.5" thickBot="1" x14ac:dyDescent="0.3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3">
      <c r="B78" s="124" t="s">
        <v>119</v>
      </c>
      <c r="C78" s="125"/>
      <c r="D78" s="126"/>
      <c r="E78" s="93">
        <f>+E69+E74</f>
        <v>6.1712672672672673</v>
      </c>
      <c r="G78" s="31"/>
      <c r="H78" s="90"/>
      <c r="I78" s="33"/>
      <c r="J78" s="97"/>
    </row>
    <row r="79" spans="2:13" x14ac:dyDescent="0.25">
      <c r="I79" s="90"/>
      <c r="J79" s="16"/>
    </row>
    <row r="80" spans="2:13" ht="13.5" thickBot="1" x14ac:dyDescent="0.3">
      <c r="B80" s="123" t="s">
        <v>120</v>
      </c>
      <c r="C80" s="123"/>
      <c r="D80" s="123"/>
      <c r="E80" s="123"/>
      <c r="F80" s="123"/>
      <c r="G80" s="31"/>
      <c r="H80" s="90"/>
      <c r="J80" s="16"/>
    </row>
    <row r="81" spans="1:10" ht="13.5" thickBot="1" x14ac:dyDescent="0.3">
      <c r="B81" s="91" t="s">
        <v>114</v>
      </c>
      <c r="C81" s="92">
        <f>+C69</f>
        <v>9659.01</v>
      </c>
      <c r="D81" s="92">
        <f>+D60</f>
        <v>1</v>
      </c>
      <c r="E81" s="93">
        <f>+C81/D81</f>
        <v>9659.01</v>
      </c>
      <c r="F81" s="31"/>
      <c r="G81" s="90"/>
      <c r="H81" s="33"/>
      <c r="I81" s="90"/>
      <c r="J81" s="16"/>
    </row>
    <row r="82" spans="1:10" x14ac:dyDescent="0.25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5">
      <c r="B83" s="91" t="s">
        <v>115</v>
      </c>
      <c r="C83" s="92">
        <f>+C71</f>
        <v>9852.3402000000006</v>
      </c>
      <c r="D83" s="92">
        <f>+D60</f>
        <v>1</v>
      </c>
      <c r="E83" s="97">
        <f>+C83/D83</f>
        <v>9852.3402000000006</v>
      </c>
      <c r="F83" s="31"/>
      <c r="G83" s="90"/>
      <c r="H83" s="33"/>
      <c r="I83" s="33"/>
      <c r="J83" s="16"/>
    </row>
    <row r="84" spans="1:10" x14ac:dyDescent="0.25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3">
      <c r="B85" s="91" t="s">
        <v>117</v>
      </c>
      <c r="C85" s="92">
        <f>+C73</f>
        <v>616</v>
      </c>
      <c r="D85" s="92">
        <f>+D60</f>
        <v>1</v>
      </c>
      <c r="E85" s="97">
        <f>+C85/D85</f>
        <v>616</v>
      </c>
      <c r="F85" s="99"/>
      <c r="G85" s="89"/>
      <c r="H85" s="15"/>
      <c r="I85" s="33"/>
    </row>
    <row r="86" spans="1:10" ht="13.5" thickBot="1" x14ac:dyDescent="0.3">
      <c r="B86" s="91" t="s">
        <v>117</v>
      </c>
      <c r="C86" s="92">
        <f>+C74</f>
        <v>616.15</v>
      </c>
      <c r="D86" s="92">
        <f>+D85</f>
        <v>1</v>
      </c>
      <c r="E86" s="93">
        <f>+C86/D86</f>
        <v>616.15</v>
      </c>
      <c r="F86" s="98"/>
      <c r="G86" s="89"/>
      <c r="H86" s="15"/>
      <c r="I86" s="15"/>
    </row>
    <row r="87" spans="1:10" x14ac:dyDescent="0.25">
      <c r="I87" s="15"/>
    </row>
    <row r="88" spans="1:10" x14ac:dyDescent="0.2">
      <c r="A88" s="127"/>
      <c r="B88" s="127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D9AB-9412-44C0-A9DD-6DAFE8C08E19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69</v>
      </c>
      <c r="F1" s="13" t="s">
        <v>70</v>
      </c>
      <c r="G1" s="13" t="s">
        <v>71</v>
      </c>
      <c r="H1" s="13" t="s">
        <v>72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1025.879090909091</v>
      </c>
      <c r="F2" s="17">
        <f>IFERROR(H53,"")</f>
        <v>214.82</v>
      </c>
      <c r="G2" s="17">
        <f>IFERROR(H54,"")</f>
        <v>0.15</v>
      </c>
      <c r="H2" s="17">
        <f>IFERROR(H56,"")</f>
        <v>390.25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109"/>
      <c r="B4" s="109"/>
      <c r="C4" s="109"/>
      <c r="D4" s="109"/>
      <c r="E4" s="109"/>
      <c r="F4" s="109"/>
      <c r="G4" s="109"/>
      <c r="H4" s="109"/>
      <c r="I4" s="20"/>
    </row>
    <row r="5" spans="1:10" ht="19.5" customHeight="1" thickBot="1" x14ac:dyDescent="0.3">
      <c r="A5" s="110" t="s">
        <v>73</v>
      </c>
      <c r="B5" s="111"/>
      <c r="C5" s="111"/>
      <c r="D5" s="111"/>
      <c r="E5" s="111"/>
      <c r="F5" s="111"/>
      <c r="G5" s="111"/>
      <c r="H5" s="112"/>
      <c r="I5" s="21"/>
    </row>
    <row r="6" spans="1:10" ht="19.5" thickBot="1" x14ac:dyDescent="0.3">
      <c r="A6" s="21"/>
      <c r="B6" s="21"/>
      <c r="C6" s="21"/>
      <c r="D6" s="21"/>
      <c r="E6" s="21"/>
      <c r="F6" s="113" t="s">
        <v>74</v>
      </c>
      <c r="G6" s="113"/>
      <c r="H6" s="22">
        <f ca="1">TODAY()</f>
        <v>45937</v>
      </c>
      <c r="I6" s="22"/>
    </row>
    <row r="7" spans="1:10" ht="26.25" thickBot="1" x14ac:dyDescent="0.3">
      <c r="A7" s="23" t="s">
        <v>75</v>
      </c>
      <c r="B7" s="24" t="s">
        <v>76</v>
      </c>
      <c r="C7" s="24" t="s">
        <v>75</v>
      </c>
      <c r="D7" s="25" t="s">
        <v>77</v>
      </c>
      <c r="E7" s="25" t="s">
        <v>78</v>
      </c>
      <c r="F7" s="25" t="s">
        <v>79</v>
      </c>
      <c r="G7" s="25" t="s">
        <v>80</v>
      </c>
      <c r="H7" s="26" t="s">
        <v>81</v>
      </c>
      <c r="I7" s="27"/>
    </row>
    <row r="8" spans="1:10" ht="15" x14ac:dyDescent="0.25">
      <c r="A8" s="28">
        <v>100</v>
      </c>
      <c r="B8" s="16" t="s">
        <v>51</v>
      </c>
      <c r="C8" s="29">
        <f>+A8</f>
        <v>100</v>
      </c>
      <c r="D8" s="30" t="s">
        <v>121</v>
      </c>
      <c r="E8" s="30">
        <v>1.5</v>
      </c>
      <c r="F8" s="30">
        <f>IFERROR(C8*E8,"")</f>
        <v>150</v>
      </c>
      <c r="G8" s="31">
        <f t="shared" ref="G8:G14" si="0">IFERROR(F8/$F$66,"")</f>
        <v>0.24823488448141418</v>
      </c>
      <c r="H8" t="s">
        <v>50</v>
      </c>
      <c r="I8" s="32"/>
      <c r="J8" s="33"/>
    </row>
    <row r="9" spans="1:10" ht="13.5" x14ac:dyDescent="0.25">
      <c r="A9" s="28">
        <v>1</v>
      </c>
      <c r="B9" s="16" t="s">
        <v>57</v>
      </c>
      <c r="C9" s="29">
        <f t="shared" ref="C9:C14" si="1">+A9</f>
        <v>1</v>
      </c>
      <c r="D9" s="30" t="s">
        <v>121</v>
      </c>
      <c r="E9" s="30">
        <v>8.57</v>
      </c>
      <c r="F9" s="30">
        <f t="shared" ref="F9:F14" si="2">IFERROR(C9*E9,"")</f>
        <v>8.57</v>
      </c>
      <c r="G9" s="31">
        <f t="shared" si="0"/>
        <v>1.418248640003813E-2</v>
      </c>
      <c r="H9" s="32" t="s">
        <v>56</v>
      </c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3">
      <c r="A16" s="23" t="s">
        <v>75</v>
      </c>
      <c r="B16" s="24" t="s">
        <v>82</v>
      </c>
      <c r="C16" s="24" t="s">
        <v>75</v>
      </c>
      <c r="D16" s="25" t="s">
        <v>77</v>
      </c>
      <c r="E16" s="25" t="s">
        <v>78</v>
      </c>
      <c r="F16" s="25" t="s">
        <v>79</v>
      </c>
      <c r="G16" s="25" t="s">
        <v>80</v>
      </c>
      <c r="H16" s="26" t="s">
        <v>81</v>
      </c>
      <c r="I16" s="27"/>
      <c r="J16" s="33"/>
    </row>
    <row r="17" spans="1:12" ht="13.5" x14ac:dyDescent="0.25">
      <c r="A17" s="28">
        <v>15</v>
      </c>
      <c r="B17" s="16" t="s">
        <v>53</v>
      </c>
      <c r="C17" s="29">
        <f>+A17</f>
        <v>15</v>
      </c>
      <c r="D17" s="29" t="s">
        <v>121</v>
      </c>
      <c r="E17" s="30">
        <v>1.7</v>
      </c>
      <c r="F17" s="30">
        <f>IFERROR(E17*C17,"")</f>
        <v>25.5</v>
      </c>
      <c r="G17" s="31">
        <f t="shared" ref="G17:G24" si="3">IFERROR(F17/$F$66,"")</f>
        <v>4.2199930361840408E-2</v>
      </c>
      <c r="H17" s="32" t="s">
        <v>52</v>
      </c>
      <c r="I17" s="32"/>
      <c r="J17" s="33"/>
    </row>
    <row r="18" spans="1:12" ht="13.5" x14ac:dyDescent="0.25">
      <c r="A18" s="28">
        <v>15</v>
      </c>
      <c r="B18" s="16" t="s">
        <v>55</v>
      </c>
      <c r="C18" s="29">
        <f t="shared" ref="C18:C24" si="4">+A18</f>
        <v>15</v>
      </c>
      <c r="D18" s="29" t="s">
        <v>121</v>
      </c>
      <c r="E18" s="30">
        <v>2.0499999999999998</v>
      </c>
      <c r="F18" s="30">
        <f t="shared" ref="F18:F24" si="5">IFERROR(E18*C18,"")</f>
        <v>30.749999999999996</v>
      </c>
      <c r="G18" s="31">
        <f t="shared" si="3"/>
        <v>5.08881513186899E-2</v>
      </c>
      <c r="H18" s="32" t="s">
        <v>54</v>
      </c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hidden="1" thickBot="1" x14ac:dyDescent="0.3">
      <c r="A26" s="23" t="s">
        <v>75</v>
      </c>
      <c r="B26" s="24" t="s">
        <v>83</v>
      </c>
      <c r="C26" s="24" t="s">
        <v>75</v>
      </c>
      <c r="D26" s="25" t="s">
        <v>77</v>
      </c>
      <c r="E26" s="25" t="s">
        <v>78</v>
      </c>
      <c r="F26" s="25" t="s">
        <v>79</v>
      </c>
      <c r="G26" s="25" t="s">
        <v>80</v>
      </c>
      <c r="H26" s="26" t="s">
        <v>81</v>
      </c>
      <c r="I26" s="27"/>
    </row>
    <row r="27" spans="1:12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108"/>
      <c r="L27" s="108"/>
    </row>
    <row r="28" spans="1:12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108"/>
      <c r="L28" s="108"/>
    </row>
    <row r="29" spans="1:12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108"/>
      <c r="L29" s="108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108"/>
      <c r="L30" s="108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75</v>
      </c>
      <c r="B34" s="24" t="s">
        <v>84</v>
      </c>
      <c r="C34" s="24" t="s">
        <v>75</v>
      </c>
      <c r="D34" s="25" t="s">
        <v>77</v>
      </c>
      <c r="E34" s="25" t="s">
        <v>78</v>
      </c>
      <c r="F34" s="25" t="s">
        <v>79</v>
      </c>
      <c r="G34" s="25" t="s">
        <v>80</v>
      </c>
      <c r="H34" s="26" t="s">
        <v>81</v>
      </c>
      <c r="I34" s="35"/>
      <c r="J34" s="33"/>
    </row>
    <row r="35" spans="1:13" ht="13.5" x14ac:dyDescent="0.25">
      <c r="A35" s="28">
        <f>+A17</f>
        <v>15</v>
      </c>
      <c r="B35" s="34" t="s">
        <v>53</v>
      </c>
      <c r="C35" s="29">
        <f>+A35</f>
        <v>15</v>
      </c>
      <c r="D35" s="30" t="s">
        <v>121</v>
      </c>
      <c r="E35" s="30">
        <v>0</v>
      </c>
      <c r="F35" s="30">
        <f>IFERROR(E35*C35,"")</f>
        <v>0</v>
      </c>
      <c r="G35" s="31">
        <f t="shared" ref="G35:G41" si="9">IFERROR(F35/$F$66,"")</f>
        <v>0</v>
      </c>
      <c r="H35" s="35" t="s">
        <v>52</v>
      </c>
      <c r="I35" s="35"/>
      <c r="J35" s="33"/>
    </row>
    <row r="36" spans="1:13" ht="13.5" x14ac:dyDescent="0.25">
      <c r="A36" s="28">
        <f t="shared" ref="A36:A41" si="10">+A18</f>
        <v>15</v>
      </c>
      <c r="B36" s="34" t="s">
        <v>55</v>
      </c>
      <c r="C36" s="29">
        <f t="shared" ref="C36:C41" si="11">+A36</f>
        <v>15</v>
      </c>
      <c r="D36" s="30" t="s">
        <v>121</v>
      </c>
      <c r="E36" s="30">
        <v>0.01</v>
      </c>
      <c r="F36" s="30">
        <f t="shared" ref="F36:F41" si="12">IFERROR(E36*C36,"")</f>
        <v>0.15</v>
      </c>
      <c r="G36" s="31">
        <f t="shared" si="9"/>
        <v>2.4823488448141417E-4</v>
      </c>
      <c r="H36" s="35" t="s">
        <v>54</v>
      </c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3">
      <c r="A43" s="23" t="s">
        <v>75</v>
      </c>
      <c r="B43" s="24" t="s">
        <v>85</v>
      </c>
      <c r="C43" s="24" t="s">
        <v>75</v>
      </c>
      <c r="D43" s="25" t="s">
        <v>77</v>
      </c>
      <c r="E43" s="25" t="s">
        <v>78</v>
      </c>
      <c r="F43" s="25" t="s">
        <v>79</v>
      </c>
      <c r="G43" s="25" t="s">
        <v>80</v>
      </c>
      <c r="H43" s="26" t="s">
        <v>81</v>
      </c>
      <c r="I43" s="27"/>
      <c r="J43" s="33"/>
    </row>
    <row r="44" spans="1:13" ht="13.5" x14ac:dyDescent="0.25">
      <c r="A44" s="28">
        <f>+A35</f>
        <v>15</v>
      </c>
      <c r="B44" s="34" t="s">
        <v>53</v>
      </c>
      <c r="C44" s="29">
        <f>+A44</f>
        <v>15</v>
      </c>
      <c r="D44" s="30" t="s">
        <v>121</v>
      </c>
      <c r="E44" s="30">
        <v>0.34</v>
      </c>
      <c r="F44" s="30">
        <f>IFERROR(E44*C44,"")</f>
        <v>5.1000000000000005</v>
      </c>
      <c r="G44" s="31">
        <f>IFERROR(F44/$F$66,"")</f>
        <v>8.439986072368082E-3</v>
      </c>
      <c r="H44" s="35" t="s">
        <v>52</v>
      </c>
      <c r="I44" s="27"/>
      <c r="J44" s="33"/>
    </row>
    <row r="45" spans="1:13" ht="13.5" x14ac:dyDescent="0.25">
      <c r="A45" s="28">
        <f t="shared" ref="A45:A50" si="13">+A36</f>
        <v>15</v>
      </c>
      <c r="B45" s="34" t="s">
        <v>55</v>
      </c>
      <c r="C45" s="29">
        <f t="shared" ref="C45:C50" si="14">+A45</f>
        <v>15</v>
      </c>
      <c r="D45" s="30" t="s">
        <v>121</v>
      </c>
      <c r="E45" s="30">
        <v>0.01</v>
      </c>
      <c r="F45" s="30">
        <f t="shared" ref="F45:F50" si="15">IFERROR(E45*C45,"")</f>
        <v>0.15</v>
      </c>
      <c r="G45" s="31">
        <f t="shared" ref="G45:G50" si="16">IFERROR(F45/$F$66,"")</f>
        <v>2.4823488448141417E-4</v>
      </c>
      <c r="H45" s="35" t="s">
        <v>54</v>
      </c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86</v>
      </c>
      <c r="C51" s="29">
        <f>+A51</f>
        <v>1</v>
      </c>
      <c r="D51" s="29" t="s">
        <v>87</v>
      </c>
      <c r="E51" s="30">
        <f>+F65</f>
        <v>385</v>
      </c>
      <c r="F51" s="30">
        <f>IFERROR(C51*E51,"")</f>
        <v>385</v>
      </c>
      <c r="G51" s="31">
        <f>IFERROR(F51/$F$66,"")</f>
        <v>0.63713620350229638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3">
      <c r="A53" s="40"/>
      <c r="B53" s="118" t="s">
        <v>88</v>
      </c>
      <c r="C53" s="118"/>
      <c r="D53" s="118"/>
      <c r="E53" s="118"/>
      <c r="F53" s="42">
        <f>SUM(F8:F14,F17:F24)</f>
        <v>214.82</v>
      </c>
      <c r="G53" s="31">
        <f>+F53/$F$66</f>
        <v>0.35550545256198257</v>
      </c>
      <c r="H53" s="43">
        <f>+F53/$D$60</f>
        <v>214.82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18" t="s">
        <v>89</v>
      </c>
      <c r="C54" s="118"/>
      <c r="D54" s="118"/>
      <c r="E54" s="118"/>
      <c r="F54" s="42">
        <f>SUM(F27:F32,F35:F41)</f>
        <v>0.15</v>
      </c>
      <c r="G54" s="31">
        <f>+F54/$F$66</f>
        <v>2.4823488448141417E-4</v>
      </c>
      <c r="H54" s="43">
        <f>+F54/$D$60</f>
        <v>0.15</v>
      </c>
      <c r="I54" s="43"/>
      <c r="J54" s="47"/>
      <c r="K54" s="119" t="s">
        <v>90</v>
      </c>
      <c r="L54" s="120"/>
      <c r="M54" s="120"/>
      <c r="N54" s="120"/>
      <c r="O54" s="48">
        <f>+F55</f>
        <v>214.97</v>
      </c>
      <c r="P54" s="48"/>
      <c r="Q54" s="49"/>
    </row>
    <row r="55" spans="1:17" x14ac:dyDescent="0.2">
      <c r="A55" s="40"/>
      <c r="B55" s="118" t="s">
        <v>91</v>
      </c>
      <c r="C55" s="118"/>
      <c r="D55" s="118"/>
      <c r="E55" s="118"/>
      <c r="F55" s="42">
        <f>+F53+F54</f>
        <v>214.97</v>
      </c>
      <c r="G55" s="31">
        <f>+F55/$F$66</f>
        <v>0.35575368744646402</v>
      </c>
      <c r="H55" s="43">
        <f>+F55/$D$60</f>
        <v>214.97</v>
      </c>
      <c r="I55" s="43"/>
      <c r="J55" s="50"/>
      <c r="K55" s="51"/>
      <c r="M55" s="52" t="s">
        <v>92</v>
      </c>
      <c r="N55" s="53"/>
      <c r="O55" s="48">
        <f>+H56</f>
        <v>390.25</v>
      </c>
      <c r="P55" s="48"/>
      <c r="Q55" s="49"/>
    </row>
    <row r="56" spans="1:17" ht="13.5" thickBot="1" x14ac:dyDescent="0.25">
      <c r="A56" s="40"/>
      <c r="B56" s="41"/>
      <c r="C56" s="118" t="s">
        <v>93</v>
      </c>
      <c r="D56" s="118"/>
      <c r="E56" s="118"/>
      <c r="F56" s="42">
        <f>SUM(F44:F51)</f>
        <v>390.25</v>
      </c>
      <c r="G56" s="31">
        <f>+F56/$F$66</f>
        <v>0.6458244244591459</v>
      </c>
      <c r="H56" s="43">
        <f>+F56/$D$60</f>
        <v>390.25</v>
      </c>
      <c r="I56" s="43"/>
      <c r="J56" s="50"/>
      <c r="K56" s="51"/>
      <c r="L56" s="51"/>
      <c r="M56" s="51" t="s">
        <v>94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95</v>
      </c>
      <c r="N57" s="60"/>
      <c r="O57" s="61">
        <f>SUM(O54:O56)</f>
        <v>605.22</v>
      </c>
      <c r="P57" s="62"/>
      <c r="Q57" s="49"/>
    </row>
    <row r="58" spans="1:17" x14ac:dyDescent="0.2">
      <c r="B58" s="121" t="s">
        <v>96</v>
      </c>
      <c r="C58" s="121"/>
      <c r="D58" s="63">
        <v>620</v>
      </c>
      <c r="E58" s="64"/>
      <c r="G58" s="31"/>
      <c r="H58" s="57">
        <f>+H56/77</f>
        <v>5.0681818181818183</v>
      </c>
      <c r="I58" s="65"/>
      <c r="J58" s="50"/>
      <c r="K58" s="58"/>
      <c r="L58" s="51"/>
      <c r="M58" s="51" t="s">
        <v>97</v>
      </c>
      <c r="N58" s="66"/>
      <c r="O58" s="48">
        <f>+H59</f>
        <v>420.65909090909093</v>
      </c>
      <c r="P58" s="48"/>
      <c r="Q58" s="49"/>
    </row>
    <row r="59" spans="1:17" x14ac:dyDescent="0.2">
      <c r="B59" s="121" t="s">
        <v>98</v>
      </c>
      <c r="C59" s="121"/>
      <c r="D59" s="67">
        <v>620</v>
      </c>
      <c r="E59" s="64"/>
      <c r="G59" s="31"/>
      <c r="H59" s="57">
        <f>+H58*83</f>
        <v>420.65909090909093</v>
      </c>
      <c r="I59" s="65"/>
      <c r="J59" s="50"/>
      <c r="K59" s="58"/>
      <c r="L59" s="51"/>
      <c r="M59" s="122" t="s">
        <v>95</v>
      </c>
      <c r="N59" s="122"/>
      <c r="O59" s="48">
        <f>SUM(O57:O58)</f>
        <v>1025.879090909091</v>
      </c>
      <c r="P59" s="48"/>
      <c r="Q59" s="49"/>
    </row>
    <row r="60" spans="1:17" ht="13.5" thickBot="1" x14ac:dyDescent="0.25">
      <c r="B60" s="114" t="s">
        <v>99</v>
      </c>
      <c r="C60" s="114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22"/>
      <c r="M60" s="122"/>
      <c r="N60" s="66"/>
      <c r="O60" s="48">
        <f>+O59*N60</f>
        <v>0</v>
      </c>
      <c r="P60" s="48"/>
      <c r="Q60" s="49"/>
    </row>
    <row r="61" spans="1:17" ht="13.5" thickBot="1" x14ac:dyDescent="0.25">
      <c r="B61" s="114" t="s">
        <v>100</v>
      </c>
      <c r="C61" s="114"/>
      <c r="D61" s="69"/>
      <c r="E61" s="64"/>
      <c r="F61" s="68"/>
      <c r="G61" s="31"/>
      <c r="H61" s="57"/>
      <c r="I61" s="65"/>
      <c r="J61" s="50"/>
      <c r="K61" s="115" t="s">
        <v>101</v>
      </c>
      <c r="L61" s="116"/>
      <c r="M61" s="116"/>
      <c r="N61" s="117"/>
      <c r="O61" s="61">
        <f>SUM(O59:O60)</f>
        <v>1025.879090909091</v>
      </c>
      <c r="P61" s="70" t="s">
        <v>102</v>
      </c>
      <c r="Q61" s="49"/>
    </row>
    <row r="62" spans="1:17" ht="13.5" thickBot="1" x14ac:dyDescent="0.25">
      <c r="C62" s="40" t="s">
        <v>103</v>
      </c>
      <c r="D62" s="71"/>
      <c r="E62" s="14" t="s">
        <v>104</v>
      </c>
      <c r="F62" s="72" t="s">
        <v>105</v>
      </c>
      <c r="G62" s="31"/>
      <c r="H62" s="57"/>
      <c r="I62" s="65"/>
      <c r="J62" s="73"/>
      <c r="K62" s="74"/>
      <c r="L62" s="128" t="s">
        <v>106</v>
      </c>
      <c r="M62" s="128"/>
      <c r="N62" s="128"/>
      <c r="O62" s="75">
        <f>+O61/D60</f>
        <v>1025.879090909091</v>
      </c>
      <c r="P62" s="76">
        <f>+O62/D59</f>
        <v>1.654643695014663</v>
      </c>
      <c r="Q62" s="77"/>
    </row>
    <row r="63" spans="1:17" ht="13.5" thickBot="1" x14ac:dyDescent="0.25">
      <c r="B63" s="129" t="s">
        <v>91</v>
      </c>
      <c r="C63" s="129"/>
      <c r="D63" s="129"/>
      <c r="E63" s="78">
        <f>+F63/F63</f>
        <v>1</v>
      </c>
      <c r="F63" s="79">
        <f>SUM(F55)</f>
        <v>214.97</v>
      </c>
      <c r="G63" s="31">
        <f>+F63/$F$66</f>
        <v>0.35575368744646402</v>
      </c>
      <c r="H63" s="57"/>
      <c r="I63" s="65"/>
      <c r="K63" s="130"/>
      <c r="L63" s="131"/>
      <c r="M63" s="131"/>
      <c r="N63" s="131"/>
      <c r="O63" s="80"/>
      <c r="P63" s="81"/>
    </row>
    <row r="64" spans="1:17" ht="13.5" thickBot="1" x14ac:dyDescent="0.3">
      <c r="B64" s="132" t="s">
        <v>107</v>
      </c>
      <c r="C64" s="132"/>
      <c r="D64" s="132"/>
      <c r="E64" s="82">
        <v>0.02</v>
      </c>
      <c r="F64" s="79">
        <f>+F53*E64</f>
        <v>4.2964000000000002</v>
      </c>
      <c r="G64" s="31">
        <f>+F64/$F$66</f>
        <v>7.1101090512396522E-3</v>
      </c>
      <c r="H64" s="43"/>
      <c r="I64" s="65"/>
      <c r="J64" s="83"/>
      <c r="O64" s="84"/>
      <c r="P64" s="41"/>
    </row>
    <row r="65" spans="2:13" ht="13.5" thickBot="1" x14ac:dyDescent="0.3">
      <c r="B65" s="133" t="s">
        <v>108</v>
      </c>
      <c r="C65" s="134"/>
      <c r="D65" s="85">
        <v>5</v>
      </c>
      <c r="E65" s="86">
        <v>77</v>
      </c>
      <c r="F65" s="79">
        <f>+E65*D65</f>
        <v>385</v>
      </c>
      <c r="G65" s="31">
        <f>+F65/$F$66</f>
        <v>0.63713620350229638</v>
      </c>
      <c r="H65" s="43"/>
      <c r="I65" s="43"/>
      <c r="J65" s="33"/>
    </row>
    <row r="66" spans="2:13" ht="13.5" thickBot="1" x14ac:dyDescent="0.3">
      <c r="B66" s="135" t="s">
        <v>109</v>
      </c>
      <c r="C66" s="136"/>
      <c r="D66" s="136"/>
      <c r="E66" s="137"/>
      <c r="F66" s="56">
        <f>SUM(F63:F65)</f>
        <v>604.26639999999998</v>
      </c>
      <c r="G66" s="31">
        <f>+F66/$F$66</f>
        <v>1</v>
      </c>
      <c r="H66" s="138"/>
      <c r="I66" s="43"/>
      <c r="J66" s="33"/>
      <c r="M66" s="16" t="s">
        <v>110</v>
      </c>
    </row>
    <row r="67" spans="2:13" x14ac:dyDescent="0.25">
      <c r="C67" s="38"/>
      <c r="D67" s="38"/>
      <c r="E67" s="88"/>
      <c r="F67" s="79"/>
      <c r="G67" s="31"/>
      <c r="H67" s="138"/>
      <c r="I67" s="87"/>
      <c r="J67" s="16"/>
      <c r="M67" s="16" t="s">
        <v>111</v>
      </c>
    </row>
    <row r="68" spans="2:13" ht="13.5" thickBot="1" x14ac:dyDescent="0.3">
      <c r="B68" s="123" t="s">
        <v>112</v>
      </c>
      <c r="C68" s="123"/>
      <c r="D68" s="123"/>
      <c r="E68" s="123"/>
      <c r="F68" s="123"/>
      <c r="G68" s="31"/>
      <c r="H68" s="90"/>
      <c r="I68" s="87"/>
      <c r="J68" s="16"/>
      <c r="M68" s="16" t="s">
        <v>113</v>
      </c>
    </row>
    <row r="69" spans="2:13" ht="13.5" thickBot="1" x14ac:dyDescent="0.3">
      <c r="B69" s="91" t="s">
        <v>114</v>
      </c>
      <c r="C69" s="92">
        <f>+F53</f>
        <v>214.82</v>
      </c>
      <c r="D69" s="92">
        <f>+D58</f>
        <v>620</v>
      </c>
      <c r="E69" s="93">
        <f>+C69/D69</f>
        <v>0.34648387096774191</v>
      </c>
      <c r="F69" s="31"/>
      <c r="G69" s="90"/>
      <c r="H69" s="33"/>
      <c r="I69" s="90"/>
      <c r="J69" s="16"/>
    </row>
    <row r="70" spans="2:13" x14ac:dyDescent="0.25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5">
      <c r="B71" s="91" t="s">
        <v>115</v>
      </c>
      <c r="C71" s="92">
        <f>SUM(F63:F64)</f>
        <v>219.2664</v>
      </c>
      <c r="D71" s="92">
        <f>+D58</f>
        <v>620</v>
      </c>
      <c r="E71" s="97">
        <f>+C71/D71</f>
        <v>0.35365548387096774</v>
      </c>
      <c r="F71" s="31"/>
      <c r="G71" s="90"/>
      <c r="H71" s="33"/>
      <c r="I71" s="33"/>
      <c r="J71" s="16"/>
    </row>
    <row r="72" spans="2:13" x14ac:dyDescent="0.25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3">
      <c r="B73" s="91" t="s">
        <v>116</v>
      </c>
      <c r="C73" s="92">
        <f>+F65</f>
        <v>385</v>
      </c>
      <c r="D73" s="92">
        <f>+D58</f>
        <v>620</v>
      </c>
      <c r="E73" s="97">
        <f>+C73/D73</f>
        <v>0.62096774193548387</v>
      </c>
      <c r="F73" s="31"/>
      <c r="G73" s="90"/>
      <c r="H73" s="33"/>
      <c r="I73" s="33"/>
      <c r="J73" s="16"/>
    </row>
    <row r="74" spans="2:13" ht="13.5" thickBot="1" x14ac:dyDescent="0.3">
      <c r="B74" s="91" t="s">
        <v>117</v>
      </c>
      <c r="C74" s="92">
        <f>+F56</f>
        <v>390.25</v>
      </c>
      <c r="D74" s="92">
        <f>+D73</f>
        <v>620</v>
      </c>
      <c r="E74" s="93">
        <f>+C74/D74</f>
        <v>0.6294354838709677</v>
      </c>
      <c r="F74" s="31"/>
      <c r="G74" s="90"/>
      <c r="H74" s="33"/>
      <c r="I74" s="33"/>
      <c r="J74" s="16"/>
    </row>
    <row r="75" spans="2:13" ht="13.5" thickBot="1" x14ac:dyDescent="0.3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3">
      <c r="B76" s="91" t="s">
        <v>118</v>
      </c>
      <c r="C76" s="92">
        <f>+F54</f>
        <v>0.15</v>
      </c>
      <c r="D76" s="92">
        <f>+D74</f>
        <v>620</v>
      </c>
      <c r="E76" s="93">
        <f>+C76/D76</f>
        <v>2.4193548387096774E-4</v>
      </c>
      <c r="F76" s="31"/>
      <c r="G76" s="90"/>
      <c r="H76" s="33"/>
      <c r="I76" s="33"/>
      <c r="J76" s="33"/>
    </row>
    <row r="77" spans="2:13" ht="13.5" thickBot="1" x14ac:dyDescent="0.3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3">
      <c r="B78" s="124" t="s">
        <v>119</v>
      </c>
      <c r="C78" s="125"/>
      <c r="D78" s="126"/>
      <c r="E78" s="93">
        <f>+E69+E74</f>
        <v>0.97591935483870962</v>
      </c>
      <c r="G78" s="31"/>
      <c r="H78" s="90"/>
      <c r="I78" s="33"/>
      <c r="J78" s="97"/>
    </row>
    <row r="79" spans="2:13" x14ac:dyDescent="0.25">
      <c r="I79" s="90"/>
      <c r="J79" s="16"/>
    </row>
    <row r="80" spans="2:13" ht="13.5" thickBot="1" x14ac:dyDescent="0.3">
      <c r="B80" s="123" t="s">
        <v>120</v>
      </c>
      <c r="C80" s="123"/>
      <c r="D80" s="123"/>
      <c r="E80" s="123"/>
      <c r="F80" s="123"/>
      <c r="G80" s="31"/>
      <c r="H80" s="90"/>
      <c r="J80" s="16"/>
    </row>
    <row r="81" spans="1:10" ht="13.5" thickBot="1" x14ac:dyDescent="0.3">
      <c r="B81" s="91" t="s">
        <v>114</v>
      </c>
      <c r="C81" s="92">
        <f>+C69</f>
        <v>214.82</v>
      </c>
      <c r="D81" s="92">
        <f>+D60</f>
        <v>1</v>
      </c>
      <c r="E81" s="93">
        <f>+C81/D81</f>
        <v>214.82</v>
      </c>
      <c r="F81" s="31"/>
      <c r="G81" s="90"/>
      <c r="H81" s="33"/>
      <c r="I81" s="90"/>
      <c r="J81" s="16"/>
    </row>
    <row r="82" spans="1:10" x14ac:dyDescent="0.25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5">
      <c r="B83" s="91" t="s">
        <v>115</v>
      </c>
      <c r="C83" s="92">
        <f>+C71</f>
        <v>219.2664</v>
      </c>
      <c r="D83" s="92">
        <f>+D60</f>
        <v>1</v>
      </c>
      <c r="E83" s="97">
        <f>+C83/D83</f>
        <v>219.2664</v>
      </c>
      <c r="F83" s="31"/>
      <c r="G83" s="90"/>
      <c r="H83" s="33"/>
      <c r="I83" s="33"/>
      <c r="J83" s="16"/>
    </row>
    <row r="84" spans="1:10" x14ac:dyDescent="0.25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3">
      <c r="B85" s="91" t="s">
        <v>117</v>
      </c>
      <c r="C85" s="92">
        <f>+C73</f>
        <v>385</v>
      </c>
      <c r="D85" s="92">
        <f>+D60</f>
        <v>1</v>
      </c>
      <c r="E85" s="97">
        <f>+C85/D85</f>
        <v>385</v>
      </c>
      <c r="F85" s="99"/>
      <c r="G85" s="89"/>
      <c r="H85" s="15"/>
      <c r="I85" s="33"/>
    </row>
    <row r="86" spans="1:10" ht="13.5" thickBot="1" x14ac:dyDescent="0.3">
      <c r="B86" s="91" t="s">
        <v>117</v>
      </c>
      <c r="C86" s="92">
        <f>+C74</f>
        <v>390.25</v>
      </c>
      <c r="D86" s="92">
        <f>+D85</f>
        <v>1</v>
      </c>
      <c r="E86" s="93">
        <f>+C86/D86</f>
        <v>390.25</v>
      </c>
      <c r="F86" s="98"/>
      <c r="G86" s="89"/>
      <c r="H86" s="15"/>
      <c r="I86" s="15"/>
    </row>
    <row r="87" spans="1:10" x14ac:dyDescent="0.25">
      <c r="I87" s="15"/>
    </row>
    <row r="88" spans="1:10" x14ac:dyDescent="0.2">
      <c r="A88" s="127"/>
      <c r="B88" s="127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8C7-F624-4E4C-A699-6134700D65A9}">
  <sheetPr>
    <pageSetUpPr fitToPage="1"/>
  </sheetPr>
  <dimension ref="A1:I37"/>
  <sheetViews>
    <sheetView tabSelected="1" zoomScale="80" zoomScaleNormal="80" zoomScaleSheetLayoutView="7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2.5703125" customWidth="1"/>
    <col min="4" max="4" width="15.7109375" customWidth="1"/>
    <col min="5" max="5" width="11.5703125" bestFit="1" customWidth="1"/>
    <col min="7" max="7" width="21.42578125" customWidth="1"/>
    <col min="8" max="9" width="18.140625" customWidth="1"/>
  </cols>
  <sheetData>
    <row r="1" spans="1:9" ht="16.5" x14ac:dyDescent="0.3">
      <c r="A1" s="155"/>
      <c r="B1" s="156"/>
      <c r="C1" s="161" t="s">
        <v>103</v>
      </c>
      <c r="D1" s="161"/>
      <c r="E1" s="161"/>
      <c r="F1" s="161"/>
      <c r="G1" s="161"/>
      <c r="H1" s="2" t="s">
        <v>34</v>
      </c>
      <c r="I1" s="1" t="s">
        <v>128</v>
      </c>
    </row>
    <row r="2" spans="1:9" ht="16.5" thickBot="1" x14ac:dyDescent="0.3">
      <c r="A2" s="157"/>
      <c r="B2" s="158"/>
      <c r="C2" s="162" t="s">
        <v>33</v>
      </c>
      <c r="D2" s="163"/>
      <c r="E2" s="163"/>
      <c r="F2" s="163"/>
      <c r="G2" s="164"/>
      <c r="H2" s="3" t="s">
        <v>32</v>
      </c>
      <c r="I2" s="4" t="s">
        <v>131</v>
      </c>
    </row>
    <row r="3" spans="1:9" ht="30" customHeight="1" thickBot="1" x14ac:dyDescent="0.3">
      <c r="A3" s="157"/>
      <c r="B3" s="158"/>
      <c r="C3" s="260" t="s">
        <v>127</v>
      </c>
      <c r="D3" s="261"/>
      <c r="E3" s="261"/>
      <c r="F3" s="261"/>
      <c r="G3" s="262"/>
      <c r="H3" s="165" t="s">
        <v>31</v>
      </c>
      <c r="I3" s="146">
        <v>45835</v>
      </c>
    </row>
    <row r="4" spans="1:9" x14ac:dyDescent="0.25">
      <c r="A4" s="157"/>
      <c r="B4" s="158"/>
      <c r="C4" s="5" t="s">
        <v>30</v>
      </c>
      <c r="D4" s="149" t="s">
        <v>35</v>
      </c>
      <c r="E4" s="150"/>
      <c r="F4" s="150"/>
      <c r="G4" s="151"/>
      <c r="H4" s="166"/>
      <c r="I4" s="147"/>
    </row>
    <row r="5" spans="1:9" ht="15.75" thickBot="1" x14ac:dyDescent="0.3">
      <c r="A5" s="159"/>
      <c r="B5" s="160"/>
      <c r="C5" s="6" t="s">
        <v>29</v>
      </c>
      <c r="D5" s="152" t="s">
        <v>28</v>
      </c>
      <c r="E5" s="153"/>
      <c r="F5" s="153"/>
      <c r="G5" s="154"/>
      <c r="H5" s="167"/>
      <c r="I5" s="148"/>
    </row>
    <row r="6" spans="1:9" ht="18.75" thickBot="1" x14ac:dyDescent="0.3">
      <c r="A6" s="139" t="s">
        <v>27</v>
      </c>
      <c r="B6" s="139"/>
      <c r="C6" s="139"/>
      <c r="D6" s="258" t="s">
        <v>36</v>
      </c>
      <c r="E6" s="258"/>
      <c r="F6" s="258"/>
      <c r="G6" s="140" t="s">
        <v>26</v>
      </c>
      <c r="H6" s="140"/>
      <c r="I6" s="259" t="s">
        <v>38</v>
      </c>
    </row>
    <row r="7" spans="1:9" ht="32.25" customHeight="1" x14ac:dyDescent="0.25">
      <c r="A7" s="141" t="s">
        <v>25</v>
      </c>
      <c r="B7" s="143" t="s">
        <v>37</v>
      </c>
      <c r="C7" s="144" t="s">
        <v>24</v>
      </c>
      <c r="D7" s="144" t="s">
        <v>23</v>
      </c>
      <c r="E7" s="144" t="s">
        <v>22</v>
      </c>
      <c r="F7" s="144"/>
      <c r="G7" s="144" t="s">
        <v>21</v>
      </c>
      <c r="H7" s="144"/>
      <c r="I7" s="7" t="s">
        <v>20</v>
      </c>
    </row>
    <row r="8" spans="1:9" ht="27" thickBot="1" x14ac:dyDescent="0.3">
      <c r="A8" s="142"/>
      <c r="B8" s="255"/>
      <c r="C8" s="256"/>
      <c r="D8" s="145"/>
      <c r="E8" s="8" t="s">
        <v>13</v>
      </c>
      <c r="F8" s="9" t="s">
        <v>19</v>
      </c>
      <c r="G8" s="8" t="s">
        <v>13</v>
      </c>
      <c r="H8" s="9" t="s">
        <v>19</v>
      </c>
      <c r="I8" s="10" t="s">
        <v>18</v>
      </c>
    </row>
    <row r="9" spans="1:9" ht="20.25" x14ac:dyDescent="0.3">
      <c r="A9" s="168"/>
      <c r="B9" s="257" t="s">
        <v>125</v>
      </c>
      <c r="C9" s="257" t="s">
        <v>67</v>
      </c>
      <c r="D9" s="169" t="s">
        <v>14</v>
      </c>
      <c r="E9" s="170">
        <v>150</v>
      </c>
      <c r="F9" s="171" t="s">
        <v>1</v>
      </c>
      <c r="G9" s="170"/>
      <c r="H9" s="171"/>
      <c r="I9" s="172"/>
    </row>
    <row r="10" spans="1:9" ht="20.25" x14ac:dyDescent="0.3">
      <c r="A10" s="173"/>
      <c r="B10" s="257" t="s">
        <v>126</v>
      </c>
      <c r="C10" s="257" t="s">
        <v>66</v>
      </c>
      <c r="D10" s="174" t="s">
        <v>14</v>
      </c>
      <c r="E10" s="175">
        <v>100</v>
      </c>
      <c r="F10" s="176" t="s">
        <v>1</v>
      </c>
      <c r="G10" s="177"/>
      <c r="H10" s="178"/>
      <c r="I10" s="172"/>
    </row>
    <row r="11" spans="1:9" ht="20.25" x14ac:dyDescent="0.3">
      <c r="A11" s="174"/>
      <c r="B11" s="257"/>
      <c r="C11" s="257"/>
      <c r="D11" s="174"/>
      <c r="E11" s="175"/>
      <c r="F11" s="176"/>
      <c r="G11" s="177"/>
      <c r="H11" s="178"/>
      <c r="I11" s="172"/>
    </row>
    <row r="12" spans="1:9" ht="20.25" x14ac:dyDescent="0.3">
      <c r="A12" s="179"/>
      <c r="B12" s="180"/>
      <c r="C12" s="181" t="s">
        <v>38</v>
      </c>
      <c r="D12" s="182"/>
      <c r="E12" s="183"/>
      <c r="F12" s="184"/>
      <c r="G12" s="185"/>
      <c r="H12" s="178"/>
      <c r="I12" s="172"/>
    </row>
    <row r="13" spans="1:9" ht="20.25" x14ac:dyDescent="0.3">
      <c r="A13" s="186">
        <v>401000002</v>
      </c>
      <c r="B13" s="187" t="s">
        <v>58</v>
      </c>
      <c r="C13" s="188" t="s">
        <v>59</v>
      </c>
      <c r="D13" s="185" t="s">
        <v>60</v>
      </c>
      <c r="E13" s="185">
        <v>1</v>
      </c>
      <c r="F13" s="189" t="s">
        <v>6</v>
      </c>
      <c r="G13" s="185"/>
      <c r="H13" s="178"/>
      <c r="I13" s="172"/>
    </row>
    <row r="14" spans="1:9" ht="20.25" x14ac:dyDescent="0.3">
      <c r="A14" s="186">
        <v>702069</v>
      </c>
      <c r="B14" s="187" t="s">
        <v>61</v>
      </c>
      <c r="C14" s="188" t="s">
        <v>62</v>
      </c>
      <c r="D14" s="185" t="s">
        <v>63</v>
      </c>
      <c r="E14" s="185">
        <v>2</v>
      </c>
      <c r="F14" s="189" t="s">
        <v>6</v>
      </c>
      <c r="G14" s="185"/>
      <c r="H14" s="178"/>
      <c r="I14" s="172"/>
    </row>
    <row r="15" spans="1:9" ht="20.25" x14ac:dyDescent="0.3">
      <c r="A15" s="190">
        <v>702007</v>
      </c>
      <c r="B15" s="191" t="s">
        <v>64</v>
      </c>
      <c r="C15" s="192" t="s">
        <v>65</v>
      </c>
      <c r="D15" s="185" t="s">
        <v>63</v>
      </c>
      <c r="E15" s="185">
        <v>1</v>
      </c>
      <c r="F15" s="189" t="s">
        <v>6</v>
      </c>
      <c r="G15" s="185"/>
      <c r="H15" s="178"/>
      <c r="I15" s="172"/>
    </row>
    <row r="16" spans="1:9" ht="20.25" x14ac:dyDescent="0.3">
      <c r="A16" s="193"/>
      <c r="B16" s="193"/>
      <c r="C16" s="188"/>
      <c r="D16" s="185"/>
      <c r="E16" s="185"/>
      <c r="F16" s="185"/>
      <c r="G16" s="185"/>
      <c r="H16" s="178"/>
      <c r="I16" s="172"/>
    </row>
    <row r="17" spans="1:9" ht="20.25" x14ac:dyDescent="0.3">
      <c r="A17" s="193"/>
      <c r="B17" s="193"/>
      <c r="C17" s="188"/>
      <c r="D17" s="185"/>
      <c r="E17" s="185"/>
      <c r="F17" s="185"/>
      <c r="G17" s="185"/>
      <c r="H17" s="178"/>
      <c r="I17" s="172"/>
    </row>
    <row r="18" spans="1:9" ht="20.25" x14ac:dyDescent="0.3">
      <c r="A18" s="194"/>
      <c r="B18" s="194"/>
      <c r="C18" s="195"/>
      <c r="D18" s="185"/>
      <c r="E18" s="196"/>
      <c r="F18" s="196"/>
      <c r="G18" s="197"/>
      <c r="H18" s="171"/>
      <c r="I18" s="172"/>
    </row>
    <row r="19" spans="1:9" ht="21" thickBot="1" x14ac:dyDescent="0.35">
      <c r="A19" s="198"/>
      <c r="B19" s="199"/>
      <c r="C19" s="200"/>
      <c r="D19" s="200"/>
      <c r="E19" s="201"/>
      <c r="F19" s="202"/>
      <c r="G19" s="200"/>
      <c r="H19" s="200"/>
      <c r="I19" s="203"/>
    </row>
    <row r="20" spans="1:9" ht="21" thickBot="1" x14ac:dyDescent="0.35">
      <c r="A20" s="204"/>
      <c r="B20" s="205"/>
      <c r="C20" s="206"/>
      <c r="D20" s="207" t="s">
        <v>13</v>
      </c>
      <c r="E20" s="208" t="s">
        <v>12</v>
      </c>
      <c r="F20" s="209"/>
      <c r="G20" s="206"/>
      <c r="H20" s="206"/>
      <c r="I20" s="210"/>
    </row>
    <row r="21" spans="1:9" ht="20.25" x14ac:dyDescent="0.3">
      <c r="A21" s="211" t="s">
        <v>11</v>
      </c>
      <c r="B21" s="212"/>
      <c r="C21" s="213"/>
      <c r="D21" s="214">
        <v>250</v>
      </c>
      <c r="E21" s="215" t="s">
        <v>1</v>
      </c>
      <c r="F21" s="216" t="s">
        <v>39</v>
      </c>
      <c r="G21" s="216"/>
      <c r="H21" s="217"/>
      <c r="I21" s="218"/>
    </row>
    <row r="22" spans="1:9" ht="20.25" x14ac:dyDescent="0.3">
      <c r="A22" s="219" t="s">
        <v>10</v>
      </c>
      <c r="B22" s="220"/>
      <c r="C22" s="221"/>
      <c r="D22" s="222">
        <v>1</v>
      </c>
      <c r="E22" s="185" t="s">
        <v>9</v>
      </c>
      <c r="F22" s="223" t="s">
        <v>8</v>
      </c>
      <c r="G22" s="223"/>
      <c r="H22" s="224"/>
      <c r="I22" s="225"/>
    </row>
    <row r="23" spans="1:9" ht="20.25" x14ac:dyDescent="0.3">
      <c r="A23" s="219" t="s">
        <v>7</v>
      </c>
      <c r="B23" s="220"/>
      <c r="C23" s="221"/>
      <c r="D23" s="222">
        <v>1</v>
      </c>
      <c r="E23" s="185" t="s">
        <v>6</v>
      </c>
      <c r="F23" s="223" t="s">
        <v>5</v>
      </c>
      <c r="G23" s="223"/>
      <c r="H23" s="224"/>
      <c r="I23" s="225"/>
    </row>
    <row r="24" spans="1:9" ht="20.25" x14ac:dyDescent="0.3">
      <c r="A24" s="219" t="s">
        <v>4</v>
      </c>
      <c r="B24" s="220"/>
      <c r="C24" s="221"/>
      <c r="D24" s="222">
        <v>250</v>
      </c>
      <c r="E24" s="185" t="s">
        <v>1</v>
      </c>
      <c r="F24" s="226" t="s">
        <v>3</v>
      </c>
      <c r="G24" s="227"/>
      <c r="H24" s="228"/>
      <c r="I24" s="229"/>
    </row>
    <row r="25" spans="1:9" ht="21" thickBot="1" x14ac:dyDescent="0.35">
      <c r="A25" s="230" t="s">
        <v>2</v>
      </c>
      <c r="B25" s="231"/>
      <c r="C25" s="232"/>
      <c r="D25" s="233">
        <v>0</v>
      </c>
      <c r="E25" s="234" t="s">
        <v>1</v>
      </c>
      <c r="F25" s="235"/>
      <c r="G25" s="235"/>
      <c r="H25" s="224"/>
      <c r="I25" s="225"/>
    </row>
    <row r="26" spans="1:9" ht="21" thickBot="1" x14ac:dyDescent="0.35">
      <c r="A26" s="263" t="s">
        <v>0</v>
      </c>
      <c r="B26" s="264"/>
      <c r="C26" s="264"/>
      <c r="D26" s="264"/>
      <c r="E26" s="264"/>
      <c r="F26" s="264"/>
      <c r="G26" s="264"/>
      <c r="H26" s="264"/>
      <c r="I26" s="265"/>
    </row>
    <row r="27" spans="1:9" ht="20.25" x14ac:dyDescent="0.3">
      <c r="A27" s="236" t="s">
        <v>130</v>
      </c>
      <c r="B27" s="237"/>
      <c r="C27" s="238"/>
      <c r="D27" s="238"/>
      <c r="E27" s="238"/>
      <c r="F27" s="238"/>
      <c r="G27" s="238"/>
      <c r="H27" s="238"/>
      <c r="I27" s="239"/>
    </row>
    <row r="28" spans="1:9" ht="20.25" x14ac:dyDescent="0.3">
      <c r="A28" s="240" t="s">
        <v>68</v>
      </c>
      <c r="B28" s="241"/>
      <c r="C28" s="242"/>
      <c r="D28" s="242"/>
      <c r="E28" s="242"/>
      <c r="F28" s="242"/>
      <c r="G28" s="242"/>
      <c r="H28" s="242"/>
      <c r="I28" s="243"/>
    </row>
    <row r="29" spans="1:9" ht="20.25" x14ac:dyDescent="0.3">
      <c r="A29" s="244"/>
      <c r="B29" s="245"/>
      <c r="C29" s="246"/>
      <c r="D29" s="246"/>
      <c r="E29" s="246"/>
      <c r="F29" s="246"/>
      <c r="G29" s="246"/>
      <c r="H29" s="246"/>
      <c r="I29" s="247"/>
    </row>
    <row r="30" spans="1:9" ht="20.25" x14ac:dyDescent="0.25">
      <c r="A30" s="248"/>
      <c r="B30" s="249"/>
      <c r="C30" s="249"/>
      <c r="D30" s="249"/>
      <c r="E30" s="249"/>
      <c r="F30" s="249"/>
      <c r="G30" s="249"/>
      <c r="H30" s="249"/>
      <c r="I30" s="250"/>
    </row>
    <row r="31" spans="1:9" ht="20.25" x14ac:dyDescent="0.3">
      <c r="A31" s="251"/>
      <c r="B31" s="252"/>
      <c r="C31" s="253"/>
      <c r="D31" s="253"/>
      <c r="E31" s="253"/>
      <c r="F31" s="253"/>
      <c r="G31" s="253"/>
      <c r="H31" s="253"/>
      <c r="I31" s="254"/>
    </row>
    <row r="32" spans="1:9" ht="20.25" x14ac:dyDescent="0.3">
      <c r="A32" s="240"/>
      <c r="B32" s="241"/>
      <c r="C32" s="242"/>
      <c r="D32" s="242"/>
      <c r="E32" s="242"/>
      <c r="F32" s="242"/>
      <c r="G32" s="242"/>
      <c r="H32" s="242"/>
      <c r="I32" s="243"/>
    </row>
    <row r="33" spans="1:9" ht="20.25" x14ac:dyDescent="0.3">
      <c r="A33" s="240"/>
      <c r="B33" s="241"/>
      <c r="C33" s="242"/>
      <c r="D33" s="242"/>
      <c r="E33" s="242"/>
      <c r="F33" s="242"/>
      <c r="G33" s="242"/>
      <c r="H33" s="242"/>
      <c r="I33" s="243"/>
    </row>
    <row r="34" spans="1:9" ht="20.25" x14ac:dyDescent="0.3">
      <c r="A34" s="266"/>
      <c r="B34" s="267"/>
      <c r="C34" s="268"/>
      <c r="D34" s="268"/>
      <c r="E34" s="268"/>
      <c r="F34" s="268"/>
      <c r="G34" s="268"/>
      <c r="H34" s="268"/>
      <c r="I34" s="269"/>
    </row>
    <row r="35" spans="1:9" ht="20.25" x14ac:dyDescent="0.3">
      <c r="A35" s="270" t="s">
        <v>40</v>
      </c>
      <c r="B35" s="270"/>
      <c r="C35" s="270"/>
      <c r="D35" s="270"/>
      <c r="E35" s="270"/>
      <c r="F35" s="270"/>
      <c r="G35" s="270"/>
      <c r="H35" s="270"/>
      <c r="I35" s="270"/>
    </row>
    <row r="36" spans="1:9" ht="20.25" x14ac:dyDescent="0.3">
      <c r="A36" s="271" t="s">
        <v>129</v>
      </c>
      <c r="B36" s="271"/>
      <c r="C36" s="271"/>
      <c r="D36" s="271"/>
      <c r="E36" s="271"/>
      <c r="F36" s="271"/>
      <c r="G36" s="271"/>
      <c r="H36" s="271"/>
      <c r="I36" s="271"/>
    </row>
    <row r="37" spans="1:9" ht="20.25" x14ac:dyDescent="0.3">
      <c r="A37" s="271"/>
      <c r="B37" s="271"/>
      <c r="C37" s="271"/>
      <c r="D37" s="271"/>
      <c r="E37" s="271"/>
      <c r="F37" s="271"/>
      <c r="G37" s="271"/>
      <c r="H37" s="271"/>
      <c r="I37" s="27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35:I35"/>
    <mergeCell ref="A36:I36"/>
    <mergeCell ref="A37:I37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pageSetup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9B96-AC23-4676-90CD-36A294BD916E}">
  <dimension ref="A1:Q91"/>
  <sheetViews>
    <sheetView workbookViewId="0">
      <selection activeCell="O64" sqref="O64"/>
    </sheetView>
  </sheetViews>
  <sheetFormatPr baseColWidth="10" defaultColWidth="8.42578125" defaultRowHeight="12.75" x14ac:dyDescent="0.25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5">
      <c r="A1" s="11"/>
      <c r="B1" s="11"/>
      <c r="C1" s="11"/>
      <c r="D1" s="11"/>
      <c r="E1" s="12" t="s">
        <v>69</v>
      </c>
      <c r="F1" s="13" t="s">
        <v>70</v>
      </c>
      <c r="G1" s="13" t="s">
        <v>71</v>
      </c>
      <c r="H1" s="13" t="s">
        <v>72</v>
      </c>
      <c r="I1" s="14"/>
    </row>
    <row r="2" spans="1:10" ht="30.75" customHeight="1" x14ac:dyDescent="0.25">
      <c r="A2" s="11"/>
      <c r="B2" s="11"/>
      <c r="C2" s="11"/>
      <c r="D2" s="11"/>
      <c r="E2" s="17">
        <f>IFERROR(O62,"")</f>
        <v>1289.9028188724965</v>
      </c>
      <c r="F2" s="17">
        <f>IFERROR(H53,"")</f>
        <v>897.89979075850056</v>
      </c>
      <c r="G2" s="17">
        <f>IFERROR(H54,"")</f>
        <v>12.026201685556526</v>
      </c>
      <c r="H2" s="17">
        <f>IFERROR(H56,"")</f>
        <v>182.86384771868643</v>
      </c>
      <c r="I2" s="18"/>
    </row>
    <row r="3" spans="1:10" ht="15" customHeight="1" x14ac:dyDescent="0.25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3">
      <c r="A4" s="109"/>
      <c r="B4" s="109"/>
      <c r="C4" s="109"/>
      <c r="D4" s="109"/>
      <c r="E4" s="109"/>
      <c r="F4" s="109"/>
      <c r="G4" s="109"/>
      <c r="H4" s="109"/>
      <c r="I4" s="20"/>
    </row>
    <row r="5" spans="1:10" ht="19.5" customHeight="1" thickBot="1" x14ac:dyDescent="0.3">
      <c r="A5" s="110" t="s">
        <v>73</v>
      </c>
      <c r="B5" s="111"/>
      <c r="C5" s="111"/>
      <c r="D5" s="111"/>
      <c r="E5" s="111"/>
      <c r="F5" s="111"/>
      <c r="G5" s="111"/>
      <c r="H5" s="112"/>
      <c r="I5" s="21"/>
    </row>
    <row r="6" spans="1:10" ht="19.5" thickBot="1" x14ac:dyDescent="0.3">
      <c r="A6" s="21"/>
      <c r="B6" s="21"/>
      <c r="C6" s="21"/>
      <c r="D6" s="21"/>
      <c r="E6" s="21"/>
      <c r="F6" s="113" t="s">
        <v>74</v>
      </c>
      <c r="G6" s="113"/>
      <c r="H6" s="22">
        <f ca="1">TODAY()</f>
        <v>45937</v>
      </c>
      <c r="I6" s="22"/>
    </row>
    <row r="7" spans="1:10" ht="26.25" hidden="1" thickBot="1" x14ac:dyDescent="0.3">
      <c r="A7" s="23" t="s">
        <v>75</v>
      </c>
      <c r="B7" s="24" t="s">
        <v>76</v>
      </c>
      <c r="C7" s="24" t="s">
        <v>75</v>
      </c>
      <c r="D7" s="25" t="s">
        <v>77</v>
      </c>
      <c r="E7" s="25" t="s">
        <v>78</v>
      </c>
      <c r="F7" s="25" t="s">
        <v>79</v>
      </c>
      <c r="G7" s="25" t="s">
        <v>80</v>
      </c>
      <c r="H7" s="26" t="s">
        <v>81</v>
      </c>
      <c r="I7" s="27"/>
    </row>
    <row r="8" spans="1:10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IFERROR(F8/$F$66,"")</f>
        <v/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hidden="1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3">
      <c r="A16" s="23" t="s">
        <v>75</v>
      </c>
      <c r="B16" s="24" t="s">
        <v>82</v>
      </c>
      <c r="C16" s="24" t="s">
        <v>75</v>
      </c>
      <c r="D16" s="25" t="s">
        <v>77</v>
      </c>
      <c r="E16" s="25" t="s">
        <v>78</v>
      </c>
      <c r="F16" s="25" t="s">
        <v>79</v>
      </c>
      <c r="G16" s="25" t="s">
        <v>80</v>
      </c>
      <c r="H16" s="26" t="s">
        <v>81</v>
      </c>
      <c r="I16" s="27"/>
      <c r="J16" s="33"/>
    </row>
    <row r="17" spans="1:12" ht="13.5" x14ac:dyDescent="0.25">
      <c r="A17" s="28">
        <v>150</v>
      </c>
      <c r="B17" s="16" t="s">
        <v>67</v>
      </c>
      <c r="C17" s="29">
        <f>+A17</f>
        <v>150</v>
      </c>
      <c r="D17" s="29" t="s">
        <v>121</v>
      </c>
      <c r="E17" s="30">
        <f>+'Costo coccion'!E69</f>
        <v>5.8012072072072076</v>
      </c>
      <c r="F17" s="30">
        <f>IFERROR(E17*C17,"")</f>
        <v>870.18108108108117</v>
      </c>
      <c r="G17" s="31">
        <f t="shared" ref="G17:G24" si="3">IFERROR(F17/$F$66,"")</f>
        <v>0.86595178274111684</v>
      </c>
      <c r="H17" s="32"/>
      <c r="I17" s="32"/>
      <c r="J17" s="33"/>
    </row>
    <row r="18" spans="1:12" ht="13.5" x14ac:dyDescent="0.25">
      <c r="A18" s="28">
        <v>80</v>
      </c>
      <c r="B18" s="16" t="s">
        <v>66</v>
      </c>
      <c r="C18" s="29">
        <f t="shared" ref="C18:C24" si="4">+A18</f>
        <v>80</v>
      </c>
      <c r="D18" s="29" t="s">
        <v>121</v>
      </c>
      <c r="E18" s="30">
        <f>+'costo Salsa'!E69</f>
        <v>0.34648387096774191</v>
      </c>
      <c r="F18" s="30">
        <f t="shared" ref="F18:F24" si="5">IFERROR(E18*C18,"")</f>
        <v>27.718709677419355</v>
      </c>
      <c r="G18" s="31">
        <f t="shared" si="3"/>
        <v>2.7583989795117364E-2</v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3">
      <c r="A26" s="23" t="s">
        <v>75</v>
      </c>
      <c r="B26" s="24" t="s">
        <v>83</v>
      </c>
      <c r="C26" s="24" t="s">
        <v>75</v>
      </c>
      <c r="D26" s="25" t="s">
        <v>77</v>
      </c>
      <c r="E26" s="25" t="s">
        <v>78</v>
      </c>
      <c r="F26" s="25" t="s">
        <v>79</v>
      </c>
      <c r="G26" s="25" t="s">
        <v>80</v>
      </c>
      <c r="H26" s="26" t="s">
        <v>81</v>
      </c>
      <c r="I26" s="27"/>
    </row>
    <row r="27" spans="1:12" ht="13.5" x14ac:dyDescent="0.25">
      <c r="A27" s="28">
        <v>1</v>
      </c>
      <c r="B27" s="34" t="str">
        <f>IFERROR(VLOOKUP(H27,'[1]Consolidado MP Planta'!$A$2:$M$823,3,0),"")</f>
        <v>BOLSA TRANSPARENTE 6X6X4 KILO</v>
      </c>
      <c r="C27" s="29">
        <f t="shared" ref="C27:C32" si="6">+A27</f>
        <v>1</v>
      </c>
      <c r="D27" s="30" t="str">
        <f>IFERROR(VLOOKUP(H27,'[1]Consolidado MP Planta'!$A$2:$M$823,13,0),"")</f>
        <v>Und</v>
      </c>
      <c r="E27" s="30">
        <v>10.5</v>
      </c>
      <c r="F27" s="30">
        <f t="shared" ref="F27:F32" si="7">IFERROR(C27*E27,"")</f>
        <v>10.5</v>
      </c>
      <c r="G27" s="31">
        <f t="shared" ref="G27:G32" si="8">IFERROR(F27/$F$66,"")</f>
        <v>1.0448967366063102E-2</v>
      </c>
      <c r="H27" s="35" t="s">
        <v>122</v>
      </c>
      <c r="I27" s="35"/>
      <c r="J27" s="33"/>
      <c r="K27" s="108"/>
      <c r="L27" s="108"/>
    </row>
    <row r="28" spans="1:12" ht="13.5" x14ac:dyDescent="0.25">
      <c r="A28" s="28">
        <v>2</v>
      </c>
      <c r="B28" s="34" t="str">
        <f>IFERROR(VLOOKUP(H28,'[1]Consolidado MP Planta'!$A$2:$M$823,3,0),"")</f>
        <v>ETIQ.BLANCA 1 1/4 * 3/4 (UND)</v>
      </c>
      <c r="C28" s="29">
        <f t="shared" si="6"/>
        <v>2</v>
      </c>
      <c r="D28" s="30" t="str">
        <f>IFERROR(VLOOKUP(H28,'[1]Consolidado MP Planta'!$A$2:$M$823,13,0),"")</f>
        <v>Und</v>
      </c>
      <c r="E28" s="30">
        <f>IFERROR(VLOOKUP(H28,'[1]Consolidado MP Planta'!$A$2:$M$823,12,0),"")</f>
        <v>0.57999999999999996</v>
      </c>
      <c r="F28" s="30">
        <f t="shared" si="7"/>
        <v>1.1599999999999999</v>
      </c>
      <c r="G28" s="31">
        <f t="shared" si="8"/>
        <v>1.1543621090126853E-3</v>
      </c>
      <c r="H28" s="35" t="s">
        <v>123</v>
      </c>
      <c r="I28" s="35"/>
      <c r="J28" s="33"/>
      <c r="K28" s="108"/>
      <c r="L28" s="108"/>
    </row>
    <row r="29" spans="1:12" ht="13.5" x14ac:dyDescent="0.25">
      <c r="A29" s="28">
        <v>1</v>
      </c>
      <c r="B29" s="34" t="str">
        <f>IFERROR(VLOOKUP(H29,'[1]Consolidado MP Planta'!$A$2:$M$823,3,0),"")</f>
        <v>ETIQ.FECHA VENCIMIENTO BLANCO (ROLLO)</v>
      </c>
      <c r="C29" s="29">
        <f t="shared" si="6"/>
        <v>1</v>
      </c>
      <c r="D29" s="30" t="str">
        <f>IFERROR(VLOOKUP(H29,'[1]Consolidado MP Planta'!$A$2:$M$823,13,0),"")</f>
        <v>Gramos</v>
      </c>
      <c r="E29" s="30">
        <f>IFERROR(VLOOKUP(H29,'[1]Consolidado MP Planta'!$A$2:$M$823,12,0),"")</f>
        <v>0.33333333333333331</v>
      </c>
      <c r="F29" s="30">
        <f t="shared" si="7"/>
        <v>0.33333333333333331</v>
      </c>
      <c r="G29" s="31">
        <f t="shared" si="8"/>
        <v>3.3171324971628891E-4</v>
      </c>
      <c r="H29" s="35" t="s">
        <v>124</v>
      </c>
      <c r="I29" s="35"/>
      <c r="J29" s="33"/>
      <c r="K29" s="108"/>
      <c r="L29" s="108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108"/>
      <c r="L30" s="108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75</v>
      </c>
      <c r="B34" s="24" t="s">
        <v>84</v>
      </c>
      <c r="C34" s="24" t="s">
        <v>75</v>
      </c>
      <c r="D34" s="25" t="s">
        <v>77</v>
      </c>
      <c r="E34" s="25" t="s">
        <v>78</v>
      </c>
      <c r="F34" s="25" t="s">
        <v>79</v>
      </c>
      <c r="G34" s="25" t="s">
        <v>80</v>
      </c>
      <c r="H34" s="26" t="s">
        <v>81</v>
      </c>
      <c r="I34" s="35"/>
      <c r="J34" s="33"/>
    </row>
    <row r="35" spans="1:13" ht="13.5" x14ac:dyDescent="0.25">
      <c r="A35" s="28">
        <f>+A17</f>
        <v>150</v>
      </c>
      <c r="B35" s="34" t="s">
        <v>67</v>
      </c>
      <c r="C35" s="29">
        <f>+A35</f>
        <v>150</v>
      </c>
      <c r="D35" s="30" t="s">
        <v>121</v>
      </c>
      <c r="E35" s="30">
        <f>+'Costo coccion'!E76</f>
        <v>9.0090090090090091E-5</v>
      </c>
      <c r="F35" s="30">
        <f>IFERROR(E35*C35,"")</f>
        <v>1.3513513513513514E-2</v>
      </c>
      <c r="G35" s="31">
        <f t="shared" ref="G35:G41" si="9">IFERROR(F35/$F$66,"")</f>
        <v>1.344783444795766E-5</v>
      </c>
      <c r="H35" s="35"/>
      <c r="I35" s="35"/>
      <c r="J35" s="33"/>
    </row>
    <row r="36" spans="1:13" ht="13.5" x14ac:dyDescent="0.25">
      <c r="A36" s="28">
        <f t="shared" ref="A36:A41" si="10">+A18</f>
        <v>80</v>
      </c>
      <c r="B36" s="34" t="s">
        <v>66</v>
      </c>
      <c r="C36" s="29">
        <f t="shared" ref="C36:C41" si="11">+A36</f>
        <v>80</v>
      </c>
      <c r="D36" s="30" t="s">
        <v>121</v>
      </c>
      <c r="E36" s="30">
        <f>+'costo Salsa'!E76</f>
        <v>2.4193548387096774E-4</v>
      </c>
      <c r="F36" s="30">
        <f t="shared" ref="F36:F41" si="12">IFERROR(E36*C36,"")</f>
        <v>1.935483870967742E-2</v>
      </c>
      <c r="G36" s="31">
        <f t="shared" si="9"/>
        <v>1.9260769338365165E-5</v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3">
      <c r="A43" s="23" t="s">
        <v>75</v>
      </c>
      <c r="B43" s="24" t="s">
        <v>85</v>
      </c>
      <c r="C43" s="24" t="s">
        <v>75</v>
      </c>
      <c r="D43" s="25" t="s">
        <v>77</v>
      </c>
      <c r="E43" s="25" t="s">
        <v>78</v>
      </c>
      <c r="F43" s="25" t="s">
        <v>79</v>
      </c>
      <c r="G43" s="25" t="s">
        <v>80</v>
      </c>
      <c r="H43" s="26" t="s">
        <v>81</v>
      </c>
      <c r="I43" s="27"/>
      <c r="J43" s="33"/>
    </row>
    <row r="44" spans="1:13" ht="13.5" x14ac:dyDescent="0.25">
      <c r="A44" s="28">
        <f>+A35</f>
        <v>150</v>
      </c>
      <c r="B44" s="34" t="s">
        <v>67</v>
      </c>
      <c r="C44" s="29">
        <f>+A44</f>
        <v>150</v>
      </c>
      <c r="D44" s="30" t="s">
        <v>121</v>
      </c>
      <c r="E44" s="30">
        <f>+'Costo coccion'!E74</f>
        <v>0.37006006006006004</v>
      </c>
      <c r="F44" s="30">
        <f>IFERROR(E44*C44,"")</f>
        <v>55.509009009009006</v>
      </c>
      <c r="G44" s="31">
        <f>IFERROR(F44/$F$66,"")</f>
        <v>5.5239221300727406E-2</v>
      </c>
      <c r="H44" s="35"/>
      <c r="I44" s="27"/>
      <c r="J44" s="33"/>
    </row>
    <row r="45" spans="1:13" ht="13.5" x14ac:dyDescent="0.25">
      <c r="A45" s="28">
        <f t="shared" ref="A45:A50" si="13">+A36</f>
        <v>80</v>
      </c>
      <c r="B45" s="34" t="s">
        <v>66</v>
      </c>
      <c r="C45" s="29">
        <f t="shared" ref="C45:C50" si="14">+A45</f>
        <v>80</v>
      </c>
      <c r="D45" s="30" t="s">
        <v>121</v>
      </c>
      <c r="E45" s="30">
        <f>+'costo Salsa'!E74</f>
        <v>0.6294354838709677</v>
      </c>
      <c r="F45" s="30">
        <f t="shared" ref="F45:F50" si="15">IFERROR(E45*C45,"")</f>
        <v>50.354838709677416</v>
      </c>
      <c r="G45" s="31">
        <f t="shared" ref="G45:G50" si="16">IFERROR(F45/$F$66,"")</f>
        <v>5.0110101561980029E-2</v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86</v>
      </c>
      <c r="C51" s="29">
        <f>+A51</f>
        <v>1</v>
      </c>
      <c r="D51" s="29" t="s">
        <v>87</v>
      </c>
      <c r="E51" s="30">
        <f>+F65</f>
        <v>77</v>
      </c>
      <c r="F51" s="30">
        <f>IFERROR(C51*E51,"")</f>
        <v>77</v>
      </c>
      <c r="G51" s="31">
        <f>IFERROR(F51/$F$66,"")</f>
        <v>7.6625760684462738E-2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3">
      <c r="A53" s="40"/>
      <c r="B53" s="118" t="s">
        <v>88</v>
      </c>
      <c r="C53" s="118"/>
      <c r="D53" s="118"/>
      <c r="E53" s="118"/>
      <c r="F53" s="42">
        <f>SUM(F8:F14,F17:F24)</f>
        <v>897.89979075850056</v>
      </c>
      <c r="G53" s="31">
        <f>+F53/$F$66</f>
        <v>0.89353577253623417</v>
      </c>
      <c r="H53" s="43">
        <f>+F53/$D$60</f>
        <v>897.89979075850056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18" t="s">
        <v>89</v>
      </c>
      <c r="C54" s="118"/>
      <c r="D54" s="118"/>
      <c r="E54" s="118"/>
      <c r="F54" s="42">
        <f>SUM(F27:F32,F35:F41)</f>
        <v>12.026201685556526</v>
      </c>
      <c r="G54" s="31">
        <f>+F54/$F$66</f>
        <v>1.1967751328578399E-2</v>
      </c>
      <c r="H54" s="43">
        <f>+F54/$D$60</f>
        <v>12.026201685556526</v>
      </c>
      <c r="I54" s="43"/>
      <c r="J54" s="47"/>
      <c r="K54" s="119" t="s">
        <v>90</v>
      </c>
      <c r="L54" s="120"/>
      <c r="M54" s="120"/>
      <c r="N54" s="120"/>
      <c r="O54" s="48">
        <f>+F55</f>
        <v>909.9259924440571</v>
      </c>
      <c r="P54" s="48"/>
      <c r="Q54" s="49"/>
    </row>
    <row r="55" spans="1:17" x14ac:dyDescent="0.2">
      <c r="A55" s="40"/>
      <c r="B55" s="118" t="s">
        <v>91</v>
      </c>
      <c r="C55" s="118"/>
      <c r="D55" s="118"/>
      <c r="E55" s="118"/>
      <c r="F55" s="42">
        <f>+F53+F54</f>
        <v>909.9259924440571</v>
      </c>
      <c r="G55" s="31">
        <f>+F55/$F$66</f>
        <v>0.90550352386481259</v>
      </c>
      <c r="H55" s="43">
        <f>+F55/$D$60</f>
        <v>909.9259924440571</v>
      </c>
      <c r="I55" s="43"/>
      <c r="J55" s="50"/>
      <c r="K55" s="51"/>
      <c r="M55" s="52" t="s">
        <v>92</v>
      </c>
      <c r="N55" s="53"/>
      <c r="O55" s="48">
        <f>+H56</f>
        <v>182.86384771868643</v>
      </c>
      <c r="P55" s="48"/>
      <c r="Q55" s="49"/>
    </row>
    <row r="56" spans="1:17" ht="13.5" thickBot="1" x14ac:dyDescent="0.25">
      <c r="A56" s="40"/>
      <c r="B56" s="41"/>
      <c r="C56" s="118" t="s">
        <v>93</v>
      </c>
      <c r="D56" s="118"/>
      <c r="E56" s="118"/>
      <c r="F56" s="42">
        <f>SUM(F44:F51)</f>
        <v>182.86384771868643</v>
      </c>
      <c r="G56" s="31">
        <f>+F56/$F$66</f>
        <v>0.18197508354717018</v>
      </c>
      <c r="H56" s="43">
        <f>+F56/$D$60</f>
        <v>182.86384771868643</v>
      </c>
      <c r="I56" s="43"/>
      <c r="J56" s="50"/>
      <c r="K56" s="51"/>
      <c r="L56" s="51"/>
      <c r="M56" s="51" t="s">
        <v>94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95</v>
      </c>
      <c r="N57" s="60"/>
      <c r="O57" s="61">
        <f>SUM(O54:O56)</f>
        <v>1092.7898401627435</v>
      </c>
      <c r="P57" s="62"/>
      <c r="Q57" s="49"/>
    </row>
    <row r="58" spans="1:17" x14ac:dyDescent="0.2">
      <c r="B58" s="121" t="s">
        <v>96</v>
      </c>
      <c r="C58" s="121"/>
      <c r="D58" s="63">
        <v>230</v>
      </c>
      <c r="E58" s="64"/>
      <c r="G58" s="31"/>
      <c r="H58" s="57">
        <f>+H56/77</f>
        <v>2.3748551651777459</v>
      </c>
      <c r="I58" s="65"/>
      <c r="J58" s="50"/>
      <c r="K58" s="58"/>
      <c r="L58" s="51"/>
      <c r="M58" s="51" t="s">
        <v>97</v>
      </c>
      <c r="N58" s="66"/>
      <c r="O58" s="48">
        <f>+H59</f>
        <v>197.11297870975289</v>
      </c>
      <c r="P58" s="48"/>
      <c r="Q58" s="49"/>
    </row>
    <row r="59" spans="1:17" x14ac:dyDescent="0.2">
      <c r="B59" s="121" t="s">
        <v>98</v>
      </c>
      <c r="C59" s="121"/>
      <c r="D59" s="67">
        <v>230</v>
      </c>
      <c r="E59" s="64"/>
      <c r="G59" s="31"/>
      <c r="H59" s="57">
        <f>+H58*83</f>
        <v>197.11297870975289</v>
      </c>
      <c r="I59" s="65"/>
      <c r="J59" s="50"/>
      <c r="K59" s="58"/>
      <c r="L59" s="51"/>
      <c r="M59" s="122" t="s">
        <v>95</v>
      </c>
      <c r="N59" s="122"/>
      <c r="O59" s="48">
        <f>SUM(O57:O58)</f>
        <v>1289.9028188724965</v>
      </c>
      <c r="P59" s="48"/>
      <c r="Q59" s="49"/>
    </row>
    <row r="60" spans="1:17" ht="13.5" thickBot="1" x14ac:dyDescent="0.25">
      <c r="B60" s="114" t="s">
        <v>99</v>
      </c>
      <c r="C60" s="114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22"/>
      <c r="M60" s="122"/>
      <c r="N60" s="66"/>
      <c r="O60" s="48">
        <f>+O59*N60</f>
        <v>0</v>
      </c>
      <c r="P60" s="48"/>
      <c r="Q60" s="49"/>
    </row>
    <row r="61" spans="1:17" ht="13.5" thickBot="1" x14ac:dyDescent="0.25">
      <c r="B61" s="114" t="s">
        <v>100</v>
      </c>
      <c r="C61" s="114"/>
      <c r="D61" s="69"/>
      <c r="E61" s="64"/>
      <c r="F61" s="68"/>
      <c r="G61" s="31"/>
      <c r="H61" s="57"/>
      <c r="I61" s="65"/>
      <c r="J61" s="50"/>
      <c r="K61" s="115" t="s">
        <v>101</v>
      </c>
      <c r="L61" s="116"/>
      <c r="M61" s="116"/>
      <c r="N61" s="117"/>
      <c r="O61" s="61">
        <f>SUM(O59:O60)</f>
        <v>1289.9028188724965</v>
      </c>
      <c r="P61" s="70" t="s">
        <v>102</v>
      </c>
      <c r="Q61" s="49"/>
    </row>
    <row r="62" spans="1:17" ht="13.5" thickBot="1" x14ac:dyDescent="0.25">
      <c r="C62" s="40" t="s">
        <v>103</v>
      </c>
      <c r="D62" s="71"/>
      <c r="E62" s="14" t="s">
        <v>104</v>
      </c>
      <c r="F62" s="72" t="s">
        <v>105</v>
      </c>
      <c r="G62" s="31"/>
      <c r="H62" s="57"/>
      <c r="I62" s="65"/>
      <c r="J62" s="73"/>
      <c r="K62" s="74"/>
      <c r="L62" s="128" t="s">
        <v>106</v>
      </c>
      <c r="M62" s="128"/>
      <c r="N62" s="128"/>
      <c r="O62" s="75">
        <f>+O61/D60</f>
        <v>1289.9028188724965</v>
      </c>
      <c r="P62" s="76">
        <f>+O62/D59</f>
        <v>5.6082731255325937</v>
      </c>
      <c r="Q62" s="77"/>
    </row>
    <row r="63" spans="1:17" ht="13.5" thickBot="1" x14ac:dyDescent="0.25">
      <c r="B63" s="129" t="s">
        <v>91</v>
      </c>
      <c r="C63" s="129"/>
      <c r="D63" s="129"/>
      <c r="E63" s="78">
        <f>+F63/F63</f>
        <v>1</v>
      </c>
      <c r="F63" s="79">
        <f>SUM(F55)</f>
        <v>909.9259924440571</v>
      </c>
      <c r="G63" s="31">
        <f>+F63/$F$66</f>
        <v>0.90550352386481259</v>
      </c>
      <c r="H63" s="57"/>
      <c r="I63" s="65"/>
      <c r="K63" s="130"/>
      <c r="L63" s="131"/>
      <c r="M63" s="131"/>
      <c r="N63" s="131"/>
      <c r="O63" s="80"/>
      <c r="P63" s="81"/>
    </row>
    <row r="64" spans="1:17" ht="13.5" thickBot="1" x14ac:dyDescent="0.3">
      <c r="B64" s="132" t="s">
        <v>107</v>
      </c>
      <c r="C64" s="132"/>
      <c r="D64" s="132"/>
      <c r="E64" s="82">
        <v>0.02</v>
      </c>
      <c r="F64" s="79">
        <f>+F53*E64</f>
        <v>17.957995815170012</v>
      </c>
      <c r="G64" s="31">
        <f>+F64/$F$66</f>
        <v>1.7870715450724686E-2</v>
      </c>
      <c r="H64" s="43"/>
      <c r="I64" s="65"/>
      <c r="J64" s="83"/>
      <c r="O64" s="84"/>
      <c r="P64" s="41"/>
    </row>
    <row r="65" spans="2:13" ht="13.5" thickBot="1" x14ac:dyDescent="0.3">
      <c r="B65" s="133" t="s">
        <v>108</v>
      </c>
      <c r="C65" s="134"/>
      <c r="D65" s="85">
        <v>1</v>
      </c>
      <c r="E65" s="86">
        <v>77</v>
      </c>
      <c r="F65" s="79">
        <f>+E65*D65</f>
        <v>77</v>
      </c>
      <c r="G65" s="31">
        <f>+F65/$F$66</f>
        <v>7.6625760684462738E-2</v>
      </c>
      <c r="H65" s="43"/>
      <c r="I65" s="43"/>
      <c r="J65" s="33"/>
    </row>
    <row r="66" spans="2:13" ht="13.5" thickBot="1" x14ac:dyDescent="0.3">
      <c r="B66" s="135" t="s">
        <v>109</v>
      </c>
      <c r="C66" s="136"/>
      <c r="D66" s="136"/>
      <c r="E66" s="137"/>
      <c r="F66" s="56">
        <f>SUM(F63:F65)</f>
        <v>1004.8839882592271</v>
      </c>
      <c r="G66" s="31">
        <f>+F66/$F$66</f>
        <v>1</v>
      </c>
      <c r="H66" s="138"/>
      <c r="I66" s="43"/>
      <c r="J66" s="33"/>
      <c r="M66" s="16" t="s">
        <v>110</v>
      </c>
    </row>
    <row r="67" spans="2:13" x14ac:dyDescent="0.25">
      <c r="C67" s="38"/>
      <c r="D67" s="38"/>
      <c r="E67" s="88"/>
      <c r="F67" s="79"/>
      <c r="G67" s="31"/>
      <c r="H67" s="138"/>
      <c r="I67" s="87"/>
      <c r="J67" s="16"/>
      <c r="M67" s="16" t="s">
        <v>111</v>
      </c>
    </row>
    <row r="68" spans="2:13" ht="13.5" thickBot="1" x14ac:dyDescent="0.3">
      <c r="B68" s="123" t="s">
        <v>112</v>
      </c>
      <c r="C68" s="123"/>
      <c r="D68" s="123"/>
      <c r="E68" s="123"/>
      <c r="F68" s="123"/>
      <c r="G68" s="31"/>
      <c r="H68" s="90"/>
      <c r="I68" s="87"/>
      <c r="J68" s="16"/>
      <c r="M68" s="16" t="s">
        <v>113</v>
      </c>
    </row>
    <row r="69" spans="2:13" ht="13.5" thickBot="1" x14ac:dyDescent="0.3">
      <c r="B69" s="91" t="s">
        <v>114</v>
      </c>
      <c r="C69" s="92">
        <f>+F53</f>
        <v>897.89979075850056</v>
      </c>
      <c r="D69" s="92">
        <f>+D58</f>
        <v>230</v>
      </c>
      <c r="E69" s="93">
        <f>+C69/D69</f>
        <v>3.9039121337326113</v>
      </c>
      <c r="F69" s="31"/>
      <c r="G69" s="90"/>
      <c r="H69" s="33"/>
      <c r="I69" s="90"/>
      <c r="J69" s="16"/>
    </row>
    <row r="70" spans="2:13" x14ac:dyDescent="0.25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5">
      <c r="B71" s="91" t="s">
        <v>115</v>
      </c>
      <c r="C71" s="92">
        <f>SUM(F63:F64)</f>
        <v>927.88398825922707</v>
      </c>
      <c r="D71" s="92">
        <f>+D58</f>
        <v>230</v>
      </c>
      <c r="E71" s="97">
        <f>+C71/D71</f>
        <v>4.0342782098227268</v>
      </c>
      <c r="F71" s="31"/>
      <c r="G71" s="90"/>
      <c r="H71" s="33"/>
      <c r="I71" s="33"/>
      <c r="J71" s="16"/>
    </row>
    <row r="72" spans="2:13" x14ac:dyDescent="0.25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3">
      <c r="B73" s="91" t="s">
        <v>116</v>
      </c>
      <c r="C73" s="92">
        <f>+F65</f>
        <v>77</v>
      </c>
      <c r="D73" s="92">
        <f>+D58</f>
        <v>230</v>
      </c>
      <c r="E73" s="97">
        <f>+C73/D73</f>
        <v>0.33478260869565218</v>
      </c>
      <c r="F73" s="31"/>
      <c r="G73" s="90"/>
      <c r="H73" s="33"/>
      <c r="I73" s="33"/>
      <c r="J73" s="16"/>
    </row>
    <row r="74" spans="2:13" ht="13.5" thickBot="1" x14ac:dyDescent="0.3">
      <c r="B74" s="91" t="s">
        <v>117</v>
      </c>
      <c r="C74" s="92">
        <f>+F56</f>
        <v>182.86384771868643</v>
      </c>
      <c r="D74" s="92">
        <f>+D73</f>
        <v>230</v>
      </c>
      <c r="E74" s="93">
        <f>+C74/D74</f>
        <v>0.79506020747254968</v>
      </c>
      <c r="F74" s="31"/>
      <c r="G74" s="90"/>
      <c r="H74" s="33"/>
      <c r="I74" s="33"/>
      <c r="J74" s="16"/>
    </row>
    <row r="75" spans="2:13" ht="13.5" thickBot="1" x14ac:dyDescent="0.3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3">
      <c r="B76" s="91" t="s">
        <v>118</v>
      </c>
      <c r="C76" s="92">
        <f>+F54</f>
        <v>12.026201685556526</v>
      </c>
      <c r="D76" s="92">
        <f>+D74</f>
        <v>230</v>
      </c>
      <c r="E76" s="93">
        <f>+C76/D76</f>
        <v>5.2287833415463156E-2</v>
      </c>
      <c r="F76" s="31"/>
      <c r="G76" s="90"/>
      <c r="H76" s="33"/>
      <c r="I76" s="33"/>
      <c r="J76" s="33"/>
    </row>
    <row r="77" spans="2:13" ht="13.5" thickBot="1" x14ac:dyDescent="0.3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3">
      <c r="B78" s="124" t="s">
        <v>119</v>
      </c>
      <c r="C78" s="125"/>
      <c r="D78" s="126"/>
      <c r="E78" s="93">
        <f>+E69+E74</f>
        <v>4.6989723412051614</v>
      </c>
      <c r="G78" s="31"/>
      <c r="H78" s="90"/>
      <c r="I78" s="33"/>
      <c r="J78" s="97"/>
    </row>
    <row r="79" spans="2:13" x14ac:dyDescent="0.25">
      <c r="I79" s="90"/>
      <c r="J79" s="16"/>
    </row>
    <row r="80" spans="2:13" ht="13.5" thickBot="1" x14ac:dyDescent="0.3">
      <c r="B80" s="123" t="s">
        <v>120</v>
      </c>
      <c r="C80" s="123"/>
      <c r="D80" s="123"/>
      <c r="E80" s="123"/>
      <c r="F80" s="123"/>
      <c r="G80" s="31"/>
      <c r="H80" s="90"/>
      <c r="J80" s="16"/>
    </row>
    <row r="81" spans="1:10" ht="13.5" thickBot="1" x14ac:dyDescent="0.3">
      <c r="B81" s="91" t="s">
        <v>114</v>
      </c>
      <c r="C81" s="92">
        <f>+C69</f>
        <v>897.89979075850056</v>
      </c>
      <c r="D81" s="92">
        <f>+D60</f>
        <v>1</v>
      </c>
      <c r="E81" s="93">
        <f>+C81/D81</f>
        <v>897.89979075850056</v>
      </c>
      <c r="F81" s="31"/>
      <c r="G81" s="90"/>
      <c r="H81" s="33"/>
      <c r="I81" s="90"/>
      <c r="J81" s="16"/>
    </row>
    <row r="82" spans="1:10" x14ac:dyDescent="0.25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5">
      <c r="B83" s="91" t="s">
        <v>115</v>
      </c>
      <c r="C83" s="92">
        <f>+C71</f>
        <v>927.88398825922707</v>
      </c>
      <c r="D83" s="92">
        <f>+D60</f>
        <v>1</v>
      </c>
      <c r="E83" s="97">
        <f>+C83/D83</f>
        <v>927.88398825922707</v>
      </c>
      <c r="F83" s="31"/>
      <c r="G83" s="90"/>
      <c r="H83" s="33"/>
      <c r="I83" s="33"/>
      <c r="J83" s="16"/>
    </row>
    <row r="84" spans="1:10" x14ac:dyDescent="0.25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3">
      <c r="B85" s="91" t="s">
        <v>117</v>
      </c>
      <c r="C85" s="92">
        <f>+C73</f>
        <v>77</v>
      </c>
      <c r="D85" s="92">
        <f>+D60</f>
        <v>1</v>
      </c>
      <c r="E85" s="97">
        <f>+C85/D85</f>
        <v>77</v>
      </c>
      <c r="F85" s="99"/>
      <c r="G85" s="89"/>
      <c r="H85" s="15"/>
      <c r="I85" s="33"/>
    </row>
    <row r="86" spans="1:10" ht="13.5" thickBot="1" x14ac:dyDescent="0.3">
      <c r="B86" s="91" t="s">
        <v>117</v>
      </c>
      <c r="C86" s="92">
        <f>+C74</f>
        <v>182.86384771868643</v>
      </c>
      <c r="D86" s="92">
        <f>+D85</f>
        <v>1</v>
      </c>
      <c r="E86" s="93">
        <f>+C86/D86</f>
        <v>182.86384771868643</v>
      </c>
      <c r="F86" s="98"/>
      <c r="G86" s="89"/>
      <c r="H86" s="15"/>
      <c r="I86" s="15"/>
    </row>
    <row r="87" spans="1:10" x14ac:dyDescent="0.25">
      <c r="I87" s="15"/>
    </row>
    <row r="88" spans="1:10" x14ac:dyDescent="0.2">
      <c r="A88" s="127"/>
      <c r="B88" s="127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1EEF3D8-2426-409E-BBF3-ADC66E41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616D9-7578-405C-943F-B699BC7B4A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9AFD4B-F50D-47B2-AC08-86A097856BE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 coccion</vt:lpstr>
      <vt:lpstr>costo Salsa</vt:lpstr>
      <vt:lpstr>Empaque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2025-10-07T22:34:33Z</cp:lastPrinted>
  <dcterms:created xsi:type="dcterms:W3CDTF">2024-09-17T21:25:24Z</dcterms:created>
  <dcterms:modified xsi:type="dcterms:W3CDTF">2025-10-07T22:36:07Z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
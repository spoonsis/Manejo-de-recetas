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8" documentId="8_{582BDD71-23BB-4D99-9B5C-1229FB721CC7}" xr6:coauthVersionLast="47" xr6:coauthVersionMax="47" xr10:uidLastSave="{17A072A6-9B08-4EA9-B40B-DCFEE4F14017}"/>
  <bookViews>
    <workbookView xWindow="-120" yWindow="-120" windowWidth="20730" windowHeight="11040" xr2:uid="{1AB7DF7A-998A-4474-983E-756202638A13}"/>
  </bookViews>
  <sheets>
    <sheet name="Muffin Vainilla SP " sheetId="1" r:id="rId1"/>
  </sheets>
  <definedNames>
    <definedName name="_xlnm.Print_Area" localSheetId="0">'Muffin Vainilla SP '!$A$1:$I$39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J12" i="1"/>
  <c r="J27" i="1"/>
  <c r="D31" i="1"/>
</calcChain>
</file>

<file path=xl/sharedStrings.xml><?xml version="1.0" encoding="utf-8"?>
<sst xmlns="http://schemas.openxmlformats.org/spreadsheetml/2006/main" count="71" uniqueCount="61">
  <si>
    <t>CONTROL DE CAMBIOS</t>
  </si>
  <si>
    <t>3, Enfriar y guardar en bolsa con bandeja con 25 unidades cada lata. Etiquetada.</t>
  </si>
  <si>
    <t xml:space="preserve">2, Hornear 170°C por 20 min. </t>
  </si>
  <si>
    <t xml:space="preserve">1, Dosificar 70g de batido en cada capsula.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</si>
  <si>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</si>
  <si>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</si>
  <si>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</si>
  <si>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</si>
  <si>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</si>
  <si>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</si>
  <si>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unidades</t>
  </si>
  <si>
    <t>CANTIDAD DE PORCIONES OBTENIDAS</t>
  </si>
  <si>
    <t>Horno:</t>
  </si>
  <si>
    <t>Minutos</t>
  </si>
  <si>
    <t>TIEMPO TOTAL DE PREPARACION</t>
  </si>
  <si>
    <t>Tiempo de Horneo:</t>
  </si>
  <si>
    <t>PESO TOTAL OBTENIDO</t>
  </si>
  <si>
    <t>Unidad</t>
  </si>
  <si>
    <t>Cantidad</t>
  </si>
  <si>
    <t>ud</t>
  </si>
  <si>
    <t xml:space="preserve">ETIQUETA BLANCA 2 5/8X1 15/16 </t>
  </si>
  <si>
    <t>EM10011</t>
  </si>
  <si>
    <t xml:space="preserve">ETIQ.FECHA VENCIMIENTO BLANCO </t>
  </si>
  <si>
    <t>EM10004</t>
  </si>
  <si>
    <t>BOLSA TRANSPARENTE 56X96X1.80</t>
  </si>
  <si>
    <t>AS00028</t>
  </si>
  <si>
    <t xml:space="preserve">CAPSULA # 5 BLANCA </t>
  </si>
  <si>
    <t>EM10069</t>
  </si>
  <si>
    <t>Empaque</t>
  </si>
  <si>
    <t>Decoración</t>
  </si>
  <si>
    <t>NATAXUL</t>
  </si>
  <si>
    <t>MP10673</t>
  </si>
  <si>
    <t>FAS</t>
  </si>
  <si>
    <t>Batido Easy Queque Vainilla SP</t>
  </si>
  <si>
    <t>SE00434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</si>
  <si>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</si>
  <si>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</si>
  <si>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</si>
  <si>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</si>
  <si>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</si>
  <si>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</si>
  <si>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</si>
  <si>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</si>
  <si>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</si>
  <si>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</si>
  <si>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Batidos </t>
  </si>
  <si>
    <t xml:space="preserve">AREA QUE EMPACA: </t>
  </si>
  <si>
    <t>Batidos</t>
  </si>
  <si>
    <t>AREA QUE PRODUCE:</t>
  </si>
  <si>
    <t>Esteban Cartin, Gte Manufactura</t>
  </si>
  <si>
    <t>Aprobado</t>
  </si>
  <si>
    <t>Mariela Barrantes Sánchez, Chef</t>
  </si>
  <si>
    <t>Elaborado</t>
  </si>
  <si>
    <t>FECHA DE APROBACIÓN:</t>
  </si>
  <si>
    <t>SE00797 Muffin Vainilla SP</t>
  </si>
  <si>
    <t>REVISIÓN:</t>
  </si>
  <si>
    <t>ESPECIFICACION DE RECETA</t>
  </si>
  <si>
    <t>CÓDIGO:</t>
  </si>
  <si>
    <t>SERVICIOS DE PASTELERIA S.A.</t>
  </si>
  <si>
    <t>01</t>
  </si>
  <si>
    <t>ESP-RE-BAS-091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</si>
</sst>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</cellStyleXfs>
  <cellXfs count="152">
    <xf numFmtId="0" fontId="0" fillId="0" borderId="0" xfId="0"/>
    <xf numFmtId="0" fontId="3" fillId="0" borderId="0" xfId="2"/>
    <xf numFmtId="0" fontId="2" fillId="2" borderId="0" xfId="2" applyFont="1" applyFill="1"/>
    <xf numFmtId="0" fontId="2" fillId="2" borderId="0" xfId="2" applyFont="1" applyFill="1" applyAlignment="1">
      <alignment horizontal="left" indent="1"/>
    </xf>
    <xf numFmtId="9" fontId="2" fillId="2" borderId="0" xfId="3" applyFont="1" applyFill="1"/>
    <xf numFmtId="1" fontId="0" fillId="0" borderId="0" xfId="0" applyNumberFormat="1"/>
    <xf numFmtId="0" fontId="5" fillId="4" borderId="32" xfId="2" applyFont="1" applyFill="1" applyBorder="1" applyAlignment="1">
      <alignment horizontal="center"/>
    </xf>
    <xf numFmtId="1" fontId="5" fillId="4" borderId="20" xfId="2" applyNumberFormat="1" applyFont="1" applyFill="1" applyBorder="1" applyAlignment="1">
      <alignment horizontal="center" wrapText="1"/>
    </xf>
    <xf numFmtId="1" fontId="5" fillId="4" borderId="20" xfId="2" applyNumberFormat="1" applyFont="1" applyFill="1" applyBorder="1" applyAlignment="1">
      <alignment horizontal="center"/>
    </xf>
    <xf numFmtId="0" fontId="5" fillId="4" borderId="20" xfId="2" applyFont="1" applyFill="1" applyBorder="1" applyAlignment="1">
      <alignment horizontal="center" vertical="center"/>
    </xf>
    <xf numFmtId="0" fontId="5" fillId="4" borderId="22" xfId="2" applyFont="1" applyFill="1" applyBorder="1" applyAlignment="1">
      <alignment horizontal="center" vertical="center" wrapText="1"/>
    </xf>
    <xf numFmtId="0" fontId="5" fillId="4" borderId="22" xfId="2" applyFont="1" applyFill="1" applyBorder="1" applyAlignment="1">
      <alignment horizontal="center" vertical="center"/>
    </xf>
    <xf numFmtId="0" fontId="5" fillId="4" borderId="33" xfId="2" applyFont="1" applyFill="1" applyBorder="1" applyAlignment="1">
      <alignment horizontal="center" vertical="center" wrapText="1"/>
    </xf>
    <xf numFmtId="0" fontId="5" fillId="4" borderId="34" xfId="2" applyFont="1" applyFill="1" applyBorder="1" applyAlignment="1">
      <alignment horizontal="center" vertical="center"/>
    </xf>
    <xf numFmtId="0" fontId="5" fillId="4" borderId="35" xfId="2" applyFont="1" applyFill="1" applyBorder="1" applyAlignment="1">
      <alignment horizontal="center" vertical="center" wrapText="1"/>
    </xf>
    <xf numFmtId="0" fontId="5" fillId="4" borderId="35" xfId="2" applyFont="1" applyFill="1" applyBorder="1" applyAlignment="1">
      <alignment horizontal="center" vertical="center"/>
    </xf>
    <xf numFmtId="0" fontId="6" fillId="2" borderId="0" xfId="1" applyFont="1" applyFill="1"/>
    <xf numFmtId="0" fontId="6" fillId="2" borderId="0" xfId="1" applyFont="1" applyFill="1" applyAlignment="1">
      <alignment horizontal="right"/>
    </xf>
    <xf numFmtId="14" fontId="2" fillId="2" borderId="37" xfId="1" applyNumberFormat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right" vertical="top" wrapText="1"/>
    </xf>
    <xf numFmtId="0" fontId="2" fillId="2" borderId="24" xfId="1" applyFont="1" applyFill="1" applyBorder="1" applyAlignment="1">
      <alignment horizontal="left"/>
    </xf>
    <xf numFmtId="0" fontId="2" fillId="2" borderId="7" xfId="1" applyFont="1" applyFill="1" applyBorder="1" applyAlignment="1">
      <alignment horizontal="left"/>
    </xf>
    <xf numFmtId="0" fontId="2" fillId="2" borderId="23" xfId="1" applyFont="1" applyFill="1" applyBorder="1" applyAlignment="1">
      <alignment horizontal="left"/>
    </xf>
    <xf numFmtId="0" fontId="2" fillId="2" borderId="9" xfId="1" applyFont="1" applyFill="1" applyBorder="1" applyAlignment="1">
      <alignment horizontal="right"/>
    </xf>
    <xf numFmtId="0" fontId="2" fillId="2" borderId="11" xfId="1" applyFont="1" applyFill="1" applyBorder="1" applyAlignment="1">
      <alignment horizontal="center"/>
    </xf>
    <xf numFmtId="0" fontId="2" fillId="2" borderId="12" xfId="1" applyFont="1" applyFill="1" applyBorder="1" applyAlignment="1">
      <alignment horizontal="center"/>
    </xf>
    <xf numFmtId="14" fontId="2" fillId="2" borderId="39" xfId="1" applyNumberFormat="1" applyFont="1" applyFill="1" applyBorder="1" applyAlignment="1">
      <alignment horizontal="center" vertical="center" wrapText="1"/>
    </xf>
    <xf numFmtId="0" fontId="5" fillId="2" borderId="40" xfId="1" applyFont="1" applyFill="1" applyBorder="1" applyAlignment="1">
      <alignment horizontal="right" vertical="top" wrapText="1"/>
    </xf>
    <xf numFmtId="0" fontId="2" fillId="2" borderId="41" xfId="1" applyFont="1" applyFill="1" applyBorder="1" applyAlignment="1">
      <alignment horizontal="left"/>
    </xf>
    <xf numFmtId="0" fontId="2" fillId="2" borderId="14" xfId="1" applyFont="1" applyFill="1" applyBorder="1" applyAlignment="1">
      <alignment horizontal="left"/>
    </xf>
    <xf numFmtId="0" fontId="2" fillId="2" borderId="42" xfId="1" applyFont="1" applyFill="1" applyBorder="1" applyAlignment="1">
      <alignment horizontal="left"/>
    </xf>
    <xf numFmtId="0" fontId="2" fillId="2" borderId="26" xfId="1" applyFont="1" applyFill="1" applyBorder="1" applyAlignment="1">
      <alignment horizontal="right"/>
    </xf>
    <xf numFmtId="0" fontId="2" fillId="2" borderId="0" xfId="1" applyFont="1" applyFill="1" applyAlignment="1">
      <alignment horizontal="center"/>
    </xf>
    <xf numFmtId="0" fontId="2" fillId="2" borderId="29" xfId="1" applyFont="1" applyFill="1" applyBorder="1" applyAlignment="1">
      <alignment horizontal="center"/>
    </xf>
    <xf numFmtId="14" fontId="2" fillId="2" borderId="43" xfId="1" applyNumberFormat="1" applyFont="1" applyFill="1" applyBorder="1" applyAlignment="1">
      <alignment horizontal="center" vertical="center" wrapText="1"/>
    </xf>
    <xf numFmtId="0" fontId="5" fillId="2" borderId="44" xfId="1" applyFont="1" applyFill="1" applyBorder="1" applyAlignment="1">
      <alignment horizontal="right" vertical="top" wrapText="1"/>
    </xf>
    <xf numFmtId="49" fontId="2" fillId="2" borderId="30" xfId="1" applyNumberFormat="1" applyFont="1" applyFill="1" applyBorder="1" applyAlignment="1">
      <alignment horizontal="center"/>
    </xf>
    <xf numFmtId="0" fontId="5" fillId="2" borderId="9" xfId="1" applyFont="1" applyFill="1" applyBorder="1" applyAlignment="1">
      <alignment horizontal="right"/>
    </xf>
    <xf numFmtId="0" fontId="4" fillId="2" borderId="45" xfId="1" applyFont="1" applyFill="1" applyBorder="1" applyAlignment="1">
      <alignment horizontal="center"/>
    </xf>
    <xf numFmtId="0" fontId="2" fillId="2" borderId="33" xfId="1" applyFont="1" applyFill="1" applyBorder="1" applyAlignment="1">
      <alignment horizontal="center"/>
    </xf>
    <xf numFmtId="0" fontId="5" fillId="2" borderId="34" xfId="1" applyFont="1" applyFill="1" applyBorder="1" applyAlignment="1">
      <alignment horizontal="right"/>
    </xf>
    <xf numFmtId="0" fontId="4" fillId="2" borderId="34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46" xfId="1" applyFont="1" applyFill="1" applyBorder="1" applyAlignment="1">
      <alignment horizontal="center"/>
    </xf>
    <xf numFmtId="0" fontId="7" fillId="6" borderId="18" xfId="1" applyFont="1" applyFill="1" applyBorder="1" applyAlignment="1">
      <alignment horizontal="center" vertical="center" wrapText="1"/>
    </xf>
    <xf numFmtId="0" fontId="7" fillId="6" borderId="17" xfId="1" applyFont="1" applyFill="1" applyBorder="1" applyAlignment="1">
      <alignment horizontal="center" vertical="center" wrapText="1"/>
    </xf>
    <xf numFmtId="0" fontId="7" fillId="6" borderId="16" xfId="1" applyFont="1" applyFill="1" applyBorder="1" applyAlignment="1">
      <alignment horizontal="center" vertical="center" wrapText="1"/>
    </xf>
    <xf numFmtId="0" fontId="8" fillId="2" borderId="36" xfId="1" applyFont="1" applyFill="1" applyBorder="1" applyAlignment="1">
      <alignment horizontal="center"/>
    </xf>
    <xf numFmtId="14" fontId="8" fillId="2" borderId="0" xfId="1" applyNumberFormat="1" applyFont="1" applyFill="1" applyAlignment="1">
      <alignment horizontal="center" vertical="center" wrapText="1"/>
    </xf>
    <xf numFmtId="0" fontId="9" fillId="0" borderId="31" xfId="2" applyFont="1" applyBorder="1" applyAlignment="1">
      <alignment horizontal="center" vertical="center"/>
    </xf>
    <xf numFmtId="0" fontId="9" fillId="0" borderId="24" xfId="2" applyFont="1" applyBorder="1" applyAlignment="1">
      <alignment horizontal="center" vertical="center"/>
    </xf>
    <xf numFmtId="0" fontId="10" fillId="0" borderId="9" xfId="2" applyFont="1" applyBorder="1" applyAlignment="1">
      <alignment vertical="center"/>
    </xf>
    <xf numFmtId="0" fontId="9" fillId="0" borderId="9" xfId="2" applyFont="1" applyBorder="1" applyAlignment="1">
      <alignment horizontal="center" vertical="center"/>
    </xf>
    <xf numFmtId="1" fontId="9" fillId="0" borderId="9" xfId="2" applyNumberFormat="1" applyFont="1" applyBorder="1" applyAlignment="1">
      <alignment horizontal="center"/>
    </xf>
    <xf numFmtId="1" fontId="9" fillId="0" borderId="9" xfId="2" applyNumberFormat="1" applyFont="1" applyBorder="1" applyAlignment="1">
      <alignment horizontal="center" wrapText="1"/>
    </xf>
    <xf numFmtId="0" fontId="11" fillId="0" borderId="30" xfId="2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49" fontId="11" fillId="0" borderId="9" xfId="0" applyNumberFormat="1" applyFont="1" applyBorder="1"/>
    <xf numFmtId="0" fontId="11" fillId="0" borderId="9" xfId="0" applyFont="1" applyBorder="1" applyAlignment="1">
      <alignment horizontal="center"/>
    </xf>
    <xf numFmtId="1" fontId="11" fillId="0" borderId="26" xfId="0" applyNumberFormat="1" applyFont="1" applyBorder="1" applyAlignment="1">
      <alignment horizontal="center" wrapText="1"/>
    </xf>
    <xf numFmtId="2" fontId="9" fillId="0" borderId="9" xfId="2" applyNumberFormat="1" applyFont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1" fontId="11" fillId="0" borderId="9" xfId="0" applyNumberFormat="1" applyFont="1" applyBorder="1" applyAlignment="1">
      <alignment horizontal="center" vertical="center"/>
    </xf>
    <xf numFmtId="1" fontId="11" fillId="0" borderId="9" xfId="0" applyNumberFormat="1" applyFont="1" applyBorder="1" applyAlignment="1">
      <alignment horizontal="center" vertical="center" wrapText="1"/>
    </xf>
    <xf numFmtId="0" fontId="11" fillId="0" borderId="9" xfId="0" quotePrefix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0" xfId="0" applyFont="1"/>
    <xf numFmtId="16" fontId="11" fillId="0" borderId="9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0" fontId="11" fillId="0" borderId="9" xfId="0" quotePrefix="1" applyFont="1" applyBorder="1"/>
    <xf numFmtId="1" fontId="11" fillId="0" borderId="9" xfId="0" applyNumberFormat="1" applyFont="1" applyBorder="1" applyAlignment="1">
      <alignment horizontal="center" wrapText="1"/>
    </xf>
    <xf numFmtId="0" fontId="11" fillId="5" borderId="9" xfId="0" applyFont="1" applyFill="1" applyBorder="1" applyAlignment="1">
      <alignment horizontal="center"/>
    </xf>
    <xf numFmtId="0" fontId="11" fillId="5" borderId="9" xfId="0" applyFont="1" applyFill="1" applyBorder="1"/>
    <xf numFmtId="1" fontId="11" fillId="0" borderId="9" xfId="2" applyNumberFormat="1" applyFont="1" applyBorder="1" applyAlignment="1">
      <alignment horizontal="center"/>
    </xf>
    <xf numFmtId="1" fontId="11" fillId="0" borderId="9" xfId="2" applyNumberFormat="1" applyFont="1" applyBorder="1" applyAlignment="1">
      <alignment horizontal="center" wrapText="1"/>
    </xf>
    <xf numFmtId="49" fontId="11" fillId="0" borderId="31" xfId="2" applyNumberFormat="1" applyFont="1" applyBorder="1" applyAlignment="1">
      <alignment horizontal="center"/>
    </xf>
    <xf numFmtId="49" fontId="11" fillId="0" borderId="24" xfId="2" applyNumberFormat="1" applyFont="1" applyBorder="1" applyAlignment="1">
      <alignment horizontal="center"/>
    </xf>
    <xf numFmtId="0" fontId="9" fillId="5" borderId="9" xfId="2" applyFont="1" applyFill="1" applyBorder="1" applyAlignment="1">
      <alignment horizontal="left"/>
    </xf>
    <xf numFmtId="0" fontId="11" fillId="0" borderId="9" xfId="2" applyFont="1" applyBorder="1" applyAlignment="1">
      <alignment horizontal="center"/>
    </xf>
    <xf numFmtId="165" fontId="11" fillId="0" borderId="9" xfId="2" applyNumberFormat="1" applyFont="1" applyBorder="1" applyAlignment="1">
      <alignment horizontal="center"/>
    </xf>
    <xf numFmtId="0" fontId="11" fillId="0" borderId="31" xfId="4" applyFont="1" applyBorder="1" applyAlignment="1">
      <alignment horizontal="center"/>
    </xf>
    <xf numFmtId="0" fontId="11" fillId="5" borderId="9" xfId="4" applyFont="1" applyFill="1" applyBorder="1"/>
    <xf numFmtId="16" fontId="11" fillId="0" borderId="9" xfId="4" applyNumberFormat="1" applyFont="1" applyBorder="1" applyAlignment="1">
      <alignment horizontal="center"/>
    </xf>
    <xf numFmtId="1" fontId="11" fillId="0" borderId="9" xfId="4" applyNumberFormat="1" applyFont="1" applyBorder="1" applyAlignment="1">
      <alignment horizontal="center"/>
    </xf>
    <xf numFmtId="1" fontId="11" fillId="0" borderId="9" xfId="4" applyNumberFormat="1" applyFont="1" applyBorder="1" applyAlignment="1">
      <alignment horizontal="center" wrapText="1"/>
    </xf>
    <xf numFmtId="49" fontId="9" fillId="0" borderId="8" xfId="2" applyNumberFormat="1" applyFont="1" applyBorder="1" applyAlignment="1">
      <alignment horizontal="center"/>
    </xf>
    <xf numFmtId="49" fontId="9" fillId="0" borderId="7" xfId="2" applyNumberFormat="1" applyFont="1" applyBorder="1" applyAlignment="1">
      <alignment horizontal="center"/>
    </xf>
    <xf numFmtId="0" fontId="10" fillId="5" borderId="9" xfId="2" applyFont="1" applyFill="1" applyBorder="1" applyAlignment="1">
      <alignment vertical="center"/>
    </xf>
    <xf numFmtId="0" fontId="9" fillId="0" borderId="24" xfId="2" applyFont="1" applyBorder="1" applyAlignment="1">
      <alignment horizontal="center"/>
    </xf>
    <xf numFmtId="49" fontId="11" fillId="0" borderId="24" xfId="0" applyNumberFormat="1" applyFont="1" applyBorder="1" applyAlignment="1">
      <alignment horizontal="center"/>
    </xf>
    <xf numFmtId="49" fontId="9" fillId="0" borderId="9" xfId="0" applyNumberFormat="1" applyFont="1" applyBorder="1"/>
    <xf numFmtId="49" fontId="11" fillId="5" borderId="31" xfId="2" applyNumberFormat="1" applyFont="1" applyFill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9" xfId="0" applyFont="1" applyBorder="1"/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49" fontId="11" fillId="0" borderId="9" xfId="2" applyNumberFormat="1" applyFont="1" applyBorder="1"/>
    <xf numFmtId="49" fontId="13" fillId="2" borderId="29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4" fontId="11" fillId="2" borderId="0" xfId="2" applyNumberFormat="1" applyFont="1" applyFill="1" applyAlignment="1">
      <alignment horizontal="center" wrapText="1"/>
    </xf>
    <xf numFmtId="0" fontId="11" fillId="2" borderId="28" xfId="2" applyFont="1" applyFill="1" applyBorder="1" applyAlignment="1">
      <alignment horizontal="center"/>
    </xf>
    <xf numFmtId="0" fontId="11" fillId="4" borderId="18" xfId="2" applyFont="1" applyFill="1" applyBorder="1" applyAlignment="1">
      <alignment horizontal="center"/>
    </xf>
    <xf numFmtId="0" fontId="11" fillId="4" borderId="17" xfId="2" applyFont="1" applyFill="1" applyBorder="1" applyAlignment="1">
      <alignment horizontal="center"/>
    </xf>
    <xf numFmtId="0" fontId="11" fillId="4" borderId="17" xfId="2" applyFont="1" applyFill="1" applyBorder="1"/>
    <xf numFmtId="0" fontId="9" fillId="4" borderId="17" xfId="2" applyFont="1" applyFill="1" applyBorder="1" applyAlignment="1">
      <alignment horizontal="center"/>
    </xf>
    <xf numFmtId="1" fontId="9" fillId="4" borderId="17" xfId="2" applyNumberFormat="1" applyFont="1" applyFill="1" applyBorder="1" applyAlignment="1">
      <alignment horizontal="center"/>
    </xf>
    <xf numFmtId="164" fontId="11" fillId="4" borderId="17" xfId="2" applyNumberFormat="1" applyFont="1" applyFill="1" applyBorder="1" applyAlignment="1">
      <alignment horizontal="center" wrapText="1"/>
    </xf>
    <xf numFmtId="0" fontId="11" fillId="4" borderId="16" xfId="2" applyFont="1" applyFill="1" applyBorder="1" applyAlignment="1">
      <alignment horizontal="center"/>
    </xf>
    <xf numFmtId="0" fontId="9" fillId="0" borderId="12" xfId="2" applyFont="1" applyBorder="1" applyAlignment="1">
      <alignment horizontal="right"/>
    </xf>
    <xf numFmtId="0" fontId="9" fillId="0" borderId="11" xfId="2" applyFont="1" applyBorder="1" applyAlignment="1">
      <alignment horizontal="right"/>
    </xf>
    <xf numFmtId="0" fontId="9" fillId="0" borderId="27" xfId="2" applyFont="1" applyBorder="1" applyAlignment="1">
      <alignment horizontal="right"/>
    </xf>
    <xf numFmtId="1" fontId="11" fillId="0" borderId="26" xfId="0" applyNumberFormat="1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164" fontId="11" fillId="0" borderId="26" xfId="2" applyNumberFormat="1" applyFont="1" applyBorder="1" applyAlignment="1">
      <alignment horizontal="right"/>
    </xf>
    <xf numFmtId="0" fontId="11" fillId="2" borderId="25" xfId="2" applyFont="1" applyFill="1" applyBorder="1" applyAlignment="1">
      <alignment horizontal="center"/>
    </xf>
    <xf numFmtId="0" fontId="11" fillId="2" borderId="10" xfId="2" applyFont="1" applyFill="1" applyBorder="1" applyAlignment="1">
      <alignment horizontal="center"/>
    </xf>
    <xf numFmtId="0" fontId="9" fillId="0" borderId="8" xfId="2" applyFont="1" applyBorder="1" applyAlignment="1">
      <alignment horizontal="right"/>
    </xf>
    <xf numFmtId="0" fontId="9" fillId="0" borderId="7" xfId="2" applyFont="1" applyBorder="1" applyAlignment="1">
      <alignment horizontal="right"/>
    </xf>
    <xf numFmtId="0" fontId="9" fillId="0" borderId="24" xfId="2" applyFont="1" applyBorder="1" applyAlignment="1">
      <alignment horizontal="right"/>
    </xf>
    <xf numFmtId="0" fontId="9" fillId="0" borderId="9" xfId="0" applyFont="1" applyBorder="1" applyAlignment="1">
      <alignment horizontal="center"/>
    </xf>
    <xf numFmtId="0" fontId="11" fillId="0" borderId="9" xfId="2" applyFont="1" applyBorder="1" applyAlignment="1">
      <alignment horizontal="right"/>
    </xf>
    <xf numFmtId="164" fontId="11" fillId="0" borderId="23" xfId="2" applyNumberFormat="1" applyFont="1" applyBorder="1" applyAlignment="1">
      <alignment horizontal="center"/>
    </xf>
    <xf numFmtId="164" fontId="11" fillId="0" borderId="6" xfId="2" applyNumberFormat="1" applyFont="1" applyBorder="1" applyAlignment="1">
      <alignment horizontal="center"/>
    </xf>
    <xf numFmtId="164" fontId="11" fillId="0" borderId="23" xfId="2" applyNumberFormat="1" applyFont="1" applyBorder="1" applyAlignment="1">
      <alignment horizontal="right" wrapText="1"/>
    </xf>
    <xf numFmtId="164" fontId="11" fillId="0" borderId="24" xfId="2" applyNumberFormat="1" applyFont="1" applyBorder="1" applyAlignment="1">
      <alignment horizontal="right" wrapText="1"/>
    </xf>
    <xf numFmtId="0" fontId="9" fillId="0" borderId="22" xfId="2" applyFont="1" applyBorder="1" applyAlignment="1">
      <alignment horizontal="right"/>
    </xf>
    <xf numFmtId="0" fontId="9" fillId="0" borderId="21" xfId="2" applyFont="1" applyBorder="1" applyAlignment="1">
      <alignment horizontal="right"/>
    </xf>
    <xf numFmtId="0" fontId="9" fillId="0" borderId="20" xfId="2" applyFont="1" applyBorder="1" applyAlignment="1">
      <alignment horizontal="right"/>
    </xf>
    <xf numFmtId="1" fontId="11" fillId="0" borderId="20" xfId="0" applyNumberFormat="1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0" xfId="2" applyFont="1" applyBorder="1" applyAlignment="1">
      <alignment horizontal="right"/>
    </xf>
    <xf numFmtId="164" fontId="11" fillId="0" borderId="19" xfId="2" applyNumberFormat="1" applyFont="1" applyBorder="1" applyAlignment="1">
      <alignment horizontal="center"/>
    </xf>
    <xf numFmtId="164" fontId="11" fillId="0" borderId="3" xfId="2" applyNumberFormat="1" applyFont="1" applyBorder="1" applyAlignment="1">
      <alignment horizontal="center"/>
    </xf>
    <xf numFmtId="0" fontId="9" fillId="0" borderId="15" xfId="2" applyFont="1" applyBorder="1" applyAlignment="1">
      <alignment horizontal="left" wrapText="1"/>
    </xf>
    <xf numFmtId="0" fontId="9" fillId="0" borderId="14" xfId="2" applyFont="1" applyBorder="1" applyAlignment="1">
      <alignment horizontal="left" wrapText="1"/>
    </xf>
    <xf numFmtId="0" fontId="9" fillId="0" borderId="13" xfId="2" applyFont="1" applyBorder="1" applyAlignment="1">
      <alignment horizontal="left" wrapText="1"/>
    </xf>
    <xf numFmtId="0" fontId="11" fillId="0" borderId="9" xfId="2" applyFont="1" applyBorder="1"/>
    <xf numFmtId="0" fontId="9" fillId="0" borderId="12" xfId="2" applyFont="1" applyBorder="1" applyAlignment="1">
      <alignment horizontal="left" wrapText="1"/>
    </xf>
    <xf numFmtId="0" fontId="9" fillId="0" borderId="11" xfId="2" applyFont="1" applyBorder="1" applyAlignment="1">
      <alignment horizontal="left" wrapText="1"/>
    </xf>
    <xf numFmtId="0" fontId="9" fillId="0" borderId="10" xfId="2" applyFont="1" applyBorder="1" applyAlignment="1">
      <alignment horizontal="left" wrapText="1"/>
    </xf>
    <xf numFmtId="0" fontId="11" fillId="0" borderId="5" xfId="2" applyFont="1" applyBorder="1" applyAlignment="1">
      <alignment horizontal="left"/>
    </xf>
    <xf numFmtId="0" fontId="11" fillId="0" borderId="4" xfId="2" applyFont="1" applyBorder="1" applyAlignment="1">
      <alignment horizontal="left"/>
    </xf>
    <xf numFmtId="0" fontId="11" fillId="0" borderId="3" xfId="2" applyFont="1" applyBorder="1" applyAlignment="1">
      <alignment horizontal="left"/>
    </xf>
    <xf numFmtId="0" fontId="9" fillId="3" borderId="2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center"/>
    </xf>
    <xf numFmtId="0" fontId="9" fillId="4" borderId="18" xfId="2" applyFont="1" applyFill="1" applyBorder="1" applyAlignment="1">
      <alignment horizontal="center"/>
    </xf>
    <xf numFmtId="0" fontId="9" fillId="4" borderId="17" xfId="2" applyFont="1" applyFill="1" applyBorder="1" applyAlignment="1">
      <alignment horizontal="center"/>
    </xf>
    <xf numFmtId="0" fontId="9" fillId="4" borderId="16" xfId="2" applyFont="1" applyFill="1" applyBorder="1" applyAlignment="1">
      <alignment horizontal="center"/>
    </xf>
    <xf numFmtId="0" fontId="11" fillId="2" borderId="9" xfId="1" applyFont="1" applyFill="1" applyBorder="1" applyAlignment="1">
      <alignment horizontal="left"/>
    </xf>
  </cellXfs>
  <cellStyles count="5">
    <cellStyle name="Normal" xfId="0" builtinId="0"/>
    <cellStyle name="Normal 2" xfId="2" xr:uid="{21B7D1D6-911F-48A6-9BB7-FC987E846935}"/>
    <cellStyle name="Normal 3 2" xfId="4" xr:uid="{71DEF2E1-E73E-46DB-A450-814D5A80FBC6}"/>
    <cellStyle name="Normal_CRITERIOS DE EVALUACION PT DE GB 2" xfId="1" xr:uid="{ABD24A4D-DCC3-4C4B-8230-D9C174DB2011}"/>
    <cellStyle name="Porcentaje 2 2" xfId="3" xr:uid="{8F21644F-82F2-413F-888E-C172B8F581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32217</xdr:colOff>
      <xdr:row>0</xdr:row>
      <xdr:rowOff>142875</xdr:rowOff>
    </xdr:from>
    <xdr:ext cx="1898454" cy="881062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4C6DC84-6548-43B1-8252-F7074B3F3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17" y="142875"/>
          <a:ext cx="1898454" cy="881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72C1-B444-4BB0-9F39-5C1EFC54B00E}">
  <sheetPr>
    <pageSetUpPr fitToPage="1"/>
  </sheetPr>
  <dimension ref="A1:M39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8.5703125" bestFit="1" customWidth="1"/>
    <col min="3" max="3" width="54.140625" customWidth="1"/>
    <col min="4" max="4" width="14.140625" bestFit="1" customWidth="1"/>
    <col min="5" max="5" width="14.28515625" customWidth="1"/>
    <col min="7" max="7" width="23" customWidth="1"/>
    <col min="8" max="8" width="16.28515625" customWidth="1"/>
    <col min="9" max="9" width="17.42578125" bestFit="1" customWidth="1"/>
  </cols>
  <sheetData>
    <row r="1" spans="1:10" ht="15.75" x14ac:dyDescent="0.25">
      <c r="A1" s="43"/>
      <c r="B1" s="42"/>
      <c r="C1" s="41" t="s">
        <v>58</v>
      </c>
      <c r="D1" s="41"/>
      <c r="E1" s="41"/>
      <c r="F1" s="41"/>
      <c r="G1" s="41"/>
      <c r="H1" s="40" t="s">
        <v>57</v>
      </c>
      <c r="I1" s="39" t="s">
        <v>60</v>
      </c>
    </row>
    <row r="2" spans="1:10" ht="16.5" thickBot="1" x14ac:dyDescent="0.3">
      <c r="A2" s="33"/>
      <c r="B2" s="32"/>
      <c r="C2" s="38" t="s">
        <v>56</v>
      </c>
      <c r="D2" s="38"/>
      <c r="E2" s="38"/>
      <c r="F2" s="38"/>
      <c r="G2" s="38"/>
      <c r="H2" s="37" t="s">
        <v>55</v>
      </c>
      <c r="I2" s="36" t="s">
        <v>59</v>
      </c>
    </row>
    <row r="3" spans="1:10" ht="33" customHeight="1" thickBot="1" x14ac:dyDescent="0.3">
      <c r="A3" s="33"/>
      <c r="B3" s="32"/>
      <c r="C3" s="44" t="s">
        <v>54</v>
      </c>
      <c r="D3" s="45"/>
      <c r="E3" s="45"/>
      <c r="F3" s="45"/>
      <c r="G3" s="46"/>
      <c r="H3" s="35" t="s">
        <v>53</v>
      </c>
      <c r="I3" s="34">
        <v>46057</v>
      </c>
    </row>
    <row r="4" spans="1:10" x14ac:dyDescent="0.25">
      <c r="A4" s="33"/>
      <c r="B4" s="32"/>
      <c r="C4" s="31" t="s">
        <v>52</v>
      </c>
      <c r="D4" s="30" t="s">
        <v>51</v>
      </c>
      <c r="E4" s="29"/>
      <c r="F4" s="29"/>
      <c r="G4" s="28"/>
      <c r="H4" s="27"/>
      <c r="I4" s="26"/>
    </row>
    <row r="5" spans="1:10" ht="15.75" thickBot="1" x14ac:dyDescent="0.3">
      <c r="A5" s="25"/>
      <c r="B5" s="24"/>
      <c r="C5" s="23" t="s">
        <v>50</v>
      </c>
      <c r="D5" s="22" t="s">
        <v>49</v>
      </c>
      <c r="E5" s="21"/>
      <c r="F5" s="21"/>
      <c r="G5" s="20"/>
      <c r="H5" s="19"/>
      <c r="I5" s="18"/>
    </row>
    <row r="6" spans="1:10" ht="18.75" thickBot="1" x14ac:dyDescent="0.3">
      <c r="A6" s="17" t="s">
        <v>48</v>
      </c>
      <c r="B6" s="17"/>
      <c r="C6" s="17"/>
      <c r="D6" s="47" t="s">
        <v>47</v>
      </c>
      <c r="E6" s="47"/>
      <c r="F6" s="47"/>
      <c r="G6" s="16" t="s">
        <v>46</v>
      </c>
      <c r="H6" s="16"/>
      <c r="I6" s="48" t="s">
        <v>45</v>
      </c>
    </row>
    <row r="7" spans="1:10" ht="36.75" customHeight="1" x14ac:dyDescent="0.25">
      <c r="A7" s="15" t="s">
        <v>44</v>
      </c>
      <c r="B7" s="14" t="s">
        <v>43</v>
      </c>
      <c r="C7" s="13" t="s">
        <v>42</v>
      </c>
      <c r="D7" s="13" t="s">
        <v>41</v>
      </c>
      <c r="E7" s="13" t="s">
        <v>40</v>
      </c>
      <c r="F7" s="13"/>
      <c r="G7" s="13" t="s">
        <v>39</v>
      </c>
      <c r="H7" s="13"/>
      <c r="I7" s="12" t="s">
        <v>38</v>
      </c>
    </row>
    <row r="8" spans="1:10" ht="33.75" customHeight="1" thickBot="1" x14ac:dyDescent="0.3">
      <c r="A8" s="11"/>
      <c r="B8" s="10"/>
      <c r="C8" s="9"/>
      <c r="D8" s="9"/>
      <c r="E8" s="8" t="s">
        <v>18</v>
      </c>
      <c r="F8" s="7" t="s">
        <v>37</v>
      </c>
      <c r="G8" s="8" t="s">
        <v>18</v>
      </c>
      <c r="H8" s="7" t="s">
        <v>37</v>
      </c>
      <c r="I8" s="6" t="s">
        <v>36</v>
      </c>
    </row>
    <row r="9" spans="1:10" ht="20.25" x14ac:dyDescent="0.3">
      <c r="A9" s="49"/>
      <c r="B9" s="50"/>
      <c r="C9" s="51" t="s">
        <v>35</v>
      </c>
      <c r="D9" s="52"/>
      <c r="E9" s="53"/>
      <c r="F9" s="54"/>
      <c r="G9" s="53"/>
      <c r="H9" s="54"/>
      <c r="I9" s="55"/>
    </row>
    <row r="10" spans="1:10" ht="20.25" x14ac:dyDescent="0.3">
      <c r="A10" s="56"/>
      <c r="B10" s="56" t="s">
        <v>34</v>
      </c>
      <c r="C10" s="57" t="s">
        <v>33</v>
      </c>
      <c r="D10" s="58" t="s">
        <v>32</v>
      </c>
      <c r="E10" s="58">
        <v>1500</v>
      </c>
      <c r="F10" s="59" t="s">
        <v>5</v>
      </c>
      <c r="G10" s="60"/>
      <c r="H10" s="54"/>
      <c r="I10" s="55"/>
      <c r="J10" s="5">
        <f>E10/23.66</f>
        <v>63.398140321217241</v>
      </c>
    </row>
    <row r="11" spans="1:10" ht="20.25" x14ac:dyDescent="0.3">
      <c r="A11" s="58"/>
      <c r="B11" s="61" t="s">
        <v>31</v>
      </c>
      <c r="C11" s="62" t="s">
        <v>30</v>
      </c>
      <c r="D11" s="61"/>
      <c r="E11" s="63">
        <v>30</v>
      </c>
      <c r="F11" s="64" t="s">
        <v>5</v>
      </c>
      <c r="G11" s="60"/>
      <c r="H11" s="54"/>
      <c r="I11" s="55"/>
      <c r="J11" s="5">
        <f>E11/23.66</f>
        <v>1.2679628064243449</v>
      </c>
    </row>
    <row r="12" spans="1:10" ht="20.25" x14ac:dyDescent="0.3">
      <c r="A12" s="65"/>
      <c r="B12" s="66"/>
      <c r="C12" s="67"/>
      <c r="D12" s="68"/>
      <c r="E12" s="69"/>
      <c r="F12" s="59"/>
      <c r="G12" s="60"/>
      <c r="H12" s="54"/>
      <c r="I12" s="55"/>
      <c r="J12" s="5">
        <f>E12/23.66</f>
        <v>0</v>
      </c>
    </row>
    <row r="13" spans="1:10" ht="20.25" x14ac:dyDescent="0.3">
      <c r="A13" s="65"/>
      <c r="B13" s="58"/>
      <c r="C13" s="70"/>
      <c r="D13" s="68"/>
      <c r="E13" s="69"/>
      <c r="F13" s="71"/>
      <c r="G13" s="53"/>
      <c r="H13" s="54"/>
      <c r="I13" s="55"/>
    </row>
    <row r="14" spans="1:10" ht="20.25" x14ac:dyDescent="0.3">
      <c r="A14" s="58"/>
      <c r="B14" s="58"/>
      <c r="C14" s="73"/>
      <c r="D14" s="74"/>
      <c r="E14" s="74"/>
      <c r="F14" s="75"/>
      <c r="G14" s="53"/>
      <c r="H14" s="54"/>
      <c r="I14" s="55"/>
    </row>
    <row r="15" spans="1:10" ht="20.25" x14ac:dyDescent="0.3">
      <c r="A15" s="76"/>
      <c r="B15" s="77"/>
      <c r="C15" s="78" t="s">
        <v>29</v>
      </c>
      <c r="D15" s="79"/>
      <c r="E15" s="80"/>
      <c r="F15" s="75"/>
      <c r="G15" s="53"/>
      <c r="H15" s="54"/>
      <c r="I15" s="55"/>
    </row>
    <row r="16" spans="1:10" ht="20.25" x14ac:dyDescent="0.3">
      <c r="A16" s="81"/>
      <c r="B16" s="79"/>
      <c r="C16" s="82"/>
      <c r="D16" s="83"/>
      <c r="E16" s="74"/>
      <c r="F16" s="75"/>
      <c r="G16" s="53"/>
      <c r="H16" s="54"/>
      <c r="I16" s="55"/>
    </row>
    <row r="17" spans="1:13" ht="20.25" x14ac:dyDescent="0.3">
      <c r="A17" s="58"/>
      <c r="B17" s="58"/>
      <c r="C17" s="73"/>
      <c r="D17" s="68"/>
      <c r="E17" s="84"/>
      <c r="F17" s="85"/>
      <c r="G17" s="53"/>
      <c r="H17" s="54"/>
      <c r="I17" s="55"/>
    </row>
    <row r="18" spans="1:13" ht="20.25" x14ac:dyDescent="0.3">
      <c r="A18" s="86"/>
      <c r="B18" s="87"/>
      <c r="C18" s="88" t="s">
        <v>28</v>
      </c>
      <c r="D18" s="89"/>
      <c r="E18" s="53"/>
      <c r="F18" s="54"/>
      <c r="G18" s="53"/>
      <c r="H18" s="54"/>
      <c r="I18" s="55"/>
    </row>
    <row r="19" spans="1:13" ht="20.25" x14ac:dyDescent="0.3">
      <c r="A19" s="61"/>
      <c r="B19" s="90" t="s">
        <v>27</v>
      </c>
      <c r="C19" s="91" t="s">
        <v>26</v>
      </c>
      <c r="D19" s="58"/>
      <c r="E19" s="69">
        <v>21</v>
      </c>
      <c r="F19" s="71" t="s">
        <v>19</v>
      </c>
      <c r="G19" s="60"/>
      <c r="H19" s="54"/>
      <c r="I19" s="55"/>
    </row>
    <row r="20" spans="1:13" ht="20.25" x14ac:dyDescent="0.3">
      <c r="A20" s="58"/>
      <c r="B20" s="90" t="s">
        <v>25</v>
      </c>
      <c r="C20" s="91" t="s">
        <v>24</v>
      </c>
      <c r="D20" s="58"/>
      <c r="E20" s="69">
        <v>1</v>
      </c>
      <c r="F20" s="71" t="s">
        <v>19</v>
      </c>
      <c r="G20" s="53"/>
      <c r="H20" s="54"/>
      <c r="I20" s="55"/>
    </row>
    <row r="21" spans="1:13" ht="20.25" x14ac:dyDescent="0.3">
      <c r="A21" s="92"/>
      <c r="B21" s="93" t="s">
        <v>23</v>
      </c>
      <c r="C21" s="94" t="s">
        <v>22</v>
      </c>
      <c r="D21" s="58"/>
      <c r="E21" s="69">
        <v>1</v>
      </c>
      <c r="F21" s="71" t="s">
        <v>19</v>
      </c>
      <c r="G21" s="53"/>
      <c r="H21" s="54"/>
      <c r="I21" s="55"/>
    </row>
    <row r="22" spans="1:13" ht="20.25" x14ac:dyDescent="0.3">
      <c r="A22" s="72"/>
      <c r="B22" s="95" t="s">
        <v>21</v>
      </c>
      <c r="C22" s="96" t="s">
        <v>20</v>
      </c>
      <c r="D22" s="58"/>
      <c r="E22" s="69">
        <v>1</v>
      </c>
      <c r="F22" s="71" t="s">
        <v>19</v>
      </c>
      <c r="G22" s="53"/>
      <c r="H22" s="54"/>
      <c r="I22" s="55"/>
    </row>
    <row r="23" spans="1:13" ht="20.25" x14ac:dyDescent="0.3">
      <c r="A23" s="76"/>
      <c r="B23" s="77"/>
      <c r="C23" s="97"/>
      <c r="D23" s="79"/>
      <c r="E23" s="74"/>
      <c r="F23" s="75"/>
      <c r="G23" s="74"/>
      <c r="H23" s="75"/>
      <c r="I23" s="55"/>
    </row>
    <row r="24" spans="1:13" ht="20.25" x14ac:dyDescent="0.3">
      <c r="A24" s="76"/>
      <c r="B24" s="77"/>
      <c r="C24" s="97"/>
      <c r="D24" s="79"/>
      <c r="E24" s="79"/>
      <c r="F24" s="75"/>
      <c r="G24" s="79"/>
      <c r="H24" s="79"/>
      <c r="I24" s="55"/>
    </row>
    <row r="25" spans="1:13" ht="21" thickBot="1" x14ac:dyDescent="0.35">
      <c r="A25" s="98"/>
      <c r="B25" s="99"/>
      <c r="C25" s="100"/>
      <c r="D25" s="100"/>
      <c r="E25" s="101"/>
      <c r="F25" s="102"/>
      <c r="G25" s="100"/>
      <c r="H25" s="100"/>
      <c r="I25" s="103"/>
      <c r="J25" s="1"/>
      <c r="K25" s="1"/>
      <c r="L25" s="3"/>
      <c r="M25" s="1"/>
    </row>
    <row r="26" spans="1:13" ht="21" thickBot="1" x14ac:dyDescent="0.35">
      <c r="A26" s="104"/>
      <c r="B26" s="105"/>
      <c r="C26" s="106"/>
      <c r="D26" s="107" t="s">
        <v>18</v>
      </c>
      <c r="E26" s="108" t="s">
        <v>17</v>
      </c>
      <c r="F26" s="109"/>
      <c r="G26" s="106"/>
      <c r="H26" s="106"/>
      <c r="I26" s="110"/>
      <c r="J26" s="1"/>
      <c r="K26" s="1"/>
      <c r="L26" s="3"/>
      <c r="M26" s="1"/>
    </row>
    <row r="27" spans="1:13" ht="20.25" x14ac:dyDescent="0.3">
      <c r="A27" s="111" t="s">
        <v>16</v>
      </c>
      <c r="B27" s="112"/>
      <c r="C27" s="113"/>
      <c r="D27" s="114">
        <v>1500</v>
      </c>
      <c r="E27" s="115" t="s">
        <v>5</v>
      </c>
      <c r="F27" s="116" t="s">
        <v>15</v>
      </c>
      <c r="G27" s="116"/>
      <c r="H27" s="117"/>
      <c r="I27" s="118"/>
      <c r="J27" s="1">
        <f>7100/300</f>
        <v>23.666666666666668</v>
      </c>
      <c r="K27" s="1"/>
      <c r="L27" s="3"/>
      <c r="M27" s="1"/>
    </row>
    <row r="28" spans="1:13" ht="20.25" x14ac:dyDescent="0.3">
      <c r="A28" s="119" t="s">
        <v>14</v>
      </c>
      <c r="B28" s="120"/>
      <c r="C28" s="121"/>
      <c r="D28" s="122">
        <v>25</v>
      </c>
      <c r="E28" s="58" t="s">
        <v>13</v>
      </c>
      <c r="F28" s="123" t="s">
        <v>12</v>
      </c>
      <c r="G28" s="123"/>
      <c r="H28" s="124"/>
      <c r="I28" s="125"/>
      <c r="J28" s="1"/>
      <c r="K28" s="1"/>
      <c r="L28" s="3"/>
      <c r="M28" s="1"/>
    </row>
    <row r="29" spans="1:13" ht="20.25" x14ac:dyDescent="0.3">
      <c r="A29" s="119" t="s">
        <v>11</v>
      </c>
      <c r="B29" s="120"/>
      <c r="C29" s="121"/>
      <c r="D29" s="58">
        <v>21</v>
      </c>
      <c r="E29" s="58" t="s">
        <v>10</v>
      </c>
      <c r="F29" s="123" t="s">
        <v>9</v>
      </c>
      <c r="G29" s="123"/>
      <c r="H29" s="124"/>
      <c r="I29" s="125"/>
      <c r="J29" s="1"/>
      <c r="K29" s="1"/>
      <c r="L29" s="3"/>
      <c r="M29" s="1"/>
    </row>
    <row r="30" spans="1:13" ht="20.25" x14ac:dyDescent="0.3">
      <c r="A30" s="119" t="s">
        <v>8</v>
      </c>
      <c r="B30" s="120"/>
      <c r="C30" s="121"/>
      <c r="D30" s="69">
        <v>70</v>
      </c>
      <c r="E30" s="58" t="s">
        <v>5</v>
      </c>
      <c r="F30" s="126" t="s">
        <v>7</v>
      </c>
      <c r="G30" s="127"/>
      <c r="H30" s="124"/>
      <c r="I30" s="125"/>
      <c r="J30" s="1"/>
      <c r="K30" s="1"/>
      <c r="L30" s="3"/>
      <c r="M30" s="4"/>
    </row>
    <row r="31" spans="1:13" ht="21" thickBot="1" x14ac:dyDescent="0.35">
      <c r="A31" s="128" t="s">
        <v>6</v>
      </c>
      <c r="B31" s="129"/>
      <c r="C31" s="130"/>
      <c r="D31" s="131">
        <f>SUM(E10:E11)-D27</f>
        <v>30</v>
      </c>
      <c r="E31" s="132" t="s">
        <v>5</v>
      </c>
      <c r="F31" s="133"/>
      <c r="G31" s="133"/>
      <c r="H31" s="134"/>
      <c r="I31" s="135"/>
      <c r="J31" s="2"/>
      <c r="K31" s="2"/>
      <c r="L31" s="3"/>
      <c r="M31" s="2"/>
    </row>
    <row r="32" spans="1:13" ht="21" thickBot="1" x14ac:dyDescent="0.35">
      <c r="A32" s="148" t="s">
        <v>4</v>
      </c>
      <c r="B32" s="149"/>
      <c r="C32" s="149"/>
      <c r="D32" s="149"/>
      <c r="E32" s="149"/>
      <c r="F32" s="149"/>
      <c r="G32" s="149"/>
      <c r="H32" s="149"/>
      <c r="I32" s="150"/>
      <c r="J32" s="1"/>
      <c r="K32" s="1"/>
      <c r="L32" s="1"/>
      <c r="M32" s="1"/>
    </row>
    <row r="33" spans="1:13" ht="20.25" x14ac:dyDescent="0.3">
      <c r="A33" s="136" t="s">
        <v>3</v>
      </c>
      <c r="B33" s="137"/>
      <c r="C33" s="137"/>
      <c r="D33" s="137"/>
      <c r="E33" s="137"/>
      <c r="F33" s="137"/>
      <c r="G33" s="137"/>
      <c r="H33" s="138"/>
      <c r="I33" s="139"/>
      <c r="J33" s="1"/>
      <c r="K33" s="1"/>
      <c r="L33" s="1"/>
      <c r="M33" s="1"/>
    </row>
    <row r="34" spans="1:13" ht="20.25" x14ac:dyDescent="0.3">
      <c r="A34" s="140" t="s">
        <v>2</v>
      </c>
      <c r="B34" s="141"/>
      <c r="C34" s="141"/>
      <c r="D34" s="141"/>
      <c r="E34" s="141"/>
      <c r="F34" s="141"/>
      <c r="G34" s="141"/>
      <c r="H34" s="142"/>
      <c r="I34" s="139"/>
      <c r="J34" s="1"/>
      <c r="K34" s="1"/>
      <c r="L34" s="1"/>
      <c r="M34" s="1"/>
    </row>
    <row r="35" spans="1:13" ht="14.45" hidden="1" customHeight="1" x14ac:dyDescent="0.3">
      <c r="A35" s="140" t="s">
        <v>1</v>
      </c>
      <c r="B35" s="141"/>
      <c r="C35" s="141"/>
      <c r="D35" s="141"/>
      <c r="E35" s="141"/>
      <c r="F35" s="141"/>
      <c r="G35" s="141"/>
      <c r="H35" s="142"/>
      <c r="I35" s="139"/>
      <c r="J35" s="1"/>
      <c r="K35" s="1"/>
      <c r="L35" s="1"/>
      <c r="M35" s="1"/>
    </row>
    <row r="36" spans="1:13" ht="21" thickBot="1" x14ac:dyDescent="0.35">
      <c r="A36" s="143"/>
      <c r="B36" s="144"/>
      <c r="C36" s="144"/>
      <c r="D36" s="144"/>
      <c r="E36" s="144"/>
      <c r="F36" s="144"/>
      <c r="G36" s="144"/>
      <c r="H36" s="144"/>
      <c r="I36" s="145"/>
      <c r="J36" s="1"/>
      <c r="K36" s="1"/>
      <c r="L36" s="1"/>
      <c r="M36" s="1"/>
    </row>
    <row r="37" spans="1:13" ht="20.25" x14ac:dyDescent="0.3">
      <c r="A37" s="146" t="s">
        <v>0</v>
      </c>
      <c r="B37" s="147"/>
      <c r="C37" s="147"/>
      <c r="D37" s="147"/>
      <c r="E37" s="147"/>
      <c r="F37" s="147"/>
      <c r="G37" s="147"/>
      <c r="H37" s="147"/>
      <c r="I37" s="147"/>
      <c r="J37" s="1"/>
      <c r="K37" s="1"/>
      <c r="L37" s="1"/>
      <c r="M37" s="1"/>
    </row>
    <row r="38" spans="1:13" ht="20.25" x14ac:dyDescent="0.3">
      <c r="A38" s="151"/>
      <c r="B38" s="151"/>
      <c r="C38" s="151"/>
      <c r="D38" s="151"/>
      <c r="E38" s="151"/>
      <c r="F38" s="151"/>
      <c r="G38" s="151"/>
      <c r="H38" s="151"/>
      <c r="I38" s="151"/>
      <c r="J38" s="1"/>
      <c r="K38" s="1"/>
      <c r="L38" s="1"/>
      <c r="M38" s="1"/>
    </row>
    <row r="39" spans="1:13" ht="20.25" x14ac:dyDescent="0.3">
      <c r="A39" s="151"/>
      <c r="B39" s="151"/>
      <c r="C39" s="151"/>
      <c r="D39" s="151"/>
      <c r="E39" s="151"/>
      <c r="F39" s="151"/>
      <c r="G39" s="151"/>
      <c r="H39" s="151"/>
      <c r="I39" s="151"/>
    </row>
  </sheetData>
  <mergeCells count="40">
    <mergeCell ref="A36:I36"/>
    <mergeCell ref="A37:I37"/>
    <mergeCell ref="A38:I38"/>
    <mergeCell ref="A39:I39"/>
    <mergeCell ref="A33:H33"/>
    <mergeCell ref="A34:H34"/>
    <mergeCell ref="A35:H35"/>
    <mergeCell ref="A31:C31"/>
    <mergeCell ref="F31:G31"/>
    <mergeCell ref="H31:I31"/>
    <mergeCell ref="A32:I32"/>
    <mergeCell ref="A29:C29"/>
    <mergeCell ref="F29:G29"/>
    <mergeCell ref="H29:I29"/>
    <mergeCell ref="A30:C30"/>
    <mergeCell ref="F30:G30"/>
    <mergeCell ref="H30:I30"/>
    <mergeCell ref="A27:C27"/>
    <mergeCell ref="F27:G27"/>
    <mergeCell ref="H27:I27"/>
    <mergeCell ref="A28:C28"/>
    <mergeCell ref="F28:G28"/>
    <mergeCell ref="H28:I2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8990DBFC-7F57-4282-8F79-BBDD10DB9B31}"/>
</file>

<file path=customXml/itemProps2.xml><?xml version="1.0" encoding="utf-8"?>
<ds:datastoreItem xmlns:ds="http://schemas.openxmlformats.org/officeDocument/2006/customXml" ds:itemID="{1442B0EB-1B62-48D4-A866-41C83F2FA14D}"/>
</file>

<file path=customXml/itemProps3.xml><?xml version="1.0" encoding="utf-8"?>
<ds:datastoreItem xmlns:ds="http://schemas.openxmlformats.org/officeDocument/2006/customXml" ds:itemID="{A533C2ED-ECEF-44E2-A928-AF7A853A33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Muffin Vainilla SP </vt:lpstr>
      <vt:lpstr>'Muffin Vainilla SP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2026-02-04T17:05:24Z</cp:lastPrinted>
  <dcterms:created xsi:type="dcterms:W3CDTF">2026-02-04T17:01:14Z</dcterms:created>
  <dcterms:modified xsi:type="dcterms:W3CDTF">2026-02-04T17:06:29Z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
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1" documentId="8_{670052AA-7D0C-4371-BC3B-D29E2CB74F58}" xr6:coauthVersionLast="47" xr6:coauthVersionMax="47" xr10:uidLastSave="{0008C36D-278A-4C69-9033-3057E38B0C60}"/>
  <bookViews>
    <workbookView xWindow="-120" yWindow="-120" windowWidth="29040" windowHeight="15840" firstSheet="2" activeTab="2" xr2:uid="{93DF36B7-6ED9-40F2-93AD-A97D508EA7D8}"/>
  </bookViews>
  <sheets>
    <sheet name="Batido" sheetId="1" state="hidden" r:id="rId1"/>
    <sheet name="Costo Batido" sheetId="4" state="hidden" r:id="rId2"/>
    <sheet name="Hoja1" sheetId="7" r:id="rId3"/>
    <sheet name="Costo Wafles" sheetId="5" state="hidden" r:id="rId4"/>
    <sheet name="Empaque" sheetId="3" state="hidden" r:id="rId5"/>
    <sheet name="Costo empaque " sheetId="6" state="hidden" r:id="rId6"/>
  </sheets>
  <externalReferences>
    <externalReference r:id="rId7"/>
    <externalReference r:id="rId8"/>
  </externalReferences>
  <definedNames>
    <definedName name="_xlnm.Print_Area" localSheetId="0">Batido!$A$1:$I$39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" l="1"/>
  <c r="C8" i="4"/>
  <c r="F8" i="4" s="1"/>
  <c r="O16" i="4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D49" i="6"/>
  <c r="B49" i="6"/>
  <c r="A49" i="6"/>
  <c r="C49" i="6" s="1"/>
  <c r="E48" i="6"/>
  <c r="D48" i="6"/>
  <c r="B48" i="6"/>
  <c r="E47" i="6"/>
  <c r="D47" i="6"/>
  <c r="B47" i="6"/>
  <c r="E46" i="6"/>
  <c r="D46" i="6"/>
  <c r="B46" i="6"/>
  <c r="E45" i="6"/>
  <c r="D45" i="6"/>
  <c r="B45" i="6"/>
  <c r="E41" i="6"/>
  <c r="D41" i="6"/>
  <c r="B41" i="6"/>
  <c r="A41" i="6"/>
  <c r="A50" i="6" s="1"/>
  <c r="C50" i="6" s="1"/>
  <c r="E40" i="6"/>
  <c r="F40" i="6" s="1"/>
  <c r="D40" i="6"/>
  <c r="C40" i="6"/>
  <c r="B40" i="6"/>
  <c r="A40" i="6"/>
  <c r="E39" i="6"/>
  <c r="D39" i="6"/>
  <c r="B39" i="6"/>
  <c r="A39" i="6"/>
  <c r="C39" i="6" s="1"/>
  <c r="E38" i="6"/>
  <c r="D38" i="6"/>
  <c r="B38" i="6"/>
  <c r="A38" i="6"/>
  <c r="C38" i="6" s="1"/>
  <c r="E37" i="6"/>
  <c r="D37" i="6"/>
  <c r="C37" i="6"/>
  <c r="B37" i="6"/>
  <c r="A37" i="6"/>
  <c r="A46" i="6" s="1"/>
  <c r="C46" i="6" s="1"/>
  <c r="E36" i="6"/>
  <c r="D36" i="6"/>
  <c r="B36" i="6"/>
  <c r="A36" i="6"/>
  <c r="A45" i="6" s="1"/>
  <c r="C45" i="6" s="1"/>
  <c r="A35" i="6"/>
  <c r="C35" i="6" s="1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4" i="6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D18" i="6"/>
  <c r="C18" i="6"/>
  <c r="B18" i="6"/>
  <c r="C17" i="6"/>
  <c r="B15" i="6"/>
  <c r="E14" i="6"/>
  <c r="F14" i="6" s="1"/>
  <c r="D14" i="6"/>
  <c r="C14" i="6"/>
  <c r="B14" i="6"/>
  <c r="E13" i="6"/>
  <c r="D13" i="6"/>
  <c r="C13" i="6"/>
  <c r="B13" i="6"/>
  <c r="E12" i="6"/>
  <c r="F12" i="6" s="1"/>
  <c r="D12" i="6"/>
  <c r="C12" i="6"/>
  <c r="B12" i="6"/>
  <c r="E11" i="6"/>
  <c r="D11" i="6"/>
  <c r="C11" i="6"/>
  <c r="B11" i="6"/>
  <c r="E10" i="6"/>
  <c r="F10" i="6" s="1"/>
  <c r="D10" i="6"/>
  <c r="C10" i="6"/>
  <c r="B10" i="6"/>
  <c r="E9" i="6"/>
  <c r="D9" i="6"/>
  <c r="C9" i="6"/>
  <c r="B9" i="6"/>
  <c r="E8" i="6"/>
  <c r="F8" i="6" s="1"/>
  <c r="D8" i="6"/>
  <c r="C8" i="6"/>
  <c r="B8" i="6"/>
  <c r="H6" i="6"/>
  <c r="D73" i="5"/>
  <c r="D74" i="5" s="1"/>
  <c r="D76" i="5" s="1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A46" i="5"/>
  <c r="C46" i="5" s="1"/>
  <c r="E45" i="5"/>
  <c r="D45" i="5"/>
  <c r="B45" i="5"/>
  <c r="E41" i="5"/>
  <c r="D41" i="5"/>
  <c r="B41" i="5"/>
  <c r="A41" i="5"/>
  <c r="C41" i="5" s="1"/>
  <c r="E40" i="5"/>
  <c r="D40" i="5"/>
  <c r="B40" i="5"/>
  <c r="A40" i="5"/>
  <c r="C40" i="5" s="1"/>
  <c r="E39" i="5"/>
  <c r="D39" i="5"/>
  <c r="B39" i="5"/>
  <c r="A39" i="5"/>
  <c r="C39" i="5" s="1"/>
  <c r="E38" i="5"/>
  <c r="D38" i="5"/>
  <c r="B38" i="5"/>
  <c r="A38" i="5"/>
  <c r="A47" i="5" s="1"/>
  <c r="C47" i="5" s="1"/>
  <c r="E37" i="5"/>
  <c r="D37" i="5"/>
  <c r="C37" i="5"/>
  <c r="B37" i="5"/>
  <c r="A37" i="5"/>
  <c r="E36" i="5"/>
  <c r="D36" i="5"/>
  <c r="B36" i="5"/>
  <c r="A36" i="5"/>
  <c r="A45" i="5" s="1"/>
  <c r="C45" i="5" s="1"/>
  <c r="A35" i="5"/>
  <c r="C35" i="5" s="1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E13" i="5"/>
  <c r="F13" i="5" s="1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F9" i="5" s="1"/>
  <c r="D9" i="5"/>
  <c r="C9" i="5"/>
  <c r="B9" i="5"/>
  <c r="E8" i="5"/>
  <c r="F8" i="5" s="1"/>
  <c r="D8" i="5"/>
  <c r="C8" i="5"/>
  <c r="B8" i="5"/>
  <c r="H6" i="5"/>
  <c r="D73" i="4"/>
  <c r="D74" i="4" s="1"/>
  <c r="D76" i="4" s="1"/>
  <c r="D71" i="4"/>
  <c r="D69" i="4"/>
  <c r="F65" i="4"/>
  <c r="E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4" i="4"/>
  <c r="D44" i="4"/>
  <c r="B44" i="4"/>
  <c r="E41" i="4"/>
  <c r="D41" i="4"/>
  <c r="B41" i="4"/>
  <c r="A41" i="4"/>
  <c r="A50" i="4" s="1"/>
  <c r="C50" i="4" s="1"/>
  <c r="E40" i="4"/>
  <c r="D40" i="4"/>
  <c r="C40" i="4"/>
  <c r="B40" i="4"/>
  <c r="A40" i="4"/>
  <c r="A49" i="4" s="1"/>
  <c r="C49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E36" i="4"/>
  <c r="D36" i="4"/>
  <c r="B36" i="4"/>
  <c r="A36" i="4"/>
  <c r="A45" i="4" s="1"/>
  <c r="C45" i="4" s="1"/>
  <c r="E35" i="4"/>
  <c r="D35" i="4"/>
  <c r="B35" i="4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D18" i="4"/>
  <c r="C18" i="4"/>
  <c r="B18" i="4"/>
  <c r="B15" i="4"/>
  <c r="E14" i="4"/>
  <c r="D14" i="4"/>
  <c r="C14" i="4"/>
  <c r="B14" i="4"/>
  <c r="E13" i="4"/>
  <c r="D13" i="4"/>
  <c r="C13" i="4"/>
  <c r="B13" i="4"/>
  <c r="D12" i="4"/>
  <c r="C12" i="4"/>
  <c r="B12" i="4"/>
  <c r="D11" i="4"/>
  <c r="C11" i="4"/>
  <c r="B11" i="4"/>
  <c r="D10" i="4"/>
  <c r="C10" i="4"/>
  <c r="B10" i="4"/>
  <c r="D9" i="4"/>
  <c r="C9" i="4"/>
  <c r="B9" i="4"/>
  <c r="H6" i="4"/>
  <c r="D22" i="3"/>
  <c r="D19" i="1"/>
  <c r="D21" i="1"/>
  <c r="F46" i="6" l="1"/>
  <c r="F13" i="4"/>
  <c r="F14" i="4"/>
  <c r="F39" i="4"/>
  <c r="F32" i="6"/>
  <c r="F47" i="5"/>
  <c r="F41" i="5"/>
  <c r="F40" i="4"/>
  <c r="F11" i="5"/>
  <c r="F18" i="4"/>
  <c r="F35" i="4"/>
  <c r="F28" i="5"/>
  <c r="F30" i="5"/>
  <c r="F32" i="5"/>
  <c r="D83" i="6"/>
  <c r="F31" i="6"/>
  <c r="F29" i="6"/>
  <c r="F27" i="6"/>
  <c r="F28" i="6"/>
  <c r="F30" i="6"/>
  <c r="F50" i="6"/>
  <c r="F24" i="6"/>
  <c r="C36" i="6"/>
  <c r="F36" i="6" s="1"/>
  <c r="F37" i="6"/>
  <c r="F38" i="6"/>
  <c r="F39" i="6"/>
  <c r="F45" i="6"/>
  <c r="F18" i="6"/>
  <c r="C41" i="6"/>
  <c r="F41" i="6" s="1"/>
  <c r="F9" i="6"/>
  <c r="F11" i="6"/>
  <c r="F13" i="6"/>
  <c r="D83" i="5"/>
  <c r="D81" i="5"/>
  <c r="F37" i="5"/>
  <c r="F39" i="5"/>
  <c r="F40" i="5"/>
  <c r="F27" i="5"/>
  <c r="F29" i="5"/>
  <c r="F31" i="5"/>
  <c r="A50" i="5"/>
  <c r="C50" i="5" s="1"/>
  <c r="F19" i="5"/>
  <c r="F21" i="5"/>
  <c r="F23" i="5"/>
  <c r="F24" i="5"/>
  <c r="C38" i="5"/>
  <c r="F38" i="5" s="1"/>
  <c r="F20" i="5"/>
  <c r="F22" i="5"/>
  <c r="F46" i="5"/>
  <c r="F10" i="5"/>
  <c r="F12" i="5"/>
  <c r="F51" i="4"/>
  <c r="F45" i="4"/>
  <c r="F46" i="4"/>
  <c r="C36" i="4"/>
  <c r="F36" i="4" s="1"/>
  <c r="F50" i="4"/>
  <c r="C37" i="4"/>
  <c r="F41" i="4"/>
  <c r="F49" i="4"/>
  <c r="F27" i="4"/>
  <c r="F28" i="4"/>
  <c r="F29" i="4"/>
  <c r="F30" i="4"/>
  <c r="F31" i="4"/>
  <c r="F32" i="4"/>
  <c r="F37" i="4"/>
  <c r="C41" i="4"/>
  <c r="F9" i="4"/>
  <c r="F10" i="4"/>
  <c r="F11" i="4"/>
  <c r="F12" i="4"/>
  <c r="F49" i="6"/>
  <c r="D81" i="6"/>
  <c r="A44" i="6"/>
  <c r="C44" i="6" s="1"/>
  <c r="A48" i="6"/>
  <c r="C48" i="6" s="1"/>
  <c r="F48" i="6" s="1"/>
  <c r="A47" i="6"/>
  <c r="C47" i="6" s="1"/>
  <c r="F47" i="6" s="1"/>
  <c r="C73" i="6"/>
  <c r="F45" i="5"/>
  <c r="F50" i="5"/>
  <c r="A49" i="5"/>
  <c r="C49" i="5" s="1"/>
  <c r="F49" i="5" s="1"/>
  <c r="C36" i="5"/>
  <c r="F36" i="5" s="1"/>
  <c r="A44" i="5"/>
  <c r="C44" i="5" s="1"/>
  <c r="A48" i="5"/>
  <c r="C48" i="5" s="1"/>
  <c r="F48" i="5" s="1"/>
  <c r="C73" i="5"/>
  <c r="F38" i="4"/>
  <c r="D83" i="4"/>
  <c r="A44" i="4"/>
  <c r="C44" i="4" s="1"/>
  <c r="F44" i="4" s="1"/>
  <c r="A48" i="4"/>
  <c r="C48" i="4" s="1"/>
  <c r="F48" i="4" s="1"/>
  <c r="D81" i="4"/>
  <c r="A47" i="4"/>
  <c r="C47" i="4" s="1"/>
  <c r="F47" i="4" s="1"/>
  <c r="C73" i="4"/>
  <c r="F53" i="4" l="1"/>
  <c r="C69" i="4" s="1"/>
  <c r="E73" i="6"/>
  <c r="C85" i="6"/>
  <c r="E85" i="6" s="1"/>
  <c r="C85" i="5"/>
  <c r="E85" i="5" s="1"/>
  <c r="E73" i="5"/>
  <c r="F56" i="4"/>
  <c r="C85" i="4"/>
  <c r="E85" i="4" s="1"/>
  <c r="E73" i="4"/>
  <c r="F54" i="4"/>
  <c r="F55" i="4" l="1"/>
  <c r="H55" i="4" s="1"/>
  <c r="F64" i="4"/>
  <c r="H53" i="4"/>
  <c r="F2" i="4" s="1"/>
  <c r="H56" i="4"/>
  <c r="C74" i="4"/>
  <c r="E69" i="4"/>
  <c r="E17" i="5" s="1"/>
  <c r="F17" i="5" s="1"/>
  <c r="F53" i="5" s="1"/>
  <c r="C81" i="4"/>
  <c r="E81" i="4" s="1"/>
  <c r="H54" i="4"/>
  <c r="G2" i="4" s="1"/>
  <c r="C76" i="4"/>
  <c r="E76" i="4" s="1"/>
  <c r="E35" i="5" s="1"/>
  <c r="F35" i="5" s="1"/>
  <c r="F54" i="5" s="1"/>
  <c r="C76" i="5" s="1"/>
  <c r="E76" i="5" s="1"/>
  <c r="O54" i="4" l="1"/>
  <c r="O56" i="4" s="1"/>
  <c r="F63" i="4"/>
  <c r="C71" i="4" s="1"/>
  <c r="H54" i="5"/>
  <c r="H53" i="5"/>
  <c r="F64" i="5"/>
  <c r="C69" i="5"/>
  <c r="F55" i="5"/>
  <c r="F63" i="5" s="1"/>
  <c r="E74" i="4"/>
  <c r="C86" i="4"/>
  <c r="E86" i="4" s="1"/>
  <c r="H2" i="4"/>
  <c r="H58" i="4"/>
  <c r="H59" i="4" s="1"/>
  <c r="O58" i="4" s="1"/>
  <c r="O55" i="4"/>
  <c r="E63" i="4" l="1"/>
  <c r="F66" i="4"/>
  <c r="G8" i="4" s="1"/>
  <c r="O54" i="5"/>
  <c r="O56" i="5" s="1"/>
  <c r="H55" i="5"/>
  <c r="E78" i="4"/>
  <c r="E44" i="5"/>
  <c r="F44" i="5" s="1"/>
  <c r="F56" i="5" s="1"/>
  <c r="O57" i="4"/>
  <c r="O59" i="4" s="1"/>
  <c r="O60" i="4" s="1"/>
  <c r="O61" i="4" s="1"/>
  <c r="O62" i="4" s="1"/>
  <c r="G2" i="5"/>
  <c r="E35" i="6"/>
  <c r="F35" i="6" s="1"/>
  <c r="F54" i="6" s="1"/>
  <c r="E69" i="5"/>
  <c r="C81" i="5"/>
  <c r="E81" i="5" s="1"/>
  <c r="F2" i="5"/>
  <c r="E17" i="6"/>
  <c r="F17" i="6" s="1"/>
  <c r="F53" i="6" s="1"/>
  <c r="C71" i="5"/>
  <c r="E63" i="5"/>
  <c r="F66" i="5"/>
  <c r="G63" i="5" s="1"/>
  <c r="G19" i="4"/>
  <c r="G41" i="4"/>
  <c r="G27" i="4"/>
  <c r="G64" i="4"/>
  <c r="C83" i="4"/>
  <c r="E83" i="4" s="1"/>
  <c r="E71" i="4"/>
  <c r="G53" i="4" l="1"/>
  <c r="G39" i="4"/>
  <c r="G10" i="4"/>
  <c r="G30" i="4"/>
  <c r="G20" i="4"/>
  <c r="G22" i="4"/>
  <c r="G12" i="4"/>
  <c r="G38" i="4"/>
  <c r="G31" i="4"/>
  <c r="G29" i="4"/>
  <c r="G24" i="4"/>
  <c r="G54" i="4"/>
  <c r="G47" i="4"/>
  <c r="G23" i="4"/>
  <c r="G50" i="4"/>
  <c r="G45" i="4"/>
  <c r="G66" i="4"/>
  <c r="G63" i="4"/>
  <c r="G56" i="4"/>
  <c r="G48" i="4"/>
  <c r="G46" i="4"/>
  <c r="G40" i="4"/>
  <c r="G36" i="4"/>
  <c r="G13" i="4"/>
  <c r="G18" i="4"/>
  <c r="G32" i="4"/>
  <c r="G65" i="4"/>
  <c r="G21" i="4"/>
  <c r="G55" i="4"/>
  <c r="G44" i="4"/>
  <c r="G11" i="4"/>
  <c r="G14" i="4"/>
  <c r="G35" i="4"/>
  <c r="G9" i="4"/>
  <c r="G51" i="4"/>
  <c r="G28" i="4"/>
  <c r="G37" i="4"/>
  <c r="G49" i="4"/>
  <c r="H56" i="5"/>
  <c r="C74" i="5"/>
  <c r="H54" i="6"/>
  <c r="G2" i="6" s="1"/>
  <c r="C76" i="6"/>
  <c r="E76" i="6" s="1"/>
  <c r="H53" i="6"/>
  <c r="F2" i="6" s="1"/>
  <c r="F64" i="6"/>
  <c r="C69" i="6"/>
  <c r="F55" i="6"/>
  <c r="C83" i="5"/>
  <c r="E83" i="5" s="1"/>
  <c r="E71" i="5"/>
  <c r="G66" i="5"/>
  <c r="G9" i="5"/>
  <c r="G13" i="5"/>
  <c r="G39" i="5"/>
  <c r="G51" i="5"/>
  <c r="G28" i="5"/>
  <c r="G8" i="5"/>
  <c r="G20" i="5"/>
  <c r="G24" i="5"/>
  <c r="G31" i="5"/>
  <c r="G14" i="5"/>
  <c r="G40" i="5"/>
  <c r="G10" i="5"/>
  <c r="G32" i="5"/>
  <c r="G17" i="5"/>
  <c r="G21" i="5"/>
  <c r="G12" i="5"/>
  <c r="G47" i="5"/>
  <c r="G65" i="5"/>
  <c r="G46" i="5"/>
  <c r="G41" i="5"/>
  <c r="G37" i="5"/>
  <c r="G18" i="5"/>
  <c r="G22" i="5"/>
  <c r="G27" i="5"/>
  <c r="G30" i="5"/>
  <c r="G38" i="5"/>
  <c r="G11" i="5"/>
  <c r="G19" i="5"/>
  <c r="G23" i="5"/>
  <c r="G29" i="5"/>
  <c r="G36" i="5"/>
  <c r="G50" i="5"/>
  <c r="G35" i="5"/>
  <c r="G48" i="5"/>
  <c r="G45" i="5"/>
  <c r="G49" i="5"/>
  <c r="G53" i="5"/>
  <c r="G44" i="5"/>
  <c r="G64" i="5"/>
  <c r="G54" i="5"/>
  <c r="G56" i="5"/>
  <c r="G55" i="5"/>
  <c r="P62" i="4"/>
  <c r="E2" i="4"/>
  <c r="C86" i="5" l="1"/>
  <c r="E86" i="5" s="1"/>
  <c r="E74" i="5"/>
  <c r="E78" i="5" s="1"/>
  <c r="E44" i="6"/>
  <c r="F44" i="6" s="1"/>
  <c r="F56" i="6" s="1"/>
  <c r="O55" i="5"/>
  <c r="O57" i="5" s="1"/>
  <c r="H58" i="5"/>
  <c r="H59" i="5" s="1"/>
  <c r="O58" i="5" s="1"/>
  <c r="H2" i="5"/>
  <c r="O54" i="6"/>
  <c r="H55" i="6"/>
  <c r="F63" i="6"/>
  <c r="E69" i="6"/>
  <c r="C81" i="6"/>
  <c r="E81" i="6" s="1"/>
  <c r="O59" i="5" l="1"/>
  <c r="O60" i="5" s="1"/>
  <c r="O61" i="5" s="1"/>
  <c r="O62" i="5" s="1"/>
  <c r="E2" i="5" s="1"/>
  <c r="C74" i="6"/>
  <c r="H56" i="6"/>
  <c r="F66" i="6"/>
  <c r="C71" i="6"/>
  <c r="E63" i="6"/>
  <c r="O56" i="6"/>
  <c r="P62" i="5" l="1"/>
  <c r="O55" i="6"/>
  <c r="O57" i="6" s="1"/>
  <c r="H58" i="6"/>
  <c r="H59" i="6" s="1"/>
  <c r="O58" i="6" s="1"/>
  <c r="H2" i="6"/>
  <c r="E74" i="6"/>
  <c r="E78" i="6" s="1"/>
  <c r="C86" i="6"/>
  <c r="E86" i="6" s="1"/>
  <c r="C83" i="6"/>
  <c r="E83" i="6" s="1"/>
  <c r="E71" i="6"/>
  <c r="G63" i="6"/>
  <c r="G66" i="6"/>
  <c r="G19" i="6"/>
  <c r="G22" i="6"/>
  <c r="G8" i="6"/>
  <c r="G20" i="6"/>
  <c r="G14" i="6"/>
  <c r="G27" i="6"/>
  <c r="G50" i="6"/>
  <c r="G21" i="6"/>
  <c r="G53" i="6"/>
  <c r="G64" i="6"/>
  <c r="G23" i="6"/>
  <c r="G37" i="6"/>
  <c r="G51" i="6"/>
  <c r="G45" i="6"/>
  <c r="G38" i="6"/>
  <c r="G31" i="6"/>
  <c r="G40" i="6"/>
  <c r="G30" i="6"/>
  <c r="G48" i="6"/>
  <c r="G44" i="6"/>
  <c r="G54" i="6"/>
  <c r="G13" i="6"/>
  <c r="G24" i="6"/>
  <c r="G41" i="6"/>
  <c r="G17" i="6"/>
  <c r="G12" i="6"/>
  <c r="G65" i="6"/>
  <c r="G9" i="6"/>
  <c r="G29" i="6"/>
  <c r="G47" i="6"/>
  <c r="G49" i="6"/>
  <c r="G55" i="6"/>
  <c r="G32" i="6"/>
  <c r="G10" i="6"/>
  <c r="G46" i="6"/>
  <c r="G36" i="6"/>
  <c r="G28" i="6"/>
  <c r="G11" i="6"/>
  <c r="G18" i="6"/>
  <c r="G39" i="6"/>
  <c r="G35" i="6"/>
  <c r="G56" i="6"/>
  <c r="O59" i="6" l="1"/>
  <c r="O60" i="6" s="1"/>
  <c r="O61" i="6" s="1"/>
  <c r="O62" i="6" s="1"/>
  <c r="E2" i="6" s="1"/>
  <c r="P62" i="6" l="1"/>
  <c r="O64" i="6"/>
</calcChain>
</file>

<file path=xl/sharedStrings.xml><?xml version="1.0" encoding="utf-8"?>
<sst xmlns="http://schemas.openxmlformats.org/spreadsheetml/2006/main" count="486" uniqueCount="156">
  <si>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</si>
  <si>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</si>
  <si>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</si>
  <si>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</si>
  <si>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</si>
  <si>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</si>
  <si>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</si>
  <si>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</si>
  <si>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</si>
  <si>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</si>
  <si>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</si>
  <si>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</si>
  <si>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</si>
  <si>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</si>
  <si>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</si>
  <si>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</si>
  <si>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</si>
  <si>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</si>
  <si>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</si>
  <si>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</si>
  <si>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</si>
  <si>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</si>
  <si>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</si>
  <si>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</si>
  <si>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</si>
  <si>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</si>
  <si>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</si>
  <si>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</si>
  <si>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</si>
  <si>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</si>
  <si>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</si>
  <si>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</si>
  <si>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</si>
  <si>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</si>
  <si>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</si>
  <si>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</si>
  <si>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COCINA</t>
  </si>
  <si>
    <t>NUEVO</t>
  </si>
  <si>
    <t>PREMEZCLA WAFLES MAIZENA</t>
  </si>
  <si>
    <t>MAIZENA</t>
  </si>
  <si>
    <t>11400047</t>
  </si>
  <si>
    <t>MP10030</t>
  </si>
  <si>
    <t>Leche 2% Pasteurizada</t>
  </si>
  <si>
    <t>DOS PINOS</t>
  </si>
  <si>
    <t>0310107</t>
  </si>
  <si>
    <t>MP10022</t>
  </si>
  <si>
    <t>Lactocrema Granel</t>
  </si>
  <si>
    <t>1210482</t>
  </si>
  <si>
    <t>MP10005</t>
  </si>
  <si>
    <t>Huevo Liquido Refrigerado</t>
  </si>
  <si>
    <t>INNOVO</t>
  </si>
  <si>
    <t>1.- Derretir la lactocrema y luego mezclar todos los ingredientes hasta incorporar.</t>
  </si>
  <si>
    <t>2.- Se puede utilizar la batidora con globo a velocidad baja.</t>
  </si>
  <si>
    <t>1212410</t>
  </si>
  <si>
    <t>MP10008</t>
  </si>
  <si>
    <t>Preservante 1047S</t>
  </si>
  <si>
    <t xml:space="preserve">BATIDO WAFLES </t>
  </si>
  <si>
    <t>FAS</t>
  </si>
  <si>
    <t xml:space="preserve">1.- Dosificar una taza de el batido de wafles en la waflera y cocer por 3 minutos a temperatura 4. </t>
  </si>
  <si>
    <t>2.- Colocar en bndejas y llevar a enfriamiento para ser empacados.</t>
  </si>
  <si>
    <t>Empaque</t>
  </si>
  <si>
    <t>EM10017</t>
  </si>
  <si>
    <t>CAJA BLANCA  MEDIANAS (100 X PAQ)</t>
  </si>
  <si>
    <t>Litografia CR</t>
  </si>
  <si>
    <t>EM10016</t>
  </si>
  <si>
    <t>BOLSA 12x18 TRANSP (KILO)</t>
  </si>
  <si>
    <t>Plasticos P</t>
  </si>
  <si>
    <t>EM10002</t>
  </si>
  <si>
    <t>ETIQ.BLANCA 1 1/4 * 3/4</t>
  </si>
  <si>
    <t>CEMUSA</t>
  </si>
  <si>
    <t>EM10004</t>
  </si>
  <si>
    <t>ETIQ.FECHA VENCIMIENTO BLANCO</t>
  </si>
  <si>
    <t>Etiplast</t>
  </si>
  <si>
    <t>WAFLES 190G</t>
  </si>
  <si>
    <t>1950772</t>
  </si>
  <si>
    <t>EM10090</t>
  </si>
  <si>
    <t>Papel Encerado 12 X 10</t>
  </si>
  <si>
    <t>1.- Colocar los dos wafles en la caja mediana separados por el papel encerado.</t>
  </si>
  <si>
    <t>2.- Tapar y meter en la bolsa 12x18.</t>
  </si>
  <si>
    <t>3.- Etiquetar.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</si>
  <si>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</si>
  <si>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</si>
  <si>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</si>
  <si>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</si>
  <si>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</si>
  <si>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</si>
  <si>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</si>
  <si>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</si>
  <si>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</si>
  <si>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</si>
  <si>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</si>
  <si>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</si>
  <si>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</si>
  <si>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</si>
  <si>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</si>
  <si>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</si>
  <si>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</si>
  <si>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</si>
  <si>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</si>
  <si>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</si>
  <si>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</si>
  <si>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</si>
  <si>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</si>
  <si>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</si>
  <si>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</si>
  <si>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</si>
  <si>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</si>
  <si>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</si>
  <si>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</si>
  <si>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</si>
  <si>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</si>
  <si>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</si>
  <si>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</si>
  <si>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</si>
  <si>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</si>
  <si>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</si>
  <si>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</si>
  <si>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</si>
  <si>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</si>
  <si>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</si>
  <si>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</si>
  <si>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</si>
  <si>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</si>
  <si>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</si>
  <si>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</si>
  <si>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</si>
  <si>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</si>
  <si>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</si>
  <si>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</si>
  <si>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</si>
  <si>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</si>
  <si>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</si>
  <si>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</si>
  <si>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>Gramos</t>
  </si>
  <si>
    <t xml:space="preserve">UND </t>
  </si>
  <si>
    <t>1950729</t>
  </si>
  <si>
    <t>1950702</t>
  </si>
  <si>
    <t>0702069</t>
  </si>
  <si>
    <t>0702007</t>
  </si>
  <si>
    <t>PREMEZCLA PANQUEQUES MAIZENA</t>
  </si>
  <si>
    <t>MP10681</t>
  </si>
  <si>
    <t>SE00581 Batido Waffles</t>
  </si>
  <si>
    <t>SE00581</t>
  </si>
  <si>
    <t>SE00582 Wafles 190g</t>
  </si>
  <si>
    <t>SE00582</t>
  </si>
  <si>
    <t>PTL00206 - 20100187 Empaque wafles 190g</t>
  </si>
  <si>
    <t>10100050</t>
  </si>
  <si>
    <t>01</t>
  </si>
  <si>
    <t>Javier Tong, Chef</t>
  </si>
  <si>
    <t>Batidos</t>
  </si>
  <si>
    <t># Código Netsuite</t>
  </si>
  <si>
    <t>Ensamble</t>
  </si>
  <si>
    <t>Decoración</t>
  </si>
  <si>
    <t/>
  </si>
  <si>
    <t>CONTROL DE CAMBIOS</t>
  </si>
  <si>
    <t>ESP-RE-BAS-058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</si>
</sst>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5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</cellStyleXfs>
  <cellXfs count="448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5" borderId="11" xfId="0" applyNumberFormat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0" fontId="6" fillId="0" borderId="28" xfId="0" applyFont="1" applyBorder="1"/>
    <xf numFmtId="1" fontId="2" fillId="0" borderId="8" xfId="0" applyNumberFormat="1" applyFont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1" fontId="4" fillId="4" borderId="29" xfId="0" applyNumberFormat="1" applyFont="1" applyFill="1" applyBorder="1" applyAlignment="1">
      <alignment horizontal="center" vertical="center" wrapText="1"/>
    </xf>
    <xf numFmtId="1" fontId="4" fillId="4" borderId="29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2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0" borderId="4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7" borderId="41" xfId="0" applyFont="1" applyFill="1" applyBorder="1" applyAlignment="1">
      <alignment horizontal="center"/>
    </xf>
    <xf numFmtId="0" fontId="6" fillId="7" borderId="28" xfId="0" applyFont="1" applyFill="1" applyBorder="1"/>
    <xf numFmtId="0" fontId="12" fillId="0" borderId="11" xfId="0" applyFont="1" applyBorder="1" applyAlignment="1">
      <alignment horizontal="center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0" fontId="12" fillId="0" borderId="11" xfId="0" applyFont="1" applyBorder="1"/>
    <xf numFmtId="0" fontId="14" fillId="0" borderId="2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15" fillId="0" borderId="11" xfId="0" applyFont="1" applyBorder="1"/>
    <xf numFmtId="0" fontId="1" fillId="0" borderId="4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2" fillId="0" borderId="40" xfId="0" applyFont="1" applyBorder="1" applyAlignment="1">
      <alignment horizontal="center"/>
    </xf>
    <xf numFmtId="1" fontId="2" fillId="0" borderId="46" xfId="0" applyNumberFormat="1" applyFont="1" applyBorder="1" applyAlignment="1">
      <alignment horizontal="center" wrapText="1"/>
    </xf>
    <xf numFmtId="0" fontId="1" fillId="0" borderId="7" xfId="0" applyFont="1" applyBorder="1"/>
    <xf numFmtId="0" fontId="1" fillId="7" borderId="45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6" fillId="7" borderId="0" xfId="0" applyFont="1" applyFill="1"/>
    <xf numFmtId="0" fontId="12" fillId="5" borderId="0" xfId="0" applyFont="1" applyFill="1" applyAlignment="1">
      <alignment vertical="center"/>
    </xf>
    <xf numFmtId="0" fontId="13" fillId="8" borderId="11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3" fillId="0" borderId="11" xfId="5" applyFont="1" applyFill="1" applyBorder="1" applyAlignment="1">
      <alignment horizontal="center" vertical="center"/>
    </xf>
    <xf numFmtId="43" fontId="13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3" fillId="9" borderId="50" xfId="0" applyFont="1" applyFill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 wrapText="1"/>
    </xf>
    <xf numFmtId="0" fontId="13" fillId="9" borderId="5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3" fillId="0" borderId="0" xfId="6" applyNumberFormat="1" applyFont="1" applyFill="1" applyAlignment="1">
      <alignment horizontal="center" vertical="center"/>
    </xf>
    <xf numFmtId="10" fontId="13" fillId="0" borderId="0" xfId="2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0" fontId="12" fillId="0" borderId="0" xfId="0" applyFont="1"/>
    <xf numFmtId="49" fontId="13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3" xfId="2" applyNumberFormat="1" applyFont="1" applyFill="1" applyBorder="1" applyAlignment="1">
      <alignment vertical="center"/>
    </xf>
    <xf numFmtId="0" fontId="12" fillId="9" borderId="48" xfId="0" applyFont="1" applyFill="1" applyBorder="1" applyAlignment="1">
      <alignment vertical="center"/>
    </xf>
    <xf numFmtId="0" fontId="12" fillId="9" borderId="53" xfId="0" applyFont="1" applyFill="1" applyBorder="1" applyAlignment="1">
      <alignment vertical="center"/>
    </xf>
    <xf numFmtId="43" fontId="24" fillId="9" borderId="54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2" fillId="9" borderId="54" xfId="0" applyFont="1" applyFill="1" applyBorder="1" applyAlignment="1">
      <alignment vertical="center"/>
    </xf>
    <xf numFmtId="10" fontId="17" fillId="9" borderId="54" xfId="2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2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28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3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2" applyNumberFormat="1" applyFont="1" applyFill="1" applyAlignment="1">
      <alignment horizontal="right"/>
    </xf>
    <xf numFmtId="169" fontId="13" fillId="9" borderId="11" xfId="5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3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7" fillId="9" borderId="55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2" fillId="9" borderId="55" xfId="0" applyFont="1" applyFill="1" applyBorder="1" applyAlignment="1">
      <alignment vertical="center"/>
    </xf>
    <xf numFmtId="10" fontId="12" fillId="0" borderId="0" xfId="2" applyNumberFormat="1" applyFont="1" applyFill="1" applyAlignment="1">
      <alignment vertical="center"/>
    </xf>
    <xf numFmtId="4" fontId="12" fillId="0" borderId="0" xfId="5" applyNumberFormat="1" applyFont="1" applyFill="1" applyAlignment="1">
      <alignment vertical="center"/>
    </xf>
    <xf numFmtId="43" fontId="30" fillId="9" borderId="48" xfId="5" applyFont="1" applyFill="1" applyBorder="1" applyAlignment="1">
      <alignment horizontal="right"/>
    </xf>
    <xf numFmtId="0" fontId="13" fillId="9" borderId="49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2" fillId="5" borderId="28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2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3" fillId="12" borderId="28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3" fillId="0" borderId="0" xfId="5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5" applyFont="1" applyFill="1" applyBorder="1"/>
    <xf numFmtId="10" fontId="33" fillId="0" borderId="0" xfId="2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2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6" fontId="13" fillId="0" borderId="0" xfId="0" applyNumberFormat="1" applyFont="1"/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14" fontId="45" fillId="3" borderId="0" xfId="4" applyNumberFormat="1" applyFont="1" applyFill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46" fillId="0" borderId="12" xfId="3" applyFont="1" applyBorder="1" applyAlignment="1">
      <alignment horizontal="center" vertical="center"/>
    </xf>
    <xf numFmtId="0" fontId="46" fillId="0" borderId="21" xfId="3" applyFont="1" applyBorder="1" applyAlignment="1">
      <alignment horizontal="center" vertical="center"/>
    </xf>
    <xf numFmtId="0" fontId="47" fillId="0" borderId="11" xfId="3" applyFont="1" applyBorder="1" applyAlignment="1">
      <alignment vertical="center"/>
    </xf>
    <xf numFmtId="0" fontId="46" fillId="0" borderId="11" xfId="3" applyFont="1" applyBorder="1" applyAlignment="1">
      <alignment horizontal="center" vertical="center"/>
    </xf>
    <xf numFmtId="1" fontId="46" fillId="0" borderId="11" xfId="3" applyNumberFormat="1" applyFont="1" applyBorder="1" applyAlignment="1">
      <alignment horizontal="center"/>
    </xf>
    <xf numFmtId="1" fontId="46" fillId="0" borderId="11" xfId="3" applyNumberFormat="1" applyFont="1" applyBorder="1" applyAlignment="1">
      <alignment horizontal="center" wrapText="1"/>
    </xf>
    <xf numFmtId="0" fontId="14" fillId="0" borderId="10" xfId="3" applyFont="1" applyBorder="1" applyAlignment="1">
      <alignment horizontal="center"/>
    </xf>
    <xf numFmtId="1" fontId="0" fillId="0" borderId="11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48" fillId="0" borderId="11" xfId="0" applyFont="1" applyBorder="1" applyAlignment="1">
      <alignment horizontal="center"/>
    </xf>
    <xf numFmtId="49" fontId="14" fillId="0" borderId="12" xfId="3" applyNumberFormat="1" applyFont="1" applyBorder="1" applyAlignment="1">
      <alignment horizontal="center"/>
    </xf>
    <xf numFmtId="49" fontId="14" fillId="0" borderId="21" xfId="3" applyNumberFormat="1" applyFont="1" applyBorder="1" applyAlignment="1">
      <alignment horizontal="center"/>
    </xf>
    <xf numFmtId="0" fontId="49" fillId="5" borderId="11" xfId="3" applyFont="1" applyFill="1" applyBorder="1" applyAlignment="1">
      <alignment horizontal="left"/>
    </xf>
    <xf numFmtId="0" fontId="2" fillId="5" borderId="11" xfId="3" applyFont="1" applyFill="1" applyBorder="1" applyAlignment="1">
      <alignment horizontal="center"/>
    </xf>
    <xf numFmtId="1" fontId="0" fillId="0" borderId="21" xfId="0" applyNumberFormat="1" applyBorder="1"/>
    <xf numFmtId="0" fontId="14" fillId="0" borderId="11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1" fillId="5" borderId="12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1" fillId="5" borderId="8" xfId="0" applyFont="1" applyFill="1" applyBorder="1"/>
    <xf numFmtId="16" fontId="2" fillId="0" borderId="11" xfId="0" applyNumberFormat="1" applyFont="1" applyBorder="1" applyAlignment="1">
      <alignment horizontal="center"/>
    </xf>
    <xf numFmtId="49" fontId="46" fillId="0" borderId="6" xfId="3" applyNumberFormat="1" applyFont="1" applyBorder="1" applyAlignment="1">
      <alignment horizontal="center"/>
    </xf>
    <xf numFmtId="49" fontId="46" fillId="0" borderId="5" xfId="3" applyNumberFormat="1" applyFont="1" applyBorder="1" applyAlignment="1">
      <alignment horizontal="center"/>
    </xf>
    <xf numFmtId="0" fontId="50" fillId="5" borderId="11" xfId="3" applyFont="1" applyFill="1" applyBorder="1" applyAlignment="1">
      <alignment vertical="center"/>
    </xf>
    <xf numFmtId="0" fontId="46" fillId="0" borderId="21" xfId="3" applyFont="1" applyBorder="1" applyAlignment="1">
      <alignment horizontal="center"/>
    </xf>
    <xf numFmtId="165" fontId="46" fillId="0" borderId="11" xfId="3" applyNumberFormat="1" applyFont="1" applyBorder="1" applyAlignment="1">
      <alignment horizontal="center"/>
    </xf>
    <xf numFmtId="0" fontId="0" fillId="5" borderId="11" xfId="0" applyFill="1" applyBorder="1"/>
    <xf numFmtId="0" fontId="1" fillId="5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170" fontId="4" fillId="5" borderId="11" xfId="5" applyNumberFormat="1" applyFont="1" applyFill="1" applyBorder="1" applyAlignment="1">
      <alignment horizontal="center"/>
    </xf>
    <xf numFmtId="0" fontId="51" fillId="0" borderId="12" xfId="0" applyFont="1" applyBorder="1" applyAlignment="1">
      <alignment horizontal="center"/>
    </xf>
    <xf numFmtId="0" fontId="51" fillId="0" borderId="21" xfId="0" applyFont="1" applyBorder="1" applyAlignment="1">
      <alignment horizontal="center"/>
    </xf>
    <xf numFmtId="0" fontId="40" fillId="0" borderId="11" xfId="0" applyFont="1" applyBorder="1"/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7" xfId="3" applyFont="1" applyFill="1" applyBorder="1" applyAlignment="1">
      <alignment horizontal="center"/>
    </xf>
    <xf numFmtId="0" fontId="2" fillId="4" borderId="48" xfId="3" applyFont="1" applyFill="1" applyBorder="1" applyAlignment="1">
      <alignment horizontal="center"/>
    </xf>
    <xf numFmtId="0" fontId="2" fillId="4" borderId="48" xfId="3" applyFont="1" applyFill="1" applyBorder="1"/>
    <xf numFmtId="0" fontId="4" fillId="4" borderId="48" xfId="3" applyFont="1" applyFill="1" applyBorder="1" applyAlignment="1">
      <alignment horizontal="center"/>
    </xf>
    <xf numFmtId="1" fontId="4" fillId="4" borderId="48" xfId="3" applyNumberFormat="1" applyFont="1" applyFill="1" applyBorder="1" applyAlignment="1">
      <alignment horizontal="center"/>
    </xf>
    <xf numFmtId="164" fontId="2" fillId="4" borderId="48" xfId="3" applyNumberFormat="1" applyFont="1" applyFill="1" applyBorder="1" applyAlignment="1">
      <alignment horizontal="center" wrapText="1"/>
    </xf>
    <xf numFmtId="0" fontId="2" fillId="4" borderId="49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4" fontId="2" fillId="3" borderId="30" xfId="4" applyNumberFormat="1" applyFont="1" applyFill="1" applyBorder="1" applyAlignment="1">
      <alignment horizontal="center" vertical="center" wrapText="1"/>
    </xf>
    <xf numFmtId="14" fontId="2" fillId="3" borderId="35" xfId="4" applyNumberFormat="1" applyFont="1" applyFill="1" applyBorder="1" applyAlignment="1">
      <alignment horizontal="center" vertical="center" wrapText="1"/>
    </xf>
    <xf numFmtId="14" fontId="2" fillId="3" borderId="33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2" fillId="3" borderId="41" xfId="4" applyFont="1" applyFill="1" applyBorder="1" applyAlignment="1">
      <alignment horizontal="center"/>
    </xf>
    <xf numFmtId="0" fontId="2" fillId="3" borderId="44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9" fillId="3" borderId="26" xfId="4" applyFont="1" applyFill="1" applyBorder="1" applyAlignment="1">
      <alignment vertical="center"/>
    </xf>
    <xf numFmtId="0" fontId="11" fillId="3" borderId="14" xfId="4" applyFont="1" applyFill="1" applyBorder="1" applyAlignment="1">
      <alignment horizontal="center"/>
    </xf>
    <xf numFmtId="0" fontId="11" fillId="3" borderId="29" xfId="4" applyFont="1" applyFill="1" applyBorder="1" applyAlignment="1">
      <alignment horizont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9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4" fillId="3" borderId="37" xfId="4" applyFont="1" applyFill="1" applyBorder="1" applyAlignment="1">
      <alignment horizontal="right" vertical="top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4" xfId="4" applyFont="1" applyFill="1" applyBorder="1" applyAlignment="1">
      <alignment horizontal="right" vertical="top" wrapText="1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4" fillId="0" borderId="0" xfId="0" applyFont="1" applyAlignment="1">
      <alignment horizontal="center" vertical="center"/>
    </xf>
    <xf numFmtId="0" fontId="41" fillId="0" borderId="47" xfId="0" applyFont="1" applyBorder="1" applyAlignment="1">
      <alignment horizontal="right" vertical="center"/>
    </xf>
    <xf numFmtId="0" fontId="41" fillId="0" borderId="48" xfId="0" applyFont="1" applyBorder="1" applyAlignment="1">
      <alignment horizontal="right" vertical="center"/>
    </xf>
    <xf numFmtId="0" fontId="41" fillId="0" borderId="49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7" xfId="0" applyFont="1" applyFill="1" applyBorder="1" applyAlignment="1">
      <alignment horizontal="right"/>
    </xf>
    <xf numFmtId="0" fontId="30" fillId="9" borderId="48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0" borderId="26" xfId="0" applyFont="1" applyBorder="1" applyAlignment="1">
      <alignment horizontal="right" vertical="center"/>
    </xf>
    <xf numFmtId="0" fontId="13" fillId="0" borderId="32" xfId="0" applyFont="1" applyBorder="1" applyAlignment="1">
      <alignment horizontal="right" vertical="center"/>
    </xf>
    <xf numFmtId="0" fontId="13" fillId="11" borderId="47" xfId="0" applyFont="1" applyFill="1" applyBorder="1" applyAlignment="1">
      <alignment horizontal="right" vertical="center"/>
    </xf>
    <xf numFmtId="0" fontId="13" fillId="11" borderId="48" xfId="0" applyFont="1" applyFill="1" applyBorder="1" applyAlignment="1">
      <alignment horizontal="right" vertical="center"/>
    </xf>
    <xf numFmtId="0" fontId="13" fillId="11" borderId="49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5" fillId="0" borderId="41" xfId="0" applyFont="1" applyBorder="1" applyAlignment="1">
      <alignment horizontal="right"/>
    </xf>
    <xf numFmtId="0" fontId="25" fillId="0" borderId="44" xfId="0" applyFont="1" applyBorder="1" applyAlignment="1">
      <alignment horizontal="right"/>
    </xf>
    <xf numFmtId="0" fontId="12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9" fillId="0" borderId="2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right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9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57" xfId="4" applyFont="1" applyFill="1" applyBorder="1" applyAlignment="1">
      <alignment horizontal="center"/>
    </xf>
    <xf numFmtId="0" fontId="2" fillId="3" borderId="45" xfId="4" applyFont="1" applyFill="1" applyBorder="1" applyAlignment="1">
      <alignment horizontal="center"/>
    </xf>
    <xf numFmtId="0" fontId="11" fillId="3" borderId="19" xfId="4" applyFont="1" applyFill="1" applyBorder="1" applyAlignment="1">
      <alignment horizontal="center"/>
    </xf>
    <xf numFmtId="0" fontId="11" fillId="3" borderId="56" xfId="4" applyFont="1" applyFill="1" applyBorder="1" applyAlignment="1">
      <alignment horizontal="center"/>
    </xf>
    <xf numFmtId="0" fontId="11" fillId="3" borderId="42" xfId="4" applyFont="1" applyFill="1" applyBorder="1" applyAlignment="1">
      <alignment horizontal="center"/>
    </xf>
    <xf numFmtId="0" fontId="44" fillId="3" borderId="0" xfId="4" applyFont="1" applyFill="1" applyAlignment="1">
      <alignment horizontal="right"/>
    </xf>
    <xf numFmtId="0" fontId="45" fillId="3" borderId="26" xfId="4" applyFont="1" applyFill="1" applyBorder="1" applyAlignment="1">
      <alignment horizontal="center"/>
    </xf>
    <xf numFmtId="0" fontId="44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0" borderId="57" xfId="3" applyFont="1" applyBorder="1" applyAlignment="1">
      <alignment horizontal="right"/>
    </xf>
    <xf numFmtId="0" fontId="4" fillId="0" borderId="45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46" xfId="3" applyFont="1" applyFill="1" applyBorder="1" applyAlignment="1">
      <alignment horizontal="center"/>
    </xf>
    <xf numFmtId="0" fontId="2" fillId="3" borderId="58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2" fillId="0" borderId="9" xfId="3" applyFont="1" applyBorder="1" applyAlignment="1">
      <alignment horizontal="left"/>
    </xf>
    <xf numFmtId="0" fontId="2" fillId="0" borderId="40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42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4" borderId="47" xfId="3" applyFont="1" applyFill="1" applyBorder="1" applyAlignment="1">
      <alignment horizontal="left"/>
    </xf>
    <xf numFmtId="0" fontId="4" fillId="4" borderId="48" xfId="3" applyFont="1" applyFill="1" applyBorder="1" applyAlignment="1">
      <alignment horizontal="left"/>
    </xf>
    <xf numFmtId="0" fontId="4" fillId="4" borderId="49" xfId="3" applyFont="1" applyFill="1" applyBorder="1" applyAlignment="1">
      <alignment horizontal="left"/>
    </xf>
    <xf numFmtId="0" fontId="2" fillId="0" borderId="9" xfId="10" applyFont="1" applyBorder="1" applyAlignment="1">
      <alignment horizontal="left" wrapText="1"/>
    </xf>
    <xf numFmtId="0" fontId="2" fillId="0" borderId="40" xfId="10" applyFont="1" applyBorder="1" applyAlignment="1">
      <alignment horizontal="left" wrapText="1"/>
    </xf>
    <xf numFmtId="0" fontId="2" fillId="0" borderId="8" xfId="10" applyFont="1" applyBorder="1" applyAlignment="1">
      <alignment horizontal="left" wrapText="1"/>
    </xf>
    <xf numFmtId="0" fontId="2" fillId="0" borderId="7" xfId="1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40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42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0" xfId="0" applyFont="1" applyBorder="1" applyAlignment="1">
      <alignment horizontal="left" wrapText="1"/>
    </xf>
    <xf numFmtId="0" fontId="4" fillId="13" borderId="59" xfId="4" applyFont="1" applyFill="1" applyBorder="1" applyAlignment="1">
      <alignment horizontal="center"/>
    </xf>
    <xf numFmtId="0" fontId="4" fillId="13" borderId="44" xfId="4" applyFont="1" applyFill="1" applyBorder="1" applyAlignment="1">
      <alignment horizontal="center"/>
    </xf>
    <xf numFmtId="0" fontId="2" fillId="3" borderId="60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</cellXfs>
  <cellStyles count="11">
    <cellStyle name="Millares" xfId="5" builtinId="3"/>
    <cellStyle name="Millares [0]" xfId="6" builtinId="6"/>
    <cellStyle name="Millares [0] 2" xfId="8" xr:uid="{3047B4B8-8F84-4F48-85E2-28CBDB35DFC5}"/>
    <cellStyle name="Millares 2" xfId="7" xr:uid="{90A522FC-5AB1-4388-AF6F-2D1D3673C648}"/>
    <cellStyle name="Millares 3" xfId="9" xr:uid="{F8B7E182-4AB3-4FC9-AD5C-2E80E05E96A4}"/>
    <cellStyle name="Normal" xfId="0" builtinId="0"/>
    <cellStyle name="Normal 2" xfId="3" xr:uid="{A3F08A6C-DFB4-4D65-94CC-E11460014757}"/>
    <cellStyle name="Normal 3" xfId="1" xr:uid="{803E519B-2740-4E7A-923A-CB7740063403}"/>
    <cellStyle name="Normal 4" xfId="10" xr:uid="{434B454A-565B-4C97-8C19-9751E927B1B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19</xdr:col>
      <xdr:colOff>476911</xdr:colOff>
      <xdr:row>8</xdr:row>
      <xdr:rowOff>76281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9B9543-78D0-081A-332E-0CA8CDCD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3975" y="1743075"/>
          <a:ext cx="4734586" cy="58110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33</xdr:col>
      <xdr:colOff>420100</xdr:colOff>
      <xdr:row>56</xdr:row>
      <xdr:rowOff>105297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7FCF0-6209-FD1E-0E0C-D5DDD270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25600" y="1247775"/>
          <a:ext cx="7163800" cy="37438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38"/>
  <sheetViews>
    <sheetView view="pageBreakPreview" zoomScaleNormal="100" zoomScaleSheetLayoutView="100" workbookViewId="0">
      <selection activeCell="B9" sqref="B9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12" ht="16.5" x14ac:dyDescent="0.3">
      <c r="A1" s="309"/>
      <c r="B1" s="310"/>
      <c r="C1" s="316" t="s">
        <v>33</v>
      </c>
      <c r="D1" s="316"/>
      <c r="E1" s="316"/>
      <c r="F1" s="316"/>
      <c r="G1" s="316"/>
      <c r="H1" s="59" t="s">
        <v>32</v>
      </c>
      <c r="I1" s="58"/>
    </row>
    <row r="2" spans="1:12" ht="17.25" thickBot="1" x14ac:dyDescent="0.35">
      <c r="A2" s="311"/>
      <c r="B2" s="312"/>
      <c r="C2" s="317" t="s">
        <v>31</v>
      </c>
      <c r="D2" s="317"/>
      <c r="E2" s="317"/>
      <c r="F2" s="317"/>
      <c r="G2" s="317"/>
      <c r="H2" s="56" t="s">
        <v>30</v>
      </c>
      <c r="I2" s="57"/>
    </row>
    <row r="3" spans="1:12" ht="50.1" customHeight="1" x14ac:dyDescent="0.25">
      <c r="A3" s="311"/>
      <c r="B3" s="312"/>
      <c r="C3" s="318" t="s">
        <v>141</v>
      </c>
      <c r="D3" s="319"/>
      <c r="E3" s="319"/>
      <c r="F3" s="319"/>
      <c r="G3" s="320"/>
      <c r="H3" s="321" t="s">
        <v>29</v>
      </c>
      <c r="I3" s="298"/>
    </row>
    <row r="4" spans="1:12" ht="16.5" x14ac:dyDescent="0.3">
      <c r="A4" s="311"/>
      <c r="B4" s="312"/>
      <c r="C4" s="56" t="s">
        <v>28</v>
      </c>
      <c r="D4" s="301" t="s">
        <v>35</v>
      </c>
      <c r="E4" s="301"/>
      <c r="F4" s="301"/>
      <c r="G4" s="301"/>
      <c r="H4" s="322"/>
      <c r="I4" s="299"/>
    </row>
    <row r="5" spans="1:12" ht="17.25" thickBot="1" x14ac:dyDescent="0.35">
      <c r="A5" s="313"/>
      <c r="B5" s="314"/>
      <c r="C5" s="55" t="s">
        <v>27</v>
      </c>
      <c r="D5" s="302" t="s">
        <v>26</v>
      </c>
      <c r="E5" s="302"/>
      <c r="F5" s="302"/>
      <c r="G5" s="302"/>
      <c r="H5" s="323"/>
      <c r="I5" s="300"/>
    </row>
    <row r="6" spans="1:12" ht="30.75" customHeight="1" thickBot="1" x14ac:dyDescent="0.3">
      <c r="A6" s="324" t="s">
        <v>25</v>
      </c>
      <c r="B6" s="325"/>
      <c r="C6" s="325"/>
      <c r="D6" s="326" t="s">
        <v>36</v>
      </c>
      <c r="E6" s="326"/>
      <c r="F6" s="326"/>
      <c r="G6" s="315" t="s">
        <v>24</v>
      </c>
      <c r="H6" s="315"/>
      <c r="I6" s="54" t="s">
        <v>36</v>
      </c>
    </row>
    <row r="7" spans="1:12" ht="29.25" customHeight="1" x14ac:dyDescent="0.25">
      <c r="A7" s="303" t="s">
        <v>23</v>
      </c>
      <c r="B7" s="307" t="s">
        <v>34</v>
      </c>
      <c r="C7" s="305" t="s">
        <v>22</v>
      </c>
      <c r="D7" s="305" t="s">
        <v>21</v>
      </c>
      <c r="E7" s="305" t="s">
        <v>20</v>
      </c>
      <c r="F7" s="305"/>
      <c r="G7" s="305" t="s">
        <v>19</v>
      </c>
      <c r="H7" s="305"/>
      <c r="I7" s="53" t="s">
        <v>18</v>
      </c>
    </row>
    <row r="8" spans="1:12" ht="26.25" thickBot="1" x14ac:dyDescent="0.3">
      <c r="A8" s="304"/>
      <c r="B8" s="308"/>
      <c r="C8" s="306"/>
      <c r="D8" s="306"/>
      <c r="E8" s="52" t="s">
        <v>15</v>
      </c>
      <c r="F8" s="51" t="s">
        <v>17</v>
      </c>
      <c r="G8" s="52" t="s">
        <v>15</v>
      </c>
      <c r="H8" s="51" t="s">
        <v>17</v>
      </c>
      <c r="I8" s="50" t="s">
        <v>16</v>
      </c>
    </row>
    <row r="9" spans="1:12" ht="15.75" thickBot="1" x14ac:dyDescent="0.3">
      <c r="A9" s="65" t="s">
        <v>37</v>
      </c>
      <c r="B9" s="66" t="s">
        <v>140</v>
      </c>
      <c r="C9" s="67" t="s">
        <v>139</v>
      </c>
      <c r="D9" s="48" t="s">
        <v>39</v>
      </c>
      <c r="E9" s="13">
        <v>1800</v>
      </c>
      <c r="F9" s="47" t="s">
        <v>2</v>
      </c>
      <c r="G9" s="13"/>
      <c r="H9" s="46"/>
      <c r="I9" s="45"/>
    </row>
    <row r="10" spans="1:12" x14ac:dyDescent="0.25">
      <c r="A10" s="64" t="s">
        <v>40</v>
      </c>
      <c r="B10" s="64" t="s">
        <v>41</v>
      </c>
      <c r="C10" t="s">
        <v>42</v>
      </c>
      <c r="D10" s="38" t="s">
        <v>43</v>
      </c>
      <c r="E10" s="34">
        <v>1700</v>
      </c>
      <c r="F10" s="44" t="s">
        <v>2</v>
      </c>
      <c r="G10" s="34"/>
      <c r="H10" s="42"/>
      <c r="I10" s="41"/>
    </row>
    <row r="11" spans="1:12" x14ac:dyDescent="0.25">
      <c r="A11" s="64" t="s">
        <v>44</v>
      </c>
      <c r="B11" s="64" t="s">
        <v>45</v>
      </c>
      <c r="C11" t="s">
        <v>46</v>
      </c>
      <c r="D11" s="38" t="s">
        <v>43</v>
      </c>
      <c r="E11" s="40">
        <v>150</v>
      </c>
      <c r="F11" s="39" t="s">
        <v>2</v>
      </c>
      <c r="G11" s="43"/>
      <c r="H11" s="42"/>
      <c r="I11" s="41"/>
    </row>
    <row r="12" spans="1:12" x14ac:dyDescent="0.25">
      <c r="A12" s="64" t="s">
        <v>47</v>
      </c>
      <c r="B12" s="64" t="s">
        <v>48</v>
      </c>
      <c r="C12" t="s">
        <v>49</v>
      </c>
      <c r="D12" s="38" t="s">
        <v>50</v>
      </c>
      <c r="E12" s="40">
        <v>300</v>
      </c>
      <c r="F12" s="39" t="s">
        <v>2</v>
      </c>
      <c r="G12" s="43"/>
      <c r="H12" s="42"/>
      <c r="I12" s="41"/>
    </row>
    <row r="13" spans="1:12" x14ac:dyDescent="0.25">
      <c r="A13" s="64" t="s">
        <v>53</v>
      </c>
      <c r="B13" s="64" t="s">
        <v>54</v>
      </c>
      <c r="C13" t="s">
        <v>55</v>
      </c>
      <c r="E13" s="29">
        <v>5</v>
      </c>
      <c r="F13" s="28" t="s">
        <v>2</v>
      </c>
      <c r="G13" s="11"/>
      <c r="H13" s="26"/>
      <c r="I13" s="33"/>
    </row>
    <row r="14" spans="1:12" x14ac:dyDescent="0.25">
      <c r="A14" s="32"/>
      <c r="B14" s="61"/>
      <c r="C14" s="31"/>
      <c r="D14" s="30"/>
      <c r="E14" s="29"/>
      <c r="F14" s="28"/>
      <c r="G14" s="27"/>
      <c r="H14" s="26"/>
      <c r="I14" s="25"/>
    </row>
    <row r="15" spans="1:12" ht="15.75" thickBot="1" x14ac:dyDescent="0.3">
      <c r="A15" s="24"/>
      <c r="B15" s="62"/>
      <c r="C15" s="21"/>
      <c r="D15" s="21"/>
      <c r="E15" s="23"/>
      <c r="F15" s="22"/>
      <c r="G15" s="21"/>
      <c r="H15" s="21"/>
      <c r="I15" s="20"/>
      <c r="L15" s="8"/>
    </row>
    <row r="16" spans="1:12" ht="15.75" thickBot="1" x14ac:dyDescent="0.3">
      <c r="A16" s="19"/>
      <c r="B16" s="63"/>
      <c r="C16" s="15"/>
      <c r="D16" s="18" t="s">
        <v>15</v>
      </c>
      <c r="E16" s="17" t="s">
        <v>14</v>
      </c>
      <c r="F16" s="16"/>
      <c r="G16" s="15"/>
      <c r="H16" s="15"/>
      <c r="I16" s="14"/>
      <c r="L16" s="8"/>
    </row>
    <row r="17" spans="1:13" x14ac:dyDescent="0.25">
      <c r="A17" s="331" t="s">
        <v>13</v>
      </c>
      <c r="B17" s="332"/>
      <c r="C17" s="333"/>
      <c r="D17" s="13">
        <v>3800</v>
      </c>
      <c r="E17" s="12" t="s">
        <v>2</v>
      </c>
      <c r="F17" s="334" t="s">
        <v>12</v>
      </c>
      <c r="G17" s="334"/>
      <c r="H17" s="335"/>
      <c r="I17" s="336"/>
      <c r="L17" s="8"/>
    </row>
    <row r="18" spans="1:13" x14ac:dyDescent="0.25">
      <c r="A18" s="270" t="s">
        <v>11</v>
      </c>
      <c r="B18" s="271"/>
      <c r="C18" s="272"/>
      <c r="D18" s="11">
        <v>3</v>
      </c>
      <c r="E18" s="11" t="s">
        <v>10</v>
      </c>
      <c r="F18" s="273" t="s">
        <v>9</v>
      </c>
      <c r="G18" s="273"/>
      <c r="H18" s="274"/>
      <c r="I18" s="275"/>
      <c r="L18" s="8"/>
    </row>
    <row r="19" spans="1:13" x14ac:dyDescent="0.25">
      <c r="A19" s="270" t="s">
        <v>8</v>
      </c>
      <c r="B19" s="271"/>
      <c r="C19" s="272"/>
      <c r="D19" s="11">
        <f>D17/D20</f>
        <v>20</v>
      </c>
      <c r="E19" s="11" t="s">
        <v>7</v>
      </c>
      <c r="F19" s="273" t="s">
        <v>6</v>
      </c>
      <c r="G19" s="273"/>
      <c r="H19" s="274"/>
      <c r="I19" s="275"/>
      <c r="L19" s="8"/>
    </row>
    <row r="20" spans="1:13" x14ac:dyDescent="0.25">
      <c r="A20" s="270" t="s">
        <v>5</v>
      </c>
      <c r="B20" s="271"/>
      <c r="C20" s="272"/>
      <c r="D20" s="10">
        <v>190</v>
      </c>
      <c r="E20" s="9" t="s">
        <v>2</v>
      </c>
      <c r="F20" s="341" t="s">
        <v>4</v>
      </c>
      <c r="G20" s="341"/>
      <c r="H20" s="274"/>
      <c r="I20" s="275"/>
      <c r="L20" s="8"/>
    </row>
    <row r="21" spans="1:13" ht="15.75" thickBot="1" x14ac:dyDescent="0.3">
      <c r="A21" s="342" t="s">
        <v>3</v>
      </c>
      <c r="B21" s="343"/>
      <c r="C21" s="344"/>
      <c r="D21" s="7">
        <f>SUM(E9:E12)-D17</f>
        <v>150</v>
      </c>
      <c r="E21" s="6" t="s">
        <v>2</v>
      </c>
      <c r="F21" s="345"/>
      <c r="G21" s="345"/>
      <c r="H21" s="268"/>
      <c r="I21" s="269"/>
      <c r="J21" s="5"/>
      <c r="K21" s="5"/>
      <c r="M21" s="5"/>
    </row>
    <row r="22" spans="1:13" ht="15.75" thickBot="1" x14ac:dyDescent="0.3">
      <c r="A22" s="261" t="s">
        <v>1</v>
      </c>
      <c r="B22" s="262"/>
      <c r="C22" s="262"/>
      <c r="D22" s="262"/>
      <c r="E22" s="262"/>
      <c r="F22" s="262"/>
      <c r="G22" s="262"/>
      <c r="H22" s="262"/>
      <c r="I22" s="263"/>
    </row>
    <row r="23" spans="1:13" x14ac:dyDescent="0.25">
      <c r="A23" s="264" t="s">
        <v>51</v>
      </c>
      <c r="B23" s="265"/>
      <c r="C23" s="266"/>
      <c r="D23" s="266"/>
      <c r="E23" s="266"/>
      <c r="F23" s="266"/>
      <c r="G23" s="266"/>
      <c r="H23" s="266"/>
      <c r="I23" s="267"/>
      <c r="J23" s="1"/>
      <c r="K23" s="1"/>
      <c r="L23" s="3"/>
      <c r="M23" s="1"/>
    </row>
    <row r="24" spans="1:13" ht="27.6" customHeight="1" x14ac:dyDescent="0.25">
      <c r="A24" s="337" t="s">
        <v>52</v>
      </c>
      <c r="B24" s="338"/>
      <c r="C24" s="339"/>
      <c r="D24" s="339"/>
      <c r="E24" s="339"/>
      <c r="F24" s="339"/>
      <c r="G24" s="339"/>
      <c r="H24" s="339"/>
      <c r="I24" s="340"/>
      <c r="J24" s="1"/>
      <c r="K24" s="1"/>
      <c r="L24" s="3"/>
      <c r="M24" s="4"/>
    </row>
    <row r="25" spans="1:13" x14ac:dyDescent="0.25">
      <c r="A25" s="346"/>
      <c r="B25" s="347"/>
      <c r="C25" s="348"/>
      <c r="D25" s="348"/>
      <c r="E25" s="348"/>
      <c r="F25" s="348"/>
      <c r="G25" s="348"/>
      <c r="H25" s="348"/>
      <c r="I25" s="349"/>
      <c r="J25" s="2"/>
      <c r="K25" s="2"/>
      <c r="L25" s="3"/>
      <c r="M25" s="2"/>
    </row>
    <row r="26" spans="1:13" x14ac:dyDescent="0.25">
      <c r="A26" s="280"/>
      <c r="B26" s="281"/>
      <c r="C26" s="281"/>
      <c r="D26" s="281"/>
      <c r="E26" s="281"/>
      <c r="F26" s="281"/>
      <c r="G26" s="281"/>
      <c r="H26" s="281"/>
      <c r="I26" s="282"/>
      <c r="J26" s="2"/>
      <c r="K26" s="2"/>
      <c r="L26" s="3"/>
      <c r="M26" s="2"/>
    </row>
    <row r="27" spans="1:13" x14ac:dyDescent="0.25">
      <c r="A27" s="283"/>
      <c r="B27" s="284"/>
      <c r="C27" s="285"/>
      <c r="D27" s="285"/>
      <c r="E27" s="285"/>
      <c r="F27" s="285"/>
      <c r="G27" s="285"/>
      <c r="H27" s="285"/>
      <c r="I27" s="286"/>
      <c r="J27" s="1"/>
      <c r="K27" s="1"/>
      <c r="L27" s="1"/>
      <c r="M27" s="1"/>
    </row>
    <row r="28" spans="1:13" ht="15.75" thickBot="1" x14ac:dyDescent="0.3">
      <c r="A28" s="287"/>
      <c r="B28" s="288"/>
      <c r="C28" s="289"/>
      <c r="D28" s="289"/>
      <c r="E28" s="289"/>
      <c r="F28" s="289"/>
      <c r="G28" s="289"/>
      <c r="H28" s="289"/>
      <c r="I28" s="290"/>
      <c r="J28" s="1"/>
      <c r="K28" s="1"/>
      <c r="L28" s="1"/>
      <c r="M28" s="1"/>
    </row>
    <row r="29" spans="1:13" x14ac:dyDescent="0.25">
      <c r="A29" s="291" t="s">
        <v>0</v>
      </c>
      <c r="B29" s="292"/>
      <c r="C29" s="292"/>
      <c r="D29" s="292"/>
      <c r="E29" s="292"/>
      <c r="F29" s="292"/>
      <c r="G29" s="292"/>
      <c r="H29" s="292"/>
      <c r="I29" s="293"/>
      <c r="J29" s="1"/>
      <c r="K29" s="1"/>
      <c r="L29" s="1"/>
      <c r="M29" s="1"/>
    </row>
    <row r="30" spans="1:13" ht="15.75" thickBot="1" x14ac:dyDescent="0.3">
      <c r="A30" s="294"/>
      <c r="B30" s="295"/>
      <c r="C30" s="296"/>
      <c r="D30" s="296"/>
      <c r="E30" s="296"/>
      <c r="F30" s="296"/>
      <c r="G30" s="296"/>
      <c r="H30" s="296"/>
      <c r="I30" s="297"/>
      <c r="J30" s="1"/>
      <c r="K30" s="1"/>
      <c r="L30" s="1"/>
      <c r="M30" s="1"/>
    </row>
    <row r="31" spans="1:13" ht="15.75" thickBot="1" x14ac:dyDescent="0.3">
      <c r="A31" s="276"/>
      <c r="B31" s="277"/>
      <c r="C31" s="278"/>
      <c r="D31" s="278"/>
      <c r="E31" s="278"/>
      <c r="F31" s="278"/>
      <c r="G31" s="278"/>
      <c r="H31" s="278"/>
      <c r="I31" s="279"/>
      <c r="J31" s="1"/>
      <c r="K31" s="1"/>
      <c r="L31" s="1"/>
      <c r="M31" s="1"/>
    </row>
    <row r="32" spans="1:13" ht="15.75" thickBot="1" x14ac:dyDescent="0.3">
      <c r="A32" s="276"/>
      <c r="B32" s="277"/>
      <c r="C32" s="278"/>
      <c r="D32" s="278"/>
      <c r="E32" s="278"/>
      <c r="F32" s="278"/>
      <c r="G32" s="278"/>
      <c r="H32" s="278"/>
      <c r="I32" s="279"/>
      <c r="J32" s="1"/>
      <c r="K32" s="1"/>
      <c r="L32" s="1"/>
      <c r="M32" s="1"/>
    </row>
    <row r="33" spans="1:9" ht="15.75" thickBot="1" x14ac:dyDescent="0.3">
      <c r="A33" s="276"/>
      <c r="B33" s="277"/>
      <c r="C33" s="278"/>
      <c r="D33" s="278"/>
      <c r="E33" s="278"/>
      <c r="F33" s="278"/>
      <c r="G33" s="278"/>
      <c r="H33" s="278"/>
      <c r="I33" s="279"/>
    </row>
    <row r="34" spans="1:9" ht="15.75" thickBot="1" x14ac:dyDescent="0.3">
      <c r="A34" s="276"/>
      <c r="B34" s="277"/>
      <c r="C34" s="278"/>
      <c r="D34" s="278"/>
      <c r="E34" s="278"/>
      <c r="F34" s="278"/>
      <c r="G34" s="278"/>
      <c r="H34" s="278"/>
      <c r="I34" s="279"/>
    </row>
    <row r="35" spans="1:9" ht="15.75" thickBot="1" x14ac:dyDescent="0.3">
      <c r="A35" s="276"/>
      <c r="B35" s="277"/>
      <c r="C35" s="278"/>
      <c r="D35" s="278"/>
      <c r="E35" s="278"/>
      <c r="F35" s="278"/>
      <c r="G35" s="278"/>
      <c r="H35" s="278"/>
      <c r="I35" s="279"/>
    </row>
    <row r="36" spans="1:9" ht="15.75" thickBot="1" x14ac:dyDescent="0.3">
      <c r="A36" s="276"/>
      <c r="B36" s="277"/>
      <c r="C36" s="278"/>
      <c r="D36" s="278"/>
      <c r="E36" s="278"/>
      <c r="F36" s="278"/>
      <c r="G36" s="278"/>
      <c r="H36" s="278"/>
      <c r="I36" s="279"/>
    </row>
    <row r="37" spans="1:9" ht="15.75" thickBot="1" x14ac:dyDescent="0.3">
      <c r="A37" s="276"/>
      <c r="B37" s="277"/>
      <c r="C37" s="278"/>
      <c r="D37" s="278"/>
      <c r="E37" s="278"/>
      <c r="F37" s="278"/>
      <c r="G37" s="278"/>
      <c r="H37" s="278"/>
      <c r="I37" s="279"/>
    </row>
    <row r="38" spans="1:9" ht="15" customHeight="1" thickBot="1" x14ac:dyDescent="0.3">
      <c r="A38" s="327"/>
      <c r="B38" s="328"/>
      <c r="C38" s="329"/>
      <c r="D38" s="329"/>
      <c r="E38" s="329"/>
      <c r="F38" s="329"/>
      <c r="G38" s="329"/>
      <c r="H38" s="329"/>
      <c r="I38" s="330"/>
    </row>
  </sheetData>
  <mergeCells count="49">
    <mergeCell ref="D6:F6"/>
    <mergeCell ref="A38:I38"/>
    <mergeCell ref="A17:C17"/>
    <mergeCell ref="F17:G17"/>
    <mergeCell ref="H17:I17"/>
    <mergeCell ref="A18:C18"/>
    <mergeCell ref="F18:G18"/>
    <mergeCell ref="H18:I18"/>
    <mergeCell ref="A24:I24"/>
    <mergeCell ref="F20:G20"/>
    <mergeCell ref="H20:I20"/>
    <mergeCell ref="A21:C21"/>
    <mergeCell ref="F21:G21"/>
    <mergeCell ref="A37:I37"/>
    <mergeCell ref="A32:I32"/>
    <mergeCell ref="A25:I25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A36:I36"/>
    <mergeCell ref="A35:I35"/>
    <mergeCell ref="A34:I34"/>
    <mergeCell ref="A26:I26"/>
    <mergeCell ref="A33:I33"/>
    <mergeCell ref="A27:I27"/>
    <mergeCell ref="A28:I28"/>
    <mergeCell ref="A29:I29"/>
    <mergeCell ref="A30:I30"/>
    <mergeCell ref="A31:I31"/>
    <mergeCell ref="A22:I22"/>
    <mergeCell ref="A23:I23"/>
    <mergeCell ref="H21:I21"/>
    <mergeCell ref="A19:C19"/>
    <mergeCell ref="F19:G19"/>
    <mergeCell ref="H19:I19"/>
    <mergeCell ref="A20:C20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0F25-7D78-41A4-8E98-8FED516523CF}">
  <dimension ref="A1:Q91"/>
  <sheetViews>
    <sheetView topLeftCell="A4" workbookViewId="0">
      <selection activeCell="L13" sqref="K13:L1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5" ht="27.75" customHeight="1" x14ac:dyDescent="0.25">
      <c r="A1" s="86"/>
      <c r="B1" s="86"/>
      <c r="C1" s="86"/>
      <c r="D1" s="86"/>
      <c r="E1" s="87" t="s">
        <v>80</v>
      </c>
      <c r="F1" s="88" t="s">
        <v>81</v>
      </c>
      <c r="G1" s="88" t="s">
        <v>82</v>
      </c>
      <c r="H1" s="88" t="s">
        <v>83</v>
      </c>
      <c r="I1" s="89"/>
    </row>
    <row r="2" spans="1:15" ht="30.75" customHeight="1" x14ac:dyDescent="0.25">
      <c r="A2" s="86"/>
      <c r="B2" s="86"/>
      <c r="C2" s="86"/>
      <c r="D2" s="86"/>
      <c r="E2" s="92">
        <f>IFERROR(O62,"")</f>
        <v>17048.780000000002</v>
      </c>
      <c r="F2" s="92">
        <f>IFERROR(H53,"")</f>
        <v>16691.780000000002</v>
      </c>
      <c r="G2" s="92">
        <f>IFERROR(H54,"")</f>
        <v>0</v>
      </c>
      <c r="H2" s="92">
        <f>IFERROR(H56,"")</f>
        <v>183</v>
      </c>
      <c r="I2" s="93"/>
    </row>
    <row r="3" spans="1:15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5" ht="24.75" customHeight="1" thickBot="1" x14ac:dyDescent="0.3">
      <c r="A4" s="376"/>
      <c r="B4" s="376"/>
      <c r="C4" s="376"/>
      <c r="D4" s="376"/>
      <c r="E4" s="376"/>
      <c r="F4" s="376"/>
      <c r="G4" s="376"/>
      <c r="H4" s="376"/>
      <c r="I4" s="95"/>
    </row>
    <row r="5" spans="1:15" ht="19.5" customHeight="1" thickBot="1" x14ac:dyDescent="0.3">
      <c r="A5" s="377" t="s">
        <v>84</v>
      </c>
      <c r="B5" s="378"/>
      <c r="C5" s="378"/>
      <c r="D5" s="378"/>
      <c r="E5" s="378"/>
      <c r="F5" s="378"/>
      <c r="G5" s="378"/>
      <c r="H5" s="379"/>
      <c r="I5" s="96"/>
    </row>
    <row r="6" spans="1:15" ht="19.5" thickBot="1" x14ac:dyDescent="0.3">
      <c r="A6" s="96"/>
      <c r="B6" s="96"/>
      <c r="C6" s="96"/>
      <c r="D6" s="96"/>
      <c r="E6" s="96"/>
      <c r="F6" s="380" t="s">
        <v>85</v>
      </c>
      <c r="G6" s="380"/>
      <c r="H6" s="97">
        <f ca="1">TODAY()</f>
        <v>45650</v>
      </c>
      <c r="I6" s="97"/>
    </row>
    <row r="7" spans="1:15" ht="26.25" thickBot="1" x14ac:dyDescent="0.3">
      <c r="A7" s="98" t="s">
        <v>86</v>
      </c>
      <c r="B7" s="99" t="s">
        <v>87</v>
      </c>
      <c r="C7" s="99" t="s">
        <v>86</v>
      </c>
      <c r="D7" s="100" t="s">
        <v>88</v>
      </c>
      <c r="E7" s="100" t="s">
        <v>89</v>
      </c>
      <c r="F7" s="100" t="s">
        <v>90</v>
      </c>
      <c r="G7" s="100" t="s">
        <v>91</v>
      </c>
      <c r="H7" s="101" t="s">
        <v>92</v>
      </c>
      <c r="I7" s="102"/>
    </row>
    <row r="8" spans="1:15" ht="13.5" x14ac:dyDescent="0.25">
      <c r="A8" s="103">
        <v>4700</v>
      </c>
      <c r="B8" s="91" t="s">
        <v>38</v>
      </c>
      <c r="C8" s="104">
        <f>+A8</f>
        <v>4700</v>
      </c>
      <c r="D8" s="104" t="s">
        <v>132</v>
      </c>
      <c r="E8" s="105">
        <v>3.02</v>
      </c>
      <c r="F8" s="105">
        <f>IFERROR(E8*C8,"")</f>
        <v>14194</v>
      </c>
      <c r="G8" s="106">
        <f t="shared" ref="G8" si="0">IFERROR(F8/$F$66,"")</f>
        <v>0.82481940034734691</v>
      </c>
      <c r="H8" s="107"/>
      <c r="I8" s="107"/>
      <c r="J8" s="108"/>
    </row>
    <row r="9" spans="1:15" ht="15" x14ac:dyDescent="0.25">
      <c r="A9" s="103">
        <v>1000</v>
      </c>
      <c r="B9" s="91" t="str">
        <f>IFERROR(VLOOKUP(H9,'[1]Consolidado MP Planta'!$A$2:$M$823,3,0),"")</f>
        <v>LECHE 2% PASTEURIZADA (UND)</v>
      </c>
      <c r="C9" s="104">
        <f t="shared" ref="C9:C14" si="1">+A9</f>
        <v>1000</v>
      </c>
      <c r="D9" s="105" t="str">
        <f>IFERROR(VLOOKUP(H9,'[1]Consolidado MP Planta'!$A$2:$M$823,13,0),"")</f>
        <v>Mililitros</v>
      </c>
      <c r="E9" s="105">
        <v>0.55000000000000004</v>
      </c>
      <c r="F9" s="105">
        <f t="shared" ref="F9:F14" si="2">IFERROR(C9*E9,"")</f>
        <v>550</v>
      </c>
      <c r="G9" s="106">
        <f t="shared" ref="G9:G14" si="3">IFERROR(F9/$F$66,"")</f>
        <v>3.1960734830987797E-2</v>
      </c>
      <c r="H9" s="64" t="s">
        <v>40</v>
      </c>
      <c r="I9" s="107"/>
      <c r="J9" s="108"/>
    </row>
    <row r="10" spans="1:15" ht="15" x14ac:dyDescent="0.25">
      <c r="A10" s="103">
        <v>0</v>
      </c>
      <c r="B10" s="91" t="str">
        <f>IFERROR(VLOOKUP(H10,'[1]Consolidado MP Planta'!$A$2:$M$823,3,0),"")</f>
        <v>LACTOCREMA GRANEL (CAJA:25 KG)</v>
      </c>
      <c r="C10" s="104">
        <f t="shared" si="1"/>
        <v>0</v>
      </c>
      <c r="D10" s="105" t="str">
        <f>IFERROR(VLOOKUP(H10,'[1]Consolidado MP Planta'!$A$2:$M$823,13,0),"")</f>
        <v>Gramos</v>
      </c>
      <c r="E10" s="105">
        <v>3.49</v>
      </c>
      <c r="F10" s="105">
        <f t="shared" si="2"/>
        <v>0</v>
      </c>
      <c r="G10" s="106">
        <f t="shared" si="3"/>
        <v>0</v>
      </c>
      <c r="H10" s="64" t="s">
        <v>44</v>
      </c>
      <c r="I10" s="107"/>
      <c r="J10" s="108"/>
      <c r="M10" s="91">
        <f>6938/2300</f>
        <v>3.0165217391304346</v>
      </c>
    </row>
    <row r="11" spans="1:15" ht="15" x14ac:dyDescent="0.25">
      <c r="A11" s="103">
        <v>790</v>
      </c>
      <c r="B11" s="91" t="str">
        <f>IFERROR(VLOOKUP(H11,'[1]Consolidado MP Planta'!$A$2:$M$823,3,0),"")</f>
        <v>HUEVO ENTERO PASTERI INNOVO (CAJA:10 K)</v>
      </c>
      <c r="C11" s="104">
        <f t="shared" si="1"/>
        <v>790</v>
      </c>
      <c r="D11" s="105" t="str">
        <f>IFERROR(VLOOKUP(H11,'[1]Consolidado MP Planta'!$A$2:$M$823,13,0),"")</f>
        <v>Gramos</v>
      </c>
      <c r="E11" s="105">
        <v>2.36</v>
      </c>
      <c r="F11" s="105">
        <f t="shared" si="2"/>
        <v>1864.3999999999999</v>
      </c>
      <c r="G11" s="106">
        <f t="shared" si="3"/>
        <v>0.10834108003435208</v>
      </c>
      <c r="H11" s="64" t="s">
        <v>47</v>
      </c>
      <c r="I11" s="107"/>
      <c r="J11" s="108"/>
    </row>
    <row r="12" spans="1:15" ht="15" x14ac:dyDescent="0.25">
      <c r="A12" s="103">
        <v>11</v>
      </c>
      <c r="B12" s="91" t="str">
        <f>IFERROR(VLOOKUP(H12,'[1]Consolidado MP Planta'!$A$2:$M$823,3,0),"")</f>
        <v>PRESERVANTE 1047S (PAQ=5 KILO)</v>
      </c>
      <c r="C12" s="104">
        <f t="shared" si="1"/>
        <v>11</v>
      </c>
      <c r="D12" s="105" t="str">
        <f>IFERROR(VLOOKUP(H12,'[1]Consolidado MP Planta'!$A$2:$M$823,13,0),"")</f>
        <v>Gramos</v>
      </c>
      <c r="E12" s="105">
        <v>7.58</v>
      </c>
      <c r="F12" s="105">
        <f t="shared" si="2"/>
        <v>83.38</v>
      </c>
      <c r="G12" s="106">
        <f t="shared" si="3"/>
        <v>4.8452474003777496E-3</v>
      </c>
      <c r="H12" s="64" t="s">
        <v>53</v>
      </c>
      <c r="I12" s="107"/>
      <c r="J12" s="108"/>
    </row>
    <row r="13" spans="1:15" ht="13.5" x14ac:dyDescent="0.25">
      <c r="A13" s="103"/>
      <c r="B13" s="91" t="str">
        <f>IFERROR(VLOOKUP(H13,'[1]Consolidado MP Planta'!$A$2:$M$823,3,0),"")</f>
        <v>ACEITE CAPULLO RBD (UND:17  L)</v>
      </c>
      <c r="C13" s="104">
        <f t="shared" si="1"/>
        <v>0</v>
      </c>
      <c r="D13" s="105" t="str">
        <f>IFERROR(VLOOKUP(H13,'[1]Consolidado MP Planta'!$A$2:$M$823,13,0),"")</f>
        <v>Mililitros</v>
      </c>
      <c r="E13" s="105">
        <f>IFERROR(VLOOKUP(H13,'[1]Consolidado MP Planta'!$A$2:$M$823,12,0),"")</f>
        <v>1.1969411764705882</v>
      </c>
      <c r="F13" s="105">
        <f t="shared" si="2"/>
        <v>0</v>
      </c>
      <c r="G13" s="106">
        <f t="shared" si="3"/>
        <v>0</v>
      </c>
      <c r="H13" s="107" t="s">
        <v>146</v>
      </c>
      <c r="I13" s="107"/>
      <c r="J13" s="108"/>
    </row>
    <row r="14" spans="1:15" ht="13.5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3"/>
        <v/>
      </c>
      <c r="H14" s="107"/>
      <c r="I14" s="107"/>
      <c r="J14" s="108"/>
    </row>
    <row r="15" spans="1:15" ht="14.25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5" ht="26.25" hidden="1" thickBot="1" x14ac:dyDescent="0.3">
      <c r="A16" s="98" t="s">
        <v>86</v>
      </c>
      <c r="B16" s="99" t="s">
        <v>93</v>
      </c>
      <c r="C16" s="99" t="s">
        <v>86</v>
      </c>
      <c r="D16" s="100" t="s">
        <v>88</v>
      </c>
      <c r="E16" s="100" t="s">
        <v>89</v>
      </c>
      <c r="F16" s="100" t="s">
        <v>90</v>
      </c>
      <c r="G16" s="100" t="s">
        <v>91</v>
      </c>
      <c r="H16" s="101" t="s">
        <v>92</v>
      </c>
      <c r="I16" s="102"/>
      <c r="J16" s="108"/>
      <c r="O16" s="91">
        <f>8337/2300</f>
        <v>3.6247826086956523</v>
      </c>
    </row>
    <row r="17" spans="1:12" ht="13.5" hidden="1" x14ac:dyDescent="0.25">
      <c r="A17" s="103"/>
      <c r="C17" s="104"/>
      <c r="D17" s="104"/>
      <c r="E17" s="105"/>
      <c r="F17" s="105"/>
      <c r="G17" s="106"/>
      <c r="H17" s="107"/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ref="G18:G24" si="6">IFERROR(F18/$F$66,"")</f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6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6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6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6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6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6"/>
        <v/>
      </c>
      <c r="H24" s="107"/>
      <c r="I24" s="107"/>
      <c r="J24" s="108"/>
    </row>
    <row r="25" spans="1:12" ht="14.25" hidden="1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hidden="1" thickBot="1" x14ac:dyDescent="0.3">
      <c r="A26" s="98" t="s">
        <v>86</v>
      </c>
      <c r="B26" s="99" t="s">
        <v>94</v>
      </c>
      <c r="C26" s="99" t="s">
        <v>86</v>
      </c>
      <c r="D26" s="100" t="s">
        <v>88</v>
      </c>
      <c r="E26" s="100" t="s">
        <v>89</v>
      </c>
      <c r="F26" s="100" t="s">
        <v>90</v>
      </c>
      <c r="G26" s="100" t="s">
        <v>91</v>
      </c>
      <c r="H26" s="101" t="s">
        <v>92</v>
      </c>
      <c r="I26" s="102"/>
    </row>
    <row r="27" spans="1:12" ht="13.5" hidden="1" x14ac:dyDescent="0.25">
      <c r="A27" s="103">
        <v>0</v>
      </c>
      <c r="B27" s="109" t="str">
        <f>IFERROR(VLOOKUP(H27,'[1]Consolidado MP Planta'!$A$2:$M$823,3,0),"")</f>
        <v/>
      </c>
      <c r="C27" s="104">
        <f t="shared" ref="C27:C32" si="7">+A27</f>
        <v>0</v>
      </c>
      <c r="D27" s="105" t="str">
        <f>IFERROR(VLOOKUP(H27,'[1]Consolidado MP Planta'!$A$2:$M$823,13,0),"")</f>
        <v/>
      </c>
      <c r="E27" s="105" t="str">
        <f>IFERROR(VLOOKUP(H27,'[1]Consolidado MP Planta'!$A$2:$M$823,12,0),"")</f>
        <v/>
      </c>
      <c r="F27" s="105" t="str">
        <f t="shared" ref="F27:F32" si="8">IFERROR(C27*E27,"")</f>
        <v/>
      </c>
      <c r="G27" s="106" t="str">
        <f t="shared" ref="G27:G32" si="9">IFERROR(F27/$F$66,"")</f>
        <v/>
      </c>
      <c r="H27" s="110"/>
      <c r="I27" s="110"/>
      <c r="J27" s="108"/>
      <c r="K27" s="370"/>
      <c r="L27" s="370"/>
    </row>
    <row r="28" spans="1:12" ht="13.5" hidden="1" x14ac:dyDescent="0.25">
      <c r="A28" s="103"/>
      <c r="B28" s="109" t="str">
        <f>IFERROR(VLOOKUP(H28,'[1]Consolidado MP Planta'!$A$2:$M$823,3,0),"")</f>
        <v/>
      </c>
      <c r="C28" s="104">
        <f t="shared" si="7"/>
        <v>0</v>
      </c>
      <c r="D28" s="105" t="str">
        <f>IFERROR(VLOOKUP(H28,'[1]Consolidado MP Planta'!$A$2:$M$823,13,0),"")</f>
        <v/>
      </c>
      <c r="E28" s="105" t="str">
        <f>IFERROR(VLOOKUP(H28,'[1]Consolidado MP Planta'!$A$2:$M$823,12,0),"")</f>
        <v/>
      </c>
      <c r="F28" s="105" t="str">
        <f t="shared" si="8"/>
        <v/>
      </c>
      <c r="G28" s="106" t="str">
        <f t="shared" si="9"/>
        <v/>
      </c>
      <c r="H28" s="110"/>
      <c r="I28" s="110"/>
      <c r="J28" s="108"/>
      <c r="K28" s="370"/>
      <c r="L28" s="370"/>
    </row>
    <row r="29" spans="1:12" ht="13.5" hidden="1" x14ac:dyDescent="0.25">
      <c r="A29" s="103"/>
      <c r="B29" s="109" t="str">
        <f>IFERROR(VLOOKUP(H29,'[1]Consolidado MP Planta'!$A$2:$M$823,3,0),"")</f>
        <v/>
      </c>
      <c r="C29" s="104">
        <f t="shared" si="7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8"/>
        <v/>
      </c>
      <c r="G29" s="106" t="str">
        <f t="shared" si="9"/>
        <v/>
      </c>
      <c r="H29" s="110"/>
      <c r="I29" s="110"/>
      <c r="J29" s="108"/>
      <c r="K29" s="370"/>
      <c r="L29" s="370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7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8"/>
        <v/>
      </c>
      <c r="G30" s="106" t="str">
        <f t="shared" si="9"/>
        <v/>
      </c>
      <c r="H30" s="110"/>
      <c r="I30" s="110"/>
      <c r="J30" s="108"/>
      <c r="K30" s="370"/>
      <c r="L30" s="370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7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8"/>
        <v/>
      </c>
      <c r="G31" s="106" t="str">
        <f t="shared" si="9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7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8"/>
        <v/>
      </c>
      <c r="G32" s="106" t="str">
        <f t="shared" si="9"/>
        <v/>
      </c>
      <c r="H32" s="110"/>
      <c r="I32" s="110"/>
      <c r="J32" s="108"/>
    </row>
    <row r="33" spans="1:13" ht="14.25" hidden="1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hidden="1" thickBot="1" x14ac:dyDescent="0.25">
      <c r="A34" s="98" t="s">
        <v>86</v>
      </c>
      <c r="B34" s="99" t="s">
        <v>95</v>
      </c>
      <c r="C34" s="99" t="s">
        <v>86</v>
      </c>
      <c r="D34" s="100" t="s">
        <v>88</v>
      </c>
      <c r="E34" s="100" t="s">
        <v>89</v>
      </c>
      <c r="F34" s="100" t="s">
        <v>90</v>
      </c>
      <c r="G34" s="100" t="s">
        <v>91</v>
      </c>
      <c r="H34" s="101" t="s">
        <v>92</v>
      </c>
      <c r="I34" s="110"/>
      <c r="J34" s="108"/>
    </row>
    <row r="35" spans="1:13" ht="13.5" hidden="1" x14ac:dyDescent="0.25">
      <c r="A35" s="103">
        <f>+A17</f>
        <v>0</v>
      </c>
      <c r="B35" s="109" t="str">
        <f>IFERROR(VLOOKUP(H35,[1]SEMIELABORADOS!$A$2:$M$6000,2,0),"")</f>
        <v/>
      </c>
      <c r="C35" s="104">
        <f>+A35</f>
        <v>0</v>
      </c>
      <c r="D35" s="105" t="str">
        <f>IFERROR(VLOOKUP(H35,[1]SEMIELABORADOS!$A$2:$M$6000,6,0),"")</f>
        <v/>
      </c>
      <c r="E35" s="105" t="str">
        <f>IFERROR(VLOOKUP(H35,[1]SEMIELABORADOS!$A$2:$M$65536,10,0),"")</f>
        <v/>
      </c>
      <c r="F35" s="105" t="str">
        <f>IFERROR(E35*C35,"")</f>
        <v/>
      </c>
      <c r="G35" s="106" t="str">
        <f t="shared" ref="G35:G41" si="10">IFERROR(F35/$F$66,"")</f>
        <v/>
      </c>
      <c r="H35" s="110"/>
      <c r="I35" s="110"/>
      <c r="J35" s="108"/>
    </row>
    <row r="36" spans="1:13" ht="13.5" hidden="1" x14ac:dyDescent="0.25">
      <c r="A36" s="103">
        <f t="shared" ref="A36:A41" si="11">+A18</f>
        <v>0</v>
      </c>
      <c r="B36" s="109" t="str">
        <f>IFERROR(VLOOKUP(H36,[1]SEMIELABORADOS!$A$2:$M$6000,2,0),"")</f>
        <v/>
      </c>
      <c r="C36" s="104">
        <f t="shared" ref="C36:C41" si="12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3">IFERROR(E36*C36,"")</f>
        <v/>
      </c>
      <c r="G36" s="106" t="str">
        <f t="shared" si="10"/>
        <v/>
      </c>
      <c r="H36" s="110"/>
      <c r="I36" s="110"/>
      <c r="J36" s="108"/>
    </row>
    <row r="37" spans="1:13" ht="13.5" hidden="1" x14ac:dyDescent="0.25">
      <c r="A37" s="103">
        <f t="shared" si="11"/>
        <v>0</v>
      </c>
      <c r="B37" s="109" t="str">
        <f>IFERROR(VLOOKUP(H37,[1]SEMIELABORADOS!$A$2:$M$6000,2,0),"")</f>
        <v/>
      </c>
      <c r="C37" s="104">
        <f t="shared" si="12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3"/>
        <v/>
      </c>
      <c r="G37" s="106" t="str">
        <f t="shared" si="10"/>
        <v/>
      </c>
      <c r="H37" s="110"/>
      <c r="I37" s="110"/>
      <c r="J37" s="108"/>
    </row>
    <row r="38" spans="1:13" ht="13.5" hidden="1" x14ac:dyDescent="0.25">
      <c r="A38" s="103">
        <f t="shared" si="11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10"/>
        <v/>
      </c>
      <c r="H38" s="110"/>
      <c r="I38" s="110"/>
      <c r="J38" s="108"/>
    </row>
    <row r="39" spans="1:13" ht="13.5" hidden="1" x14ac:dyDescent="0.25">
      <c r="A39" s="103">
        <f t="shared" si="11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10"/>
        <v/>
      </c>
      <c r="H39" s="110"/>
      <c r="I39" s="110"/>
      <c r="J39" s="108"/>
    </row>
    <row r="40" spans="1:13" ht="13.5" hidden="1" x14ac:dyDescent="0.25">
      <c r="A40" s="103">
        <f t="shared" si="11"/>
        <v>0</v>
      </c>
      <c r="B40" s="109" t="str">
        <f>IFERROR(VLOOKUP(H40,[1]SEMIELABORADOS!$A$2:$M$6000,2,0),"")</f>
        <v/>
      </c>
      <c r="C40" s="104">
        <f t="shared" si="12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3"/>
        <v/>
      </c>
      <c r="G40" s="106" t="str">
        <f t="shared" si="10"/>
        <v/>
      </c>
      <c r="H40" s="110"/>
      <c r="I40" s="110"/>
      <c r="J40" s="108"/>
    </row>
    <row r="41" spans="1:13" ht="13.5" hidden="1" x14ac:dyDescent="0.25">
      <c r="A41" s="103">
        <f t="shared" si="11"/>
        <v>0</v>
      </c>
      <c r="B41" s="109" t="str">
        <f>IFERROR(VLOOKUP(H41,[1]SEMIELABORADOS!$A$2:$M$6000,2,0),"")</f>
        <v/>
      </c>
      <c r="C41" s="104">
        <f t="shared" si="12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3"/>
        <v/>
      </c>
      <c r="G41" s="106" t="str">
        <f t="shared" si="10"/>
        <v/>
      </c>
      <c r="H41" s="110"/>
      <c r="I41" s="110"/>
      <c r="J41" s="108"/>
    </row>
    <row r="42" spans="1:13" ht="14.25" hidden="1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86</v>
      </c>
      <c r="B43" s="99" t="s">
        <v>96</v>
      </c>
      <c r="C43" s="99" t="s">
        <v>86</v>
      </c>
      <c r="D43" s="100" t="s">
        <v>88</v>
      </c>
      <c r="E43" s="100" t="s">
        <v>89</v>
      </c>
      <c r="F43" s="100" t="s">
        <v>90</v>
      </c>
      <c r="G43" s="100" t="s">
        <v>91</v>
      </c>
      <c r="H43" s="101" t="s">
        <v>92</v>
      </c>
      <c r="I43" s="102"/>
      <c r="J43" s="108"/>
    </row>
    <row r="44" spans="1:13" ht="13.5" hidden="1" x14ac:dyDescent="0.25">
      <c r="A44" s="103">
        <f>+A35</f>
        <v>0</v>
      </c>
      <c r="B44" s="109" t="str">
        <f>IFERROR(VLOOKUP(H44,[1]SEMIELABORADOS!$A$2:$M$6000,2,0),"")</f>
        <v/>
      </c>
      <c r="C44" s="104">
        <f>+A44</f>
        <v>0</v>
      </c>
      <c r="D44" s="105" t="str">
        <f>IFERROR(VLOOKUP(H44,[1]SEMIELABORADOS!$A$2:$M$6000,6,0),"")</f>
        <v/>
      </c>
      <c r="E44" s="105" t="str">
        <f>IFERROR(VLOOKUP(H44,[1]SEMIELABORADOS!$A$2:$M$65536,12,0),"")</f>
        <v/>
      </c>
      <c r="F44" s="105" t="str">
        <f>IFERROR(E44*C44,"")</f>
        <v/>
      </c>
      <c r="G44" s="106" t="str">
        <f>IFERROR(F44/$F$66,"")</f>
        <v/>
      </c>
      <c r="H44" s="110"/>
      <c r="I44" s="102"/>
      <c r="J44" s="108"/>
    </row>
    <row r="45" spans="1:13" ht="13.5" hidden="1" x14ac:dyDescent="0.25">
      <c r="A45" s="103">
        <f t="shared" ref="A45:A50" si="14">+A36</f>
        <v>0</v>
      </c>
      <c r="B45" s="109" t="str">
        <f>IFERROR(VLOOKUP(H45,[1]SEMIELABORADOS!$A$2:$M$6000,2,0),"")</f>
        <v/>
      </c>
      <c r="C45" s="104">
        <f t="shared" ref="C45:C50" si="15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6">IFERROR(E45*C45,"")</f>
        <v/>
      </c>
      <c r="G45" s="106" t="str">
        <f t="shared" ref="G45:G50" si="17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4"/>
        <v>0</v>
      </c>
      <c r="B46" s="109" t="str">
        <f>IFERROR(VLOOKUP(H46,[1]SEMIELABORADOS!$A$2:$M$6000,2,0),"")</f>
        <v/>
      </c>
      <c r="C46" s="104">
        <f t="shared" si="15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6"/>
        <v/>
      </c>
      <c r="G46" s="106" t="str">
        <f t="shared" si="17"/>
        <v/>
      </c>
      <c r="H46" s="110"/>
      <c r="I46" s="102"/>
      <c r="J46" s="108"/>
    </row>
    <row r="47" spans="1:13" ht="13.5" hidden="1" x14ac:dyDescent="0.25">
      <c r="A47" s="103">
        <f t="shared" si="14"/>
        <v>0</v>
      </c>
      <c r="B47" s="109" t="str">
        <f>IFERROR(VLOOKUP(H47,[1]SEMIELABORADOS!$A$2:$M$6000,2,0),"")</f>
        <v/>
      </c>
      <c r="C47" s="104">
        <f t="shared" si="15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6"/>
        <v/>
      </c>
      <c r="G47" s="106" t="str">
        <f t="shared" si="17"/>
        <v/>
      </c>
      <c r="H47" s="110"/>
      <c r="I47" s="102"/>
      <c r="J47" s="108"/>
    </row>
    <row r="48" spans="1:13" ht="13.5" hidden="1" x14ac:dyDescent="0.25">
      <c r="A48" s="103">
        <f t="shared" si="14"/>
        <v>0</v>
      </c>
      <c r="B48" s="109" t="str">
        <f>IFERROR(VLOOKUP(H48,[1]SEMIELABORADOS!$A$2:$M$6000,2,0),"")</f>
        <v/>
      </c>
      <c r="C48" s="104">
        <f t="shared" si="15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6"/>
        <v/>
      </c>
      <c r="G48" s="106" t="str">
        <f t="shared" si="17"/>
        <v/>
      </c>
      <c r="H48" s="110"/>
      <c r="I48" s="102"/>
      <c r="J48" s="108"/>
    </row>
    <row r="49" spans="1:17" ht="13.5" hidden="1" x14ac:dyDescent="0.25">
      <c r="A49" s="103">
        <f t="shared" si="14"/>
        <v>0</v>
      </c>
      <c r="B49" s="109" t="str">
        <f>IFERROR(VLOOKUP(H49,[1]SEMIELABORADOS!$A$2:$M$6000,2,0),"")</f>
        <v/>
      </c>
      <c r="C49" s="104">
        <f t="shared" si="15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6"/>
        <v/>
      </c>
      <c r="G49" s="106" t="str">
        <f t="shared" si="17"/>
        <v/>
      </c>
      <c r="H49" s="110"/>
      <c r="I49" s="102"/>
      <c r="J49" s="108"/>
    </row>
    <row r="50" spans="1:17" ht="13.5" hidden="1" x14ac:dyDescent="0.25">
      <c r="A50" s="103">
        <f t="shared" si="14"/>
        <v>0</v>
      </c>
      <c r="B50" s="109" t="str">
        <f>IFERROR(VLOOKUP(H50,[1]SEMIELABORADOS!$A$2:$M$6000,2,0),"")</f>
        <v/>
      </c>
      <c r="C50" s="104">
        <f t="shared" si="15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6"/>
        <v/>
      </c>
      <c r="G50" s="106" t="str">
        <f t="shared" si="17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97</v>
      </c>
      <c r="C51" s="104">
        <f>+A51</f>
        <v>1</v>
      </c>
      <c r="D51" s="104" t="s">
        <v>98</v>
      </c>
      <c r="E51" s="105">
        <f>+F65</f>
        <v>183</v>
      </c>
      <c r="F51" s="105">
        <f>IFERROR(C51*E51,"")</f>
        <v>183</v>
      </c>
      <c r="G51" s="106">
        <f>IFERROR(F51/$F$66,"")</f>
        <v>1.0634208134674122E-2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71" t="s">
        <v>99</v>
      </c>
      <c r="C53" s="371"/>
      <c r="D53" s="371"/>
      <c r="E53" s="371"/>
      <c r="F53" s="117">
        <f>SUM(F8:F14,F17:F24)</f>
        <v>16691.780000000002</v>
      </c>
      <c r="G53" s="106">
        <f>+F53/$F$66</f>
        <v>0.96996646261306463</v>
      </c>
      <c r="H53" s="118">
        <f>+F53/$D$60</f>
        <v>16691.780000000002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71" t="s">
        <v>100</v>
      </c>
      <c r="C54" s="371"/>
      <c r="D54" s="371"/>
      <c r="E54" s="371"/>
      <c r="F54" s="117">
        <f>SUM(F27:F32,F35:F41)</f>
        <v>0</v>
      </c>
      <c r="G54" s="106">
        <f>+F54/$F$66</f>
        <v>0</v>
      </c>
      <c r="H54" s="118">
        <f>+F54/$D$60</f>
        <v>0</v>
      </c>
      <c r="I54" s="118"/>
      <c r="J54" s="122"/>
      <c r="K54" s="372" t="s">
        <v>101</v>
      </c>
      <c r="L54" s="373"/>
      <c r="M54" s="373"/>
      <c r="N54" s="373"/>
      <c r="O54" s="123">
        <f>+F55</f>
        <v>16691.780000000002</v>
      </c>
      <c r="P54" s="123"/>
      <c r="Q54" s="124"/>
    </row>
    <row r="55" spans="1:17" x14ac:dyDescent="0.2">
      <c r="A55" s="115"/>
      <c r="B55" s="371" t="s">
        <v>102</v>
      </c>
      <c r="C55" s="371"/>
      <c r="D55" s="371"/>
      <c r="E55" s="371"/>
      <c r="F55" s="117">
        <f>+F53+F54</f>
        <v>16691.780000000002</v>
      </c>
      <c r="G55" s="106">
        <f>+F55/$F$66</f>
        <v>0.96996646261306463</v>
      </c>
      <c r="H55" s="118">
        <f>+F55/$D$60</f>
        <v>16691.780000000002</v>
      </c>
      <c r="I55" s="118"/>
      <c r="J55" s="125"/>
      <c r="K55" s="126"/>
      <c r="M55" s="127" t="s">
        <v>103</v>
      </c>
      <c r="N55" s="128"/>
      <c r="O55" s="123">
        <f>+H56</f>
        <v>183</v>
      </c>
      <c r="P55" s="123"/>
      <c r="Q55" s="124"/>
    </row>
    <row r="56" spans="1:17" ht="13.5" thickBot="1" x14ac:dyDescent="0.25">
      <c r="A56" s="115"/>
      <c r="B56" s="116"/>
      <c r="C56" s="371" t="s">
        <v>104</v>
      </c>
      <c r="D56" s="371"/>
      <c r="E56" s="371"/>
      <c r="F56" s="117">
        <f>SUM(F44:F51)</f>
        <v>183</v>
      </c>
      <c r="G56" s="106">
        <f>+F56/$F$66</f>
        <v>1.0634208134674122E-2</v>
      </c>
      <c r="H56" s="118">
        <f>+F56/$D$60</f>
        <v>183</v>
      </c>
      <c r="I56" s="118"/>
      <c r="J56" s="125"/>
      <c r="K56" s="126"/>
      <c r="L56" s="126"/>
      <c r="M56" s="126" t="s">
        <v>105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106</v>
      </c>
      <c r="N57" s="135"/>
      <c r="O57" s="136">
        <f>SUM(O54:O56)</f>
        <v>16874.780000000002</v>
      </c>
      <c r="P57" s="137"/>
      <c r="Q57" s="124"/>
    </row>
    <row r="58" spans="1:17" x14ac:dyDescent="0.2">
      <c r="B58" s="374" t="s">
        <v>107</v>
      </c>
      <c r="C58" s="374"/>
      <c r="D58" s="138">
        <v>3800</v>
      </c>
      <c r="E58" s="139"/>
      <c r="G58" s="106"/>
      <c r="H58" s="132">
        <f>+H56/61</f>
        <v>3</v>
      </c>
      <c r="I58" s="140"/>
      <c r="J58" s="125"/>
      <c r="K58" s="133"/>
      <c r="L58" s="126"/>
      <c r="M58" s="126" t="s">
        <v>108</v>
      </c>
      <c r="N58" s="141"/>
      <c r="O58" s="123">
        <f>+H59</f>
        <v>174</v>
      </c>
      <c r="P58" s="123"/>
      <c r="Q58" s="124"/>
    </row>
    <row r="59" spans="1:17" x14ac:dyDescent="0.2">
      <c r="B59" s="374" t="s">
        <v>109</v>
      </c>
      <c r="C59" s="374"/>
      <c r="D59" s="142">
        <v>3800</v>
      </c>
      <c r="E59" s="139"/>
      <c r="G59" s="106"/>
      <c r="H59" s="132">
        <f>+H58*58</f>
        <v>174</v>
      </c>
      <c r="I59" s="140"/>
      <c r="J59" s="125"/>
      <c r="K59" s="133"/>
      <c r="L59" s="126"/>
      <c r="M59" s="375" t="s">
        <v>106</v>
      </c>
      <c r="N59" s="375"/>
      <c r="O59" s="123">
        <f>SUM(O57:O58)</f>
        <v>17048.780000000002</v>
      </c>
      <c r="P59" s="123"/>
      <c r="Q59" s="124"/>
    </row>
    <row r="60" spans="1:17" ht="13.5" thickBot="1" x14ac:dyDescent="0.25">
      <c r="B60" s="366" t="s">
        <v>110</v>
      </c>
      <c r="C60" s="366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375"/>
      <c r="M60" s="375"/>
      <c r="N60" s="141"/>
      <c r="O60" s="123">
        <f>+O59*N60</f>
        <v>0</v>
      </c>
      <c r="P60" s="123"/>
      <c r="Q60" s="124"/>
    </row>
    <row r="61" spans="1:17" ht="13.5" thickBot="1" x14ac:dyDescent="0.25">
      <c r="B61" s="366" t="s">
        <v>111</v>
      </c>
      <c r="C61" s="366"/>
      <c r="D61" s="144"/>
      <c r="E61" s="139"/>
      <c r="F61" s="143"/>
      <c r="G61" s="106"/>
      <c r="H61" s="132"/>
      <c r="I61" s="140"/>
      <c r="J61" s="125"/>
      <c r="K61" s="367" t="s">
        <v>112</v>
      </c>
      <c r="L61" s="368"/>
      <c r="M61" s="368"/>
      <c r="N61" s="369"/>
      <c r="O61" s="136">
        <f>SUM(O59:O60)</f>
        <v>17048.780000000002</v>
      </c>
      <c r="P61" s="145" t="s">
        <v>113</v>
      </c>
      <c r="Q61" s="124"/>
    </row>
    <row r="62" spans="1:17" ht="13.5" thickBot="1" x14ac:dyDescent="0.25">
      <c r="C62" s="115" t="s">
        <v>114</v>
      </c>
      <c r="D62" s="146"/>
      <c r="E62" s="89" t="s">
        <v>115</v>
      </c>
      <c r="F62" s="147" t="s">
        <v>116</v>
      </c>
      <c r="G62" s="106"/>
      <c r="H62" s="132"/>
      <c r="I62" s="140"/>
      <c r="J62" s="148"/>
      <c r="K62" s="149"/>
      <c r="L62" s="355" t="s">
        <v>117</v>
      </c>
      <c r="M62" s="355"/>
      <c r="N62" s="355"/>
      <c r="O62" s="150">
        <f>+O61/D60</f>
        <v>17048.780000000002</v>
      </c>
      <c r="P62" s="151">
        <f>+O62/D59</f>
        <v>4.4865210526315797</v>
      </c>
      <c r="Q62" s="152"/>
    </row>
    <row r="63" spans="1:17" ht="13.5" thickBot="1" x14ac:dyDescent="0.25">
      <c r="B63" s="356" t="s">
        <v>102</v>
      </c>
      <c r="C63" s="356"/>
      <c r="D63" s="356"/>
      <c r="E63" s="153">
        <f>+F63/F63</f>
        <v>1</v>
      </c>
      <c r="F63" s="154">
        <f>SUM(F55)</f>
        <v>16691.780000000002</v>
      </c>
      <c r="G63" s="106">
        <f>+F63/$F$66</f>
        <v>0.96996646261306463</v>
      </c>
      <c r="H63" s="132"/>
      <c r="I63" s="140"/>
      <c r="K63" s="357"/>
      <c r="L63" s="358"/>
      <c r="M63" s="358"/>
      <c r="N63" s="358"/>
      <c r="O63" s="155"/>
      <c r="P63" s="156"/>
    </row>
    <row r="64" spans="1:17" ht="13.5" thickBot="1" x14ac:dyDescent="0.3">
      <c r="B64" s="359" t="s">
        <v>118</v>
      </c>
      <c r="C64" s="359"/>
      <c r="D64" s="359"/>
      <c r="E64" s="157">
        <v>0.02</v>
      </c>
      <c r="F64" s="154">
        <f>+F53*E64</f>
        <v>333.83560000000006</v>
      </c>
      <c r="G64" s="106">
        <f>+F64/$F$66</f>
        <v>1.9399329252261295E-2</v>
      </c>
      <c r="H64" s="118"/>
      <c r="I64" s="140"/>
      <c r="J64" s="158"/>
      <c r="O64" s="159"/>
      <c r="P64" s="116"/>
    </row>
    <row r="65" spans="2:13" ht="13.5" thickBot="1" x14ac:dyDescent="0.3">
      <c r="B65" s="360" t="s">
        <v>119</v>
      </c>
      <c r="C65" s="361"/>
      <c r="D65" s="160">
        <v>3</v>
      </c>
      <c r="E65" s="161">
        <v>61</v>
      </c>
      <c r="F65" s="154">
        <f>+E65*D65</f>
        <v>183</v>
      </c>
      <c r="G65" s="106">
        <f>+F65/$F$66</f>
        <v>1.0634208134674122E-2</v>
      </c>
      <c r="H65" s="118"/>
      <c r="I65" s="118"/>
      <c r="J65" s="108"/>
    </row>
    <row r="66" spans="2:13" ht="13.5" thickBot="1" x14ac:dyDescent="0.3">
      <c r="B66" s="362" t="s">
        <v>120</v>
      </c>
      <c r="C66" s="363"/>
      <c r="D66" s="363"/>
      <c r="E66" s="364"/>
      <c r="F66" s="131">
        <f>SUM(F63:F65)</f>
        <v>17208.615600000001</v>
      </c>
      <c r="G66" s="106">
        <f>+F66/$F$66</f>
        <v>1</v>
      </c>
      <c r="H66" s="365"/>
      <c r="I66" s="118"/>
      <c r="J66" s="108"/>
      <c r="M66" s="91" t="s">
        <v>121</v>
      </c>
    </row>
    <row r="67" spans="2:13" x14ac:dyDescent="0.25">
      <c r="C67" s="113"/>
      <c r="D67" s="113"/>
      <c r="E67" s="163"/>
      <c r="F67" s="154"/>
      <c r="G67" s="106"/>
      <c r="H67" s="365"/>
      <c r="I67" s="162"/>
      <c r="J67" s="91"/>
      <c r="M67" s="91" t="s">
        <v>122</v>
      </c>
    </row>
    <row r="68" spans="2:13" ht="13.5" thickBot="1" x14ac:dyDescent="0.3">
      <c r="B68" s="350" t="s">
        <v>123</v>
      </c>
      <c r="C68" s="350"/>
      <c r="D68" s="350"/>
      <c r="E68" s="350"/>
      <c r="F68" s="350"/>
      <c r="G68" s="106"/>
      <c r="H68" s="165"/>
      <c r="I68" s="162"/>
      <c r="J68" s="91"/>
      <c r="M68" s="91" t="s">
        <v>124</v>
      </c>
    </row>
    <row r="69" spans="2:13" ht="13.5" thickBot="1" x14ac:dyDescent="0.3">
      <c r="B69" s="166" t="s">
        <v>125</v>
      </c>
      <c r="C69" s="167">
        <f>+F53</f>
        <v>16691.780000000002</v>
      </c>
      <c r="D69" s="167">
        <f>+D58</f>
        <v>3800</v>
      </c>
      <c r="E69" s="168">
        <f>+C69/D69</f>
        <v>4.392573684210527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126</v>
      </c>
      <c r="C71" s="167">
        <f>SUM(F63:F64)</f>
        <v>17025.615600000001</v>
      </c>
      <c r="D71" s="167">
        <f>+D58</f>
        <v>3800</v>
      </c>
      <c r="E71" s="172">
        <f>+C71/D71</f>
        <v>4.4804251578947367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127</v>
      </c>
      <c r="C73" s="167">
        <f>+F65</f>
        <v>183</v>
      </c>
      <c r="D73" s="167">
        <f>+D58</f>
        <v>3800</v>
      </c>
      <c r="E73" s="172">
        <f>+C73/D73</f>
        <v>4.8157894736842108E-2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128</v>
      </c>
      <c r="C74" s="167">
        <f>+F56</f>
        <v>183</v>
      </c>
      <c r="D74" s="167">
        <f>+D73</f>
        <v>3800</v>
      </c>
      <c r="E74" s="168">
        <f>+C74/D74</f>
        <v>4.8157894736842108E-2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129</v>
      </c>
      <c r="C76" s="167">
        <f>+F54</f>
        <v>0</v>
      </c>
      <c r="D76" s="167">
        <f>+D74</f>
        <v>3800</v>
      </c>
      <c r="E76" s="168">
        <f>+C76/D76</f>
        <v>0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351" t="s">
        <v>130</v>
      </c>
      <c r="C78" s="352"/>
      <c r="D78" s="353"/>
      <c r="E78" s="168">
        <f>+E69+E74</f>
        <v>4.4407315789473687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350" t="s">
        <v>131</v>
      </c>
      <c r="C80" s="350"/>
      <c r="D80" s="350"/>
      <c r="E80" s="350"/>
      <c r="F80" s="350"/>
      <c r="G80" s="106"/>
      <c r="H80" s="165"/>
      <c r="J80" s="91"/>
    </row>
    <row r="81" spans="1:10" ht="13.5" thickBot="1" x14ac:dyDescent="0.3">
      <c r="B81" s="166" t="s">
        <v>125</v>
      </c>
      <c r="C81" s="167">
        <f>+C69</f>
        <v>16691.780000000002</v>
      </c>
      <c r="D81" s="167">
        <f>+D60</f>
        <v>1</v>
      </c>
      <c r="E81" s="168">
        <f>+C81/D81</f>
        <v>16691.780000000002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126</v>
      </c>
      <c r="C83" s="167">
        <f>+C71</f>
        <v>17025.615600000001</v>
      </c>
      <c r="D83" s="167">
        <f>+D60</f>
        <v>1</v>
      </c>
      <c r="E83" s="172">
        <f>+C83/D83</f>
        <v>17025.615600000001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128</v>
      </c>
      <c r="C85" s="167">
        <f>+C73</f>
        <v>183</v>
      </c>
      <c r="D85" s="167">
        <f>+D60</f>
        <v>1</v>
      </c>
      <c r="E85" s="172">
        <f>+C85/D85</f>
        <v>183</v>
      </c>
      <c r="F85" s="174"/>
      <c r="G85" s="164"/>
      <c r="H85" s="90"/>
      <c r="I85" s="108"/>
    </row>
    <row r="86" spans="1:10" ht="13.5" thickBot="1" x14ac:dyDescent="0.3">
      <c r="B86" s="166" t="s">
        <v>128</v>
      </c>
      <c r="C86" s="167">
        <f>+C74</f>
        <v>183</v>
      </c>
      <c r="D86" s="167">
        <f>+D85</f>
        <v>1</v>
      </c>
      <c r="E86" s="168">
        <f>+C86/D86</f>
        <v>183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54"/>
      <c r="B88" s="354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E957-D94C-4AB0-BB97-56C80CEC65DD}">
  <dimension ref="A1:I57"/>
  <sheetViews>
    <sheetView tabSelected="1" zoomScale="70" zoomScaleNormal="70" workbookViewId="0">
      <selection activeCell="C9" sqref="C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09"/>
      <c r="B1" s="310"/>
      <c r="C1" s="316" t="s">
        <v>33</v>
      </c>
      <c r="D1" s="316"/>
      <c r="E1" s="316"/>
      <c r="F1" s="316"/>
      <c r="G1" s="316"/>
      <c r="H1" s="183" t="s">
        <v>32</v>
      </c>
      <c r="I1" s="184" t="s">
        <v>155</v>
      </c>
    </row>
    <row r="2" spans="1:9" ht="18" customHeight="1" thickBot="1" x14ac:dyDescent="0.3">
      <c r="A2" s="311"/>
      <c r="B2" s="312"/>
      <c r="C2" s="390" t="s">
        <v>31</v>
      </c>
      <c r="D2" s="391"/>
      <c r="E2" s="391"/>
      <c r="F2" s="391"/>
      <c r="G2" s="392"/>
      <c r="H2" s="185" t="s">
        <v>30</v>
      </c>
      <c r="I2" s="186" t="s">
        <v>147</v>
      </c>
    </row>
    <row r="3" spans="1:9" ht="31.5" customHeight="1" thickBot="1" x14ac:dyDescent="0.3">
      <c r="A3" s="311"/>
      <c r="B3" s="312"/>
      <c r="C3" s="318" t="s">
        <v>143</v>
      </c>
      <c r="D3" s="319"/>
      <c r="E3" s="319"/>
      <c r="F3" s="319"/>
      <c r="G3" s="320"/>
      <c r="H3" s="321" t="s">
        <v>29</v>
      </c>
      <c r="I3" s="298">
        <v>45619</v>
      </c>
    </row>
    <row r="4" spans="1:9" ht="18" customHeight="1" x14ac:dyDescent="0.25">
      <c r="A4" s="311"/>
      <c r="B4" s="312"/>
      <c r="C4" s="187" t="s">
        <v>28</v>
      </c>
      <c r="D4" s="382" t="s">
        <v>148</v>
      </c>
      <c r="E4" s="383"/>
      <c r="F4" s="383"/>
      <c r="G4" s="384"/>
      <c r="H4" s="322"/>
      <c r="I4" s="299"/>
    </row>
    <row r="5" spans="1:9" ht="15.75" thickBot="1" x14ac:dyDescent="0.3">
      <c r="A5" s="388"/>
      <c r="B5" s="389"/>
      <c r="C5" s="188" t="s">
        <v>27</v>
      </c>
      <c r="D5" s="385" t="s">
        <v>26</v>
      </c>
      <c r="E5" s="386"/>
      <c r="F5" s="386"/>
      <c r="G5" s="387"/>
      <c r="H5" s="323"/>
      <c r="I5" s="381"/>
    </row>
    <row r="6" spans="1:9" ht="18.75" thickBot="1" x14ac:dyDescent="0.3">
      <c r="A6" s="393" t="s">
        <v>25</v>
      </c>
      <c r="B6" s="393"/>
      <c r="C6" s="393"/>
      <c r="D6" s="394" t="s">
        <v>149</v>
      </c>
      <c r="E6" s="394"/>
      <c r="F6" s="394"/>
      <c r="G6" s="395" t="s">
        <v>24</v>
      </c>
      <c r="H6" s="395"/>
      <c r="I6" s="189" t="s">
        <v>149</v>
      </c>
    </row>
    <row r="7" spans="1:9" x14ac:dyDescent="0.25">
      <c r="A7" s="396" t="s">
        <v>23</v>
      </c>
      <c r="B7" s="398" t="s">
        <v>150</v>
      </c>
      <c r="C7" s="400" t="s">
        <v>22</v>
      </c>
      <c r="D7" s="400" t="s">
        <v>21</v>
      </c>
      <c r="E7" s="400" t="s">
        <v>20</v>
      </c>
      <c r="F7" s="400"/>
      <c r="G7" s="400" t="s">
        <v>19</v>
      </c>
      <c r="H7" s="400"/>
      <c r="I7" s="190" t="s">
        <v>18</v>
      </c>
    </row>
    <row r="8" spans="1:9" ht="27" thickBot="1" x14ac:dyDescent="0.3">
      <c r="A8" s="397"/>
      <c r="B8" s="399"/>
      <c r="C8" s="401"/>
      <c r="D8" s="401"/>
      <c r="E8" s="191" t="s">
        <v>15</v>
      </c>
      <c r="F8" s="192" t="s">
        <v>17</v>
      </c>
      <c r="G8" s="191" t="s">
        <v>15</v>
      </c>
      <c r="H8" s="192" t="s">
        <v>17</v>
      </c>
      <c r="I8" s="193" t="s">
        <v>16</v>
      </c>
    </row>
    <row r="9" spans="1:9" ht="18.600000000000001" customHeight="1" x14ac:dyDescent="0.25">
      <c r="A9" s="194"/>
      <c r="B9" s="195"/>
      <c r="C9" s="196" t="s">
        <v>151</v>
      </c>
      <c r="D9" s="197"/>
      <c r="E9" s="198"/>
      <c r="F9" s="199"/>
      <c r="G9" s="198"/>
      <c r="H9" s="199"/>
      <c r="I9" s="200"/>
    </row>
    <row r="10" spans="1:9" ht="18" customHeight="1" x14ac:dyDescent="0.25">
      <c r="A10" s="201"/>
      <c r="B10" s="202" t="s">
        <v>142</v>
      </c>
      <c r="C10" s="203" t="s">
        <v>56</v>
      </c>
      <c r="D10" s="204" t="s">
        <v>57</v>
      </c>
      <c r="E10" s="205">
        <v>3800</v>
      </c>
      <c r="F10" s="206" t="s">
        <v>2</v>
      </c>
      <c r="G10" s="207"/>
      <c r="H10" s="208"/>
      <c r="I10" s="200"/>
    </row>
    <row r="11" spans="1:9" x14ac:dyDescent="0.25">
      <c r="A11" s="204"/>
      <c r="B11" s="204"/>
      <c r="C11" s="209"/>
      <c r="D11" s="204"/>
      <c r="E11" s="205"/>
      <c r="F11" s="206"/>
      <c r="G11" s="207"/>
      <c r="H11" s="208"/>
      <c r="I11" s="200"/>
    </row>
    <row r="12" spans="1:9" x14ac:dyDescent="0.25">
      <c r="A12" s="204"/>
      <c r="B12" s="204"/>
      <c r="C12" s="209"/>
      <c r="D12" s="204"/>
      <c r="E12" s="205"/>
      <c r="F12" s="206"/>
      <c r="G12" s="207"/>
      <c r="H12" s="208"/>
      <c r="I12" s="200"/>
    </row>
    <row r="13" spans="1:9" x14ac:dyDescent="0.25">
      <c r="A13" s="204"/>
      <c r="B13" s="204"/>
      <c r="C13" s="209"/>
      <c r="D13" s="204"/>
      <c r="E13" s="205"/>
      <c r="F13" s="206"/>
      <c r="G13" s="207"/>
      <c r="H13" s="208"/>
      <c r="I13" s="200"/>
    </row>
    <row r="14" spans="1:9" x14ac:dyDescent="0.25">
      <c r="A14" s="204"/>
      <c r="B14" s="204"/>
      <c r="C14" s="209"/>
      <c r="D14" s="204"/>
      <c r="E14" s="205"/>
      <c r="F14" s="206"/>
      <c r="G14" s="207"/>
      <c r="H14" s="208"/>
      <c r="I14" s="200"/>
    </row>
    <row r="15" spans="1:9" x14ac:dyDescent="0.25">
      <c r="A15" s="204"/>
      <c r="B15" s="204"/>
      <c r="C15" s="209"/>
      <c r="D15" s="204"/>
      <c r="E15" s="205"/>
      <c r="F15" s="206"/>
      <c r="G15" s="207"/>
      <c r="H15" s="208"/>
      <c r="I15" s="200"/>
    </row>
    <row r="16" spans="1:9" x14ac:dyDescent="0.25">
      <c r="A16" s="204"/>
      <c r="B16" s="204"/>
      <c r="C16" s="209"/>
      <c r="D16" s="204"/>
      <c r="E16" s="205"/>
      <c r="F16" s="206"/>
      <c r="G16" s="207"/>
      <c r="H16" s="208"/>
      <c r="I16" s="200"/>
    </row>
    <row r="17" spans="1:9" x14ac:dyDescent="0.25">
      <c r="A17" s="204"/>
      <c r="B17" s="204"/>
      <c r="C17" s="209"/>
      <c r="D17" s="204"/>
      <c r="E17" s="205"/>
      <c r="F17" s="206"/>
      <c r="G17" s="207"/>
      <c r="H17" s="208"/>
      <c r="I17" s="200"/>
    </row>
    <row r="18" spans="1:9" x14ac:dyDescent="0.25">
      <c r="A18" s="204"/>
      <c r="B18" s="204"/>
      <c r="C18" s="209"/>
      <c r="D18" s="204"/>
      <c r="E18" s="205"/>
      <c r="F18" s="206"/>
      <c r="G18" s="207"/>
      <c r="H18" s="208"/>
      <c r="I18" s="200"/>
    </row>
    <row r="19" spans="1:9" x14ac:dyDescent="0.25">
      <c r="A19" s="204"/>
      <c r="B19" s="204"/>
      <c r="C19" s="209"/>
      <c r="D19" s="204"/>
      <c r="E19" s="205"/>
      <c r="F19" s="206"/>
      <c r="G19" s="207"/>
      <c r="H19" s="208"/>
      <c r="I19" s="200"/>
    </row>
    <row r="20" spans="1:9" ht="15.75" x14ac:dyDescent="0.25">
      <c r="A20" s="210"/>
      <c r="B20" s="210"/>
      <c r="C20" s="203"/>
      <c r="D20" s="211"/>
      <c r="E20" s="211"/>
      <c r="F20" s="211"/>
      <c r="G20" s="11"/>
      <c r="H20" s="208"/>
      <c r="I20" s="200"/>
    </row>
    <row r="21" spans="1:9" ht="15.75" x14ac:dyDescent="0.25">
      <c r="A21" s="212"/>
      <c r="B21" s="213"/>
      <c r="C21" s="214" t="s">
        <v>152</v>
      </c>
      <c r="D21" s="211"/>
      <c r="E21" s="211"/>
      <c r="F21" s="211"/>
      <c r="G21" s="11"/>
      <c r="H21" s="208"/>
      <c r="I21" s="200"/>
    </row>
    <row r="22" spans="1:9" x14ac:dyDescent="0.25">
      <c r="A22" s="201"/>
      <c r="B22" s="202"/>
      <c r="C22" s="203"/>
      <c r="D22" s="215"/>
      <c r="E22" s="215"/>
      <c r="F22" s="215"/>
      <c r="G22" s="198"/>
      <c r="H22" s="208"/>
      <c r="I22" s="200"/>
    </row>
    <row r="23" spans="1:9" x14ac:dyDescent="0.25">
      <c r="A23" s="216"/>
      <c r="B23" s="210"/>
      <c r="C23" s="203"/>
      <c r="D23" s="215"/>
      <c r="E23" s="215"/>
      <c r="F23" s="215"/>
      <c r="G23" s="198"/>
      <c r="H23" s="208"/>
      <c r="I23" s="200"/>
    </row>
    <row r="24" spans="1:9" x14ac:dyDescent="0.25">
      <c r="A24" s="216"/>
      <c r="B24" s="210"/>
      <c r="C24" s="203"/>
      <c r="D24" s="215"/>
      <c r="E24" s="215"/>
      <c r="F24" s="215"/>
      <c r="G24" s="198"/>
      <c r="H24" s="208"/>
      <c r="I24" s="200"/>
    </row>
    <row r="25" spans="1:9" ht="15.75" x14ac:dyDescent="0.25">
      <c r="A25" s="212"/>
      <c r="B25" s="213"/>
      <c r="C25" s="214"/>
      <c r="D25" s="217"/>
      <c r="E25" s="218"/>
      <c r="F25" s="219"/>
      <c r="G25" s="198"/>
      <c r="H25" s="208"/>
      <c r="I25" s="200"/>
    </row>
    <row r="26" spans="1:9" x14ac:dyDescent="0.25">
      <c r="A26" s="220"/>
      <c r="B26" s="221"/>
      <c r="C26" s="222"/>
      <c r="D26" s="38"/>
      <c r="E26" s="40"/>
      <c r="F26" s="39"/>
      <c r="G26" s="198"/>
      <c r="H26" s="208"/>
      <c r="I26" s="200"/>
    </row>
    <row r="27" spans="1:9" x14ac:dyDescent="0.25">
      <c r="A27" s="202"/>
      <c r="B27" s="202"/>
      <c r="C27" s="203"/>
      <c r="D27" s="223"/>
      <c r="E27" s="29"/>
      <c r="F27" s="28"/>
      <c r="G27" s="198"/>
      <c r="H27" s="208"/>
      <c r="I27" s="200"/>
    </row>
    <row r="28" spans="1:9" ht="15.75" x14ac:dyDescent="0.25">
      <c r="A28" s="224"/>
      <c r="B28" s="225"/>
      <c r="C28" s="226" t="s">
        <v>60</v>
      </c>
      <c r="D28" s="227"/>
      <c r="E28" s="228"/>
      <c r="F28" s="199"/>
      <c r="G28" s="198"/>
      <c r="H28" s="208"/>
      <c r="I28" s="200"/>
    </row>
    <row r="29" spans="1:9" x14ac:dyDescent="0.25">
      <c r="A29" s="229"/>
      <c r="B29" s="230"/>
      <c r="C29" s="229"/>
      <c r="D29" s="231"/>
      <c r="E29" s="34"/>
      <c r="F29" s="44"/>
      <c r="G29" s="232"/>
      <c r="H29" s="208"/>
      <c r="I29" s="200"/>
    </row>
    <row r="30" spans="1:9" x14ac:dyDescent="0.25">
      <c r="A30" s="229"/>
      <c r="B30" s="230"/>
      <c r="C30" s="229"/>
      <c r="D30" s="231"/>
      <c r="E30" s="34"/>
      <c r="F30" s="44"/>
      <c r="G30" s="232"/>
      <c r="H30" s="208"/>
      <c r="I30" s="200"/>
    </row>
    <row r="31" spans="1:9" x14ac:dyDescent="0.25">
      <c r="A31" s="233"/>
      <c r="B31" s="234"/>
      <c r="C31" s="235"/>
      <c r="D31" s="70"/>
      <c r="E31" s="236"/>
      <c r="F31" s="237"/>
      <c r="G31" s="232"/>
      <c r="H31" s="208"/>
      <c r="I31" s="200"/>
    </row>
    <row r="32" spans="1:9" x14ac:dyDescent="0.25">
      <c r="A32" s="238"/>
      <c r="B32" s="238"/>
      <c r="C32" s="239"/>
      <c r="D32" s="70"/>
      <c r="E32" s="236"/>
      <c r="F32" s="237"/>
      <c r="G32" s="198"/>
      <c r="H32" s="208"/>
      <c r="I32" s="200"/>
    </row>
    <row r="33" spans="1:9" x14ac:dyDescent="0.25">
      <c r="A33" s="238"/>
      <c r="B33" s="238"/>
      <c r="C33" s="239"/>
      <c r="D33" s="70"/>
      <c r="E33" s="236"/>
      <c r="F33" s="237"/>
      <c r="G33" s="198"/>
      <c r="H33" s="208"/>
      <c r="I33" s="200"/>
    </row>
    <row r="34" spans="1:9" x14ac:dyDescent="0.25">
      <c r="A34" s="238"/>
      <c r="B34" s="238"/>
      <c r="C34" s="239"/>
      <c r="D34" s="70"/>
      <c r="E34" s="236"/>
      <c r="F34" s="237"/>
      <c r="G34" s="240"/>
      <c r="H34" s="208"/>
      <c r="I34" s="200"/>
    </row>
    <row r="35" spans="1:9" ht="15.75" x14ac:dyDescent="0.25">
      <c r="A35" s="238"/>
      <c r="B35" s="238"/>
      <c r="C35" s="239"/>
      <c r="D35" s="211"/>
      <c r="E35" s="236"/>
      <c r="F35" s="237"/>
      <c r="G35" s="241"/>
      <c r="H35" s="208"/>
      <c r="I35" s="200"/>
    </row>
    <row r="36" spans="1:9" x14ac:dyDescent="0.25">
      <c r="A36" s="242"/>
      <c r="B36" s="242"/>
      <c r="C36" s="243"/>
      <c r="D36" s="70"/>
      <c r="E36" s="28"/>
      <c r="F36" s="28"/>
      <c r="G36" s="241"/>
      <c r="H36" s="199"/>
      <c r="I36" s="200"/>
    </row>
    <row r="37" spans="1:9" ht="15.75" thickBot="1" x14ac:dyDescent="0.3">
      <c r="A37" s="244"/>
      <c r="B37" s="245"/>
      <c r="C37" s="246" t="s">
        <v>153</v>
      </c>
      <c r="D37" s="246"/>
      <c r="E37" s="247"/>
      <c r="F37" s="248"/>
      <c r="G37" s="246"/>
      <c r="H37" s="246"/>
      <c r="I37" s="249"/>
    </row>
    <row r="38" spans="1:9" ht="15.75" thickBot="1" x14ac:dyDescent="0.3">
      <c r="A38" s="250"/>
      <c r="B38" s="251"/>
      <c r="C38" s="252" t="s">
        <v>153</v>
      </c>
      <c r="D38" s="253" t="s">
        <v>15</v>
      </c>
      <c r="E38" s="254" t="s">
        <v>14</v>
      </c>
      <c r="F38" s="255"/>
      <c r="G38" s="252"/>
      <c r="H38" s="252"/>
      <c r="I38" s="256"/>
    </row>
    <row r="39" spans="1:9" x14ac:dyDescent="0.25">
      <c r="A39" s="402" t="s">
        <v>13</v>
      </c>
      <c r="B39" s="403"/>
      <c r="C39" s="404"/>
      <c r="D39" s="257">
        <v>3800</v>
      </c>
      <c r="E39" s="258" t="s">
        <v>2</v>
      </c>
      <c r="F39" s="405" t="s">
        <v>12</v>
      </c>
      <c r="G39" s="405"/>
      <c r="H39" s="406"/>
      <c r="I39" s="407"/>
    </row>
    <row r="40" spans="1:9" x14ac:dyDescent="0.25">
      <c r="A40" s="408" t="s">
        <v>11</v>
      </c>
      <c r="B40" s="409"/>
      <c r="C40" s="410"/>
      <c r="D40" s="11">
        <v>3</v>
      </c>
      <c r="E40" s="11" t="s">
        <v>10</v>
      </c>
      <c r="F40" s="411" t="s">
        <v>9</v>
      </c>
      <c r="G40" s="411"/>
      <c r="H40" s="412"/>
      <c r="I40" s="413"/>
    </row>
    <row r="41" spans="1:9" x14ac:dyDescent="0.25">
      <c r="A41" s="408" t="s">
        <v>8</v>
      </c>
      <c r="B41" s="409"/>
      <c r="C41" s="410"/>
      <c r="D41" s="29">
        <v>20</v>
      </c>
      <c r="E41" s="11" t="s">
        <v>7</v>
      </c>
      <c r="F41" s="411" t="s">
        <v>6</v>
      </c>
      <c r="G41" s="411"/>
      <c r="H41" s="412"/>
      <c r="I41" s="413"/>
    </row>
    <row r="42" spans="1:9" x14ac:dyDescent="0.25">
      <c r="A42" s="408" t="s">
        <v>5</v>
      </c>
      <c r="B42" s="409"/>
      <c r="C42" s="410"/>
      <c r="D42" s="29">
        <v>190</v>
      </c>
      <c r="E42" s="11" t="s">
        <v>2</v>
      </c>
      <c r="F42" s="414" t="s">
        <v>4</v>
      </c>
      <c r="G42" s="415"/>
      <c r="H42" s="416"/>
      <c r="I42" s="417"/>
    </row>
    <row r="43" spans="1:9" ht="15.75" thickBot="1" x14ac:dyDescent="0.3">
      <c r="A43" s="422" t="s">
        <v>3</v>
      </c>
      <c r="B43" s="423"/>
      <c r="C43" s="424"/>
      <c r="D43" s="259">
        <v>0</v>
      </c>
      <c r="E43" s="260" t="s">
        <v>2</v>
      </c>
      <c r="F43" s="425"/>
      <c r="G43" s="425"/>
      <c r="H43" s="412"/>
      <c r="I43" s="413"/>
    </row>
    <row r="44" spans="1:9" ht="15.75" thickBot="1" x14ac:dyDescent="0.3">
      <c r="A44" s="426" t="s">
        <v>1</v>
      </c>
      <c r="B44" s="427"/>
      <c r="C44" s="427"/>
      <c r="D44" s="427"/>
      <c r="E44" s="427"/>
      <c r="F44" s="427"/>
      <c r="G44" s="427"/>
      <c r="H44" s="427"/>
      <c r="I44" s="428"/>
    </row>
    <row r="45" spans="1:9" ht="14.45" customHeight="1" x14ac:dyDescent="0.25">
      <c r="A45" s="264" t="s">
        <v>58</v>
      </c>
      <c r="B45" s="265"/>
      <c r="C45" s="266"/>
      <c r="D45" s="266"/>
      <c r="E45" s="266"/>
      <c r="F45" s="266"/>
      <c r="G45" s="266"/>
      <c r="H45" s="266"/>
      <c r="I45" s="267"/>
    </row>
    <row r="46" spans="1:9" ht="15.6" customHeight="1" x14ac:dyDescent="0.25">
      <c r="A46" s="337" t="s">
        <v>59</v>
      </c>
      <c r="B46" s="338"/>
      <c r="C46" s="339"/>
      <c r="D46" s="339"/>
      <c r="E46" s="339"/>
      <c r="F46" s="339"/>
      <c r="G46" s="339"/>
      <c r="H46" s="339"/>
      <c r="I46" s="340"/>
    </row>
    <row r="47" spans="1:9" ht="14.45" customHeight="1" x14ac:dyDescent="0.25">
      <c r="A47" s="346"/>
      <c r="B47" s="347"/>
      <c r="C47" s="348"/>
      <c r="D47" s="348"/>
      <c r="E47" s="348"/>
      <c r="F47" s="348"/>
      <c r="G47" s="348"/>
      <c r="H47" s="348"/>
      <c r="I47" s="349"/>
    </row>
    <row r="48" spans="1:9" x14ac:dyDescent="0.25">
      <c r="A48" s="280"/>
      <c r="B48" s="281"/>
      <c r="C48" s="281"/>
      <c r="D48" s="281"/>
      <c r="E48" s="281"/>
      <c r="F48" s="281"/>
      <c r="G48" s="281"/>
      <c r="H48" s="281"/>
      <c r="I48" s="282"/>
    </row>
    <row r="49" spans="1:9" x14ac:dyDescent="0.25">
      <c r="A49" s="429"/>
      <c r="B49" s="430"/>
      <c r="C49" s="431"/>
      <c r="D49" s="431"/>
      <c r="E49" s="431"/>
      <c r="F49" s="431"/>
      <c r="G49" s="431"/>
      <c r="H49" s="431"/>
      <c r="I49" s="432"/>
    </row>
    <row r="50" spans="1:9" ht="14.45" customHeight="1" x14ac:dyDescent="0.25">
      <c r="A50" s="433"/>
      <c r="B50" s="434"/>
      <c r="C50" s="434"/>
      <c r="D50" s="434"/>
      <c r="E50" s="434"/>
      <c r="F50" s="434"/>
      <c r="G50" s="434"/>
      <c r="H50" s="434"/>
      <c r="I50" s="338"/>
    </row>
    <row r="51" spans="1:9" ht="14.45" customHeight="1" x14ac:dyDescent="0.25">
      <c r="A51" s="435"/>
      <c r="B51" s="436"/>
      <c r="C51" s="437"/>
      <c r="D51" s="437"/>
      <c r="E51" s="437"/>
      <c r="F51" s="437"/>
      <c r="G51" s="437"/>
      <c r="H51" s="437"/>
      <c r="I51" s="438"/>
    </row>
    <row r="52" spans="1:9" ht="18" customHeight="1" x14ac:dyDescent="0.25">
      <c r="A52" s="418"/>
      <c r="B52" s="419"/>
      <c r="C52" s="420"/>
      <c r="D52" s="420"/>
      <c r="E52" s="420"/>
      <c r="F52" s="420"/>
      <c r="G52" s="420"/>
      <c r="H52" s="420"/>
      <c r="I52" s="421"/>
    </row>
    <row r="53" spans="1:9" ht="14.45" customHeight="1" thickBot="1" x14ac:dyDescent="0.3">
      <c r="A53" s="439"/>
      <c r="B53" s="440"/>
      <c r="C53" s="441"/>
      <c r="D53" s="441"/>
      <c r="E53" s="441"/>
      <c r="F53" s="441"/>
      <c r="G53" s="441"/>
      <c r="H53" s="441"/>
      <c r="I53" s="442"/>
    </row>
    <row r="54" spans="1:9" ht="14.45" customHeight="1" thickBot="1" x14ac:dyDescent="0.3">
      <c r="A54" s="443"/>
      <c r="B54" s="434"/>
      <c r="C54" s="434"/>
      <c r="D54" s="434"/>
      <c r="E54" s="434"/>
      <c r="F54" s="434"/>
      <c r="G54" s="434"/>
      <c r="H54" s="434"/>
      <c r="I54" s="338"/>
    </row>
    <row r="55" spans="1:9" ht="14.45" customHeight="1" x14ac:dyDescent="0.25">
      <c r="A55" s="444" t="s">
        <v>154</v>
      </c>
      <c r="B55" s="445"/>
      <c r="C55" s="445"/>
      <c r="D55" s="445"/>
      <c r="E55" s="445"/>
      <c r="F55" s="445"/>
      <c r="G55" s="445"/>
      <c r="H55" s="445"/>
      <c r="I55" s="445"/>
    </row>
    <row r="56" spans="1:9" x14ac:dyDescent="0.25">
      <c r="A56" s="446"/>
      <c r="B56" s="447"/>
      <c r="C56" s="447"/>
      <c r="D56" s="447"/>
      <c r="E56" s="447"/>
      <c r="F56" s="447"/>
      <c r="G56" s="447"/>
      <c r="H56" s="447"/>
      <c r="I56" s="447"/>
    </row>
    <row r="57" spans="1:9" x14ac:dyDescent="0.25">
      <c r="A57" s="446"/>
      <c r="B57" s="447"/>
      <c r="C57" s="447"/>
      <c r="D57" s="447"/>
      <c r="E57" s="447"/>
      <c r="F57" s="447"/>
      <c r="G57" s="447"/>
      <c r="H57" s="447"/>
      <c r="I57" s="44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205-54D5-4745-BD72-F61B477B50FA}">
  <dimension ref="A1:Q91"/>
  <sheetViews>
    <sheetView topLeftCell="A17" workbookViewId="0">
      <selection activeCell="E51" sqref="E51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80</v>
      </c>
      <c r="F1" s="88" t="s">
        <v>81</v>
      </c>
      <c r="G1" s="88" t="s">
        <v>82</v>
      </c>
      <c r="H1" s="88" t="s">
        <v>83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836.37400000000014</v>
      </c>
      <c r="F2" s="92">
        <f>IFERROR(H53,"")</f>
        <v>834.58900000000017</v>
      </c>
      <c r="G2" s="92">
        <f>IFERROR(H54,"")</f>
        <v>0</v>
      </c>
      <c r="H2" s="92">
        <f>IFERROR(H56,"")</f>
        <v>18.3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376"/>
      <c r="B4" s="376"/>
      <c r="C4" s="376"/>
      <c r="D4" s="376"/>
      <c r="E4" s="376"/>
      <c r="F4" s="376"/>
      <c r="G4" s="376"/>
      <c r="H4" s="376"/>
      <c r="I4" s="95"/>
    </row>
    <row r="5" spans="1:10" ht="19.5" customHeight="1" thickBot="1" x14ac:dyDescent="0.3">
      <c r="A5" s="377" t="s">
        <v>84</v>
      </c>
      <c r="B5" s="378"/>
      <c r="C5" s="378"/>
      <c r="D5" s="378"/>
      <c r="E5" s="378"/>
      <c r="F5" s="378"/>
      <c r="G5" s="378"/>
      <c r="H5" s="379"/>
      <c r="I5" s="96"/>
    </row>
    <row r="6" spans="1:10" ht="19.5" thickBot="1" x14ac:dyDescent="0.3">
      <c r="A6" s="96"/>
      <c r="B6" s="96"/>
      <c r="C6" s="96"/>
      <c r="D6" s="96"/>
      <c r="E6" s="96"/>
      <c r="F6" s="380" t="s">
        <v>85</v>
      </c>
      <c r="G6" s="380"/>
      <c r="H6" s="97">
        <f ca="1">TODAY()</f>
        <v>45650</v>
      </c>
      <c r="I6" s="97"/>
    </row>
    <row r="7" spans="1:10" ht="26.25" hidden="1" thickBot="1" x14ac:dyDescent="0.3">
      <c r="A7" s="98" t="s">
        <v>86</v>
      </c>
      <c r="B7" s="99" t="s">
        <v>87</v>
      </c>
      <c r="C7" s="99" t="s">
        <v>86</v>
      </c>
      <c r="D7" s="100" t="s">
        <v>88</v>
      </c>
      <c r="E7" s="100" t="s">
        <v>89</v>
      </c>
      <c r="F7" s="100" t="s">
        <v>90</v>
      </c>
      <c r="G7" s="100" t="s">
        <v>91</v>
      </c>
      <c r="H7" s="101" t="s">
        <v>92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86</v>
      </c>
      <c r="B16" s="99" t="s">
        <v>93</v>
      </c>
      <c r="C16" s="99" t="s">
        <v>86</v>
      </c>
      <c r="D16" s="100" t="s">
        <v>88</v>
      </c>
      <c r="E16" s="100" t="s">
        <v>89</v>
      </c>
      <c r="F16" s="100" t="s">
        <v>90</v>
      </c>
      <c r="G16" s="100" t="s">
        <v>91</v>
      </c>
      <c r="H16" s="101" t="s">
        <v>92</v>
      </c>
      <c r="I16" s="102"/>
      <c r="J16" s="108"/>
    </row>
    <row r="17" spans="1:12" ht="13.5" x14ac:dyDescent="0.25">
      <c r="A17" s="103">
        <v>3800</v>
      </c>
      <c r="B17" s="91" t="s">
        <v>56</v>
      </c>
      <c r="C17" s="104">
        <f>+A17</f>
        <v>3800</v>
      </c>
      <c r="D17" s="104" t="s">
        <v>133</v>
      </c>
      <c r="E17" s="105">
        <f>+'Costo Batido'!E69</f>
        <v>4.392573684210527</v>
      </c>
      <c r="F17" s="105">
        <f>IFERROR(E17*C17,"")</f>
        <v>16691.780000000002</v>
      </c>
      <c r="G17" s="106">
        <f t="shared" ref="G17:G24" si="3">IFERROR(F17/$F$66,"")</f>
        <v>0.96996646261306463</v>
      </c>
      <c r="H17" s="107"/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hidden="1" thickBot="1" x14ac:dyDescent="0.3">
      <c r="A26" s="98" t="s">
        <v>86</v>
      </c>
      <c r="B26" s="99" t="s">
        <v>94</v>
      </c>
      <c r="C26" s="99" t="s">
        <v>86</v>
      </c>
      <c r="D26" s="100" t="s">
        <v>88</v>
      </c>
      <c r="E26" s="100" t="s">
        <v>89</v>
      </c>
      <c r="F26" s="100" t="s">
        <v>90</v>
      </c>
      <c r="G26" s="100" t="s">
        <v>91</v>
      </c>
      <c r="H26" s="101" t="s">
        <v>92</v>
      </c>
      <c r="I26" s="102"/>
    </row>
    <row r="27" spans="1:12" ht="13.5" hidden="1" x14ac:dyDescent="0.25">
      <c r="A27" s="103">
        <v>0</v>
      </c>
      <c r="B27" s="109" t="str">
        <f>IFERROR(VLOOKUP(H27,'[1]Consolidado MP Planta'!$A$2:$M$823,3,0),"")</f>
        <v/>
      </c>
      <c r="C27" s="104">
        <f t="shared" ref="C27:C32" si="6">+A27</f>
        <v>0</v>
      </c>
      <c r="D27" s="105" t="str">
        <f>IFERROR(VLOOKUP(H27,'[1]Consolidado MP Planta'!$A$2:$M$823,13,0),"")</f>
        <v/>
      </c>
      <c r="E27" s="105" t="str">
        <f>IFERROR(VLOOKUP(H27,'[1]Consolidado MP Planta'!$A$2:$M$823,12,0),"")</f>
        <v/>
      </c>
      <c r="F27" s="105" t="str">
        <f t="shared" ref="F27:F32" si="7">IFERROR(C27*E27,"")</f>
        <v/>
      </c>
      <c r="G27" s="106" t="str">
        <f t="shared" ref="G27:G32" si="8">IFERROR(F27/$F$66,"")</f>
        <v/>
      </c>
      <c r="H27" s="110"/>
      <c r="I27" s="110"/>
      <c r="J27" s="108"/>
      <c r="K27" s="370"/>
      <c r="L27" s="370"/>
    </row>
    <row r="28" spans="1:12" ht="13.5" hidden="1" x14ac:dyDescent="0.25">
      <c r="A28" s="103"/>
      <c r="B28" s="109" t="str">
        <f>IFERROR(VLOOKUP(H28,'[1]Consolidado MP Planta'!$A$2:$M$823,3,0),"")</f>
        <v/>
      </c>
      <c r="C28" s="104">
        <f t="shared" si="6"/>
        <v>0</v>
      </c>
      <c r="D28" s="105" t="str">
        <f>IFERROR(VLOOKUP(H28,'[1]Consolidado MP Planta'!$A$2:$M$823,13,0),"")</f>
        <v/>
      </c>
      <c r="E28" s="105" t="str">
        <f>IFERROR(VLOOKUP(H28,'[1]Consolidado MP Planta'!$A$2:$M$823,12,0),"")</f>
        <v/>
      </c>
      <c r="F28" s="105" t="str">
        <f t="shared" si="7"/>
        <v/>
      </c>
      <c r="G28" s="106" t="str">
        <f t="shared" si="8"/>
        <v/>
      </c>
      <c r="H28" s="110"/>
      <c r="I28" s="110"/>
      <c r="J28" s="108"/>
      <c r="K28" s="370"/>
      <c r="L28" s="370"/>
    </row>
    <row r="29" spans="1:12" ht="13.5" hidden="1" x14ac:dyDescent="0.25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370"/>
      <c r="L29" s="370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370"/>
      <c r="L30" s="370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hidden="1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86</v>
      </c>
      <c r="B34" s="99" t="s">
        <v>95</v>
      </c>
      <c r="C34" s="99" t="s">
        <v>86</v>
      </c>
      <c r="D34" s="100" t="s">
        <v>88</v>
      </c>
      <c r="E34" s="100" t="s">
        <v>89</v>
      </c>
      <c r="F34" s="100" t="s">
        <v>90</v>
      </c>
      <c r="G34" s="100" t="s">
        <v>91</v>
      </c>
      <c r="H34" s="101" t="s">
        <v>92</v>
      </c>
      <c r="I34" s="110"/>
      <c r="J34" s="108"/>
    </row>
    <row r="35" spans="1:13" ht="13.5" x14ac:dyDescent="0.25">
      <c r="A35" s="103">
        <f>+A17</f>
        <v>3800</v>
      </c>
      <c r="B35" s="109" t="s">
        <v>56</v>
      </c>
      <c r="C35" s="104">
        <f>+A35</f>
        <v>3800</v>
      </c>
      <c r="D35" s="105" t="s">
        <v>133</v>
      </c>
      <c r="E35" s="105">
        <f>+'Costo Batido'!E76</f>
        <v>0</v>
      </c>
      <c r="F35" s="105">
        <f>IFERROR(E35*C35,"")</f>
        <v>0</v>
      </c>
      <c r="G35" s="106">
        <f t="shared" ref="G35:G41" si="9">IFERROR(F35/$F$66,"")</f>
        <v>0</v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86</v>
      </c>
      <c r="B43" s="99" t="s">
        <v>96</v>
      </c>
      <c r="C43" s="99" t="s">
        <v>86</v>
      </c>
      <c r="D43" s="100" t="s">
        <v>88</v>
      </c>
      <c r="E43" s="100" t="s">
        <v>89</v>
      </c>
      <c r="F43" s="100" t="s">
        <v>90</v>
      </c>
      <c r="G43" s="100" t="s">
        <v>91</v>
      </c>
      <c r="H43" s="101" t="s">
        <v>92</v>
      </c>
      <c r="I43" s="102"/>
      <c r="J43" s="108"/>
    </row>
    <row r="44" spans="1:13" ht="13.5" x14ac:dyDescent="0.25">
      <c r="A44" s="103">
        <f>+A35</f>
        <v>3800</v>
      </c>
      <c r="B44" s="109" t="s">
        <v>56</v>
      </c>
      <c r="C44" s="104">
        <f>+A44</f>
        <v>3800</v>
      </c>
      <c r="D44" s="105" t="s">
        <v>133</v>
      </c>
      <c r="E44" s="105">
        <f>+'Costo Batido'!E74</f>
        <v>4.8157894736842108E-2</v>
      </c>
      <c r="F44" s="105">
        <f>IFERROR(E44*C44,"")</f>
        <v>183</v>
      </c>
      <c r="G44" s="106">
        <f>IFERROR(F44/$F$66,"")</f>
        <v>1.0634208134674122E-2</v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97</v>
      </c>
      <c r="C51" s="104">
        <f>+A51</f>
        <v>1</v>
      </c>
      <c r="D51" s="104" t="s">
        <v>98</v>
      </c>
      <c r="E51" s="105">
        <f>+F65</f>
        <v>183</v>
      </c>
      <c r="F51" s="105">
        <f>IFERROR(C51*E51,"")</f>
        <v>183</v>
      </c>
      <c r="G51" s="106">
        <f>IFERROR(F51/$F$66,"")</f>
        <v>1.0634208134674122E-2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71" t="s">
        <v>99</v>
      </c>
      <c r="C53" s="371"/>
      <c r="D53" s="371"/>
      <c r="E53" s="371"/>
      <c r="F53" s="117">
        <f>SUM(F8:F14,F17:F24)</f>
        <v>16691.780000000002</v>
      </c>
      <c r="G53" s="106">
        <f>+F53/$F$66</f>
        <v>0.96996646261306463</v>
      </c>
      <c r="H53" s="118">
        <f>+F53/$D$60</f>
        <v>834.58900000000017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71" t="s">
        <v>100</v>
      </c>
      <c r="C54" s="371"/>
      <c r="D54" s="371"/>
      <c r="E54" s="371"/>
      <c r="F54" s="117">
        <f>SUM(F27:F32,F35:F41)</f>
        <v>0</v>
      </c>
      <c r="G54" s="106">
        <f>+F54/$F$66</f>
        <v>0</v>
      </c>
      <c r="H54" s="118">
        <f>+F54/$D$60</f>
        <v>0</v>
      </c>
      <c r="I54" s="118"/>
      <c r="J54" s="122"/>
      <c r="K54" s="372" t="s">
        <v>101</v>
      </c>
      <c r="L54" s="373"/>
      <c r="M54" s="373"/>
      <c r="N54" s="373"/>
      <c r="O54" s="123">
        <f>+F55</f>
        <v>16691.780000000002</v>
      </c>
      <c r="P54" s="123"/>
      <c r="Q54" s="124"/>
    </row>
    <row r="55" spans="1:17" x14ac:dyDescent="0.2">
      <c r="A55" s="115"/>
      <c r="B55" s="371" t="s">
        <v>102</v>
      </c>
      <c r="C55" s="371"/>
      <c r="D55" s="371"/>
      <c r="E55" s="371"/>
      <c r="F55" s="117">
        <f>+F53+F54</f>
        <v>16691.780000000002</v>
      </c>
      <c r="G55" s="106">
        <f>+F55/$F$66</f>
        <v>0.96996646261306463</v>
      </c>
      <c r="H55" s="118">
        <f>+F55/$D$60</f>
        <v>834.58900000000017</v>
      </c>
      <c r="I55" s="118"/>
      <c r="J55" s="125"/>
      <c r="K55" s="126"/>
      <c r="M55" s="127" t="s">
        <v>103</v>
      </c>
      <c r="N55" s="128"/>
      <c r="O55" s="123">
        <f>+H56</f>
        <v>18.3</v>
      </c>
      <c r="P55" s="123"/>
      <c r="Q55" s="124"/>
    </row>
    <row r="56" spans="1:17" ht="13.5" thickBot="1" x14ac:dyDescent="0.25">
      <c r="A56" s="115"/>
      <c r="B56" s="116"/>
      <c r="C56" s="371" t="s">
        <v>104</v>
      </c>
      <c r="D56" s="371"/>
      <c r="E56" s="371"/>
      <c r="F56" s="117">
        <f>SUM(F44:F51)</f>
        <v>366</v>
      </c>
      <c r="G56" s="106">
        <f>+F56/$F$66</f>
        <v>2.1268416269348243E-2</v>
      </c>
      <c r="H56" s="118">
        <f>+F56/$D$60</f>
        <v>18.3</v>
      </c>
      <c r="I56" s="118"/>
      <c r="J56" s="125"/>
      <c r="K56" s="126"/>
      <c r="L56" s="126"/>
      <c r="M56" s="126" t="s">
        <v>105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106</v>
      </c>
      <c r="N57" s="135"/>
      <c r="O57" s="136">
        <f>SUM(O54:O56)</f>
        <v>16710.080000000002</v>
      </c>
      <c r="P57" s="137"/>
      <c r="Q57" s="124"/>
    </row>
    <row r="58" spans="1:17" x14ac:dyDescent="0.2">
      <c r="B58" s="374" t="s">
        <v>107</v>
      </c>
      <c r="C58" s="374"/>
      <c r="D58" s="138">
        <v>3800</v>
      </c>
      <c r="E58" s="139"/>
      <c r="G58" s="106"/>
      <c r="H58" s="132">
        <f>+H56/61</f>
        <v>0.3</v>
      </c>
      <c r="I58" s="140"/>
      <c r="J58" s="125"/>
      <c r="K58" s="133"/>
      <c r="L58" s="126"/>
      <c r="M58" s="126" t="s">
        <v>108</v>
      </c>
      <c r="N58" s="141"/>
      <c r="O58" s="123">
        <f>+H59</f>
        <v>17.399999999999999</v>
      </c>
      <c r="P58" s="123"/>
      <c r="Q58" s="124"/>
    </row>
    <row r="59" spans="1:17" x14ac:dyDescent="0.2">
      <c r="B59" s="374" t="s">
        <v>109</v>
      </c>
      <c r="C59" s="374"/>
      <c r="D59" s="142">
        <v>190</v>
      </c>
      <c r="E59" s="139"/>
      <c r="G59" s="106"/>
      <c r="H59" s="132">
        <f>+H58*58</f>
        <v>17.399999999999999</v>
      </c>
      <c r="I59" s="140"/>
      <c r="J59" s="125"/>
      <c r="K59" s="133"/>
      <c r="L59" s="126"/>
      <c r="M59" s="375" t="s">
        <v>106</v>
      </c>
      <c r="N59" s="375"/>
      <c r="O59" s="123">
        <f>SUM(O57:O58)</f>
        <v>16727.480000000003</v>
      </c>
      <c r="P59" s="123"/>
      <c r="Q59" s="124"/>
    </row>
    <row r="60" spans="1:17" ht="13.5" thickBot="1" x14ac:dyDescent="0.25">
      <c r="B60" s="366" t="s">
        <v>110</v>
      </c>
      <c r="C60" s="366"/>
      <c r="D60" s="138">
        <f>+D58/D59</f>
        <v>20</v>
      </c>
      <c r="E60" s="139"/>
      <c r="F60" s="143"/>
      <c r="G60" s="106"/>
      <c r="H60" s="132"/>
      <c r="I60" s="140"/>
      <c r="J60" s="125"/>
      <c r="K60" s="133"/>
      <c r="L60" s="375"/>
      <c r="M60" s="375"/>
      <c r="N60" s="141"/>
      <c r="O60" s="123">
        <f>+O59*N60</f>
        <v>0</v>
      </c>
      <c r="P60" s="123"/>
      <c r="Q60" s="124"/>
    </row>
    <row r="61" spans="1:17" ht="13.5" thickBot="1" x14ac:dyDescent="0.25">
      <c r="B61" s="366" t="s">
        <v>111</v>
      </c>
      <c r="C61" s="366"/>
      <c r="D61" s="144"/>
      <c r="E61" s="139"/>
      <c r="F61" s="143"/>
      <c r="G61" s="106"/>
      <c r="H61" s="132"/>
      <c r="I61" s="140"/>
      <c r="J61" s="125"/>
      <c r="K61" s="367" t="s">
        <v>112</v>
      </c>
      <c r="L61" s="368"/>
      <c r="M61" s="368"/>
      <c r="N61" s="369"/>
      <c r="O61" s="136">
        <f>SUM(O59:O60)</f>
        <v>16727.480000000003</v>
      </c>
      <c r="P61" s="145" t="s">
        <v>113</v>
      </c>
      <c r="Q61" s="124"/>
    </row>
    <row r="62" spans="1:17" ht="13.5" thickBot="1" x14ac:dyDescent="0.25">
      <c r="C62" s="115" t="s">
        <v>114</v>
      </c>
      <c r="D62" s="146"/>
      <c r="E62" s="89" t="s">
        <v>115</v>
      </c>
      <c r="F62" s="147" t="s">
        <v>116</v>
      </c>
      <c r="G62" s="106"/>
      <c r="H62" s="132"/>
      <c r="I62" s="140"/>
      <c r="J62" s="148"/>
      <c r="K62" s="149"/>
      <c r="L62" s="355" t="s">
        <v>117</v>
      </c>
      <c r="M62" s="355"/>
      <c r="N62" s="355"/>
      <c r="O62" s="150">
        <f>+O61/D60</f>
        <v>836.37400000000014</v>
      </c>
      <c r="P62" s="151">
        <f>+O62/D59</f>
        <v>4.401968421052632</v>
      </c>
      <c r="Q62" s="152"/>
    </row>
    <row r="63" spans="1:17" ht="13.5" thickBot="1" x14ac:dyDescent="0.25">
      <c r="B63" s="356" t="s">
        <v>102</v>
      </c>
      <c r="C63" s="356"/>
      <c r="D63" s="356"/>
      <c r="E63" s="153">
        <f>+F63/F63</f>
        <v>1</v>
      </c>
      <c r="F63" s="154">
        <f>SUM(F55)</f>
        <v>16691.780000000002</v>
      </c>
      <c r="G63" s="106">
        <f>+F63/$F$66</f>
        <v>0.96996646261306463</v>
      </c>
      <c r="H63" s="132"/>
      <c r="I63" s="140"/>
      <c r="K63" s="357"/>
      <c r="L63" s="358"/>
      <c r="M63" s="358"/>
      <c r="N63" s="358"/>
      <c r="O63" s="155"/>
      <c r="P63" s="156"/>
    </row>
    <row r="64" spans="1:17" ht="13.5" thickBot="1" x14ac:dyDescent="0.3">
      <c r="B64" s="359" t="s">
        <v>118</v>
      </c>
      <c r="C64" s="359"/>
      <c r="D64" s="359"/>
      <c r="E64" s="157">
        <v>0.02</v>
      </c>
      <c r="F64" s="154">
        <f>+F53*E64</f>
        <v>333.83560000000006</v>
      </c>
      <c r="G64" s="106">
        <f>+F64/$F$66</f>
        <v>1.9399329252261295E-2</v>
      </c>
      <c r="H64" s="118"/>
      <c r="I64" s="140"/>
      <c r="J64" s="158"/>
      <c r="O64" s="159"/>
      <c r="P64" s="116"/>
    </row>
    <row r="65" spans="2:13" ht="13.5" thickBot="1" x14ac:dyDescent="0.3">
      <c r="B65" s="360" t="s">
        <v>119</v>
      </c>
      <c r="C65" s="361"/>
      <c r="D65" s="160">
        <v>3</v>
      </c>
      <c r="E65" s="161">
        <v>61</v>
      </c>
      <c r="F65" s="154">
        <f>+E65*D65</f>
        <v>183</v>
      </c>
      <c r="G65" s="106">
        <f>+F65/$F$66</f>
        <v>1.0634208134674122E-2</v>
      </c>
      <c r="H65" s="118"/>
      <c r="I65" s="118"/>
      <c r="J65" s="108"/>
    </row>
    <row r="66" spans="2:13" ht="13.5" thickBot="1" x14ac:dyDescent="0.3">
      <c r="B66" s="362" t="s">
        <v>120</v>
      </c>
      <c r="C66" s="363"/>
      <c r="D66" s="363"/>
      <c r="E66" s="364"/>
      <c r="F66" s="131">
        <f>SUM(F63:F65)</f>
        <v>17208.615600000001</v>
      </c>
      <c r="G66" s="106">
        <f>+F66/$F$66</f>
        <v>1</v>
      </c>
      <c r="H66" s="365"/>
      <c r="I66" s="118"/>
      <c r="J66" s="108"/>
      <c r="M66" s="91" t="s">
        <v>121</v>
      </c>
    </row>
    <row r="67" spans="2:13" x14ac:dyDescent="0.25">
      <c r="C67" s="113"/>
      <c r="D67" s="113"/>
      <c r="E67" s="163"/>
      <c r="F67" s="154"/>
      <c r="G67" s="106"/>
      <c r="H67" s="365"/>
      <c r="I67" s="162"/>
      <c r="J67" s="91"/>
      <c r="M67" s="91" t="s">
        <v>122</v>
      </c>
    </row>
    <row r="68" spans="2:13" ht="13.5" thickBot="1" x14ac:dyDescent="0.3">
      <c r="B68" s="350" t="s">
        <v>123</v>
      </c>
      <c r="C68" s="350"/>
      <c r="D68" s="350"/>
      <c r="E68" s="350"/>
      <c r="F68" s="350"/>
      <c r="G68" s="106"/>
      <c r="H68" s="165"/>
      <c r="I68" s="162"/>
      <c r="J68" s="91"/>
      <c r="M68" s="91" t="s">
        <v>124</v>
      </c>
    </row>
    <row r="69" spans="2:13" ht="13.5" thickBot="1" x14ac:dyDescent="0.3">
      <c r="B69" s="166" t="s">
        <v>125</v>
      </c>
      <c r="C69" s="167">
        <f>+F53</f>
        <v>16691.780000000002</v>
      </c>
      <c r="D69" s="167">
        <f>+D58</f>
        <v>3800</v>
      </c>
      <c r="E69" s="168">
        <f>+C69/D69</f>
        <v>4.392573684210527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126</v>
      </c>
      <c r="C71" s="167">
        <f>SUM(F63:F64)</f>
        <v>17025.615600000001</v>
      </c>
      <c r="D71" s="167">
        <f>+D58</f>
        <v>3800</v>
      </c>
      <c r="E71" s="172">
        <f>+C71/D71</f>
        <v>4.4804251578947367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127</v>
      </c>
      <c r="C73" s="167">
        <f>+F65</f>
        <v>183</v>
      </c>
      <c r="D73" s="167">
        <f>+D58</f>
        <v>3800</v>
      </c>
      <c r="E73" s="172">
        <f>+C73/D73</f>
        <v>4.8157894736842108E-2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128</v>
      </c>
      <c r="C74" s="167">
        <f>+F56</f>
        <v>366</v>
      </c>
      <c r="D74" s="167">
        <f>+D73</f>
        <v>3800</v>
      </c>
      <c r="E74" s="168">
        <f>+C74/D74</f>
        <v>9.6315789473684216E-2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129</v>
      </c>
      <c r="C76" s="167">
        <f>+F54</f>
        <v>0</v>
      </c>
      <c r="D76" s="167">
        <f>+D74</f>
        <v>3800</v>
      </c>
      <c r="E76" s="168">
        <f>+C76/D76</f>
        <v>0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351" t="s">
        <v>130</v>
      </c>
      <c r="C78" s="352"/>
      <c r="D78" s="353"/>
      <c r="E78" s="168">
        <f>+E69+E74</f>
        <v>4.4888894736842113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350" t="s">
        <v>131</v>
      </c>
      <c r="C80" s="350"/>
      <c r="D80" s="350"/>
      <c r="E80" s="350"/>
      <c r="F80" s="350"/>
      <c r="G80" s="106"/>
      <c r="H80" s="165"/>
      <c r="J80" s="91"/>
    </row>
    <row r="81" spans="1:10" ht="13.5" thickBot="1" x14ac:dyDescent="0.3">
      <c r="B81" s="166" t="s">
        <v>125</v>
      </c>
      <c r="C81" s="167">
        <f>+C69</f>
        <v>16691.780000000002</v>
      </c>
      <c r="D81" s="167">
        <f>+D60</f>
        <v>20</v>
      </c>
      <c r="E81" s="168">
        <f>+C81/D81</f>
        <v>834.58900000000017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126</v>
      </c>
      <c r="C83" s="167">
        <f>+C71</f>
        <v>17025.615600000001</v>
      </c>
      <c r="D83" s="167">
        <f>+D60</f>
        <v>20</v>
      </c>
      <c r="E83" s="172">
        <f>+C83/D83</f>
        <v>851.28078000000005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128</v>
      </c>
      <c r="C85" s="167">
        <f>+C73</f>
        <v>183</v>
      </c>
      <c r="D85" s="167">
        <f>+D60</f>
        <v>20</v>
      </c>
      <c r="E85" s="172">
        <f>+C85/D85</f>
        <v>9.15</v>
      </c>
      <c r="F85" s="174"/>
      <c r="G85" s="164"/>
      <c r="H85" s="90"/>
      <c r="I85" s="108"/>
    </row>
    <row r="86" spans="1:10" ht="13.5" thickBot="1" x14ac:dyDescent="0.3">
      <c r="B86" s="166" t="s">
        <v>128</v>
      </c>
      <c r="C86" s="167">
        <f>+C74</f>
        <v>366</v>
      </c>
      <c r="D86" s="167">
        <f>+D85</f>
        <v>20</v>
      </c>
      <c r="E86" s="168">
        <f>+C86/D86</f>
        <v>18.3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54"/>
      <c r="B88" s="354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BE0-DF91-402D-93ED-F0E96FF596B3}">
  <dimension ref="A1:I41"/>
  <sheetViews>
    <sheetView workbookViewId="0">
      <selection activeCell="B10" sqref="B10"/>
    </sheetView>
  </sheetViews>
  <sheetFormatPr baseColWidth="10" defaultRowHeight="15" x14ac:dyDescent="0.25"/>
  <cols>
    <col min="3" max="3" width="34.140625" customWidth="1"/>
    <col min="8" max="8" width="19" customWidth="1"/>
  </cols>
  <sheetData>
    <row r="1" spans="1:9" ht="16.5" x14ac:dyDescent="0.3">
      <c r="A1" s="309"/>
      <c r="B1" s="310"/>
      <c r="C1" s="316" t="s">
        <v>33</v>
      </c>
      <c r="D1" s="316"/>
      <c r="E1" s="316"/>
      <c r="F1" s="316"/>
      <c r="G1" s="316"/>
      <c r="H1" s="59" t="s">
        <v>32</v>
      </c>
      <c r="I1" s="58"/>
    </row>
    <row r="2" spans="1:9" ht="17.25" thickBot="1" x14ac:dyDescent="0.35">
      <c r="A2" s="311"/>
      <c r="B2" s="312"/>
      <c r="C2" s="317" t="s">
        <v>31</v>
      </c>
      <c r="D2" s="317"/>
      <c r="E2" s="317"/>
      <c r="F2" s="317"/>
      <c r="G2" s="317"/>
      <c r="H2" s="56" t="s">
        <v>30</v>
      </c>
      <c r="I2" s="57"/>
    </row>
    <row r="3" spans="1:9" ht="18" x14ac:dyDescent="0.25">
      <c r="A3" s="311"/>
      <c r="B3" s="312"/>
      <c r="C3" s="318" t="s">
        <v>145</v>
      </c>
      <c r="D3" s="319"/>
      <c r="E3" s="319"/>
      <c r="F3" s="319"/>
      <c r="G3" s="320"/>
      <c r="H3" s="321" t="s">
        <v>29</v>
      </c>
      <c r="I3" s="298"/>
    </row>
    <row r="4" spans="1:9" ht="16.5" x14ac:dyDescent="0.3">
      <c r="A4" s="311"/>
      <c r="B4" s="312"/>
      <c r="C4" s="56" t="s">
        <v>28</v>
      </c>
      <c r="D4" s="301" t="s">
        <v>35</v>
      </c>
      <c r="E4" s="301"/>
      <c r="F4" s="301"/>
      <c r="G4" s="301"/>
      <c r="H4" s="322"/>
      <c r="I4" s="299"/>
    </row>
    <row r="5" spans="1:9" ht="17.25" thickBot="1" x14ac:dyDescent="0.35">
      <c r="A5" s="313"/>
      <c r="B5" s="314"/>
      <c r="C5" s="55" t="s">
        <v>27</v>
      </c>
      <c r="D5" s="302" t="s">
        <v>26</v>
      </c>
      <c r="E5" s="302"/>
      <c r="F5" s="302"/>
      <c r="G5" s="302"/>
      <c r="H5" s="323"/>
      <c r="I5" s="300"/>
    </row>
    <row r="6" spans="1:9" ht="18.75" thickBot="1" x14ac:dyDescent="0.3">
      <c r="A6" s="324" t="s">
        <v>25</v>
      </c>
      <c r="B6" s="325"/>
      <c r="C6" s="325"/>
      <c r="D6" s="326" t="s">
        <v>36</v>
      </c>
      <c r="E6" s="326"/>
      <c r="F6" s="326"/>
      <c r="G6" s="315" t="s">
        <v>24</v>
      </c>
      <c r="H6" s="315"/>
      <c r="I6" s="54" t="s">
        <v>36</v>
      </c>
    </row>
    <row r="7" spans="1:9" ht="25.5" x14ac:dyDescent="0.25">
      <c r="A7" s="303" t="s">
        <v>23</v>
      </c>
      <c r="B7" s="307" t="s">
        <v>34</v>
      </c>
      <c r="C7" s="305" t="s">
        <v>22</v>
      </c>
      <c r="D7" s="305" t="s">
        <v>21</v>
      </c>
      <c r="E7" s="305" t="s">
        <v>20</v>
      </c>
      <c r="F7" s="305"/>
      <c r="G7" s="305" t="s">
        <v>19</v>
      </c>
      <c r="H7" s="305"/>
      <c r="I7" s="53" t="s">
        <v>18</v>
      </c>
    </row>
    <row r="8" spans="1:9" ht="26.25" thickBot="1" x14ac:dyDescent="0.3">
      <c r="A8" s="304"/>
      <c r="B8" s="308"/>
      <c r="C8" s="306"/>
      <c r="D8" s="306"/>
      <c r="E8" s="52" t="s">
        <v>15</v>
      </c>
      <c r="F8" s="51" t="s">
        <v>17</v>
      </c>
      <c r="G8" s="52" t="s">
        <v>15</v>
      </c>
      <c r="H8" s="51" t="s">
        <v>17</v>
      </c>
      <c r="I8" s="50" t="s">
        <v>16</v>
      </c>
    </row>
    <row r="9" spans="1:9" ht="15.75" thickBot="1" x14ac:dyDescent="0.3">
      <c r="A9" s="49"/>
      <c r="B9" s="60"/>
      <c r="C9" s="36"/>
      <c r="D9" s="48"/>
      <c r="E9" s="13"/>
      <c r="F9" s="47"/>
      <c r="G9" s="13"/>
      <c r="H9" s="46"/>
      <c r="I9" s="45"/>
    </row>
    <row r="10" spans="1:9" x14ac:dyDescent="0.25">
      <c r="A10" s="83" t="s">
        <v>37</v>
      </c>
      <c r="B10" s="84" t="s">
        <v>144</v>
      </c>
      <c r="C10" s="85" t="s">
        <v>73</v>
      </c>
      <c r="D10" s="80" t="s">
        <v>57</v>
      </c>
      <c r="E10" s="37">
        <v>2</v>
      </c>
      <c r="F10" s="35" t="s">
        <v>7</v>
      </c>
      <c r="G10" s="37">
        <v>380</v>
      </c>
      <c r="H10" s="81" t="s">
        <v>2</v>
      </c>
      <c r="I10" s="82"/>
    </row>
    <row r="11" spans="1:9" x14ac:dyDescent="0.25">
      <c r="A11" s="77"/>
      <c r="B11" s="78"/>
      <c r="C11" s="79"/>
      <c r="D11" s="80"/>
      <c r="E11" s="37"/>
      <c r="F11" s="35"/>
      <c r="G11" s="37"/>
      <c r="H11" s="81"/>
      <c r="I11" s="82"/>
    </row>
    <row r="12" spans="1:9" x14ac:dyDescent="0.25">
      <c r="A12" s="68"/>
      <c r="B12" s="68"/>
      <c r="C12" s="69" t="s">
        <v>60</v>
      </c>
      <c r="D12" s="68"/>
      <c r="E12" s="68"/>
      <c r="F12" s="44"/>
      <c r="G12" s="34"/>
      <c r="H12" s="42"/>
      <c r="I12" s="41"/>
    </row>
    <row r="13" spans="1:9" x14ac:dyDescent="0.25">
      <c r="A13" s="70">
        <v>1950729</v>
      </c>
      <c r="B13" s="70" t="s">
        <v>61</v>
      </c>
      <c r="C13" s="71" t="s">
        <v>62</v>
      </c>
      <c r="D13" s="72" t="s">
        <v>63</v>
      </c>
      <c r="E13" s="73">
        <v>2</v>
      </c>
      <c r="F13" s="39" t="s">
        <v>7</v>
      </c>
      <c r="G13" s="43"/>
      <c r="H13" s="42"/>
      <c r="I13" s="41"/>
    </row>
    <row r="14" spans="1:9" x14ac:dyDescent="0.25">
      <c r="A14" s="64" t="s">
        <v>74</v>
      </c>
      <c r="B14" s="64" t="s">
        <v>75</v>
      </c>
      <c r="C14" t="s">
        <v>76</v>
      </c>
      <c r="D14" s="72"/>
      <c r="E14" s="73">
        <v>2</v>
      </c>
      <c r="F14" s="39" t="s">
        <v>7</v>
      </c>
      <c r="G14" s="43"/>
      <c r="H14" s="42"/>
      <c r="I14" s="41"/>
    </row>
    <row r="15" spans="1:9" x14ac:dyDescent="0.25">
      <c r="A15" s="70">
        <v>1950702</v>
      </c>
      <c r="B15" s="70" t="s">
        <v>64</v>
      </c>
      <c r="C15" s="71" t="s">
        <v>65</v>
      </c>
      <c r="D15" s="70" t="s">
        <v>66</v>
      </c>
      <c r="E15" s="74">
        <v>1</v>
      </c>
      <c r="F15" s="39" t="s">
        <v>7</v>
      </c>
      <c r="G15" s="43"/>
      <c r="H15" s="42"/>
      <c r="I15" s="41"/>
    </row>
    <row r="16" spans="1:9" x14ac:dyDescent="0.25">
      <c r="A16" s="75">
        <v>702069</v>
      </c>
      <c r="B16" s="75" t="s">
        <v>67</v>
      </c>
      <c r="C16" s="76" t="s">
        <v>68</v>
      </c>
      <c r="D16" s="70" t="s">
        <v>69</v>
      </c>
      <c r="E16" s="74">
        <v>1</v>
      </c>
      <c r="F16" s="28" t="s">
        <v>7</v>
      </c>
      <c r="G16" s="11"/>
      <c r="H16" s="26"/>
      <c r="I16" s="33"/>
    </row>
    <row r="17" spans="1:9" x14ac:dyDescent="0.25">
      <c r="A17" s="75">
        <v>702007</v>
      </c>
      <c r="B17" s="75" t="s">
        <v>70</v>
      </c>
      <c r="C17" s="76" t="s">
        <v>71</v>
      </c>
      <c r="D17" s="70" t="s">
        <v>72</v>
      </c>
      <c r="E17" s="74">
        <v>1</v>
      </c>
      <c r="F17" s="28" t="s">
        <v>7</v>
      </c>
      <c r="G17" s="27"/>
      <c r="H17" s="26"/>
      <c r="I17" s="25"/>
    </row>
    <row r="18" spans="1:9" ht="15.75" thickBot="1" x14ac:dyDescent="0.3">
      <c r="A18" s="24"/>
      <c r="B18" s="62"/>
      <c r="C18" s="21"/>
      <c r="D18" s="21"/>
      <c r="E18" s="23"/>
      <c r="F18" s="22"/>
      <c r="G18" s="21"/>
      <c r="H18" s="21"/>
      <c r="I18" s="20"/>
    </row>
    <row r="19" spans="1:9" ht="15.75" thickBot="1" x14ac:dyDescent="0.3">
      <c r="A19" s="19"/>
      <c r="B19" s="63"/>
      <c r="C19" s="15"/>
      <c r="D19" s="18" t="s">
        <v>15</v>
      </c>
      <c r="E19" s="17" t="s">
        <v>14</v>
      </c>
      <c r="F19" s="16"/>
      <c r="G19" s="15"/>
      <c r="H19" s="15"/>
      <c r="I19" s="14"/>
    </row>
    <row r="20" spans="1:9" x14ac:dyDescent="0.25">
      <c r="A20" s="331" t="s">
        <v>13</v>
      </c>
      <c r="B20" s="332"/>
      <c r="C20" s="333"/>
      <c r="D20" s="13">
        <v>380</v>
      </c>
      <c r="E20" s="12" t="s">
        <v>2</v>
      </c>
      <c r="F20" s="334" t="s">
        <v>12</v>
      </c>
      <c r="G20" s="334"/>
      <c r="H20" s="335"/>
      <c r="I20" s="336"/>
    </row>
    <row r="21" spans="1:9" x14ac:dyDescent="0.25">
      <c r="A21" s="270" t="s">
        <v>11</v>
      </c>
      <c r="B21" s="271"/>
      <c r="C21" s="272"/>
      <c r="D21" s="11">
        <v>2</v>
      </c>
      <c r="E21" s="11" t="s">
        <v>10</v>
      </c>
      <c r="F21" s="273" t="s">
        <v>9</v>
      </c>
      <c r="G21" s="273"/>
      <c r="H21" s="274"/>
      <c r="I21" s="275"/>
    </row>
    <row r="22" spans="1:9" x14ac:dyDescent="0.25">
      <c r="A22" s="270" t="s">
        <v>8</v>
      </c>
      <c r="B22" s="271"/>
      <c r="C22" s="272"/>
      <c r="D22" s="11">
        <f>D20/D23</f>
        <v>1</v>
      </c>
      <c r="E22" s="11" t="s">
        <v>7</v>
      </c>
      <c r="F22" s="273" t="s">
        <v>6</v>
      </c>
      <c r="G22" s="273"/>
      <c r="H22" s="274"/>
      <c r="I22" s="275"/>
    </row>
    <row r="23" spans="1:9" x14ac:dyDescent="0.25">
      <c r="A23" s="270" t="s">
        <v>5</v>
      </c>
      <c r="B23" s="271"/>
      <c r="C23" s="272"/>
      <c r="D23" s="10">
        <v>380</v>
      </c>
      <c r="E23" s="9" t="s">
        <v>2</v>
      </c>
      <c r="F23" s="341" t="s">
        <v>4</v>
      </c>
      <c r="G23" s="341"/>
      <c r="H23" s="274"/>
      <c r="I23" s="275"/>
    </row>
    <row r="24" spans="1:9" ht="15.75" thickBot="1" x14ac:dyDescent="0.3">
      <c r="A24" s="342" t="s">
        <v>3</v>
      </c>
      <c r="B24" s="343"/>
      <c r="C24" s="344"/>
      <c r="D24" s="7">
        <v>0</v>
      </c>
      <c r="E24" s="6" t="s">
        <v>2</v>
      </c>
      <c r="F24" s="345"/>
      <c r="G24" s="345"/>
      <c r="H24" s="268"/>
      <c r="I24" s="269"/>
    </row>
    <row r="25" spans="1:9" ht="15.75" thickBot="1" x14ac:dyDescent="0.3">
      <c r="A25" s="261" t="s">
        <v>1</v>
      </c>
      <c r="B25" s="262"/>
      <c r="C25" s="262"/>
      <c r="D25" s="262"/>
      <c r="E25" s="262"/>
      <c r="F25" s="262"/>
      <c r="G25" s="262"/>
      <c r="H25" s="262"/>
      <c r="I25" s="263"/>
    </row>
    <row r="26" spans="1:9" x14ac:dyDescent="0.25">
      <c r="A26" s="264" t="s">
        <v>77</v>
      </c>
      <c r="B26" s="265"/>
      <c r="C26" s="266"/>
      <c r="D26" s="266"/>
      <c r="E26" s="266"/>
      <c r="F26" s="266"/>
      <c r="G26" s="266"/>
      <c r="H26" s="266"/>
      <c r="I26" s="267"/>
    </row>
    <row r="27" spans="1:9" x14ac:dyDescent="0.25">
      <c r="A27" s="337" t="s">
        <v>78</v>
      </c>
      <c r="B27" s="338"/>
      <c r="C27" s="339"/>
      <c r="D27" s="339"/>
      <c r="E27" s="339"/>
      <c r="F27" s="339"/>
      <c r="G27" s="339"/>
      <c r="H27" s="339"/>
      <c r="I27" s="340"/>
    </row>
    <row r="28" spans="1:9" x14ac:dyDescent="0.25">
      <c r="A28" s="346" t="s">
        <v>79</v>
      </c>
      <c r="B28" s="347"/>
      <c r="C28" s="348"/>
      <c r="D28" s="348"/>
      <c r="E28" s="348"/>
      <c r="F28" s="348"/>
      <c r="G28" s="348"/>
      <c r="H28" s="348"/>
      <c r="I28" s="349"/>
    </row>
    <row r="29" spans="1:9" x14ac:dyDescent="0.25">
      <c r="A29" s="280"/>
      <c r="B29" s="281"/>
      <c r="C29" s="281"/>
      <c r="D29" s="281"/>
      <c r="E29" s="281"/>
      <c r="F29" s="281"/>
      <c r="G29" s="281"/>
      <c r="H29" s="281"/>
      <c r="I29" s="282"/>
    </row>
    <row r="30" spans="1:9" x14ac:dyDescent="0.25">
      <c r="A30" s="283"/>
      <c r="B30" s="284"/>
      <c r="C30" s="285"/>
      <c r="D30" s="285"/>
      <c r="E30" s="285"/>
      <c r="F30" s="285"/>
      <c r="G30" s="285"/>
      <c r="H30" s="285"/>
      <c r="I30" s="286"/>
    </row>
    <row r="31" spans="1:9" ht="15.75" thickBot="1" x14ac:dyDescent="0.3">
      <c r="A31" s="287"/>
      <c r="B31" s="288"/>
      <c r="C31" s="289"/>
      <c r="D31" s="289"/>
      <c r="E31" s="289"/>
      <c r="F31" s="289"/>
      <c r="G31" s="289"/>
      <c r="H31" s="289"/>
      <c r="I31" s="290"/>
    </row>
    <row r="32" spans="1:9" x14ac:dyDescent="0.25">
      <c r="A32" s="291" t="s">
        <v>0</v>
      </c>
      <c r="B32" s="292"/>
      <c r="C32" s="292"/>
      <c r="D32" s="292"/>
      <c r="E32" s="292"/>
      <c r="F32" s="292"/>
      <c r="G32" s="292"/>
      <c r="H32" s="292"/>
      <c r="I32" s="293"/>
    </row>
    <row r="33" spans="1:9" ht="15.75" thickBot="1" x14ac:dyDescent="0.3">
      <c r="A33" s="294"/>
      <c r="B33" s="295"/>
      <c r="C33" s="296"/>
      <c r="D33" s="296"/>
      <c r="E33" s="296"/>
      <c r="F33" s="296"/>
      <c r="G33" s="296"/>
      <c r="H33" s="296"/>
      <c r="I33" s="297"/>
    </row>
    <row r="34" spans="1:9" ht="15.75" thickBot="1" x14ac:dyDescent="0.3">
      <c r="A34" s="276"/>
      <c r="B34" s="277"/>
      <c r="C34" s="278"/>
      <c r="D34" s="278"/>
      <c r="E34" s="278"/>
      <c r="F34" s="278"/>
      <c r="G34" s="278"/>
      <c r="H34" s="278"/>
      <c r="I34" s="279"/>
    </row>
    <row r="35" spans="1:9" ht="15.75" thickBot="1" x14ac:dyDescent="0.3">
      <c r="A35" s="276"/>
      <c r="B35" s="277"/>
      <c r="C35" s="278"/>
      <c r="D35" s="278"/>
      <c r="E35" s="278"/>
      <c r="F35" s="278"/>
      <c r="G35" s="278"/>
      <c r="H35" s="278"/>
      <c r="I35" s="279"/>
    </row>
    <row r="36" spans="1:9" ht="15.75" thickBot="1" x14ac:dyDescent="0.3">
      <c r="A36" s="276"/>
      <c r="B36" s="277"/>
      <c r="C36" s="278"/>
      <c r="D36" s="278"/>
      <c r="E36" s="278"/>
      <c r="F36" s="278"/>
      <c r="G36" s="278"/>
      <c r="H36" s="278"/>
      <c r="I36" s="279"/>
    </row>
    <row r="37" spans="1:9" ht="15.75" thickBot="1" x14ac:dyDescent="0.3">
      <c r="A37" s="276"/>
      <c r="B37" s="277"/>
      <c r="C37" s="278"/>
      <c r="D37" s="278"/>
      <c r="E37" s="278"/>
      <c r="F37" s="278"/>
      <c r="G37" s="278"/>
      <c r="H37" s="278"/>
      <c r="I37" s="279"/>
    </row>
    <row r="38" spans="1:9" ht="15.75" thickBot="1" x14ac:dyDescent="0.3">
      <c r="A38" s="276"/>
      <c r="B38" s="277"/>
      <c r="C38" s="278"/>
      <c r="D38" s="278"/>
      <c r="E38" s="278"/>
      <c r="F38" s="278"/>
      <c r="G38" s="278"/>
      <c r="H38" s="278"/>
      <c r="I38" s="279"/>
    </row>
    <row r="39" spans="1:9" ht="15.75" thickBot="1" x14ac:dyDescent="0.3">
      <c r="A39" s="276"/>
      <c r="B39" s="277"/>
      <c r="C39" s="278"/>
      <c r="D39" s="278"/>
      <c r="E39" s="278"/>
      <c r="F39" s="278"/>
      <c r="G39" s="278"/>
      <c r="H39" s="278"/>
      <c r="I39" s="279"/>
    </row>
    <row r="40" spans="1:9" ht="15.75" thickBot="1" x14ac:dyDescent="0.3">
      <c r="A40" s="276"/>
      <c r="B40" s="277"/>
      <c r="C40" s="278"/>
      <c r="D40" s="278"/>
      <c r="E40" s="278"/>
      <c r="F40" s="278"/>
      <c r="G40" s="278"/>
      <c r="H40" s="278"/>
      <c r="I40" s="279"/>
    </row>
    <row r="41" spans="1:9" ht="15.75" thickBot="1" x14ac:dyDescent="0.3">
      <c r="A41" s="327"/>
      <c r="B41" s="328"/>
      <c r="C41" s="329"/>
      <c r="D41" s="329"/>
      <c r="E41" s="329"/>
      <c r="F41" s="329"/>
      <c r="G41" s="329"/>
      <c r="H41" s="329"/>
      <c r="I41" s="330"/>
    </row>
  </sheetData>
  <mergeCells count="49">
    <mergeCell ref="A40:I40"/>
    <mergeCell ref="A41:I41"/>
    <mergeCell ref="A34:I34"/>
    <mergeCell ref="A35:I35"/>
    <mergeCell ref="A36:I36"/>
    <mergeCell ref="A37:I37"/>
    <mergeCell ref="A38:I38"/>
    <mergeCell ref="A39:I39"/>
    <mergeCell ref="A33:I33"/>
    <mergeCell ref="A24:C24"/>
    <mergeCell ref="F24:G24"/>
    <mergeCell ref="H24:I24"/>
    <mergeCell ref="A25:I25"/>
    <mergeCell ref="A26:I26"/>
    <mergeCell ref="A27:I27"/>
    <mergeCell ref="A28:I28"/>
    <mergeCell ref="A29:I29"/>
    <mergeCell ref="A30:I30"/>
    <mergeCell ref="A31:I31"/>
    <mergeCell ref="A32:I32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C523-7925-4C9D-B8EC-0E7AF36B322C}">
  <dimension ref="A1:Q91"/>
  <sheetViews>
    <sheetView topLeftCell="A35" workbookViewId="0">
      <selection activeCell="O66" sqref="O66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80</v>
      </c>
      <c r="F1" s="88" t="s">
        <v>81</v>
      </c>
      <c r="G1" s="88" t="s">
        <v>82</v>
      </c>
      <c r="H1" s="88" t="s">
        <v>83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2087.7802222222226</v>
      </c>
      <c r="F2" s="92">
        <f>IFERROR(H53,"")</f>
        <v>1669.1780000000003</v>
      </c>
      <c r="G2" s="92">
        <f>IFERROR(H54,"")</f>
        <v>109.20222222222223</v>
      </c>
      <c r="H2" s="92">
        <f>IFERROR(H56,"")</f>
        <v>158.6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376"/>
      <c r="B4" s="376"/>
      <c r="C4" s="376"/>
      <c r="D4" s="376"/>
      <c r="E4" s="376"/>
      <c r="F4" s="376"/>
      <c r="G4" s="376"/>
      <c r="H4" s="376"/>
      <c r="I4" s="95"/>
    </row>
    <row r="5" spans="1:10" ht="19.5" customHeight="1" thickBot="1" x14ac:dyDescent="0.3">
      <c r="A5" s="377" t="s">
        <v>84</v>
      </c>
      <c r="B5" s="378"/>
      <c r="C5" s="378"/>
      <c r="D5" s="378"/>
      <c r="E5" s="378"/>
      <c r="F5" s="378"/>
      <c r="G5" s="378"/>
      <c r="H5" s="379"/>
      <c r="I5" s="96"/>
    </row>
    <row r="6" spans="1:10" ht="19.5" thickBot="1" x14ac:dyDescent="0.3">
      <c r="A6" s="96"/>
      <c r="B6" s="96"/>
      <c r="C6" s="96"/>
      <c r="D6" s="96"/>
      <c r="E6" s="96"/>
      <c r="F6" s="380" t="s">
        <v>85</v>
      </c>
      <c r="G6" s="380"/>
      <c r="H6" s="97">
        <f ca="1">TODAY()</f>
        <v>45650</v>
      </c>
      <c r="I6" s="97"/>
    </row>
    <row r="7" spans="1:10" ht="26.25" hidden="1" thickBot="1" x14ac:dyDescent="0.3">
      <c r="A7" s="98" t="s">
        <v>86</v>
      </c>
      <c r="B7" s="99" t="s">
        <v>87</v>
      </c>
      <c r="C7" s="99" t="s">
        <v>86</v>
      </c>
      <c r="D7" s="100" t="s">
        <v>88</v>
      </c>
      <c r="E7" s="100" t="s">
        <v>89</v>
      </c>
      <c r="F7" s="100" t="s">
        <v>90</v>
      </c>
      <c r="G7" s="100" t="s">
        <v>91</v>
      </c>
      <c r="H7" s="101" t="s">
        <v>92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86</v>
      </c>
      <c r="B16" s="99" t="s">
        <v>93</v>
      </c>
      <c r="C16" s="99" t="s">
        <v>86</v>
      </c>
      <c r="D16" s="100" t="s">
        <v>88</v>
      </c>
      <c r="E16" s="100" t="s">
        <v>89</v>
      </c>
      <c r="F16" s="100" t="s">
        <v>90</v>
      </c>
      <c r="G16" s="100" t="s">
        <v>91</v>
      </c>
      <c r="H16" s="101" t="s">
        <v>92</v>
      </c>
      <c r="I16" s="102"/>
      <c r="J16" s="108"/>
    </row>
    <row r="17" spans="1:12" ht="13.5" x14ac:dyDescent="0.25">
      <c r="A17" s="103">
        <v>2</v>
      </c>
      <c r="B17" s="91" t="s">
        <v>73</v>
      </c>
      <c r="C17" s="104">
        <f>+A17</f>
        <v>2</v>
      </c>
      <c r="D17" s="104" t="s">
        <v>134</v>
      </c>
      <c r="E17" s="105">
        <f>+'Costo Wafles'!H53</f>
        <v>834.58900000000017</v>
      </c>
      <c r="F17" s="105">
        <f>IFERROR(E17*C17,"")</f>
        <v>1669.1780000000003</v>
      </c>
      <c r="G17" s="106">
        <f t="shared" ref="G17:G24" si="3">IFERROR(F17/$F$66,"")</f>
        <v>0.86317574842664169</v>
      </c>
      <c r="H17" s="107"/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86</v>
      </c>
      <c r="B26" s="99" t="s">
        <v>94</v>
      </c>
      <c r="C26" s="99" t="s">
        <v>86</v>
      </c>
      <c r="D26" s="100" t="s">
        <v>88</v>
      </c>
      <c r="E26" s="100" t="s">
        <v>89</v>
      </c>
      <c r="F26" s="100" t="s">
        <v>90</v>
      </c>
      <c r="G26" s="100" t="s">
        <v>91</v>
      </c>
      <c r="H26" s="101" t="s">
        <v>92</v>
      </c>
      <c r="I26" s="102"/>
    </row>
    <row r="27" spans="1:12" ht="13.5" x14ac:dyDescent="0.25">
      <c r="A27" s="103">
        <v>2</v>
      </c>
      <c r="B27" s="109" t="str">
        <f>IFERROR(VLOOKUP(H27,'[1]Consolidado MP Planta'!$A$2:$M$823,3,0),"")</f>
        <v>CAJA BLANCA MEDIANA (PAQ:100 UND)</v>
      </c>
      <c r="C27" s="104">
        <f t="shared" ref="C27:C32" si="6">+A27</f>
        <v>2</v>
      </c>
      <c r="D27" s="105" t="str">
        <f>IFERROR(VLOOKUP(H27,'[1]Consolidado MP Planta'!$A$2:$M$823,13,0),"")</f>
        <v>Und</v>
      </c>
      <c r="E27" s="105">
        <f>IFERROR(VLOOKUP(H27,'[1]Consolidado MP Planta'!$A$2:$M$823,12,0),"")</f>
        <v>47</v>
      </c>
      <c r="F27" s="105">
        <f t="shared" ref="F27:F32" si="7">IFERROR(C27*E27,"")</f>
        <v>94</v>
      </c>
      <c r="G27" s="106">
        <f t="shared" ref="G27:G32" si="8">IFERROR(F27/$F$66,"")</f>
        <v>4.86098668638721E-2</v>
      </c>
      <c r="H27" s="110" t="s">
        <v>135</v>
      </c>
      <c r="I27" s="110"/>
      <c r="J27" s="108"/>
      <c r="K27" s="370"/>
      <c r="L27" s="370"/>
    </row>
    <row r="28" spans="1:12" ht="13.5" x14ac:dyDescent="0.25">
      <c r="A28" s="103">
        <v>2</v>
      </c>
      <c r="B28" s="109" t="str">
        <f>IFERROR(VLOOKUP(H28,'[1]Consolidado MP Planta'!$A$2:$M$823,3,0),"")</f>
        <v/>
      </c>
      <c r="C28" s="104">
        <f t="shared" si="6"/>
        <v>2</v>
      </c>
      <c r="D28" s="105" t="str">
        <f>IFERROR(VLOOKUP(H28,'[1]Consolidado MP Planta'!$A$2:$M$823,13,0),"")</f>
        <v/>
      </c>
      <c r="E28" s="105" t="str">
        <f>IFERROR(VLOOKUP(H28,'[1]Consolidado MP Planta'!$A$2:$M$823,12,0),"")</f>
        <v/>
      </c>
      <c r="F28" s="105" t="str">
        <f t="shared" si="7"/>
        <v/>
      </c>
      <c r="G28" s="106" t="str">
        <f t="shared" si="8"/>
        <v/>
      </c>
      <c r="H28" s="110" t="s">
        <v>74</v>
      </c>
      <c r="I28" s="110"/>
      <c r="J28" s="108"/>
      <c r="K28" s="370"/>
      <c r="L28" s="370"/>
    </row>
    <row r="29" spans="1:12" ht="13.5" x14ac:dyDescent="0.25">
      <c r="A29" s="103">
        <v>1</v>
      </c>
      <c r="B29" s="109" t="str">
        <f>IFERROR(VLOOKUP(H29,'[1]Consolidado MP Planta'!$A$2:$M$823,3,0),"")</f>
        <v>BOLSA 12x18 TRANSP KILO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14.4</v>
      </c>
      <c r="F29" s="105">
        <f t="shared" si="7"/>
        <v>14.4</v>
      </c>
      <c r="G29" s="106">
        <f t="shared" si="8"/>
        <v>7.4466179025506202E-3</v>
      </c>
      <c r="H29" s="110" t="s">
        <v>136</v>
      </c>
      <c r="I29" s="110"/>
      <c r="J29" s="108"/>
      <c r="K29" s="370"/>
      <c r="L29" s="370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f>IFERROR(VLOOKUP(H30,'[1]Consolidado MP Planta'!$A$2:$M$823,12,0),"")</f>
        <v>0.57999999999999996</v>
      </c>
      <c r="F30" s="105">
        <f t="shared" si="7"/>
        <v>0.57999999999999996</v>
      </c>
      <c r="G30" s="106">
        <f t="shared" si="8"/>
        <v>2.9993322107495549E-4</v>
      </c>
      <c r="H30" s="110" t="s">
        <v>137</v>
      </c>
      <c r="I30" s="110"/>
      <c r="J30" s="108"/>
      <c r="K30" s="370"/>
      <c r="L30" s="370"/>
    </row>
    <row r="31" spans="1:12" ht="13.5" x14ac:dyDescent="0.25">
      <c r="A31" s="103">
        <v>1</v>
      </c>
      <c r="B31" s="109" t="str">
        <f>IFERROR(VLOOKUP(H31,'[1]Consolidado MP Planta'!$A$2:$M$823,3,0),"")</f>
        <v>ETIQ.FECHA VENCIMIENTO BLANCO (ROLLO)</v>
      </c>
      <c r="C31" s="104">
        <f t="shared" si="6"/>
        <v>1</v>
      </c>
      <c r="D31" s="105" t="str">
        <f>IFERROR(VLOOKUP(H31,'[1]Consolidado MP Planta'!$A$2:$M$823,13,0),"")</f>
        <v>Gramos</v>
      </c>
      <c r="E31" s="105">
        <f>IFERROR(VLOOKUP(H31,'[1]Consolidado MP Planta'!$A$2:$M$823,12,0),"")</f>
        <v>0.22222222222222221</v>
      </c>
      <c r="F31" s="105">
        <f t="shared" si="7"/>
        <v>0.22222222222222221</v>
      </c>
      <c r="G31" s="106">
        <f t="shared" si="8"/>
        <v>1.1491694294059598E-4</v>
      </c>
      <c r="H31" s="110" t="s">
        <v>138</v>
      </c>
      <c r="I31" s="110"/>
      <c r="J31" s="108"/>
      <c r="K31" s="111"/>
      <c r="L31" s="112"/>
    </row>
    <row r="32" spans="1:12" ht="13.5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86</v>
      </c>
      <c r="B34" s="99" t="s">
        <v>95</v>
      </c>
      <c r="C34" s="99" t="s">
        <v>86</v>
      </c>
      <c r="D34" s="100" t="s">
        <v>88</v>
      </c>
      <c r="E34" s="100" t="s">
        <v>89</v>
      </c>
      <c r="F34" s="100" t="s">
        <v>90</v>
      </c>
      <c r="G34" s="100" t="s">
        <v>91</v>
      </c>
      <c r="H34" s="101" t="s">
        <v>92</v>
      </c>
      <c r="I34" s="110"/>
      <c r="J34" s="108"/>
    </row>
    <row r="35" spans="1:13" ht="13.5" x14ac:dyDescent="0.25">
      <c r="A35" s="103">
        <f>+A17</f>
        <v>2</v>
      </c>
      <c r="B35" s="109" t="s">
        <v>73</v>
      </c>
      <c r="C35" s="104">
        <f>+A35</f>
        <v>2</v>
      </c>
      <c r="D35" s="104" t="s">
        <v>134</v>
      </c>
      <c r="E35" s="105">
        <f>+'Costo Wafles'!H54</f>
        <v>0</v>
      </c>
      <c r="F35" s="105">
        <f>IFERROR(E35*C35,"")</f>
        <v>0</v>
      </c>
      <c r="G35" s="106">
        <f t="shared" ref="G35:G41" si="9">IFERROR(F35/$F$66,"")</f>
        <v>0</v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86</v>
      </c>
      <c r="B43" s="99" t="s">
        <v>96</v>
      </c>
      <c r="C43" s="99" t="s">
        <v>86</v>
      </c>
      <c r="D43" s="100" t="s">
        <v>88</v>
      </c>
      <c r="E43" s="100" t="s">
        <v>89</v>
      </c>
      <c r="F43" s="100" t="s">
        <v>90</v>
      </c>
      <c r="G43" s="100" t="s">
        <v>91</v>
      </c>
      <c r="H43" s="101" t="s">
        <v>92</v>
      </c>
      <c r="I43" s="102"/>
      <c r="J43" s="108"/>
    </row>
    <row r="44" spans="1:13" ht="13.5" x14ac:dyDescent="0.25">
      <c r="A44" s="103">
        <f>+A35</f>
        <v>2</v>
      </c>
      <c r="B44" s="109" t="s">
        <v>73</v>
      </c>
      <c r="C44" s="104">
        <f>+A44</f>
        <v>2</v>
      </c>
      <c r="D44" s="104" t="s">
        <v>134</v>
      </c>
      <c r="E44" s="105">
        <f>+'Costo Wafles'!H56</f>
        <v>18.3</v>
      </c>
      <c r="F44" s="105">
        <f>IFERROR(E44*C44,"")</f>
        <v>36.6</v>
      </c>
      <c r="G44" s="106">
        <f>IFERROR(F44/$F$66,"")</f>
        <v>1.8926820502316158E-2</v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97</v>
      </c>
      <c r="C51" s="104">
        <f>+A51</f>
        <v>1</v>
      </c>
      <c r="D51" s="104" t="s">
        <v>98</v>
      </c>
      <c r="E51" s="105">
        <f>+F65</f>
        <v>122</v>
      </c>
      <c r="F51" s="105">
        <f>IFERROR(C51*E51,"")</f>
        <v>122</v>
      </c>
      <c r="G51" s="106">
        <f>IFERROR(F51/$F$66,"")</f>
        <v>6.3089401674387188E-2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371" t="s">
        <v>99</v>
      </c>
      <c r="C53" s="371"/>
      <c r="D53" s="371"/>
      <c r="E53" s="371"/>
      <c r="F53" s="117">
        <f>SUM(F8:F14,F17:F24)</f>
        <v>1669.1780000000003</v>
      </c>
      <c r="G53" s="106">
        <f>+F53/$F$66</f>
        <v>0.86317574842664169</v>
      </c>
      <c r="H53" s="118">
        <f>+F53/$D$60</f>
        <v>1669.1780000000003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371" t="s">
        <v>100</v>
      </c>
      <c r="C54" s="371"/>
      <c r="D54" s="371"/>
      <c r="E54" s="371"/>
      <c r="F54" s="117">
        <f>SUM(F27:F32,F35:F41)</f>
        <v>109.20222222222223</v>
      </c>
      <c r="G54" s="106">
        <f>+F54/$F$66</f>
        <v>5.647133493043828E-2</v>
      </c>
      <c r="H54" s="118">
        <f>+F54/$D$60</f>
        <v>109.20222222222223</v>
      </c>
      <c r="I54" s="118"/>
      <c r="J54" s="122"/>
      <c r="K54" s="372" t="s">
        <v>101</v>
      </c>
      <c r="L54" s="373"/>
      <c r="M54" s="373"/>
      <c r="N54" s="373"/>
      <c r="O54" s="123">
        <f>+F55</f>
        <v>1778.3802222222225</v>
      </c>
      <c r="P54" s="123"/>
      <c r="Q54" s="124"/>
    </row>
    <row r="55" spans="1:17" x14ac:dyDescent="0.2">
      <c r="A55" s="115"/>
      <c r="B55" s="371" t="s">
        <v>102</v>
      </c>
      <c r="C55" s="371"/>
      <c r="D55" s="371"/>
      <c r="E55" s="371"/>
      <c r="F55" s="117">
        <f>+F53+F54</f>
        <v>1778.3802222222225</v>
      </c>
      <c r="G55" s="106">
        <f>+F55/$F$66</f>
        <v>0.91964708335708001</v>
      </c>
      <c r="H55" s="118">
        <f>+F55/$D$60</f>
        <v>1778.3802222222225</v>
      </c>
      <c r="I55" s="118"/>
      <c r="J55" s="125"/>
      <c r="K55" s="126"/>
      <c r="M55" s="127" t="s">
        <v>103</v>
      </c>
      <c r="N55" s="128"/>
      <c r="O55" s="123">
        <f>+H56</f>
        <v>158.6</v>
      </c>
      <c r="P55" s="123"/>
      <c r="Q55" s="124"/>
    </row>
    <row r="56" spans="1:17" ht="13.5" thickBot="1" x14ac:dyDescent="0.25">
      <c r="A56" s="115"/>
      <c r="B56" s="116"/>
      <c r="C56" s="371" t="s">
        <v>104</v>
      </c>
      <c r="D56" s="371"/>
      <c r="E56" s="371"/>
      <c r="F56" s="117">
        <f>SUM(F44:F51)</f>
        <v>158.6</v>
      </c>
      <c r="G56" s="106">
        <f>+F56/$F$66</f>
        <v>8.2016222176703346E-2</v>
      </c>
      <c r="H56" s="118">
        <f>+F56/$D$60</f>
        <v>158.6</v>
      </c>
      <c r="I56" s="118"/>
      <c r="J56" s="125"/>
      <c r="K56" s="126"/>
      <c r="L56" s="126"/>
      <c r="M56" s="126" t="s">
        <v>105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106</v>
      </c>
      <c r="N57" s="135"/>
      <c r="O57" s="136">
        <f>SUM(O54:O56)</f>
        <v>1936.9802222222224</v>
      </c>
      <c r="P57" s="137"/>
      <c r="Q57" s="124"/>
    </row>
    <row r="58" spans="1:17" x14ac:dyDescent="0.2">
      <c r="B58" s="374" t="s">
        <v>107</v>
      </c>
      <c r="C58" s="374"/>
      <c r="D58" s="138">
        <v>380</v>
      </c>
      <c r="E58" s="139"/>
      <c r="G58" s="106"/>
      <c r="H58" s="132">
        <f>+H56/61</f>
        <v>2.6</v>
      </c>
      <c r="I58" s="140"/>
      <c r="J58" s="125"/>
      <c r="K58" s="133"/>
      <c r="L58" s="126"/>
      <c r="M58" s="126" t="s">
        <v>108</v>
      </c>
      <c r="N58" s="141"/>
      <c r="O58" s="123">
        <f>+H59</f>
        <v>150.80000000000001</v>
      </c>
      <c r="P58" s="123"/>
      <c r="Q58" s="124"/>
    </row>
    <row r="59" spans="1:17" x14ac:dyDescent="0.2">
      <c r="B59" s="374" t="s">
        <v>109</v>
      </c>
      <c r="C59" s="374"/>
      <c r="D59" s="142">
        <v>380</v>
      </c>
      <c r="E59" s="139"/>
      <c r="G59" s="106"/>
      <c r="H59" s="132">
        <f>+H58*58</f>
        <v>150.80000000000001</v>
      </c>
      <c r="I59" s="140"/>
      <c r="J59" s="125"/>
      <c r="K59" s="133"/>
      <c r="L59" s="126"/>
      <c r="M59" s="375" t="s">
        <v>106</v>
      </c>
      <c r="N59" s="375"/>
      <c r="O59" s="123">
        <f>SUM(O57:O58)</f>
        <v>2087.7802222222226</v>
      </c>
      <c r="P59" s="123"/>
      <c r="Q59" s="124"/>
    </row>
    <row r="60" spans="1:17" ht="13.5" thickBot="1" x14ac:dyDescent="0.25">
      <c r="B60" s="366" t="s">
        <v>110</v>
      </c>
      <c r="C60" s="366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375"/>
      <c r="M60" s="375"/>
      <c r="N60" s="141"/>
      <c r="O60" s="123">
        <f>+O59*N60</f>
        <v>0</v>
      </c>
      <c r="P60" s="123"/>
      <c r="Q60" s="124"/>
    </row>
    <row r="61" spans="1:17" ht="13.5" thickBot="1" x14ac:dyDescent="0.25">
      <c r="B61" s="366" t="s">
        <v>111</v>
      </c>
      <c r="C61" s="366"/>
      <c r="D61" s="144"/>
      <c r="E61" s="139"/>
      <c r="F61" s="143"/>
      <c r="G61" s="106"/>
      <c r="H61" s="132"/>
      <c r="I61" s="140"/>
      <c r="J61" s="125"/>
      <c r="K61" s="367" t="s">
        <v>112</v>
      </c>
      <c r="L61" s="368"/>
      <c r="M61" s="368"/>
      <c r="N61" s="369"/>
      <c r="O61" s="136">
        <f>SUM(O59:O60)</f>
        <v>2087.7802222222226</v>
      </c>
      <c r="P61" s="145" t="s">
        <v>113</v>
      </c>
      <c r="Q61" s="124"/>
    </row>
    <row r="62" spans="1:17" ht="13.5" thickBot="1" x14ac:dyDescent="0.25">
      <c r="C62" s="115" t="s">
        <v>114</v>
      </c>
      <c r="D62" s="146"/>
      <c r="E62" s="89" t="s">
        <v>115</v>
      </c>
      <c r="F62" s="147" t="s">
        <v>116</v>
      </c>
      <c r="G62" s="106"/>
      <c r="H62" s="132"/>
      <c r="I62" s="140"/>
      <c r="J62" s="148"/>
      <c r="K62" s="149"/>
      <c r="L62" s="355" t="s">
        <v>117</v>
      </c>
      <c r="M62" s="355"/>
      <c r="N62" s="355"/>
      <c r="O62" s="150">
        <f>+O61/D60</f>
        <v>2087.7802222222226</v>
      </c>
      <c r="P62" s="151">
        <f>+O62/D59</f>
        <v>5.4941584795321647</v>
      </c>
      <c r="Q62" s="152"/>
    </row>
    <row r="63" spans="1:17" ht="13.5" thickBot="1" x14ac:dyDescent="0.25">
      <c r="B63" s="356" t="s">
        <v>102</v>
      </c>
      <c r="C63" s="356"/>
      <c r="D63" s="356"/>
      <c r="E63" s="153">
        <f>+F63/F63</f>
        <v>1</v>
      </c>
      <c r="F63" s="154">
        <f>SUM(F55)</f>
        <v>1778.3802222222225</v>
      </c>
      <c r="G63" s="106">
        <f>+F63/$F$66</f>
        <v>0.91964708335708001</v>
      </c>
      <c r="H63" s="132"/>
      <c r="I63" s="140"/>
      <c r="K63" s="357"/>
      <c r="L63" s="358"/>
      <c r="M63" s="358"/>
      <c r="N63" s="358"/>
      <c r="O63" s="155"/>
      <c r="P63" s="156"/>
    </row>
    <row r="64" spans="1:17" ht="13.5" thickBot="1" x14ac:dyDescent="0.3">
      <c r="B64" s="359" t="s">
        <v>118</v>
      </c>
      <c r="C64" s="359"/>
      <c r="D64" s="359"/>
      <c r="E64" s="157">
        <v>0.02</v>
      </c>
      <c r="F64" s="154">
        <f>+F53*E64</f>
        <v>33.38356000000001</v>
      </c>
      <c r="G64" s="106">
        <f>+F64/$F$66</f>
        <v>1.7263514968532834E-2</v>
      </c>
      <c r="H64" s="118"/>
      <c r="I64" s="140"/>
      <c r="J64" s="158"/>
      <c r="O64" s="159">
        <f>+O62/2</f>
        <v>1043.8901111111113</v>
      </c>
      <c r="P64" s="116"/>
    </row>
    <row r="65" spans="2:15" ht="13.5" thickBot="1" x14ac:dyDescent="0.3">
      <c r="B65" s="360" t="s">
        <v>119</v>
      </c>
      <c r="C65" s="361"/>
      <c r="D65" s="160">
        <v>2</v>
      </c>
      <c r="E65" s="161">
        <v>61</v>
      </c>
      <c r="F65" s="154">
        <f>+E65*D65</f>
        <v>122</v>
      </c>
      <c r="G65" s="106">
        <f>+F65/$F$66</f>
        <v>6.3089401674387188E-2</v>
      </c>
      <c r="H65" s="118"/>
      <c r="I65" s="118"/>
      <c r="J65" s="108"/>
      <c r="O65" s="91">
        <v>591.32000000000005</v>
      </c>
    </row>
    <row r="66" spans="2:15" ht="13.5" thickBot="1" x14ac:dyDescent="0.3">
      <c r="B66" s="362" t="s">
        <v>120</v>
      </c>
      <c r="C66" s="363"/>
      <c r="D66" s="363"/>
      <c r="E66" s="364"/>
      <c r="F66" s="131">
        <f>SUM(F63:F65)</f>
        <v>1933.7637822222225</v>
      </c>
      <c r="G66" s="106">
        <f>+F66/$F$66</f>
        <v>1</v>
      </c>
      <c r="H66" s="365"/>
      <c r="I66" s="118"/>
      <c r="J66" s="108"/>
      <c r="M66" s="91" t="s">
        <v>121</v>
      </c>
    </row>
    <row r="67" spans="2:15" x14ac:dyDescent="0.25">
      <c r="C67" s="113"/>
      <c r="D67" s="113"/>
      <c r="E67" s="163"/>
      <c r="F67" s="154"/>
      <c r="G67" s="106"/>
      <c r="H67" s="365"/>
      <c r="I67" s="162"/>
      <c r="J67" s="91"/>
      <c r="M67" s="91" t="s">
        <v>122</v>
      </c>
    </row>
    <row r="68" spans="2:15" ht="13.5" thickBot="1" x14ac:dyDescent="0.3">
      <c r="B68" s="350" t="s">
        <v>123</v>
      </c>
      <c r="C68" s="350"/>
      <c r="D68" s="350"/>
      <c r="E68" s="350"/>
      <c r="F68" s="350"/>
      <c r="G68" s="106"/>
      <c r="H68" s="165"/>
      <c r="I68" s="162"/>
      <c r="J68" s="91"/>
      <c r="M68" s="91" t="s">
        <v>124</v>
      </c>
    </row>
    <row r="69" spans="2:15" ht="13.5" thickBot="1" x14ac:dyDescent="0.3">
      <c r="B69" s="166" t="s">
        <v>125</v>
      </c>
      <c r="C69" s="167">
        <f>+F53</f>
        <v>1669.1780000000003</v>
      </c>
      <c r="D69" s="167">
        <f>+D58</f>
        <v>380</v>
      </c>
      <c r="E69" s="168">
        <f>+C69/D69</f>
        <v>4.392573684210527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5" x14ac:dyDescent="0.25">
      <c r="B71" s="166" t="s">
        <v>126</v>
      </c>
      <c r="C71" s="167">
        <f>SUM(F63:F64)</f>
        <v>1811.7637822222225</v>
      </c>
      <c r="D71" s="167">
        <f>+D58</f>
        <v>380</v>
      </c>
      <c r="E71" s="172">
        <f>+C71/D71</f>
        <v>4.7677994269005852</v>
      </c>
      <c r="F71" s="106"/>
      <c r="G71" s="165"/>
      <c r="H71" s="108"/>
      <c r="I71" s="108"/>
      <c r="J71" s="91"/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5" ht="13.5" thickBot="1" x14ac:dyDescent="0.3">
      <c r="B73" s="166" t="s">
        <v>127</v>
      </c>
      <c r="C73" s="167">
        <f>+F65</f>
        <v>122</v>
      </c>
      <c r="D73" s="167">
        <f>+D58</f>
        <v>380</v>
      </c>
      <c r="E73" s="172">
        <f>+C73/D73</f>
        <v>0.32105263157894737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128</v>
      </c>
      <c r="C74" s="167">
        <f>+F56</f>
        <v>158.6</v>
      </c>
      <c r="D74" s="167">
        <f>+D73</f>
        <v>380</v>
      </c>
      <c r="E74" s="168">
        <f>+C74/D74</f>
        <v>0.41736842105263156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129</v>
      </c>
      <c r="C76" s="167">
        <f>+F54</f>
        <v>109.20222222222223</v>
      </c>
      <c r="D76" s="167">
        <f>+D74</f>
        <v>380</v>
      </c>
      <c r="E76" s="168">
        <f>+C76/D76</f>
        <v>0.287374269005848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351" t="s">
        <v>130</v>
      </c>
      <c r="C78" s="352"/>
      <c r="D78" s="353"/>
      <c r="E78" s="168">
        <f>+E69+E74</f>
        <v>4.8099421052631586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350" t="s">
        <v>131</v>
      </c>
      <c r="C80" s="350"/>
      <c r="D80" s="350"/>
      <c r="E80" s="350"/>
      <c r="F80" s="350"/>
      <c r="G80" s="106"/>
      <c r="H80" s="165"/>
      <c r="J80" s="91"/>
    </row>
    <row r="81" spans="1:10" ht="13.5" thickBot="1" x14ac:dyDescent="0.3">
      <c r="B81" s="166" t="s">
        <v>125</v>
      </c>
      <c r="C81" s="167">
        <f>+C69</f>
        <v>1669.1780000000003</v>
      </c>
      <c r="D81" s="167">
        <f>+D60</f>
        <v>1</v>
      </c>
      <c r="E81" s="168">
        <f>+C81/D81</f>
        <v>1669.1780000000003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126</v>
      </c>
      <c r="C83" s="167">
        <f>+C71</f>
        <v>1811.7637822222225</v>
      </c>
      <c r="D83" s="167">
        <f>+D60</f>
        <v>1</v>
      </c>
      <c r="E83" s="172">
        <f>+C83/D83</f>
        <v>1811.7637822222225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128</v>
      </c>
      <c r="C85" s="167">
        <f>+C73</f>
        <v>122</v>
      </c>
      <c r="D85" s="167">
        <f>+D60</f>
        <v>1</v>
      </c>
      <c r="E85" s="172">
        <f>+C85/D85</f>
        <v>122</v>
      </c>
      <c r="F85" s="174"/>
      <c r="G85" s="164"/>
      <c r="H85" s="90"/>
      <c r="I85" s="108"/>
    </row>
    <row r="86" spans="1:10" ht="13.5" thickBot="1" x14ac:dyDescent="0.3">
      <c r="B86" s="166" t="s">
        <v>128</v>
      </c>
      <c r="C86" s="167">
        <f>+C74</f>
        <v>158.6</v>
      </c>
      <c r="D86" s="167">
        <f>+D85</f>
        <v>1</v>
      </c>
      <c r="E86" s="168">
        <f>+C86/D86</f>
        <v>158.6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354"/>
      <c r="B88" s="354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FCE97-4D66-433B-9215-F57DD37DD77C}"/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Batido</vt:lpstr>
      <vt:lpstr>Costo Batido</vt:lpstr>
      <vt:lpstr>Hoja1</vt:lpstr>
      <vt:lpstr>Costo Wafles</vt:lpstr>
      <vt:lpstr>Empaque</vt:lpstr>
      <vt:lpstr>Costo empaque </vt:lpstr>
      <vt:lpstr>Batido!Área_de_impresión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2024-02-26T21:05:07Z</cp:lastPrinted>
  <dcterms:created xsi:type="dcterms:W3CDTF">2023-07-28T19:10:29Z</dcterms:created>
  <dcterms:modified xsi:type="dcterms:W3CDTF">2024-12-24T14:28:48Z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